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laravel\recette\public\assets\word\"/>
    </mc:Choice>
  </mc:AlternateContent>
  <xr:revisionPtr revIDLastSave="0" documentId="13_ncr:1_{996FA551-F319-4E5B-8BA6-2532C71851D4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etat_receveur" sheetId="18" r:id="rId1"/>
    <sheet name="BUS" sheetId="1" r:id="rId2"/>
    <sheet name="LIGNE" sheetId="2" r:id="rId3"/>
    <sheet name="RETAION-BUS" sheetId="4" r:id="rId4"/>
    <sheet name="ROTATION-LIGNE" sheetId="5" r:id="rId5"/>
    <sheet name="RECAP1" sheetId="9" r:id="rId6"/>
    <sheet name="RECAP 2" sheetId="17" r:id="rId7"/>
    <sheet name="RECAP 3" sheetId="10" r:id="rId8"/>
    <sheet name="R4" sheetId="20" r:id="rId9"/>
    <sheet name="RECAP 5" sheetId="15" r:id="rId10"/>
    <sheet name="RECAP 6" sheetId="16" r:id="rId11"/>
    <sheet name="RECAP 4" sheetId="14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B4" i="2" l="1"/>
  <c r="V171" i="2"/>
  <c r="V170" i="2"/>
  <c r="V169" i="2"/>
  <c r="V168" i="2"/>
  <c r="V159" i="2"/>
  <c r="V158" i="2"/>
  <c r="V157" i="2"/>
  <c r="V156" i="2"/>
  <c r="V147" i="2"/>
  <c r="V140" i="2"/>
  <c r="V177" i="2" s="1"/>
  <c r="V139" i="2"/>
  <c r="V176" i="2" s="1"/>
  <c r="V138" i="2"/>
  <c r="V175" i="2" s="1"/>
  <c r="V137" i="2"/>
  <c r="V174" i="2" s="1"/>
  <c r="V136" i="2"/>
  <c r="V173" i="2" s="1"/>
  <c r="V135" i="2"/>
  <c r="V172" i="2" s="1"/>
  <c r="V134" i="2"/>
  <c r="V133" i="2"/>
  <c r="V132" i="2"/>
  <c r="V131" i="2"/>
  <c r="V130" i="2"/>
  <c r="V167" i="2" s="1"/>
  <c r="V129" i="2"/>
  <c r="V166" i="2" s="1"/>
  <c r="V128" i="2"/>
  <c r="V165" i="2" s="1"/>
  <c r="V127" i="2"/>
  <c r="V164" i="2" s="1"/>
  <c r="V126" i="2"/>
  <c r="V163" i="2" s="1"/>
  <c r="V125" i="2"/>
  <c r="V162" i="2" s="1"/>
  <c r="V124" i="2"/>
  <c r="V161" i="2" s="1"/>
  <c r="V123" i="2"/>
  <c r="V160" i="2" s="1"/>
  <c r="V122" i="2"/>
  <c r="V121" i="2"/>
  <c r="V120" i="2"/>
  <c r="V119" i="2"/>
  <c r="V118" i="2"/>
  <c r="V155" i="2" s="1"/>
  <c r="V117" i="2"/>
  <c r="V154" i="2" s="1"/>
  <c r="V116" i="2"/>
  <c r="V153" i="2" s="1"/>
  <c r="V115" i="2"/>
  <c r="V152" i="2" s="1"/>
  <c r="V114" i="2"/>
  <c r="V151" i="2" s="1"/>
  <c r="V113" i="2"/>
  <c r="V150" i="2" s="1"/>
  <c r="V112" i="2"/>
  <c r="V149" i="2" s="1"/>
  <c r="V111" i="2"/>
  <c r="V148" i="2" s="1"/>
  <c r="V110" i="2"/>
  <c r="V106" i="2"/>
  <c r="V71" i="2"/>
  <c r="V35" i="2"/>
  <c r="P177" i="2"/>
  <c r="P168" i="2"/>
  <c r="P167" i="2"/>
  <c r="P166" i="2"/>
  <c r="P156" i="2"/>
  <c r="P154" i="2"/>
  <c r="P140" i="2"/>
  <c r="P139" i="2"/>
  <c r="P176" i="2" s="1"/>
  <c r="P138" i="2"/>
  <c r="P175" i="2" s="1"/>
  <c r="P137" i="2"/>
  <c r="P174" i="2" s="1"/>
  <c r="P136" i="2"/>
  <c r="P173" i="2" s="1"/>
  <c r="P135" i="2"/>
  <c r="P172" i="2" s="1"/>
  <c r="P134" i="2"/>
  <c r="P171" i="2" s="1"/>
  <c r="P133" i="2"/>
  <c r="P170" i="2" s="1"/>
  <c r="P132" i="2"/>
  <c r="P169" i="2" s="1"/>
  <c r="P131" i="2"/>
  <c r="P130" i="2"/>
  <c r="P129" i="2"/>
  <c r="P128" i="2"/>
  <c r="P165" i="2" s="1"/>
  <c r="P127" i="2"/>
  <c r="P164" i="2" s="1"/>
  <c r="P126" i="2"/>
  <c r="P163" i="2" s="1"/>
  <c r="P125" i="2"/>
  <c r="P162" i="2" s="1"/>
  <c r="P124" i="2"/>
  <c r="P161" i="2" s="1"/>
  <c r="P123" i="2"/>
  <c r="P160" i="2" s="1"/>
  <c r="P122" i="2"/>
  <c r="P159" i="2" s="1"/>
  <c r="P121" i="2"/>
  <c r="P158" i="2" s="1"/>
  <c r="P120" i="2"/>
  <c r="P157" i="2" s="1"/>
  <c r="P119" i="2"/>
  <c r="P118" i="2"/>
  <c r="P155" i="2" s="1"/>
  <c r="P117" i="2"/>
  <c r="P116" i="2"/>
  <c r="P153" i="2" s="1"/>
  <c r="P115" i="2"/>
  <c r="P152" i="2" s="1"/>
  <c r="P114" i="2"/>
  <c r="P151" i="2" s="1"/>
  <c r="P113" i="2"/>
  <c r="P150" i="2" s="1"/>
  <c r="P112" i="2"/>
  <c r="P149" i="2" s="1"/>
  <c r="P111" i="2"/>
  <c r="P148" i="2" s="1"/>
  <c r="P110" i="2"/>
  <c r="P147" i="2" s="1"/>
  <c r="P106" i="2"/>
  <c r="P71" i="2"/>
  <c r="P35" i="2"/>
  <c r="Q165" i="2"/>
  <c r="Q140" i="2"/>
  <c r="Q177" i="2" s="1"/>
  <c r="Q139" i="2"/>
  <c r="Q176" i="2" s="1"/>
  <c r="Q138" i="2"/>
  <c r="Q175" i="2" s="1"/>
  <c r="Q137" i="2"/>
  <c r="Q174" i="2" s="1"/>
  <c r="Q136" i="2"/>
  <c r="Q173" i="2" s="1"/>
  <c r="Q135" i="2"/>
  <c r="Q172" i="2" s="1"/>
  <c r="Q134" i="2"/>
  <c r="Q171" i="2" s="1"/>
  <c r="Q133" i="2"/>
  <c r="Q170" i="2" s="1"/>
  <c r="Q132" i="2"/>
  <c r="Q169" i="2" s="1"/>
  <c r="Q131" i="2"/>
  <c r="Q168" i="2" s="1"/>
  <c r="Q130" i="2"/>
  <c r="Q167" i="2" s="1"/>
  <c r="Q129" i="2"/>
  <c r="Q166" i="2" s="1"/>
  <c r="Q128" i="2"/>
  <c r="Q127" i="2"/>
  <c r="Q164" i="2" s="1"/>
  <c r="Q126" i="2"/>
  <c r="Q163" i="2" s="1"/>
  <c r="Q125" i="2"/>
  <c r="Q162" i="2" s="1"/>
  <c r="Q124" i="2"/>
  <c r="Q161" i="2" s="1"/>
  <c r="Q123" i="2"/>
  <c r="Q160" i="2" s="1"/>
  <c r="Q122" i="2"/>
  <c r="Q159" i="2" s="1"/>
  <c r="Q121" i="2"/>
  <c r="Q158" i="2" s="1"/>
  <c r="Q120" i="2"/>
  <c r="Q157" i="2" s="1"/>
  <c r="Q119" i="2"/>
  <c r="Q156" i="2" s="1"/>
  <c r="Q118" i="2"/>
  <c r="Q155" i="2" s="1"/>
  <c r="Q117" i="2"/>
  <c r="Q154" i="2" s="1"/>
  <c r="Q116" i="2"/>
  <c r="Q153" i="2" s="1"/>
  <c r="Q115" i="2"/>
  <c r="Q152" i="2" s="1"/>
  <c r="Q114" i="2"/>
  <c r="Q151" i="2" s="1"/>
  <c r="Q113" i="2"/>
  <c r="Q150" i="2" s="1"/>
  <c r="Q112" i="2"/>
  <c r="Q149" i="2" s="1"/>
  <c r="Q111" i="2"/>
  <c r="Q148" i="2" s="1"/>
  <c r="Q110" i="2"/>
  <c r="Q147" i="2" s="1"/>
  <c r="Q106" i="2"/>
  <c r="Q71" i="2"/>
  <c r="Q35" i="2"/>
  <c r="L168" i="2"/>
  <c r="L140" i="2"/>
  <c r="L177" i="2" s="1"/>
  <c r="L139" i="2"/>
  <c r="L176" i="2" s="1"/>
  <c r="L138" i="2"/>
  <c r="L175" i="2" s="1"/>
  <c r="L137" i="2"/>
  <c r="L174" i="2" s="1"/>
  <c r="L136" i="2"/>
  <c r="L173" i="2" s="1"/>
  <c r="L135" i="2"/>
  <c r="L172" i="2" s="1"/>
  <c r="L134" i="2"/>
  <c r="L171" i="2" s="1"/>
  <c r="L133" i="2"/>
  <c r="L170" i="2" s="1"/>
  <c r="L132" i="2"/>
  <c r="L169" i="2" s="1"/>
  <c r="L131" i="2"/>
  <c r="L130" i="2"/>
  <c r="L167" i="2" s="1"/>
  <c r="L129" i="2"/>
  <c r="L166" i="2" s="1"/>
  <c r="L128" i="2"/>
  <c r="L165" i="2" s="1"/>
  <c r="L127" i="2"/>
  <c r="L164" i="2" s="1"/>
  <c r="L126" i="2"/>
  <c r="L163" i="2" s="1"/>
  <c r="L125" i="2"/>
  <c r="L162" i="2" s="1"/>
  <c r="L124" i="2"/>
  <c r="L161" i="2" s="1"/>
  <c r="L123" i="2"/>
  <c r="L160" i="2" s="1"/>
  <c r="L122" i="2"/>
  <c r="L159" i="2" s="1"/>
  <c r="L121" i="2"/>
  <c r="L158" i="2" s="1"/>
  <c r="L120" i="2"/>
  <c r="L157" i="2" s="1"/>
  <c r="L119" i="2"/>
  <c r="L156" i="2" s="1"/>
  <c r="L118" i="2"/>
  <c r="L155" i="2" s="1"/>
  <c r="L117" i="2"/>
  <c r="L154" i="2" s="1"/>
  <c r="L116" i="2"/>
  <c r="L153" i="2" s="1"/>
  <c r="L115" i="2"/>
  <c r="L152" i="2" s="1"/>
  <c r="L114" i="2"/>
  <c r="L151" i="2" s="1"/>
  <c r="L113" i="2"/>
  <c r="L150" i="2" s="1"/>
  <c r="L112" i="2"/>
  <c r="L149" i="2" s="1"/>
  <c r="L111" i="2"/>
  <c r="L148" i="2" s="1"/>
  <c r="L110" i="2"/>
  <c r="L147" i="2" s="1"/>
  <c r="L106" i="2"/>
  <c r="L71" i="2"/>
  <c r="L35" i="2"/>
  <c r="F140" i="2"/>
  <c r="F177" i="2" s="1"/>
  <c r="F139" i="2"/>
  <c r="F176" i="2" s="1"/>
  <c r="F138" i="2"/>
  <c r="F175" i="2" s="1"/>
  <c r="F137" i="2"/>
  <c r="F174" i="2" s="1"/>
  <c r="F136" i="2"/>
  <c r="F173" i="2" s="1"/>
  <c r="F135" i="2"/>
  <c r="F172" i="2" s="1"/>
  <c r="F134" i="2"/>
  <c r="F171" i="2" s="1"/>
  <c r="F133" i="2"/>
  <c r="F170" i="2" s="1"/>
  <c r="F132" i="2"/>
  <c r="F169" i="2" s="1"/>
  <c r="F131" i="2"/>
  <c r="F168" i="2" s="1"/>
  <c r="F130" i="2"/>
  <c r="F167" i="2" s="1"/>
  <c r="F129" i="2"/>
  <c r="F166" i="2" s="1"/>
  <c r="F128" i="2"/>
  <c r="F165" i="2" s="1"/>
  <c r="F127" i="2"/>
  <c r="F164" i="2" s="1"/>
  <c r="F126" i="2"/>
  <c r="F163" i="2" s="1"/>
  <c r="F125" i="2"/>
  <c r="F162" i="2" s="1"/>
  <c r="F124" i="2"/>
  <c r="F161" i="2" s="1"/>
  <c r="F123" i="2"/>
  <c r="F160" i="2" s="1"/>
  <c r="F122" i="2"/>
  <c r="F159" i="2" s="1"/>
  <c r="F121" i="2"/>
  <c r="F158" i="2" s="1"/>
  <c r="F120" i="2"/>
  <c r="F157" i="2" s="1"/>
  <c r="F119" i="2"/>
  <c r="F156" i="2" s="1"/>
  <c r="F118" i="2"/>
  <c r="F155" i="2" s="1"/>
  <c r="F117" i="2"/>
  <c r="F154" i="2" s="1"/>
  <c r="F116" i="2"/>
  <c r="F153" i="2" s="1"/>
  <c r="F115" i="2"/>
  <c r="F152" i="2" s="1"/>
  <c r="F114" i="2"/>
  <c r="F151" i="2" s="1"/>
  <c r="F113" i="2"/>
  <c r="F150" i="2" s="1"/>
  <c r="F112" i="2"/>
  <c r="F149" i="2" s="1"/>
  <c r="F111" i="2"/>
  <c r="F148" i="2" s="1"/>
  <c r="F110" i="2"/>
  <c r="F147" i="2" s="1"/>
  <c r="F106" i="2"/>
  <c r="F71" i="2"/>
  <c r="F35" i="2"/>
  <c r="E140" i="2"/>
  <c r="E177" i="2" s="1"/>
  <c r="E139" i="2"/>
  <c r="E176" i="2" s="1"/>
  <c r="E138" i="2"/>
  <c r="E175" i="2" s="1"/>
  <c r="E137" i="2"/>
  <c r="E174" i="2" s="1"/>
  <c r="E136" i="2"/>
  <c r="E173" i="2" s="1"/>
  <c r="E135" i="2"/>
  <c r="E172" i="2" s="1"/>
  <c r="E134" i="2"/>
  <c r="E171" i="2" s="1"/>
  <c r="E133" i="2"/>
  <c r="E170" i="2" s="1"/>
  <c r="E132" i="2"/>
  <c r="E169" i="2" s="1"/>
  <c r="E131" i="2"/>
  <c r="E168" i="2" s="1"/>
  <c r="E130" i="2"/>
  <c r="E167" i="2" s="1"/>
  <c r="E129" i="2"/>
  <c r="E166" i="2" s="1"/>
  <c r="E128" i="2"/>
  <c r="E165" i="2" s="1"/>
  <c r="E127" i="2"/>
  <c r="E164" i="2" s="1"/>
  <c r="E126" i="2"/>
  <c r="E163" i="2" s="1"/>
  <c r="E125" i="2"/>
  <c r="E162" i="2" s="1"/>
  <c r="E124" i="2"/>
  <c r="E161" i="2" s="1"/>
  <c r="E123" i="2"/>
  <c r="E160" i="2" s="1"/>
  <c r="E122" i="2"/>
  <c r="E159" i="2" s="1"/>
  <c r="E121" i="2"/>
  <c r="E158" i="2" s="1"/>
  <c r="E120" i="2"/>
  <c r="E157" i="2" s="1"/>
  <c r="E119" i="2"/>
  <c r="E156" i="2" s="1"/>
  <c r="E118" i="2"/>
  <c r="E155" i="2" s="1"/>
  <c r="E117" i="2"/>
  <c r="E154" i="2" s="1"/>
  <c r="E116" i="2"/>
  <c r="E153" i="2" s="1"/>
  <c r="E115" i="2"/>
  <c r="E152" i="2" s="1"/>
  <c r="E114" i="2"/>
  <c r="E151" i="2" s="1"/>
  <c r="E113" i="2"/>
  <c r="E150" i="2" s="1"/>
  <c r="E112" i="2"/>
  <c r="E149" i="2" s="1"/>
  <c r="E111" i="2"/>
  <c r="E148" i="2" s="1"/>
  <c r="E110" i="2"/>
  <c r="E147" i="2" s="1"/>
  <c r="E106" i="2"/>
  <c r="E71" i="2"/>
  <c r="E35" i="2"/>
  <c r="GP35" i="5"/>
  <c r="GP5" i="5"/>
  <c r="GM5" i="5"/>
  <c r="GP6" i="5"/>
  <c r="GP7" i="5"/>
  <c r="GP8" i="5"/>
  <c r="GP9" i="5"/>
  <c r="GP10" i="5"/>
  <c r="GP11" i="5"/>
  <c r="GP12" i="5"/>
  <c r="GP13" i="5"/>
  <c r="GP14" i="5"/>
  <c r="GP15" i="5"/>
  <c r="GP16" i="5"/>
  <c r="GP17" i="5"/>
  <c r="GP18" i="5"/>
  <c r="GP19" i="5"/>
  <c r="GP20" i="5"/>
  <c r="GP21" i="5"/>
  <c r="GP22" i="5"/>
  <c r="GP23" i="5"/>
  <c r="GP24" i="5"/>
  <c r="GP25" i="5"/>
  <c r="GP26" i="5"/>
  <c r="GP27" i="5"/>
  <c r="GP28" i="5"/>
  <c r="GP29" i="5"/>
  <c r="GP30" i="5"/>
  <c r="GP31" i="5"/>
  <c r="GP32" i="5"/>
  <c r="GP33" i="5"/>
  <c r="GP34" i="5"/>
  <c r="GO5" i="5"/>
  <c r="GI36" i="5"/>
  <c r="GE36" i="5"/>
  <c r="GA36" i="5"/>
  <c r="FW36" i="5"/>
  <c r="FQ36" i="5"/>
  <c r="FK36" i="5"/>
  <c r="FG36" i="5"/>
  <c r="FC36" i="5"/>
  <c r="EX36" i="5"/>
  <c r="ES36" i="5"/>
  <c r="EN36" i="5"/>
  <c r="EJ36" i="5"/>
  <c r="EE36" i="5"/>
  <c r="EB36" i="5"/>
  <c r="GM35" i="5"/>
  <c r="GM34" i="5"/>
  <c r="GM33" i="5"/>
  <c r="GM32" i="5"/>
  <c r="GM31" i="5"/>
  <c r="GM30" i="5"/>
  <c r="GM29" i="5"/>
  <c r="GM28" i="5"/>
  <c r="GM27" i="5"/>
  <c r="GM26" i="5"/>
  <c r="GM25" i="5"/>
  <c r="GM24" i="5"/>
  <c r="GM23" i="5"/>
  <c r="GM22" i="5"/>
  <c r="GM21" i="5"/>
  <c r="GM20" i="5"/>
  <c r="GM19" i="5"/>
  <c r="GM18" i="5"/>
  <c r="GM17" i="5"/>
  <c r="GM16" i="5"/>
  <c r="GM15" i="5"/>
  <c r="GM14" i="5"/>
  <c r="GM13" i="5"/>
  <c r="GM12" i="5"/>
  <c r="GM11" i="5"/>
  <c r="GM10" i="5"/>
  <c r="GM9" i="5"/>
  <c r="GM8" i="5"/>
  <c r="GM7" i="5"/>
  <c r="GM36" i="5" s="1"/>
  <c r="GM6" i="5"/>
  <c r="DZ6" i="5"/>
  <c r="DZ7" i="5"/>
  <c r="DZ8" i="5"/>
  <c r="DZ9" i="5"/>
  <c r="DZ10" i="5"/>
  <c r="DZ11" i="5"/>
  <c r="DZ12" i="5"/>
  <c r="DZ13" i="5"/>
  <c r="DZ14" i="5"/>
  <c r="DZ15" i="5"/>
  <c r="DZ16" i="5"/>
  <c r="DZ17" i="5"/>
  <c r="DZ18" i="5"/>
  <c r="DZ19" i="5"/>
  <c r="DZ20" i="5"/>
  <c r="DZ21" i="5"/>
  <c r="DZ22" i="5"/>
  <c r="DZ23" i="5"/>
  <c r="DZ24" i="5"/>
  <c r="DZ25" i="5"/>
  <c r="DZ26" i="5"/>
  <c r="DZ27" i="5"/>
  <c r="DZ28" i="5"/>
  <c r="DZ29" i="5"/>
  <c r="DZ30" i="5"/>
  <c r="DZ31" i="5"/>
  <c r="DZ32" i="5"/>
  <c r="DZ33" i="5"/>
  <c r="DZ34" i="5"/>
  <c r="DZ35" i="5"/>
  <c r="DZ5" i="5"/>
  <c r="BM35" i="5"/>
  <c r="BM6" i="5"/>
  <c r="BM7" i="5"/>
  <c r="BM8" i="5"/>
  <c r="BM9" i="5"/>
  <c r="BM10" i="5"/>
  <c r="BM11" i="5"/>
  <c r="BM12" i="5"/>
  <c r="BM13" i="5"/>
  <c r="BM14" i="5"/>
  <c r="BM15" i="5"/>
  <c r="BM16" i="5"/>
  <c r="BM17" i="5"/>
  <c r="BM18" i="5"/>
  <c r="BM19" i="5"/>
  <c r="BM20" i="5"/>
  <c r="BM21" i="5"/>
  <c r="BM22" i="5"/>
  <c r="BM23" i="5"/>
  <c r="BM24" i="5"/>
  <c r="BM25" i="5"/>
  <c r="BM26" i="5"/>
  <c r="BM27" i="5"/>
  <c r="BM28" i="5"/>
  <c r="BM29" i="5"/>
  <c r="BM30" i="5"/>
  <c r="BM31" i="5"/>
  <c r="BM32" i="5"/>
  <c r="BM33" i="5"/>
  <c r="BM34" i="5"/>
  <c r="BM5" i="5"/>
  <c r="DV36" i="5"/>
  <c r="DR36" i="5"/>
  <c r="DN36" i="5"/>
  <c r="BI36" i="5"/>
  <c r="BE36" i="5"/>
  <c r="BA36" i="5"/>
  <c r="T74" i="20"/>
  <c r="T73" i="20"/>
  <c r="T72" i="20"/>
  <c r="T71" i="20"/>
  <c r="T70" i="20"/>
  <c r="T69" i="20"/>
  <c r="T68" i="20"/>
  <c r="T67" i="20"/>
  <c r="T66" i="20"/>
  <c r="T65" i="20"/>
  <c r="T64" i="20"/>
  <c r="T63" i="20"/>
  <c r="T62" i="20"/>
  <c r="T61" i="20"/>
  <c r="T60" i="20"/>
  <c r="T59" i="20"/>
  <c r="T58" i="20"/>
  <c r="T57" i="20"/>
  <c r="T56" i="20"/>
  <c r="T55" i="20"/>
  <c r="T54" i="20"/>
  <c r="T53" i="20"/>
  <c r="T52" i="20"/>
  <c r="T51" i="20"/>
  <c r="T50" i="20"/>
  <c r="T49" i="20"/>
  <c r="T48" i="20"/>
  <c r="T47" i="20"/>
  <c r="T46" i="20"/>
  <c r="T45" i="20"/>
  <c r="T44" i="20"/>
  <c r="T75" i="20" s="1"/>
  <c r="T39" i="20"/>
  <c r="X74" i="20"/>
  <c r="X73" i="20"/>
  <c r="X72" i="20"/>
  <c r="X71" i="20"/>
  <c r="X70" i="20"/>
  <c r="X69" i="20"/>
  <c r="X68" i="20"/>
  <c r="X67" i="20"/>
  <c r="X66" i="20"/>
  <c r="X65" i="20"/>
  <c r="X64" i="20"/>
  <c r="X63" i="20"/>
  <c r="X62" i="20"/>
  <c r="X61" i="20"/>
  <c r="X60" i="20"/>
  <c r="X59" i="20"/>
  <c r="X58" i="20"/>
  <c r="X57" i="20"/>
  <c r="X56" i="20"/>
  <c r="X55" i="20"/>
  <c r="X54" i="20"/>
  <c r="X53" i="20"/>
  <c r="X52" i="20"/>
  <c r="X51" i="20"/>
  <c r="X50" i="20"/>
  <c r="X49" i="20"/>
  <c r="X48" i="20"/>
  <c r="X47" i="20"/>
  <c r="X46" i="20"/>
  <c r="X45" i="20"/>
  <c r="X44" i="20"/>
  <c r="X39" i="20"/>
  <c r="W74" i="20"/>
  <c r="W73" i="20"/>
  <c r="W72" i="20"/>
  <c r="W71" i="20"/>
  <c r="W70" i="20"/>
  <c r="W69" i="20"/>
  <c r="W68" i="20"/>
  <c r="W67" i="20"/>
  <c r="W66" i="20"/>
  <c r="W65" i="20"/>
  <c r="W64" i="20"/>
  <c r="W63" i="20"/>
  <c r="W62" i="20"/>
  <c r="W61" i="20"/>
  <c r="W60" i="20"/>
  <c r="W59" i="20"/>
  <c r="W58" i="20"/>
  <c r="W57" i="20"/>
  <c r="W56" i="20"/>
  <c r="W55" i="20"/>
  <c r="W54" i="20"/>
  <c r="W53" i="20"/>
  <c r="W52" i="20"/>
  <c r="W51" i="20"/>
  <c r="W50" i="20"/>
  <c r="W49" i="20"/>
  <c r="W48" i="20"/>
  <c r="W47" i="20"/>
  <c r="W46" i="20"/>
  <c r="W45" i="20"/>
  <c r="W44" i="20"/>
  <c r="W39" i="20"/>
  <c r="V74" i="20"/>
  <c r="V73" i="20"/>
  <c r="V72" i="20"/>
  <c r="V71" i="20"/>
  <c r="V70" i="20"/>
  <c r="V69" i="20"/>
  <c r="V68" i="20"/>
  <c r="V67" i="20"/>
  <c r="V66" i="20"/>
  <c r="V65" i="20"/>
  <c r="V64" i="20"/>
  <c r="V63" i="20"/>
  <c r="V62" i="20"/>
  <c r="V61" i="20"/>
  <c r="V60" i="20"/>
  <c r="V59" i="20"/>
  <c r="V58" i="20"/>
  <c r="V57" i="20"/>
  <c r="V56" i="20"/>
  <c r="V55" i="20"/>
  <c r="V54" i="20"/>
  <c r="V53" i="20"/>
  <c r="V52" i="20"/>
  <c r="V51" i="20"/>
  <c r="V50" i="20"/>
  <c r="V49" i="20"/>
  <c r="V48" i="20"/>
  <c r="V47" i="20"/>
  <c r="V46" i="20"/>
  <c r="V45" i="20"/>
  <c r="V44" i="20"/>
  <c r="V39" i="20"/>
  <c r="P4" i="10"/>
  <c r="DB76" i="2"/>
  <c r="DB77" i="2"/>
  <c r="DB78" i="2"/>
  <c r="DB79" i="2"/>
  <c r="DB80" i="2"/>
  <c r="DB81" i="2"/>
  <c r="DB82" i="2"/>
  <c r="DB83" i="2"/>
  <c r="DB84" i="2"/>
  <c r="DB85" i="2"/>
  <c r="DB86" i="2"/>
  <c r="DB87" i="2"/>
  <c r="DB88" i="2"/>
  <c r="DB89" i="2"/>
  <c r="DB90" i="2"/>
  <c r="DB91" i="2"/>
  <c r="DB92" i="2"/>
  <c r="DB93" i="2"/>
  <c r="DB94" i="2"/>
  <c r="DB95" i="2"/>
  <c r="DB96" i="2"/>
  <c r="DB97" i="2"/>
  <c r="DB98" i="2"/>
  <c r="DB99" i="2"/>
  <c r="DB100" i="2"/>
  <c r="DB101" i="2"/>
  <c r="DB102" i="2"/>
  <c r="DB103" i="2"/>
  <c r="DB104" i="2"/>
  <c r="DB105" i="2"/>
  <c r="DB75" i="2"/>
  <c r="DB41" i="2"/>
  <c r="DB42" i="2"/>
  <c r="DB43" i="2"/>
  <c r="DB44" i="2"/>
  <c r="DB45" i="2"/>
  <c r="DB46" i="2"/>
  <c r="DB47" i="2"/>
  <c r="DB48" i="2"/>
  <c r="DB49" i="2"/>
  <c r="DB50" i="2"/>
  <c r="DB51" i="2"/>
  <c r="DB52" i="2"/>
  <c r="DB53" i="2"/>
  <c r="DB54" i="2"/>
  <c r="DB55" i="2"/>
  <c r="DB56" i="2"/>
  <c r="DB57" i="2"/>
  <c r="DB58" i="2"/>
  <c r="DB59" i="2"/>
  <c r="DB60" i="2"/>
  <c r="DB61" i="2"/>
  <c r="DB62" i="2"/>
  <c r="DB63" i="2"/>
  <c r="DB64" i="2"/>
  <c r="DB65" i="2"/>
  <c r="DB66" i="2"/>
  <c r="DB67" i="2"/>
  <c r="DB68" i="2"/>
  <c r="DB69" i="2"/>
  <c r="DB70" i="2"/>
  <c r="DB40" i="2"/>
  <c r="DB5" i="2"/>
  <c r="DB6" i="2"/>
  <c r="DB7" i="2"/>
  <c r="DB8" i="2"/>
  <c r="DB9" i="2"/>
  <c r="DB10" i="2"/>
  <c r="DB11" i="2"/>
  <c r="DB12" i="2"/>
  <c r="DB13" i="2"/>
  <c r="DB14" i="2"/>
  <c r="DB15" i="2"/>
  <c r="DB16" i="2"/>
  <c r="DB17" i="2"/>
  <c r="DB18" i="2"/>
  <c r="DB19" i="2"/>
  <c r="DB20" i="2"/>
  <c r="DB21" i="2"/>
  <c r="DB22" i="2"/>
  <c r="DB23" i="2"/>
  <c r="DB24" i="2"/>
  <c r="DB25" i="2"/>
  <c r="DB26" i="2"/>
  <c r="DB27" i="2"/>
  <c r="DB28" i="2"/>
  <c r="DB29" i="2"/>
  <c r="DB30" i="2"/>
  <c r="DB31" i="2"/>
  <c r="DB32" i="2"/>
  <c r="DB33" i="2"/>
  <c r="DB34" i="2"/>
  <c r="DA140" i="2"/>
  <c r="DA177" i="2" s="1"/>
  <c r="CZ140" i="2"/>
  <c r="CZ177" i="2" s="1"/>
  <c r="CY140" i="2"/>
  <c r="CY177" i="2" s="1"/>
  <c r="CX140" i="2"/>
  <c r="CX177" i="2" s="1"/>
  <c r="CW140" i="2"/>
  <c r="CW177" i="2" s="1"/>
  <c r="CV140" i="2"/>
  <c r="CV177" i="2" s="1"/>
  <c r="DA139" i="2"/>
  <c r="DA176" i="2" s="1"/>
  <c r="CZ139" i="2"/>
  <c r="CZ176" i="2" s="1"/>
  <c r="CY139" i="2"/>
  <c r="CY176" i="2" s="1"/>
  <c r="CX139" i="2"/>
  <c r="CX176" i="2" s="1"/>
  <c r="CW139" i="2"/>
  <c r="CW176" i="2" s="1"/>
  <c r="CV139" i="2"/>
  <c r="CV176" i="2" s="1"/>
  <c r="DA138" i="2"/>
  <c r="DA175" i="2" s="1"/>
  <c r="CZ138" i="2"/>
  <c r="CZ175" i="2" s="1"/>
  <c r="CY138" i="2"/>
  <c r="CY175" i="2" s="1"/>
  <c r="CX138" i="2"/>
  <c r="CX175" i="2" s="1"/>
  <c r="CW138" i="2"/>
  <c r="CW175" i="2" s="1"/>
  <c r="CV138" i="2"/>
  <c r="CV175" i="2" s="1"/>
  <c r="DA137" i="2"/>
  <c r="DA174" i="2" s="1"/>
  <c r="CZ137" i="2"/>
  <c r="CZ174" i="2" s="1"/>
  <c r="CY137" i="2"/>
  <c r="CY174" i="2" s="1"/>
  <c r="CX137" i="2"/>
  <c r="CX174" i="2" s="1"/>
  <c r="CW137" i="2"/>
  <c r="CW174" i="2" s="1"/>
  <c r="CV137" i="2"/>
  <c r="CV174" i="2" s="1"/>
  <c r="DA136" i="2"/>
  <c r="DA173" i="2" s="1"/>
  <c r="CZ136" i="2"/>
  <c r="CZ173" i="2" s="1"/>
  <c r="CY136" i="2"/>
  <c r="CY173" i="2" s="1"/>
  <c r="CX136" i="2"/>
  <c r="CX173" i="2" s="1"/>
  <c r="CW136" i="2"/>
  <c r="CW173" i="2" s="1"/>
  <c r="CV136" i="2"/>
  <c r="CV173" i="2" s="1"/>
  <c r="DA135" i="2"/>
  <c r="DA172" i="2" s="1"/>
  <c r="CZ135" i="2"/>
  <c r="CZ172" i="2" s="1"/>
  <c r="CY135" i="2"/>
  <c r="CY172" i="2" s="1"/>
  <c r="CX135" i="2"/>
  <c r="CX172" i="2" s="1"/>
  <c r="CW135" i="2"/>
  <c r="CW172" i="2" s="1"/>
  <c r="CV135" i="2"/>
  <c r="CV172" i="2" s="1"/>
  <c r="DA134" i="2"/>
  <c r="DA171" i="2" s="1"/>
  <c r="CZ134" i="2"/>
  <c r="CZ171" i="2" s="1"/>
  <c r="CY134" i="2"/>
  <c r="CY171" i="2" s="1"/>
  <c r="CX134" i="2"/>
  <c r="CX171" i="2" s="1"/>
  <c r="CW134" i="2"/>
  <c r="CW171" i="2" s="1"/>
  <c r="CV134" i="2"/>
  <c r="CV171" i="2" s="1"/>
  <c r="DA133" i="2"/>
  <c r="DA170" i="2" s="1"/>
  <c r="CZ133" i="2"/>
  <c r="CZ170" i="2" s="1"/>
  <c r="CY133" i="2"/>
  <c r="CY170" i="2" s="1"/>
  <c r="CX133" i="2"/>
  <c r="CX170" i="2" s="1"/>
  <c r="CW133" i="2"/>
  <c r="CW170" i="2" s="1"/>
  <c r="CV133" i="2"/>
  <c r="DA132" i="2"/>
  <c r="DA169" i="2" s="1"/>
  <c r="CZ132" i="2"/>
  <c r="CZ169" i="2" s="1"/>
  <c r="CY132" i="2"/>
  <c r="CY169" i="2" s="1"/>
  <c r="CX132" i="2"/>
  <c r="CX169" i="2" s="1"/>
  <c r="CW132" i="2"/>
  <c r="CW169" i="2" s="1"/>
  <c r="CV132" i="2"/>
  <c r="CV169" i="2" s="1"/>
  <c r="DA131" i="2"/>
  <c r="DA168" i="2" s="1"/>
  <c r="CZ131" i="2"/>
  <c r="CZ168" i="2" s="1"/>
  <c r="CY131" i="2"/>
  <c r="CY168" i="2" s="1"/>
  <c r="CX131" i="2"/>
  <c r="CX168" i="2" s="1"/>
  <c r="CW131" i="2"/>
  <c r="CW168" i="2" s="1"/>
  <c r="CV131" i="2"/>
  <c r="DA130" i="2"/>
  <c r="DA167" i="2" s="1"/>
  <c r="CZ130" i="2"/>
  <c r="CZ167" i="2" s="1"/>
  <c r="CY130" i="2"/>
  <c r="CY167" i="2" s="1"/>
  <c r="CX130" i="2"/>
  <c r="CX167" i="2" s="1"/>
  <c r="CW130" i="2"/>
  <c r="CW167" i="2" s="1"/>
  <c r="CV130" i="2"/>
  <c r="DA129" i="2"/>
  <c r="DA166" i="2" s="1"/>
  <c r="CZ129" i="2"/>
  <c r="CZ166" i="2" s="1"/>
  <c r="CY129" i="2"/>
  <c r="CY166" i="2" s="1"/>
  <c r="CX129" i="2"/>
  <c r="CX166" i="2" s="1"/>
  <c r="CW129" i="2"/>
  <c r="CW166" i="2" s="1"/>
  <c r="CV129" i="2"/>
  <c r="DA128" i="2"/>
  <c r="DA165" i="2" s="1"/>
  <c r="CZ128" i="2"/>
  <c r="CZ165" i="2" s="1"/>
  <c r="CY128" i="2"/>
  <c r="CY165" i="2" s="1"/>
  <c r="CX128" i="2"/>
  <c r="CX165" i="2" s="1"/>
  <c r="CW128" i="2"/>
  <c r="CW165" i="2" s="1"/>
  <c r="CV128" i="2"/>
  <c r="CV165" i="2" s="1"/>
  <c r="DA127" i="2"/>
  <c r="DA164" i="2" s="1"/>
  <c r="CZ127" i="2"/>
  <c r="CZ164" i="2" s="1"/>
  <c r="CY127" i="2"/>
  <c r="CY164" i="2" s="1"/>
  <c r="CX127" i="2"/>
  <c r="CX164" i="2" s="1"/>
  <c r="CW127" i="2"/>
  <c r="CW164" i="2" s="1"/>
  <c r="CV127" i="2"/>
  <c r="DA126" i="2"/>
  <c r="DA163" i="2" s="1"/>
  <c r="CZ126" i="2"/>
  <c r="CZ163" i="2" s="1"/>
  <c r="CY126" i="2"/>
  <c r="CY163" i="2" s="1"/>
  <c r="CX126" i="2"/>
  <c r="CX163" i="2" s="1"/>
  <c r="CW126" i="2"/>
  <c r="CW163" i="2" s="1"/>
  <c r="CV126" i="2"/>
  <c r="CV163" i="2" s="1"/>
  <c r="DA125" i="2"/>
  <c r="DA162" i="2" s="1"/>
  <c r="CZ125" i="2"/>
  <c r="CZ162" i="2" s="1"/>
  <c r="CY125" i="2"/>
  <c r="CY162" i="2" s="1"/>
  <c r="CX125" i="2"/>
  <c r="CX162" i="2" s="1"/>
  <c r="CW125" i="2"/>
  <c r="CW162" i="2" s="1"/>
  <c r="CV125" i="2"/>
  <c r="DA124" i="2"/>
  <c r="DA161" i="2" s="1"/>
  <c r="CZ124" i="2"/>
  <c r="CZ161" i="2" s="1"/>
  <c r="CY124" i="2"/>
  <c r="CY161" i="2" s="1"/>
  <c r="CX124" i="2"/>
  <c r="CX161" i="2" s="1"/>
  <c r="CW124" i="2"/>
  <c r="CW161" i="2" s="1"/>
  <c r="CV124" i="2"/>
  <c r="CV161" i="2" s="1"/>
  <c r="DA123" i="2"/>
  <c r="DA160" i="2" s="1"/>
  <c r="CZ123" i="2"/>
  <c r="CZ160" i="2" s="1"/>
  <c r="CY123" i="2"/>
  <c r="CY160" i="2" s="1"/>
  <c r="CX123" i="2"/>
  <c r="CX160" i="2" s="1"/>
  <c r="CW123" i="2"/>
  <c r="CW160" i="2" s="1"/>
  <c r="CV123" i="2"/>
  <c r="DA122" i="2"/>
  <c r="DA159" i="2" s="1"/>
  <c r="CZ122" i="2"/>
  <c r="CZ159" i="2" s="1"/>
  <c r="CY122" i="2"/>
  <c r="CY159" i="2" s="1"/>
  <c r="CX122" i="2"/>
  <c r="CX159" i="2" s="1"/>
  <c r="CW122" i="2"/>
  <c r="CW159" i="2" s="1"/>
  <c r="CV122" i="2"/>
  <c r="CV159" i="2" s="1"/>
  <c r="DA121" i="2"/>
  <c r="DA158" i="2" s="1"/>
  <c r="CZ121" i="2"/>
  <c r="CZ158" i="2" s="1"/>
  <c r="CY121" i="2"/>
  <c r="CY158" i="2" s="1"/>
  <c r="CX121" i="2"/>
  <c r="CX158" i="2" s="1"/>
  <c r="CW121" i="2"/>
  <c r="CW158" i="2" s="1"/>
  <c r="CV121" i="2"/>
  <c r="DA120" i="2"/>
  <c r="DA157" i="2" s="1"/>
  <c r="CZ120" i="2"/>
  <c r="CZ157" i="2" s="1"/>
  <c r="CY120" i="2"/>
  <c r="CY157" i="2" s="1"/>
  <c r="CX120" i="2"/>
  <c r="CX157" i="2" s="1"/>
  <c r="CW120" i="2"/>
  <c r="CW157" i="2" s="1"/>
  <c r="CV120" i="2"/>
  <c r="CV157" i="2" s="1"/>
  <c r="DA119" i="2"/>
  <c r="DA156" i="2" s="1"/>
  <c r="CZ119" i="2"/>
  <c r="CZ156" i="2" s="1"/>
  <c r="CY119" i="2"/>
  <c r="CY156" i="2" s="1"/>
  <c r="CX119" i="2"/>
  <c r="CX156" i="2" s="1"/>
  <c r="CW119" i="2"/>
  <c r="CW156" i="2" s="1"/>
  <c r="CV119" i="2"/>
  <c r="DA118" i="2"/>
  <c r="DA155" i="2" s="1"/>
  <c r="CZ118" i="2"/>
  <c r="CZ155" i="2" s="1"/>
  <c r="CY118" i="2"/>
  <c r="CY155" i="2" s="1"/>
  <c r="CX118" i="2"/>
  <c r="CX155" i="2" s="1"/>
  <c r="CW118" i="2"/>
  <c r="CW155" i="2" s="1"/>
  <c r="CV118" i="2"/>
  <c r="CV155" i="2" s="1"/>
  <c r="DA117" i="2"/>
  <c r="DA154" i="2" s="1"/>
  <c r="CZ117" i="2"/>
  <c r="CZ154" i="2" s="1"/>
  <c r="CY117" i="2"/>
  <c r="CY154" i="2" s="1"/>
  <c r="CX117" i="2"/>
  <c r="CX154" i="2" s="1"/>
  <c r="CW117" i="2"/>
  <c r="CW154" i="2" s="1"/>
  <c r="CV117" i="2"/>
  <c r="DA116" i="2"/>
  <c r="DA153" i="2" s="1"/>
  <c r="CZ116" i="2"/>
  <c r="CZ153" i="2" s="1"/>
  <c r="CY116" i="2"/>
  <c r="CY153" i="2" s="1"/>
  <c r="CX116" i="2"/>
  <c r="CX153" i="2" s="1"/>
  <c r="CW116" i="2"/>
  <c r="CW153" i="2" s="1"/>
  <c r="CV116" i="2"/>
  <c r="CV153" i="2" s="1"/>
  <c r="DA115" i="2"/>
  <c r="DA152" i="2" s="1"/>
  <c r="CZ115" i="2"/>
  <c r="CZ152" i="2" s="1"/>
  <c r="CY115" i="2"/>
  <c r="CY152" i="2" s="1"/>
  <c r="CX115" i="2"/>
  <c r="CX152" i="2" s="1"/>
  <c r="CW115" i="2"/>
  <c r="CW152" i="2" s="1"/>
  <c r="CV115" i="2"/>
  <c r="DA114" i="2"/>
  <c r="DA151" i="2" s="1"/>
  <c r="CZ114" i="2"/>
  <c r="CZ151" i="2" s="1"/>
  <c r="CY114" i="2"/>
  <c r="CY151" i="2" s="1"/>
  <c r="CX114" i="2"/>
  <c r="CX151" i="2" s="1"/>
  <c r="CW114" i="2"/>
  <c r="CW151" i="2" s="1"/>
  <c r="CV114" i="2"/>
  <c r="CV151" i="2" s="1"/>
  <c r="DA113" i="2"/>
  <c r="DA150" i="2" s="1"/>
  <c r="CZ113" i="2"/>
  <c r="CZ150" i="2" s="1"/>
  <c r="CY113" i="2"/>
  <c r="CY150" i="2" s="1"/>
  <c r="CX113" i="2"/>
  <c r="CX150" i="2" s="1"/>
  <c r="CW113" i="2"/>
  <c r="CW150" i="2" s="1"/>
  <c r="CV113" i="2"/>
  <c r="DA112" i="2"/>
  <c r="DA149" i="2" s="1"/>
  <c r="CZ112" i="2"/>
  <c r="CZ149" i="2" s="1"/>
  <c r="CY112" i="2"/>
  <c r="CY149" i="2" s="1"/>
  <c r="CX112" i="2"/>
  <c r="CX149" i="2" s="1"/>
  <c r="CW112" i="2"/>
  <c r="CW149" i="2" s="1"/>
  <c r="CV112" i="2"/>
  <c r="CV149" i="2" s="1"/>
  <c r="DA111" i="2"/>
  <c r="DA148" i="2" s="1"/>
  <c r="CZ111" i="2"/>
  <c r="CZ148" i="2" s="1"/>
  <c r="CY111" i="2"/>
  <c r="CY148" i="2" s="1"/>
  <c r="CX111" i="2"/>
  <c r="CX148" i="2" s="1"/>
  <c r="CW111" i="2"/>
  <c r="CW148" i="2" s="1"/>
  <c r="CV111" i="2"/>
  <c r="DA110" i="2"/>
  <c r="DA147" i="2" s="1"/>
  <c r="CZ110" i="2"/>
  <c r="CY110" i="2"/>
  <c r="CX110" i="2"/>
  <c r="CW110" i="2"/>
  <c r="CW147" i="2" s="1"/>
  <c r="CV110" i="2"/>
  <c r="DA106" i="2"/>
  <c r="CZ106" i="2"/>
  <c r="CY106" i="2"/>
  <c r="CX106" i="2"/>
  <c r="CW106" i="2"/>
  <c r="CV106" i="2"/>
  <c r="DA71" i="2"/>
  <c r="CZ71" i="2"/>
  <c r="CY71" i="2"/>
  <c r="CX71" i="2"/>
  <c r="CW71" i="2"/>
  <c r="CV71" i="2"/>
  <c r="DA35" i="2"/>
  <c r="CZ35" i="2"/>
  <c r="CY35" i="2"/>
  <c r="CX35" i="2"/>
  <c r="CW35" i="2"/>
  <c r="CV35" i="2"/>
  <c r="CU140" i="2"/>
  <c r="CU177" i="2" s="1"/>
  <c r="CT140" i="2"/>
  <c r="CT177" i="2" s="1"/>
  <c r="CS140" i="2"/>
  <c r="CS177" i="2" s="1"/>
  <c r="CR140" i="2"/>
  <c r="CR177" i="2" s="1"/>
  <c r="CQ140" i="2"/>
  <c r="CQ177" i="2" s="1"/>
  <c r="CP140" i="2"/>
  <c r="CP177" i="2" s="1"/>
  <c r="CU139" i="2"/>
  <c r="CU176" i="2" s="1"/>
  <c r="CT139" i="2"/>
  <c r="CT176" i="2" s="1"/>
  <c r="CS139" i="2"/>
  <c r="CS176" i="2" s="1"/>
  <c r="CR139" i="2"/>
  <c r="CR176" i="2" s="1"/>
  <c r="CQ139" i="2"/>
  <c r="CQ176" i="2" s="1"/>
  <c r="CP139" i="2"/>
  <c r="CU138" i="2"/>
  <c r="CU175" i="2" s="1"/>
  <c r="CT138" i="2"/>
  <c r="CT175" i="2" s="1"/>
  <c r="CS138" i="2"/>
  <c r="CS175" i="2" s="1"/>
  <c r="CR138" i="2"/>
  <c r="CR175" i="2" s="1"/>
  <c r="CQ138" i="2"/>
  <c r="CQ175" i="2" s="1"/>
  <c r="CP138" i="2"/>
  <c r="CP175" i="2" s="1"/>
  <c r="CU137" i="2"/>
  <c r="CU174" i="2" s="1"/>
  <c r="CT137" i="2"/>
  <c r="CT174" i="2" s="1"/>
  <c r="CS137" i="2"/>
  <c r="CS174" i="2" s="1"/>
  <c r="CR137" i="2"/>
  <c r="CR174" i="2" s="1"/>
  <c r="CQ137" i="2"/>
  <c r="CQ174" i="2" s="1"/>
  <c r="CP137" i="2"/>
  <c r="CU136" i="2"/>
  <c r="CU173" i="2" s="1"/>
  <c r="CT136" i="2"/>
  <c r="CT173" i="2" s="1"/>
  <c r="CS136" i="2"/>
  <c r="CS173" i="2" s="1"/>
  <c r="CR136" i="2"/>
  <c r="CR173" i="2" s="1"/>
  <c r="CQ136" i="2"/>
  <c r="CQ173" i="2" s="1"/>
  <c r="CP136" i="2"/>
  <c r="CP173" i="2" s="1"/>
  <c r="CU135" i="2"/>
  <c r="CU172" i="2" s="1"/>
  <c r="CT135" i="2"/>
  <c r="CT172" i="2" s="1"/>
  <c r="CS135" i="2"/>
  <c r="CS172" i="2" s="1"/>
  <c r="CR135" i="2"/>
  <c r="CR172" i="2" s="1"/>
  <c r="CQ135" i="2"/>
  <c r="CQ172" i="2" s="1"/>
  <c r="CP135" i="2"/>
  <c r="CU134" i="2"/>
  <c r="CU171" i="2" s="1"/>
  <c r="CT134" i="2"/>
  <c r="CT171" i="2" s="1"/>
  <c r="CS134" i="2"/>
  <c r="CS171" i="2" s="1"/>
  <c r="CR134" i="2"/>
  <c r="CR171" i="2" s="1"/>
  <c r="CQ134" i="2"/>
  <c r="CQ171" i="2" s="1"/>
  <c r="CP134" i="2"/>
  <c r="CP171" i="2" s="1"/>
  <c r="CU133" i="2"/>
  <c r="CU170" i="2" s="1"/>
  <c r="CT133" i="2"/>
  <c r="CT170" i="2" s="1"/>
  <c r="CS133" i="2"/>
  <c r="CS170" i="2" s="1"/>
  <c r="CR133" i="2"/>
  <c r="CR170" i="2" s="1"/>
  <c r="CQ133" i="2"/>
  <c r="CQ170" i="2" s="1"/>
  <c r="CP133" i="2"/>
  <c r="CU132" i="2"/>
  <c r="CU169" i="2" s="1"/>
  <c r="CT132" i="2"/>
  <c r="CT169" i="2" s="1"/>
  <c r="CS132" i="2"/>
  <c r="CS169" i="2" s="1"/>
  <c r="CR132" i="2"/>
  <c r="CR169" i="2" s="1"/>
  <c r="CQ132" i="2"/>
  <c r="CQ169" i="2" s="1"/>
  <c r="CP132" i="2"/>
  <c r="CU131" i="2"/>
  <c r="CU168" i="2" s="1"/>
  <c r="CT131" i="2"/>
  <c r="CT168" i="2" s="1"/>
  <c r="CS131" i="2"/>
  <c r="CS168" i="2" s="1"/>
  <c r="CR131" i="2"/>
  <c r="CR168" i="2" s="1"/>
  <c r="CQ131" i="2"/>
  <c r="CQ168" i="2" s="1"/>
  <c r="CP131" i="2"/>
  <c r="CU130" i="2"/>
  <c r="CU167" i="2" s="1"/>
  <c r="CT130" i="2"/>
  <c r="CT167" i="2" s="1"/>
  <c r="CS130" i="2"/>
  <c r="CS167" i="2" s="1"/>
  <c r="CR130" i="2"/>
  <c r="CR167" i="2" s="1"/>
  <c r="CQ130" i="2"/>
  <c r="CQ167" i="2" s="1"/>
  <c r="CP130" i="2"/>
  <c r="CP167" i="2" s="1"/>
  <c r="CU129" i="2"/>
  <c r="CU166" i="2" s="1"/>
  <c r="CT129" i="2"/>
  <c r="CT166" i="2" s="1"/>
  <c r="CS129" i="2"/>
  <c r="CS166" i="2" s="1"/>
  <c r="CR129" i="2"/>
  <c r="CR166" i="2" s="1"/>
  <c r="CQ129" i="2"/>
  <c r="CQ166" i="2" s="1"/>
  <c r="CP129" i="2"/>
  <c r="CU128" i="2"/>
  <c r="CU165" i="2" s="1"/>
  <c r="CT128" i="2"/>
  <c r="CT165" i="2" s="1"/>
  <c r="CS128" i="2"/>
  <c r="CS165" i="2" s="1"/>
  <c r="CR128" i="2"/>
  <c r="CR165" i="2" s="1"/>
  <c r="CQ128" i="2"/>
  <c r="CQ165" i="2" s="1"/>
  <c r="CP128" i="2"/>
  <c r="CP165" i="2" s="1"/>
  <c r="CU127" i="2"/>
  <c r="CU164" i="2" s="1"/>
  <c r="CT127" i="2"/>
  <c r="CT164" i="2" s="1"/>
  <c r="CS127" i="2"/>
  <c r="CS164" i="2" s="1"/>
  <c r="CR127" i="2"/>
  <c r="CR164" i="2" s="1"/>
  <c r="CQ127" i="2"/>
  <c r="CQ164" i="2" s="1"/>
  <c r="CP127" i="2"/>
  <c r="CU126" i="2"/>
  <c r="CU163" i="2" s="1"/>
  <c r="CT126" i="2"/>
  <c r="CT163" i="2" s="1"/>
  <c r="CS126" i="2"/>
  <c r="CS163" i="2" s="1"/>
  <c r="CR126" i="2"/>
  <c r="CR163" i="2" s="1"/>
  <c r="CQ126" i="2"/>
  <c r="CQ163" i="2" s="1"/>
  <c r="CP126" i="2"/>
  <c r="CP163" i="2" s="1"/>
  <c r="CU125" i="2"/>
  <c r="CU162" i="2" s="1"/>
  <c r="CT125" i="2"/>
  <c r="CT162" i="2" s="1"/>
  <c r="CS125" i="2"/>
  <c r="CS162" i="2" s="1"/>
  <c r="CR125" i="2"/>
  <c r="CR162" i="2" s="1"/>
  <c r="CQ125" i="2"/>
  <c r="CQ162" i="2" s="1"/>
  <c r="CP125" i="2"/>
  <c r="CU124" i="2"/>
  <c r="CU161" i="2" s="1"/>
  <c r="CT124" i="2"/>
  <c r="CT161" i="2" s="1"/>
  <c r="CS124" i="2"/>
  <c r="CS161" i="2" s="1"/>
  <c r="CR124" i="2"/>
  <c r="CR161" i="2" s="1"/>
  <c r="CQ124" i="2"/>
  <c r="CQ161" i="2" s="1"/>
  <c r="CP124" i="2"/>
  <c r="CP161" i="2" s="1"/>
  <c r="CU123" i="2"/>
  <c r="CU160" i="2" s="1"/>
  <c r="CT123" i="2"/>
  <c r="CT160" i="2" s="1"/>
  <c r="CS123" i="2"/>
  <c r="CS160" i="2" s="1"/>
  <c r="CR123" i="2"/>
  <c r="CR160" i="2" s="1"/>
  <c r="CQ123" i="2"/>
  <c r="CQ160" i="2" s="1"/>
  <c r="CP123" i="2"/>
  <c r="CU122" i="2"/>
  <c r="CU159" i="2" s="1"/>
  <c r="CT122" i="2"/>
  <c r="CT159" i="2" s="1"/>
  <c r="CS122" i="2"/>
  <c r="CS159" i="2" s="1"/>
  <c r="CR122" i="2"/>
  <c r="CR159" i="2" s="1"/>
  <c r="CQ122" i="2"/>
  <c r="CQ159" i="2" s="1"/>
  <c r="CP122" i="2"/>
  <c r="CP159" i="2" s="1"/>
  <c r="CU121" i="2"/>
  <c r="CU158" i="2" s="1"/>
  <c r="CT121" i="2"/>
  <c r="CT158" i="2" s="1"/>
  <c r="CS121" i="2"/>
  <c r="CS158" i="2" s="1"/>
  <c r="CR121" i="2"/>
  <c r="CR158" i="2" s="1"/>
  <c r="CQ121" i="2"/>
  <c r="CQ158" i="2" s="1"/>
  <c r="CP121" i="2"/>
  <c r="CU120" i="2"/>
  <c r="CU157" i="2" s="1"/>
  <c r="CT120" i="2"/>
  <c r="CT157" i="2" s="1"/>
  <c r="CS120" i="2"/>
  <c r="CS157" i="2" s="1"/>
  <c r="CR120" i="2"/>
  <c r="CR157" i="2" s="1"/>
  <c r="CQ120" i="2"/>
  <c r="CQ157" i="2" s="1"/>
  <c r="CP120" i="2"/>
  <c r="CP157" i="2" s="1"/>
  <c r="CU119" i="2"/>
  <c r="CU156" i="2" s="1"/>
  <c r="CT119" i="2"/>
  <c r="CT156" i="2" s="1"/>
  <c r="CS119" i="2"/>
  <c r="CS156" i="2" s="1"/>
  <c r="CR119" i="2"/>
  <c r="CR156" i="2" s="1"/>
  <c r="CQ119" i="2"/>
  <c r="CQ156" i="2" s="1"/>
  <c r="CP119" i="2"/>
  <c r="CU118" i="2"/>
  <c r="CU155" i="2" s="1"/>
  <c r="CT118" i="2"/>
  <c r="CT155" i="2" s="1"/>
  <c r="CS118" i="2"/>
  <c r="CS155" i="2" s="1"/>
  <c r="CR118" i="2"/>
  <c r="CR155" i="2" s="1"/>
  <c r="CQ118" i="2"/>
  <c r="CQ155" i="2" s="1"/>
  <c r="CP118" i="2"/>
  <c r="CP155" i="2" s="1"/>
  <c r="CU117" i="2"/>
  <c r="CU154" i="2" s="1"/>
  <c r="CT117" i="2"/>
  <c r="CT154" i="2" s="1"/>
  <c r="CS117" i="2"/>
  <c r="CS154" i="2" s="1"/>
  <c r="CR117" i="2"/>
  <c r="CR154" i="2" s="1"/>
  <c r="CQ117" i="2"/>
  <c r="CQ154" i="2" s="1"/>
  <c r="CP117" i="2"/>
  <c r="CU116" i="2"/>
  <c r="CU153" i="2" s="1"/>
  <c r="CT116" i="2"/>
  <c r="CT153" i="2" s="1"/>
  <c r="CS116" i="2"/>
  <c r="CS153" i="2" s="1"/>
  <c r="CR116" i="2"/>
  <c r="CR153" i="2" s="1"/>
  <c r="CQ116" i="2"/>
  <c r="CQ153" i="2" s="1"/>
  <c r="CP116" i="2"/>
  <c r="CP153" i="2" s="1"/>
  <c r="CU115" i="2"/>
  <c r="CU152" i="2" s="1"/>
  <c r="CT115" i="2"/>
  <c r="CT152" i="2" s="1"/>
  <c r="CS115" i="2"/>
  <c r="CS152" i="2" s="1"/>
  <c r="CR115" i="2"/>
  <c r="CR152" i="2" s="1"/>
  <c r="CQ115" i="2"/>
  <c r="CQ152" i="2" s="1"/>
  <c r="CP115" i="2"/>
  <c r="CU114" i="2"/>
  <c r="CU151" i="2" s="1"/>
  <c r="CT114" i="2"/>
  <c r="CT151" i="2" s="1"/>
  <c r="CS114" i="2"/>
  <c r="CS151" i="2" s="1"/>
  <c r="CR114" i="2"/>
  <c r="CR151" i="2" s="1"/>
  <c r="CQ114" i="2"/>
  <c r="CQ151" i="2" s="1"/>
  <c r="CP114" i="2"/>
  <c r="CP151" i="2" s="1"/>
  <c r="CU113" i="2"/>
  <c r="CU150" i="2" s="1"/>
  <c r="CT113" i="2"/>
  <c r="CT150" i="2" s="1"/>
  <c r="CS113" i="2"/>
  <c r="CS150" i="2" s="1"/>
  <c r="CR113" i="2"/>
  <c r="CR150" i="2" s="1"/>
  <c r="CQ113" i="2"/>
  <c r="CQ150" i="2" s="1"/>
  <c r="CP113" i="2"/>
  <c r="CU112" i="2"/>
  <c r="CU149" i="2" s="1"/>
  <c r="CT112" i="2"/>
  <c r="CT149" i="2" s="1"/>
  <c r="CS112" i="2"/>
  <c r="CS149" i="2" s="1"/>
  <c r="CR112" i="2"/>
  <c r="CR149" i="2" s="1"/>
  <c r="CQ112" i="2"/>
  <c r="CQ149" i="2" s="1"/>
  <c r="CP112" i="2"/>
  <c r="CP149" i="2" s="1"/>
  <c r="CU111" i="2"/>
  <c r="CU148" i="2" s="1"/>
  <c r="CT111" i="2"/>
  <c r="CT148" i="2" s="1"/>
  <c r="CS111" i="2"/>
  <c r="CS148" i="2" s="1"/>
  <c r="CR111" i="2"/>
  <c r="CR148" i="2" s="1"/>
  <c r="CQ111" i="2"/>
  <c r="CQ148" i="2" s="1"/>
  <c r="CP111" i="2"/>
  <c r="CU110" i="2"/>
  <c r="CU147" i="2" s="1"/>
  <c r="CT110" i="2"/>
  <c r="CS110" i="2"/>
  <c r="CR110" i="2"/>
  <c r="CR147" i="2" s="1"/>
  <c r="CQ110" i="2"/>
  <c r="CP110" i="2"/>
  <c r="CU106" i="2"/>
  <c r="CT106" i="2"/>
  <c r="CS106" i="2"/>
  <c r="CR106" i="2"/>
  <c r="CQ106" i="2"/>
  <c r="CP106" i="2"/>
  <c r="CU71" i="2"/>
  <c r="CT71" i="2"/>
  <c r="CS71" i="2"/>
  <c r="CR71" i="2"/>
  <c r="CQ71" i="2"/>
  <c r="CP71" i="2"/>
  <c r="CU35" i="2"/>
  <c r="CT35" i="2"/>
  <c r="CS35" i="2"/>
  <c r="CR35" i="2"/>
  <c r="CQ35" i="2"/>
  <c r="CP35" i="2"/>
  <c r="CO140" i="2"/>
  <c r="CO177" i="2" s="1"/>
  <c r="CN140" i="2"/>
  <c r="CN177" i="2" s="1"/>
  <c r="CM140" i="2"/>
  <c r="CM177" i="2" s="1"/>
  <c r="CL140" i="2"/>
  <c r="CL177" i="2" s="1"/>
  <c r="CK140" i="2"/>
  <c r="CK177" i="2" s="1"/>
  <c r="CJ140" i="2"/>
  <c r="CO139" i="2"/>
  <c r="CO176" i="2" s="1"/>
  <c r="CN139" i="2"/>
  <c r="CN176" i="2" s="1"/>
  <c r="CM139" i="2"/>
  <c r="CM176" i="2" s="1"/>
  <c r="CL139" i="2"/>
  <c r="CL176" i="2" s="1"/>
  <c r="CK139" i="2"/>
  <c r="CK176" i="2" s="1"/>
  <c r="CJ139" i="2"/>
  <c r="CO138" i="2"/>
  <c r="CO175" i="2" s="1"/>
  <c r="CN138" i="2"/>
  <c r="CN175" i="2" s="1"/>
  <c r="CM138" i="2"/>
  <c r="CM175" i="2" s="1"/>
  <c r="CL138" i="2"/>
  <c r="CL175" i="2" s="1"/>
  <c r="CK138" i="2"/>
  <c r="CK175" i="2" s="1"/>
  <c r="CJ138" i="2"/>
  <c r="CO137" i="2"/>
  <c r="CO174" i="2" s="1"/>
  <c r="CN137" i="2"/>
  <c r="CN174" i="2" s="1"/>
  <c r="CM137" i="2"/>
  <c r="CM174" i="2" s="1"/>
  <c r="CL137" i="2"/>
  <c r="CL174" i="2" s="1"/>
  <c r="CK137" i="2"/>
  <c r="CK174" i="2" s="1"/>
  <c r="CJ137" i="2"/>
  <c r="CO136" i="2"/>
  <c r="CO173" i="2" s="1"/>
  <c r="CN136" i="2"/>
  <c r="CN173" i="2" s="1"/>
  <c r="CM136" i="2"/>
  <c r="CM173" i="2" s="1"/>
  <c r="CL136" i="2"/>
  <c r="CL173" i="2" s="1"/>
  <c r="CK136" i="2"/>
  <c r="CK173" i="2" s="1"/>
  <c r="CJ136" i="2"/>
  <c r="CO135" i="2"/>
  <c r="CO172" i="2" s="1"/>
  <c r="CN135" i="2"/>
  <c r="CN172" i="2" s="1"/>
  <c r="CM135" i="2"/>
  <c r="CM172" i="2" s="1"/>
  <c r="CL135" i="2"/>
  <c r="CL172" i="2" s="1"/>
  <c r="CK135" i="2"/>
  <c r="CK172" i="2" s="1"/>
  <c r="CJ135" i="2"/>
  <c r="CO134" i="2"/>
  <c r="CO171" i="2" s="1"/>
  <c r="CN134" i="2"/>
  <c r="CN171" i="2" s="1"/>
  <c r="CM134" i="2"/>
  <c r="CM171" i="2" s="1"/>
  <c r="CL134" i="2"/>
  <c r="CL171" i="2" s="1"/>
  <c r="CK134" i="2"/>
  <c r="CK171" i="2" s="1"/>
  <c r="CJ134" i="2"/>
  <c r="CO133" i="2"/>
  <c r="CO170" i="2" s="1"/>
  <c r="CN133" i="2"/>
  <c r="CN170" i="2" s="1"/>
  <c r="CM133" i="2"/>
  <c r="CM170" i="2" s="1"/>
  <c r="CL133" i="2"/>
  <c r="CL170" i="2" s="1"/>
  <c r="CK133" i="2"/>
  <c r="CK170" i="2" s="1"/>
  <c r="CJ133" i="2"/>
  <c r="CO132" i="2"/>
  <c r="CO169" i="2" s="1"/>
  <c r="CN132" i="2"/>
  <c r="CN169" i="2" s="1"/>
  <c r="CM132" i="2"/>
  <c r="CM169" i="2" s="1"/>
  <c r="CL132" i="2"/>
  <c r="CL169" i="2" s="1"/>
  <c r="CK132" i="2"/>
  <c r="CK169" i="2" s="1"/>
  <c r="CJ132" i="2"/>
  <c r="CO131" i="2"/>
  <c r="CO168" i="2" s="1"/>
  <c r="CN131" i="2"/>
  <c r="CN168" i="2" s="1"/>
  <c r="CM131" i="2"/>
  <c r="CM168" i="2" s="1"/>
  <c r="CL131" i="2"/>
  <c r="CL168" i="2" s="1"/>
  <c r="CK131" i="2"/>
  <c r="CK168" i="2" s="1"/>
  <c r="CJ131" i="2"/>
  <c r="CO130" i="2"/>
  <c r="CO167" i="2" s="1"/>
  <c r="CN130" i="2"/>
  <c r="CN167" i="2" s="1"/>
  <c r="CM130" i="2"/>
  <c r="CM167" i="2" s="1"/>
  <c r="CL130" i="2"/>
  <c r="CL167" i="2" s="1"/>
  <c r="CK130" i="2"/>
  <c r="CK167" i="2" s="1"/>
  <c r="CJ130" i="2"/>
  <c r="CO129" i="2"/>
  <c r="CO166" i="2" s="1"/>
  <c r="CN129" i="2"/>
  <c r="CN166" i="2" s="1"/>
  <c r="CM129" i="2"/>
  <c r="CM166" i="2" s="1"/>
  <c r="CL129" i="2"/>
  <c r="CL166" i="2" s="1"/>
  <c r="CK129" i="2"/>
  <c r="CK166" i="2" s="1"/>
  <c r="CJ129" i="2"/>
  <c r="CO128" i="2"/>
  <c r="CO165" i="2" s="1"/>
  <c r="CN128" i="2"/>
  <c r="CN165" i="2" s="1"/>
  <c r="CM128" i="2"/>
  <c r="CM165" i="2" s="1"/>
  <c r="CL128" i="2"/>
  <c r="CL165" i="2" s="1"/>
  <c r="CK128" i="2"/>
  <c r="CK165" i="2" s="1"/>
  <c r="CJ128" i="2"/>
  <c r="CO127" i="2"/>
  <c r="CO164" i="2" s="1"/>
  <c r="CN127" i="2"/>
  <c r="CN164" i="2" s="1"/>
  <c r="CM127" i="2"/>
  <c r="CM164" i="2" s="1"/>
  <c r="CL127" i="2"/>
  <c r="CL164" i="2" s="1"/>
  <c r="CK127" i="2"/>
  <c r="CK164" i="2" s="1"/>
  <c r="CJ127" i="2"/>
  <c r="CO126" i="2"/>
  <c r="CO163" i="2" s="1"/>
  <c r="CN126" i="2"/>
  <c r="CN163" i="2" s="1"/>
  <c r="CM126" i="2"/>
  <c r="CM163" i="2" s="1"/>
  <c r="CL126" i="2"/>
  <c r="CL163" i="2" s="1"/>
  <c r="CK126" i="2"/>
  <c r="CK163" i="2" s="1"/>
  <c r="CJ126" i="2"/>
  <c r="CO125" i="2"/>
  <c r="CO162" i="2" s="1"/>
  <c r="CN125" i="2"/>
  <c r="CN162" i="2" s="1"/>
  <c r="CM125" i="2"/>
  <c r="CM162" i="2" s="1"/>
  <c r="CL125" i="2"/>
  <c r="CL162" i="2" s="1"/>
  <c r="CK125" i="2"/>
  <c r="CK162" i="2" s="1"/>
  <c r="CJ125" i="2"/>
  <c r="CO124" i="2"/>
  <c r="CO161" i="2" s="1"/>
  <c r="CN124" i="2"/>
  <c r="CN161" i="2" s="1"/>
  <c r="CM124" i="2"/>
  <c r="CM161" i="2" s="1"/>
  <c r="CL124" i="2"/>
  <c r="CL161" i="2" s="1"/>
  <c r="CK124" i="2"/>
  <c r="CK161" i="2" s="1"/>
  <c r="CJ124" i="2"/>
  <c r="CO123" i="2"/>
  <c r="CO160" i="2" s="1"/>
  <c r="CN123" i="2"/>
  <c r="CN160" i="2" s="1"/>
  <c r="CM123" i="2"/>
  <c r="CM160" i="2" s="1"/>
  <c r="CL123" i="2"/>
  <c r="CL160" i="2" s="1"/>
  <c r="CK123" i="2"/>
  <c r="CK160" i="2" s="1"/>
  <c r="CJ123" i="2"/>
  <c r="CO122" i="2"/>
  <c r="CO159" i="2" s="1"/>
  <c r="CN122" i="2"/>
  <c r="CN159" i="2" s="1"/>
  <c r="CM122" i="2"/>
  <c r="CM159" i="2" s="1"/>
  <c r="CL122" i="2"/>
  <c r="CL159" i="2" s="1"/>
  <c r="CK122" i="2"/>
  <c r="CK159" i="2" s="1"/>
  <c r="CJ122" i="2"/>
  <c r="CO121" i="2"/>
  <c r="CO158" i="2" s="1"/>
  <c r="CN121" i="2"/>
  <c r="CN158" i="2" s="1"/>
  <c r="CM121" i="2"/>
  <c r="CM158" i="2" s="1"/>
  <c r="CL121" i="2"/>
  <c r="CL158" i="2" s="1"/>
  <c r="CK121" i="2"/>
  <c r="CK158" i="2" s="1"/>
  <c r="CJ121" i="2"/>
  <c r="CO120" i="2"/>
  <c r="CO157" i="2" s="1"/>
  <c r="CN120" i="2"/>
  <c r="CN157" i="2" s="1"/>
  <c r="CM120" i="2"/>
  <c r="CM157" i="2" s="1"/>
  <c r="CL120" i="2"/>
  <c r="CL157" i="2" s="1"/>
  <c r="CK120" i="2"/>
  <c r="CK157" i="2" s="1"/>
  <c r="CJ120" i="2"/>
  <c r="CO119" i="2"/>
  <c r="CO156" i="2" s="1"/>
  <c r="CN119" i="2"/>
  <c r="CN156" i="2" s="1"/>
  <c r="CM119" i="2"/>
  <c r="CM156" i="2" s="1"/>
  <c r="CL119" i="2"/>
  <c r="CL156" i="2" s="1"/>
  <c r="CK119" i="2"/>
  <c r="CK156" i="2" s="1"/>
  <c r="CJ119" i="2"/>
  <c r="CO118" i="2"/>
  <c r="CO155" i="2" s="1"/>
  <c r="CN118" i="2"/>
  <c r="CN155" i="2" s="1"/>
  <c r="CM118" i="2"/>
  <c r="CM155" i="2" s="1"/>
  <c r="CL118" i="2"/>
  <c r="CL155" i="2" s="1"/>
  <c r="CK118" i="2"/>
  <c r="CK155" i="2" s="1"/>
  <c r="CJ118" i="2"/>
  <c r="CO117" i="2"/>
  <c r="CO154" i="2" s="1"/>
  <c r="CN117" i="2"/>
  <c r="CN154" i="2" s="1"/>
  <c r="CM117" i="2"/>
  <c r="CM154" i="2" s="1"/>
  <c r="CL117" i="2"/>
  <c r="CL154" i="2" s="1"/>
  <c r="CK117" i="2"/>
  <c r="CK154" i="2" s="1"/>
  <c r="CJ117" i="2"/>
  <c r="CO116" i="2"/>
  <c r="CO153" i="2" s="1"/>
  <c r="CN116" i="2"/>
  <c r="CN153" i="2" s="1"/>
  <c r="CM116" i="2"/>
  <c r="CM153" i="2" s="1"/>
  <c r="CL116" i="2"/>
  <c r="CL153" i="2" s="1"/>
  <c r="CK116" i="2"/>
  <c r="CK153" i="2" s="1"/>
  <c r="CJ116" i="2"/>
  <c r="CO115" i="2"/>
  <c r="CO152" i="2" s="1"/>
  <c r="CN115" i="2"/>
  <c r="CN152" i="2" s="1"/>
  <c r="CM115" i="2"/>
  <c r="CM152" i="2" s="1"/>
  <c r="CL115" i="2"/>
  <c r="CL152" i="2" s="1"/>
  <c r="CK115" i="2"/>
  <c r="CK152" i="2" s="1"/>
  <c r="CJ115" i="2"/>
  <c r="CO114" i="2"/>
  <c r="CO151" i="2" s="1"/>
  <c r="CN114" i="2"/>
  <c r="CN151" i="2" s="1"/>
  <c r="CM114" i="2"/>
  <c r="CM151" i="2" s="1"/>
  <c r="CL114" i="2"/>
  <c r="CL151" i="2" s="1"/>
  <c r="CK114" i="2"/>
  <c r="CK151" i="2" s="1"/>
  <c r="CJ114" i="2"/>
  <c r="CO113" i="2"/>
  <c r="CO150" i="2" s="1"/>
  <c r="CN113" i="2"/>
  <c r="CN150" i="2" s="1"/>
  <c r="CM113" i="2"/>
  <c r="CM150" i="2" s="1"/>
  <c r="CL113" i="2"/>
  <c r="CL150" i="2" s="1"/>
  <c r="CK113" i="2"/>
  <c r="CK150" i="2" s="1"/>
  <c r="CJ113" i="2"/>
  <c r="CO112" i="2"/>
  <c r="CO149" i="2" s="1"/>
  <c r="CN112" i="2"/>
  <c r="CN149" i="2" s="1"/>
  <c r="CM112" i="2"/>
  <c r="CM149" i="2" s="1"/>
  <c r="CL112" i="2"/>
  <c r="CL149" i="2" s="1"/>
  <c r="CK112" i="2"/>
  <c r="CK149" i="2" s="1"/>
  <c r="CJ112" i="2"/>
  <c r="CO111" i="2"/>
  <c r="CO148" i="2" s="1"/>
  <c r="CN111" i="2"/>
  <c r="CN148" i="2" s="1"/>
  <c r="CM111" i="2"/>
  <c r="CM148" i="2" s="1"/>
  <c r="CL111" i="2"/>
  <c r="CL148" i="2" s="1"/>
  <c r="CK111" i="2"/>
  <c r="CK148" i="2" s="1"/>
  <c r="CJ111" i="2"/>
  <c r="CO110" i="2"/>
  <c r="CO147" i="2" s="1"/>
  <c r="CN110" i="2"/>
  <c r="CM110" i="2"/>
  <c r="CL110" i="2"/>
  <c r="CL147" i="2" s="1"/>
  <c r="CK110" i="2"/>
  <c r="CJ110" i="2"/>
  <c r="CO106" i="2"/>
  <c r="CN106" i="2"/>
  <c r="CM106" i="2"/>
  <c r="CL106" i="2"/>
  <c r="CK106" i="2"/>
  <c r="CJ106" i="2"/>
  <c r="CO71" i="2"/>
  <c r="CN71" i="2"/>
  <c r="CM71" i="2"/>
  <c r="CL71" i="2"/>
  <c r="CK71" i="2"/>
  <c r="CJ71" i="2"/>
  <c r="CO35" i="2"/>
  <c r="CN35" i="2"/>
  <c r="CM35" i="2"/>
  <c r="CL35" i="2"/>
  <c r="CK35" i="2"/>
  <c r="CJ35" i="2"/>
  <c r="BA5" i="9"/>
  <c r="BF5" i="9" s="1"/>
  <c r="BA6" i="9"/>
  <c r="BA7" i="9"/>
  <c r="BA8" i="9"/>
  <c r="BA9" i="9"/>
  <c r="BA10" i="9"/>
  <c r="BA11" i="9"/>
  <c r="BA12" i="9"/>
  <c r="BA13" i="9"/>
  <c r="BA14" i="9"/>
  <c r="BF14" i="9" s="1"/>
  <c r="BA15" i="9"/>
  <c r="BF15" i="9" s="1"/>
  <c r="BA16" i="9"/>
  <c r="BF16" i="9" s="1"/>
  <c r="BA17" i="9"/>
  <c r="BF17" i="9" s="1"/>
  <c r="BA18" i="9"/>
  <c r="BA19" i="9"/>
  <c r="BA20" i="9"/>
  <c r="BA21" i="9"/>
  <c r="BA22" i="9"/>
  <c r="BA23" i="9"/>
  <c r="BA24" i="9"/>
  <c r="BA25" i="9"/>
  <c r="BA26" i="9"/>
  <c r="BF26" i="9" s="1"/>
  <c r="BA27" i="9"/>
  <c r="BF27" i="9" s="1"/>
  <c r="BA28" i="9"/>
  <c r="BF28" i="9" s="1"/>
  <c r="BA29" i="9"/>
  <c r="BF29" i="9" s="1"/>
  <c r="BA30" i="9"/>
  <c r="BA31" i="9"/>
  <c r="BA32" i="9"/>
  <c r="BA33" i="9"/>
  <c r="BA34" i="9"/>
  <c r="BF34" i="9" s="1"/>
  <c r="BA4" i="9"/>
  <c r="BF6" i="9"/>
  <c r="BF7" i="9"/>
  <c r="BF8" i="9"/>
  <c r="BF9" i="9"/>
  <c r="BF10" i="9"/>
  <c r="BF11" i="9"/>
  <c r="BF12" i="9"/>
  <c r="BF13" i="9"/>
  <c r="BF18" i="9"/>
  <c r="BF19" i="9"/>
  <c r="BF20" i="9"/>
  <c r="BF21" i="9"/>
  <c r="BF22" i="9"/>
  <c r="BF23" i="9"/>
  <c r="BF24" i="9"/>
  <c r="BF25" i="9"/>
  <c r="BF30" i="9"/>
  <c r="BF31" i="9"/>
  <c r="BF32" i="9"/>
  <c r="BF33" i="9"/>
  <c r="BF4" i="9"/>
  <c r="HH6" i="4"/>
  <c r="HH7" i="4"/>
  <c r="HH8" i="4"/>
  <c r="HH9" i="4"/>
  <c r="HH10" i="4"/>
  <c r="HH11" i="4"/>
  <c r="HH12" i="4"/>
  <c r="HH13" i="4"/>
  <c r="HH14" i="4"/>
  <c r="HH15" i="4"/>
  <c r="HH16" i="4"/>
  <c r="HH36" i="4" s="1"/>
  <c r="HH17" i="4"/>
  <c r="HH18" i="4"/>
  <c r="HH19" i="4"/>
  <c r="HH20" i="4"/>
  <c r="HH21" i="4"/>
  <c r="HH22" i="4"/>
  <c r="HH23" i="4"/>
  <c r="HH24" i="4"/>
  <c r="HH25" i="4"/>
  <c r="HH26" i="4"/>
  <c r="HH27" i="4"/>
  <c r="HH28" i="4"/>
  <c r="HH29" i="4"/>
  <c r="HH30" i="4"/>
  <c r="HH31" i="4"/>
  <c r="HH32" i="4"/>
  <c r="HH33" i="4"/>
  <c r="HH34" i="4"/>
  <c r="HH35" i="4"/>
  <c r="HH5" i="4"/>
  <c r="EN36" i="4"/>
  <c r="EN6" i="4"/>
  <c r="EN7" i="4"/>
  <c r="EN8" i="4"/>
  <c r="EN9" i="4"/>
  <c r="EN10" i="4"/>
  <c r="EN11" i="4"/>
  <c r="EN12" i="4"/>
  <c r="EN13" i="4"/>
  <c r="EN14" i="4"/>
  <c r="EN15" i="4"/>
  <c r="EN16" i="4"/>
  <c r="EN17" i="4"/>
  <c r="EN18" i="4"/>
  <c r="EN19" i="4"/>
  <c r="EN20" i="4"/>
  <c r="EN21" i="4"/>
  <c r="EN22" i="4"/>
  <c r="EN23" i="4"/>
  <c r="EN24" i="4"/>
  <c r="EN25" i="4"/>
  <c r="EN26" i="4"/>
  <c r="EN27" i="4"/>
  <c r="EN28" i="4"/>
  <c r="EN29" i="4"/>
  <c r="EN30" i="4"/>
  <c r="EN31" i="4"/>
  <c r="EN32" i="4"/>
  <c r="EN33" i="4"/>
  <c r="EN34" i="4"/>
  <c r="EN35" i="4"/>
  <c r="EN5" i="4"/>
  <c r="BT36" i="4"/>
  <c r="BT6" i="4"/>
  <c r="BT7" i="4"/>
  <c r="BT8" i="4"/>
  <c r="BT9" i="4"/>
  <c r="BT10" i="4"/>
  <c r="BT11" i="4"/>
  <c r="BT12" i="4"/>
  <c r="BT13" i="4"/>
  <c r="BT14" i="4"/>
  <c r="BT15" i="4"/>
  <c r="BT16" i="4"/>
  <c r="BT17" i="4"/>
  <c r="BT18" i="4"/>
  <c r="BT19" i="4"/>
  <c r="BT20" i="4"/>
  <c r="BT21" i="4"/>
  <c r="BT22" i="4"/>
  <c r="BT23" i="4"/>
  <c r="BT24" i="4"/>
  <c r="BT25" i="4"/>
  <c r="BT26" i="4"/>
  <c r="BT27" i="4"/>
  <c r="BT28" i="4"/>
  <c r="BT29" i="4"/>
  <c r="BT30" i="4"/>
  <c r="BT31" i="4"/>
  <c r="BT32" i="4"/>
  <c r="BT33" i="4"/>
  <c r="BT34" i="4"/>
  <c r="BT35" i="4"/>
  <c r="BT5" i="4"/>
  <c r="HF181" i="1"/>
  <c r="HD152" i="1"/>
  <c r="HE152" i="1"/>
  <c r="HF152" i="1"/>
  <c r="HD153" i="1"/>
  <c r="HE153" i="1"/>
  <c r="HF153" i="1"/>
  <c r="HD154" i="1"/>
  <c r="HE154" i="1"/>
  <c r="HF154" i="1"/>
  <c r="HD155" i="1"/>
  <c r="HE155" i="1"/>
  <c r="HF155" i="1"/>
  <c r="HD156" i="1"/>
  <c r="HE156" i="1"/>
  <c r="HF156" i="1"/>
  <c r="HD157" i="1"/>
  <c r="HE157" i="1"/>
  <c r="HF157" i="1"/>
  <c r="HD158" i="1"/>
  <c r="HE158" i="1"/>
  <c r="HF158" i="1"/>
  <c r="HD159" i="1"/>
  <c r="HE159" i="1"/>
  <c r="HF159" i="1"/>
  <c r="HD160" i="1"/>
  <c r="HE160" i="1"/>
  <c r="HF160" i="1"/>
  <c r="HD161" i="1"/>
  <c r="HE161" i="1"/>
  <c r="HF161" i="1"/>
  <c r="HD162" i="1"/>
  <c r="HE162" i="1"/>
  <c r="HF162" i="1"/>
  <c r="HD163" i="1"/>
  <c r="HE163" i="1"/>
  <c r="HF163" i="1"/>
  <c r="HD164" i="1"/>
  <c r="HE164" i="1"/>
  <c r="HF164" i="1"/>
  <c r="HD165" i="1"/>
  <c r="HE165" i="1"/>
  <c r="HF165" i="1"/>
  <c r="HD166" i="1"/>
  <c r="HE166" i="1"/>
  <c r="HF166" i="1"/>
  <c r="HD167" i="1"/>
  <c r="HE167" i="1"/>
  <c r="HF167" i="1"/>
  <c r="HD168" i="1"/>
  <c r="HE168" i="1"/>
  <c r="HF168" i="1"/>
  <c r="HD169" i="1"/>
  <c r="HE169" i="1"/>
  <c r="HF169" i="1"/>
  <c r="HD170" i="1"/>
  <c r="HE170" i="1"/>
  <c r="HF170" i="1"/>
  <c r="HD171" i="1"/>
  <c r="HE171" i="1"/>
  <c r="HF171" i="1"/>
  <c r="HD172" i="1"/>
  <c r="HE172" i="1"/>
  <c r="HF172" i="1"/>
  <c r="HD173" i="1"/>
  <c r="HE173" i="1"/>
  <c r="HF173" i="1"/>
  <c r="HD174" i="1"/>
  <c r="HE174" i="1"/>
  <c r="HF174" i="1"/>
  <c r="HD175" i="1"/>
  <c r="HE175" i="1"/>
  <c r="HF175" i="1"/>
  <c r="HD176" i="1"/>
  <c r="HE176" i="1"/>
  <c r="HF176" i="1"/>
  <c r="HD177" i="1"/>
  <c r="HE177" i="1"/>
  <c r="HF177" i="1"/>
  <c r="HD178" i="1"/>
  <c r="HE178" i="1"/>
  <c r="HF178" i="1"/>
  <c r="HD179" i="1"/>
  <c r="HE179" i="1"/>
  <c r="HF179" i="1"/>
  <c r="HD180" i="1"/>
  <c r="HE180" i="1"/>
  <c r="HF180" i="1"/>
  <c r="HD181" i="1"/>
  <c r="HE181" i="1"/>
  <c r="HF151" i="1"/>
  <c r="HE151" i="1"/>
  <c r="HD151" i="1"/>
  <c r="HD116" i="1"/>
  <c r="HE116" i="1"/>
  <c r="HF116" i="1"/>
  <c r="HD117" i="1"/>
  <c r="HE117" i="1"/>
  <c r="HF117" i="1"/>
  <c r="HD118" i="1"/>
  <c r="HE118" i="1"/>
  <c r="HF118" i="1"/>
  <c r="HD119" i="1"/>
  <c r="HE119" i="1"/>
  <c r="HF119" i="1"/>
  <c r="HD120" i="1"/>
  <c r="HE120" i="1"/>
  <c r="HF120" i="1"/>
  <c r="HD121" i="1"/>
  <c r="HE121" i="1"/>
  <c r="HF121" i="1"/>
  <c r="HD122" i="1"/>
  <c r="HE122" i="1"/>
  <c r="HF122" i="1"/>
  <c r="HD123" i="1"/>
  <c r="HE123" i="1"/>
  <c r="HF123" i="1"/>
  <c r="HD124" i="1"/>
  <c r="HE124" i="1"/>
  <c r="HF124" i="1"/>
  <c r="HD125" i="1"/>
  <c r="HE125" i="1"/>
  <c r="HF125" i="1"/>
  <c r="HD126" i="1"/>
  <c r="HE126" i="1"/>
  <c r="HF126" i="1"/>
  <c r="HD127" i="1"/>
  <c r="HE127" i="1"/>
  <c r="HF127" i="1"/>
  <c r="HD128" i="1"/>
  <c r="HE128" i="1"/>
  <c r="HF128" i="1"/>
  <c r="HD129" i="1"/>
  <c r="HE129" i="1"/>
  <c r="HF129" i="1"/>
  <c r="HD130" i="1"/>
  <c r="HE130" i="1"/>
  <c r="HF130" i="1"/>
  <c r="HD131" i="1"/>
  <c r="HE131" i="1"/>
  <c r="HF131" i="1"/>
  <c r="HD132" i="1"/>
  <c r="HE132" i="1"/>
  <c r="HF132" i="1"/>
  <c r="HD133" i="1"/>
  <c r="HE133" i="1"/>
  <c r="HF133" i="1"/>
  <c r="HD134" i="1"/>
  <c r="HE134" i="1"/>
  <c r="HF134" i="1"/>
  <c r="HD135" i="1"/>
  <c r="HE135" i="1"/>
  <c r="HF135" i="1"/>
  <c r="HD136" i="1"/>
  <c r="HE136" i="1"/>
  <c r="HF136" i="1"/>
  <c r="HD137" i="1"/>
  <c r="HE137" i="1"/>
  <c r="HF137" i="1"/>
  <c r="HD138" i="1"/>
  <c r="HE138" i="1"/>
  <c r="HF138" i="1"/>
  <c r="HD139" i="1"/>
  <c r="HE139" i="1"/>
  <c r="HF139" i="1"/>
  <c r="HD140" i="1"/>
  <c r="HE140" i="1"/>
  <c r="HF140" i="1"/>
  <c r="HD141" i="1"/>
  <c r="HE141" i="1"/>
  <c r="HF141" i="1"/>
  <c r="HD142" i="1"/>
  <c r="HE142" i="1"/>
  <c r="HF142" i="1"/>
  <c r="HD143" i="1"/>
  <c r="HE143" i="1"/>
  <c r="HF143" i="1"/>
  <c r="HD144" i="1"/>
  <c r="HE144" i="1"/>
  <c r="HF144" i="1"/>
  <c r="HD145" i="1"/>
  <c r="HE145" i="1"/>
  <c r="HF145" i="1"/>
  <c r="HF115" i="1"/>
  <c r="HE115" i="1"/>
  <c r="HD115" i="1"/>
  <c r="HD81" i="1"/>
  <c r="HE81" i="1"/>
  <c r="HF81" i="1"/>
  <c r="HD82" i="1"/>
  <c r="HE82" i="1"/>
  <c r="HF82" i="1"/>
  <c r="HD83" i="1"/>
  <c r="HE83" i="1"/>
  <c r="HF83" i="1"/>
  <c r="HD84" i="1"/>
  <c r="HE84" i="1"/>
  <c r="HF84" i="1"/>
  <c r="HD85" i="1"/>
  <c r="HE85" i="1"/>
  <c r="HF85" i="1"/>
  <c r="HD86" i="1"/>
  <c r="HE86" i="1"/>
  <c r="HF86" i="1"/>
  <c r="HD87" i="1"/>
  <c r="HE87" i="1"/>
  <c r="HF87" i="1"/>
  <c r="HD88" i="1"/>
  <c r="HE88" i="1"/>
  <c r="HF88" i="1"/>
  <c r="HD89" i="1"/>
  <c r="HE89" i="1"/>
  <c r="HF89" i="1"/>
  <c r="HD90" i="1"/>
  <c r="HE90" i="1"/>
  <c r="HF90" i="1"/>
  <c r="HD91" i="1"/>
  <c r="HE91" i="1"/>
  <c r="HF91" i="1"/>
  <c r="HD92" i="1"/>
  <c r="HE92" i="1"/>
  <c r="HF92" i="1"/>
  <c r="HD93" i="1"/>
  <c r="HE93" i="1"/>
  <c r="HF93" i="1"/>
  <c r="HD94" i="1"/>
  <c r="HE94" i="1"/>
  <c r="HF94" i="1"/>
  <c r="HD95" i="1"/>
  <c r="HE95" i="1"/>
  <c r="HF95" i="1"/>
  <c r="HD96" i="1"/>
  <c r="HE96" i="1"/>
  <c r="HF96" i="1"/>
  <c r="HD97" i="1"/>
  <c r="HE97" i="1"/>
  <c r="HF97" i="1"/>
  <c r="HD98" i="1"/>
  <c r="HE98" i="1"/>
  <c r="HF98" i="1"/>
  <c r="HD99" i="1"/>
  <c r="HE99" i="1"/>
  <c r="HF99" i="1"/>
  <c r="HD100" i="1"/>
  <c r="HE100" i="1"/>
  <c r="HF100" i="1"/>
  <c r="HD101" i="1"/>
  <c r="HE101" i="1"/>
  <c r="HF101" i="1"/>
  <c r="HD102" i="1"/>
  <c r="HE102" i="1"/>
  <c r="HF102" i="1"/>
  <c r="HD103" i="1"/>
  <c r="HE103" i="1"/>
  <c r="HF103" i="1"/>
  <c r="HD104" i="1"/>
  <c r="HE104" i="1"/>
  <c r="HF104" i="1"/>
  <c r="HD105" i="1"/>
  <c r="HE105" i="1"/>
  <c r="HF105" i="1"/>
  <c r="HD106" i="1"/>
  <c r="HE106" i="1"/>
  <c r="HF106" i="1"/>
  <c r="HD107" i="1"/>
  <c r="HE107" i="1"/>
  <c r="HF107" i="1"/>
  <c r="HD108" i="1"/>
  <c r="HE108" i="1"/>
  <c r="HF108" i="1"/>
  <c r="HD109" i="1"/>
  <c r="HE109" i="1"/>
  <c r="HF109" i="1"/>
  <c r="HD110" i="1"/>
  <c r="HE110" i="1"/>
  <c r="HF110" i="1"/>
  <c r="HF80" i="1"/>
  <c r="HE80" i="1"/>
  <c r="HD80" i="1"/>
  <c r="HD45" i="1"/>
  <c r="HE45" i="1"/>
  <c r="HF45" i="1"/>
  <c r="HD46" i="1"/>
  <c r="HE46" i="1"/>
  <c r="HF46" i="1"/>
  <c r="HD47" i="1"/>
  <c r="HE47" i="1"/>
  <c r="HF47" i="1"/>
  <c r="HD48" i="1"/>
  <c r="HE48" i="1"/>
  <c r="HF48" i="1"/>
  <c r="HD49" i="1"/>
  <c r="HE49" i="1"/>
  <c r="HF49" i="1"/>
  <c r="HD50" i="1"/>
  <c r="HE50" i="1"/>
  <c r="HF50" i="1"/>
  <c r="HD51" i="1"/>
  <c r="HE51" i="1"/>
  <c r="HF51" i="1"/>
  <c r="HD52" i="1"/>
  <c r="HE52" i="1"/>
  <c r="HF52" i="1"/>
  <c r="HD53" i="1"/>
  <c r="HE53" i="1"/>
  <c r="HF53" i="1"/>
  <c r="HD54" i="1"/>
  <c r="HE54" i="1"/>
  <c r="HF54" i="1"/>
  <c r="HD55" i="1"/>
  <c r="HE55" i="1"/>
  <c r="HF55" i="1"/>
  <c r="HD56" i="1"/>
  <c r="HE56" i="1"/>
  <c r="HF56" i="1"/>
  <c r="HD57" i="1"/>
  <c r="HE57" i="1"/>
  <c r="HF57" i="1"/>
  <c r="HD58" i="1"/>
  <c r="HE58" i="1"/>
  <c r="HF58" i="1"/>
  <c r="HD59" i="1"/>
  <c r="HE59" i="1"/>
  <c r="HF59" i="1"/>
  <c r="HD60" i="1"/>
  <c r="HE60" i="1"/>
  <c r="HF60" i="1"/>
  <c r="HD61" i="1"/>
  <c r="HE61" i="1"/>
  <c r="HF61" i="1"/>
  <c r="HD62" i="1"/>
  <c r="HE62" i="1"/>
  <c r="HF62" i="1"/>
  <c r="HD63" i="1"/>
  <c r="HE63" i="1"/>
  <c r="HF63" i="1"/>
  <c r="HD64" i="1"/>
  <c r="HE64" i="1"/>
  <c r="HF64" i="1"/>
  <c r="HD65" i="1"/>
  <c r="HE65" i="1"/>
  <c r="HF65" i="1"/>
  <c r="HD66" i="1"/>
  <c r="HE66" i="1"/>
  <c r="HF66" i="1"/>
  <c r="HD67" i="1"/>
  <c r="HE67" i="1"/>
  <c r="HF67" i="1"/>
  <c r="HD68" i="1"/>
  <c r="HE68" i="1"/>
  <c r="HF68" i="1"/>
  <c r="HD69" i="1"/>
  <c r="HE69" i="1"/>
  <c r="HF69" i="1"/>
  <c r="HD70" i="1"/>
  <c r="HE70" i="1"/>
  <c r="HF70" i="1"/>
  <c r="HD71" i="1"/>
  <c r="HE71" i="1"/>
  <c r="HF71" i="1"/>
  <c r="HD72" i="1"/>
  <c r="HE72" i="1"/>
  <c r="HF72" i="1"/>
  <c r="HD73" i="1"/>
  <c r="HE73" i="1"/>
  <c r="HF73" i="1"/>
  <c r="HD74" i="1"/>
  <c r="HE74" i="1"/>
  <c r="HF74" i="1"/>
  <c r="HF44" i="1"/>
  <c r="HE44" i="1"/>
  <c r="HD44" i="1"/>
  <c r="HD9" i="1"/>
  <c r="HE9" i="1"/>
  <c r="HF9" i="1"/>
  <c r="HD10" i="1"/>
  <c r="HE10" i="1"/>
  <c r="HF10" i="1"/>
  <c r="HD11" i="1"/>
  <c r="HE11" i="1"/>
  <c r="HF11" i="1"/>
  <c r="HD12" i="1"/>
  <c r="HE12" i="1"/>
  <c r="HF12" i="1"/>
  <c r="HD13" i="1"/>
  <c r="HE13" i="1"/>
  <c r="HF13" i="1"/>
  <c r="HD14" i="1"/>
  <c r="HE14" i="1"/>
  <c r="HF14" i="1"/>
  <c r="HD15" i="1"/>
  <c r="HE15" i="1"/>
  <c r="HF15" i="1"/>
  <c r="HD16" i="1"/>
  <c r="HE16" i="1"/>
  <c r="HF16" i="1"/>
  <c r="HD17" i="1"/>
  <c r="HE17" i="1"/>
  <c r="HF17" i="1"/>
  <c r="HD18" i="1"/>
  <c r="HE18" i="1"/>
  <c r="HF18" i="1"/>
  <c r="HD19" i="1"/>
  <c r="HE19" i="1"/>
  <c r="HF19" i="1"/>
  <c r="HD20" i="1"/>
  <c r="HE20" i="1"/>
  <c r="HF20" i="1"/>
  <c r="HD21" i="1"/>
  <c r="HE21" i="1"/>
  <c r="HF21" i="1"/>
  <c r="HD22" i="1"/>
  <c r="HE22" i="1"/>
  <c r="HF22" i="1"/>
  <c r="HD23" i="1"/>
  <c r="HE23" i="1"/>
  <c r="HF23" i="1"/>
  <c r="HD24" i="1"/>
  <c r="HE24" i="1"/>
  <c r="HF24" i="1"/>
  <c r="HD25" i="1"/>
  <c r="HE25" i="1"/>
  <c r="HF25" i="1"/>
  <c r="HD26" i="1"/>
  <c r="HE26" i="1"/>
  <c r="HF26" i="1"/>
  <c r="HD27" i="1"/>
  <c r="HE27" i="1"/>
  <c r="HF27" i="1"/>
  <c r="HD28" i="1"/>
  <c r="HE28" i="1"/>
  <c r="HF28" i="1"/>
  <c r="HD29" i="1"/>
  <c r="HE29" i="1"/>
  <c r="HF29" i="1"/>
  <c r="HD30" i="1"/>
  <c r="HE30" i="1"/>
  <c r="HF30" i="1"/>
  <c r="HD31" i="1"/>
  <c r="HE31" i="1"/>
  <c r="HF31" i="1"/>
  <c r="HD32" i="1"/>
  <c r="HE32" i="1"/>
  <c r="HF32" i="1"/>
  <c r="HD33" i="1"/>
  <c r="HE33" i="1"/>
  <c r="HF33" i="1"/>
  <c r="HD34" i="1"/>
  <c r="HE34" i="1"/>
  <c r="HF34" i="1"/>
  <c r="HD35" i="1"/>
  <c r="HE35" i="1"/>
  <c r="HF35" i="1"/>
  <c r="HD36" i="1"/>
  <c r="HE36" i="1"/>
  <c r="HF36" i="1"/>
  <c r="HD37" i="1"/>
  <c r="HE37" i="1"/>
  <c r="HF37" i="1"/>
  <c r="HD38" i="1"/>
  <c r="HE38" i="1"/>
  <c r="HF38" i="1"/>
  <c r="HF8" i="1"/>
  <c r="HE8" i="1"/>
  <c r="HD8" i="1"/>
  <c r="BE4" i="9"/>
  <c r="AK49" i="9"/>
  <c r="AL49" i="9"/>
  <c r="AM49" i="9"/>
  <c r="AN49" i="9"/>
  <c r="AO49" i="9"/>
  <c r="AP49" i="9"/>
  <c r="AQ49" i="9"/>
  <c r="AR49" i="9"/>
  <c r="AS49" i="9"/>
  <c r="AT49" i="9"/>
  <c r="AU49" i="9"/>
  <c r="AU79" i="9" s="1"/>
  <c r="AV49" i="9"/>
  <c r="AV79" i="9" s="1"/>
  <c r="AW49" i="9"/>
  <c r="AX49" i="9"/>
  <c r="AY49" i="9"/>
  <c r="AZ49" i="9"/>
  <c r="BA49" i="9"/>
  <c r="BB49" i="9"/>
  <c r="BC49" i="9"/>
  <c r="BD49" i="9"/>
  <c r="BE49" i="9"/>
  <c r="AK50" i="9"/>
  <c r="AL50" i="9"/>
  <c r="AL79" i="9" s="1"/>
  <c r="AM50" i="9"/>
  <c r="AM79" i="9" s="1"/>
  <c r="AN50" i="9"/>
  <c r="AO50" i="9"/>
  <c r="AP50" i="9"/>
  <c r="AQ50" i="9"/>
  <c r="AR50" i="9"/>
  <c r="AS50" i="9"/>
  <c r="AT50" i="9"/>
  <c r="AU50" i="9"/>
  <c r="AV50" i="9"/>
  <c r="AW50" i="9"/>
  <c r="AX50" i="9"/>
  <c r="AX79" i="9" s="1"/>
  <c r="AY50" i="9"/>
  <c r="AY79" i="9" s="1"/>
  <c r="AZ50" i="9"/>
  <c r="BA50" i="9"/>
  <c r="BB50" i="9"/>
  <c r="BC50" i="9"/>
  <c r="BD50" i="9"/>
  <c r="BE50" i="9"/>
  <c r="AK51" i="9"/>
  <c r="AL51" i="9"/>
  <c r="AM51" i="9"/>
  <c r="AN51" i="9"/>
  <c r="AO51" i="9"/>
  <c r="AP51" i="9"/>
  <c r="AQ51" i="9"/>
  <c r="AR51" i="9"/>
  <c r="AS51" i="9"/>
  <c r="AT51" i="9"/>
  <c r="AU51" i="9"/>
  <c r="AV51" i="9"/>
  <c r="AW51" i="9"/>
  <c r="AX51" i="9"/>
  <c r="AY51" i="9"/>
  <c r="AZ51" i="9"/>
  <c r="BA51" i="9"/>
  <c r="BA79" i="9" s="1"/>
  <c r="BB51" i="9"/>
  <c r="BB79" i="9" s="1"/>
  <c r="BC51" i="9"/>
  <c r="BD51" i="9"/>
  <c r="BE51" i="9"/>
  <c r="AK52" i="9"/>
  <c r="AL52" i="9"/>
  <c r="AM52" i="9"/>
  <c r="AN52" i="9"/>
  <c r="AO52" i="9"/>
  <c r="AP52" i="9"/>
  <c r="AQ52" i="9"/>
  <c r="AR52" i="9"/>
  <c r="AS52" i="9"/>
  <c r="AS79" i="9" s="1"/>
  <c r="AT52" i="9"/>
  <c r="AU52" i="9"/>
  <c r="AV52" i="9"/>
  <c r="AW52" i="9"/>
  <c r="AX52" i="9"/>
  <c r="AY52" i="9"/>
  <c r="AZ52" i="9"/>
  <c r="BA52" i="9"/>
  <c r="BB52" i="9"/>
  <c r="BC52" i="9"/>
  <c r="BD52" i="9"/>
  <c r="BE52" i="9"/>
  <c r="BE79" i="9" s="1"/>
  <c r="AK53" i="9"/>
  <c r="AL53" i="9"/>
  <c r="AM53" i="9"/>
  <c r="AN53" i="9"/>
  <c r="AO53" i="9"/>
  <c r="AP53" i="9"/>
  <c r="AQ53" i="9"/>
  <c r="AR53" i="9"/>
  <c r="AS53" i="9"/>
  <c r="AT53" i="9"/>
  <c r="AU53" i="9"/>
  <c r="AV53" i="9"/>
  <c r="AW53" i="9"/>
  <c r="AX53" i="9"/>
  <c r="AY53" i="9"/>
  <c r="AZ53" i="9"/>
  <c r="BA53" i="9"/>
  <c r="BB53" i="9"/>
  <c r="BC53" i="9"/>
  <c r="BD53" i="9"/>
  <c r="BE53" i="9"/>
  <c r="AK54" i="9"/>
  <c r="AL54" i="9"/>
  <c r="AM54" i="9"/>
  <c r="AN54" i="9"/>
  <c r="AO54" i="9"/>
  <c r="AP54" i="9"/>
  <c r="AQ54" i="9"/>
  <c r="AR54" i="9"/>
  <c r="AS54" i="9"/>
  <c r="AT54" i="9"/>
  <c r="AU54" i="9"/>
  <c r="AV54" i="9"/>
  <c r="AW54" i="9"/>
  <c r="AX54" i="9"/>
  <c r="AY54" i="9"/>
  <c r="AZ54" i="9"/>
  <c r="BA54" i="9"/>
  <c r="BB54" i="9"/>
  <c r="BC54" i="9"/>
  <c r="BD54" i="9"/>
  <c r="BE54" i="9"/>
  <c r="AK55" i="9"/>
  <c r="AL55" i="9"/>
  <c r="AM55" i="9"/>
  <c r="AN55" i="9"/>
  <c r="AO55" i="9"/>
  <c r="AP55" i="9"/>
  <c r="AQ55" i="9"/>
  <c r="AR55" i="9"/>
  <c r="AS55" i="9"/>
  <c r="AT55" i="9"/>
  <c r="AU55" i="9"/>
  <c r="AV55" i="9"/>
  <c r="AW55" i="9"/>
  <c r="AX55" i="9"/>
  <c r="AY55" i="9"/>
  <c r="AZ55" i="9"/>
  <c r="BA55" i="9"/>
  <c r="BB55" i="9"/>
  <c r="BC55" i="9"/>
  <c r="BD55" i="9"/>
  <c r="BE55" i="9"/>
  <c r="AK56" i="9"/>
  <c r="AL56" i="9"/>
  <c r="AM56" i="9"/>
  <c r="AN56" i="9"/>
  <c r="AO56" i="9"/>
  <c r="AP56" i="9"/>
  <c r="AQ56" i="9"/>
  <c r="AR56" i="9"/>
  <c r="AS56" i="9"/>
  <c r="AT56" i="9"/>
  <c r="AU56" i="9"/>
  <c r="AV56" i="9"/>
  <c r="AW56" i="9"/>
  <c r="AX56" i="9"/>
  <c r="AY56" i="9"/>
  <c r="AZ56" i="9"/>
  <c r="BA56" i="9"/>
  <c r="BB56" i="9"/>
  <c r="BC56" i="9"/>
  <c r="BD56" i="9"/>
  <c r="BE56" i="9"/>
  <c r="AK57" i="9"/>
  <c r="AL57" i="9"/>
  <c r="AM57" i="9"/>
  <c r="AN57" i="9"/>
  <c r="AO57" i="9"/>
  <c r="AP57" i="9"/>
  <c r="AQ57" i="9"/>
  <c r="AR57" i="9"/>
  <c r="AS57" i="9"/>
  <c r="AT57" i="9"/>
  <c r="AU57" i="9"/>
  <c r="AV57" i="9"/>
  <c r="AW57" i="9"/>
  <c r="AX57" i="9"/>
  <c r="AY57" i="9"/>
  <c r="AZ57" i="9"/>
  <c r="BA57" i="9"/>
  <c r="BB57" i="9"/>
  <c r="BC57" i="9"/>
  <c r="BD57" i="9"/>
  <c r="BE57" i="9"/>
  <c r="AK58" i="9"/>
  <c r="AL58" i="9"/>
  <c r="AM58" i="9"/>
  <c r="AN58" i="9"/>
  <c r="AO58" i="9"/>
  <c r="AP58" i="9"/>
  <c r="AQ58" i="9"/>
  <c r="AR58" i="9"/>
  <c r="AS58" i="9"/>
  <c r="AT58" i="9"/>
  <c r="AU58" i="9"/>
  <c r="AV58" i="9"/>
  <c r="AW58" i="9"/>
  <c r="AX58" i="9"/>
  <c r="AY58" i="9"/>
  <c r="AZ58" i="9"/>
  <c r="BA58" i="9"/>
  <c r="BB58" i="9"/>
  <c r="BC58" i="9"/>
  <c r="BD58" i="9"/>
  <c r="BE58" i="9"/>
  <c r="AK59" i="9"/>
  <c r="AL59" i="9"/>
  <c r="AM59" i="9"/>
  <c r="AN59" i="9"/>
  <c r="AO59" i="9"/>
  <c r="AP59" i="9"/>
  <c r="AQ59" i="9"/>
  <c r="AR59" i="9"/>
  <c r="AS59" i="9"/>
  <c r="AT59" i="9"/>
  <c r="AU59" i="9"/>
  <c r="AV59" i="9"/>
  <c r="AW59" i="9"/>
  <c r="AX59" i="9"/>
  <c r="AY59" i="9"/>
  <c r="AZ59" i="9"/>
  <c r="BA59" i="9"/>
  <c r="BB59" i="9"/>
  <c r="BC59" i="9"/>
  <c r="BD59" i="9"/>
  <c r="BE59" i="9"/>
  <c r="AK60" i="9"/>
  <c r="AL60" i="9"/>
  <c r="AM60" i="9"/>
  <c r="AN60" i="9"/>
  <c r="AO60" i="9"/>
  <c r="AP60" i="9"/>
  <c r="AQ60" i="9"/>
  <c r="AR60" i="9"/>
  <c r="AS60" i="9"/>
  <c r="AT60" i="9"/>
  <c r="AU60" i="9"/>
  <c r="AV60" i="9"/>
  <c r="AW60" i="9"/>
  <c r="AX60" i="9"/>
  <c r="AY60" i="9"/>
  <c r="AZ60" i="9"/>
  <c r="BA60" i="9"/>
  <c r="BB60" i="9"/>
  <c r="BC60" i="9"/>
  <c r="BD60" i="9"/>
  <c r="BE60" i="9"/>
  <c r="AK61" i="9"/>
  <c r="AL61" i="9"/>
  <c r="AM61" i="9"/>
  <c r="AN61" i="9"/>
  <c r="AO61" i="9"/>
  <c r="AP61" i="9"/>
  <c r="AQ61" i="9"/>
  <c r="AR61" i="9"/>
  <c r="AS61" i="9"/>
  <c r="AT61" i="9"/>
  <c r="AU61" i="9"/>
  <c r="AV61" i="9"/>
  <c r="AW61" i="9"/>
  <c r="AX61" i="9"/>
  <c r="AY61" i="9"/>
  <c r="AZ61" i="9"/>
  <c r="BA61" i="9"/>
  <c r="BB61" i="9"/>
  <c r="BC61" i="9"/>
  <c r="BD61" i="9"/>
  <c r="BE61" i="9"/>
  <c r="AK62" i="9"/>
  <c r="AL62" i="9"/>
  <c r="AM62" i="9"/>
  <c r="AN62" i="9"/>
  <c r="AO62" i="9"/>
  <c r="AP62" i="9"/>
  <c r="AQ62" i="9"/>
  <c r="AR62" i="9"/>
  <c r="AS62" i="9"/>
  <c r="AT62" i="9"/>
  <c r="AU62" i="9"/>
  <c r="AV62" i="9"/>
  <c r="AW62" i="9"/>
  <c r="AX62" i="9"/>
  <c r="AY62" i="9"/>
  <c r="AZ62" i="9"/>
  <c r="BA62" i="9"/>
  <c r="BB62" i="9"/>
  <c r="BC62" i="9"/>
  <c r="BD62" i="9"/>
  <c r="BE62" i="9"/>
  <c r="AK63" i="9"/>
  <c r="AL63" i="9"/>
  <c r="AM63" i="9"/>
  <c r="AN63" i="9"/>
  <c r="AO63" i="9"/>
  <c r="AP63" i="9"/>
  <c r="AQ63" i="9"/>
  <c r="AR63" i="9"/>
  <c r="AS63" i="9"/>
  <c r="AT63" i="9"/>
  <c r="AU63" i="9"/>
  <c r="AV63" i="9"/>
  <c r="AW63" i="9"/>
  <c r="AX63" i="9"/>
  <c r="AY63" i="9"/>
  <c r="AZ63" i="9"/>
  <c r="BA63" i="9"/>
  <c r="BB63" i="9"/>
  <c r="BC63" i="9"/>
  <c r="BD63" i="9"/>
  <c r="BE63" i="9"/>
  <c r="AK64" i="9"/>
  <c r="AL64" i="9"/>
  <c r="AM64" i="9"/>
  <c r="AN64" i="9"/>
  <c r="AO64" i="9"/>
  <c r="AP64" i="9"/>
  <c r="AQ64" i="9"/>
  <c r="AR64" i="9"/>
  <c r="AS64" i="9"/>
  <c r="AT64" i="9"/>
  <c r="AU64" i="9"/>
  <c r="AV64" i="9"/>
  <c r="AW64" i="9"/>
  <c r="AX64" i="9"/>
  <c r="AY64" i="9"/>
  <c r="AZ64" i="9"/>
  <c r="BA64" i="9"/>
  <c r="BB64" i="9"/>
  <c r="BC64" i="9"/>
  <c r="BD64" i="9"/>
  <c r="BE64" i="9"/>
  <c r="AK65" i="9"/>
  <c r="AL65" i="9"/>
  <c r="AM65" i="9"/>
  <c r="AN65" i="9"/>
  <c r="AO65" i="9"/>
  <c r="AP65" i="9"/>
  <c r="AQ65" i="9"/>
  <c r="AR65" i="9"/>
  <c r="AS65" i="9"/>
  <c r="AT65" i="9"/>
  <c r="AU65" i="9"/>
  <c r="AV65" i="9"/>
  <c r="AW65" i="9"/>
  <c r="AX65" i="9"/>
  <c r="AY65" i="9"/>
  <c r="AZ65" i="9"/>
  <c r="BA65" i="9"/>
  <c r="BB65" i="9"/>
  <c r="BC65" i="9"/>
  <c r="BD65" i="9"/>
  <c r="BE65" i="9"/>
  <c r="AK66" i="9"/>
  <c r="AL66" i="9"/>
  <c r="AM66" i="9"/>
  <c r="AN66" i="9"/>
  <c r="AO66" i="9"/>
  <c r="AP66" i="9"/>
  <c r="AQ66" i="9"/>
  <c r="AR66" i="9"/>
  <c r="AS66" i="9"/>
  <c r="AT66" i="9"/>
  <c r="AU66" i="9"/>
  <c r="AV66" i="9"/>
  <c r="AW66" i="9"/>
  <c r="AX66" i="9"/>
  <c r="AY66" i="9"/>
  <c r="AZ66" i="9"/>
  <c r="BA66" i="9"/>
  <c r="BB66" i="9"/>
  <c r="BC66" i="9"/>
  <c r="BD66" i="9"/>
  <c r="BE66" i="9"/>
  <c r="AK67" i="9"/>
  <c r="AL67" i="9"/>
  <c r="AM67" i="9"/>
  <c r="AN67" i="9"/>
  <c r="AO67" i="9"/>
  <c r="AP67" i="9"/>
  <c r="AQ67" i="9"/>
  <c r="AR67" i="9"/>
  <c r="AS67" i="9"/>
  <c r="AT67" i="9"/>
  <c r="AU67" i="9"/>
  <c r="AV67" i="9"/>
  <c r="AW67" i="9"/>
  <c r="AX67" i="9"/>
  <c r="AY67" i="9"/>
  <c r="AZ67" i="9"/>
  <c r="BA67" i="9"/>
  <c r="BB67" i="9"/>
  <c r="BC67" i="9"/>
  <c r="BD67" i="9"/>
  <c r="BE67" i="9"/>
  <c r="AK68" i="9"/>
  <c r="AL68" i="9"/>
  <c r="AM68" i="9"/>
  <c r="AN68" i="9"/>
  <c r="AO68" i="9"/>
  <c r="AP68" i="9"/>
  <c r="AQ68" i="9"/>
  <c r="AR68" i="9"/>
  <c r="AS68" i="9"/>
  <c r="AT68" i="9"/>
  <c r="AU68" i="9"/>
  <c r="AV68" i="9"/>
  <c r="AW68" i="9"/>
  <c r="AX68" i="9"/>
  <c r="AY68" i="9"/>
  <c r="AZ68" i="9"/>
  <c r="BA68" i="9"/>
  <c r="BB68" i="9"/>
  <c r="BC68" i="9"/>
  <c r="BD68" i="9"/>
  <c r="BE68" i="9"/>
  <c r="AK69" i="9"/>
  <c r="AL69" i="9"/>
  <c r="AM69" i="9"/>
  <c r="AN69" i="9"/>
  <c r="AO69" i="9"/>
  <c r="AP69" i="9"/>
  <c r="AQ69" i="9"/>
  <c r="AR69" i="9"/>
  <c r="AS69" i="9"/>
  <c r="AT69" i="9"/>
  <c r="AU69" i="9"/>
  <c r="AV69" i="9"/>
  <c r="AW69" i="9"/>
  <c r="AX69" i="9"/>
  <c r="AY69" i="9"/>
  <c r="AZ69" i="9"/>
  <c r="BA69" i="9"/>
  <c r="BB69" i="9"/>
  <c r="BC69" i="9"/>
  <c r="BD69" i="9"/>
  <c r="BE69" i="9"/>
  <c r="AK70" i="9"/>
  <c r="AL70" i="9"/>
  <c r="AM70" i="9"/>
  <c r="AN70" i="9"/>
  <c r="AO70" i="9"/>
  <c r="AP70" i="9"/>
  <c r="AQ70" i="9"/>
  <c r="AR70" i="9"/>
  <c r="AS70" i="9"/>
  <c r="AT70" i="9"/>
  <c r="AU70" i="9"/>
  <c r="AV70" i="9"/>
  <c r="AW70" i="9"/>
  <c r="AX70" i="9"/>
  <c r="AY70" i="9"/>
  <c r="AZ70" i="9"/>
  <c r="BA70" i="9"/>
  <c r="BB70" i="9"/>
  <c r="BC70" i="9"/>
  <c r="BD70" i="9"/>
  <c r="BE70" i="9"/>
  <c r="AK71" i="9"/>
  <c r="AL71" i="9"/>
  <c r="AM71" i="9"/>
  <c r="AN71" i="9"/>
  <c r="AO71" i="9"/>
  <c r="AP71" i="9"/>
  <c r="AQ71" i="9"/>
  <c r="AR71" i="9"/>
  <c r="AS71" i="9"/>
  <c r="AT71" i="9"/>
  <c r="AU71" i="9"/>
  <c r="AV71" i="9"/>
  <c r="AW71" i="9"/>
  <c r="AX71" i="9"/>
  <c r="AY71" i="9"/>
  <c r="AZ71" i="9"/>
  <c r="BA71" i="9"/>
  <c r="BB71" i="9"/>
  <c r="BC71" i="9"/>
  <c r="BD71" i="9"/>
  <c r="BE71" i="9"/>
  <c r="AK72" i="9"/>
  <c r="AL72" i="9"/>
  <c r="AM72" i="9"/>
  <c r="AN72" i="9"/>
  <c r="AO72" i="9"/>
  <c r="AP72" i="9"/>
  <c r="AQ72" i="9"/>
  <c r="AR72" i="9"/>
  <c r="AS72" i="9"/>
  <c r="AT72" i="9"/>
  <c r="AU72" i="9"/>
  <c r="AV72" i="9"/>
  <c r="AW72" i="9"/>
  <c r="AX72" i="9"/>
  <c r="AY72" i="9"/>
  <c r="AZ72" i="9"/>
  <c r="BA72" i="9"/>
  <c r="BB72" i="9"/>
  <c r="BC72" i="9"/>
  <c r="BD72" i="9"/>
  <c r="BE72" i="9"/>
  <c r="AK73" i="9"/>
  <c r="AL73" i="9"/>
  <c r="AM73" i="9"/>
  <c r="AN73" i="9"/>
  <c r="AO73" i="9"/>
  <c r="AP73" i="9"/>
  <c r="AQ73" i="9"/>
  <c r="AR73" i="9"/>
  <c r="AS73" i="9"/>
  <c r="AT73" i="9"/>
  <c r="AU73" i="9"/>
  <c r="AV73" i="9"/>
  <c r="AW73" i="9"/>
  <c r="AX73" i="9"/>
  <c r="AY73" i="9"/>
  <c r="AZ73" i="9"/>
  <c r="BA73" i="9"/>
  <c r="BB73" i="9"/>
  <c r="BC73" i="9"/>
  <c r="BD73" i="9"/>
  <c r="BE73" i="9"/>
  <c r="AK74" i="9"/>
  <c r="AL74" i="9"/>
  <c r="AM74" i="9"/>
  <c r="AN74" i="9"/>
  <c r="AO74" i="9"/>
  <c r="AP74" i="9"/>
  <c r="AQ74" i="9"/>
  <c r="AR74" i="9"/>
  <c r="AS74" i="9"/>
  <c r="AT74" i="9"/>
  <c r="AU74" i="9"/>
  <c r="AV74" i="9"/>
  <c r="AW74" i="9"/>
  <c r="AX74" i="9"/>
  <c r="AY74" i="9"/>
  <c r="AZ74" i="9"/>
  <c r="BA74" i="9"/>
  <c r="BB74" i="9"/>
  <c r="BC74" i="9"/>
  <c r="BD74" i="9"/>
  <c r="BE74" i="9"/>
  <c r="AK75" i="9"/>
  <c r="AL75" i="9"/>
  <c r="AM75" i="9"/>
  <c r="AN75" i="9"/>
  <c r="AO75" i="9"/>
  <c r="AP75" i="9"/>
  <c r="AQ75" i="9"/>
  <c r="AR75" i="9"/>
  <c r="AS75" i="9"/>
  <c r="AT75" i="9"/>
  <c r="AU75" i="9"/>
  <c r="AV75" i="9"/>
  <c r="AW75" i="9"/>
  <c r="AX75" i="9"/>
  <c r="AY75" i="9"/>
  <c r="AZ75" i="9"/>
  <c r="BA75" i="9"/>
  <c r="BB75" i="9"/>
  <c r="BC75" i="9"/>
  <c r="BD75" i="9"/>
  <c r="BE75" i="9"/>
  <c r="AK76" i="9"/>
  <c r="AL76" i="9"/>
  <c r="AM76" i="9"/>
  <c r="AN76" i="9"/>
  <c r="AO76" i="9"/>
  <c r="AP76" i="9"/>
  <c r="AQ76" i="9"/>
  <c r="AR76" i="9"/>
  <c r="AS76" i="9"/>
  <c r="AT76" i="9"/>
  <c r="AU76" i="9"/>
  <c r="AV76" i="9"/>
  <c r="AW76" i="9"/>
  <c r="AX76" i="9"/>
  <c r="AY76" i="9"/>
  <c r="AZ76" i="9"/>
  <c r="BA76" i="9"/>
  <c r="BB76" i="9"/>
  <c r="BC76" i="9"/>
  <c r="BD76" i="9"/>
  <c r="BE76" i="9"/>
  <c r="AK77" i="9"/>
  <c r="AL77" i="9"/>
  <c r="AM77" i="9"/>
  <c r="AN77" i="9"/>
  <c r="AO77" i="9"/>
  <c r="AP77" i="9"/>
  <c r="AQ77" i="9"/>
  <c r="AR77" i="9"/>
  <c r="AS77" i="9"/>
  <c r="AT77" i="9"/>
  <c r="AU77" i="9"/>
  <c r="AV77" i="9"/>
  <c r="AW77" i="9"/>
  <c r="AX77" i="9"/>
  <c r="AY77" i="9"/>
  <c r="AZ77" i="9"/>
  <c r="BA77" i="9"/>
  <c r="BB77" i="9"/>
  <c r="BC77" i="9"/>
  <c r="BD77" i="9"/>
  <c r="BE77" i="9"/>
  <c r="AK78" i="9"/>
  <c r="AL78" i="9"/>
  <c r="AM78" i="9"/>
  <c r="AN78" i="9"/>
  <c r="AO78" i="9"/>
  <c r="AP78" i="9"/>
  <c r="AQ78" i="9"/>
  <c r="AR78" i="9"/>
  <c r="AS78" i="9"/>
  <c r="AT78" i="9"/>
  <c r="AU78" i="9"/>
  <c r="AV78" i="9"/>
  <c r="AW78" i="9"/>
  <c r="AX78" i="9"/>
  <c r="AY78" i="9"/>
  <c r="AZ78" i="9"/>
  <c r="BA78" i="9"/>
  <c r="BB78" i="9"/>
  <c r="BC78" i="9"/>
  <c r="BD78" i="9"/>
  <c r="BE78" i="9"/>
  <c r="BE48" i="9"/>
  <c r="BD48" i="9"/>
  <c r="BC48" i="9"/>
  <c r="BB48" i="9"/>
  <c r="BA48" i="9"/>
  <c r="AZ48" i="9"/>
  <c r="AZ79" i="9" s="1"/>
  <c r="AY48" i="9"/>
  <c r="AX48" i="9"/>
  <c r="AW48" i="9"/>
  <c r="AV48" i="9"/>
  <c r="AU48" i="9"/>
  <c r="AT48" i="9"/>
  <c r="AS48" i="9"/>
  <c r="AR48" i="9"/>
  <c r="AQ48" i="9"/>
  <c r="AP48" i="9"/>
  <c r="AO48" i="9"/>
  <c r="AN48" i="9"/>
  <c r="AM48" i="9"/>
  <c r="AL48" i="9"/>
  <c r="AK48" i="9"/>
  <c r="AJ4" i="9"/>
  <c r="AK4" i="9"/>
  <c r="AL4" i="9"/>
  <c r="AM4" i="9"/>
  <c r="AN4" i="9"/>
  <c r="AO4" i="9"/>
  <c r="AP4" i="9"/>
  <c r="AQ4" i="9"/>
  <c r="AR4" i="9"/>
  <c r="AS4" i="9"/>
  <c r="AT4" i="9"/>
  <c r="AT35" i="9" s="1"/>
  <c r="AU4" i="9"/>
  <c r="AV4" i="9"/>
  <c r="AW4" i="9"/>
  <c r="AX4" i="9"/>
  <c r="AY4" i="9"/>
  <c r="AZ4" i="9"/>
  <c r="BB4" i="9"/>
  <c r="BC4" i="9"/>
  <c r="BD4" i="9"/>
  <c r="AJ5" i="9"/>
  <c r="AK5" i="9"/>
  <c r="AL5" i="9"/>
  <c r="AM5" i="9"/>
  <c r="AN5" i="9"/>
  <c r="AO5" i="9"/>
  <c r="AP5" i="9"/>
  <c r="AQ5" i="9"/>
  <c r="AR5" i="9"/>
  <c r="AS5" i="9"/>
  <c r="AT5" i="9"/>
  <c r="AU5" i="9"/>
  <c r="AV5" i="9"/>
  <c r="AW5" i="9"/>
  <c r="AX5" i="9"/>
  <c r="AY5" i="9"/>
  <c r="AZ5" i="9"/>
  <c r="BB5" i="9"/>
  <c r="BC5" i="9"/>
  <c r="BD5" i="9"/>
  <c r="BE5" i="9"/>
  <c r="AJ6" i="9"/>
  <c r="AK6" i="9"/>
  <c r="AL6" i="9"/>
  <c r="AL35" i="9" s="1"/>
  <c r="AM6" i="9"/>
  <c r="AN6" i="9"/>
  <c r="AO6" i="9"/>
  <c r="AP6" i="9"/>
  <c r="AQ6" i="9"/>
  <c r="AR6" i="9"/>
  <c r="AS6" i="9"/>
  <c r="AT6" i="9"/>
  <c r="AU6" i="9"/>
  <c r="AV6" i="9"/>
  <c r="AW6" i="9"/>
  <c r="AX6" i="9"/>
  <c r="AY6" i="9"/>
  <c r="AZ6" i="9"/>
  <c r="BB6" i="9"/>
  <c r="BC6" i="9"/>
  <c r="BD6" i="9"/>
  <c r="BE6" i="9"/>
  <c r="AJ7" i="9"/>
  <c r="AK7" i="9"/>
  <c r="AL7" i="9"/>
  <c r="AM7" i="9"/>
  <c r="AN7" i="9"/>
  <c r="AN35" i="9" s="1"/>
  <c r="AO7" i="9"/>
  <c r="AP7" i="9"/>
  <c r="AQ7" i="9"/>
  <c r="AR7" i="9"/>
  <c r="AS7" i="9"/>
  <c r="AT7" i="9"/>
  <c r="AU7" i="9"/>
  <c r="AV7" i="9"/>
  <c r="AW7" i="9"/>
  <c r="AX7" i="9"/>
  <c r="AY7" i="9"/>
  <c r="AZ7" i="9"/>
  <c r="AZ35" i="9" s="1"/>
  <c r="BB7" i="9"/>
  <c r="BC7" i="9"/>
  <c r="BD7" i="9"/>
  <c r="BE7" i="9"/>
  <c r="AJ8" i="9"/>
  <c r="AK8" i="9"/>
  <c r="AL8" i="9"/>
  <c r="AM8" i="9"/>
  <c r="AN8" i="9"/>
  <c r="AO8" i="9"/>
  <c r="AP8" i="9"/>
  <c r="AP35" i="9" s="1"/>
  <c r="AQ8" i="9"/>
  <c r="AR8" i="9"/>
  <c r="AS8" i="9"/>
  <c r="AT8" i="9"/>
  <c r="AU8" i="9"/>
  <c r="AV8" i="9"/>
  <c r="AW8" i="9"/>
  <c r="AX8" i="9"/>
  <c r="AY8" i="9"/>
  <c r="AZ8" i="9"/>
  <c r="BB8" i="9"/>
  <c r="BB35" i="9" s="1"/>
  <c r="BC8" i="9"/>
  <c r="BD8" i="9"/>
  <c r="BE8" i="9"/>
  <c r="AJ9" i="9"/>
  <c r="AK9" i="9"/>
  <c r="AL9" i="9"/>
  <c r="AM9" i="9"/>
  <c r="AN9" i="9"/>
  <c r="AO9" i="9"/>
  <c r="AP9" i="9"/>
  <c r="AQ9" i="9"/>
  <c r="AR9" i="9"/>
  <c r="AR35" i="9" s="1"/>
  <c r="AS9" i="9"/>
  <c r="AT9" i="9"/>
  <c r="AU9" i="9"/>
  <c r="AV9" i="9"/>
  <c r="AW9" i="9"/>
  <c r="AX9" i="9"/>
  <c r="AY9" i="9"/>
  <c r="AZ9" i="9"/>
  <c r="BB9" i="9"/>
  <c r="BC9" i="9"/>
  <c r="BD9" i="9"/>
  <c r="BD35" i="9" s="1"/>
  <c r="BE9" i="9"/>
  <c r="AJ10" i="9"/>
  <c r="AK10" i="9"/>
  <c r="AL10" i="9"/>
  <c r="AM10" i="9"/>
  <c r="AN10" i="9"/>
  <c r="AO10" i="9"/>
  <c r="AP10" i="9"/>
  <c r="AQ10" i="9"/>
  <c r="AR10" i="9"/>
  <c r="AS10" i="9"/>
  <c r="AT10" i="9"/>
  <c r="AU10" i="9"/>
  <c r="AV10" i="9"/>
  <c r="AW10" i="9"/>
  <c r="AX10" i="9"/>
  <c r="AY10" i="9"/>
  <c r="AZ10" i="9"/>
  <c r="BB10" i="9"/>
  <c r="BC10" i="9"/>
  <c r="BD10" i="9"/>
  <c r="BE10" i="9"/>
  <c r="AJ11" i="9"/>
  <c r="AK11" i="9"/>
  <c r="AL11" i="9"/>
  <c r="AM11" i="9"/>
  <c r="AN11" i="9"/>
  <c r="AO11" i="9"/>
  <c r="AP11" i="9"/>
  <c r="AQ11" i="9"/>
  <c r="AR11" i="9"/>
  <c r="AS11" i="9"/>
  <c r="AT11" i="9"/>
  <c r="AU11" i="9"/>
  <c r="AV11" i="9"/>
  <c r="AW11" i="9"/>
  <c r="AX11" i="9"/>
  <c r="AY11" i="9"/>
  <c r="AZ11" i="9"/>
  <c r="BB11" i="9"/>
  <c r="BC11" i="9"/>
  <c r="BD11" i="9"/>
  <c r="BE11" i="9"/>
  <c r="AJ12" i="9"/>
  <c r="AK12" i="9"/>
  <c r="AL12" i="9"/>
  <c r="AM12" i="9"/>
  <c r="AN12" i="9"/>
  <c r="AO12" i="9"/>
  <c r="AP12" i="9"/>
  <c r="AQ12" i="9"/>
  <c r="AR12" i="9"/>
  <c r="AS12" i="9"/>
  <c r="AT12" i="9"/>
  <c r="AU12" i="9"/>
  <c r="AV12" i="9"/>
  <c r="AW12" i="9"/>
  <c r="AX12" i="9"/>
  <c r="AY12" i="9"/>
  <c r="AZ12" i="9"/>
  <c r="BB12" i="9"/>
  <c r="BC12" i="9"/>
  <c r="BD12" i="9"/>
  <c r="BE12" i="9"/>
  <c r="AJ13" i="9"/>
  <c r="AK13" i="9"/>
  <c r="AL13" i="9"/>
  <c r="AM13" i="9"/>
  <c r="AN13" i="9"/>
  <c r="AO13" i="9"/>
  <c r="AP13" i="9"/>
  <c r="AQ13" i="9"/>
  <c r="AR13" i="9"/>
  <c r="AS13" i="9"/>
  <c r="AT13" i="9"/>
  <c r="AU13" i="9"/>
  <c r="AV13" i="9"/>
  <c r="AW13" i="9"/>
  <c r="AX13" i="9"/>
  <c r="AY13" i="9"/>
  <c r="AZ13" i="9"/>
  <c r="BB13" i="9"/>
  <c r="BC13" i="9"/>
  <c r="BD13" i="9"/>
  <c r="BE13" i="9"/>
  <c r="AJ14" i="9"/>
  <c r="AK14" i="9"/>
  <c r="AL14" i="9"/>
  <c r="AM14" i="9"/>
  <c r="AN14" i="9"/>
  <c r="AO14" i="9"/>
  <c r="AP14" i="9"/>
  <c r="AQ14" i="9"/>
  <c r="AR14" i="9"/>
  <c r="AS14" i="9"/>
  <c r="AT14" i="9"/>
  <c r="AU14" i="9"/>
  <c r="AV14" i="9"/>
  <c r="AW14" i="9"/>
  <c r="AX14" i="9"/>
  <c r="AY14" i="9"/>
  <c r="AZ14" i="9"/>
  <c r="BB14" i="9"/>
  <c r="BC14" i="9"/>
  <c r="BD14" i="9"/>
  <c r="BE14" i="9"/>
  <c r="AJ15" i="9"/>
  <c r="AK15" i="9"/>
  <c r="AL15" i="9"/>
  <c r="AM15" i="9"/>
  <c r="AN15" i="9"/>
  <c r="AO15" i="9"/>
  <c r="AP15" i="9"/>
  <c r="AQ15" i="9"/>
  <c r="AR15" i="9"/>
  <c r="AS15" i="9"/>
  <c r="AT15" i="9"/>
  <c r="AU15" i="9"/>
  <c r="AV15" i="9"/>
  <c r="AW15" i="9"/>
  <c r="AX15" i="9"/>
  <c r="AY15" i="9"/>
  <c r="AZ15" i="9"/>
  <c r="BB15" i="9"/>
  <c r="BC15" i="9"/>
  <c r="BD15" i="9"/>
  <c r="BE15" i="9"/>
  <c r="AJ16" i="9"/>
  <c r="AK16" i="9"/>
  <c r="AL16" i="9"/>
  <c r="AM16" i="9"/>
  <c r="AN16" i="9"/>
  <c r="AO16" i="9"/>
  <c r="AP16" i="9"/>
  <c r="AQ16" i="9"/>
  <c r="AR16" i="9"/>
  <c r="AS16" i="9"/>
  <c r="AT16" i="9"/>
  <c r="AU16" i="9"/>
  <c r="AV16" i="9"/>
  <c r="AW16" i="9"/>
  <c r="AX16" i="9"/>
  <c r="AY16" i="9"/>
  <c r="AZ16" i="9"/>
  <c r="BB16" i="9"/>
  <c r="BC16" i="9"/>
  <c r="BD16" i="9"/>
  <c r="BE16" i="9"/>
  <c r="AJ17" i="9"/>
  <c r="AK17" i="9"/>
  <c r="AL17" i="9"/>
  <c r="AM17" i="9"/>
  <c r="AN17" i="9"/>
  <c r="AO17" i="9"/>
  <c r="AP17" i="9"/>
  <c r="AQ17" i="9"/>
  <c r="AR17" i="9"/>
  <c r="AS17" i="9"/>
  <c r="AT17" i="9"/>
  <c r="AU17" i="9"/>
  <c r="AV17" i="9"/>
  <c r="AW17" i="9"/>
  <c r="AX17" i="9"/>
  <c r="AY17" i="9"/>
  <c r="AZ17" i="9"/>
  <c r="BB17" i="9"/>
  <c r="BC17" i="9"/>
  <c r="BD17" i="9"/>
  <c r="BE17" i="9"/>
  <c r="AJ18" i="9"/>
  <c r="AK18" i="9"/>
  <c r="AL18" i="9"/>
  <c r="AM18" i="9"/>
  <c r="AN18" i="9"/>
  <c r="AO18" i="9"/>
  <c r="AP18" i="9"/>
  <c r="AQ18" i="9"/>
  <c r="AR18" i="9"/>
  <c r="AS18" i="9"/>
  <c r="AT18" i="9"/>
  <c r="AU18" i="9"/>
  <c r="AV18" i="9"/>
  <c r="AW18" i="9"/>
  <c r="AX18" i="9"/>
  <c r="AY18" i="9"/>
  <c r="AZ18" i="9"/>
  <c r="BB18" i="9"/>
  <c r="BC18" i="9"/>
  <c r="BD18" i="9"/>
  <c r="BE18" i="9"/>
  <c r="AJ19" i="9"/>
  <c r="AK19" i="9"/>
  <c r="AL19" i="9"/>
  <c r="AM19" i="9"/>
  <c r="AN19" i="9"/>
  <c r="AO19" i="9"/>
  <c r="AP19" i="9"/>
  <c r="AQ19" i="9"/>
  <c r="AR19" i="9"/>
  <c r="AS19" i="9"/>
  <c r="AT19" i="9"/>
  <c r="AU19" i="9"/>
  <c r="AV19" i="9"/>
  <c r="AW19" i="9"/>
  <c r="AX19" i="9"/>
  <c r="AY19" i="9"/>
  <c r="AZ19" i="9"/>
  <c r="BB19" i="9"/>
  <c r="BC19" i="9"/>
  <c r="BD19" i="9"/>
  <c r="BE19" i="9"/>
  <c r="AJ20" i="9"/>
  <c r="AK20" i="9"/>
  <c r="AL20" i="9"/>
  <c r="AM20" i="9"/>
  <c r="AN20" i="9"/>
  <c r="AO20" i="9"/>
  <c r="AO35" i="9" s="1"/>
  <c r="AP20" i="9"/>
  <c r="AQ20" i="9"/>
  <c r="AR20" i="9"/>
  <c r="AS20" i="9"/>
  <c r="AT20" i="9"/>
  <c r="AU20" i="9"/>
  <c r="AV20" i="9"/>
  <c r="AW20" i="9"/>
  <c r="AX20" i="9"/>
  <c r="AY20" i="9"/>
  <c r="AZ20" i="9"/>
  <c r="BB20" i="9"/>
  <c r="BC20" i="9"/>
  <c r="BD20" i="9"/>
  <c r="BE20" i="9"/>
  <c r="AJ21" i="9"/>
  <c r="AK21" i="9"/>
  <c r="AL21" i="9"/>
  <c r="AM21" i="9"/>
  <c r="AN21" i="9"/>
  <c r="AO21" i="9"/>
  <c r="AP21" i="9"/>
  <c r="AQ21" i="9"/>
  <c r="AR21" i="9"/>
  <c r="AS21" i="9"/>
  <c r="AT21" i="9"/>
  <c r="AU21" i="9"/>
  <c r="AV21" i="9"/>
  <c r="AW21" i="9"/>
  <c r="AX21" i="9"/>
  <c r="AY21" i="9"/>
  <c r="AZ21" i="9"/>
  <c r="BB21" i="9"/>
  <c r="BC21" i="9"/>
  <c r="BD21" i="9"/>
  <c r="BE21" i="9"/>
  <c r="AJ22" i="9"/>
  <c r="AK22" i="9"/>
  <c r="AL22" i="9"/>
  <c r="AM22" i="9"/>
  <c r="AN22" i="9"/>
  <c r="AO22" i="9"/>
  <c r="AP22" i="9"/>
  <c r="AQ22" i="9"/>
  <c r="AR22" i="9"/>
  <c r="AS22" i="9"/>
  <c r="AT22" i="9"/>
  <c r="AU22" i="9"/>
  <c r="AV22" i="9"/>
  <c r="AW22" i="9"/>
  <c r="AX22" i="9"/>
  <c r="AY22" i="9"/>
  <c r="AZ22" i="9"/>
  <c r="BB22" i="9"/>
  <c r="BC22" i="9"/>
  <c r="BD22" i="9"/>
  <c r="BE22" i="9"/>
  <c r="AJ23" i="9"/>
  <c r="AK23" i="9"/>
  <c r="AL23" i="9"/>
  <c r="AM23" i="9"/>
  <c r="AN23" i="9"/>
  <c r="AO23" i="9"/>
  <c r="AP23" i="9"/>
  <c r="AQ23" i="9"/>
  <c r="AR23" i="9"/>
  <c r="AS23" i="9"/>
  <c r="AT23" i="9"/>
  <c r="AU23" i="9"/>
  <c r="AV23" i="9"/>
  <c r="AW23" i="9"/>
  <c r="AX23" i="9"/>
  <c r="AY23" i="9"/>
  <c r="AZ23" i="9"/>
  <c r="BB23" i="9"/>
  <c r="BC23" i="9"/>
  <c r="BD23" i="9"/>
  <c r="BE23" i="9"/>
  <c r="AJ24" i="9"/>
  <c r="AK24" i="9"/>
  <c r="AK35" i="9" s="1"/>
  <c r="AL24" i="9"/>
  <c r="AM24" i="9"/>
  <c r="AN24" i="9"/>
  <c r="AO24" i="9"/>
  <c r="AP24" i="9"/>
  <c r="AQ24" i="9"/>
  <c r="AR24" i="9"/>
  <c r="AS24" i="9"/>
  <c r="AT24" i="9"/>
  <c r="AU24" i="9"/>
  <c r="AV24" i="9"/>
  <c r="AW24" i="9"/>
  <c r="AW35" i="9" s="1"/>
  <c r="AX24" i="9"/>
  <c r="AY24" i="9"/>
  <c r="AZ24" i="9"/>
  <c r="BB24" i="9"/>
  <c r="BC24" i="9"/>
  <c r="BD24" i="9"/>
  <c r="BE24" i="9"/>
  <c r="AJ25" i="9"/>
  <c r="AK25" i="9"/>
  <c r="AL25" i="9"/>
  <c r="AM25" i="9"/>
  <c r="AN25" i="9"/>
  <c r="AO25" i="9"/>
  <c r="AP25" i="9"/>
  <c r="AQ25" i="9"/>
  <c r="AR25" i="9"/>
  <c r="AS25" i="9"/>
  <c r="AT25" i="9"/>
  <c r="AU25" i="9"/>
  <c r="AV25" i="9"/>
  <c r="AW25" i="9"/>
  <c r="AX25" i="9"/>
  <c r="AY25" i="9"/>
  <c r="AZ25" i="9"/>
  <c r="BB25" i="9"/>
  <c r="BC25" i="9"/>
  <c r="BD25" i="9"/>
  <c r="BE25" i="9"/>
  <c r="AJ26" i="9"/>
  <c r="AK26" i="9"/>
  <c r="AL26" i="9"/>
  <c r="AM26" i="9"/>
  <c r="AN26" i="9"/>
  <c r="AO26" i="9"/>
  <c r="AP26" i="9"/>
  <c r="AQ26" i="9"/>
  <c r="AR26" i="9"/>
  <c r="AS26" i="9"/>
  <c r="AT26" i="9"/>
  <c r="AU26" i="9"/>
  <c r="AV26" i="9"/>
  <c r="AW26" i="9"/>
  <c r="AX26" i="9"/>
  <c r="AY26" i="9"/>
  <c r="AZ26" i="9"/>
  <c r="BB26" i="9"/>
  <c r="BC26" i="9"/>
  <c r="BD26" i="9"/>
  <c r="BE26" i="9"/>
  <c r="AJ27" i="9"/>
  <c r="AK27" i="9"/>
  <c r="AL27" i="9"/>
  <c r="AM27" i="9"/>
  <c r="AN27" i="9"/>
  <c r="AO27" i="9"/>
  <c r="AP27" i="9"/>
  <c r="AQ27" i="9"/>
  <c r="AR27" i="9"/>
  <c r="AS27" i="9"/>
  <c r="AT27" i="9"/>
  <c r="AU27" i="9"/>
  <c r="AV27" i="9"/>
  <c r="AW27" i="9"/>
  <c r="AX27" i="9"/>
  <c r="AY27" i="9"/>
  <c r="AZ27" i="9"/>
  <c r="BB27" i="9"/>
  <c r="BC27" i="9"/>
  <c r="BD27" i="9"/>
  <c r="BE27" i="9"/>
  <c r="AJ28" i="9"/>
  <c r="AK28" i="9"/>
  <c r="AL28" i="9"/>
  <c r="AM28" i="9"/>
  <c r="AN28" i="9"/>
  <c r="AO28" i="9"/>
  <c r="AP28" i="9"/>
  <c r="AQ28" i="9"/>
  <c r="AR28" i="9"/>
  <c r="AS28" i="9"/>
  <c r="AS35" i="9" s="1"/>
  <c r="AT28" i="9"/>
  <c r="AU28" i="9"/>
  <c r="AV28" i="9"/>
  <c r="AW28" i="9"/>
  <c r="AX28" i="9"/>
  <c r="AY28" i="9"/>
  <c r="AZ28" i="9"/>
  <c r="BB28" i="9"/>
  <c r="BC28" i="9"/>
  <c r="BD28" i="9"/>
  <c r="BE28" i="9"/>
  <c r="AJ29" i="9"/>
  <c r="AK29" i="9"/>
  <c r="AL29" i="9"/>
  <c r="AM29" i="9"/>
  <c r="AN29" i="9"/>
  <c r="AO29" i="9"/>
  <c r="AP29" i="9"/>
  <c r="AQ29" i="9"/>
  <c r="AR29" i="9"/>
  <c r="AS29" i="9"/>
  <c r="AT29" i="9"/>
  <c r="AU29" i="9"/>
  <c r="AV29" i="9"/>
  <c r="AW29" i="9"/>
  <c r="AX29" i="9"/>
  <c r="AY29" i="9"/>
  <c r="AZ29" i="9"/>
  <c r="BB29" i="9"/>
  <c r="BC29" i="9"/>
  <c r="BD29" i="9"/>
  <c r="BE29" i="9"/>
  <c r="AJ30" i="9"/>
  <c r="AK30" i="9"/>
  <c r="AL30" i="9"/>
  <c r="AM30" i="9"/>
  <c r="AN30" i="9"/>
  <c r="AO30" i="9"/>
  <c r="AP30" i="9"/>
  <c r="AQ30" i="9"/>
  <c r="AR30" i="9"/>
  <c r="AS30" i="9"/>
  <c r="AT30" i="9"/>
  <c r="AU30" i="9"/>
  <c r="AV30" i="9"/>
  <c r="AW30" i="9"/>
  <c r="AX30" i="9"/>
  <c r="AY30" i="9"/>
  <c r="AZ30" i="9"/>
  <c r="BB30" i="9"/>
  <c r="BC30" i="9"/>
  <c r="BD30" i="9"/>
  <c r="BE30" i="9"/>
  <c r="AJ31" i="9"/>
  <c r="AK31" i="9"/>
  <c r="AL31" i="9"/>
  <c r="AM31" i="9"/>
  <c r="AM35" i="9" s="1"/>
  <c r="AN31" i="9"/>
  <c r="AO31" i="9"/>
  <c r="AP31" i="9"/>
  <c r="AQ31" i="9"/>
  <c r="AR31" i="9"/>
  <c r="AS31" i="9"/>
  <c r="AT31" i="9"/>
  <c r="AU31" i="9"/>
  <c r="AV31" i="9"/>
  <c r="AW31" i="9"/>
  <c r="AX31" i="9"/>
  <c r="AY31" i="9"/>
  <c r="AY35" i="9" s="1"/>
  <c r="AZ31" i="9"/>
  <c r="BB31" i="9"/>
  <c r="BC31" i="9"/>
  <c r="BD31" i="9"/>
  <c r="BE31" i="9"/>
  <c r="AJ32" i="9"/>
  <c r="AK32" i="9"/>
  <c r="AL32" i="9"/>
  <c r="AM32" i="9"/>
  <c r="AN32" i="9"/>
  <c r="AO32" i="9"/>
  <c r="AP32" i="9"/>
  <c r="AQ32" i="9"/>
  <c r="AR32" i="9"/>
  <c r="AS32" i="9"/>
  <c r="AT32" i="9"/>
  <c r="AU32" i="9"/>
  <c r="AV32" i="9"/>
  <c r="AW32" i="9"/>
  <c r="AX32" i="9"/>
  <c r="AY32" i="9"/>
  <c r="AZ32" i="9"/>
  <c r="BB32" i="9"/>
  <c r="BC32" i="9"/>
  <c r="BD32" i="9"/>
  <c r="BE32" i="9"/>
  <c r="AJ33" i="9"/>
  <c r="AK33" i="9"/>
  <c r="AL33" i="9"/>
  <c r="AM33" i="9"/>
  <c r="AN33" i="9"/>
  <c r="AO33" i="9"/>
  <c r="AP33" i="9"/>
  <c r="AQ33" i="9"/>
  <c r="AR33" i="9"/>
  <c r="AS33" i="9"/>
  <c r="AT33" i="9"/>
  <c r="AU33" i="9"/>
  <c r="AV33" i="9"/>
  <c r="AW33" i="9"/>
  <c r="AX33" i="9"/>
  <c r="AY33" i="9"/>
  <c r="AZ33" i="9"/>
  <c r="BB33" i="9"/>
  <c r="BC33" i="9"/>
  <c r="BC35" i="9" s="1"/>
  <c r="BD33" i="9"/>
  <c r="BE33" i="9"/>
  <c r="BE34" i="9"/>
  <c r="BD34" i="9"/>
  <c r="BC34" i="9"/>
  <c r="BB34" i="9"/>
  <c r="AZ34" i="9"/>
  <c r="AY34" i="9"/>
  <c r="AX34" i="9"/>
  <c r="AW34" i="9"/>
  <c r="AV34" i="9"/>
  <c r="AU34" i="9"/>
  <c r="AU35" i="9" s="1"/>
  <c r="AT34" i="9"/>
  <c r="AQ35" i="9"/>
  <c r="AK34" i="9"/>
  <c r="AL34" i="9"/>
  <c r="AM34" i="9"/>
  <c r="AN34" i="9"/>
  <c r="AO34" i="9"/>
  <c r="AP34" i="9"/>
  <c r="AQ34" i="9"/>
  <c r="AR34" i="9"/>
  <c r="AS34" i="9"/>
  <c r="B4" i="9"/>
  <c r="AC56" i="9"/>
  <c r="AI4" i="9"/>
  <c r="AI5" i="9"/>
  <c r="AI6" i="9"/>
  <c r="AI7" i="9"/>
  <c r="AI8" i="9"/>
  <c r="AI9" i="9"/>
  <c r="AI10" i="9"/>
  <c r="AI11" i="9"/>
  <c r="AI12" i="9"/>
  <c r="AI13" i="9"/>
  <c r="AI14" i="9"/>
  <c r="AI15" i="9"/>
  <c r="AI16" i="9"/>
  <c r="AI17" i="9"/>
  <c r="AI18" i="9"/>
  <c r="AI19" i="9"/>
  <c r="AI20" i="9"/>
  <c r="AI21" i="9"/>
  <c r="AI22" i="9"/>
  <c r="AI23" i="9"/>
  <c r="AI24" i="9"/>
  <c r="AI25" i="9"/>
  <c r="AI26" i="9"/>
  <c r="AI27" i="9"/>
  <c r="AI28" i="9"/>
  <c r="AI29" i="9"/>
  <c r="AI30" i="9"/>
  <c r="AI31" i="9"/>
  <c r="AI32" i="9"/>
  <c r="AI33" i="9"/>
  <c r="AI34" i="9"/>
  <c r="AJ34" i="9"/>
  <c r="BC79" i="9"/>
  <c r="AW79" i="9"/>
  <c r="AT79" i="9"/>
  <c r="AQ79" i="9"/>
  <c r="AN79" i="9"/>
  <c r="BE35" i="9"/>
  <c r="HG36" i="4"/>
  <c r="HF36" i="4"/>
  <c r="HE36" i="4"/>
  <c r="HD36" i="4"/>
  <c r="HC36" i="4"/>
  <c r="HB36" i="4"/>
  <c r="HA36" i="4"/>
  <c r="GZ36" i="4"/>
  <c r="GY36" i="4"/>
  <c r="GX36" i="4"/>
  <c r="GW36" i="4"/>
  <c r="GV36" i="4"/>
  <c r="GU36" i="4"/>
  <c r="GT36" i="4"/>
  <c r="GS36" i="4"/>
  <c r="GR36" i="4"/>
  <c r="GQ36" i="4"/>
  <c r="GP36" i="4"/>
  <c r="GO36" i="4"/>
  <c r="GN36" i="4"/>
  <c r="GM36" i="4"/>
  <c r="GL36" i="4"/>
  <c r="GK36" i="4"/>
  <c r="GJ36" i="4"/>
  <c r="GI36" i="4"/>
  <c r="GH36" i="4"/>
  <c r="GG36" i="4"/>
  <c r="GF36" i="4"/>
  <c r="GE36" i="4"/>
  <c r="GD36" i="4"/>
  <c r="GC36" i="4"/>
  <c r="GB36" i="4"/>
  <c r="GA36" i="4"/>
  <c r="FZ36" i="4"/>
  <c r="FY36" i="4"/>
  <c r="EM36" i="4"/>
  <c r="EL36" i="4"/>
  <c r="EK36" i="4"/>
  <c r="EJ36" i="4"/>
  <c r="EI36" i="4"/>
  <c r="EH36" i="4"/>
  <c r="EG36" i="4"/>
  <c r="EF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S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BS36" i="4"/>
  <c r="BR36" i="4"/>
  <c r="BQ36" i="4"/>
  <c r="BP36" i="4"/>
  <c r="BO36" i="4"/>
  <c r="BN36" i="4"/>
  <c r="BM36" i="4"/>
  <c r="BL36" i="4"/>
  <c r="BK36" i="4"/>
  <c r="BJ36" i="4"/>
  <c r="BI36" i="4"/>
  <c r="BH36" i="4"/>
  <c r="BG36" i="4"/>
  <c r="BF36" i="4"/>
  <c r="BE36" i="4"/>
  <c r="BD36" i="4"/>
  <c r="BC36" i="4"/>
  <c r="BB36" i="4"/>
  <c r="BA36" i="4"/>
  <c r="AZ36" i="4"/>
  <c r="AY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CW115" i="1"/>
  <c r="CX115" i="1"/>
  <c r="CY115" i="1"/>
  <c r="CZ115" i="1"/>
  <c r="DA115" i="1"/>
  <c r="DB115" i="1"/>
  <c r="CW116" i="1"/>
  <c r="CX116" i="1"/>
  <c r="CY116" i="1"/>
  <c r="CZ116" i="1"/>
  <c r="DA116" i="1"/>
  <c r="DA152" i="1" s="1"/>
  <c r="DB116" i="1"/>
  <c r="CW117" i="1"/>
  <c r="CX117" i="1"/>
  <c r="CY117" i="1"/>
  <c r="CZ117" i="1"/>
  <c r="DA117" i="1"/>
  <c r="DB117" i="1"/>
  <c r="CW118" i="1"/>
  <c r="CX118" i="1"/>
  <c r="CY118" i="1"/>
  <c r="CZ118" i="1"/>
  <c r="DA118" i="1"/>
  <c r="DB118" i="1"/>
  <c r="CW119" i="1"/>
  <c r="CX119" i="1"/>
  <c r="CY119" i="1"/>
  <c r="CZ119" i="1"/>
  <c r="DA119" i="1"/>
  <c r="DB119" i="1"/>
  <c r="CW120" i="1"/>
  <c r="CX120" i="1"/>
  <c r="CY120" i="1"/>
  <c r="CZ120" i="1"/>
  <c r="DA120" i="1"/>
  <c r="DA156" i="1" s="1"/>
  <c r="DB120" i="1"/>
  <c r="CW121" i="1"/>
  <c r="CX121" i="1"/>
  <c r="CY121" i="1"/>
  <c r="CZ121" i="1"/>
  <c r="DA121" i="1"/>
  <c r="DB121" i="1"/>
  <c r="CW122" i="1"/>
  <c r="CX122" i="1"/>
  <c r="CY122" i="1"/>
  <c r="CZ122" i="1"/>
  <c r="DA122" i="1"/>
  <c r="DA158" i="1" s="1"/>
  <c r="DB122" i="1"/>
  <c r="CW123" i="1"/>
  <c r="CX123" i="1"/>
  <c r="CY123" i="1"/>
  <c r="CZ123" i="1"/>
  <c r="DA123" i="1"/>
  <c r="DB123" i="1"/>
  <c r="CW124" i="1"/>
  <c r="CX124" i="1"/>
  <c r="CY124" i="1"/>
  <c r="CZ124" i="1"/>
  <c r="DA124" i="1"/>
  <c r="DA160" i="1" s="1"/>
  <c r="DB124" i="1"/>
  <c r="CW125" i="1"/>
  <c r="CX125" i="1"/>
  <c r="CY125" i="1"/>
  <c r="CZ125" i="1"/>
  <c r="DA125" i="1"/>
  <c r="DB125" i="1"/>
  <c r="CW126" i="1"/>
  <c r="CX126" i="1"/>
  <c r="CY126" i="1"/>
  <c r="CZ126" i="1"/>
  <c r="DA126" i="1"/>
  <c r="DA162" i="1" s="1"/>
  <c r="DB126" i="1"/>
  <c r="CW127" i="1"/>
  <c r="CX127" i="1"/>
  <c r="CY127" i="1"/>
  <c r="CZ127" i="1"/>
  <c r="DA127" i="1"/>
  <c r="DB127" i="1"/>
  <c r="CW128" i="1"/>
  <c r="CX128" i="1"/>
  <c r="CY128" i="1"/>
  <c r="CZ128" i="1"/>
  <c r="DA128" i="1"/>
  <c r="DA164" i="1" s="1"/>
  <c r="DB128" i="1"/>
  <c r="CW129" i="1"/>
  <c r="CX129" i="1"/>
  <c r="CY129" i="1"/>
  <c r="CZ129" i="1"/>
  <c r="DA129" i="1"/>
  <c r="DB129" i="1"/>
  <c r="CW130" i="1"/>
  <c r="CX130" i="1"/>
  <c r="CY130" i="1"/>
  <c r="CZ130" i="1"/>
  <c r="DA130" i="1"/>
  <c r="DA166" i="1" s="1"/>
  <c r="DB130" i="1"/>
  <c r="CW131" i="1"/>
  <c r="CX131" i="1"/>
  <c r="CY131" i="1"/>
  <c r="CZ131" i="1"/>
  <c r="DA131" i="1"/>
  <c r="DB131" i="1"/>
  <c r="CW132" i="1"/>
  <c r="CX132" i="1"/>
  <c r="CY132" i="1"/>
  <c r="CZ132" i="1"/>
  <c r="DA132" i="1"/>
  <c r="DB132" i="1"/>
  <c r="CW133" i="1"/>
  <c r="CX133" i="1"/>
  <c r="CY133" i="1"/>
  <c r="CZ133" i="1"/>
  <c r="DA133" i="1"/>
  <c r="DB133" i="1"/>
  <c r="CW134" i="1"/>
  <c r="CX134" i="1"/>
  <c r="CY134" i="1"/>
  <c r="CZ134" i="1"/>
  <c r="DA134" i="1"/>
  <c r="DA170" i="1" s="1"/>
  <c r="DB134" i="1"/>
  <c r="CW135" i="1"/>
  <c r="CX135" i="1"/>
  <c r="CY135" i="1"/>
  <c r="CZ135" i="1"/>
  <c r="DA135" i="1"/>
  <c r="DB135" i="1"/>
  <c r="CW136" i="1"/>
  <c r="CX136" i="1"/>
  <c r="CY136" i="1"/>
  <c r="CZ136" i="1"/>
  <c r="DA136" i="1"/>
  <c r="DA172" i="1" s="1"/>
  <c r="DB136" i="1"/>
  <c r="CW137" i="1"/>
  <c r="CX137" i="1"/>
  <c r="CY137" i="1"/>
  <c r="CZ137" i="1"/>
  <c r="DA137" i="1"/>
  <c r="DB137" i="1"/>
  <c r="CW138" i="1"/>
  <c r="CX138" i="1"/>
  <c r="CY138" i="1"/>
  <c r="CZ138" i="1"/>
  <c r="DA138" i="1"/>
  <c r="DB138" i="1"/>
  <c r="CW139" i="1"/>
  <c r="CX139" i="1"/>
  <c r="CY139" i="1"/>
  <c r="CZ139" i="1"/>
  <c r="DA139" i="1"/>
  <c r="DB139" i="1"/>
  <c r="CW140" i="1"/>
  <c r="CX140" i="1"/>
  <c r="CY140" i="1"/>
  <c r="CZ140" i="1"/>
  <c r="DA140" i="1"/>
  <c r="DA176" i="1" s="1"/>
  <c r="DB140" i="1"/>
  <c r="CW141" i="1"/>
  <c r="CX141" i="1"/>
  <c r="CY141" i="1"/>
  <c r="CZ141" i="1"/>
  <c r="DA141" i="1"/>
  <c r="DB141" i="1"/>
  <c r="CW142" i="1"/>
  <c r="CX142" i="1"/>
  <c r="CY142" i="1"/>
  <c r="CZ142" i="1"/>
  <c r="DA142" i="1"/>
  <c r="DA178" i="1" s="1"/>
  <c r="DB142" i="1"/>
  <c r="CW143" i="1"/>
  <c r="CX143" i="1"/>
  <c r="CY143" i="1"/>
  <c r="CZ143" i="1"/>
  <c r="DA143" i="1"/>
  <c r="DB143" i="1"/>
  <c r="CW144" i="1"/>
  <c r="CX144" i="1"/>
  <c r="CY144" i="1"/>
  <c r="CZ144" i="1"/>
  <c r="DA144" i="1"/>
  <c r="DA180" i="1" s="1"/>
  <c r="DB144" i="1"/>
  <c r="CW145" i="1"/>
  <c r="CX145" i="1"/>
  <c r="CY145" i="1"/>
  <c r="CZ145" i="1"/>
  <c r="DA145" i="1"/>
  <c r="DB145" i="1"/>
  <c r="FA177" i="1"/>
  <c r="EA172" i="1"/>
  <c r="HA168" i="1"/>
  <c r="DH167" i="1"/>
  <c r="FR165" i="1"/>
  <c r="GX164" i="1"/>
  <c r="FA164" i="1"/>
  <c r="DE164" i="1"/>
  <c r="FV163" i="1"/>
  <c r="EN163" i="1"/>
  <c r="DD163" i="1"/>
  <c r="FT162" i="1"/>
  <c r="EK162" i="1"/>
  <c r="DC162" i="1"/>
  <c r="FT161" i="1"/>
  <c r="EJ161" i="1"/>
  <c r="EI160" i="1"/>
  <c r="FS159" i="1"/>
  <c r="EI159" i="1"/>
  <c r="GZ158" i="1"/>
  <c r="FT158" i="1"/>
  <c r="EJ158" i="1"/>
  <c r="DD158" i="1"/>
  <c r="GG157" i="1"/>
  <c r="FJ157" i="1"/>
  <c r="EM157" i="1"/>
  <c r="GW156" i="1"/>
  <c r="FZ156" i="1"/>
  <c r="FB156" i="1"/>
  <c r="EF156" i="1"/>
  <c r="DJ156" i="1"/>
  <c r="GO155" i="1"/>
  <c r="FT155" i="1"/>
  <c r="FA155" i="1"/>
  <c r="EF155" i="1"/>
  <c r="GQ154" i="1"/>
  <c r="FW154" i="1"/>
  <c r="FB154" i="1"/>
  <c r="EG154" i="1"/>
  <c r="DN154" i="1"/>
  <c r="FG153" i="1"/>
  <c r="ET153" i="1"/>
  <c r="EG153" i="1"/>
  <c r="DT153" i="1"/>
  <c r="DG153" i="1"/>
  <c r="GU152" i="1"/>
  <c r="GH152" i="1"/>
  <c r="FH152" i="1"/>
  <c r="EG152" i="1"/>
  <c r="DT152" i="1"/>
  <c r="DG152" i="1"/>
  <c r="GU151" i="1"/>
  <c r="GH151" i="1"/>
  <c r="FU151" i="1"/>
  <c r="FH151" i="1"/>
  <c r="EU151" i="1"/>
  <c r="HC145" i="1"/>
  <c r="HC181" i="1" s="1"/>
  <c r="HB145" i="1"/>
  <c r="HB181" i="1" s="1"/>
  <c r="HA145" i="1"/>
  <c r="HA181" i="1" s="1"/>
  <c r="GZ145" i="1"/>
  <c r="GZ181" i="1" s="1"/>
  <c r="GY145" i="1"/>
  <c r="GY181" i="1" s="1"/>
  <c r="GX145" i="1"/>
  <c r="GX181" i="1" s="1"/>
  <c r="GW145" i="1"/>
  <c r="GW181" i="1" s="1"/>
  <c r="GV145" i="1"/>
  <c r="GV181" i="1" s="1"/>
  <c r="GU145" i="1"/>
  <c r="GU181" i="1" s="1"/>
  <c r="GT145" i="1"/>
  <c r="GT181" i="1" s="1"/>
  <c r="GS145" i="1"/>
  <c r="GS181" i="1" s="1"/>
  <c r="GR145" i="1"/>
  <c r="GR181" i="1" s="1"/>
  <c r="GQ145" i="1"/>
  <c r="GQ181" i="1" s="1"/>
  <c r="GP145" i="1"/>
  <c r="GP181" i="1" s="1"/>
  <c r="GO145" i="1"/>
  <c r="GO181" i="1" s="1"/>
  <c r="GN145" i="1"/>
  <c r="GN181" i="1" s="1"/>
  <c r="GM145" i="1"/>
  <c r="GM181" i="1" s="1"/>
  <c r="GL145" i="1"/>
  <c r="GL181" i="1" s="1"/>
  <c r="GK145" i="1"/>
  <c r="GK181" i="1" s="1"/>
  <c r="GJ145" i="1"/>
  <c r="GJ181" i="1" s="1"/>
  <c r="GI145" i="1"/>
  <c r="GI181" i="1" s="1"/>
  <c r="GH145" i="1"/>
  <c r="GH181" i="1" s="1"/>
  <c r="GG145" i="1"/>
  <c r="GG181" i="1" s="1"/>
  <c r="GF145" i="1"/>
  <c r="GF181" i="1" s="1"/>
  <c r="GE145" i="1"/>
  <c r="GE181" i="1" s="1"/>
  <c r="GD145" i="1"/>
  <c r="GD181" i="1" s="1"/>
  <c r="GC145" i="1"/>
  <c r="GC181" i="1" s="1"/>
  <c r="GB145" i="1"/>
  <c r="GB181" i="1" s="1"/>
  <c r="GA145" i="1"/>
  <c r="GA181" i="1" s="1"/>
  <c r="FZ145" i="1"/>
  <c r="FZ181" i="1" s="1"/>
  <c r="FY145" i="1"/>
  <c r="FY181" i="1" s="1"/>
  <c r="FX145" i="1"/>
  <c r="FX181" i="1" s="1"/>
  <c r="FW145" i="1"/>
  <c r="FW181" i="1" s="1"/>
  <c r="FV145" i="1"/>
  <c r="FV181" i="1" s="1"/>
  <c r="FU145" i="1"/>
  <c r="FU181" i="1" s="1"/>
  <c r="FT145" i="1"/>
  <c r="FT181" i="1" s="1"/>
  <c r="FS145" i="1"/>
  <c r="FS181" i="1" s="1"/>
  <c r="FR145" i="1"/>
  <c r="FR181" i="1" s="1"/>
  <c r="FQ145" i="1"/>
  <c r="FQ181" i="1" s="1"/>
  <c r="FP145" i="1"/>
  <c r="FP181" i="1" s="1"/>
  <c r="FO145" i="1"/>
  <c r="FO181" i="1" s="1"/>
  <c r="FN145" i="1"/>
  <c r="FN181" i="1" s="1"/>
  <c r="FM145" i="1"/>
  <c r="FM181" i="1" s="1"/>
  <c r="FL145" i="1"/>
  <c r="FL181" i="1" s="1"/>
  <c r="FK145" i="1"/>
  <c r="FK181" i="1" s="1"/>
  <c r="FJ145" i="1"/>
  <c r="FJ181" i="1" s="1"/>
  <c r="FI145" i="1"/>
  <c r="FI181" i="1" s="1"/>
  <c r="FH145" i="1"/>
  <c r="FH181" i="1" s="1"/>
  <c r="FG145" i="1"/>
  <c r="FG181" i="1" s="1"/>
  <c r="FF145" i="1"/>
  <c r="FF181" i="1" s="1"/>
  <c r="FE145" i="1"/>
  <c r="FE181" i="1" s="1"/>
  <c r="FD145" i="1"/>
  <c r="FD181" i="1" s="1"/>
  <c r="FC145" i="1"/>
  <c r="FC181" i="1" s="1"/>
  <c r="FB145" i="1"/>
  <c r="FB181" i="1" s="1"/>
  <c r="FA145" i="1"/>
  <c r="FA181" i="1" s="1"/>
  <c r="EZ145" i="1"/>
  <c r="EZ181" i="1" s="1"/>
  <c r="EY145" i="1"/>
  <c r="EY181" i="1" s="1"/>
  <c r="EX145" i="1"/>
  <c r="EX181" i="1" s="1"/>
  <c r="EW145" i="1"/>
  <c r="EW181" i="1" s="1"/>
  <c r="EV145" i="1"/>
  <c r="EV181" i="1" s="1"/>
  <c r="EU145" i="1"/>
  <c r="EU181" i="1" s="1"/>
  <c r="ET145" i="1"/>
  <c r="ET181" i="1" s="1"/>
  <c r="ES145" i="1"/>
  <c r="ES181" i="1" s="1"/>
  <c r="ER145" i="1"/>
  <c r="ER181" i="1" s="1"/>
  <c r="EQ145" i="1"/>
  <c r="EQ181" i="1" s="1"/>
  <c r="EP145" i="1"/>
  <c r="EP181" i="1" s="1"/>
  <c r="EO145" i="1"/>
  <c r="EO181" i="1" s="1"/>
  <c r="EN145" i="1"/>
  <c r="EN181" i="1" s="1"/>
  <c r="EM145" i="1"/>
  <c r="EM181" i="1" s="1"/>
  <c r="EL145" i="1"/>
  <c r="EL181" i="1" s="1"/>
  <c r="EK145" i="1"/>
  <c r="EK181" i="1" s="1"/>
  <c r="EJ145" i="1"/>
  <c r="EJ181" i="1" s="1"/>
  <c r="EI145" i="1"/>
  <c r="EI181" i="1" s="1"/>
  <c r="EH145" i="1"/>
  <c r="EH181" i="1" s="1"/>
  <c r="EG145" i="1"/>
  <c r="EG181" i="1" s="1"/>
  <c r="EF145" i="1"/>
  <c r="EF181" i="1" s="1"/>
  <c r="EE145" i="1"/>
  <c r="EE181" i="1" s="1"/>
  <c r="ED145" i="1"/>
  <c r="ED181" i="1" s="1"/>
  <c r="EC145" i="1"/>
  <c r="EC181" i="1" s="1"/>
  <c r="EB145" i="1"/>
  <c r="EB181" i="1" s="1"/>
  <c r="EA145" i="1"/>
  <c r="EA181" i="1" s="1"/>
  <c r="DZ145" i="1"/>
  <c r="DZ181" i="1" s="1"/>
  <c r="DY145" i="1"/>
  <c r="DY181" i="1" s="1"/>
  <c r="DX145" i="1"/>
  <c r="DX181" i="1" s="1"/>
  <c r="DW145" i="1"/>
  <c r="DW181" i="1" s="1"/>
  <c r="DV145" i="1"/>
  <c r="DV181" i="1" s="1"/>
  <c r="DU145" i="1"/>
  <c r="DU181" i="1" s="1"/>
  <c r="DT145" i="1"/>
  <c r="DT181" i="1" s="1"/>
  <c r="DS145" i="1"/>
  <c r="DS181" i="1" s="1"/>
  <c r="DR145" i="1"/>
  <c r="DR181" i="1" s="1"/>
  <c r="DQ145" i="1"/>
  <c r="DQ181" i="1" s="1"/>
  <c r="DP145" i="1"/>
  <c r="DP181" i="1" s="1"/>
  <c r="DO145" i="1"/>
  <c r="DO181" i="1" s="1"/>
  <c r="DN145" i="1"/>
  <c r="DN181" i="1" s="1"/>
  <c r="DM145" i="1"/>
  <c r="DM181" i="1" s="1"/>
  <c r="DL145" i="1"/>
  <c r="DL181" i="1" s="1"/>
  <c r="DK145" i="1"/>
  <c r="DK181" i="1" s="1"/>
  <c r="DJ145" i="1"/>
  <c r="DJ181" i="1" s="1"/>
  <c r="DI145" i="1"/>
  <c r="DI181" i="1" s="1"/>
  <c r="DH145" i="1"/>
  <c r="DH181" i="1" s="1"/>
  <c r="DG145" i="1"/>
  <c r="DG181" i="1" s="1"/>
  <c r="DF145" i="1"/>
  <c r="DF181" i="1" s="1"/>
  <c r="DE145" i="1"/>
  <c r="DE181" i="1" s="1"/>
  <c r="DD145" i="1"/>
  <c r="DD181" i="1" s="1"/>
  <c r="DC145" i="1"/>
  <c r="DC181" i="1" s="1"/>
  <c r="HC144" i="1"/>
  <c r="HC180" i="1" s="1"/>
  <c r="HB144" i="1"/>
  <c r="HB180" i="1" s="1"/>
  <c r="HA144" i="1"/>
  <c r="HA180" i="1" s="1"/>
  <c r="GZ144" i="1"/>
  <c r="GZ180" i="1" s="1"/>
  <c r="GY144" i="1"/>
  <c r="GY180" i="1" s="1"/>
  <c r="GX144" i="1"/>
  <c r="GX180" i="1" s="1"/>
  <c r="GW144" i="1"/>
  <c r="GW180" i="1" s="1"/>
  <c r="GV144" i="1"/>
  <c r="GV180" i="1" s="1"/>
  <c r="GU144" i="1"/>
  <c r="GU180" i="1" s="1"/>
  <c r="GT144" i="1"/>
  <c r="GT180" i="1" s="1"/>
  <c r="GS144" i="1"/>
  <c r="GS180" i="1" s="1"/>
  <c r="GR144" i="1"/>
  <c r="GR180" i="1" s="1"/>
  <c r="GQ144" i="1"/>
  <c r="GQ180" i="1" s="1"/>
  <c r="GP144" i="1"/>
  <c r="GP180" i="1" s="1"/>
  <c r="GO144" i="1"/>
  <c r="GO180" i="1" s="1"/>
  <c r="GN144" i="1"/>
  <c r="GN180" i="1" s="1"/>
  <c r="GM144" i="1"/>
  <c r="GM180" i="1" s="1"/>
  <c r="GL144" i="1"/>
  <c r="GL180" i="1" s="1"/>
  <c r="GK144" i="1"/>
  <c r="GK180" i="1" s="1"/>
  <c r="GJ144" i="1"/>
  <c r="GJ180" i="1" s="1"/>
  <c r="GI144" i="1"/>
  <c r="GI180" i="1" s="1"/>
  <c r="GH144" i="1"/>
  <c r="GH180" i="1" s="1"/>
  <c r="GG144" i="1"/>
  <c r="GG180" i="1" s="1"/>
  <c r="GF144" i="1"/>
  <c r="GF180" i="1" s="1"/>
  <c r="GE144" i="1"/>
  <c r="GE180" i="1" s="1"/>
  <c r="GD144" i="1"/>
  <c r="GD180" i="1" s="1"/>
  <c r="GC144" i="1"/>
  <c r="GC180" i="1" s="1"/>
  <c r="GB144" i="1"/>
  <c r="GB180" i="1" s="1"/>
  <c r="GA144" i="1"/>
  <c r="GA180" i="1" s="1"/>
  <c r="FZ144" i="1"/>
  <c r="FZ180" i="1" s="1"/>
  <c r="FY144" i="1"/>
  <c r="FY180" i="1" s="1"/>
  <c r="FX144" i="1"/>
  <c r="FX180" i="1" s="1"/>
  <c r="FW144" i="1"/>
  <c r="FW180" i="1" s="1"/>
  <c r="FV144" i="1"/>
  <c r="FV180" i="1" s="1"/>
  <c r="FU144" i="1"/>
  <c r="FU180" i="1" s="1"/>
  <c r="FT144" i="1"/>
  <c r="FT180" i="1" s="1"/>
  <c r="FS144" i="1"/>
  <c r="FS180" i="1" s="1"/>
  <c r="FR144" i="1"/>
  <c r="FR180" i="1" s="1"/>
  <c r="FQ144" i="1"/>
  <c r="FQ180" i="1" s="1"/>
  <c r="FP144" i="1"/>
  <c r="FP180" i="1" s="1"/>
  <c r="FO144" i="1"/>
  <c r="FO180" i="1" s="1"/>
  <c r="FN144" i="1"/>
  <c r="FN180" i="1" s="1"/>
  <c r="FM144" i="1"/>
  <c r="FM180" i="1" s="1"/>
  <c r="FL144" i="1"/>
  <c r="FL180" i="1" s="1"/>
  <c r="FK144" i="1"/>
  <c r="FK180" i="1" s="1"/>
  <c r="FJ144" i="1"/>
  <c r="FJ180" i="1" s="1"/>
  <c r="FI144" i="1"/>
  <c r="FI180" i="1" s="1"/>
  <c r="FH144" i="1"/>
  <c r="FH180" i="1" s="1"/>
  <c r="FG144" i="1"/>
  <c r="FG180" i="1" s="1"/>
  <c r="FF144" i="1"/>
  <c r="FF180" i="1" s="1"/>
  <c r="FE144" i="1"/>
  <c r="FE180" i="1" s="1"/>
  <c r="FD144" i="1"/>
  <c r="FD180" i="1" s="1"/>
  <c r="FC144" i="1"/>
  <c r="FC180" i="1" s="1"/>
  <c r="FB144" i="1"/>
  <c r="FB180" i="1" s="1"/>
  <c r="FA144" i="1"/>
  <c r="FA180" i="1" s="1"/>
  <c r="EZ144" i="1"/>
  <c r="EZ180" i="1" s="1"/>
  <c r="EY144" i="1"/>
  <c r="EY180" i="1" s="1"/>
  <c r="EX144" i="1"/>
  <c r="EX180" i="1" s="1"/>
  <c r="EW144" i="1"/>
  <c r="EW180" i="1" s="1"/>
  <c r="EV144" i="1"/>
  <c r="EV180" i="1" s="1"/>
  <c r="EU144" i="1"/>
  <c r="EU180" i="1" s="1"/>
  <c r="ET144" i="1"/>
  <c r="ET180" i="1" s="1"/>
  <c r="ES144" i="1"/>
  <c r="ES180" i="1" s="1"/>
  <c r="ER144" i="1"/>
  <c r="ER180" i="1" s="1"/>
  <c r="EQ144" i="1"/>
  <c r="EQ180" i="1" s="1"/>
  <c r="EP144" i="1"/>
  <c r="EP180" i="1" s="1"/>
  <c r="EO144" i="1"/>
  <c r="EO180" i="1" s="1"/>
  <c r="EN144" i="1"/>
  <c r="EN180" i="1" s="1"/>
  <c r="EM144" i="1"/>
  <c r="EM180" i="1" s="1"/>
  <c r="EL144" i="1"/>
  <c r="EL180" i="1" s="1"/>
  <c r="EK144" i="1"/>
  <c r="EK180" i="1" s="1"/>
  <c r="EJ144" i="1"/>
  <c r="EJ180" i="1" s="1"/>
  <c r="EI144" i="1"/>
  <c r="EI180" i="1" s="1"/>
  <c r="EH144" i="1"/>
  <c r="EH180" i="1" s="1"/>
  <c r="EG144" i="1"/>
  <c r="EG180" i="1" s="1"/>
  <c r="EF144" i="1"/>
  <c r="EF180" i="1" s="1"/>
  <c r="EE144" i="1"/>
  <c r="EE180" i="1" s="1"/>
  <c r="ED144" i="1"/>
  <c r="ED180" i="1" s="1"/>
  <c r="EC144" i="1"/>
  <c r="EC180" i="1" s="1"/>
  <c r="EB144" i="1"/>
  <c r="EB180" i="1" s="1"/>
  <c r="EA144" i="1"/>
  <c r="EA180" i="1" s="1"/>
  <c r="DZ144" i="1"/>
  <c r="DZ180" i="1" s="1"/>
  <c r="DY144" i="1"/>
  <c r="DY180" i="1" s="1"/>
  <c r="DX144" i="1"/>
  <c r="DX180" i="1" s="1"/>
  <c r="DW144" i="1"/>
  <c r="DW180" i="1" s="1"/>
  <c r="DV144" i="1"/>
  <c r="DV180" i="1" s="1"/>
  <c r="DU144" i="1"/>
  <c r="DU180" i="1" s="1"/>
  <c r="DT144" i="1"/>
  <c r="DT180" i="1" s="1"/>
  <c r="DS144" i="1"/>
  <c r="DS180" i="1" s="1"/>
  <c r="DR144" i="1"/>
  <c r="DR180" i="1" s="1"/>
  <c r="DQ144" i="1"/>
  <c r="DQ180" i="1" s="1"/>
  <c r="DP144" i="1"/>
  <c r="DP180" i="1" s="1"/>
  <c r="DO144" i="1"/>
  <c r="DO180" i="1" s="1"/>
  <c r="DN144" i="1"/>
  <c r="DN180" i="1" s="1"/>
  <c r="DM144" i="1"/>
  <c r="DM180" i="1" s="1"/>
  <c r="DL144" i="1"/>
  <c r="DL180" i="1" s="1"/>
  <c r="DK144" i="1"/>
  <c r="DK180" i="1" s="1"/>
  <c r="DJ144" i="1"/>
  <c r="DJ180" i="1" s="1"/>
  <c r="DI144" i="1"/>
  <c r="DI180" i="1" s="1"/>
  <c r="DH144" i="1"/>
  <c r="DH180" i="1" s="1"/>
  <c r="DG144" i="1"/>
  <c r="DG180" i="1" s="1"/>
  <c r="DF144" i="1"/>
  <c r="DF180" i="1" s="1"/>
  <c r="DE144" i="1"/>
  <c r="DE180" i="1" s="1"/>
  <c r="DD144" i="1"/>
  <c r="DD180" i="1" s="1"/>
  <c r="DC144" i="1"/>
  <c r="DC180" i="1" s="1"/>
  <c r="HC143" i="1"/>
  <c r="HC179" i="1" s="1"/>
  <c r="HB143" i="1"/>
  <c r="HB179" i="1" s="1"/>
  <c r="HA143" i="1"/>
  <c r="HA179" i="1" s="1"/>
  <c r="GZ143" i="1"/>
  <c r="GZ179" i="1" s="1"/>
  <c r="GY143" i="1"/>
  <c r="GY179" i="1" s="1"/>
  <c r="GX143" i="1"/>
  <c r="GX179" i="1" s="1"/>
  <c r="GW143" i="1"/>
  <c r="GW179" i="1" s="1"/>
  <c r="GV143" i="1"/>
  <c r="GV179" i="1" s="1"/>
  <c r="GU143" i="1"/>
  <c r="GU179" i="1" s="1"/>
  <c r="GT143" i="1"/>
  <c r="GT179" i="1" s="1"/>
  <c r="GS143" i="1"/>
  <c r="GS179" i="1" s="1"/>
  <c r="GR143" i="1"/>
  <c r="GR179" i="1" s="1"/>
  <c r="GQ143" i="1"/>
  <c r="GQ179" i="1" s="1"/>
  <c r="GP143" i="1"/>
  <c r="GP179" i="1" s="1"/>
  <c r="GO143" i="1"/>
  <c r="GO179" i="1" s="1"/>
  <c r="GN143" i="1"/>
  <c r="GN179" i="1" s="1"/>
  <c r="GM143" i="1"/>
  <c r="GM179" i="1" s="1"/>
  <c r="GL143" i="1"/>
  <c r="GL179" i="1" s="1"/>
  <c r="GK143" i="1"/>
  <c r="GK179" i="1" s="1"/>
  <c r="GJ143" i="1"/>
  <c r="GJ179" i="1" s="1"/>
  <c r="GI143" i="1"/>
  <c r="GI179" i="1" s="1"/>
  <c r="GH143" i="1"/>
  <c r="GH179" i="1" s="1"/>
  <c r="GG143" i="1"/>
  <c r="GG179" i="1" s="1"/>
  <c r="GF143" i="1"/>
  <c r="GF179" i="1" s="1"/>
  <c r="GE143" i="1"/>
  <c r="GE179" i="1" s="1"/>
  <c r="GD143" i="1"/>
  <c r="GD179" i="1" s="1"/>
  <c r="GC143" i="1"/>
  <c r="GC179" i="1" s="1"/>
  <c r="GB143" i="1"/>
  <c r="GB179" i="1" s="1"/>
  <c r="GA143" i="1"/>
  <c r="GA179" i="1" s="1"/>
  <c r="FZ143" i="1"/>
  <c r="FZ179" i="1" s="1"/>
  <c r="FY143" i="1"/>
  <c r="FY179" i="1" s="1"/>
  <c r="FX143" i="1"/>
  <c r="FX179" i="1" s="1"/>
  <c r="FW143" i="1"/>
  <c r="FW179" i="1" s="1"/>
  <c r="FV143" i="1"/>
  <c r="FV179" i="1" s="1"/>
  <c r="FU143" i="1"/>
  <c r="FU179" i="1" s="1"/>
  <c r="FT143" i="1"/>
  <c r="FT179" i="1" s="1"/>
  <c r="FS143" i="1"/>
  <c r="FS179" i="1" s="1"/>
  <c r="FR143" i="1"/>
  <c r="FR179" i="1" s="1"/>
  <c r="FQ143" i="1"/>
  <c r="FQ179" i="1" s="1"/>
  <c r="FP143" i="1"/>
  <c r="FP179" i="1" s="1"/>
  <c r="FO143" i="1"/>
  <c r="FO179" i="1" s="1"/>
  <c r="FN143" i="1"/>
  <c r="FN179" i="1" s="1"/>
  <c r="FM143" i="1"/>
  <c r="FM179" i="1" s="1"/>
  <c r="FL143" i="1"/>
  <c r="FL179" i="1" s="1"/>
  <c r="FK143" i="1"/>
  <c r="FK179" i="1" s="1"/>
  <c r="FJ143" i="1"/>
  <c r="FJ179" i="1" s="1"/>
  <c r="FI143" i="1"/>
  <c r="FI179" i="1" s="1"/>
  <c r="FH143" i="1"/>
  <c r="FH179" i="1" s="1"/>
  <c r="FG143" i="1"/>
  <c r="FG179" i="1" s="1"/>
  <c r="FF143" i="1"/>
  <c r="FF179" i="1" s="1"/>
  <c r="FE143" i="1"/>
  <c r="FE179" i="1" s="1"/>
  <c r="FD143" i="1"/>
  <c r="FD179" i="1" s="1"/>
  <c r="FC143" i="1"/>
  <c r="FC179" i="1" s="1"/>
  <c r="FB143" i="1"/>
  <c r="FB179" i="1" s="1"/>
  <c r="FA143" i="1"/>
  <c r="FA179" i="1" s="1"/>
  <c r="EZ143" i="1"/>
  <c r="EZ179" i="1" s="1"/>
  <c r="EY143" i="1"/>
  <c r="EY179" i="1" s="1"/>
  <c r="EX143" i="1"/>
  <c r="EX179" i="1" s="1"/>
  <c r="EW143" i="1"/>
  <c r="EW179" i="1" s="1"/>
  <c r="EV143" i="1"/>
  <c r="EV179" i="1" s="1"/>
  <c r="EU143" i="1"/>
  <c r="EU179" i="1" s="1"/>
  <c r="ET143" i="1"/>
  <c r="ET179" i="1" s="1"/>
  <c r="ES143" i="1"/>
  <c r="ES179" i="1" s="1"/>
  <c r="ER143" i="1"/>
  <c r="ER179" i="1" s="1"/>
  <c r="EQ143" i="1"/>
  <c r="EQ179" i="1" s="1"/>
  <c r="EP143" i="1"/>
  <c r="EP179" i="1" s="1"/>
  <c r="EO143" i="1"/>
  <c r="EO179" i="1" s="1"/>
  <c r="EN143" i="1"/>
  <c r="EN179" i="1" s="1"/>
  <c r="EM143" i="1"/>
  <c r="EM179" i="1" s="1"/>
  <c r="EL143" i="1"/>
  <c r="EL179" i="1" s="1"/>
  <c r="EK143" i="1"/>
  <c r="EK179" i="1" s="1"/>
  <c r="EJ143" i="1"/>
  <c r="EJ179" i="1" s="1"/>
  <c r="EI143" i="1"/>
  <c r="EI179" i="1" s="1"/>
  <c r="EH143" i="1"/>
  <c r="EH179" i="1" s="1"/>
  <c r="EG143" i="1"/>
  <c r="EG179" i="1" s="1"/>
  <c r="EF143" i="1"/>
  <c r="EF179" i="1" s="1"/>
  <c r="EE143" i="1"/>
  <c r="EE179" i="1" s="1"/>
  <c r="ED143" i="1"/>
  <c r="ED179" i="1" s="1"/>
  <c r="EC143" i="1"/>
  <c r="EC179" i="1" s="1"/>
  <c r="EB143" i="1"/>
  <c r="EB179" i="1" s="1"/>
  <c r="EA143" i="1"/>
  <c r="EA179" i="1" s="1"/>
  <c r="DZ143" i="1"/>
  <c r="DZ179" i="1" s="1"/>
  <c r="DY143" i="1"/>
  <c r="DY179" i="1" s="1"/>
  <c r="DX143" i="1"/>
  <c r="DX179" i="1" s="1"/>
  <c r="DW143" i="1"/>
  <c r="DW179" i="1" s="1"/>
  <c r="DV143" i="1"/>
  <c r="DV179" i="1" s="1"/>
  <c r="DU143" i="1"/>
  <c r="DU179" i="1" s="1"/>
  <c r="DT143" i="1"/>
  <c r="DT179" i="1" s="1"/>
  <c r="DS143" i="1"/>
  <c r="DS179" i="1" s="1"/>
  <c r="DR143" i="1"/>
  <c r="DR179" i="1" s="1"/>
  <c r="DQ143" i="1"/>
  <c r="DQ179" i="1" s="1"/>
  <c r="DP143" i="1"/>
  <c r="DP179" i="1" s="1"/>
  <c r="DO143" i="1"/>
  <c r="DO179" i="1" s="1"/>
  <c r="DN143" i="1"/>
  <c r="DN179" i="1" s="1"/>
  <c r="DM143" i="1"/>
  <c r="DM179" i="1" s="1"/>
  <c r="DL143" i="1"/>
  <c r="DL179" i="1" s="1"/>
  <c r="DK143" i="1"/>
  <c r="DK179" i="1" s="1"/>
  <c r="DJ143" i="1"/>
  <c r="DJ179" i="1" s="1"/>
  <c r="DI143" i="1"/>
  <c r="DI179" i="1" s="1"/>
  <c r="DH143" i="1"/>
  <c r="DH179" i="1" s="1"/>
  <c r="DG143" i="1"/>
  <c r="DG179" i="1" s="1"/>
  <c r="DF143" i="1"/>
  <c r="DF179" i="1" s="1"/>
  <c r="DE143" i="1"/>
  <c r="DE179" i="1" s="1"/>
  <c r="DD143" i="1"/>
  <c r="DD179" i="1" s="1"/>
  <c r="DC143" i="1"/>
  <c r="DC179" i="1" s="1"/>
  <c r="HC142" i="1"/>
  <c r="HC178" i="1" s="1"/>
  <c r="HB142" i="1"/>
  <c r="HB178" i="1" s="1"/>
  <c r="HA142" i="1"/>
  <c r="HA178" i="1" s="1"/>
  <c r="GZ142" i="1"/>
  <c r="GZ178" i="1" s="1"/>
  <c r="GY142" i="1"/>
  <c r="GY178" i="1" s="1"/>
  <c r="GX142" i="1"/>
  <c r="GX178" i="1" s="1"/>
  <c r="GW142" i="1"/>
  <c r="GW178" i="1" s="1"/>
  <c r="GV142" i="1"/>
  <c r="GV178" i="1" s="1"/>
  <c r="GU142" i="1"/>
  <c r="GU178" i="1" s="1"/>
  <c r="GT142" i="1"/>
  <c r="GT178" i="1" s="1"/>
  <c r="GS142" i="1"/>
  <c r="GS178" i="1" s="1"/>
  <c r="GR142" i="1"/>
  <c r="GR178" i="1" s="1"/>
  <c r="GQ142" i="1"/>
  <c r="GQ178" i="1" s="1"/>
  <c r="GP142" i="1"/>
  <c r="GP178" i="1" s="1"/>
  <c r="GO142" i="1"/>
  <c r="GO178" i="1" s="1"/>
  <c r="GN142" i="1"/>
  <c r="GN178" i="1" s="1"/>
  <c r="GM142" i="1"/>
  <c r="GM178" i="1" s="1"/>
  <c r="GL142" i="1"/>
  <c r="GL178" i="1" s="1"/>
  <c r="GK142" i="1"/>
  <c r="GK178" i="1" s="1"/>
  <c r="GJ142" i="1"/>
  <c r="GJ178" i="1" s="1"/>
  <c r="GI142" i="1"/>
  <c r="GI178" i="1" s="1"/>
  <c r="GH142" i="1"/>
  <c r="GH178" i="1" s="1"/>
  <c r="GG142" i="1"/>
  <c r="GG178" i="1" s="1"/>
  <c r="GF142" i="1"/>
  <c r="GF178" i="1" s="1"/>
  <c r="GE142" i="1"/>
  <c r="GE178" i="1" s="1"/>
  <c r="GD142" i="1"/>
  <c r="GD178" i="1" s="1"/>
  <c r="GC142" i="1"/>
  <c r="GC178" i="1" s="1"/>
  <c r="GB142" i="1"/>
  <c r="GB178" i="1" s="1"/>
  <c r="GA142" i="1"/>
  <c r="GA178" i="1" s="1"/>
  <c r="FZ142" i="1"/>
  <c r="FZ178" i="1" s="1"/>
  <c r="FY142" i="1"/>
  <c r="FY178" i="1" s="1"/>
  <c r="FX142" i="1"/>
  <c r="FX178" i="1" s="1"/>
  <c r="FW142" i="1"/>
  <c r="FW178" i="1" s="1"/>
  <c r="FV142" i="1"/>
  <c r="FV178" i="1" s="1"/>
  <c r="FU142" i="1"/>
  <c r="FU178" i="1" s="1"/>
  <c r="FT142" i="1"/>
  <c r="FT178" i="1" s="1"/>
  <c r="FS142" i="1"/>
  <c r="FS178" i="1" s="1"/>
  <c r="FR142" i="1"/>
  <c r="FR178" i="1" s="1"/>
  <c r="FQ142" i="1"/>
  <c r="FQ178" i="1" s="1"/>
  <c r="FP142" i="1"/>
  <c r="FP178" i="1" s="1"/>
  <c r="FO142" i="1"/>
  <c r="FO178" i="1" s="1"/>
  <c r="FN142" i="1"/>
  <c r="FN178" i="1" s="1"/>
  <c r="FM142" i="1"/>
  <c r="FM178" i="1" s="1"/>
  <c r="FL142" i="1"/>
  <c r="FL178" i="1" s="1"/>
  <c r="FK142" i="1"/>
  <c r="FK178" i="1" s="1"/>
  <c r="FJ142" i="1"/>
  <c r="FJ178" i="1" s="1"/>
  <c r="FI142" i="1"/>
  <c r="FI178" i="1" s="1"/>
  <c r="FH142" i="1"/>
  <c r="FH178" i="1" s="1"/>
  <c r="FG142" i="1"/>
  <c r="FG178" i="1" s="1"/>
  <c r="FF142" i="1"/>
  <c r="FF178" i="1" s="1"/>
  <c r="FE142" i="1"/>
  <c r="FE178" i="1" s="1"/>
  <c r="FD142" i="1"/>
  <c r="FD178" i="1" s="1"/>
  <c r="FC142" i="1"/>
  <c r="FC178" i="1" s="1"/>
  <c r="FB142" i="1"/>
  <c r="FB178" i="1" s="1"/>
  <c r="FA142" i="1"/>
  <c r="FA178" i="1" s="1"/>
  <c r="EZ142" i="1"/>
  <c r="EZ178" i="1" s="1"/>
  <c r="EY142" i="1"/>
  <c r="EY178" i="1" s="1"/>
  <c r="EX142" i="1"/>
  <c r="EX178" i="1" s="1"/>
  <c r="EW142" i="1"/>
  <c r="EW178" i="1" s="1"/>
  <c r="EV142" i="1"/>
  <c r="EV178" i="1" s="1"/>
  <c r="EU142" i="1"/>
  <c r="EU178" i="1" s="1"/>
  <c r="ET142" i="1"/>
  <c r="ET178" i="1" s="1"/>
  <c r="ES142" i="1"/>
  <c r="ES178" i="1" s="1"/>
  <c r="ER142" i="1"/>
  <c r="ER178" i="1" s="1"/>
  <c r="EQ142" i="1"/>
  <c r="EQ178" i="1" s="1"/>
  <c r="EP142" i="1"/>
  <c r="EP178" i="1" s="1"/>
  <c r="EO142" i="1"/>
  <c r="EO178" i="1" s="1"/>
  <c r="EN142" i="1"/>
  <c r="EN178" i="1" s="1"/>
  <c r="EM142" i="1"/>
  <c r="EM178" i="1" s="1"/>
  <c r="EL142" i="1"/>
  <c r="EL178" i="1" s="1"/>
  <c r="EK142" i="1"/>
  <c r="EK178" i="1" s="1"/>
  <c r="EJ142" i="1"/>
  <c r="EJ178" i="1" s="1"/>
  <c r="EI142" i="1"/>
  <c r="EI178" i="1" s="1"/>
  <c r="EH142" i="1"/>
  <c r="EH178" i="1" s="1"/>
  <c r="EG142" i="1"/>
  <c r="EG178" i="1" s="1"/>
  <c r="EF142" i="1"/>
  <c r="EF178" i="1" s="1"/>
  <c r="EE142" i="1"/>
  <c r="EE178" i="1" s="1"/>
  <c r="ED142" i="1"/>
  <c r="ED178" i="1" s="1"/>
  <c r="EC142" i="1"/>
  <c r="EC178" i="1" s="1"/>
  <c r="EB142" i="1"/>
  <c r="EB178" i="1" s="1"/>
  <c r="EA142" i="1"/>
  <c r="EA178" i="1" s="1"/>
  <c r="DZ142" i="1"/>
  <c r="DZ178" i="1" s="1"/>
  <c r="DY142" i="1"/>
  <c r="DY178" i="1" s="1"/>
  <c r="DX142" i="1"/>
  <c r="DX178" i="1" s="1"/>
  <c r="DW142" i="1"/>
  <c r="DW178" i="1" s="1"/>
  <c r="DV142" i="1"/>
  <c r="DV178" i="1" s="1"/>
  <c r="DU142" i="1"/>
  <c r="DU178" i="1" s="1"/>
  <c r="DT142" i="1"/>
  <c r="DT178" i="1" s="1"/>
  <c r="DS142" i="1"/>
  <c r="DS178" i="1" s="1"/>
  <c r="DR142" i="1"/>
  <c r="DR178" i="1" s="1"/>
  <c r="DQ142" i="1"/>
  <c r="DQ178" i="1" s="1"/>
  <c r="DP142" i="1"/>
  <c r="DP178" i="1" s="1"/>
  <c r="DO142" i="1"/>
  <c r="DO178" i="1" s="1"/>
  <c r="DN142" i="1"/>
  <c r="DN178" i="1" s="1"/>
  <c r="DM142" i="1"/>
  <c r="DM178" i="1" s="1"/>
  <c r="DL142" i="1"/>
  <c r="DL178" i="1" s="1"/>
  <c r="DK142" i="1"/>
  <c r="DK178" i="1" s="1"/>
  <c r="DJ142" i="1"/>
  <c r="DJ178" i="1" s="1"/>
  <c r="DI142" i="1"/>
  <c r="DI178" i="1" s="1"/>
  <c r="DH142" i="1"/>
  <c r="DH178" i="1" s="1"/>
  <c r="DG142" i="1"/>
  <c r="DG178" i="1" s="1"/>
  <c r="DF142" i="1"/>
  <c r="DF178" i="1" s="1"/>
  <c r="DE142" i="1"/>
  <c r="DE178" i="1" s="1"/>
  <c r="DD142" i="1"/>
  <c r="DD178" i="1" s="1"/>
  <c r="DC142" i="1"/>
  <c r="DC178" i="1" s="1"/>
  <c r="HC141" i="1"/>
  <c r="HC177" i="1" s="1"/>
  <c r="HB141" i="1"/>
  <c r="HB177" i="1" s="1"/>
  <c r="HA141" i="1"/>
  <c r="HA177" i="1" s="1"/>
  <c r="GZ141" i="1"/>
  <c r="GZ177" i="1" s="1"/>
  <c r="GY141" i="1"/>
  <c r="GY177" i="1" s="1"/>
  <c r="GX141" i="1"/>
  <c r="GX177" i="1" s="1"/>
  <c r="GW141" i="1"/>
  <c r="GW177" i="1" s="1"/>
  <c r="GV141" i="1"/>
  <c r="GV177" i="1" s="1"/>
  <c r="GU141" i="1"/>
  <c r="GU177" i="1" s="1"/>
  <c r="GT141" i="1"/>
  <c r="GT177" i="1" s="1"/>
  <c r="GS141" i="1"/>
  <c r="GS177" i="1" s="1"/>
  <c r="GR141" i="1"/>
  <c r="GR177" i="1" s="1"/>
  <c r="GQ141" i="1"/>
  <c r="GQ177" i="1" s="1"/>
  <c r="GP141" i="1"/>
  <c r="GP177" i="1" s="1"/>
  <c r="GO141" i="1"/>
  <c r="GO177" i="1" s="1"/>
  <c r="GN141" i="1"/>
  <c r="GN177" i="1" s="1"/>
  <c r="GM141" i="1"/>
  <c r="GM177" i="1" s="1"/>
  <c r="GL141" i="1"/>
  <c r="GL177" i="1" s="1"/>
  <c r="GK141" i="1"/>
  <c r="GK177" i="1" s="1"/>
  <c r="GJ141" i="1"/>
  <c r="GJ177" i="1" s="1"/>
  <c r="GI141" i="1"/>
  <c r="GI177" i="1" s="1"/>
  <c r="GH141" i="1"/>
  <c r="GH177" i="1" s="1"/>
  <c r="GG141" i="1"/>
  <c r="GG177" i="1" s="1"/>
  <c r="GF141" i="1"/>
  <c r="GF177" i="1" s="1"/>
  <c r="GE141" i="1"/>
  <c r="GE177" i="1" s="1"/>
  <c r="GD141" i="1"/>
  <c r="GD177" i="1" s="1"/>
  <c r="GC141" i="1"/>
  <c r="GC177" i="1" s="1"/>
  <c r="GB141" i="1"/>
  <c r="GB177" i="1" s="1"/>
  <c r="GA141" i="1"/>
  <c r="GA177" i="1" s="1"/>
  <c r="FZ141" i="1"/>
  <c r="FZ177" i="1" s="1"/>
  <c r="FY141" i="1"/>
  <c r="FY177" i="1" s="1"/>
  <c r="FX141" i="1"/>
  <c r="FX177" i="1" s="1"/>
  <c r="FW141" i="1"/>
  <c r="FW177" i="1" s="1"/>
  <c r="FV141" i="1"/>
  <c r="FV177" i="1" s="1"/>
  <c r="FU141" i="1"/>
  <c r="FU177" i="1" s="1"/>
  <c r="FT141" i="1"/>
  <c r="FT177" i="1" s="1"/>
  <c r="FS141" i="1"/>
  <c r="FS177" i="1" s="1"/>
  <c r="FR141" i="1"/>
  <c r="FR177" i="1" s="1"/>
  <c r="FQ141" i="1"/>
  <c r="FQ177" i="1" s="1"/>
  <c r="FP141" i="1"/>
  <c r="FP177" i="1" s="1"/>
  <c r="FO141" i="1"/>
  <c r="FO177" i="1" s="1"/>
  <c r="FN141" i="1"/>
  <c r="FN177" i="1" s="1"/>
  <c r="FM141" i="1"/>
  <c r="FM177" i="1" s="1"/>
  <c r="FL141" i="1"/>
  <c r="FL177" i="1" s="1"/>
  <c r="FK141" i="1"/>
  <c r="FK177" i="1" s="1"/>
  <c r="FJ141" i="1"/>
  <c r="FJ177" i="1" s="1"/>
  <c r="FI141" i="1"/>
  <c r="FI177" i="1" s="1"/>
  <c r="FH141" i="1"/>
  <c r="FH177" i="1" s="1"/>
  <c r="FG141" i="1"/>
  <c r="FG177" i="1" s="1"/>
  <c r="FF141" i="1"/>
  <c r="FF177" i="1" s="1"/>
  <c r="FE141" i="1"/>
  <c r="FE177" i="1" s="1"/>
  <c r="FD141" i="1"/>
  <c r="FD177" i="1" s="1"/>
  <c r="FC141" i="1"/>
  <c r="FC177" i="1" s="1"/>
  <c r="FB141" i="1"/>
  <c r="FB177" i="1" s="1"/>
  <c r="FA141" i="1"/>
  <c r="EZ141" i="1"/>
  <c r="EZ177" i="1" s="1"/>
  <c r="EY141" i="1"/>
  <c r="EY177" i="1" s="1"/>
  <c r="EX141" i="1"/>
  <c r="EX177" i="1" s="1"/>
  <c r="EW141" i="1"/>
  <c r="EW177" i="1" s="1"/>
  <c r="EV141" i="1"/>
  <c r="EV177" i="1" s="1"/>
  <c r="EU141" i="1"/>
  <c r="EU177" i="1" s="1"/>
  <c r="ET141" i="1"/>
  <c r="ET177" i="1" s="1"/>
  <c r="ES141" i="1"/>
  <c r="ES177" i="1" s="1"/>
  <c r="ER141" i="1"/>
  <c r="ER177" i="1" s="1"/>
  <c r="EQ141" i="1"/>
  <c r="EQ177" i="1" s="1"/>
  <c r="EP141" i="1"/>
  <c r="EP177" i="1" s="1"/>
  <c r="EO141" i="1"/>
  <c r="EO177" i="1" s="1"/>
  <c r="EN141" i="1"/>
  <c r="EN177" i="1" s="1"/>
  <c r="EM141" i="1"/>
  <c r="EM177" i="1" s="1"/>
  <c r="EL141" i="1"/>
  <c r="EL177" i="1" s="1"/>
  <c r="EK141" i="1"/>
  <c r="EK177" i="1" s="1"/>
  <c r="EJ141" i="1"/>
  <c r="EJ177" i="1" s="1"/>
  <c r="EI141" i="1"/>
  <c r="EI177" i="1" s="1"/>
  <c r="EH141" i="1"/>
  <c r="EH177" i="1" s="1"/>
  <c r="EG141" i="1"/>
  <c r="EG177" i="1" s="1"/>
  <c r="EF141" i="1"/>
  <c r="EF177" i="1" s="1"/>
  <c r="EE141" i="1"/>
  <c r="EE177" i="1" s="1"/>
  <c r="ED141" i="1"/>
  <c r="ED177" i="1" s="1"/>
  <c r="EC141" i="1"/>
  <c r="EC177" i="1" s="1"/>
  <c r="EB141" i="1"/>
  <c r="EB177" i="1" s="1"/>
  <c r="EA141" i="1"/>
  <c r="EA177" i="1" s="1"/>
  <c r="DZ141" i="1"/>
  <c r="DZ177" i="1" s="1"/>
  <c r="DY141" i="1"/>
  <c r="DY177" i="1" s="1"/>
  <c r="DX141" i="1"/>
  <c r="DX177" i="1" s="1"/>
  <c r="DW141" i="1"/>
  <c r="DW177" i="1" s="1"/>
  <c r="DV141" i="1"/>
  <c r="DV177" i="1" s="1"/>
  <c r="DU141" i="1"/>
  <c r="DU177" i="1" s="1"/>
  <c r="DT141" i="1"/>
  <c r="DT177" i="1" s="1"/>
  <c r="DS141" i="1"/>
  <c r="DS177" i="1" s="1"/>
  <c r="DR141" i="1"/>
  <c r="DR177" i="1" s="1"/>
  <c r="DQ141" i="1"/>
  <c r="DQ177" i="1" s="1"/>
  <c r="DP141" i="1"/>
  <c r="DP177" i="1" s="1"/>
  <c r="DO141" i="1"/>
  <c r="DO177" i="1" s="1"/>
  <c r="DN141" i="1"/>
  <c r="DN177" i="1" s="1"/>
  <c r="DM141" i="1"/>
  <c r="DM177" i="1" s="1"/>
  <c r="DL141" i="1"/>
  <c r="DL177" i="1" s="1"/>
  <c r="DK141" i="1"/>
  <c r="DK177" i="1" s="1"/>
  <c r="DJ141" i="1"/>
  <c r="DJ177" i="1" s="1"/>
  <c r="DI141" i="1"/>
  <c r="DI177" i="1" s="1"/>
  <c r="DH141" i="1"/>
  <c r="DH177" i="1" s="1"/>
  <c r="DG141" i="1"/>
  <c r="DG177" i="1" s="1"/>
  <c r="DF141" i="1"/>
  <c r="DF177" i="1" s="1"/>
  <c r="DE141" i="1"/>
  <c r="DE177" i="1" s="1"/>
  <c r="DD141" i="1"/>
  <c r="DD177" i="1" s="1"/>
  <c r="DC141" i="1"/>
  <c r="DC177" i="1" s="1"/>
  <c r="HC140" i="1"/>
  <c r="HC176" i="1" s="1"/>
  <c r="HB140" i="1"/>
  <c r="HB176" i="1" s="1"/>
  <c r="HA140" i="1"/>
  <c r="HA176" i="1" s="1"/>
  <c r="GZ140" i="1"/>
  <c r="GZ176" i="1" s="1"/>
  <c r="GY140" i="1"/>
  <c r="GY176" i="1" s="1"/>
  <c r="GX140" i="1"/>
  <c r="GX176" i="1" s="1"/>
  <c r="GW140" i="1"/>
  <c r="GW176" i="1" s="1"/>
  <c r="GV140" i="1"/>
  <c r="GV176" i="1" s="1"/>
  <c r="GU140" i="1"/>
  <c r="GU176" i="1" s="1"/>
  <c r="GT140" i="1"/>
  <c r="GT176" i="1" s="1"/>
  <c r="GS140" i="1"/>
  <c r="GS176" i="1" s="1"/>
  <c r="GR140" i="1"/>
  <c r="GR176" i="1" s="1"/>
  <c r="GQ140" i="1"/>
  <c r="GQ176" i="1" s="1"/>
  <c r="GP140" i="1"/>
  <c r="GP176" i="1" s="1"/>
  <c r="GO140" i="1"/>
  <c r="GO176" i="1" s="1"/>
  <c r="GN140" i="1"/>
  <c r="GN176" i="1" s="1"/>
  <c r="GM140" i="1"/>
  <c r="GM176" i="1" s="1"/>
  <c r="GL140" i="1"/>
  <c r="GL176" i="1" s="1"/>
  <c r="GK140" i="1"/>
  <c r="GK176" i="1" s="1"/>
  <c r="GJ140" i="1"/>
  <c r="GJ176" i="1" s="1"/>
  <c r="GI140" i="1"/>
  <c r="GI176" i="1" s="1"/>
  <c r="GH140" i="1"/>
  <c r="GH176" i="1" s="1"/>
  <c r="GG140" i="1"/>
  <c r="GG176" i="1" s="1"/>
  <c r="GF140" i="1"/>
  <c r="GF176" i="1" s="1"/>
  <c r="GE140" i="1"/>
  <c r="GE176" i="1" s="1"/>
  <c r="GD140" i="1"/>
  <c r="GD176" i="1" s="1"/>
  <c r="GC140" i="1"/>
  <c r="GC176" i="1" s="1"/>
  <c r="GB140" i="1"/>
  <c r="GB176" i="1" s="1"/>
  <c r="GA140" i="1"/>
  <c r="GA176" i="1" s="1"/>
  <c r="FZ140" i="1"/>
  <c r="FZ176" i="1" s="1"/>
  <c r="FY140" i="1"/>
  <c r="FY176" i="1" s="1"/>
  <c r="FX140" i="1"/>
  <c r="FX176" i="1" s="1"/>
  <c r="FW140" i="1"/>
  <c r="FW176" i="1" s="1"/>
  <c r="FV140" i="1"/>
  <c r="FV176" i="1" s="1"/>
  <c r="FU140" i="1"/>
  <c r="FU176" i="1" s="1"/>
  <c r="FT140" i="1"/>
  <c r="FT176" i="1" s="1"/>
  <c r="FS140" i="1"/>
  <c r="FS176" i="1" s="1"/>
  <c r="FR140" i="1"/>
  <c r="FR176" i="1" s="1"/>
  <c r="FQ140" i="1"/>
  <c r="FQ176" i="1" s="1"/>
  <c r="FP140" i="1"/>
  <c r="FP176" i="1" s="1"/>
  <c r="FO140" i="1"/>
  <c r="FO176" i="1" s="1"/>
  <c r="FN140" i="1"/>
  <c r="FN176" i="1" s="1"/>
  <c r="FM140" i="1"/>
  <c r="FM176" i="1" s="1"/>
  <c r="FL140" i="1"/>
  <c r="FL176" i="1" s="1"/>
  <c r="FK140" i="1"/>
  <c r="FK176" i="1" s="1"/>
  <c r="FJ140" i="1"/>
  <c r="FJ176" i="1" s="1"/>
  <c r="FI140" i="1"/>
  <c r="FI176" i="1" s="1"/>
  <c r="FH140" i="1"/>
  <c r="FH176" i="1" s="1"/>
  <c r="FG140" i="1"/>
  <c r="FG176" i="1" s="1"/>
  <c r="FF140" i="1"/>
  <c r="FF176" i="1" s="1"/>
  <c r="FE140" i="1"/>
  <c r="FE176" i="1" s="1"/>
  <c r="FD140" i="1"/>
  <c r="FD176" i="1" s="1"/>
  <c r="FC140" i="1"/>
  <c r="FC176" i="1" s="1"/>
  <c r="FB140" i="1"/>
  <c r="FB176" i="1" s="1"/>
  <c r="FA140" i="1"/>
  <c r="FA176" i="1" s="1"/>
  <c r="EZ140" i="1"/>
  <c r="EZ176" i="1" s="1"/>
  <c r="EY140" i="1"/>
  <c r="EY176" i="1" s="1"/>
  <c r="EX140" i="1"/>
  <c r="EX176" i="1" s="1"/>
  <c r="EW140" i="1"/>
  <c r="EW176" i="1" s="1"/>
  <c r="EV140" i="1"/>
  <c r="EV176" i="1" s="1"/>
  <c r="EU140" i="1"/>
  <c r="EU176" i="1" s="1"/>
  <c r="ET140" i="1"/>
  <c r="ET176" i="1" s="1"/>
  <c r="ES140" i="1"/>
  <c r="ES176" i="1" s="1"/>
  <c r="ER140" i="1"/>
  <c r="ER176" i="1" s="1"/>
  <c r="EQ140" i="1"/>
  <c r="EQ176" i="1" s="1"/>
  <c r="EP140" i="1"/>
  <c r="EP176" i="1" s="1"/>
  <c r="EO140" i="1"/>
  <c r="EO176" i="1" s="1"/>
  <c r="EN140" i="1"/>
  <c r="EN176" i="1" s="1"/>
  <c r="EM140" i="1"/>
  <c r="EM176" i="1" s="1"/>
  <c r="EL140" i="1"/>
  <c r="EL176" i="1" s="1"/>
  <c r="EK140" i="1"/>
  <c r="EK176" i="1" s="1"/>
  <c r="EJ140" i="1"/>
  <c r="EJ176" i="1" s="1"/>
  <c r="EI140" i="1"/>
  <c r="EI176" i="1" s="1"/>
  <c r="EH140" i="1"/>
  <c r="EH176" i="1" s="1"/>
  <c r="EG140" i="1"/>
  <c r="EG176" i="1" s="1"/>
  <c r="EF140" i="1"/>
  <c r="EF176" i="1" s="1"/>
  <c r="EE140" i="1"/>
  <c r="EE176" i="1" s="1"/>
  <c r="ED140" i="1"/>
  <c r="ED176" i="1" s="1"/>
  <c r="EC140" i="1"/>
  <c r="EC176" i="1" s="1"/>
  <c r="EB140" i="1"/>
  <c r="EB176" i="1" s="1"/>
  <c r="EA140" i="1"/>
  <c r="EA176" i="1" s="1"/>
  <c r="DZ140" i="1"/>
  <c r="DZ176" i="1" s="1"/>
  <c r="DY140" i="1"/>
  <c r="DY176" i="1" s="1"/>
  <c r="DX140" i="1"/>
  <c r="DX176" i="1" s="1"/>
  <c r="DW140" i="1"/>
  <c r="DW176" i="1" s="1"/>
  <c r="DV140" i="1"/>
  <c r="DV176" i="1" s="1"/>
  <c r="DU140" i="1"/>
  <c r="DU176" i="1" s="1"/>
  <c r="DT140" i="1"/>
  <c r="DT176" i="1" s="1"/>
  <c r="DS140" i="1"/>
  <c r="DS176" i="1" s="1"/>
  <c r="DR140" i="1"/>
  <c r="DR176" i="1" s="1"/>
  <c r="DQ140" i="1"/>
  <c r="DQ176" i="1" s="1"/>
  <c r="DP140" i="1"/>
  <c r="DP176" i="1" s="1"/>
  <c r="DO140" i="1"/>
  <c r="DO176" i="1" s="1"/>
  <c r="DN140" i="1"/>
  <c r="DN176" i="1" s="1"/>
  <c r="DM140" i="1"/>
  <c r="DM176" i="1" s="1"/>
  <c r="DL140" i="1"/>
  <c r="DL176" i="1" s="1"/>
  <c r="DK140" i="1"/>
  <c r="DK176" i="1" s="1"/>
  <c r="DJ140" i="1"/>
  <c r="DJ176" i="1" s="1"/>
  <c r="DI140" i="1"/>
  <c r="DI176" i="1" s="1"/>
  <c r="DH140" i="1"/>
  <c r="DH176" i="1" s="1"/>
  <c r="DG140" i="1"/>
  <c r="DG176" i="1" s="1"/>
  <c r="DF140" i="1"/>
  <c r="DF176" i="1" s="1"/>
  <c r="DE140" i="1"/>
  <c r="DE176" i="1" s="1"/>
  <c r="DD140" i="1"/>
  <c r="DD176" i="1" s="1"/>
  <c r="DC140" i="1"/>
  <c r="DC176" i="1" s="1"/>
  <c r="HC139" i="1"/>
  <c r="HC175" i="1" s="1"/>
  <c r="HB139" i="1"/>
  <c r="HB175" i="1" s="1"/>
  <c r="HA139" i="1"/>
  <c r="HA175" i="1" s="1"/>
  <c r="GZ139" i="1"/>
  <c r="GZ175" i="1" s="1"/>
  <c r="GY139" i="1"/>
  <c r="GY175" i="1" s="1"/>
  <c r="GX139" i="1"/>
  <c r="GX175" i="1" s="1"/>
  <c r="GW139" i="1"/>
  <c r="GW175" i="1" s="1"/>
  <c r="GV139" i="1"/>
  <c r="GV175" i="1" s="1"/>
  <c r="GU139" i="1"/>
  <c r="GU175" i="1" s="1"/>
  <c r="GT139" i="1"/>
  <c r="GT175" i="1" s="1"/>
  <c r="GS139" i="1"/>
  <c r="GS175" i="1" s="1"/>
  <c r="GR139" i="1"/>
  <c r="GR175" i="1" s="1"/>
  <c r="GQ139" i="1"/>
  <c r="GQ175" i="1" s="1"/>
  <c r="GP139" i="1"/>
  <c r="GP175" i="1" s="1"/>
  <c r="GO139" i="1"/>
  <c r="GO175" i="1" s="1"/>
  <c r="GN139" i="1"/>
  <c r="GN175" i="1" s="1"/>
  <c r="GM139" i="1"/>
  <c r="GM175" i="1" s="1"/>
  <c r="GL139" i="1"/>
  <c r="GL175" i="1" s="1"/>
  <c r="GK139" i="1"/>
  <c r="GK175" i="1" s="1"/>
  <c r="GJ139" i="1"/>
  <c r="GJ175" i="1" s="1"/>
  <c r="GI139" i="1"/>
  <c r="GI175" i="1" s="1"/>
  <c r="GH139" i="1"/>
  <c r="GH175" i="1" s="1"/>
  <c r="GG139" i="1"/>
  <c r="GG175" i="1" s="1"/>
  <c r="GF139" i="1"/>
  <c r="GF175" i="1" s="1"/>
  <c r="GE139" i="1"/>
  <c r="GE175" i="1" s="1"/>
  <c r="GD139" i="1"/>
  <c r="GD175" i="1" s="1"/>
  <c r="GC139" i="1"/>
  <c r="GC175" i="1" s="1"/>
  <c r="GB139" i="1"/>
  <c r="GB175" i="1" s="1"/>
  <c r="GA139" i="1"/>
  <c r="GA175" i="1" s="1"/>
  <c r="FZ139" i="1"/>
  <c r="FZ175" i="1" s="1"/>
  <c r="FY139" i="1"/>
  <c r="FY175" i="1" s="1"/>
  <c r="FX139" i="1"/>
  <c r="FX175" i="1" s="1"/>
  <c r="FW139" i="1"/>
  <c r="FW175" i="1" s="1"/>
  <c r="FV139" i="1"/>
  <c r="FV175" i="1" s="1"/>
  <c r="FU139" i="1"/>
  <c r="FU175" i="1" s="1"/>
  <c r="FT139" i="1"/>
  <c r="FT175" i="1" s="1"/>
  <c r="FS139" i="1"/>
  <c r="FS175" i="1" s="1"/>
  <c r="FR139" i="1"/>
  <c r="FR175" i="1" s="1"/>
  <c r="FQ139" i="1"/>
  <c r="FQ175" i="1" s="1"/>
  <c r="FP139" i="1"/>
  <c r="FP175" i="1" s="1"/>
  <c r="FO139" i="1"/>
  <c r="FO175" i="1" s="1"/>
  <c r="FN139" i="1"/>
  <c r="FN175" i="1" s="1"/>
  <c r="FM139" i="1"/>
  <c r="FM175" i="1" s="1"/>
  <c r="FL139" i="1"/>
  <c r="FL175" i="1" s="1"/>
  <c r="FK139" i="1"/>
  <c r="FK175" i="1" s="1"/>
  <c r="FJ139" i="1"/>
  <c r="FJ175" i="1" s="1"/>
  <c r="FI139" i="1"/>
  <c r="FI175" i="1" s="1"/>
  <c r="FH139" i="1"/>
  <c r="FH175" i="1" s="1"/>
  <c r="FG139" i="1"/>
  <c r="FG175" i="1" s="1"/>
  <c r="FF139" i="1"/>
  <c r="FF175" i="1" s="1"/>
  <c r="FE139" i="1"/>
  <c r="FE175" i="1" s="1"/>
  <c r="FD139" i="1"/>
  <c r="FD175" i="1" s="1"/>
  <c r="FC139" i="1"/>
  <c r="FC175" i="1" s="1"/>
  <c r="FB139" i="1"/>
  <c r="FB175" i="1" s="1"/>
  <c r="FA139" i="1"/>
  <c r="FA175" i="1" s="1"/>
  <c r="EZ139" i="1"/>
  <c r="EZ175" i="1" s="1"/>
  <c r="EY139" i="1"/>
  <c r="EY175" i="1" s="1"/>
  <c r="EX139" i="1"/>
  <c r="EX175" i="1" s="1"/>
  <c r="EW139" i="1"/>
  <c r="EW175" i="1" s="1"/>
  <c r="EV139" i="1"/>
  <c r="EV175" i="1" s="1"/>
  <c r="EU139" i="1"/>
  <c r="EU175" i="1" s="1"/>
  <c r="ET139" i="1"/>
  <c r="ET175" i="1" s="1"/>
  <c r="ES139" i="1"/>
  <c r="ES175" i="1" s="1"/>
  <c r="ER139" i="1"/>
  <c r="ER175" i="1" s="1"/>
  <c r="EQ139" i="1"/>
  <c r="EQ175" i="1" s="1"/>
  <c r="EP139" i="1"/>
  <c r="EP175" i="1" s="1"/>
  <c r="EO139" i="1"/>
  <c r="EO175" i="1" s="1"/>
  <c r="EN139" i="1"/>
  <c r="EN175" i="1" s="1"/>
  <c r="EM139" i="1"/>
  <c r="EM175" i="1" s="1"/>
  <c r="EL139" i="1"/>
  <c r="EL175" i="1" s="1"/>
  <c r="EK139" i="1"/>
  <c r="EK175" i="1" s="1"/>
  <c r="EJ139" i="1"/>
  <c r="EJ175" i="1" s="1"/>
  <c r="EI139" i="1"/>
  <c r="EI175" i="1" s="1"/>
  <c r="EH139" i="1"/>
  <c r="EH175" i="1" s="1"/>
  <c r="EG139" i="1"/>
  <c r="EG175" i="1" s="1"/>
  <c r="EF139" i="1"/>
  <c r="EF175" i="1" s="1"/>
  <c r="EE139" i="1"/>
  <c r="EE175" i="1" s="1"/>
  <c r="ED139" i="1"/>
  <c r="ED175" i="1" s="1"/>
  <c r="EC139" i="1"/>
  <c r="EC175" i="1" s="1"/>
  <c r="EB139" i="1"/>
  <c r="EB175" i="1" s="1"/>
  <c r="EA139" i="1"/>
  <c r="EA175" i="1" s="1"/>
  <c r="DZ139" i="1"/>
  <c r="DZ175" i="1" s="1"/>
  <c r="DY139" i="1"/>
  <c r="DY175" i="1" s="1"/>
  <c r="DX139" i="1"/>
  <c r="DX175" i="1" s="1"/>
  <c r="DW139" i="1"/>
  <c r="DW175" i="1" s="1"/>
  <c r="DV139" i="1"/>
  <c r="DV175" i="1" s="1"/>
  <c r="DU139" i="1"/>
  <c r="DU175" i="1" s="1"/>
  <c r="DT139" i="1"/>
  <c r="DT175" i="1" s="1"/>
  <c r="DS139" i="1"/>
  <c r="DS175" i="1" s="1"/>
  <c r="DR139" i="1"/>
  <c r="DR175" i="1" s="1"/>
  <c r="DQ139" i="1"/>
  <c r="DQ175" i="1" s="1"/>
  <c r="DP139" i="1"/>
  <c r="DP175" i="1" s="1"/>
  <c r="DO139" i="1"/>
  <c r="DO175" i="1" s="1"/>
  <c r="DN139" i="1"/>
  <c r="DN175" i="1" s="1"/>
  <c r="DM139" i="1"/>
  <c r="DM175" i="1" s="1"/>
  <c r="DL139" i="1"/>
  <c r="DL175" i="1" s="1"/>
  <c r="DK139" i="1"/>
  <c r="DK175" i="1" s="1"/>
  <c r="DJ139" i="1"/>
  <c r="DJ175" i="1" s="1"/>
  <c r="DI139" i="1"/>
  <c r="DI175" i="1" s="1"/>
  <c r="DH139" i="1"/>
  <c r="DH175" i="1" s="1"/>
  <c r="DG139" i="1"/>
  <c r="DG175" i="1" s="1"/>
  <c r="DF139" i="1"/>
  <c r="DF175" i="1" s="1"/>
  <c r="DE139" i="1"/>
  <c r="DE175" i="1" s="1"/>
  <c r="DD139" i="1"/>
  <c r="DD175" i="1" s="1"/>
  <c r="DC139" i="1"/>
  <c r="DC175" i="1" s="1"/>
  <c r="HC138" i="1"/>
  <c r="HC174" i="1" s="1"/>
  <c r="HB138" i="1"/>
  <c r="HB174" i="1" s="1"/>
  <c r="HA138" i="1"/>
  <c r="HA174" i="1" s="1"/>
  <c r="GZ138" i="1"/>
  <c r="GZ174" i="1" s="1"/>
  <c r="GY138" i="1"/>
  <c r="GY174" i="1" s="1"/>
  <c r="GX138" i="1"/>
  <c r="GX174" i="1" s="1"/>
  <c r="GW138" i="1"/>
  <c r="GW174" i="1" s="1"/>
  <c r="GV138" i="1"/>
  <c r="GV174" i="1" s="1"/>
  <c r="GU138" i="1"/>
  <c r="GU174" i="1" s="1"/>
  <c r="GT138" i="1"/>
  <c r="GT174" i="1" s="1"/>
  <c r="GS138" i="1"/>
  <c r="GS174" i="1" s="1"/>
  <c r="GR138" i="1"/>
  <c r="GR174" i="1" s="1"/>
  <c r="GQ138" i="1"/>
  <c r="GQ174" i="1" s="1"/>
  <c r="GP138" i="1"/>
  <c r="GP174" i="1" s="1"/>
  <c r="GO138" i="1"/>
  <c r="GO174" i="1" s="1"/>
  <c r="GN138" i="1"/>
  <c r="GN174" i="1" s="1"/>
  <c r="GM138" i="1"/>
  <c r="GM174" i="1" s="1"/>
  <c r="GL138" i="1"/>
  <c r="GL174" i="1" s="1"/>
  <c r="GK138" i="1"/>
  <c r="GK174" i="1" s="1"/>
  <c r="GJ138" i="1"/>
  <c r="GJ174" i="1" s="1"/>
  <c r="GI138" i="1"/>
  <c r="GI174" i="1" s="1"/>
  <c r="GH138" i="1"/>
  <c r="GH174" i="1" s="1"/>
  <c r="GG138" i="1"/>
  <c r="GG174" i="1" s="1"/>
  <c r="GF138" i="1"/>
  <c r="GF174" i="1" s="1"/>
  <c r="GE138" i="1"/>
  <c r="GE174" i="1" s="1"/>
  <c r="GD138" i="1"/>
  <c r="GD174" i="1" s="1"/>
  <c r="GC138" i="1"/>
  <c r="GC174" i="1" s="1"/>
  <c r="GB138" i="1"/>
  <c r="GB174" i="1" s="1"/>
  <c r="GA138" i="1"/>
  <c r="GA174" i="1" s="1"/>
  <c r="FZ138" i="1"/>
  <c r="FZ174" i="1" s="1"/>
  <c r="FY138" i="1"/>
  <c r="FY174" i="1" s="1"/>
  <c r="FX138" i="1"/>
  <c r="FX174" i="1" s="1"/>
  <c r="FW138" i="1"/>
  <c r="FW174" i="1" s="1"/>
  <c r="FV138" i="1"/>
  <c r="FV174" i="1" s="1"/>
  <c r="FU138" i="1"/>
  <c r="FU174" i="1" s="1"/>
  <c r="FT138" i="1"/>
  <c r="FT174" i="1" s="1"/>
  <c r="FS138" i="1"/>
  <c r="FS174" i="1" s="1"/>
  <c r="FR138" i="1"/>
  <c r="FR174" i="1" s="1"/>
  <c r="FQ138" i="1"/>
  <c r="FQ174" i="1" s="1"/>
  <c r="FP138" i="1"/>
  <c r="FP174" i="1" s="1"/>
  <c r="FO138" i="1"/>
  <c r="FO174" i="1" s="1"/>
  <c r="FN138" i="1"/>
  <c r="FN174" i="1" s="1"/>
  <c r="FM138" i="1"/>
  <c r="FM174" i="1" s="1"/>
  <c r="FL138" i="1"/>
  <c r="FL174" i="1" s="1"/>
  <c r="FK138" i="1"/>
  <c r="FK174" i="1" s="1"/>
  <c r="FJ138" i="1"/>
  <c r="FJ174" i="1" s="1"/>
  <c r="FI138" i="1"/>
  <c r="FI174" i="1" s="1"/>
  <c r="FH138" i="1"/>
  <c r="FH174" i="1" s="1"/>
  <c r="FG138" i="1"/>
  <c r="FG174" i="1" s="1"/>
  <c r="FF138" i="1"/>
  <c r="FF174" i="1" s="1"/>
  <c r="FE138" i="1"/>
  <c r="FE174" i="1" s="1"/>
  <c r="FD138" i="1"/>
  <c r="FD174" i="1" s="1"/>
  <c r="FC138" i="1"/>
  <c r="FC174" i="1" s="1"/>
  <c r="FB138" i="1"/>
  <c r="FB174" i="1" s="1"/>
  <c r="FA138" i="1"/>
  <c r="FA174" i="1" s="1"/>
  <c r="EZ138" i="1"/>
  <c r="EZ174" i="1" s="1"/>
  <c r="EY138" i="1"/>
  <c r="EY174" i="1" s="1"/>
  <c r="EX138" i="1"/>
  <c r="EX174" i="1" s="1"/>
  <c r="EW138" i="1"/>
  <c r="EW174" i="1" s="1"/>
  <c r="EV138" i="1"/>
  <c r="EV174" i="1" s="1"/>
  <c r="EU138" i="1"/>
  <c r="EU174" i="1" s="1"/>
  <c r="ET138" i="1"/>
  <c r="ET174" i="1" s="1"/>
  <c r="ES138" i="1"/>
  <c r="ES174" i="1" s="1"/>
  <c r="ER138" i="1"/>
  <c r="ER174" i="1" s="1"/>
  <c r="EQ138" i="1"/>
  <c r="EQ174" i="1" s="1"/>
  <c r="EP138" i="1"/>
  <c r="EP174" i="1" s="1"/>
  <c r="EO138" i="1"/>
  <c r="EO174" i="1" s="1"/>
  <c r="EN138" i="1"/>
  <c r="EN174" i="1" s="1"/>
  <c r="EM138" i="1"/>
  <c r="EM174" i="1" s="1"/>
  <c r="EL138" i="1"/>
  <c r="EL174" i="1" s="1"/>
  <c r="EK138" i="1"/>
  <c r="EK174" i="1" s="1"/>
  <c r="EJ138" i="1"/>
  <c r="EJ174" i="1" s="1"/>
  <c r="EI138" i="1"/>
  <c r="EI174" i="1" s="1"/>
  <c r="EH138" i="1"/>
  <c r="EH174" i="1" s="1"/>
  <c r="EG138" i="1"/>
  <c r="EG174" i="1" s="1"/>
  <c r="EF138" i="1"/>
  <c r="EF174" i="1" s="1"/>
  <c r="EE138" i="1"/>
  <c r="EE174" i="1" s="1"/>
  <c r="ED138" i="1"/>
  <c r="ED174" i="1" s="1"/>
  <c r="EC138" i="1"/>
  <c r="EC174" i="1" s="1"/>
  <c r="EB138" i="1"/>
  <c r="EB174" i="1" s="1"/>
  <c r="EA138" i="1"/>
  <c r="EA174" i="1" s="1"/>
  <c r="DZ138" i="1"/>
  <c r="DZ174" i="1" s="1"/>
  <c r="DY138" i="1"/>
  <c r="DY174" i="1" s="1"/>
  <c r="DX138" i="1"/>
  <c r="DX174" i="1" s="1"/>
  <c r="DW138" i="1"/>
  <c r="DW174" i="1" s="1"/>
  <c r="DV138" i="1"/>
  <c r="DV174" i="1" s="1"/>
  <c r="DU138" i="1"/>
  <c r="DU174" i="1" s="1"/>
  <c r="DT138" i="1"/>
  <c r="DT174" i="1" s="1"/>
  <c r="DS138" i="1"/>
  <c r="DS174" i="1" s="1"/>
  <c r="DR138" i="1"/>
  <c r="DR174" i="1" s="1"/>
  <c r="DQ138" i="1"/>
  <c r="DQ174" i="1" s="1"/>
  <c r="DP138" i="1"/>
  <c r="DP174" i="1" s="1"/>
  <c r="DO138" i="1"/>
  <c r="DO174" i="1" s="1"/>
  <c r="DN138" i="1"/>
  <c r="DN174" i="1" s="1"/>
  <c r="DM138" i="1"/>
  <c r="DM174" i="1" s="1"/>
  <c r="DL138" i="1"/>
  <c r="DL174" i="1" s="1"/>
  <c r="DK138" i="1"/>
  <c r="DK174" i="1" s="1"/>
  <c r="DJ138" i="1"/>
  <c r="DJ174" i="1" s="1"/>
  <c r="DI138" i="1"/>
  <c r="DI174" i="1" s="1"/>
  <c r="DH138" i="1"/>
  <c r="DH174" i="1" s="1"/>
  <c r="DG138" i="1"/>
  <c r="DG174" i="1" s="1"/>
  <c r="DF138" i="1"/>
  <c r="DF174" i="1" s="1"/>
  <c r="DE138" i="1"/>
  <c r="DE174" i="1" s="1"/>
  <c r="DD138" i="1"/>
  <c r="DD174" i="1" s="1"/>
  <c r="DC138" i="1"/>
  <c r="DC174" i="1" s="1"/>
  <c r="HC137" i="1"/>
  <c r="HC173" i="1" s="1"/>
  <c r="HB137" i="1"/>
  <c r="HB173" i="1" s="1"/>
  <c r="HA137" i="1"/>
  <c r="HA173" i="1" s="1"/>
  <c r="GZ137" i="1"/>
  <c r="GZ173" i="1" s="1"/>
  <c r="GY137" i="1"/>
  <c r="GY173" i="1" s="1"/>
  <c r="GX137" i="1"/>
  <c r="GX173" i="1" s="1"/>
  <c r="GW137" i="1"/>
  <c r="GW173" i="1" s="1"/>
  <c r="GV137" i="1"/>
  <c r="GV173" i="1" s="1"/>
  <c r="GU137" i="1"/>
  <c r="GU173" i="1" s="1"/>
  <c r="GT137" i="1"/>
  <c r="GT173" i="1" s="1"/>
  <c r="GS137" i="1"/>
  <c r="GS173" i="1" s="1"/>
  <c r="GR137" i="1"/>
  <c r="GR173" i="1" s="1"/>
  <c r="GQ137" i="1"/>
  <c r="GQ173" i="1" s="1"/>
  <c r="GP137" i="1"/>
  <c r="GP173" i="1" s="1"/>
  <c r="GO137" i="1"/>
  <c r="GO173" i="1" s="1"/>
  <c r="GN137" i="1"/>
  <c r="GN173" i="1" s="1"/>
  <c r="GM137" i="1"/>
  <c r="GM173" i="1" s="1"/>
  <c r="GL137" i="1"/>
  <c r="GL173" i="1" s="1"/>
  <c r="GK137" i="1"/>
  <c r="GK173" i="1" s="1"/>
  <c r="GJ137" i="1"/>
  <c r="GJ173" i="1" s="1"/>
  <c r="GI137" i="1"/>
  <c r="GI173" i="1" s="1"/>
  <c r="GH137" i="1"/>
  <c r="GH173" i="1" s="1"/>
  <c r="GG137" i="1"/>
  <c r="GG173" i="1" s="1"/>
  <c r="GF137" i="1"/>
  <c r="GF173" i="1" s="1"/>
  <c r="GE137" i="1"/>
  <c r="GE173" i="1" s="1"/>
  <c r="GD137" i="1"/>
  <c r="GD173" i="1" s="1"/>
  <c r="GC137" i="1"/>
  <c r="GC173" i="1" s="1"/>
  <c r="GB137" i="1"/>
  <c r="GB173" i="1" s="1"/>
  <c r="GA137" i="1"/>
  <c r="GA173" i="1" s="1"/>
  <c r="FZ137" i="1"/>
  <c r="FZ173" i="1" s="1"/>
  <c r="FY137" i="1"/>
  <c r="FY173" i="1" s="1"/>
  <c r="FX137" i="1"/>
  <c r="FX173" i="1" s="1"/>
  <c r="FW137" i="1"/>
  <c r="FW173" i="1" s="1"/>
  <c r="FV137" i="1"/>
  <c r="FV173" i="1" s="1"/>
  <c r="FU137" i="1"/>
  <c r="FU173" i="1" s="1"/>
  <c r="FT137" i="1"/>
  <c r="FT173" i="1" s="1"/>
  <c r="FS137" i="1"/>
  <c r="FS173" i="1" s="1"/>
  <c r="FR137" i="1"/>
  <c r="FR173" i="1" s="1"/>
  <c r="FQ137" i="1"/>
  <c r="FQ173" i="1" s="1"/>
  <c r="FP137" i="1"/>
  <c r="FP173" i="1" s="1"/>
  <c r="FO137" i="1"/>
  <c r="FO173" i="1" s="1"/>
  <c r="FN137" i="1"/>
  <c r="FN173" i="1" s="1"/>
  <c r="FM137" i="1"/>
  <c r="FM173" i="1" s="1"/>
  <c r="FL137" i="1"/>
  <c r="FL173" i="1" s="1"/>
  <c r="FK137" i="1"/>
  <c r="FK173" i="1" s="1"/>
  <c r="FJ137" i="1"/>
  <c r="FJ173" i="1" s="1"/>
  <c r="FI137" i="1"/>
  <c r="FI173" i="1" s="1"/>
  <c r="FH137" i="1"/>
  <c r="FH173" i="1" s="1"/>
  <c r="FG137" i="1"/>
  <c r="FG173" i="1" s="1"/>
  <c r="FF137" i="1"/>
  <c r="FF173" i="1" s="1"/>
  <c r="FE137" i="1"/>
  <c r="FE173" i="1" s="1"/>
  <c r="FD137" i="1"/>
  <c r="FD173" i="1" s="1"/>
  <c r="FC137" i="1"/>
  <c r="FC173" i="1" s="1"/>
  <c r="FB137" i="1"/>
  <c r="FB173" i="1" s="1"/>
  <c r="FA137" i="1"/>
  <c r="FA173" i="1" s="1"/>
  <c r="EZ137" i="1"/>
  <c r="EZ173" i="1" s="1"/>
  <c r="EY137" i="1"/>
  <c r="EY173" i="1" s="1"/>
  <c r="EX137" i="1"/>
  <c r="EX173" i="1" s="1"/>
  <c r="EW137" i="1"/>
  <c r="EW173" i="1" s="1"/>
  <c r="EV137" i="1"/>
  <c r="EV173" i="1" s="1"/>
  <c r="EU137" i="1"/>
  <c r="EU173" i="1" s="1"/>
  <c r="ET137" i="1"/>
  <c r="ET173" i="1" s="1"/>
  <c r="ES137" i="1"/>
  <c r="ES173" i="1" s="1"/>
  <c r="ER137" i="1"/>
  <c r="ER173" i="1" s="1"/>
  <c r="EQ137" i="1"/>
  <c r="EQ173" i="1" s="1"/>
  <c r="EP137" i="1"/>
  <c r="EP173" i="1" s="1"/>
  <c r="EO137" i="1"/>
  <c r="EO173" i="1" s="1"/>
  <c r="EN137" i="1"/>
  <c r="EN173" i="1" s="1"/>
  <c r="EM137" i="1"/>
  <c r="EM173" i="1" s="1"/>
  <c r="EL137" i="1"/>
  <c r="EL173" i="1" s="1"/>
  <c r="EK137" i="1"/>
  <c r="EK173" i="1" s="1"/>
  <c r="EJ137" i="1"/>
  <c r="EJ173" i="1" s="1"/>
  <c r="EI137" i="1"/>
  <c r="EI173" i="1" s="1"/>
  <c r="EH137" i="1"/>
  <c r="EH173" i="1" s="1"/>
  <c r="EG137" i="1"/>
  <c r="EG173" i="1" s="1"/>
  <c r="EF137" i="1"/>
  <c r="EF173" i="1" s="1"/>
  <c r="EE137" i="1"/>
  <c r="EE173" i="1" s="1"/>
  <c r="ED137" i="1"/>
  <c r="ED173" i="1" s="1"/>
  <c r="EC137" i="1"/>
  <c r="EC173" i="1" s="1"/>
  <c r="EB137" i="1"/>
  <c r="EB173" i="1" s="1"/>
  <c r="EA137" i="1"/>
  <c r="EA173" i="1" s="1"/>
  <c r="DZ137" i="1"/>
  <c r="DZ173" i="1" s="1"/>
  <c r="DY137" i="1"/>
  <c r="DY173" i="1" s="1"/>
  <c r="DX137" i="1"/>
  <c r="DX173" i="1" s="1"/>
  <c r="DW137" i="1"/>
  <c r="DW173" i="1" s="1"/>
  <c r="DV137" i="1"/>
  <c r="DV173" i="1" s="1"/>
  <c r="DU137" i="1"/>
  <c r="DU173" i="1" s="1"/>
  <c r="DT137" i="1"/>
  <c r="DT173" i="1" s="1"/>
  <c r="DS137" i="1"/>
  <c r="DS173" i="1" s="1"/>
  <c r="DR137" i="1"/>
  <c r="DR173" i="1" s="1"/>
  <c r="DQ137" i="1"/>
  <c r="DQ173" i="1" s="1"/>
  <c r="DP137" i="1"/>
  <c r="DP173" i="1" s="1"/>
  <c r="DO137" i="1"/>
  <c r="DO173" i="1" s="1"/>
  <c r="DN137" i="1"/>
  <c r="DN173" i="1" s="1"/>
  <c r="DM137" i="1"/>
  <c r="DM173" i="1" s="1"/>
  <c r="DL137" i="1"/>
  <c r="DL173" i="1" s="1"/>
  <c r="DK137" i="1"/>
  <c r="DK173" i="1" s="1"/>
  <c r="DJ137" i="1"/>
  <c r="DJ173" i="1" s="1"/>
  <c r="DI137" i="1"/>
  <c r="DI173" i="1" s="1"/>
  <c r="DH137" i="1"/>
  <c r="DH173" i="1" s="1"/>
  <c r="DG137" i="1"/>
  <c r="DG173" i="1" s="1"/>
  <c r="DF137" i="1"/>
  <c r="DF173" i="1" s="1"/>
  <c r="DE137" i="1"/>
  <c r="DE173" i="1" s="1"/>
  <c r="DD137" i="1"/>
  <c r="DD173" i="1" s="1"/>
  <c r="DC137" i="1"/>
  <c r="DC173" i="1" s="1"/>
  <c r="HC136" i="1"/>
  <c r="HC172" i="1" s="1"/>
  <c r="HB136" i="1"/>
  <c r="HB172" i="1" s="1"/>
  <c r="HA136" i="1"/>
  <c r="HA172" i="1" s="1"/>
  <c r="GZ136" i="1"/>
  <c r="GZ172" i="1" s="1"/>
  <c r="GY136" i="1"/>
  <c r="GY172" i="1" s="1"/>
  <c r="GX136" i="1"/>
  <c r="GX172" i="1" s="1"/>
  <c r="GW136" i="1"/>
  <c r="GW172" i="1" s="1"/>
  <c r="GV136" i="1"/>
  <c r="GV172" i="1" s="1"/>
  <c r="GU136" i="1"/>
  <c r="GU172" i="1" s="1"/>
  <c r="GT136" i="1"/>
  <c r="GT172" i="1" s="1"/>
  <c r="GS136" i="1"/>
  <c r="GS172" i="1" s="1"/>
  <c r="GR136" i="1"/>
  <c r="GR172" i="1" s="1"/>
  <c r="GQ136" i="1"/>
  <c r="GQ172" i="1" s="1"/>
  <c r="GP136" i="1"/>
  <c r="GP172" i="1" s="1"/>
  <c r="GO136" i="1"/>
  <c r="GO172" i="1" s="1"/>
  <c r="GN136" i="1"/>
  <c r="GN172" i="1" s="1"/>
  <c r="GM136" i="1"/>
  <c r="GM172" i="1" s="1"/>
  <c r="GL136" i="1"/>
  <c r="GL172" i="1" s="1"/>
  <c r="GK136" i="1"/>
  <c r="GK172" i="1" s="1"/>
  <c r="GJ136" i="1"/>
  <c r="GJ172" i="1" s="1"/>
  <c r="GI136" i="1"/>
  <c r="GI172" i="1" s="1"/>
  <c r="GH136" i="1"/>
  <c r="GH172" i="1" s="1"/>
  <c r="GG136" i="1"/>
  <c r="GG172" i="1" s="1"/>
  <c r="GF136" i="1"/>
  <c r="GF172" i="1" s="1"/>
  <c r="GE136" i="1"/>
  <c r="GE172" i="1" s="1"/>
  <c r="GD136" i="1"/>
  <c r="GD172" i="1" s="1"/>
  <c r="GC136" i="1"/>
  <c r="GC172" i="1" s="1"/>
  <c r="GB136" i="1"/>
  <c r="GB172" i="1" s="1"/>
  <c r="GA136" i="1"/>
  <c r="GA172" i="1" s="1"/>
  <c r="FZ136" i="1"/>
  <c r="FZ172" i="1" s="1"/>
  <c r="FY136" i="1"/>
  <c r="FY172" i="1" s="1"/>
  <c r="FX136" i="1"/>
  <c r="FX172" i="1" s="1"/>
  <c r="FW136" i="1"/>
  <c r="FW172" i="1" s="1"/>
  <c r="FV136" i="1"/>
  <c r="FV172" i="1" s="1"/>
  <c r="FU136" i="1"/>
  <c r="FU172" i="1" s="1"/>
  <c r="FT136" i="1"/>
  <c r="FT172" i="1" s="1"/>
  <c r="FS136" i="1"/>
  <c r="FS172" i="1" s="1"/>
  <c r="FR136" i="1"/>
  <c r="FR172" i="1" s="1"/>
  <c r="FQ136" i="1"/>
  <c r="FQ172" i="1" s="1"/>
  <c r="FP136" i="1"/>
  <c r="FP172" i="1" s="1"/>
  <c r="FO136" i="1"/>
  <c r="FO172" i="1" s="1"/>
  <c r="FN136" i="1"/>
  <c r="FN172" i="1" s="1"/>
  <c r="FM136" i="1"/>
  <c r="FM172" i="1" s="1"/>
  <c r="FL136" i="1"/>
  <c r="FL172" i="1" s="1"/>
  <c r="FK136" i="1"/>
  <c r="FK172" i="1" s="1"/>
  <c r="FJ136" i="1"/>
  <c r="FJ172" i="1" s="1"/>
  <c r="FI136" i="1"/>
  <c r="FI172" i="1" s="1"/>
  <c r="FH136" i="1"/>
  <c r="FH172" i="1" s="1"/>
  <c r="FG136" i="1"/>
  <c r="FG172" i="1" s="1"/>
  <c r="FF136" i="1"/>
  <c r="FF172" i="1" s="1"/>
  <c r="FE136" i="1"/>
  <c r="FE172" i="1" s="1"/>
  <c r="FD136" i="1"/>
  <c r="FD172" i="1" s="1"/>
  <c r="FC136" i="1"/>
  <c r="FC172" i="1" s="1"/>
  <c r="FB136" i="1"/>
  <c r="FB172" i="1" s="1"/>
  <c r="FA136" i="1"/>
  <c r="FA172" i="1" s="1"/>
  <c r="EZ136" i="1"/>
  <c r="EZ172" i="1" s="1"/>
  <c r="EY136" i="1"/>
  <c r="EY172" i="1" s="1"/>
  <c r="EX136" i="1"/>
  <c r="EX172" i="1" s="1"/>
  <c r="EW136" i="1"/>
  <c r="EW172" i="1" s="1"/>
  <c r="EV136" i="1"/>
  <c r="EV172" i="1" s="1"/>
  <c r="EU136" i="1"/>
  <c r="EU172" i="1" s="1"/>
  <c r="ET136" i="1"/>
  <c r="ET172" i="1" s="1"/>
  <c r="ES136" i="1"/>
  <c r="ES172" i="1" s="1"/>
  <c r="ER136" i="1"/>
  <c r="ER172" i="1" s="1"/>
  <c r="EQ136" i="1"/>
  <c r="EQ172" i="1" s="1"/>
  <c r="EP136" i="1"/>
  <c r="EP172" i="1" s="1"/>
  <c r="EO136" i="1"/>
  <c r="EO172" i="1" s="1"/>
  <c r="EN136" i="1"/>
  <c r="EN172" i="1" s="1"/>
  <c r="EM136" i="1"/>
  <c r="EM172" i="1" s="1"/>
  <c r="EL136" i="1"/>
  <c r="EL172" i="1" s="1"/>
  <c r="EK136" i="1"/>
  <c r="EK172" i="1" s="1"/>
  <c r="EJ136" i="1"/>
  <c r="EJ172" i="1" s="1"/>
  <c r="EI136" i="1"/>
  <c r="EI172" i="1" s="1"/>
  <c r="EH136" i="1"/>
  <c r="EH172" i="1" s="1"/>
  <c r="EG136" i="1"/>
  <c r="EG172" i="1" s="1"/>
  <c r="EF136" i="1"/>
  <c r="EF172" i="1" s="1"/>
  <c r="EE136" i="1"/>
  <c r="EE172" i="1" s="1"/>
  <c r="ED136" i="1"/>
  <c r="ED172" i="1" s="1"/>
  <c r="EC136" i="1"/>
  <c r="EC172" i="1" s="1"/>
  <c r="EB136" i="1"/>
  <c r="EB172" i="1" s="1"/>
  <c r="EA136" i="1"/>
  <c r="DZ136" i="1"/>
  <c r="DZ172" i="1" s="1"/>
  <c r="DY136" i="1"/>
  <c r="DY172" i="1" s="1"/>
  <c r="DX136" i="1"/>
  <c r="DX172" i="1" s="1"/>
  <c r="DW136" i="1"/>
  <c r="DW172" i="1" s="1"/>
  <c r="DV136" i="1"/>
  <c r="DV172" i="1" s="1"/>
  <c r="DU136" i="1"/>
  <c r="DU172" i="1" s="1"/>
  <c r="DT136" i="1"/>
  <c r="DT172" i="1" s="1"/>
  <c r="DS136" i="1"/>
  <c r="DS172" i="1" s="1"/>
  <c r="DR136" i="1"/>
  <c r="DR172" i="1" s="1"/>
  <c r="DQ136" i="1"/>
  <c r="DQ172" i="1" s="1"/>
  <c r="DP136" i="1"/>
  <c r="DP172" i="1" s="1"/>
  <c r="DO136" i="1"/>
  <c r="DO172" i="1" s="1"/>
  <c r="DN136" i="1"/>
  <c r="DN172" i="1" s="1"/>
  <c r="DM136" i="1"/>
  <c r="DM172" i="1" s="1"/>
  <c r="DL136" i="1"/>
  <c r="DL172" i="1" s="1"/>
  <c r="DK136" i="1"/>
  <c r="DK172" i="1" s="1"/>
  <c r="DJ136" i="1"/>
  <c r="DJ172" i="1" s="1"/>
  <c r="DI136" i="1"/>
  <c r="DI172" i="1" s="1"/>
  <c r="DH136" i="1"/>
  <c r="DH172" i="1" s="1"/>
  <c r="DG136" i="1"/>
  <c r="DG172" i="1" s="1"/>
  <c r="DF136" i="1"/>
  <c r="DF172" i="1" s="1"/>
  <c r="DE136" i="1"/>
  <c r="DE172" i="1" s="1"/>
  <c r="DD136" i="1"/>
  <c r="DD172" i="1" s="1"/>
  <c r="DC136" i="1"/>
  <c r="DC172" i="1" s="1"/>
  <c r="HC135" i="1"/>
  <c r="HC171" i="1" s="1"/>
  <c r="HB135" i="1"/>
  <c r="HB171" i="1" s="1"/>
  <c r="HA135" i="1"/>
  <c r="HA171" i="1" s="1"/>
  <c r="GZ135" i="1"/>
  <c r="GZ171" i="1" s="1"/>
  <c r="GY135" i="1"/>
  <c r="GY171" i="1" s="1"/>
  <c r="GX135" i="1"/>
  <c r="GX171" i="1" s="1"/>
  <c r="GW135" i="1"/>
  <c r="GW171" i="1" s="1"/>
  <c r="GV135" i="1"/>
  <c r="GV171" i="1" s="1"/>
  <c r="GU135" i="1"/>
  <c r="GU171" i="1" s="1"/>
  <c r="GT135" i="1"/>
  <c r="GT171" i="1" s="1"/>
  <c r="GS135" i="1"/>
  <c r="GS171" i="1" s="1"/>
  <c r="GR135" i="1"/>
  <c r="GR171" i="1" s="1"/>
  <c r="GQ135" i="1"/>
  <c r="GQ171" i="1" s="1"/>
  <c r="GP135" i="1"/>
  <c r="GP171" i="1" s="1"/>
  <c r="GO135" i="1"/>
  <c r="GO171" i="1" s="1"/>
  <c r="GN135" i="1"/>
  <c r="GN171" i="1" s="1"/>
  <c r="GM135" i="1"/>
  <c r="GM171" i="1" s="1"/>
  <c r="GL135" i="1"/>
  <c r="GL171" i="1" s="1"/>
  <c r="GK135" i="1"/>
  <c r="GK171" i="1" s="1"/>
  <c r="GJ135" i="1"/>
  <c r="GJ171" i="1" s="1"/>
  <c r="GI135" i="1"/>
  <c r="GI171" i="1" s="1"/>
  <c r="GH135" i="1"/>
  <c r="GH171" i="1" s="1"/>
  <c r="GG135" i="1"/>
  <c r="GG171" i="1" s="1"/>
  <c r="GF135" i="1"/>
  <c r="GF171" i="1" s="1"/>
  <c r="GE135" i="1"/>
  <c r="GE171" i="1" s="1"/>
  <c r="GD135" i="1"/>
  <c r="GD171" i="1" s="1"/>
  <c r="GC135" i="1"/>
  <c r="GC171" i="1" s="1"/>
  <c r="GB135" i="1"/>
  <c r="GB171" i="1" s="1"/>
  <c r="GA135" i="1"/>
  <c r="GA171" i="1" s="1"/>
  <c r="FZ135" i="1"/>
  <c r="FZ171" i="1" s="1"/>
  <c r="FY135" i="1"/>
  <c r="FY171" i="1" s="1"/>
  <c r="FX135" i="1"/>
  <c r="FX171" i="1" s="1"/>
  <c r="FW135" i="1"/>
  <c r="FW171" i="1" s="1"/>
  <c r="FV135" i="1"/>
  <c r="FV171" i="1" s="1"/>
  <c r="FU135" i="1"/>
  <c r="FU171" i="1" s="1"/>
  <c r="FT135" i="1"/>
  <c r="FT171" i="1" s="1"/>
  <c r="FS135" i="1"/>
  <c r="FS171" i="1" s="1"/>
  <c r="FR135" i="1"/>
  <c r="FR171" i="1" s="1"/>
  <c r="FQ135" i="1"/>
  <c r="FQ171" i="1" s="1"/>
  <c r="FP135" i="1"/>
  <c r="FP171" i="1" s="1"/>
  <c r="FO135" i="1"/>
  <c r="FO171" i="1" s="1"/>
  <c r="FN135" i="1"/>
  <c r="FN171" i="1" s="1"/>
  <c r="FM135" i="1"/>
  <c r="FM171" i="1" s="1"/>
  <c r="FL135" i="1"/>
  <c r="FL171" i="1" s="1"/>
  <c r="FK135" i="1"/>
  <c r="FK171" i="1" s="1"/>
  <c r="FJ135" i="1"/>
  <c r="FJ171" i="1" s="1"/>
  <c r="FI135" i="1"/>
  <c r="FI171" i="1" s="1"/>
  <c r="FH135" i="1"/>
  <c r="FH171" i="1" s="1"/>
  <c r="FG135" i="1"/>
  <c r="FG171" i="1" s="1"/>
  <c r="FF135" i="1"/>
  <c r="FF171" i="1" s="1"/>
  <c r="FE135" i="1"/>
  <c r="FE171" i="1" s="1"/>
  <c r="FD135" i="1"/>
  <c r="FD171" i="1" s="1"/>
  <c r="FC135" i="1"/>
  <c r="FC171" i="1" s="1"/>
  <c r="FB135" i="1"/>
  <c r="FB171" i="1" s="1"/>
  <c r="FA135" i="1"/>
  <c r="FA171" i="1" s="1"/>
  <c r="EZ135" i="1"/>
  <c r="EZ171" i="1" s="1"/>
  <c r="EY135" i="1"/>
  <c r="EY171" i="1" s="1"/>
  <c r="EX135" i="1"/>
  <c r="EX171" i="1" s="1"/>
  <c r="EW135" i="1"/>
  <c r="EW171" i="1" s="1"/>
  <c r="EV135" i="1"/>
  <c r="EV171" i="1" s="1"/>
  <c r="EU135" i="1"/>
  <c r="EU171" i="1" s="1"/>
  <c r="ET135" i="1"/>
  <c r="ET171" i="1" s="1"/>
  <c r="ES135" i="1"/>
  <c r="ES171" i="1" s="1"/>
  <c r="ER135" i="1"/>
  <c r="ER171" i="1" s="1"/>
  <c r="EQ135" i="1"/>
  <c r="EQ171" i="1" s="1"/>
  <c r="EP135" i="1"/>
  <c r="EP171" i="1" s="1"/>
  <c r="EO135" i="1"/>
  <c r="EO171" i="1" s="1"/>
  <c r="EN135" i="1"/>
  <c r="EN171" i="1" s="1"/>
  <c r="EM135" i="1"/>
  <c r="EM171" i="1" s="1"/>
  <c r="EL135" i="1"/>
  <c r="EL171" i="1" s="1"/>
  <c r="EK135" i="1"/>
  <c r="EK171" i="1" s="1"/>
  <c r="EJ135" i="1"/>
  <c r="EJ171" i="1" s="1"/>
  <c r="EI135" i="1"/>
  <c r="EI171" i="1" s="1"/>
  <c r="EH135" i="1"/>
  <c r="EH171" i="1" s="1"/>
  <c r="EG135" i="1"/>
  <c r="EG171" i="1" s="1"/>
  <c r="EF135" i="1"/>
  <c r="EF171" i="1" s="1"/>
  <c r="EE135" i="1"/>
  <c r="EE171" i="1" s="1"/>
  <c r="ED135" i="1"/>
  <c r="ED171" i="1" s="1"/>
  <c r="EC135" i="1"/>
  <c r="EC171" i="1" s="1"/>
  <c r="EB135" i="1"/>
  <c r="EB171" i="1" s="1"/>
  <c r="EA135" i="1"/>
  <c r="EA171" i="1" s="1"/>
  <c r="DZ135" i="1"/>
  <c r="DZ171" i="1" s="1"/>
  <c r="DY135" i="1"/>
  <c r="DY171" i="1" s="1"/>
  <c r="DX135" i="1"/>
  <c r="DX171" i="1" s="1"/>
  <c r="DW135" i="1"/>
  <c r="DW171" i="1" s="1"/>
  <c r="DV135" i="1"/>
  <c r="DV171" i="1" s="1"/>
  <c r="DU135" i="1"/>
  <c r="DU171" i="1" s="1"/>
  <c r="DT135" i="1"/>
  <c r="DT171" i="1" s="1"/>
  <c r="DS135" i="1"/>
  <c r="DS171" i="1" s="1"/>
  <c r="DR135" i="1"/>
  <c r="DR171" i="1" s="1"/>
  <c r="DQ135" i="1"/>
  <c r="DQ171" i="1" s="1"/>
  <c r="DP135" i="1"/>
  <c r="DP171" i="1" s="1"/>
  <c r="DO135" i="1"/>
  <c r="DO171" i="1" s="1"/>
  <c r="DN135" i="1"/>
  <c r="DN171" i="1" s="1"/>
  <c r="DM135" i="1"/>
  <c r="DM171" i="1" s="1"/>
  <c r="DL135" i="1"/>
  <c r="DL171" i="1" s="1"/>
  <c r="DK135" i="1"/>
  <c r="DK171" i="1" s="1"/>
  <c r="DJ135" i="1"/>
  <c r="DJ171" i="1" s="1"/>
  <c r="DI135" i="1"/>
  <c r="DI171" i="1" s="1"/>
  <c r="DH135" i="1"/>
  <c r="DH171" i="1" s="1"/>
  <c r="DG135" i="1"/>
  <c r="DG171" i="1" s="1"/>
  <c r="DF135" i="1"/>
  <c r="DF171" i="1" s="1"/>
  <c r="DE135" i="1"/>
  <c r="DE171" i="1" s="1"/>
  <c r="DD135" i="1"/>
  <c r="DD171" i="1" s="1"/>
  <c r="DC135" i="1"/>
  <c r="DC171" i="1" s="1"/>
  <c r="HC134" i="1"/>
  <c r="HC170" i="1" s="1"/>
  <c r="HB134" i="1"/>
  <c r="HB170" i="1" s="1"/>
  <c r="HA134" i="1"/>
  <c r="HA170" i="1" s="1"/>
  <c r="GZ134" i="1"/>
  <c r="GZ170" i="1" s="1"/>
  <c r="GY134" i="1"/>
  <c r="GY170" i="1" s="1"/>
  <c r="GX134" i="1"/>
  <c r="GX170" i="1" s="1"/>
  <c r="GW134" i="1"/>
  <c r="GW170" i="1" s="1"/>
  <c r="GV134" i="1"/>
  <c r="GV170" i="1" s="1"/>
  <c r="GU134" i="1"/>
  <c r="GU170" i="1" s="1"/>
  <c r="GT134" i="1"/>
  <c r="GT170" i="1" s="1"/>
  <c r="GS134" i="1"/>
  <c r="GS170" i="1" s="1"/>
  <c r="GR134" i="1"/>
  <c r="GR170" i="1" s="1"/>
  <c r="GQ134" i="1"/>
  <c r="GQ170" i="1" s="1"/>
  <c r="GP134" i="1"/>
  <c r="GP170" i="1" s="1"/>
  <c r="GO134" i="1"/>
  <c r="GO170" i="1" s="1"/>
  <c r="GN134" i="1"/>
  <c r="GN170" i="1" s="1"/>
  <c r="GM134" i="1"/>
  <c r="GM170" i="1" s="1"/>
  <c r="GL134" i="1"/>
  <c r="GL170" i="1" s="1"/>
  <c r="GK134" i="1"/>
  <c r="GK170" i="1" s="1"/>
  <c r="GJ134" i="1"/>
  <c r="GJ170" i="1" s="1"/>
  <c r="GI134" i="1"/>
  <c r="GI170" i="1" s="1"/>
  <c r="GH134" i="1"/>
  <c r="GH170" i="1" s="1"/>
  <c r="GG134" i="1"/>
  <c r="GG170" i="1" s="1"/>
  <c r="GF134" i="1"/>
  <c r="GF170" i="1" s="1"/>
  <c r="GE134" i="1"/>
  <c r="GE170" i="1" s="1"/>
  <c r="GD134" i="1"/>
  <c r="GD170" i="1" s="1"/>
  <c r="GC134" i="1"/>
  <c r="GC170" i="1" s="1"/>
  <c r="GB134" i="1"/>
  <c r="GB170" i="1" s="1"/>
  <c r="GA134" i="1"/>
  <c r="GA170" i="1" s="1"/>
  <c r="FZ134" i="1"/>
  <c r="FZ170" i="1" s="1"/>
  <c r="FY134" i="1"/>
  <c r="FY170" i="1" s="1"/>
  <c r="FX134" i="1"/>
  <c r="FX170" i="1" s="1"/>
  <c r="FW134" i="1"/>
  <c r="FW170" i="1" s="1"/>
  <c r="FV134" i="1"/>
  <c r="FV170" i="1" s="1"/>
  <c r="FU134" i="1"/>
  <c r="FU170" i="1" s="1"/>
  <c r="FT134" i="1"/>
  <c r="FT170" i="1" s="1"/>
  <c r="FS134" i="1"/>
  <c r="FS170" i="1" s="1"/>
  <c r="FR134" i="1"/>
  <c r="FR170" i="1" s="1"/>
  <c r="FQ134" i="1"/>
  <c r="FQ170" i="1" s="1"/>
  <c r="FP134" i="1"/>
  <c r="FP170" i="1" s="1"/>
  <c r="FO134" i="1"/>
  <c r="FO170" i="1" s="1"/>
  <c r="FN134" i="1"/>
  <c r="FN170" i="1" s="1"/>
  <c r="FM134" i="1"/>
  <c r="FM170" i="1" s="1"/>
  <c r="FL134" i="1"/>
  <c r="FL170" i="1" s="1"/>
  <c r="FK134" i="1"/>
  <c r="FK170" i="1" s="1"/>
  <c r="FJ134" i="1"/>
  <c r="FJ170" i="1" s="1"/>
  <c r="FI134" i="1"/>
  <c r="FI170" i="1" s="1"/>
  <c r="FH134" i="1"/>
  <c r="FH170" i="1" s="1"/>
  <c r="FG134" i="1"/>
  <c r="FG170" i="1" s="1"/>
  <c r="FF134" i="1"/>
  <c r="FF170" i="1" s="1"/>
  <c r="FE134" i="1"/>
  <c r="FE170" i="1" s="1"/>
  <c r="FD134" i="1"/>
  <c r="FD170" i="1" s="1"/>
  <c r="FC134" i="1"/>
  <c r="FC170" i="1" s="1"/>
  <c r="FB134" i="1"/>
  <c r="FB170" i="1" s="1"/>
  <c r="FA134" i="1"/>
  <c r="FA170" i="1" s="1"/>
  <c r="EZ134" i="1"/>
  <c r="EZ170" i="1" s="1"/>
  <c r="EY134" i="1"/>
  <c r="EY170" i="1" s="1"/>
  <c r="EX134" i="1"/>
  <c r="EX170" i="1" s="1"/>
  <c r="EW134" i="1"/>
  <c r="EW170" i="1" s="1"/>
  <c r="EV134" i="1"/>
  <c r="EV170" i="1" s="1"/>
  <c r="EU134" i="1"/>
  <c r="EU170" i="1" s="1"/>
  <c r="ET134" i="1"/>
  <c r="ET170" i="1" s="1"/>
  <c r="ES134" i="1"/>
  <c r="ES170" i="1" s="1"/>
  <c r="ER134" i="1"/>
  <c r="ER170" i="1" s="1"/>
  <c r="EQ134" i="1"/>
  <c r="EQ170" i="1" s="1"/>
  <c r="EP134" i="1"/>
  <c r="EP170" i="1" s="1"/>
  <c r="EO134" i="1"/>
  <c r="EO170" i="1" s="1"/>
  <c r="EN134" i="1"/>
  <c r="EN170" i="1" s="1"/>
  <c r="EM134" i="1"/>
  <c r="EM170" i="1" s="1"/>
  <c r="EL134" i="1"/>
  <c r="EL170" i="1" s="1"/>
  <c r="EK134" i="1"/>
  <c r="EK170" i="1" s="1"/>
  <c r="EJ134" i="1"/>
  <c r="EJ170" i="1" s="1"/>
  <c r="EI134" i="1"/>
  <c r="EI170" i="1" s="1"/>
  <c r="EH134" i="1"/>
  <c r="EH170" i="1" s="1"/>
  <c r="EG134" i="1"/>
  <c r="EG170" i="1" s="1"/>
  <c r="EF134" i="1"/>
  <c r="EF170" i="1" s="1"/>
  <c r="EE134" i="1"/>
  <c r="EE170" i="1" s="1"/>
  <c r="ED134" i="1"/>
  <c r="ED170" i="1" s="1"/>
  <c r="EC134" i="1"/>
  <c r="EC170" i="1" s="1"/>
  <c r="EB134" i="1"/>
  <c r="EB170" i="1" s="1"/>
  <c r="EA134" i="1"/>
  <c r="EA170" i="1" s="1"/>
  <c r="DZ134" i="1"/>
  <c r="DZ170" i="1" s="1"/>
  <c r="DY134" i="1"/>
  <c r="DY170" i="1" s="1"/>
  <c r="DX134" i="1"/>
  <c r="DX170" i="1" s="1"/>
  <c r="DW134" i="1"/>
  <c r="DW170" i="1" s="1"/>
  <c r="DV134" i="1"/>
  <c r="DV170" i="1" s="1"/>
  <c r="DU134" i="1"/>
  <c r="DU170" i="1" s="1"/>
  <c r="DT134" i="1"/>
  <c r="DT170" i="1" s="1"/>
  <c r="DS134" i="1"/>
  <c r="DS170" i="1" s="1"/>
  <c r="DR134" i="1"/>
  <c r="DR170" i="1" s="1"/>
  <c r="DQ134" i="1"/>
  <c r="DQ170" i="1" s="1"/>
  <c r="DP134" i="1"/>
  <c r="DP170" i="1" s="1"/>
  <c r="DO134" i="1"/>
  <c r="DO170" i="1" s="1"/>
  <c r="DN134" i="1"/>
  <c r="DN170" i="1" s="1"/>
  <c r="DM134" i="1"/>
  <c r="DM170" i="1" s="1"/>
  <c r="DL134" i="1"/>
  <c r="DL170" i="1" s="1"/>
  <c r="DK134" i="1"/>
  <c r="DK170" i="1" s="1"/>
  <c r="DJ134" i="1"/>
  <c r="DJ170" i="1" s="1"/>
  <c r="DI134" i="1"/>
  <c r="DI170" i="1" s="1"/>
  <c r="DH134" i="1"/>
  <c r="DH170" i="1" s="1"/>
  <c r="DG134" i="1"/>
  <c r="DG170" i="1" s="1"/>
  <c r="DF134" i="1"/>
  <c r="DF170" i="1" s="1"/>
  <c r="DE134" i="1"/>
  <c r="DE170" i="1" s="1"/>
  <c r="DD134" i="1"/>
  <c r="DD170" i="1" s="1"/>
  <c r="DC134" i="1"/>
  <c r="DC170" i="1" s="1"/>
  <c r="HC133" i="1"/>
  <c r="HC169" i="1" s="1"/>
  <c r="HB133" i="1"/>
  <c r="HB169" i="1" s="1"/>
  <c r="HA133" i="1"/>
  <c r="HA169" i="1" s="1"/>
  <c r="GZ133" i="1"/>
  <c r="GZ169" i="1" s="1"/>
  <c r="GY133" i="1"/>
  <c r="GY169" i="1" s="1"/>
  <c r="GX133" i="1"/>
  <c r="GX169" i="1" s="1"/>
  <c r="GW133" i="1"/>
  <c r="GW169" i="1" s="1"/>
  <c r="GV133" i="1"/>
  <c r="GV169" i="1" s="1"/>
  <c r="GU133" i="1"/>
  <c r="GU169" i="1" s="1"/>
  <c r="GT133" i="1"/>
  <c r="GT169" i="1" s="1"/>
  <c r="GS133" i="1"/>
  <c r="GS169" i="1" s="1"/>
  <c r="GR133" i="1"/>
  <c r="GR169" i="1" s="1"/>
  <c r="GQ133" i="1"/>
  <c r="GQ169" i="1" s="1"/>
  <c r="GP133" i="1"/>
  <c r="GP169" i="1" s="1"/>
  <c r="GO133" i="1"/>
  <c r="GO169" i="1" s="1"/>
  <c r="GN133" i="1"/>
  <c r="GN169" i="1" s="1"/>
  <c r="GM133" i="1"/>
  <c r="GM169" i="1" s="1"/>
  <c r="GL133" i="1"/>
  <c r="GL169" i="1" s="1"/>
  <c r="GK133" i="1"/>
  <c r="GK169" i="1" s="1"/>
  <c r="GJ133" i="1"/>
  <c r="GJ169" i="1" s="1"/>
  <c r="GI133" i="1"/>
  <c r="GI169" i="1" s="1"/>
  <c r="GH133" i="1"/>
  <c r="GH169" i="1" s="1"/>
  <c r="GG133" i="1"/>
  <c r="GG169" i="1" s="1"/>
  <c r="GF133" i="1"/>
  <c r="GF169" i="1" s="1"/>
  <c r="GE133" i="1"/>
  <c r="GE169" i="1" s="1"/>
  <c r="GD133" i="1"/>
  <c r="GD169" i="1" s="1"/>
  <c r="GC133" i="1"/>
  <c r="GC169" i="1" s="1"/>
  <c r="GB133" i="1"/>
  <c r="GB169" i="1" s="1"/>
  <c r="GA133" i="1"/>
  <c r="GA169" i="1" s="1"/>
  <c r="FZ133" i="1"/>
  <c r="FZ169" i="1" s="1"/>
  <c r="FY133" i="1"/>
  <c r="FY169" i="1" s="1"/>
  <c r="FX133" i="1"/>
  <c r="FX169" i="1" s="1"/>
  <c r="FW133" i="1"/>
  <c r="FW169" i="1" s="1"/>
  <c r="FV133" i="1"/>
  <c r="FV169" i="1" s="1"/>
  <c r="FU133" i="1"/>
  <c r="FU169" i="1" s="1"/>
  <c r="FT133" i="1"/>
  <c r="FT169" i="1" s="1"/>
  <c r="FS133" i="1"/>
  <c r="FS169" i="1" s="1"/>
  <c r="FR133" i="1"/>
  <c r="FR169" i="1" s="1"/>
  <c r="FQ133" i="1"/>
  <c r="FQ169" i="1" s="1"/>
  <c r="FP133" i="1"/>
  <c r="FP169" i="1" s="1"/>
  <c r="FO133" i="1"/>
  <c r="FO169" i="1" s="1"/>
  <c r="FN133" i="1"/>
  <c r="FN169" i="1" s="1"/>
  <c r="FM133" i="1"/>
  <c r="FM169" i="1" s="1"/>
  <c r="FL133" i="1"/>
  <c r="FL169" i="1" s="1"/>
  <c r="FK133" i="1"/>
  <c r="FK169" i="1" s="1"/>
  <c r="FJ133" i="1"/>
  <c r="FJ169" i="1" s="1"/>
  <c r="FI133" i="1"/>
  <c r="FI169" i="1" s="1"/>
  <c r="FH133" i="1"/>
  <c r="FH169" i="1" s="1"/>
  <c r="FG133" i="1"/>
  <c r="FG169" i="1" s="1"/>
  <c r="FF133" i="1"/>
  <c r="FF169" i="1" s="1"/>
  <c r="FE133" i="1"/>
  <c r="FE169" i="1" s="1"/>
  <c r="FD133" i="1"/>
  <c r="FD169" i="1" s="1"/>
  <c r="FC133" i="1"/>
  <c r="FC169" i="1" s="1"/>
  <c r="FB133" i="1"/>
  <c r="FB169" i="1" s="1"/>
  <c r="FA133" i="1"/>
  <c r="FA169" i="1" s="1"/>
  <c r="EZ133" i="1"/>
  <c r="EZ169" i="1" s="1"/>
  <c r="EY133" i="1"/>
  <c r="EY169" i="1" s="1"/>
  <c r="EX133" i="1"/>
  <c r="EX169" i="1" s="1"/>
  <c r="EW133" i="1"/>
  <c r="EW169" i="1" s="1"/>
  <c r="EV133" i="1"/>
  <c r="EV169" i="1" s="1"/>
  <c r="EU133" i="1"/>
  <c r="EU169" i="1" s="1"/>
  <c r="ET133" i="1"/>
  <c r="ET169" i="1" s="1"/>
  <c r="ES133" i="1"/>
  <c r="ES169" i="1" s="1"/>
  <c r="ER133" i="1"/>
  <c r="ER169" i="1" s="1"/>
  <c r="EQ133" i="1"/>
  <c r="EQ169" i="1" s="1"/>
  <c r="EP133" i="1"/>
  <c r="EP169" i="1" s="1"/>
  <c r="EO133" i="1"/>
  <c r="EO169" i="1" s="1"/>
  <c r="EN133" i="1"/>
  <c r="EN169" i="1" s="1"/>
  <c r="EM133" i="1"/>
  <c r="EM169" i="1" s="1"/>
  <c r="EL133" i="1"/>
  <c r="EL169" i="1" s="1"/>
  <c r="EK133" i="1"/>
  <c r="EK169" i="1" s="1"/>
  <c r="EJ133" i="1"/>
  <c r="EJ169" i="1" s="1"/>
  <c r="EI133" i="1"/>
  <c r="EI169" i="1" s="1"/>
  <c r="EH133" i="1"/>
  <c r="EH169" i="1" s="1"/>
  <c r="EG133" i="1"/>
  <c r="EG169" i="1" s="1"/>
  <c r="EF133" i="1"/>
  <c r="EF169" i="1" s="1"/>
  <c r="EE133" i="1"/>
  <c r="EE169" i="1" s="1"/>
  <c r="ED133" i="1"/>
  <c r="ED169" i="1" s="1"/>
  <c r="EC133" i="1"/>
  <c r="EC169" i="1" s="1"/>
  <c r="EB133" i="1"/>
  <c r="EB169" i="1" s="1"/>
  <c r="EA133" i="1"/>
  <c r="EA169" i="1" s="1"/>
  <c r="DZ133" i="1"/>
  <c r="DZ169" i="1" s="1"/>
  <c r="DY133" i="1"/>
  <c r="DY169" i="1" s="1"/>
  <c r="DX133" i="1"/>
  <c r="DX169" i="1" s="1"/>
  <c r="DW133" i="1"/>
  <c r="DW169" i="1" s="1"/>
  <c r="DV133" i="1"/>
  <c r="DV169" i="1" s="1"/>
  <c r="DU133" i="1"/>
  <c r="DU169" i="1" s="1"/>
  <c r="DT133" i="1"/>
  <c r="DT169" i="1" s="1"/>
  <c r="DS133" i="1"/>
  <c r="DS169" i="1" s="1"/>
  <c r="DR133" i="1"/>
  <c r="DR169" i="1" s="1"/>
  <c r="DQ133" i="1"/>
  <c r="DQ169" i="1" s="1"/>
  <c r="DP133" i="1"/>
  <c r="DP169" i="1" s="1"/>
  <c r="DO133" i="1"/>
  <c r="DO169" i="1" s="1"/>
  <c r="DN133" i="1"/>
  <c r="DN169" i="1" s="1"/>
  <c r="DM133" i="1"/>
  <c r="DM169" i="1" s="1"/>
  <c r="DL133" i="1"/>
  <c r="DL169" i="1" s="1"/>
  <c r="DK133" i="1"/>
  <c r="DK169" i="1" s="1"/>
  <c r="DJ133" i="1"/>
  <c r="DJ169" i="1" s="1"/>
  <c r="DI133" i="1"/>
  <c r="DI169" i="1" s="1"/>
  <c r="DH133" i="1"/>
  <c r="DH169" i="1" s="1"/>
  <c r="DG133" i="1"/>
  <c r="DG169" i="1" s="1"/>
  <c r="DF133" i="1"/>
  <c r="DF169" i="1" s="1"/>
  <c r="DE133" i="1"/>
  <c r="DE169" i="1" s="1"/>
  <c r="DD133" i="1"/>
  <c r="DD169" i="1" s="1"/>
  <c r="DC133" i="1"/>
  <c r="DC169" i="1" s="1"/>
  <c r="HC132" i="1"/>
  <c r="HC168" i="1" s="1"/>
  <c r="HB132" i="1"/>
  <c r="HB168" i="1" s="1"/>
  <c r="HA132" i="1"/>
  <c r="GZ132" i="1"/>
  <c r="GZ168" i="1" s="1"/>
  <c r="GY132" i="1"/>
  <c r="GY168" i="1" s="1"/>
  <c r="GX132" i="1"/>
  <c r="GX168" i="1" s="1"/>
  <c r="GW132" i="1"/>
  <c r="GW168" i="1" s="1"/>
  <c r="GV132" i="1"/>
  <c r="GV168" i="1" s="1"/>
  <c r="GU132" i="1"/>
  <c r="GU168" i="1" s="1"/>
  <c r="GT132" i="1"/>
  <c r="GT168" i="1" s="1"/>
  <c r="GS132" i="1"/>
  <c r="GS168" i="1" s="1"/>
  <c r="GR132" i="1"/>
  <c r="GR168" i="1" s="1"/>
  <c r="GQ132" i="1"/>
  <c r="GQ168" i="1" s="1"/>
  <c r="GP132" i="1"/>
  <c r="GP168" i="1" s="1"/>
  <c r="GO132" i="1"/>
  <c r="GO168" i="1" s="1"/>
  <c r="GN132" i="1"/>
  <c r="GN168" i="1" s="1"/>
  <c r="GM132" i="1"/>
  <c r="GM168" i="1" s="1"/>
  <c r="GL132" i="1"/>
  <c r="GL168" i="1" s="1"/>
  <c r="GK132" i="1"/>
  <c r="GK168" i="1" s="1"/>
  <c r="GJ132" i="1"/>
  <c r="GJ168" i="1" s="1"/>
  <c r="GI132" i="1"/>
  <c r="GI168" i="1" s="1"/>
  <c r="GH132" i="1"/>
  <c r="GH168" i="1" s="1"/>
  <c r="GG132" i="1"/>
  <c r="GG168" i="1" s="1"/>
  <c r="GF132" i="1"/>
  <c r="GF168" i="1" s="1"/>
  <c r="GE132" i="1"/>
  <c r="GE168" i="1" s="1"/>
  <c r="GD132" i="1"/>
  <c r="GD168" i="1" s="1"/>
  <c r="GC132" i="1"/>
  <c r="GC168" i="1" s="1"/>
  <c r="GB132" i="1"/>
  <c r="GB168" i="1" s="1"/>
  <c r="GA132" i="1"/>
  <c r="GA168" i="1" s="1"/>
  <c r="FZ132" i="1"/>
  <c r="FZ168" i="1" s="1"/>
  <c r="FY132" i="1"/>
  <c r="FY168" i="1" s="1"/>
  <c r="FX132" i="1"/>
  <c r="FX168" i="1" s="1"/>
  <c r="FW132" i="1"/>
  <c r="FW168" i="1" s="1"/>
  <c r="FV132" i="1"/>
  <c r="FV168" i="1" s="1"/>
  <c r="FU132" i="1"/>
  <c r="FU168" i="1" s="1"/>
  <c r="FT132" i="1"/>
  <c r="FT168" i="1" s="1"/>
  <c r="FS132" i="1"/>
  <c r="FS168" i="1" s="1"/>
  <c r="FR132" i="1"/>
  <c r="FR168" i="1" s="1"/>
  <c r="FQ132" i="1"/>
  <c r="FQ168" i="1" s="1"/>
  <c r="FP132" i="1"/>
  <c r="FP168" i="1" s="1"/>
  <c r="FO132" i="1"/>
  <c r="FO168" i="1" s="1"/>
  <c r="FN132" i="1"/>
  <c r="FN168" i="1" s="1"/>
  <c r="FM132" i="1"/>
  <c r="FM168" i="1" s="1"/>
  <c r="FL132" i="1"/>
  <c r="FL168" i="1" s="1"/>
  <c r="FK132" i="1"/>
  <c r="FK168" i="1" s="1"/>
  <c r="FJ132" i="1"/>
  <c r="FJ168" i="1" s="1"/>
  <c r="FI132" i="1"/>
  <c r="FI168" i="1" s="1"/>
  <c r="FH132" i="1"/>
  <c r="FH168" i="1" s="1"/>
  <c r="FG132" i="1"/>
  <c r="FG168" i="1" s="1"/>
  <c r="FF132" i="1"/>
  <c r="FF168" i="1" s="1"/>
  <c r="FE132" i="1"/>
  <c r="FE168" i="1" s="1"/>
  <c r="FD132" i="1"/>
  <c r="FD168" i="1" s="1"/>
  <c r="FC132" i="1"/>
  <c r="FC168" i="1" s="1"/>
  <c r="FB132" i="1"/>
  <c r="FB168" i="1" s="1"/>
  <c r="FA132" i="1"/>
  <c r="FA168" i="1" s="1"/>
  <c r="EZ132" i="1"/>
  <c r="EZ168" i="1" s="1"/>
  <c r="EY132" i="1"/>
  <c r="EY168" i="1" s="1"/>
  <c r="EX132" i="1"/>
  <c r="EX168" i="1" s="1"/>
  <c r="EW132" i="1"/>
  <c r="EW168" i="1" s="1"/>
  <c r="EV132" i="1"/>
  <c r="EV168" i="1" s="1"/>
  <c r="EU132" i="1"/>
  <c r="EU168" i="1" s="1"/>
  <c r="ET132" i="1"/>
  <c r="ET168" i="1" s="1"/>
  <c r="ES132" i="1"/>
  <c r="ES168" i="1" s="1"/>
  <c r="ER132" i="1"/>
  <c r="ER168" i="1" s="1"/>
  <c r="EQ132" i="1"/>
  <c r="EQ168" i="1" s="1"/>
  <c r="EP132" i="1"/>
  <c r="EP168" i="1" s="1"/>
  <c r="EO132" i="1"/>
  <c r="EO168" i="1" s="1"/>
  <c r="EN132" i="1"/>
  <c r="EN168" i="1" s="1"/>
  <c r="EM132" i="1"/>
  <c r="EM168" i="1" s="1"/>
  <c r="EL132" i="1"/>
  <c r="EL168" i="1" s="1"/>
  <c r="EK132" i="1"/>
  <c r="EK168" i="1" s="1"/>
  <c r="EJ132" i="1"/>
  <c r="EJ168" i="1" s="1"/>
  <c r="EI132" i="1"/>
  <c r="EI168" i="1" s="1"/>
  <c r="EH132" i="1"/>
  <c r="EH168" i="1" s="1"/>
  <c r="EG132" i="1"/>
  <c r="EG168" i="1" s="1"/>
  <c r="EF132" i="1"/>
  <c r="EF168" i="1" s="1"/>
  <c r="EE132" i="1"/>
  <c r="EE168" i="1" s="1"/>
  <c r="ED132" i="1"/>
  <c r="ED168" i="1" s="1"/>
  <c r="EC132" i="1"/>
  <c r="EC168" i="1" s="1"/>
  <c r="EB132" i="1"/>
  <c r="EB168" i="1" s="1"/>
  <c r="EA132" i="1"/>
  <c r="EA168" i="1" s="1"/>
  <c r="DZ132" i="1"/>
  <c r="DZ168" i="1" s="1"/>
  <c r="DY132" i="1"/>
  <c r="DY168" i="1" s="1"/>
  <c r="DX132" i="1"/>
  <c r="DX168" i="1" s="1"/>
  <c r="DW132" i="1"/>
  <c r="DW168" i="1" s="1"/>
  <c r="DV132" i="1"/>
  <c r="DV168" i="1" s="1"/>
  <c r="DU132" i="1"/>
  <c r="DU168" i="1" s="1"/>
  <c r="DT132" i="1"/>
  <c r="DT168" i="1" s="1"/>
  <c r="DS132" i="1"/>
  <c r="DS168" i="1" s="1"/>
  <c r="DR132" i="1"/>
  <c r="DR168" i="1" s="1"/>
  <c r="DQ132" i="1"/>
  <c r="DQ168" i="1" s="1"/>
  <c r="DP132" i="1"/>
  <c r="DP168" i="1" s="1"/>
  <c r="DO132" i="1"/>
  <c r="DO168" i="1" s="1"/>
  <c r="DN132" i="1"/>
  <c r="DN168" i="1" s="1"/>
  <c r="DM132" i="1"/>
  <c r="DM168" i="1" s="1"/>
  <c r="DL132" i="1"/>
  <c r="DL168" i="1" s="1"/>
  <c r="DK132" i="1"/>
  <c r="DK168" i="1" s="1"/>
  <c r="DJ132" i="1"/>
  <c r="DJ168" i="1" s="1"/>
  <c r="DI132" i="1"/>
  <c r="DI168" i="1" s="1"/>
  <c r="DH132" i="1"/>
  <c r="DH168" i="1" s="1"/>
  <c r="DG132" i="1"/>
  <c r="DG168" i="1" s="1"/>
  <c r="DF132" i="1"/>
  <c r="DF168" i="1" s="1"/>
  <c r="DE132" i="1"/>
  <c r="DE168" i="1" s="1"/>
  <c r="DD132" i="1"/>
  <c r="DD168" i="1" s="1"/>
  <c r="DC132" i="1"/>
  <c r="DC168" i="1" s="1"/>
  <c r="HC131" i="1"/>
  <c r="HC167" i="1" s="1"/>
  <c r="HB131" i="1"/>
  <c r="HB167" i="1" s="1"/>
  <c r="HA131" i="1"/>
  <c r="HA167" i="1" s="1"/>
  <c r="GZ131" i="1"/>
  <c r="GZ167" i="1" s="1"/>
  <c r="GY131" i="1"/>
  <c r="GY167" i="1" s="1"/>
  <c r="GX131" i="1"/>
  <c r="GX167" i="1" s="1"/>
  <c r="GW131" i="1"/>
  <c r="GW167" i="1" s="1"/>
  <c r="GV131" i="1"/>
  <c r="GV167" i="1" s="1"/>
  <c r="GU131" i="1"/>
  <c r="GU167" i="1" s="1"/>
  <c r="GT131" i="1"/>
  <c r="GT167" i="1" s="1"/>
  <c r="GS131" i="1"/>
  <c r="GS167" i="1" s="1"/>
  <c r="GR131" i="1"/>
  <c r="GR167" i="1" s="1"/>
  <c r="GQ131" i="1"/>
  <c r="GQ167" i="1" s="1"/>
  <c r="GP131" i="1"/>
  <c r="GP167" i="1" s="1"/>
  <c r="GO131" i="1"/>
  <c r="GO167" i="1" s="1"/>
  <c r="GN131" i="1"/>
  <c r="GN167" i="1" s="1"/>
  <c r="GM131" i="1"/>
  <c r="GM167" i="1" s="1"/>
  <c r="GL131" i="1"/>
  <c r="GL167" i="1" s="1"/>
  <c r="GK131" i="1"/>
  <c r="GK167" i="1" s="1"/>
  <c r="GJ131" i="1"/>
  <c r="GJ167" i="1" s="1"/>
  <c r="GI131" i="1"/>
  <c r="GI167" i="1" s="1"/>
  <c r="GH131" i="1"/>
  <c r="GH167" i="1" s="1"/>
  <c r="GG131" i="1"/>
  <c r="GG167" i="1" s="1"/>
  <c r="GF131" i="1"/>
  <c r="GF167" i="1" s="1"/>
  <c r="GE131" i="1"/>
  <c r="GE167" i="1" s="1"/>
  <c r="GD131" i="1"/>
  <c r="GD167" i="1" s="1"/>
  <c r="GC131" i="1"/>
  <c r="GC167" i="1" s="1"/>
  <c r="GB131" i="1"/>
  <c r="GB167" i="1" s="1"/>
  <c r="GA131" i="1"/>
  <c r="GA167" i="1" s="1"/>
  <c r="FZ131" i="1"/>
  <c r="FZ167" i="1" s="1"/>
  <c r="FY131" i="1"/>
  <c r="FY167" i="1" s="1"/>
  <c r="FX131" i="1"/>
  <c r="FX167" i="1" s="1"/>
  <c r="FW131" i="1"/>
  <c r="FW167" i="1" s="1"/>
  <c r="FV131" i="1"/>
  <c r="FV167" i="1" s="1"/>
  <c r="FU131" i="1"/>
  <c r="FU167" i="1" s="1"/>
  <c r="FT131" i="1"/>
  <c r="FT167" i="1" s="1"/>
  <c r="FS131" i="1"/>
  <c r="FS167" i="1" s="1"/>
  <c r="FR131" i="1"/>
  <c r="FR167" i="1" s="1"/>
  <c r="FQ131" i="1"/>
  <c r="FQ167" i="1" s="1"/>
  <c r="FP131" i="1"/>
  <c r="FP167" i="1" s="1"/>
  <c r="FO131" i="1"/>
  <c r="FO167" i="1" s="1"/>
  <c r="FN131" i="1"/>
  <c r="FN167" i="1" s="1"/>
  <c r="FM131" i="1"/>
  <c r="FM167" i="1" s="1"/>
  <c r="FL131" i="1"/>
  <c r="FL167" i="1" s="1"/>
  <c r="FK131" i="1"/>
  <c r="FK167" i="1" s="1"/>
  <c r="FJ131" i="1"/>
  <c r="FJ167" i="1" s="1"/>
  <c r="FI131" i="1"/>
  <c r="FI167" i="1" s="1"/>
  <c r="FH131" i="1"/>
  <c r="FH167" i="1" s="1"/>
  <c r="FG131" i="1"/>
  <c r="FG167" i="1" s="1"/>
  <c r="FF131" i="1"/>
  <c r="FF167" i="1" s="1"/>
  <c r="FE131" i="1"/>
  <c r="FE167" i="1" s="1"/>
  <c r="FD131" i="1"/>
  <c r="FD167" i="1" s="1"/>
  <c r="FC131" i="1"/>
  <c r="FC167" i="1" s="1"/>
  <c r="FB131" i="1"/>
  <c r="FB167" i="1" s="1"/>
  <c r="FA131" i="1"/>
  <c r="FA167" i="1" s="1"/>
  <c r="EZ131" i="1"/>
  <c r="EZ167" i="1" s="1"/>
  <c r="EY131" i="1"/>
  <c r="EY167" i="1" s="1"/>
  <c r="EX131" i="1"/>
  <c r="EX167" i="1" s="1"/>
  <c r="EW131" i="1"/>
  <c r="EW167" i="1" s="1"/>
  <c r="EV131" i="1"/>
  <c r="EV167" i="1" s="1"/>
  <c r="EU131" i="1"/>
  <c r="EU167" i="1" s="1"/>
  <c r="ET131" i="1"/>
  <c r="ET167" i="1" s="1"/>
  <c r="ES131" i="1"/>
  <c r="ES167" i="1" s="1"/>
  <c r="ER131" i="1"/>
  <c r="ER167" i="1" s="1"/>
  <c r="EQ131" i="1"/>
  <c r="EQ167" i="1" s="1"/>
  <c r="EP131" i="1"/>
  <c r="EP167" i="1" s="1"/>
  <c r="EO131" i="1"/>
  <c r="EO167" i="1" s="1"/>
  <c r="EN131" i="1"/>
  <c r="EN167" i="1" s="1"/>
  <c r="EM131" i="1"/>
  <c r="EM167" i="1" s="1"/>
  <c r="EL131" i="1"/>
  <c r="EL167" i="1" s="1"/>
  <c r="EK131" i="1"/>
  <c r="EK167" i="1" s="1"/>
  <c r="EJ131" i="1"/>
  <c r="EJ167" i="1" s="1"/>
  <c r="EI131" i="1"/>
  <c r="EI167" i="1" s="1"/>
  <c r="EH131" i="1"/>
  <c r="EH167" i="1" s="1"/>
  <c r="EG131" i="1"/>
  <c r="EG167" i="1" s="1"/>
  <c r="EF131" i="1"/>
  <c r="EF167" i="1" s="1"/>
  <c r="EE131" i="1"/>
  <c r="EE167" i="1" s="1"/>
  <c r="ED131" i="1"/>
  <c r="ED167" i="1" s="1"/>
  <c r="EC131" i="1"/>
  <c r="EC167" i="1" s="1"/>
  <c r="EB131" i="1"/>
  <c r="EB167" i="1" s="1"/>
  <c r="EA131" i="1"/>
  <c r="EA167" i="1" s="1"/>
  <c r="DZ131" i="1"/>
  <c r="DZ167" i="1" s="1"/>
  <c r="DY131" i="1"/>
  <c r="DY167" i="1" s="1"/>
  <c r="DX131" i="1"/>
  <c r="DX167" i="1" s="1"/>
  <c r="DW131" i="1"/>
  <c r="DW167" i="1" s="1"/>
  <c r="DV131" i="1"/>
  <c r="DV167" i="1" s="1"/>
  <c r="DU131" i="1"/>
  <c r="DU167" i="1" s="1"/>
  <c r="DT131" i="1"/>
  <c r="DT167" i="1" s="1"/>
  <c r="DS131" i="1"/>
  <c r="DS167" i="1" s="1"/>
  <c r="DR131" i="1"/>
  <c r="DR167" i="1" s="1"/>
  <c r="DQ131" i="1"/>
  <c r="DQ167" i="1" s="1"/>
  <c r="DP131" i="1"/>
  <c r="DP167" i="1" s="1"/>
  <c r="DO131" i="1"/>
  <c r="DO167" i="1" s="1"/>
  <c r="DN131" i="1"/>
  <c r="DN167" i="1" s="1"/>
  <c r="DM131" i="1"/>
  <c r="DM167" i="1" s="1"/>
  <c r="DL131" i="1"/>
  <c r="DL167" i="1" s="1"/>
  <c r="DK131" i="1"/>
  <c r="DK167" i="1" s="1"/>
  <c r="DJ131" i="1"/>
  <c r="DJ167" i="1" s="1"/>
  <c r="DI131" i="1"/>
  <c r="DI167" i="1" s="1"/>
  <c r="DH131" i="1"/>
  <c r="DG131" i="1"/>
  <c r="DG167" i="1" s="1"/>
  <c r="DF131" i="1"/>
  <c r="DF167" i="1" s="1"/>
  <c r="DE131" i="1"/>
  <c r="DE167" i="1" s="1"/>
  <c r="DD131" i="1"/>
  <c r="DD167" i="1" s="1"/>
  <c r="DC131" i="1"/>
  <c r="DC167" i="1" s="1"/>
  <c r="HC130" i="1"/>
  <c r="HC166" i="1" s="1"/>
  <c r="HB130" i="1"/>
  <c r="HB166" i="1" s="1"/>
  <c r="HA130" i="1"/>
  <c r="HA166" i="1" s="1"/>
  <c r="GZ130" i="1"/>
  <c r="GZ166" i="1" s="1"/>
  <c r="GY130" i="1"/>
  <c r="GY166" i="1" s="1"/>
  <c r="GX130" i="1"/>
  <c r="GX166" i="1" s="1"/>
  <c r="GW130" i="1"/>
  <c r="GW166" i="1" s="1"/>
  <c r="GV130" i="1"/>
  <c r="GV166" i="1" s="1"/>
  <c r="GU130" i="1"/>
  <c r="GU166" i="1" s="1"/>
  <c r="GT130" i="1"/>
  <c r="GT166" i="1" s="1"/>
  <c r="GS130" i="1"/>
  <c r="GS166" i="1" s="1"/>
  <c r="GR130" i="1"/>
  <c r="GR166" i="1" s="1"/>
  <c r="GQ130" i="1"/>
  <c r="GQ166" i="1" s="1"/>
  <c r="GP130" i="1"/>
  <c r="GP166" i="1" s="1"/>
  <c r="GO130" i="1"/>
  <c r="GO166" i="1" s="1"/>
  <c r="GN130" i="1"/>
  <c r="GN166" i="1" s="1"/>
  <c r="GM130" i="1"/>
  <c r="GM166" i="1" s="1"/>
  <c r="GL130" i="1"/>
  <c r="GL166" i="1" s="1"/>
  <c r="GK130" i="1"/>
  <c r="GK166" i="1" s="1"/>
  <c r="GJ130" i="1"/>
  <c r="GJ166" i="1" s="1"/>
  <c r="GI130" i="1"/>
  <c r="GI166" i="1" s="1"/>
  <c r="GH130" i="1"/>
  <c r="GH166" i="1" s="1"/>
  <c r="GG130" i="1"/>
  <c r="GG166" i="1" s="1"/>
  <c r="GF130" i="1"/>
  <c r="GF166" i="1" s="1"/>
  <c r="GE130" i="1"/>
  <c r="GE166" i="1" s="1"/>
  <c r="GD130" i="1"/>
  <c r="GD166" i="1" s="1"/>
  <c r="GC130" i="1"/>
  <c r="GC166" i="1" s="1"/>
  <c r="GB130" i="1"/>
  <c r="GB166" i="1" s="1"/>
  <c r="GA130" i="1"/>
  <c r="GA166" i="1" s="1"/>
  <c r="FZ130" i="1"/>
  <c r="FZ166" i="1" s="1"/>
  <c r="FY130" i="1"/>
  <c r="FY166" i="1" s="1"/>
  <c r="FX130" i="1"/>
  <c r="FX166" i="1" s="1"/>
  <c r="FW130" i="1"/>
  <c r="FW166" i="1" s="1"/>
  <c r="FV130" i="1"/>
  <c r="FV166" i="1" s="1"/>
  <c r="FU130" i="1"/>
  <c r="FU166" i="1" s="1"/>
  <c r="FT130" i="1"/>
  <c r="FT166" i="1" s="1"/>
  <c r="FS130" i="1"/>
  <c r="FS166" i="1" s="1"/>
  <c r="FR130" i="1"/>
  <c r="FR166" i="1" s="1"/>
  <c r="FQ130" i="1"/>
  <c r="FQ166" i="1" s="1"/>
  <c r="FP130" i="1"/>
  <c r="FP166" i="1" s="1"/>
  <c r="FO130" i="1"/>
  <c r="FO166" i="1" s="1"/>
  <c r="FN130" i="1"/>
  <c r="FN166" i="1" s="1"/>
  <c r="FM130" i="1"/>
  <c r="FM166" i="1" s="1"/>
  <c r="FL130" i="1"/>
  <c r="FL166" i="1" s="1"/>
  <c r="FK130" i="1"/>
  <c r="FK166" i="1" s="1"/>
  <c r="FJ130" i="1"/>
  <c r="FJ166" i="1" s="1"/>
  <c r="FI130" i="1"/>
  <c r="FI166" i="1" s="1"/>
  <c r="FH130" i="1"/>
  <c r="FH166" i="1" s="1"/>
  <c r="FG130" i="1"/>
  <c r="FG166" i="1" s="1"/>
  <c r="FF130" i="1"/>
  <c r="FF166" i="1" s="1"/>
  <c r="FE130" i="1"/>
  <c r="FE166" i="1" s="1"/>
  <c r="FD130" i="1"/>
  <c r="FD166" i="1" s="1"/>
  <c r="FC130" i="1"/>
  <c r="FC166" i="1" s="1"/>
  <c r="FB130" i="1"/>
  <c r="FB166" i="1" s="1"/>
  <c r="FA130" i="1"/>
  <c r="FA166" i="1" s="1"/>
  <c r="EZ130" i="1"/>
  <c r="EZ166" i="1" s="1"/>
  <c r="EY130" i="1"/>
  <c r="EY166" i="1" s="1"/>
  <c r="EX130" i="1"/>
  <c r="EX166" i="1" s="1"/>
  <c r="EW130" i="1"/>
  <c r="EW166" i="1" s="1"/>
  <c r="EV130" i="1"/>
  <c r="EV166" i="1" s="1"/>
  <c r="EU130" i="1"/>
  <c r="EU166" i="1" s="1"/>
  <c r="ET130" i="1"/>
  <c r="ET166" i="1" s="1"/>
  <c r="ES130" i="1"/>
  <c r="ES166" i="1" s="1"/>
  <c r="ER130" i="1"/>
  <c r="ER166" i="1" s="1"/>
  <c r="EQ130" i="1"/>
  <c r="EQ166" i="1" s="1"/>
  <c r="EP130" i="1"/>
  <c r="EP166" i="1" s="1"/>
  <c r="EO130" i="1"/>
  <c r="EO166" i="1" s="1"/>
  <c r="EN130" i="1"/>
  <c r="EN166" i="1" s="1"/>
  <c r="EM130" i="1"/>
  <c r="EM166" i="1" s="1"/>
  <c r="EL130" i="1"/>
  <c r="EL166" i="1" s="1"/>
  <c r="EK130" i="1"/>
  <c r="EK166" i="1" s="1"/>
  <c r="EJ130" i="1"/>
  <c r="EJ166" i="1" s="1"/>
  <c r="EI130" i="1"/>
  <c r="EI166" i="1" s="1"/>
  <c r="EH130" i="1"/>
  <c r="EH166" i="1" s="1"/>
  <c r="EG130" i="1"/>
  <c r="EG166" i="1" s="1"/>
  <c r="EF130" i="1"/>
  <c r="EF166" i="1" s="1"/>
  <c r="EE130" i="1"/>
  <c r="EE166" i="1" s="1"/>
  <c r="ED130" i="1"/>
  <c r="ED166" i="1" s="1"/>
  <c r="EC130" i="1"/>
  <c r="EC166" i="1" s="1"/>
  <c r="EB130" i="1"/>
  <c r="EB166" i="1" s="1"/>
  <c r="EA130" i="1"/>
  <c r="EA166" i="1" s="1"/>
  <c r="DZ130" i="1"/>
  <c r="DZ166" i="1" s="1"/>
  <c r="DY130" i="1"/>
  <c r="DY166" i="1" s="1"/>
  <c r="DX130" i="1"/>
  <c r="DX166" i="1" s="1"/>
  <c r="DW130" i="1"/>
  <c r="DW166" i="1" s="1"/>
  <c r="DV130" i="1"/>
  <c r="DV166" i="1" s="1"/>
  <c r="DU130" i="1"/>
  <c r="DU166" i="1" s="1"/>
  <c r="DT130" i="1"/>
  <c r="DT166" i="1" s="1"/>
  <c r="DS130" i="1"/>
  <c r="DS166" i="1" s="1"/>
  <c r="DR130" i="1"/>
  <c r="DR166" i="1" s="1"/>
  <c r="DQ130" i="1"/>
  <c r="DQ166" i="1" s="1"/>
  <c r="DP130" i="1"/>
  <c r="DP166" i="1" s="1"/>
  <c r="DO130" i="1"/>
  <c r="DO166" i="1" s="1"/>
  <c r="DN130" i="1"/>
  <c r="DN166" i="1" s="1"/>
  <c r="DM130" i="1"/>
  <c r="DM166" i="1" s="1"/>
  <c r="DL130" i="1"/>
  <c r="DL166" i="1" s="1"/>
  <c r="DK130" i="1"/>
  <c r="DK166" i="1" s="1"/>
  <c r="DJ130" i="1"/>
  <c r="DJ166" i="1" s="1"/>
  <c r="DI130" i="1"/>
  <c r="DI166" i="1" s="1"/>
  <c r="DH130" i="1"/>
  <c r="DH166" i="1" s="1"/>
  <c r="DG130" i="1"/>
  <c r="DG166" i="1" s="1"/>
  <c r="DF130" i="1"/>
  <c r="DF166" i="1" s="1"/>
  <c r="DE130" i="1"/>
  <c r="DE166" i="1" s="1"/>
  <c r="DD130" i="1"/>
  <c r="DD166" i="1" s="1"/>
  <c r="DC130" i="1"/>
  <c r="DC166" i="1" s="1"/>
  <c r="HC129" i="1"/>
  <c r="HC165" i="1" s="1"/>
  <c r="HB129" i="1"/>
  <c r="HB165" i="1" s="1"/>
  <c r="HA129" i="1"/>
  <c r="HA165" i="1" s="1"/>
  <c r="GZ129" i="1"/>
  <c r="GZ165" i="1" s="1"/>
  <c r="GY129" i="1"/>
  <c r="GY165" i="1" s="1"/>
  <c r="GX129" i="1"/>
  <c r="GX165" i="1" s="1"/>
  <c r="GW129" i="1"/>
  <c r="GW165" i="1" s="1"/>
  <c r="GV129" i="1"/>
  <c r="GV165" i="1" s="1"/>
  <c r="GU129" i="1"/>
  <c r="GU165" i="1" s="1"/>
  <c r="GT129" i="1"/>
  <c r="GT165" i="1" s="1"/>
  <c r="GS129" i="1"/>
  <c r="GS165" i="1" s="1"/>
  <c r="GR129" i="1"/>
  <c r="GR165" i="1" s="1"/>
  <c r="GQ129" i="1"/>
  <c r="GQ165" i="1" s="1"/>
  <c r="GP129" i="1"/>
  <c r="GP165" i="1" s="1"/>
  <c r="GO129" i="1"/>
  <c r="GO165" i="1" s="1"/>
  <c r="GN129" i="1"/>
  <c r="GN165" i="1" s="1"/>
  <c r="GM129" i="1"/>
  <c r="GM165" i="1" s="1"/>
  <c r="GL129" i="1"/>
  <c r="GL165" i="1" s="1"/>
  <c r="GK129" i="1"/>
  <c r="GK165" i="1" s="1"/>
  <c r="GJ129" i="1"/>
  <c r="GJ165" i="1" s="1"/>
  <c r="GI129" i="1"/>
  <c r="GI165" i="1" s="1"/>
  <c r="GH129" i="1"/>
  <c r="GH165" i="1" s="1"/>
  <c r="GG129" i="1"/>
  <c r="GG165" i="1" s="1"/>
  <c r="GF129" i="1"/>
  <c r="GF165" i="1" s="1"/>
  <c r="GE129" i="1"/>
  <c r="GE165" i="1" s="1"/>
  <c r="GD129" i="1"/>
  <c r="GD165" i="1" s="1"/>
  <c r="GC129" i="1"/>
  <c r="GC165" i="1" s="1"/>
  <c r="GB129" i="1"/>
  <c r="GB165" i="1" s="1"/>
  <c r="GA129" i="1"/>
  <c r="GA165" i="1" s="1"/>
  <c r="FZ129" i="1"/>
  <c r="FZ165" i="1" s="1"/>
  <c r="FY129" i="1"/>
  <c r="FY165" i="1" s="1"/>
  <c r="FX129" i="1"/>
  <c r="FX165" i="1" s="1"/>
  <c r="FW129" i="1"/>
  <c r="FW165" i="1" s="1"/>
  <c r="FV129" i="1"/>
  <c r="FV165" i="1" s="1"/>
  <c r="FU129" i="1"/>
  <c r="FU165" i="1" s="1"/>
  <c r="FT129" i="1"/>
  <c r="FT165" i="1" s="1"/>
  <c r="FS129" i="1"/>
  <c r="FS165" i="1" s="1"/>
  <c r="FR129" i="1"/>
  <c r="FQ129" i="1"/>
  <c r="FQ165" i="1" s="1"/>
  <c r="FP129" i="1"/>
  <c r="FP165" i="1" s="1"/>
  <c r="FO129" i="1"/>
  <c r="FO165" i="1" s="1"/>
  <c r="FN129" i="1"/>
  <c r="FN165" i="1" s="1"/>
  <c r="FM129" i="1"/>
  <c r="FM165" i="1" s="1"/>
  <c r="FL129" i="1"/>
  <c r="FL165" i="1" s="1"/>
  <c r="FK129" i="1"/>
  <c r="FK165" i="1" s="1"/>
  <c r="FJ129" i="1"/>
  <c r="FJ165" i="1" s="1"/>
  <c r="FI129" i="1"/>
  <c r="FI165" i="1" s="1"/>
  <c r="FH129" i="1"/>
  <c r="FH165" i="1" s="1"/>
  <c r="FG129" i="1"/>
  <c r="FG165" i="1" s="1"/>
  <c r="FF129" i="1"/>
  <c r="FF165" i="1" s="1"/>
  <c r="FE129" i="1"/>
  <c r="FE165" i="1" s="1"/>
  <c r="FD129" i="1"/>
  <c r="FD165" i="1" s="1"/>
  <c r="FC129" i="1"/>
  <c r="FC165" i="1" s="1"/>
  <c r="FB129" i="1"/>
  <c r="FB165" i="1" s="1"/>
  <c r="FA129" i="1"/>
  <c r="FA165" i="1" s="1"/>
  <c r="EZ129" i="1"/>
  <c r="EZ165" i="1" s="1"/>
  <c r="EY129" i="1"/>
  <c r="EY165" i="1" s="1"/>
  <c r="EX129" i="1"/>
  <c r="EX165" i="1" s="1"/>
  <c r="EW129" i="1"/>
  <c r="EW165" i="1" s="1"/>
  <c r="EV129" i="1"/>
  <c r="EV165" i="1" s="1"/>
  <c r="EU129" i="1"/>
  <c r="EU165" i="1" s="1"/>
  <c r="ET129" i="1"/>
  <c r="ET165" i="1" s="1"/>
  <c r="ES129" i="1"/>
  <c r="ES165" i="1" s="1"/>
  <c r="ER129" i="1"/>
  <c r="ER165" i="1" s="1"/>
  <c r="EQ129" i="1"/>
  <c r="EQ165" i="1" s="1"/>
  <c r="EP129" i="1"/>
  <c r="EP165" i="1" s="1"/>
  <c r="EO129" i="1"/>
  <c r="EO165" i="1" s="1"/>
  <c r="EN129" i="1"/>
  <c r="EN165" i="1" s="1"/>
  <c r="EM129" i="1"/>
  <c r="EM165" i="1" s="1"/>
  <c r="EL129" i="1"/>
  <c r="EL165" i="1" s="1"/>
  <c r="EK129" i="1"/>
  <c r="EK165" i="1" s="1"/>
  <c r="EJ129" i="1"/>
  <c r="EJ165" i="1" s="1"/>
  <c r="EI129" i="1"/>
  <c r="EI165" i="1" s="1"/>
  <c r="EH129" i="1"/>
  <c r="EH165" i="1" s="1"/>
  <c r="EG129" i="1"/>
  <c r="EG165" i="1" s="1"/>
  <c r="EF129" i="1"/>
  <c r="EF165" i="1" s="1"/>
  <c r="EE129" i="1"/>
  <c r="EE165" i="1" s="1"/>
  <c r="ED129" i="1"/>
  <c r="ED165" i="1" s="1"/>
  <c r="EC129" i="1"/>
  <c r="EC165" i="1" s="1"/>
  <c r="EB129" i="1"/>
  <c r="EB165" i="1" s="1"/>
  <c r="EA129" i="1"/>
  <c r="EA165" i="1" s="1"/>
  <c r="DZ129" i="1"/>
  <c r="DZ165" i="1" s="1"/>
  <c r="DY129" i="1"/>
  <c r="DY165" i="1" s="1"/>
  <c r="DX129" i="1"/>
  <c r="DX165" i="1" s="1"/>
  <c r="DW129" i="1"/>
  <c r="DW165" i="1" s="1"/>
  <c r="DV129" i="1"/>
  <c r="DV165" i="1" s="1"/>
  <c r="DU129" i="1"/>
  <c r="DU165" i="1" s="1"/>
  <c r="DT129" i="1"/>
  <c r="DT165" i="1" s="1"/>
  <c r="DS129" i="1"/>
  <c r="DS165" i="1" s="1"/>
  <c r="DR129" i="1"/>
  <c r="DR165" i="1" s="1"/>
  <c r="DQ129" i="1"/>
  <c r="DQ165" i="1" s="1"/>
  <c r="DP129" i="1"/>
  <c r="DP165" i="1" s="1"/>
  <c r="DO129" i="1"/>
  <c r="DO165" i="1" s="1"/>
  <c r="DN129" i="1"/>
  <c r="DN165" i="1" s="1"/>
  <c r="DM129" i="1"/>
  <c r="DM165" i="1" s="1"/>
  <c r="DL129" i="1"/>
  <c r="DL165" i="1" s="1"/>
  <c r="DK129" i="1"/>
  <c r="DK165" i="1" s="1"/>
  <c r="DJ129" i="1"/>
  <c r="DJ165" i="1" s="1"/>
  <c r="DI129" i="1"/>
  <c r="DI165" i="1" s="1"/>
  <c r="DH129" i="1"/>
  <c r="DH165" i="1" s="1"/>
  <c r="DG129" i="1"/>
  <c r="DG165" i="1" s="1"/>
  <c r="DF129" i="1"/>
  <c r="DF165" i="1" s="1"/>
  <c r="DE129" i="1"/>
  <c r="DE165" i="1" s="1"/>
  <c r="DD129" i="1"/>
  <c r="DD165" i="1" s="1"/>
  <c r="DC129" i="1"/>
  <c r="DC165" i="1" s="1"/>
  <c r="HC128" i="1"/>
  <c r="HC164" i="1" s="1"/>
  <c r="HB128" i="1"/>
  <c r="HB164" i="1" s="1"/>
  <c r="HA128" i="1"/>
  <c r="HA164" i="1" s="1"/>
  <c r="GZ128" i="1"/>
  <c r="GZ164" i="1" s="1"/>
  <c r="GY128" i="1"/>
  <c r="GY164" i="1" s="1"/>
  <c r="GX128" i="1"/>
  <c r="GW128" i="1"/>
  <c r="GW164" i="1" s="1"/>
  <c r="GV128" i="1"/>
  <c r="GV164" i="1" s="1"/>
  <c r="GU128" i="1"/>
  <c r="GU164" i="1" s="1"/>
  <c r="GT128" i="1"/>
  <c r="GT164" i="1" s="1"/>
  <c r="GS128" i="1"/>
  <c r="GS164" i="1" s="1"/>
  <c r="GR128" i="1"/>
  <c r="GR164" i="1" s="1"/>
  <c r="GQ128" i="1"/>
  <c r="GQ164" i="1" s="1"/>
  <c r="GP128" i="1"/>
  <c r="GP164" i="1" s="1"/>
  <c r="GO128" i="1"/>
  <c r="GO164" i="1" s="1"/>
  <c r="GN128" i="1"/>
  <c r="GN164" i="1" s="1"/>
  <c r="GM128" i="1"/>
  <c r="GM164" i="1" s="1"/>
  <c r="GL128" i="1"/>
  <c r="GL164" i="1" s="1"/>
  <c r="GK128" i="1"/>
  <c r="GK164" i="1" s="1"/>
  <c r="GJ128" i="1"/>
  <c r="GJ164" i="1" s="1"/>
  <c r="GI128" i="1"/>
  <c r="GI164" i="1" s="1"/>
  <c r="GH128" i="1"/>
  <c r="GH164" i="1" s="1"/>
  <c r="GG128" i="1"/>
  <c r="GG164" i="1" s="1"/>
  <c r="GF128" i="1"/>
  <c r="GF164" i="1" s="1"/>
  <c r="GE128" i="1"/>
  <c r="GE164" i="1" s="1"/>
  <c r="GD128" i="1"/>
  <c r="GD164" i="1" s="1"/>
  <c r="GC128" i="1"/>
  <c r="GC164" i="1" s="1"/>
  <c r="GB128" i="1"/>
  <c r="GB164" i="1" s="1"/>
  <c r="GA128" i="1"/>
  <c r="GA164" i="1" s="1"/>
  <c r="FZ128" i="1"/>
  <c r="FZ164" i="1" s="1"/>
  <c r="FY128" i="1"/>
  <c r="FY164" i="1" s="1"/>
  <c r="FX128" i="1"/>
  <c r="FX164" i="1" s="1"/>
  <c r="FW128" i="1"/>
  <c r="FW164" i="1" s="1"/>
  <c r="FV128" i="1"/>
  <c r="FV164" i="1" s="1"/>
  <c r="FU128" i="1"/>
  <c r="FU164" i="1" s="1"/>
  <c r="FT128" i="1"/>
  <c r="FT164" i="1" s="1"/>
  <c r="FS128" i="1"/>
  <c r="FS164" i="1" s="1"/>
  <c r="FR128" i="1"/>
  <c r="FR164" i="1" s="1"/>
  <c r="FQ128" i="1"/>
  <c r="FQ164" i="1" s="1"/>
  <c r="FP128" i="1"/>
  <c r="FP164" i="1" s="1"/>
  <c r="FO128" i="1"/>
  <c r="FO164" i="1" s="1"/>
  <c r="FN128" i="1"/>
  <c r="FN164" i="1" s="1"/>
  <c r="FM128" i="1"/>
  <c r="FM164" i="1" s="1"/>
  <c r="FL128" i="1"/>
  <c r="FL164" i="1" s="1"/>
  <c r="FK128" i="1"/>
  <c r="FK164" i="1" s="1"/>
  <c r="FJ128" i="1"/>
  <c r="FJ164" i="1" s="1"/>
  <c r="FI128" i="1"/>
  <c r="FI164" i="1" s="1"/>
  <c r="FH128" i="1"/>
  <c r="FH164" i="1" s="1"/>
  <c r="FG128" i="1"/>
  <c r="FG164" i="1" s="1"/>
  <c r="FF128" i="1"/>
  <c r="FF164" i="1" s="1"/>
  <c r="FE128" i="1"/>
  <c r="FE164" i="1" s="1"/>
  <c r="FD128" i="1"/>
  <c r="FD164" i="1" s="1"/>
  <c r="FC128" i="1"/>
  <c r="FC164" i="1" s="1"/>
  <c r="FB128" i="1"/>
  <c r="FB164" i="1" s="1"/>
  <c r="FA128" i="1"/>
  <c r="EZ128" i="1"/>
  <c r="EZ164" i="1" s="1"/>
  <c r="EY128" i="1"/>
  <c r="EY164" i="1" s="1"/>
  <c r="EX128" i="1"/>
  <c r="EX164" i="1" s="1"/>
  <c r="EW128" i="1"/>
  <c r="EW164" i="1" s="1"/>
  <c r="EV128" i="1"/>
  <c r="EV164" i="1" s="1"/>
  <c r="EU128" i="1"/>
  <c r="EU164" i="1" s="1"/>
  <c r="ET128" i="1"/>
  <c r="ET164" i="1" s="1"/>
  <c r="ES128" i="1"/>
  <c r="ES164" i="1" s="1"/>
  <c r="ER128" i="1"/>
  <c r="ER164" i="1" s="1"/>
  <c r="EQ128" i="1"/>
  <c r="EQ164" i="1" s="1"/>
  <c r="EP128" i="1"/>
  <c r="EP164" i="1" s="1"/>
  <c r="EO128" i="1"/>
  <c r="EO164" i="1" s="1"/>
  <c r="EN128" i="1"/>
  <c r="EN164" i="1" s="1"/>
  <c r="EM128" i="1"/>
  <c r="EM164" i="1" s="1"/>
  <c r="EL128" i="1"/>
  <c r="EL164" i="1" s="1"/>
  <c r="EK128" i="1"/>
  <c r="EK164" i="1" s="1"/>
  <c r="EJ128" i="1"/>
  <c r="EJ164" i="1" s="1"/>
  <c r="EI128" i="1"/>
  <c r="EI164" i="1" s="1"/>
  <c r="EH128" i="1"/>
  <c r="EH164" i="1" s="1"/>
  <c r="EG128" i="1"/>
  <c r="EG164" i="1" s="1"/>
  <c r="EF128" i="1"/>
  <c r="EF164" i="1" s="1"/>
  <c r="EE128" i="1"/>
  <c r="EE164" i="1" s="1"/>
  <c r="ED128" i="1"/>
  <c r="ED164" i="1" s="1"/>
  <c r="EC128" i="1"/>
  <c r="EC164" i="1" s="1"/>
  <c r="EB128" i="1"/>
  <c r="EB164" i="1" s="1"/>
  <c r="EA128" i="1"/>
  <c r="EA164" i="1" s="1"/>
  <c r="DZ128" i="1"/>
  <c r="DZ164" i="1" s="1"/>
  <c r="DY128" i="1"/>
  <c r="DY164" i="1" s="1"/>
  <c r="DX128" i="1"/>
  <c r="DX164" i="1" s="1"/>
  <c r="DW128" i="1"/>
  <c r="DW164" i="1" s="1"/>
  <c r="DV128" i="1"/>
  <c r="DV164" i="1" s="1"/>
  <c r="DU128" i="1"/>
  <c r="DU164" i="1" s="1"/>
  <c r="DT128" i="1"/>
  <c r="DT164" i="1" s="1"/>
  <c r="DS128" i="1"/>
  <c r="DS164" i="1" s="1"/>
  <c r="DR128" i="1"/>
  <c r="DR164" i="1" s="1"/>
  <c r="DQ128" i="1"/>
  <c r="DQ164" i="1" s="1"/>
  <c r="DP128" i="1"/>
  <c r="DP164" i="1" s="1"/>
  <c r="DO128" i="1"/>
  <c r="DO164" i="1" s="1"/>
  <c r="DN128" i="1"/>
  <c r="DN164" i="1" s="1"/>
  <c r="DM128" i="1"/>
  <c r="DM164" i="1" s="1"/>
  <c r="DL128" i="1"/>
  <c r="DL164" i="1" s="1"/>
  <c r="DK128" i="1"/>
  <c r="DK164" i="1" s="1"/>
  <c r="DJ128" i="1"/>
  <c r="DJ164" i="1" s="1"/>
  <c r="DI128" i="1"/>
  <c r="DI164" i="1" s="1"/>
  <c r="DH128" i="1"/>
  <c r="DH164" i="1" s="1"/>
  <c r="DG128" i="1"/>
  <c r="DG164" i="1" s="1"/>
  <c r="DF128" i="1"/>
  <c r="DF164" i="1" s="1"/>
  <c r="DE128" i="1"/>
  <c r="DD128" i="1"/>
  <c r="DD164" i="1" s="1"/>
  <c r="DC128" i="1"/>
  <c r="DC164" i="1" s="1"/>
  <c r="HC127" i="1"/>
  <c r="HC163" i="1" s="1"/>
  <c r="HB127" i="1"/>
  <c r="HB163" i="1" s="1"/>
  <c r="HA127" i="1"/>
  <c r="HA163" i="1" s="1"/>
  <c r="GZ127" i="1"/>
  <c r="GZ163" i="1" s="1"/>
  <c r="GY127" i="1"/>
  <c r="GY163" i="1" s="1"/>
  <c r="GX127" i="1"/>
  <c r="GX163" i="1" s="1"/>
  <c r="GW127" i="1"/>
  <c r="GW163" i="1" s="1"/>
  <c r="GV127" i="1"/>
  <c r="GV163" i="1" s="1"/>
  <c r="GU127" i="1"/>
  <c r="GU163" i="1" s="1"/>
  <c r="GT127" i="1"/>
  <c r="GT163" i="1" s="1"/>
  <c r="GS127" i="1"/>
  <c r="GS163" i="1" s="1"/>
  <c r="GR127" i="1"/>
  <c r="GR163" i="1" s="1"/>
  <c r="GQ127" i="1"/>
  <c r="GQ163" i="1" s="1"/>
  <c r="GP127" i="1"/>
  <c r="GP163" i="1" s="1"/>
  <c r="GO127" i="1"/>
  <c r="GO163" i="1" s="1"/>
  <c r="GN127" i="1"/>
  <c r="GN163" i="1" s="1"/>
  <c r="GM127" i="1"/>
  <c r="GM163" i="1" s="1"/>
  <c r="GL127" i="1"/>
  <c r="GL163" i="1" s="1"/>
  <c r="GK127" i="1"/>
  <c r="GK163" i="1" s="1"/>
  <c r="GJ127" i="1"/>
  <c r="GJ163" i="1" s="1"/>
  <c r="GI127" i="1"/>
  <c r="GI163" i="1" s="1"/>
  <c r="GH127" i="1"/>
  <c r="GH163" i="1" s="1"/>
  <c r="GG127" i="1"/>
  <c r="GG163" i="1" s="1"/>
  <c r="GF127" i="1"/>
  <c r="GF163" i="1" s="1"/>
  <c r="GE127" i="1"/>
  <c r="GE163" i="1" s="1"/>
  <c r="GD127" i="1"/>
  <c r="GD163" i="1" s="1"/>
  <c r="GC127" i="1"/>
  <c r="GC163" i="1" s="1"/>
  <c r="GB127" i="1"/>
  <c r="GB163" i="1" s="1"/>
  <c r="GA127" i="1"/>
  <c r="GA163" i="1" s="1"/>
  <c r="FZ127" i="1"/>
  <c r="FZ163" i="1" s="1"/>
  <c r="FY127" i="1"/>
  <c r="FY163" i="1" s="1"/>
  <c r="FX127" i="1"/>
  <c r="FX163" i="1" s="1"/>
  <c r="FW127" i="1"/>
  <c r="FW163" i="1" s="1"/>
  <c r="FV127" i="1"/>
  <c r="FU127" i="1"/>
  <c r="FU163" i="1" s="1"/>
  <c r="FT127" i="1"/>
  <c r="FT163" i="1" s="1"/>
  <c r="FS127" i="1"/>
  <c r="FS163" i="1" s="1"/>
  <c r="FR127" i="1"/>
  <c r="FR163" i="1" s="1"/>
  <c r="FQ127" i="1"/>
  <c r="FQ163" i="1" s="1"/>
  <c r="FP127" i="1"/>
  <c r="FP163" i="1" s="1"/>
  <c r="FO127" i="1"/>
  <c r="FO163" i="1" s="1"/>
  <c r="FN127" i="1"/>
  <c r="FN163" i="1" s="1"/>
  <c r="FM127" i="1"/>
  <c r="FM163" i="1" s="1"/>
  <c r="FL127" i="1"/>
  <c r="FL163" i="1" s="1"/>
  <c r="FK127" i="1"/>
  <c r="FK163" i="1" s="1"/>
  <c r="FJ127" i="1"/>
  <c r="FJ163" i="1" s="1"/>
  <c r="FI127" i="1"/>
  <c r="FI163" i="1" s="1"/>
  <c r="FH127" i="1"/>
  <c r="FH163" i="1" s="1"/>
  <c r="FG127" i="1"/>
  <c r="FG163" i="1" s="1"/>
  <c r="FF127" i="1"/>
  <c r="FF163" i="1" s="1"/>
  <c r="FE127" i="1"/>
  <c r="FE163" i="1" s="1"/>
  <c r="FD127" i="1"/>
  <c r="FD163" i="1" s="1"/>
  <c r="FC127" i="1"/>
  <c r="FC163" i="1" s="1"/>
  <c r="FB127" i="1"/>
  <c r="FB163" i="1" s="1"/>
  <c r="FA127" i="1"/>
  <c r="FA163" i="1" s="1"/>
  <c r="EZ127" i="1"/>
  <c r="EZ163" i="1" s="1"/>
  <c r="EY127" i="1"/>
  <c r="EY163" i="1" s="1"/>
  <c r="EX127" i="1"/>
  <c r="EX163" i="1" s="1"/>
  <c r="EW127" i="1"/>
  <c r="EW163" i="1" s="1"/>
  <c r="EV127" i="1"/>
  <c r="EV163" i="1" s="1"/>
  <c r="EU127" i="1"/>
  <c r="EU163" i="1" s="1"/>
  <c r="ET127" i="1"/>
  <c r="ET163" i="1" s="1"/>
  <c r="ES127" i="1"/>
  <c r="ES163" i="1" s="1"/>
  <c r="ER127" i="1"/>
  <c r="ER163" i="1" s="1"/>
  <c r="EQ127" i="1"/>
  <c r="EQ163" i="1" s="1"/>
  <c r="EP127" i="1"/>
  <c r="EP163" i="1" s="1"/>
  <c r="EO127" i="1"/>
  <c r="EO163" i="1" s="1"/>
  <c r="EN127" i="1"/>
  <c r="EM127" i="1"/>
  <c r="EM163" i="1" s="1"/>
  <c r="EL127" i="1"/>
  <c r="EL163" i="1" s="1"/>
  <c r="EK127" i="1"/>
  <c r="EK163" i="1" s="1"/>
  <c r="EJ127" i="1"/>
  <c r="EJ163" i="1" s="1"/>
  <c r="EI127" i="1"/>
  <c r="EI163" i="1" s="1"/>
  <c r="EH127" i="1"/>
  <c r="EH163" i="1" s="1"/>
  <c r="EG127" i="1"/>
  <c r="EG163" i="1" s="1"/>
  <c r="EF127" i="1"/>
  <c r="EF163" i="1" s="1"/>
  <c r="EE127" i="1"/>
  <c r="EE163" i="1" s="1"/>
  <c r="ED127" i="1"/>
  <c r="ED163" i="1" s="1"/>
  <c r="EC127" i="1"/>
  <c r="EC163" i="1" s="1"/>
  <c r="EB127" i="1"/>
  <c r="EB163" i="1" s="1"/>
  <c r="EA127" i="1"/>
  <c r="EA163" i="1" s="1"/>
  <c r="DZ127" i="1"/>
  <c r="DZ163" i="1" s="1"/>
  <c r="DY127" i="1"/>
  <c r="DY163" i="1" s="1"/>
  <c r="DX127" i="1"/>
  <c r="DX163" i="1" s="1"/>
  <c r="DW127" i="1"/>
  <c r="DW163" i="1" s="1"/>
  <c r="DV127" i="1"/>
  <c r="DV163" i="1" s="1"/>
  <c r="DU127" i="1"/>
  <c r="DU163" i="1" s="1"/>
  <c r="DT127" i="1"/>
  <c r="DT163" i="1" s="1"/>
  <c r="DS127" i="1"/>
  <c r="DS163" i="1" s="1"/>
  <c r="DR127" i="1"/>
  <c r="DR163" i="1" s="1"/>
  <c r="DQ127" i="1"/>
  <c r="DQ163" i="1" s="1"/>
  <c r="DP127" i="1"/>
  <c r="DP163" i="1" s="1"/>
  <c r="DO127" i="1"/>
  <c r="DO163" i="1" s="1"/>
  <c r="DN127" i="1"/>
  <c r="DN163" i="1" s="1"/>
  <c r="DM127" i="1"/>
  <c r="DM163" i="1" s="1"/>
  <c r="DL127" i="1"/>
  <c r="DL163" i="1" s="1"/>
  <c r="DK127" i="1"/>
  <c r="DK163" i="1" s="1"/>
  <c r="DJ127" i="1"/>
  <c r="DJ163" i="1" s="1"/>
  <c r="DI127" i="1"/>
  <c r="DI163" i="1" s="1"/>
  <c r="DH127" i="1"/>
  <c r="DH163" i="1" s="1"/>
  <c r="DG127" i="1"/>
  <c r="DG163" i="1" s="1"/>
  <c r="DF127" i="1"/>
  <c r="DF163" i="1" s="1"/>
  <c r="DE127" i="1"/>
  <c r="DE163" i="1" s="1"/>
  <c r="DD127" i="1"/>
  <c r="DC127" i="1"/>
  <c r="DC163" i="1" s="1"/>
  <c r="HC126" i="1"/>
  <c r="HC162" i="1" s="1"/>
  <c r="HB126" i="1"/>
  <c r="HB162" i="1" s="1"/>
  <c r="HA126" i="1"/>
  <c r="HA162" i="1" s="1"/>
  <c r="GZ126" i="1"/>
  <c r="GZ162" i="1" s="1"/>
  <c r="GY126" i="1"/>
  <c r="GY162" i="1" s="1"/>
  <c r="GX126" i="1"/>
  <c r="GX162" i="1" s="1"/>
  <c r="GW126" i="1"/>
  <c r="GW162" i="1" s="1"/>
  <c r="GV126" i="1"/>
  <c r="GV162" i="1" s="1"/>
  <c r="GU126" i="1"/>
  <c r="GU162" i="1" s="1"/>
  <c r="GT126" i="1"/>
  <c r="GT162" i="1" s="1"/>
  <c r="GS126" i="1"/>
  <c r="GS162" i="1" s="1"/>
  <c r="GR126" i="1"/>
  <c r="GR162" i="1" s="1"/>
  <c r="GQ126" i="1"/>
  <c r="GQ162" i="1" s="1"/>
  <c r="GP126" i="1"/>
  <c r="GP162" i="1" s="1"/>
  <c r="GO126" i="1"/>
  <c r="GO162" i="1" s="1"/>
  <c r="GN126" i="1"/>
  <c r="GN162" i="1" s="1"/>
  <c r="GM126" i="1"/>
  <c r="GM162" i="1" s="1"/>
  <c r="GL126" i="1"/>
  <c r="GL162" i="1" s="1"/>
  <c r="GK126" i="1"/>
  <c r="GK162" i="1" s="1"/>
  <c r="GJ126" i="1"/>
  <c r="GJ162" i="1" s="1"/>
  <c r="GI126" i="1"/>
  <c r="GI162" i="1" s="1"/>
  <c r="GH126" i="1"/>
  <c r="GH162" i="1" s="1"/>
  <c r="GG126" i="1"/>
  <c r="GG162" i="1" s="1"/>
  <c r="GF126" i="1"/>
  <c r="GF162" i="1" s="1"/>
  <c r="GE126" i="1"/>
  <c r="GE162" i="1" s="1"/>
  <c r="GD126" i="1"/>
  <c r="GD162" i="1" s="1"/>
  <c r="GC126" i="1"/>
  <c r="GC162" i="1" s="1"/>
  <c r="GB126" i="1"/>
  <c r="GB162" i="1" s="1"/>
  <c r="GA126" i="1"/>
  <c r="GA162" i="1" s="1"/>
  <c r="FZ126" i="1"/>
  <c r="FZ162" i="1" s="1"/>
  <c r="FY126" i="1"/>
  <c r="FY162" i="1" s="1"/>
  <c r="FX126" i="1"/>
  <c r="FX162" i="1" s="1"/>
  <c r="FW126" i="1"/>
  <c r="FW162" i="1" s="1"/>
  <c r="FV126" i="1"/>
  <c r="FV162" i="1" s="1"/>
  <c r="FU126" i="1"/>
  <c r="FU162" i="1" s="1"/>
  <c r="FT126" i="1"/>
  <c r="FS126" i="1"/>
  <c r="FS162" i="1" s="1"/>
  <c r="FR126" i="1"/>
  <c r="FR162" i="1" s="1"/>
  <c r="FQ126" i="1"/>
  <c r="FQ162" i="1" s="1"/>
  <c r="FP126" i="1"/>
  <c r="FP162" i="1" s="1"/>
  <c r="FO126" i="1"/>
  <c r="FO162" i="1" s="1"/>
  <c r="FN126" i="1"/>
  <c r="FN162" i="1" s="1"/>
  <c r="FM126" i="1"/>
  <c r="FM162" i="1" s="1"/>
  <c r="FL126" i="1"/>
  <c r="FL162" i="1" s="1"/>
  <c r="FK126" i="1"/>
  <c r="FK162" i="1" s="1"/>
  <c r="FJ126" i="1"/>
  <c r="FJ162" i="1" s="1"/>
  <c r="FI126" i="1"/>
  <c r="FI162" i="1" s="1"/>
  <c r="FH126" i="1"/>
  <c r="FH162" i="1" s="1"/>
  <c r="FG126" i="1"/>
  <c r="FG162" i="1" s="1"/>
  <c r="FF126" i="1"/>
  <c r="FF162" i="1" s="1"/>
  <c r="FE126" i="1"/>
  <c r="FE162" i="1" s="1"/>
  <c r="FD126" i="1"/>
  <c r="FD162" i="1" s="1"/>
  <c r="FC126" i="1"/>
  <c r="FC162" i="1" s="1"/>
  <c r="FB126" i="1"/>
  <c r="FB162" i="1" s="1"/>
  <c r="FA126" i="1"/>
  <c r="FA162" i="1" s="1"/>
  <c r="EZ126" i="1"/>
  <c r="EZ162" i="1" s="1"/>
  <c r="EY126" i="1"/>
  <c r="EY162" i="1" s="1"/>
  <c r="EX126" i="1"/>
  <c r="EX162" i="1" s="1"/>
  <c r="EW126" i="1"/>
  <c r="EW162" i="1" s="1"/>
  <c r="EV126" i="1"/>
  <c r="EV162" i="1" s="1"/>
  <c r="EU126" i="1"/>
  <c r="EU162" i="1" s="1"/>
  <c r="ET126" i="1"/>
  <c r="ET162" i="1" s="1"/>
  <c r="ES126" i="1"/>
  <c r="ES162" i="1" s="1"/>
  <c r="ER126" i="1"/>
  <c r="ER162" i="1" s="1"/>
  <c r="EQ126" i="1"/>
  <c r="EQ162" i="1" s="1"/>
  <c r="EP126" i="1"/>
  <c r="EP162" i="1" s="1"/>
  <c r="EO126" i="1"/>
  <c r="EO162" i="1" s="1"/>
  <c r="EN126" i="1"/>
  <c r="EN162" i="1" s="1"/>
  <c r="EM126" i="1"/>
  <c r="EM162" i="1" s="1"/>
  <c r="EL126" i="1"/>
  <c r="EL162" i="1" s="1"/>
  <c r="EK126" i="1"/>
  <c r="EJ126" i="1"/>
  <c r="EJ162" i="1" s="1"/>
  <c r="EI126" i="1"/>
  <c r="EI162" i="1" s="1"/>
  <c r="EH126" i="1"/>
  <c r="EH162" i="1" s="1"/>
  <c r="EG126" i="1"/>
  <c r="EG162" i="1" s="1"/>
  <c r="EF126" i="1"/>
  <c r="EF162" i="1" s="1"/>
  <c r="EE126" i="1"/>
  <c r="EE162" i="1" s="1"/>
  <c r="ED126" i="1"/>
  <c r="ED162" i="1" s="1"/>
  <c r="EC126" i="1"/>
  <c r="EC162" i="1" s="1"/>
  <c r="EB126" i="1"/>
  <c r="EB162" i="1" s="1"/>
  <c r="EA126" i="1"/>
  <c r="EA162" i="1" s="1"/>
  <c r="DZ126" i="1"/>
  <c r="DZ162" i="1" s="1"/>
  <c r="DY126" i="1"/>
  <c r="DY162" i="1" s="1"/>
  <c r="DX126" i="1"/>
  <c r="DX162" i="1" s="1"/>
  <c r="DW126" i="1"/>
  <c r="DW162" i="1" s="1"/>
  <c r="DV126" i="1"/>
  <c r="DV162" i="1" s="1"/>
  <c r="DU126" i="1"/>
  <c r="DU162" i="1" s="1"/>
  <c r="DT126" i="1"/>
  <c r="DT162" i="1" s="1"/>
  <c r="DS126" i="1"/>
  <c r="DS162" i="1" s="1"/>
  <c r="DR126" i="1"/>
  <c r="DR162" i="1" s="1"/>
  <c r="DQ126" i="1"/>
  <c r="DQ162" i="1" s="1"/>
  <c r="DP126" i="1"/>
  <c r="DP162" i="1" s="1"/>
  <c r="DO126" i="1"/>
  <c r="DO162" i="1" s="1"/>
  <c r="DN126" i="1"/>
  <c r="DN162" i="1" s="1"/>
  <c r="DM126" i="1"/>
  <c r="DM162" i="1" s="1"/>
  <c r="DL126" i="1"/>
  <c r="DL162" i="1" s="1"/>
  <c r="DK126" i="1"/>
  <c r="DK162" i="1" s="1"/>
  <c r="DJ126" i="1"/>
  <c r="DJ162" i="1" s="1"/>
  <c r="DI126" i="1"/>
  <c r="DI162" i="1" s="1"/>
  <c r="DH126" i="1"/>
  <c r="DH162" i="1" s="1"/>
  <c r="DG126" i="1"/>
  <c r="DG162" i="1" s="1"/>
  <c r="DF126" i="1"/>
  <c r="DF162" i="1" s="1"/>
  <c r="DE126" i="1"/>
  <c r="DE162" i="1" s="1"/>
  <c r="DD126" i="1"/>
  <c r="DD162" i="1" s="1"/>
  <c r="DC126" i="1"/>
  <c r="HC125" i="1"/>
  <c r="HC161" i="1" s="1"/>
  <c r="HB125" i="1"/>
  <c r="HB161" i="1" s="1"/>
  <c r="HA125" i="1"/>
  <c r="HA161" i="1" s="1"/>
  <c r="GZ125" i="1"/>
  <c r="GZ161" i="1" s="1"/>
  <c r="GY125" i="1"/>
  <c r="GY161" i="1" s="1"/>
  <c r="GX125" i="1"/>
  <c r="GX161" i="1" s="1"/>
  <c r="GW125" i="1"/>
  <c r="GW161" i="1" s="1"/>
  <c r="GV125" i="1"/>
  <c r="GV161" i="1" s="1"/>
  <c r="GU125" i="1"/>
  <c r="GU161" i="1" s="1"/>
  <c r="GT125" i="1"/>
  <c r="GT161" i="1" s="1"/>
  <c r="GS125" i="1"/>
  <c r="GS161" i="1" s="1"/>
  <c r="GR125" i="1"/>
  <c r="GR161" i="1" s="1"/>
  <c r="GQ125" i="1"/>
  <c r="GQ161" i="1" s="1"/>
  <c r="GP125" i="1"/>
  <c r="GP161" i="1" s="1"/>
  <c r="GO125" i="1"/>
  <c r="GO161" i="1" s="1"/>
  <c r="GN125" i="1"/>
  <c r="GN161" i="1" s="1"/>
  <c r="GM125" i="1"/>
  <c r="GM161" i="1" s="1"/>
  <c r="GL125" i="1"/>
  <c r="GL161" i="1" s="1"/>
  <c r="GK125" i="1"/>
  <c r="GK161" i="1" s="1"/>
  <c r="GJ125" i="1"/>
  <c r="GJ161" i="1" s="1"/>
  <c r="GI125" i="1"/>
  <c r="GI161" i="1" s="1"/>
  <c r="GH125" i="1"/>
  <c r="GH161" i="1" s="1"/>
  <c r="GG125" i="1"/>
  <c r="GG161" i="1" s="1"/>
  <c r="GF125" i="1"/>
  <c r="GF161" i="1" s="1"/>
  <c r="GE125" i="1"/>
  <c r="GE161" i="1" s="1"/>
  <c r="GD125" i="1"/>
  <c r="GD161" i="1" s="1"/>
  <c r="GC125" i="1"/>
  <c r="GC161" i="1" s="1"/>
  <c r="GB125" i="1"/>
  <c r="GB161" i="1" s="1"/>
  <c r="GA125" i="1"/>
  <c r="GA161" i="1" s="1"/>
  <c r="FZ125" i="1"/>
  <c r="FZ161" i="1" s="1"/>
  <c r="FY125" i="1"/>
  <c r="FY161" i="1" s="1"/>
  <c r="FX125" i="1"/>
  <c r="FX161" i="1" s="1"/>
  <c r="FW125" i="1"/>
  <c r="FW161" i="1" s="1"/>
  <c r="FV125" i="1"/>
  <c r="FV161" i="1" s="1"/>
  <c r="FU125" i="1"/>
  <c r="FU161" i="1" s="1"/>
  <c r="FT125" i="1"/>
  <c r="FS125" i="1"/>
  <c r="FS161" i="1" s="1"/>
  <c r="FR125" i="1"/>
  <c r="FR161" i="1" s="1"/>
  <c r="FQ125" i="1"/>
  <c r="FQ161" i="1" s="1"/>
  <c r="FP125" i="1"/>
  <c r="FP161" i="1" s="1"/>
  <c r="FO125" i="1"/>
  <c r="FO161" i="1" s="1"/>
  <c r="FN125" i="1"/>
  <c r="FN161" i="1" s="1"/>
  <c r="FM125" i="1"/>
  <c r="FM161" i="1" s="1"/>
  <c r="FL125" i="1"/>
  <c r="FL161" i="1" s="1"/>
  <c r="FK125" i="1"/>
  <c r="FK161" i="1" s="1"/>
  <c r="FJ125" i="1"/>
  <c r="FJ161" i="1" s="1"/>
  <c r="FI125" i="1"/>
  <c r="FI161" i="1" s="1"/>
  <c r="FH125" i="1"/>
  <c r="FH161" i="1" s="1"/>
  <c r="FG125" i="1"/>
  <c r="FG161" i="1" s="1"/>
  <c r="FF125" i="1"/>
  <c r="FF161" i="1" s="1"/>
  <c r="FE125" i="1"/>
  <c r="FE161" i="1" s="1"/>
  <c r="FD125" i="1"/>
  <c r="FD161" i="1" s="1"/>
  <c r="FC125" i="1"/>
  <c r="FC161" i="1" s="1"/>
  <c r="FB125" i="1"/>
  <c r="FB161" i="1" s="1"/>
  <c r="FA125" i="1"/>
  <c r="FA161" i="1" s="1"/>
  <c r="EZ125" i="1"/>
  <c r="EZ161" i="1" s="1"/>
  <c r="EY125" i="1"/>
  <c r="EY161" i="1" s="1"/>
  <c r="EX125" i="1"/>
  <c r="EX161" i="1" s="1"/>
  <c r="EW125" i="1"/>
  <c r="EW161" i="1" s="1"/>
  <c r="EV125" i="1"/>
  <c r="EV161" i="1" s="1"/>
  <c r="EU125" i="1"/>
  <c r="EU161" i="1" s="1"/>
  <c r="ET125" i="1"/>
  <c r="ET161" i="1" s="1"/>
  <c r="ES125" i="1"/>
  <c r="ES161" i="1" s="1"/>
  <c r="ER125" i="1"/>
  <c r="ER161" i="1" s="1"/>
  <c r="EQ125" i="1"/>
  <c r="EQ161" i="1" s="1"/>
  <c r="EP125" i="1"/>
  <c r="EP161" i="1" s="1"/>
  <c r="EO125" i="1"/>
  <c r="EO161" i="1" s="1"/>
  <c r="EN125" i="1"/>
  <c r="EN161" i="1" s="1"/>
  <c r="EM125" i="1"/>
  <c r="EM161" i="1" s="1"/>
  <c r="EL125" i="1"/>
  <c r="EL161" i="1" s="1"/>
  <c r="EK125" i="1"/>
  <c r="EK161" i="1" s="1"/>
  <c r="EJ125" i="1"/>
  <c r="EI125" i="1"/>
  <c r="EI161" i="1" s="1"/>
  <c r="EH125" i="1"/>
  <c r="EH161" i="1" s="1"/>
  <c r="EG125" i="1"/>
  <c r="EG161" i="1" s="1"/>
  <c r="EF125" i="1"/>
  <c r="EF161" i="1" s="1"/>
  <c r="EE125" i="1"/>
  <c r="EE161" i="1" s="1"/>
  <c r="ED125" i="1"/>
  <c r="ED161" i="1" s="1"/>
  <c r="EC125" i="1"/>
  <c r="EC161" i="1" s="1"/>
  <c r="EB125" i="1"/>
  <c r="EB161" i="1" s="1"/>
  <c r="EA125" i="1"/>
  <c r="EA161" i="1" s="1"/>
  <c r="DZ125" i="1"/>
  <c r="DZ161" i="1" s="1"/>
  <c r="DY125" i="1"/>
  <c r="DY161" i="1" s="1"/>
  <c r="DX125" i="1"/>
  <c r="DX161" i="1" s="1"/>
  <c r="DW125" i="1"/>
  <c r="DW161" i="1" s="1"/>
  <c r="DV125" i="1"/>
  <c r="DV161" i="1" s="1"/>
  <c r="DU125" i="1"/>
  <c r="DU161" i="1" s="1"/>
  <c r="DT125" i="1"/>
  <c r="DT161" i="1" s="1"/>
  <c r="DS125" i="1"/>
  <c r="DS161" i="1" s="1"/>
  <c r="DR125" i="1"/>
  <c r="DR161" i="1" s="1"/>
  <c r="DQ125" i="1"/>
  <c r="DQ161" i="1" s="1"/>
  <c r="DP125" i="1"/>
  <c r="DP161" i="1" s="1"/>
  <c r="DO125" i="1"/>
  <c r="DO161" i="1" s="1"/>
  <c r="DN125" i="1"/>
  <c r="DN161" i="1" s="1"/>
  <c r="DM125" i="1"/>
  <c r="DM161" i="1" s="1"/>
  <c r="DL125" i="1"/>
  <c r="DL161" i="1" s="1"/>
  <c r="DK125" i="1"/>
  <c r="DK161" i="1" s="1"/>
  <c r="DJ125" i="1"/>
  <c r="DJ161" i="1" s="1"/>
  <c r="DI125" i="1"/>
  <c r="DI161" i="1" s="1"/>
  <c r="DH125" i="1"/>
  <c r="DH161" i="1" s="1"/>
  <c r="DG125" i="1"/>
  <c r="DG161" i="1" s="1"/>
  <c r="DF125" i="1"/>
  <c r="DF161" i="1" s="1"/>
  <c r="DE125" i="1"/>
  <c r="DE161" i="1" s="1"/>
  <c r="DD125" i="1"/>
  <c r="DD161" i="1" s="1"/>
  <c r="DC125" i="1"/>
  <c r="DC161" i="1" s="1"/>
  <c r="HC124" i="1"/>
  <c r="HC160" i="1" s="1"/>
  <c r="HB124" i="1"/>
  <c r="HB160" i="1" s="1"/>
  <c r="HA124" i="1"/>
  <c r="HA160" i="1" s="1"/>
  <c r="GZ124" i="1"/>
  <c r="GZ160" i="1" s="1"/>
  <c r="GY124" i="1"/>
  <c r="GY160" i="1" s="1"/>
  <c r="GX124" i="1"/>
  <c r="GX160" i="1" s="1"/>
  <c r="GW124" i="1"/>
  <c r="GW160" i="1" s="1"/>
  <c r="GV124" i="1"/>
  <c r="GV160" i="1" s="1"/>
  <c r="GU124" i="1"/>
  <c r="GU160" i="1" s="1"/>
  <c r="GT124" i="1"/>
  <c r="GT160" i="1" s="1"/>
  <c r="GS124" i="1"/>
  <c r="GS160" i="1" s="1"/>
  <c r="GR124" i="1"/>
  <c r="GR160" i="1" s="1"/>
  <c r="GQ124" i="1"/>
  <c r="GQ160" i="1" s="1"/>
  <c r="GP124" i="1"/>
  <c r="GP160" i="1" s="1"/>
  <c r="GO124" i="1"/>
  <c r="GO160" i="1" s="1"/>
  <c r="GN124" i="1"/>
  <c r="GN160" i="1" s="1"/>
  <c r="GM124" i="1"/>
  <c r="GM160" i="1" s="1"/>
  <c r="GL124" i="1"/>
  <c r="GL160" i="1" s="1"/>
  <c r="GK124" i="1"/>
  <c r="GK160" i="1" s="1"/>
  <c r="GJ124" i="1"/>
  <c r="GJ160" i="1" s="1"/>
  <c r="GI124" i="1"/>
  <c r="GI160" i="1" s="1"/>
  <c r="GH124" i="1"/>
  <c r="GH160" i="1" s="1"/>
  <c r="GG124" i="1"/>
  <c r="GG160" i="1" s="1"/>
  <c r="GF124" i="1"/>
  <c r="GF160" i="1" s="1"/>
  <c r="GE124" i="1"/>
  <c r="GE160" i="1" s="1"/>
  <c r="GD124" i="1"/>
  <c r="GD160" i="1" s="1"/>
  <c r="GC124" i="1"/>
  <c r="GC160" i="1" s="1"/>
  <c r="GB124" i="1"/>
  <c r="GB160" i="1" s="1"/>
  <c r="GA124" i="1"/>
  <c r="GA160" i="1" s="1"/>
  <c r="FZ124" i="1"/>
  <c r="FZ160" i="1" s="1"/>
  <c r="FY124" i="1"/>
  <c r="FY160" i="1" s="1"/>
  <c r="FX124" i="1"/>
  <c r="FX160" i="1" s="1"/>
  <c r="FW124" i="1"/>
  <c r="FW160" i="1" s="1"/>
  <c r="FV124" i="1"/>
  <c r="FV160" i="1" s="1"/>
  <c r="FU124" i="1"/>
  <c r="FU160" i="1" s="1"/>
  <c r="FT124" i="1"/>
  <c r="FT160" i="1" s="1"/>
  <c r="FS124" i="1"/>
  <c r="FS160" i="1" s="1"/>
  <c r="FR124" i="1"/>
  <c r="FR160" i="1" s="1"/>
  <c r="FQ124" i="1"/>
  <c r="FQ160" i="1" s="1"/>
  <c r="FP124" i="1"/>
  <c r="FP160" i="1" s="1"/>
  <c r="FO124" i="1"/>
  <c r="FO160" i="1" s="1"/>
  <c r="FN124" i="1"/>
  <c r="FN160" i="1" s="1"/>
  <c r="FM124" i="1"/>
  <c r="FM160" i="1" s="1"/>
  <c r="FL124" i="1"/>
  <c r="FL160" i="1" s="1"/>
  <c r="FK124" i="1"/>
  <c r="FK160" i="1" s="1"/>
  <c r="FJ124" i="1"/>
  <c r="FJ160" i="1" s="1"/>
  <c r="FI124" i="1"/>
  <c r="FI160" i="1" s="1"/>
  <c r="FH124" i="1"/>
  <c r="FH160" i="1" s="1"/>
  <c r="FG124" i="1"/>
  <c r="FG160" i="1" s="1"/>
  <c r="FF124" i="1"/>
  <c r="FF160" i="1" s="1"/>
  <c r="FE124" i="1"/>
  <c r="FE160" i="1" s="1"/>
  <c r="FD124" i="1"/>
  <c r="FD160" i="1" s="1"/>
  <c r="FC124" i="1"/>
  <c r="FC160" i="1" s="1"/>
  <c r="FB124" i="1"/>
  <c r="FB160" i="1" s="1"/>
  <c r="FA124" i="1"/>
  <c r="FA160" i="1" s="1"/>
  <c r="EZ124" i="1"/>
  <c r="EZ160" i="1" s="1"/>
  <c r="EY124" i="1"/>
  <c r="EY160" i="1" s="1"/>
  <c r="EX124" i="1"/>
  <c r="EX160" i="1" s="1"/>
  <c r="EW124" i="1"/>
  <c r="EW160" i="1" s="1"/>
  <c r="EV124" i="1"/>
  <c r="EV160" i="1" s="1"/>
  <c r="EU124" i="1"/>
  <c r="EU160" i="1" s="1"/>
  <c r="ET124" i="1"/>
  <c r="ET160" i="1" s="1"/>
  <c r="ES124" i="1"/>
  <c r="ES160" i="1" s="1"/>
  <c r="ER124" i="1"/>
  <c r="ER160" i="1" s="1"/>
  <c r="EQ124" i="1"/>
  <c r="EQ160" i="1" s="1"/>
  <c r="EP124" i="1"/>
  <c r="EP160" i="1" s="1"/>
  <c r="EO124" i="1"/>
  <c r="EO160" i="1" s="1"/>
  <c r="EN124" i="1"/>
  <c r="EN160" i="1" s="1"/>
  <c r="EM124" i="1"/>
  <c r="EM160" i="1" s="1"/>
  <c r="EL124" i="1"/>
  <c r="EL160" i="1" s="1"/>
  <c r="EK124" i="1"/>
  <c r="EK160" i="1" s="1"/>
  <c r="EJ124" i="1"/>
  <c r="EJ160" i="1" s="1"/>
  <c r="EI124" i="1"/>
  <c r="EH124" i="1"/>
  <c r="EH160" i="1" s="1"/>
  <c r="EG124" i="1"/>
  <c r="EG160" i="1" s="1"/>
  <c r="EF124" i="1"/>
  <c r="EF160" i="1" s="1"/>
  <c r="EE124" i="1"/>
  <c r="EE160" i="1" s="1"/>
  <c r="ED124" i="1"/>
  <c r="ED160" i="1" s="1"/>
  <c r="EC124" i="1"/>
  <c r="EC160" i="1" s="1"/>
  <c r="EB124" i="1"/>
  <c r="EB160" i="1" s="1"/>
  <c r="EA124" i="1"/>
  <c r="EA160" i="1" s="1"/>
  <c r="DZ124" i="1"/>
  <c r="DZ160" i="1" s="1"/>
  <c r="DY124" i="1"/>
  <c r="DY160" i="1" s="1"/>
  <c r="DX124" i="1"/>
  <c r="DX160" i="1" s="1"/>
  <c r="DW124" i="1"/>
  <c r="DW160" i="1" s="1"/>
  <c r="DV124" i="1"/>
  <c r="DV160" i="1" s="1"/>
  <c r="DU124" i="1"/>
  <c r="DU160" i="1" s="1"/>
  <c r="DT124" i="1"/>
  <c r="DT160" i="1" s="1"/>
  <c r="DS124" i="1"/>
  <c r="DS160" i="1" s="1"/>
  <c r="DR124" i="1"/>
  <c r="DR160" i="1" s="1"/>
  <c r="DQ124" i="1"/>
  <c r="DQ160" i="1" s="1"/>
  <c r="DP124" i="1"/>
  <c r="DP160" i="1" s="1"/>
  <c r="DO124" i="1"/>
  <c r="DO160" i="1" s="1"/>
  <c r="DN124" i="1"/>
  <c r="DN160" i="1" s="1"/>
  <c r="DM124" i="1"/>
  <c r="DM160" i="1" s="1"/>
  <c r="DL124" i="1"/>
  <c r="DL160" i="1" s="1"/>
  <c r="DK124" i="1"/>
  <c r="DK160" i="1" s="1"/>
  <c r="DJ124" i="1"/>
  <c r="DJ160" i="1" s="1"/>
  <c r="DI124" i="1"/>
  <c r="DI160" i="1" s="1"/>
  <c r="DH124" i="1"/>
  <c r="DH160" i="1" s="1"/>
  <c r="DG124" i="1"/>
  <c r="DG160" i="1" s="1"/>
  <c r="DF124" i="1"/>
  <c r="DF160" i="1" s="1"/>
  <c r="DE124" i="1"/>
  <c r="DE160" i="1" s="1"/>
  <c r="DD124" i="1"/>
  <c r="DD160" i="1" s="1"/>
  <c r="DC124" i="1"/>
  <c r="DC160" i="1" s="1"/>
  <c r="HC123" i="1"/>
  <c r="HC159" i="1" s="1"/>
  <c r="HB123" i="1"/>
  <c r="HB159" i="1" s="1"/>
  <c r="HA123" i="1"/>
  <c r="HA159" i="1" s="1"/>
  <c r="GZ123" i="1"/>
  <c r="GZ159" i="1" s="1"/>
  <c r="GY123" i="1"/>
  <c r="GY159" i="1" s="1"/>
  <c r="GX123" i="1"/>
  <c r="GX159" i="1" s="1"/>
  <c r="GW123" i="1"/>
  <c r="GW159" i="1" s="1"/>
  <c r="GV123" i="1"/>
  <c r="GV159" i="1" s="1"/>
  <c r="GU123" i="1"/>
  <c r="GU159" i="1" s="1"/>
  <c r="GT123" i="1"/>
  <c r="GT159" i="1" s="1"/>
  <c r="GS123" i="1"/>
  <c r="GS159" i="1" s="1"/>
  <c r="GR123" i="1"/>
  <c r="GR159" i="1" s="1"/>
  <c r="GQ123" i="1"/>
  <c r="GQ159" i="1" s="1"/>
  <c r="GP123" i="1"/>
  <c r="GP159" i="1" s="1"/>
  <c r="GO123" i="1"/>
  <c r="GO159" i="1" s="1"/>
  <c r="GN123" i="1"/>
  <c r="GN159" i="1" s="1"/>
  <c r="GM123" i="1"/>
  <c r="GM159" i="1" s="1"/>
  <c r="GL123" i="1"/>
  <c r="GL159" i="1" s="1"/>
  <c r="GK123" i="1"/>
  <c r="GK159" i="1" s="1"/>
  <c r="GJ123" i="1"/>
  <c r="GJ159" i="1" s="1"/>
  <c r="GI123" i="1"/>
  <c r="GI159" i="1" s="1"/>
  <c r="GH123" i="1"/>
  <c r="GH159" i="1" s="1"/>
  <c r="GG123" i="1"/>
  <c r="GG159" i="1" s="1"/>
  <c r="GF123" i="1"/>
  <c r="GF159" i="1" s="1"/>
  <c r="GE123" i="1"/>
  <c r="GE159" i="1" s="1"/>
  <c r="GD123" i="1"/>
  <c r="GD159" i="1" s="1"/>
  <c r="GC123" i="1"/>
  <c r="GC159" i="1" s="1"/>
  <c r="GB123" i="1"/>
  <c r="GB159" i="1" s="1"/>
  <c r="GA123" i="1"/>
  <c r="GA159" i="1" s="1"/>
  <c r="FZ123" i="1"/>
  <c r="FZ159" i="1" s="1"/>
  <c r="FY123" i="1"/>
  <c r="FY159" i="1" s="1"/>
  <c r="FX123" i="1"/>
  <c r="FX159" i="1" s="1"/>
  <c r="FW123" i="1"/>
  <c r="FW159" i="1" s="1"/>
  <c r="FV123" i="1"/>
  <c r="FV159" i="1" s="1"/>
  <c r="FU123" i="1"/>
  <c r="FU159" i="1" s="1"/>
  <c r="FT123" i="1"/>
  <c r="FT159" i="1" s="1"/>
  <c r="FS123" i="1"/>
  <c r="FR123" i="1"/>
  <c r="FR159" i="1" s="1"/>
  <c r="FQ123" i="1"/>
  <c r="FQ159" i="1" s="1"/>
  <c r="FP123" i="1"/>
  <c r="FP159" i="1" s="1"/>
  <c r="FO123" i="1"/>
  <c r="FO159" i="1" s="1"/>
  <c r="FN123" i="1"/>
  <c r="FN159" i="1" s="1"/>
  <c r="FM123" i="1"/>
  <c r="FM159" i="1" s="1"/>
  <c r="FL123" i="1"/>
  <c r="FL159" i="1" s="1"/>
  <c r="FK123" i="1"/>
  <c r="FK159" i="1" s="1"/>
  <c r="FJ123" i="1"/>
  <c r="FJ159" i="1" s="1"/>
  <c r="FI123" i="1"/>
  <c r="FI159" i="1" s="1"/>
  <c r="FH123" i="1"/>
  <c r="FH159" i="1" s="1"/>
  <c r="FG123" i="1"/>
  <c r="FG159" i="1" s="1"/>
  <c r="FF123" i="1"/>
  <c r="FF159" i="1" s="1"/>
  <c r="FE123" i="1"/>
  <c r="FE159" i="1" s="1"/>
  <c r="FD123" i="1"/>
  <c r="FD159" i="1" s="1"/>
  <c r="FC123" i="1"/>
  <c r="FC159" i="1" s="1"/>
  <c r="FB123" i="1"/>
  <c r="FB159" i="1" s="1"/>
  <c r="FA123" i="1"/>
  <c r="FA159" i="1" s="1"/>
  <c r="EZ123" i="1"/>
  <c r="EZ159" i="1" s="1"/>
  <c r="EY123" i="1"/>
  <c r="EY159" i="1" s="1"/>
  <c r="EX123" i="1"/>
  <c r="EX159" i="1" s="1"/>
  <c r="EW123" i="1"/>
  <c r="EW159" i="1" s="1"/>
  <c r="EV123" i="1"/>
  <c r="EV159" i="1" s="1"/>
  <c r="EU123" i="1"/>
  <c r="EU159" i="1" s="1"/>
  <c r="ET123" i="1"/>
  <c r="ET159" i="1" s="1"/>
  <c r="ES123" i="1"/>
  <c r="ES159" i="1" s="1"/>
  <c r="ER123" i="1"/>
  <c r="ER159" i="1" s="1"/>
  <c r="EQ123" i="1"/>
  <c r="EQ159" i="1" s="1"/>
  <c r="EP123" i="1"/>
  <c r="EP159" i="1" s="1"/>
  <c r="EO123" i="1"/>
  <c r="EO159" i="1" s="1"/>
  <c r="EN123" i="1"/>
  <c r="EN159" i="1" s="1"/>
  <c r="EM123" i="1"/>
  <c r="EM159" i="1" s="1"/>
  <c r="EL123" i="1"/>
  <c r="EL159" i="1" s="1"/>
  <c r="EK123" i="1"/>
  <c r="EK159" i="1" s="1"/>
  <c r="EJ123" i="1"/>
  <c r="EJ159" i="1" s="1"/>
  <c r="EI123" i="1"/>
  <c r="EH123" i="1"/>
  <c r="EH159" i="1" s="1"/>
  <c r="EG123" i="1"/>
  <c r="EG159" i="1" s="1"/>
  <c r="EF123" i="1"/>
  <c r="EF159" i="1" s="1"/>
  <c r="EE123" i="1"/>
  <c r="EE159" i="1" s="1"/>
  <c r="ED123" i="1"/>
  <c r="ED159" i="1" s="1"/>
  <c r="EC123" i="1"/>
  <c r="EC159" i="1" s="1"/>
  <c r="EB123" i="1"/>
  <c r="EB159" i="1" s="1"/>
  <c r="EA123" i="1"/>
  <c r="EA159" i="1" s="1"/>
  <c r="DZ123" i="1"/>
  <c r="DZ159" i="1" s="1"/>
  <c r="DY123" i="1"/>
  <c r="DY159" i="1" s="1"/>
  <c r="DX123" i="1"/>
  <c r="DX159" i="1" s="1"/>
  <c r="DW123" i="1"/>
  <c r="DW159" i="1" s="1"/>
  <c r="DV123" i="1"/>
  <c r="DV159" i="1" s="1"/>
  <c r="DU123" i="1"/>
  <c r="DU159" i="1" s="1"/>
  <c r="DT123" i="1"/>
  <c r="DT159" i="1" s="1"/>
  <c r="DS123" i="1"/>
  <c r="DS159" i="1" s="1"/>
  <c r="DR123" i="1"/>
  <c r="DR159" i="1" s="1"/>
  <c r="DQ123" i="1"/>
  <c r="DQ159" i="1" s="1"/>
  <c r="DP123" i="1"/>
  <c r="DP159" i="1" s="1"/>
  <c r="DO123" i="1"/>
  <c r="DO159" i="1" s="1"/>
  <c r="DN123" i="1"/>
  <c r="DN159" i="1" s="1"/>
  <c r="DM123" i="1"/>
  <c r="DM159" i="1" s="1"/>
  <c r="DL123" i="1"/>
  <c r="DL159" i="1" s="1"/>
  <c r="DK123" i="1"/>
  <c r="DK159" i="1" s="1"/>
  <c r="DJ123" i="1"/>
  <c r="DJ159" i="1" s="1"/>
  <c r="DI123" i="1"/>
  <c r="DI159" i="1" s="1"/>
  <c r="DH123" i="1"/>
  <c r="DH159" i="1" s="1"/>
  <c r="DG123" i="1"/>
  <c r="DG159" i="1" s="1"/>
  <c r="DF123" i="1"/>
  <c r="DF159" i="1" s="1"/>
  <c r="DE123" i="1"/>
  <c r="DE159" i="1" s="1"/>
  <c r="DD123" i="1"/>
  <c r="DD159" i="1" s="1"/>
  <c r="DC123" i="1"/>
  <c r="DC159" i="1" s="1"/>
  <c r="HC122" i="1"/>
  <c r="HC158" i="1" s="1"/>
  <c r="HB122" i="1"/>
  <c r="HB158" i="1" s="1"/>
  <c r="HA122" i="1"/>
  <c r="HA158" i="1" s="1"/>
  <c r="GZ122" i="1"/>
  <c r="GY122" i="1"/>
  <c r="GY158" i="1" s="1"/>
  <c r="GX122" i="1"/>
  <c r="GX158" i="1" s="1"/>
  <c r="GW122" i="1"/>
  <c r="GW158" i="1" s="1"/>
  <c r="GV122" i="1"/>
  <c r="GV158" i="1" s="1"/>
  <c r="GU122" i="1"/>
  <c r="GU158" i="1" s="1"/>
  <c r="GT122" i="1"/>
  <c r="GT158" i="1" s="1"/>
  <c r="GS122" i="1"/>
  <c r="GS158" i="1" s="1"/>
  <c r="GR122" i="1"/>
  <c r="GR158" i="1" s="1"/>
  <c r="GQ122" i="1"/>
  <c r="GQ158" i="1" s="1"/>
  <c r="GP122" i="1"/>
  <c r="GP158" i="1" s="1"/>
  <c r="GO122" i="1"/>
  <c r="GO158" i="1" s="1"/>
  <c r="GN122" i="1"/>
  <c r="GN158" i="1" s="1"/>
  <c r="GM122" i="1"/>
  <c r="GM158" i="1" s="1"/>
  <c r="GL122" i="1"/>
  <c r="GL158" i="1" s="1"/>
  <c r="GK122" i="1"/>
  <c r="GK158" i="1" s="1"/>
  <c r="GJ122" i="1"/>
  <c r="GJ158" i="1" s="1"/>
  <c r="GI122" i="1"/>
  <c r="GI158" i="1" s="1"/>
  <c r="GH122" i="1"/>
  <c r="GH158" i="1" s="1"/>
  <c r="GG122" i="1"/>
  <c r="GG158" i="1" s="1"/>
  <c r="GF122" i="1"/>
  <c r="GF158" i="1" s="1"/>
  <c r="GE122" i="1"/>
  <c r="GE158" i="1" s="1"/>
  <c r="GD122" i="1"/>
  <c r="GD158" i="1" s="1"/>
  <c r="GC122" i="1"/>
  <c r="GC158" i="1" s="1"/>
  <c r="GB122" i="1"/>
  <c r="GB158" i="1" s="1"/>
  <c r="GA122" i="1"/>
  <c r="GA158" i="1" s="1"/>
  <c r="FZ122" i="1"/>
  <c r="FZ158" i="1" s="1"/>
  <c r="FY122" i="1"/>
  <c r="FY158" i="1" s="1"/>
  <c r="FX122" i="1"/>
  <c r="FX158" i="1" s="1"/>
  <c r="FW122" i="1"/>
  <c r="FW158" i="1" s="1"/>
  <c r="FV122" i="1"/>
  <c r="FV158" i="1" s="1"/>
  <c r="FU122" i="1"/>
  <c r="FU158" i="1" s="1"/>
  <c r="FT122" i="1"/>
  <c r="FS122" i="1"/>
  <c r="FS158" i="1" s="1"/>
  <c r="FR122" i="1"/>
  <c r="FR158" i="1" s="1"/>
  <c r="FQ122" i="1"/>
  <c r="FQ158" i="1" s="1"/>
  <c r="FP122" i="1"/>
  <c r="FP158" i="1" s="1"/>
  <c r="FO122" i="1"/>
  <c r="FO158" i="1" s="1"/>
  <c r="FN122" i="1"/>
  <c r="FN158" i="1" s="1"/>
  <c r="FM122" i="1"/>
  <c r="FM158" i="1" s="1"/>
  <c r="FL122" i="1"/>
  <c r="FL158" i="1" s="1"/>
  <c r="FK122" i="1"/>
  <c r="FK158" i="1" s="1"/>
  <c r="FJ122" i="1"/>
  <c r="FJ158" i="1" s="1"/>
  <c r="FI122" i="1"/>
  <c r="FI158" i="1" s="1"/>
  <c r="FH122" i="1"/>
  <c r="FH158" i="1" s="1"/>
  <c r="FG122" i="1"/>
  <c r="FG158" i="1" s="1"/>
  <c r="FF122" i="1"/>
  <c r="FF158" i="1" s="1"/>
  <c r="FE122" i="1"/>
  <c r="FE158" i="1" s="1"/>
  <c r="FD122" i="1"/>
  <c r="FD158" i="1" s="1"/>
  <c r="FC122" i="1"/>
  <c r="FC158" i="1" s="1"/>
  <c r="FB122" i="1"/>
  <c r="FB158" i="1" s="1"/>
  <c r="FA122" i="1"/>
  <c r="FA158" i="1" s="1"/>
  <c r="EZ122" i="1"/>
  <c r="EZ158" i="1" s="1"/>
  <c r="EY122" i="1"/>
  <c r="EY158" i="1" s="1"/>
  <c r="EX122" i="1"/>
  <c r="EX158" i="1" s="1"/>
  <c r="EW122" i="1"/>
  <c r="EW158" i="1" s="1"/>
  <c r="EV122" i="1"/>
  <c r="EV158" i="1" s="1"/>
  <c r="EU122" i="1"/>
  <c r="EU158" i="1" s="1"/>
  <c r="ET122" i="1"/>
  <c r="ET158" i="1" s="1"/>
  <c r="ES122" i="1"/>
  <c r="ES158" i="1" s="1"/>
  <c r="ER122" i="1"/>
  <c r="ER158" i="1" s="1"/>
  <c r="EQ122" i="1"/>
  <c r="EQ158" i="1" s="1"/>
  <c r="EP122" i="1"/>
  <c r="EP158" i="1" s="1"/>
  <c r="EO122" i="1"/>
  <c r="EO158" i="1" s="1"/>
  <c r="EN122" i="1"/>
  <c r="EN158" i="1" s="1"/>
  <c r="EM122" i="1"/>
  <c r="EM158" i="1" s="1"/>
  <c r="EL122" i="1"/>
  <c r="EL158" i="1" s="1"/>
  <c r="EK122" i="1"/>
  <c r="EK158" i="1" s="1"/>
  <c r="EJ122" i="1"/>
  <c r="EI122" i="1"/>
  <c r="EI158" i="1" s="1"/>
  <c r="EH122" i="1"/>
  <c r="EH158" i="1" s="1"/>
  <c r="EG122" i="1"/>
  <c r="EG158" i="1" s="1"/>
  <c r="EF122" i="1"/>
  <c r="EF158" i="1" s="1"/>
  <c r="EE122" i="1"/>
  <c r="EE158" i="1" s="1"/>
  <c r="ED122" i="1"/>
  <c r="ED158" i="1" s="1"/>
  <c r="EC122" i="1"/>
  <c r="EC158" i="1" s="1"/>
  <c r="EB122" i="1"/>
  <c r="EB158" i="1" s="1"/>
  <c r="EA122" i="1"/>
  <c r="EA158" i="1" s="1"/>
  <c r="DZ122" i="1"/>
  <c r="DZ158" i="1" s="1"/>
  <c r="DY122" i="1"/>
  <c r="DY158" i="1" s="1"/>
  <c r="DX122" i="1"/>
  <c r="DX158" i="1" s="1"/>
  <c r="DW122" i="1"/>
  <c r="DW158" i="1" s="1"/>
  <c r="DV122" i="1"/>
  <c r="DV158" i="1" s="1"/>
  <c r="DU122" i="1"/>
  <c r="DU158" i="1" s="1"/>
  <c r="DT122" i="1"/>
  <c r="DT158" i="1" s="1"/>
  <c r="DS122" i="1"/>
  <c r="DS158" i="1" s="1"/>
  <c r="DR122" i="1"/>
  <c r="DR158" i="1" s="1"/>
  <c r="DQ122" i="1"/>
  <c r="DQ158" i="1" s="1"/>
  <c r="DP122" i="1"/>
  <c r="DP158" i="1" s="1"/>
  <c r="DO122" i="1"/>
  <c r="DO158" i="1" s="1"/>
  <c r="DN122" i="1"/>
  <c r="DN158" i="1" s="1"/>
  <c r="DM122" i="1"/>
  <c r="DM158" i="1" s="1"/>
  <c r="DL122" i="1"/>
  <c r="DL158" i="1" s="1"/>
  <c r="DK122" i="1"/>
  <c r="DK158" i="1" s="1"/>
  <c r="DJ122" i="1"/>
  <c r="DJ158" i="1" s="1"/>
  <c r="DI122" i="1"/>
  <c r="DI158" i="1" s="1"/>
  <c r="DH122" i="1"/>
  <c r="DH158" i="1" s="1"/>
  <c r="DG122" i="1"/>
  <c r="DG158" i="1" s="1"/>
  <c r="DF122" i="1"/>
  <c r="DF158" i="1" s="1"/>
  <c r="DE122" i="1"/>
  <c r="DE158" i="1" s="1"/>
  <c r="DD122" i="1"/>
  <c r="DC122" i="1"/>
  <c r="DC158" i="1" s="1"/>
  <c r="HC121" i="1"/>
  <c r="HC157" i="1" s="1"/>
  <c r="HB121" i="1"/>
  <c r="HB157" i="1" s="1"/>
  <c r="HA121" i="1"/>
  <c r="HA157" i="1" s="1"/>
  <c r="GZ121" i="1"/>
  <c r="GZ157" i="1" s="1"/>
  <c r="GY121" i="1"/>
  <c r="GY157" i="1" s="1"/>
  <c r="GX121" i="1"/>
  <c r="GX157" i="1" s="1"/>
  <c r="GW121" i="1"/>
  <c r="GW157" i="1" s="1"/>
  <c r="GV121" i="1"/>
  <c r="GV157" i="1" s="1"/>
  <c r="GU121" i="1"/>
  <c r="GU157" i="1" s="1"/>
  <c r="GT121" i="1"/>
  <c r="GT157" i="1" s="1"/>
  <c r="GS121" i="1"/>
  <c r="GS157" i="1" s="1"/>
  <c r="GR121" i="1"/>
  <c r="GR157" i="1" s="1"/>
  <c r="GQ121" i="1"/>
  <c r="GQ157" i="1" s="1"/>
  <c r="GP121" i="1"/>
  <c r="GP157" i="1" s="1"/>
  <c r="GO121" i="1"/>
  <c r="GO157" i="1" s="1"/>
  <c r="GN121" i="1"/>
  <c r="GN157" i="1" s="1"/>
  <c r="GM121" i="1"/>
  <c r="GM157" i="1" s="1"/>
  <c r="GL121" i="1"/>
  <c r="GL157" i="1" s="1"/>
  <c r="GK121" i="1"/>
  <c r="GK157" i="1" s="1"/>
  <c r="GJ121" i="1"/>
  <c r="GJ157" i="1" s="1"/>
  <c r="GI121" i="1"/>
  <c r="GI157" i="1" s="1"/>
  <c r="GH121" i="1"/>
  <c r="GH157" i="1" s="1"/>
  <c r="GG121" i="1"/>
  <c r="GF121" i="1"/>
  <c r="GF157" i="1" s="1"/>
  <c r="GE121" i="1"/>
  <c r="GE157" i="1" s="1"/>
  <c r="GD121" i="1"/>
  <c r="GD157" i="1" s="1"/>
  <c r="GC121" i="1"/>
  <c r="GC157" i="1" s="1"/>
  <c r="GB121" i="1"/>
  <c r="GB157" i="1" s="1"/>
  <c r="GA121" i="1"/>
  <c r="GA157" i="1" s="1"/>
  <c r="FZ121" i="1"/>
  <c r="FZ157" i="1" s="1"/>
  <c r="FY121" i="1"/>
  <c r="FY157" i="1" s="1"/>
  <c r="FX121" i="1"/>
  <c r="FX157" i="1" s="1"/>
  <c r="FW121" i="1"/>
  <c r="FW157" i="1" s="1"/>
  <c r="FV121" i="1"/>
  <c r="FV157" i="1" s="1"/>
  <c r="FU121" i="1"/>
  <c r="FU157" i="1" s="1"/>
  <c r="FT121" i="1"/>
  <c r="FT157" i="1" s="1"/>
  <c r="FS121" i="1"/>
  <c r="FS157" i="1" s="1"/>
  <c r="FR121" i="1"/>
  <c r="FR157" i="1" s="1"/>
  <c r="FQ121" i="1"/>
  <c r="FQ157" i="1" s="1"/>
  <c r="FP121" i="1"/>
  <c r="FP157" i="1" s="1"/>
  <c r="FO121" i="1"/>
  <c r="FO157" i="1" s="1"/>
  <c r="FN121" i="1"/>
  <c r="FN157" i="1" s="1"/>
  <c r="FM121" i="1"/>
  <c r="FM157" i="1" s="1"/>
  <c r="FL121" i="1"/>
  <c r="FL157" i="1" s="1"/>
  <c r="FK121" i="1"/>
  <c r="FK157" i="1" s="1"/>
  <c r="FJ121" i="1"/>
  <c r="FI121" i="1"/>
  <c r="FI157" i="1" s="1"/>
  <c r="FH121" i="1"/>
  <c r="FH157" i="1" s="1"/>
  <c r="FG121" i="1"/>
  <c r="FG157" i="1" s="1"/>
  <c r="FF121" i="1"/>
  <c r="FF157" i="1" s="1"/>
  <c r="FE121" i="1"/>
  <c r="FE157" i="1" s="1"/>
  <c r="FD121" i="1"/>
  <c r="FD157" i="1" s="1"/>
  <c r="FC121" i="1"/>
  <c r="FC157" i="1" s="1"/>
  <c r="FB121" i="1"/>
  <c r="FB157" i="1" s="1"/>
  <c r="FA121" i="1"/>
  <c r="FA157" i="1" s="1"/>
  <c r="EZ121" i="1"/>
  <c r="EZ157" i="1" s="1"/>
  <c r="EY121" i="1"/>
  <c r="EY157" i="1" s="1"/>
  <c r="EX121" i="1"/>
  <c r="EX157" i="1" s="1"/>
  <c r="EW121" i="1"/>
  <c r="EW157" i="1" s="1"/>
  <c r="EV121" i="1"/>
  <c r="EV157" i="1" s="1"/>
  <c r="EU121" i="1"/>
  <c r="EU157" i="1" s="1"/>
  <c r="ET121" i="1"/>
  <c r="ET157" i="1" s="1"/>
  <c r="ES121" i="1"/>
  <c r="ES157" i="1" s="1"/>
  <c r="ER121" i="1"/>
  <c r="ER157" i="1" s="1"/>
  <c r="EQ121" i="1"/>
  <c r="EQ157" i="1" s="1"/>
  <c r="EP121" i="1"/>
  <c r="EP157" i="1" s="1"/>
  <c r="EO121" i="1"/>
  <c r="EO157" i="1" s="1"/>
  <c r="EN121" i="1"/>
  <c r="EN157" i="1" s="1"/>
  <c r="EM121" i="1"/>
  <c r="EL121" i="1"/>
  <c r="EL157" i="1" s="1"/>
  <c r="EK121" i="1"/>
  <c r="EK157" i="1" s="1"/>
  <c r="EJ121" i="1"/>
  <c r="EJ157" i="1" s="1"/>
  <c r="EI121" i="1"/>
  <c r="EI157" i="1" s="1"/>
  <c r="EH121" i="1"/>
  <c r="EH157" i="1" s="1"/>
  <c r="EG121" i="1"/>
  <c r="EG157" i="1" s="1"/>
  <c r="EF121" i="1"/>
  <c r="EF157" i="1" s="1"/>
  <c r="EE121" i="1"/>
  <c r="EE157" i="1" s="1"/>
  <c r="ED121" i="1"/>
  <c r="ED157" i="1" s="1"/>
  <c r="EC121" i="1"/>
  <c r="EC157" i="1" s="1"/>
  <c r="EB121" i="1"/>
  <c r="EB157" i="1" s="1"/>
  <c r="EA121" i="1"/>
  <c r="EA157" i="1" s="1"/>
  <c r="DZ121" i="1"/>
  <c r="DZ157" i="1" s="1"/>
  <c r="DY121" i="1"/>
  <c r="DY157" i="1" s="1"/>
  <c r="DX121" i="1"/>
  <c r="DX157" i="1" s="1"/>
  <c r="DW121" i="1"/>
  <c r="DW157" i="1" s="1"/>
  <c r="DV121" i="1"/>
  <c r="DV157" i="1" s="1"/>
  <c r="DU121" i="1"/>
  <c r="DU157" i="1" s="1"/>
  <c r="DT121" i="1"/>
  <c r="DT157" i="1" s="1"/>
  <c r="DS121" i="1"/>
  <c r="DS157" i="1" s="1"/>
  <c r="DR121" i="1"/>
  <c r="DR157" i="1" s="1"/>
  <c r="DQ121" i="1"/>
  <c r="DQ157" i="1" s="1"/>
  <c r="DP121" i="1"/>
  <c r="DP157" i="1" s="1"/>
  <c r="DO121" i="1"/>
  <c r="DO157" i="1" s="1"/>
  <c r="DN121" i="1"/>
  <c r="DN157" i="1" s="1"/>
  <c r="DM121" i="1"/>
  <c r="DM157" i="1" s="1"/>
  <c r="DL121" i="1"/>
  <c r="DL157" i="1" s="1"/>
  <c r="DK121" i="1"/>
  <c r="DK157" i="1" s="1"/>
  <c r="DJ121" i="1"/>
  <c r="DJ157" i="1" s="1"/>
  <c r="DI121" i="1"/>
  <c r="DI157" i="1" s="1"/>
  <c r="DH121" i="1"/>
  <c r="DH157" i="1" s="1"/>
  <c r="DG121" i="1"/>
  <c r="DG157" i="1" s="1"/>
  <c r="DF121" i="1"/>
  <c r="DF157" i="1" s="1"/>
  <c r="DE121" i="1"/>
  <c r="DE157" i="1" s="1"/>
  <c r="DD121" i="1"/>
  <c r="DD157" i="1" s="1"/>
  <c r="DC121" i="1"/>
  <c r="DC157" i="1" s="1"/>
  <c r="HC120" i="1"/>
  <c r="HC156" i="1" s="1"/>
  <c r="HB120" i="1"/>
  <c r="HB156" i="1" s="1"/>
  <c r="HA120" i="1"/>
  <c r="HA156" i="1" s="1"/>
  <c r="GZ120" i="1"/>
  <c r="GZ156" i="1" s="1"/>
  <c r="GY120" i="1"/>
  <c r="GY156" i="1" s="1"/>
  <c r="GX120" i="1"/>
  <c r="GX156" i="1" s="1"/>
  <c r="GW120" i="1"/>
  <c r="GV120" i="1"/>
  <c r="GV156" i="1" s="1"/>
  <c r="GU120" i="1"/>
  <c r="GU156" i="1" s="1"/>
  <c r="GT120" i="1"/>
  <c r="GT156" i="1" s="1"/>
  <c r="GS120" i="1"/>
  <c r="GS156" i="1" s="1"/>
  <c r="GR120" i="1"/>
  <c r="GR156" i="1" s="1"/>
  <c r="GQ120" i="1"/>
  <c r="GQ156" i="1" s="1"/>
  <c r="GP120" i="1"/>
  <c r="GP156" i="1" s="1"/>
  <c r="GO120" i="1"/>
  <c r="GO156" i="1" s="1"/>
  <c r="GN120" i="1"/>
  <c r="GN156" i="1" s="1"/>
  <c r="GM120" i="1"/>
  <c r="GM156" i="1" s="1"/>
  <c r="GL120" i="1"/>
  <c r="GL156" i="1" s="1"/>
  <c r="GK120" i="1"/>
  <c r="GK156" i="1" s="1"/>
  <c r="GJ120" i="1"/>
  <c r="GJ156" i="1" s="1"/>
  <c r="GI120" i="1"/>
  <c r="GI156" i="1" s="1"/>
  <c r="GH120" i="1"/>
  <c r="GH156" i="1" s="1"/>
  <c r="GG120" i="1"/>
  <c r="GG156" i="1" s="1"/>
  <c r="GF120" i="1"/>
  <c r="GF156" i="1" s="1"/>
  <c r="GE120" i="1"/>
  <c r="GE156" i="1" s="1"/>
  <c r="GD120" i="1"/>
  <c r="GD156" i="1" s="1"/>
  <c r="GC120" i="1"/>
  <c r="GC156" i="1" s="1"/>
  <c r="GB120" i="1"/>
  <c r="GB156" i="1" s="1"/>
  <c r="GA120" i="1"/>
  <c r="GA156" i="1" s="1"/>
  <c r="FZ120" i="1"/>
  <c r="FY120" i="1"/>
  <c r="FY156" i="1" s="1"/>
  <c r="FX120" i="1"/>
  <c r="FX156" i="1" s="1"/>
  <c r="FW120" i="1"/>
  <c r="FW156" i="1" s="1"/>
  <c r="FV120" i="1"/>
  <c r="FV156" i="1" s="1"/>
  <c r="FU120" i="1"/>
  <c r="FU156" i="1" s="1"/>
  <c r="FT120" i="1"/>
  <c r="FT156" i="1" s="1"/>
  <c r="FS120" i="1"/>
  <c r="FS156" i="1" s="1"/>
  <c r="FR120" i="1"/>
  <c r="FR156" i="1" s="1"/>
  <c r="FQ120" i="1"/>
  <c r="FQ156" i="1" s="1"/>
  <c r="FP120" i="1"/>
  <c r="FP156" i="1" s="1"/>
  <c r="FO120" i="1"/>
  <c r="FO156" i="1" s="1"/>
  <c r="FN120" i="1"/>
  <c r="FN156" i="1" s="1"/>
  <c r="FM120" i="1"/>
  <c r="FM156" i="1" s="1"/>
  <c r="FL120" i="1"/>
  <c r="FL156" i="1" s="1"/>
  <c r="FK120" i="1"/>
  <c r="FK156" i="1" s="1"/>
  <c r="FJ120" i="1"/>
  <c r="FJ156" i="1" s="1"/>
  <c r="FI120" i="1"/>
  <c r="FI156" i="1" s="1"/>
  <c r="FH120" i="1"/>
  <c r="FH156" i="1" s="1"/>
  <c r="FG120" i="1"/>
  <c r="FG156" i="1" s="1"/>
  <c r="FF120" i="1"/>
  <c r="FF156" i="1" s="1"/>
  <c r="FE120" i="1"/>
  <c r="FE156" i="1" s="1"/>
  <c r="FD120" i="1"/>
  <c r="FD156" i="1" s="1"/>
  <c r="FC120" i="1"/>
  <c r="FC156" i="1" s="1"/>
  <c r="FB120" i="1"/>
  <c r="FA120" i="1"/>
  <c r="FA156" i="1" s="1"/>
  <c r="EZ120" i="1"/>
  <c r="EZ156" i="1" s="1"/>
  <c r="EY120" i="1"/>
  <c r="EY156" i="1" s="1"/>
  <c r="EX120" i="1"/>
  <c r="EX156" i="1" s="1"/>
  <c r="EW120" i="1"/>
  <c r="EW156" i="1" s="1"/>
  <c r="EV120" i="1"/>
  <c r="EV156" i="1" s="1"/>
  <c r="EU120" i="1"/>
  <c r="EU156" i="1" s="1"/>
  <c r="ET120" i="1"/>
  <c r="ET156" i="1" s="1"/>
  <c r="ES120" i="1"/>
  <c r="ES156" i="1" s="1"/>
  <c r="ER120" i="1"/>
  <c r="ER156" i="1" s="1"/>
  <c r="EQ120" i="1"/>
  <c r="EQ156" i="1" s="1"/>
  <c r="EP120" i="1"/>
  <c r="EP156" i="1" s="1"/>
  <c r="EO120" i="1"/>
  <c r="EO156" i="1" s="1"/>
  <c r="EN120" i="1"/>
  <c r="EN156" i="1" s="1"/>
  <c r="EM120" i="1"/>
  <c r="EM156" i="1" s="1"/>
  <c r="EL120" i="1"/>
  <c r="EL156" i="1" s="1"/>
  <c r="EK120" i="1"/>
  <c r="EK156" i="1" s="1"/>
  <c r="EJ120" i="1"/>
  <c r="EJ156" i="1" s="1"/>
  <c r="EI120" i="1"/>
  <c r="EI156" i="1" s="1"/>
  <c r="EH120" i="1"/>
  <c r="EH156" i="1" s="1"/>
  <c r="EG120" i="1"/>
  <c r="EG156" i="1" s="1"/>
  <c r="EF120" i="1"/>
  <c r="EE120" i="1"/>
  <c r="EE156" i="1" s="1"/>
  <c r="ED120" i="1"/>
  <c r="ED156" i="1" s="1"/>
  <c r="EC120" i="1"/>
  <c r="EC156" i="1" s="1"/>
  <c r="EB120" i="1"/>
  <c r="EB156" i="1" s="1"/>
  <c r="EA120" i="1"/>
  <c r="EA156" i="1" s="1"/>
  <c r="DZ120" i="1"/>
  <c r="DZ156" i="1" s="1"/>
  <c r="DY120" i="1"/>
  <c r="DY156" i="1" s="1"/>
  <c r="DX120" i="1"/>
  <c r="DX156" i="1" s="1"/>
  <c r="DW120" i="1"/>
  <c r="DW156" i="1" s="1"/>
  <c r="DV120" i="1"/>
  <c r="DV156" i="1" s="1"/>
  <c r="DU120" i="1"/>
  <c r="DU156" i="1" s="1"/>
  <c r="DT120" i="1"/>
  <c r="DT156" i="1" s="1"/>
  <c r="DS120" i="1"/>
  <c r="DS156" i="1" s="1"/>
  <c r="DR120" i="1"/>
  <c r="DR156" i="1" s="1"/>
  <c r="DQ120" i="1"/>
  <c r="DQ156" i="1" s="1"/>
  <c r="DP120" i="1"/>
  <c r="DP156" i="1" s="1"/>
  <c r="DO120" i="1"/>
  <c r="DO156" i="1" s="1"/>
  <c r="DN120" i="1"/>
  <c r="DN156" i="1" s="1"/>
  <c r="DM120" i="1"/>
  <c r="DM156" i="1" s="1"/>
  <c r="DL120" i="1"/>
  <c r="DL156" i="1" s="1"/>
  <c r="DK120" i="1"/>
  <c r="DK156" i="1" s="1"/>
  <c r="DJ120" i="1"/>
  <c r="DI120" i="1"/>
  <c r="DI156" i="1" s="1"/>
  <c r="DH120" i="1"/>
  <c r="DH156" i="1" s="1"/>
  <c r="DG120" i="1"/>
  <c r="DG156" i="1" s="1"/>
  <c r="DF120" i="1"/>
  <c r="DF156" i="1" s="1"/>
  <c r="DE120" i="1"/>
  <c r="DE156" i="1" s="1"/>
  <c r="DD120" i="1"/>
  <c r="DD156" i="1" s="1"/>
  <c r="DC120" i="1"/>
  <c r="DC156" i="1" s="1"/>
  <c r="HC119" i="1"/>
  <c r="HC155" i="1" s="1"/>
  <c r="HB119" i="1"/>
  <c r="HB155" i="1" s="1"/>
  <c r="HA119" i="1"/>
  <c r="HA155" i="1" s="1"/>
  <c r="GZ119" i="1"/>
  <c r="GZ155" i="1" s="1"/>
  <c r="GY119" i="1"/>
  <c r="GY155" i="1" s="1"/>
  <c r="GX119" i="1"/>
  <c r="GX155" i="1" s="1"/>
  <c r="GW119" i="1"/>
  <c r="GW155" i="1" s="1"/>
  <c r="GV119" i="1"/>
  <c r="GV155" i="1" s="1"/>
  <c r="GU119" i="1"/>
  <c r="GU155" i="1" s="1"/>
  <c r="GT119" i="1"/>
  <c r="GT155" i="1" s="1"/>
  <c r="GS119" i="1"/>
  <c r="GS155" i="1" s="1"/>
  <c r="GR119" i="1"/>
  <c r="GR155" i="1" s="1"/>
  <c r="GQ119" i="1"/>
  <c r="GQ155" i="1" s="1"/>
  <c r="GP119" i="1"/>
  <c r="GP155" i="1" s="1"/>
  <c r="GO119" i="1"/>
  <c r="GN119" i="1"/>
  <c r="GN155" i="1" s="1"/>
  <c r="GM119" i="1"/>
  <c r="GM155" i="1" s="1"/>
  <c r="GL119" i="1"/>
  <c r="GL155" i="1" s="1"/>
  <c r="GK119" i="1"/>
  <c r="GK155" i="1" s="1"/>
  <c r="GJ119" i="1"/>
  <c r="GJ155" i="1" s="1"/>
  <c r="GI119" i="1"/>
  <c r="GI155" i="1" s="1"/>
  <c r="GH119" i="1"/>
  <c r="GH155" i="1" s="1"/>
  <c r="GG119" i="1"/>
  <c r="GG155" i="1" s="1"/>
  <c r="GF119" i="1"/>
  <c r="GF155" i="1" s="1"/>
  <c r="GE119" i="1"/>
  <c r="GE155" i="1" s="1"/>
  <c r="GD119" i="1"/>
  <c r="GD155" i="1" s="1"/>
  <c r="GC119" i="1"/>
  <c r="GC155" i="1" s="1"/>
  <c r="GB119" i="1"/>
  <c r="GB155" i="1" s="1"/>
  <c r="GA119" i="1"/>
  <c r="GA155" i="1" s="1"/>
  <c r="FZ119" i="1"/>
  <c r="FZ155" i="1" s="1"/>
  <c r="FY119" i="1"/>
  <c r="FY155" i="1" s="1"/>
  <c r="FX119" i="1"/>
  <c r="FX155" i="1" s="1"/>
  <c r="FW119" i="1"/>
  <c r="FW155" i="1" s="1"/>
  <c r="FV119" i="1"/>
  <c r="FV155" i="1" s="1"/>
  <c r="FU119" i="1"/>
  <c r="FU155" i="1" s="1"/>
  <c r="FT119" i="1"/>
  <c r="FS119" i="1"/>
  <c r="FS155" i="1" s="1"/>
  <c r="FR119" i="1"/>
  <c r="FR155" i="1" s="1"/>
  <c r="FQ119" i="1"/>
  <c r="FQ155" i="1" s="1"/>
  <c r="FP119" i="1"/>
  <c r="FP155" i="1" s="1"/>
  <c r="FO119" i="1"/>
  <c r="FO155" i="1" s="1"/>
  <c r="FN119" i="1"/>
  <c r="FN155" i="1" s="1"/>
  <c r="FM119" i="1"/>
  <c r="FM155" i="1" s="1"/>
  <c r="FL119" i="1"/>
  <c r="FL155" i="1" s="1"/>
  <c r="FK119" i="1"/>
  <c r="FK155" i="1" s="1"/>
  <c r="FJ119" i="1"/>
  <c r="FJ155" i="1" s="1"/>
  <c r="FI119" i="1"/>
  <c r="FI155" i="1" s="1"/>
  <c r="FH119" i="1"/>
  <c r="FH155" i="1" s="1"/>
  <c r="FG119" i="1"/>
  <c r="FG155" i="1" s="1"/>
  <c r="FF119" i="1"/>
  <c r="FF155" i="1" s="1"/>
  <c r="FE119" i="1"/>
  <c r="FE155" i="1" s="1"/>
  <c r="FD119" i="1"/>
  <c r="FD155" i="1" s="1"/>
  <c r="FC119" i="1"/>
  <c r="FC155" i="1" s="1"/>
  <c r="FB119" i="1"/>
  <c r="FB155" i="1" s="1"/>
  <c r="FA119" i="1"/>
  <c r="EZ119" i="1"/>
  <c r="EZ155" i="1" s="1"/>
  <c r="EY119" i="1"/>
  <c r="EY155" i="1" s="1"/>
  <c r="EX119" i="1"/>
  <c r="EX155" i="1" s="1"/>
  <c r="EW119" i="1"/>
  <c r="EW155" i="1" s="1"/>
  <c r="EV119" i="1"/>
  <c r="EV155" i="1" s="1"/>
  <c r="EU119" i="1"/>
  <c r="EU155" i="1" s="1"/>
  <c r="ET119" i="1"/>
  <c r="ET155" i="1" s="1"/>
  <c r="ES119" i="1"/>
  <c r="ES155" i="1" s="1"/>
  <c r="ER119" i="1"/>
  <c r="ER155" i="1" s="1"/>
  <c r="EQ119" i="1"/>
  <c r="EQ155" i="1" s="1"/>
  <c r="EP119" i="1"/>
  <c r="EP155" i="1" s="1"/>
  <c r="EO119" i="1"/>
  <c r="EO155" i="1" s="1"/>
  <c r="EN119" i="1"/>
  <c r="EN155" i="1" s="1"/>
  <c r="EM119" i="1"/>
  <c r="EM155" i="1" s="1"/>
  <c r="EL119" i="1"/>
  <c r="EL155" i="1" s="1"/>
  <c r="EK119" i="1"/>
  <c r="EK155" i="1" s="1"/>
  <c r="EJ119" i="1"/>
  <c r="EJ155" i="1" s="1"/>
  <c r="EI119" i="1"/>
  <c r="EI155" i="1" s="1"/>
  <c r="EH119" i="1"/>
  <c r="EH155" i="1" s="1"/>
  <c r="EG119" i="1"/>
  <c r="EG155" i="1" s="1"/>
  <c r="EF119" i="1"/>
  <c r="EE119" i="1"/>
  <c r="EE155" i="1" s="1"/>
  <c r="ED119" i="1"/>
  <c r="ED155" i="1" s="1"/>
  <c r="EC119" i="1"/>
  <c r="EC155" i="1" s="1"/>
  <c r="EB119" i="1"/>
  <c r="EB155" i="1" s="1"/>
  <c r="EA119" i="1"/>
  <c r="EA155" i="1" s="1"/>
  <c r="DZ119" i="1"/>
  <c r="DZ155" i="1" s="1"/>
  <c r="DY119" i="1"/>
  <c r="DY155" i="1" s="1"/>
  <c r="DX119" i="1"/>
  <c r="DX155" i="1" s="1"/>
  <c r="DW119" i="1"/>
  <c r="DW155" i="1" s="1"/>
  <c r="DV119" i="1"/>
  <c r="DV155" i="1" s="1"/>
  <c r="DU119" i="1"/>
  <c r="DU155" i="1" s="1"/>
  <c r="DT119" i="1"/>
  <c r="DT155" i="1" s="1"/>
  <c r="DS119" i="1"/>
  <c r="DS155" i="1" s="1"/>
  <c r="DR119" i="1"/>
  <c r="DR155" i="1" s="1"/>
  <c r="DQ119" i="1"/>
  <c r="DQ155" i="1" s="1"/>
  <c r="DP119" i="1"/>
  <c r="DP155" i="1" s="1"/>
  <c r="DO119" i="1"/>
  <c r="DO155" i="1" s="1"/>
  <c r="DN119" i="1"/>
  <c r="DN155" i="1" s="1"/>
  <c r="DM119" i="1"/>
  <c r="DM155" i="1" s="1"/>
  <c r="DL119" i="1"/>
  <c r="DL155" i="1" s="1"/>
  <c r="DK119" i="1"/>
  <c r="DK155" i="1" s="1"/>
  <c r="DJ119" i="1"/>
  <c r="DJ155" i="1" s="1"/>
  <c r="DI119" i="1"/>
  <c r="DI155" i="1" s="1"/>
  <c r="DH119" i="1"/>
  <c r="DH155" i="1" s="1"/>
  <c r="DG119" i="1"/>
  <c r="DG155" i="1" s="1"/>
  <c r="DF119" i="1"/>
  <c r="DF155" i="1" s="1"/>
  <c r="DE119" i="1"/>
  <c r="DE155" i="1" s="1"/>
  <c r="DD119" i="1"/>
  <c r="DD155" i="1" s="1"/>
  <c r="DC119" i="1"/>
  <c r="DC155" i="1" s="1"/>
  <c r="HC118" i="1"/>
  <c r="HC154" i="1" s="1"/>
  <c r="HB118" i="1"/>
  <c r="HB154" i="1" s="1"/>
  <c r="HA118" i="1"/>
  <c r="HA154" i="1" s="1"/>
  <c r="GZ118" i="1"/>
  <c r="GZ154" i="1" s="1"/>
  <c r="GY118" i="1"/>
  <c r="GY154" i="1" s="1"/>
  <c r="GX118" i="1"/>
  <c r="GX154" i="1" s="1"/>
  <c r="GW118" i="1"/>
  <c r="GW154" i="1" s="1"/>
  <c r="GV118" i="1"/>
  <c r="GV154" i="1" s="1"/>
  <c r="GU118" i="1"/>
  <c r="GU154" i="1" s="1"/>
  <c r="GT118" i="1"/>
  <c r="GT154" i="1" s="1"/>
  <c r="GS118" i="1"/>
  <c r="GS154" i="1" s="1"/>
  <c r="GR118" i="1"/>
  <c r="GR154" i="1" s="1"/>
  <c r="GQ118" i="1"/>
  <c r="GP118" i="1"/>
  <c r="GP154" i="1" s="1"/>
  <c r="GO118" i="1"/>
  <c r="GO154" i="1" s="1"/>
  <c r="GN118" i="1"/>
  <c r="GN154" i="1" s="1"/>
  <c r="GM118" i="1"/>
  <c r="GL118" i="1"/>
  <c r="GL154" i="1" s="1"/>
  <c r="GK118" i="1"/>
  <c r="GK154" i="1" s="1"/>
  <c r="GJ118" i="1"/>
  <c r="GJ154" i="1" s="1"/>
  <c r="GI118" i="1"/>
  <c r="GI154" i="1" s="1"/>
  <c r="GH118" i="1"/>
  <c r="GH154" i="1" s="1"/>
  <c r="GG118" i="1"/>
  <c r="GG154" i="1" s="1"/>
  <c r="GF118" i="1"/>
  <c r="GF154" i="1" s="1"/>
  <c r="GE118" i="1"/>
  <c r="GE154" i="1" s="1"/>
  <c r="GD118" i="1"/>
  <c r="GD154" i="1" s="1"/>
  <c r="GC118" i="1"/>
  <c r="GC154" i="1" s="1"/>
  <c r="GB118" i="1"/>
  <c r="GB154" i="1" s="1"/>
  <c r="GA118" i="1"/>
  <c r="GA154" i="1" s="1"/>
  <c r="FZ118" i="1"/>
  <c r="FZ154" i="1" s="1"/>
  <c r="FY118" i="1"/>
  <c r="FY154" i="1" s="1"/>
  <c r="FX118" i="1"/>
  <c r="FX154" i="1" s="1"/>
  <c r="FW118" i="1"/>
  <c r="FV118" i="1"/>
  <c r="FV154" i="1" s="1"/>
  <c r="FU118" i="1"/>
  <c r="FU154" i="1" s="1"/>
  <c r="FT118" i="1"/>
  <c r="FT154" i="1" s="1"/>
  <c r="FS118" i="1"/>
  <c r="FS154" i="1" s="1"/>
  <c r="FR118" i="1"/>
  <c r="FR154" i="1" s="1"/>
  <c r="FQ118" i="1"/>
  <c r="FQ154" i="1" s="1"/>
  <c r="FP118" i="1"/>
  <c r="FP154" i="1" s="1"/>
  <c r="FO118" i="1"/>
  <c r="FO154" i="1" s="1"/>
  <c r="FN118" i="1"/>
  <c r="FN154" i="1" s="1"/>
  <c r="FM118" i="1"/>
  <c r="FM154" i="1" s="1"/>
  <c r="FL118" i="1"/>
  <c r="FL154" i="1" s="1"/>
  <c r="FK118" i="1"/>
  <c r="FK154" i="1" s="1"/>
  <c r="FJ118" i="1"/>
  <c r="FJ154" i="1" s="1"/>
  <c r="FI118" i="1"/>
  <c r="FI154" i="1" s="1"/>
  <c r="FH118" i="1"/>
  <c r="FH154" i="1" s="1"/>
  <c r="FG118" i="1"/>
  <c r="FG154" i="1" s="1"/>
  <c r="FF118" i="1"/>
  <c r="FF154" i="1" s="1"/>
  <c r="FE118" i="1"/>
  <c r="FE154" i="1" s="1"/>
  <c r="FD118" i="1"/>
  <c r="FD154" i="1" s="1"/>
  <c r="FC118" i="1"/>
  <c r="FC154" i="1" s="1"/>
  <c r="FB118" i="1"/>
  <c r="FA118" i="1"/>
  <c r="FA154" i="1" s="1"/>
  <c r="EZ118" i="1"/>
  <c r="EZ154" i="1" s="1"/>
  <c r="EY118" i="1"/>
  <c r="EY154" i="1" s="1"/>
  <c r="EX118" i="1"/>
  <c r="EX154" i="1" s="1"/>
  <c r="EW118" i="1"/>
  <c r="EW154" i="1" s="1"/>
  <c r="EV118" i="1"/>
  <c r="EV154" i="1" s="1"/>
  <c r="EU118" i="1"/>
  <c r="EU154" i="1" s="1"/>
  <c r="ET118" i="1"/>
  <c r="ET154" i="1" s="1"/>
  <c r="ES118" i="1"/>
  <c r="ES154" i="1" s="1"/>
  <c r="ER118" i="1"/>
  <c r="ER154" i="1" s="1"/>
  <c r="EQ118" i="1"/>
  <c r="EQ154" i="1" s="1"/>
  <c r="EP118" i="1"/>
  <c r="EP154" i="1" s="1"/>
  <c r="EO118" i="1"/>
  <c r="EO154" i="1" s="1"/>
  <c r="EN118" i="1"/>
  <c r="EN154" i="1" s="1"/>
  <c r="EM118" i="1"/>
  <c r="EM154" i="1" s="1"/>
  <c r="EL118" i="1"/>
  <c r="EL154" i="1" s="1"/>
  <c r="EK118" i="1"/>
  <c r="EK154" i="1" s="1"/>
  <c r="EJ118" i="1"/>
  <c r="EJ154" i="1" s="1"/>
  <c r="EI118" i="1"/>
  <c r="EI154" i="1" s="1"/>
  <c r="EH118" i="1"/>
  <c r="EH154" i="1" s="1"/>
  <c r="EG118" i="1"/>
  <c r="EF118" i="1"/>
  <c r="EF154" i="1" s="1"/>
  <c r="EE118" i="1"/>
  <c r="EE154" i="1" s="1"/>
  <c r="ED118" i="1"/>
  <c r="ED154" i="1" s="1"/>
  <c r="EC118" i="1"/>
  <c r="EC154" i="1" s="1"/>
  <c r="EB118" i="1"/>
  <c r="EB154" i="1" s="1"/>
  <c r="EA118" i="1"/>
  <c r="EA154" i="1" s="1"/>
  <c r="DZ118" i="1"/>
  <c r="DZ154" i="1" s="1"/>
  <c r="DY118" i="1"/>
  <c r="DY154" i="1" s="1"/>
  <c r="DX118" i="1"/>
  <c r="DX154" i="1" s="1"/>
  <c r="DW118" i="1"/>
  <c r="DW154" i="1" s="1"/>
  <c r="DV118" i="1"/>
  <c r="DV154" i="1" s="1"/>
  <c r="DU118" i="1"/>
  <c r="DU154" i="1" s="1"/>
  <c r="DT118" i="1"/>
  <c r="DT154" i="1" s="1"/>
  <c r="DS118" i="1"/>
  <c r="DS154" i="1" s="1"/>
  <c r="DR118" i="1"/>
  <c r="DR154" i="1" s="1"/>
  <c r="DQ118" i="1"/>
  <c r="DQ154" i="1" s="1"/>
  <c r="DP118" i="1"/>
  <c r="DP154" i="1" s="1"/>
  <c r="DO118" i="1"/>
  <c r="DO154" i="1" s="1"/>
  <c r="DN118" i="1"/>
  <c r="DM118" i="1"/>
  <c r="DM154" i="1" s="1"/>
  <c r="DL118" i="1"/>
  <c r="DL154" i="1" s="1"/>
  <c r="DK118" i="1"/>
  <c r="DK154" i="1" s="1"/>
  <c r="DJ118" i="1"/>
  <c r="DJ154" i="1" s="1"/>
  <c r="DI118" i="1"/>
  <c r="DI154" i="1" s="1"/>
  <c r="DH118" i="1"/>
  <c r="DH154" i="1" s="1"/>
  <c r="DG118" i="1"/>
  <c r="DG154" i="1" s="1"/>
  <c r="DF118" i="1"/>
  <c r="DF154" i="1" s="1"/>
  <c r="DE118" i="1"/>
  <c r="DE154" i="1" s="1"/>
  <c r="DD118" i="1"/>
  <c r="DD154" i="1" s="1"/>
  <c r="DC118" i="1"/>
  <c r="DC154" i="1" s="1"/>
  <c r="HC117" i="1"/>
  <c r="HC153" i="1" s="1"/>
  <c r="HB117" i="1"/>
  <c r="HB153" i="1" s="1"/>
  <c r="HA117" i="1"/>
  <c r="HA153" i="1" s="1"/>
  <c r="GZ117" i="1"/>
  <c r="GZ153" i="1" s="1"/>
  <c r="GY117" i="1"/>
  <c r="GY153" i="1" s="1"/>
  <c r="GX117" i="1"/>
  <c r="GX153" i="1" s="1"/>
  <c r="GW117" i="1"/>
  <c r="GW153" i="1" s="1"/>
  <c r="GV117" i="1"/>
  <c r="GV153" i="1" s="1"/>
  <c r="GU117" i="1"/>
  <c r="GU153" i="1" s="1"/>
  <c r="GT117" i="1"/>
  <c r="GT153" i="1" s="1"/>
  <c r="GS117" i="1"/>
  <c r="GS153" i="1" s="1"/>
  <c r="GR117" i="1"/>
  <c r="GR153" i="1" s="1"/>
  <c r="GQ117" i="1"/>
  <c r="GQ153" i="1" s="1"/>
  <c r="GP117" i="1"/>
  <c r="GP153" i="1" s="1"/>
  <c r="GO117" i="1"/>
  <c r="GO153" i="1" s="1"/>
  <c r="GN117" i="1"/>
  <c r="GN153" i="1" s="1"/>
  <c r="GM117" i="1"/>
  <c r="GM153" i="1" s="1"/>
  <c r="GL117" i="1"/>
  <c r="GL153" i="1" s="1"/>
  <c r="GK117" i="1"/>
  <c r="GK153" i="1" s="1"/>
  <c r="GJ117" i="1"/>
  <c r="GJ153" i="1" s="1"/>
  <c r="GI117" i="1"/>
  <c r="GI153" i="1" s="1"/>
  <c r="GH117" i="1"/>
  <c r="GH153" i="1" s="1"/>
  <c r="GG117" i="1"/>
  <c r="GG153" i="1" s="1"/>
  <c r="GF117" i="1"/>
  <c r="GF153" i="1" s="1"/>
  <c r="GE117" i="1"/>
  <c r="GE153" i="1" s="1"/>
  <c r="GD117" i="1"/>
  <c r="GD153" i="1" s="1"/>
  <c r="GC117" i="1"/>
  <c r="GC153" i="1" s="1"/>
  <c r="GB117" i="1"/>
  <c r="GB153" i="1" s="1"/>
  <c r="GA117" i="1"/>
  <c r="GA153" i="1" s="1"/>
  <c r="FZ117" i="1"/>
  <c r="FZ153" i="1" s="1"/>
  <c r="FY117" i="1"/>
  <c r="FY153" i="1" s="1"/>
  <c r="FX117" i="1"/>
  <c r="FX153" i="1" s="1"/>
  <c r="FW117" i="1"/>
  <c r="FW153" i="1" s="1"/>
  <c r="FV117" i="1"/>
  <c r="FV153" i="1" s="1"/>
  <c r="FU117" i="1"/>
  <c r="FU153" i="1" s="1"/>
  <c r="FT117" i="1"/>
  <c r="FT153" i="1" s="1"/>
  <c r="FS117" i="1"/>
  <c r="FS153" i="1" s="1"/>
  <c r="FR117" i="1"/>
  <c r="FR153" i="1" s="1"/>
  <c r="FQ117" i="1"/>
  <c r="FQ153" i="1" s="1"/>
  <c r="FP117" i="1"/>
  <c r="FP153" i="1" s="1"/>
  <c r="FO117" i="1"/>
  <c r="FO153" i="1" s="1"/>
  <c r="FN117" i="1"/>
  <c r="FN153" i="1" s="1"/>
  <c r="FM117" i="1"/>
  <c r="FM153" i="1" s="1"/>
  <c r="FL117" i="1"/>
  <c r="FL153" i="1" s="1"/>
  <c r="FK117" i="1"/>
  <c r="FK153" i="1" s="1"/>
  <c r="FJ117" i="1"/>
  <c r="FJ153" i="1" s="1"/>
  <c r="FI117" i="1"/>
  <c r="FI153" i="1" s="1"/>
  <c r="FH117" i="1"/>
  <c r="FH153" i="1" s="1"/>
  <c r="FG117" i="1"/>
  <c r="FF117" i="1"/>
  <c r="FF153" i="1" s="1"/>
  <c r="FE117" i="1"/>
  <c r="FE153" i="1" s="1"/>
  <c r="FD117" i="1"/>
  <c r="FD153" i="1" s="1"/>
  <c r="FC117" i="1"/>
  <c r="FC153" i="1" s="1"/>
  <c r="FB117" i="1"/>
  <c r="FB153" i="1" s="1"/>
  <c r="FA117" i="1"/>
  <c r="FA153" i="1" s="1"/>
  <c r="EZ117" i="1"/>
  <c r="EZ153" i="1" s="1"/>
  <c r="EY117" i="1"/>
  <c r="EY153" i="1" s="1"/>
  <c r="EX117" i="1"/>
  <c r="EX153" i="1" s="1"/>
  <c r="EW117" i="1"/>
  <c r="EW153" i="1" s="1"/>
  <c r="EV117" i="1"/>
  <c r="EV153" i="1" s="1"/>
  <c r="EU117" i="1"/>
  <c r="EU153" i="1" s="1"/>
  <c r="ET117" i="1"/>
  <c r="ES117" i="1"/>
  <c r="ES153" i="1" s="1"/>
  <c r="ER117" i="1"/>
  <c r="ER153" i="1" s="1"/>
  <c r="EQ117" i="1"/>
  <c r="EQ153" i="1" s="1"/>
  <c r="EP117" i="1"/>
  <c r="EP153" i="1" s="1"/>
  <c r="EO117" i="1"/>
  <c r="EO153" i="1" s="1"/>
  <c r="EN117" i="1"/>
  <c r="EN153" i="1" s="1"/>
  <c r="EM117" i="1"/>
  <c r="EM153" i="1" s="1"/>
  <c r="EL117" i="1"/>
  <c r="EL153" i="1" s="1"/>
  <c r="EK117" i="1"/>
  <c r="EK153" i="1" s="1"/>
  <c r="EJ117" i="1"/>
  <c r="EJ153" i="1" s="1"/>
  <c r="EI117" i="1"/>
  <c r="EI153" i="1" s="1"/>
  <c r="EH117" i="1"/>
  <c r="EH153" i="1" s="1"/>
  <c r="EG117" i="1"/>
  <c r="EF117" i="1"/>
  <c r="EF153" i="1" s="1"/>
  <c r="EE117" i="1"/>
  <c r="EE153" i="1" s="1"/>
  <c r="ED117" i="1"/>
  <c r="ED153" i="1" s="1"/>
  <c r="EC117" i="1"/>
  <c r="EC153" i="1" s="1"/>
  <c r="EB117" i="1"/>
  <c r="EB153" i="1" s="1"/>
  <c r="EA117" i="1"/>
  <c r="EA153" i="1" s="1"/>
  <c r="DZ117" i="1"/>
  <c r="DZ153" i="1" s="1"/>
  <c r="DY117" i="1"/>
  <c r="DY153" i="1" s="1"/>
  <c r="DX117" i="1"/>
  <c r="DX153" i="1" s="1"/>
  <c r="DW117" i="1"/>
  <c r="DW153" i="1" s="1"/>
  <c r="DV117" i="1"/>
  <c r="DV153" i="1" s="1"/>
  <c r="DU117" i="1"/>
  <c r="DU153" i="1" s="1"/>
  <c r="DT117" i="1"/>
  <c r="DS117" i="1"/>
  <c r="DS153" i="1" s="1"/>
  <c r="DR117" i="1"/>
  <c r="DR153" i="1" s="1"/>
  <c r="DQ117" i="1"/>
  <c r="DQ153" i="1" s="1"/>
  <c r="DP117" i="1"/>
  <c r="DP153" i="1" s="1"/>
  <c r="DO117" i="1"/>
  <c r="DO153" i="1" s="1"/>
  <c r="DN117" i="1"/>
  <c r="DN153" i="1" s="1"/>
  <c r="DM117" i="1"/>
  <c r="DM153" i="1" s="1"/>
  <c r="DL117" i="1"/>
  <c r="DL153" i="1" s="1"/>
  <c r="DK117" i="1"/>
  <c r="DK153" i="1" s="1"/>
  <c r="DJ117" i="1"/>
  <c r="DJ153" i="1" s="1"/>
  <c r="DI117" i="1"/>
  <c r="DI153" i="1" s="1"/>
  <c r="DH117" i="1"/>
  <c r="DH153" i="1" s="1"/>
  <c r="DG117" i="1"/>
  <c r="DF117" i="1"/>
  <c r="DF153" i="1" s="1"/>
  <c r="DE117" i="1"/>
  <c r="DE153" i="1" s="1"/>
  <c r="DD117" i="1"/>
  <c r="DD153" i="1" s="1"/>
  <c r="DC117" i="1"/>
  <c r="DC153" i="1" s="1"/>
  <c r="HC116" i="1"/>
  <c r="HC152" i="1" s="1"/>
  <c r="HB116" i="1"/>
  <c r="HB152" i="1" s="1"/>
  <c r="HA116" i="1"/>
  <c r="HA152" i="1" s="1"/>
  <c r="GZ116" i="1"/>
  <c r="GZ152" i="1" s="1"/>
  <c r="GY116" i="1"/>
  <c r="GY152" i="1" s="1"/>
  <c r="GX116" i="1"/>
  <c r="GX152" i="1" s="1"/>
  <c r="GW116" i="1"/>
  <c r="GW152" i="1" s="1"/>
  <c r="GV116" i="1"/>
  <c r="GV152" i="1" s="1"/>
  <c r="GU116" i="1"/>
  <c r="GT116" i="1"/>
  <c r="GT152" i="1" s="1"/>
  <c r="GS116" i="1"/>
  <c r="GS152" i="1" s="1"/>
  <c r="GR116" i="1"/>
  <c r="GR152" i="1" s="1"/>
  <c r="GQ116" i="1"/>
  <c r="GQ152" i="1" s="1"/>
  <c r="GP116" i="1"/>
  <c r="GP152" i="1" s="1"/>
  <c r="GO116" i="1"/>
  <c r="GO152" i="1" s="1"/>
  <c r="GN116" i="1"/>
  <c r="GN152" i="1" s="1"/>
  <c r="GM116" i="1"/>
  <c r="GM152" i="1" s="1"/>
  <c r="GL116" i="1"/>
  <c r="GL152" i="1" s="1"/>
  <c r="GK116" i="1"/>
  <c r="GK152" i="1" s="1"/>
  <c r="GJ116" i="1"/>
  <c r="GJ152" i="1" s="1"/>
  <c r="GI116" i="1"/>
  <c r="GI152" i="1" s="1"/>
  <c r="GH116" i="1"/>
  <c r="GG116" i="1"/>
  <c r="GG152" i="1" s="1"/>
  <c r="GF116" i="1"/>
  <c r="GF152" i="1" s="1"/>
  <c r="GE116" i="1"/>
  <c r="GE152" i="1" s="1"/>
  <c r="GD116" i="1"/>
  <c r="GD152" i="1" s="1"/>
  <c r="GC116" i="1"/>
  <c r="GC152" i="1" s="1"/>
  <c r="GB116" i="1"/>
  <c r="GB152" i="1" s="1"/>
  <c r="GA116" i="1"/>
  <c r="GA152" i="1" s="1"/>
  <c r="FZ116" i="1"/>
  <c r="FZ152" i="1" s="1"/>
  <c r="FY116" i="1"/>
  <c r="FY152" i="1" s="1"/>
  <c r="FX116" i="1"/>
  <c r="FX152" i="1" s="1"/>
  <c r="FW116" i="1"/>
  <c r="FW152" i="1" s="1"/>
  <c r="FV116" i="1"/>
  <c r="FV152" i="1" s="1"/>
  <c r="FU116" i="1"/>
  <c r="FU152" i="1" s="1"/>
  <c r="FT116" i="1"/>
  <c r="FT152" i="1" s="1"/>
  <c r="FS116" i="1"/>
  <c r="FS152" i="1" s="1"/>
  <c r="FR116" i="1"/>
  <c r="FR152" i="1" s="1"/>
  <c r="FQ116" i="1"/>
  <c r="FQ152" i="1" s="1"/>
  <c r="FP116" i="1"/>
  <c r="FP152" i="1" s="1"/>
  <c r="FO116" i="1"/>
  <c r="FO152" i="1" s="1"/>
  <c r="FN116" i="1"/>
  <c r="FN152" i="1" s="1"/>
  <c r="FM116" i="1"/>
  <c r="FM152" i="1" s="1"/>
  <c r="FL116" i="1"/>
  <c r="FL152" i="1" s="1"/>
  <c r="FK116" i="1"/>
  <c r="FK152" i="1" s="1"/>
  <c r="FJ116" i="1"/>
  <c r="FJ152" i="1" s="1"/>
  <c r="FI116" i="1"/>
  <c r="FI152" i="1" s="1"/>
  <c r="FH116" i="1"/>
  <c r="FG116" i="1"/>
  <c r="FG152" i="1" s="1"/>
  <c r="FF116" i="1"/>
  <c r="FF152" i="1" s="1"/>
  <c r="FE116" i="1"/>
  <c r="FE152" i="1" s="1"/>
  <c r="FD116" i="1"/>
  <c r="FD152" i="1" s="1"/>
  <c r="FC116" i="1"/>
  <c r="FC152" i="1" s="1"/>
  <c r="FB116" i="1"/>
  <c r="FB152" i="1" s="1"/>
  <c r="FA116" i="1"/>
  <c r="FA152" i="1" s="1"/>
  <c r="EZ116" i="1"/>
  <c r="EZ152" i="1" s="1"/>
  <c r="EY116" i="1"/>
  <c r="EY152" i="1" s="1"/>
  <c r="EX116" i="1"/>
  <c r="EX152" i="1" s="1"/>
  <c r="EW116" i="1"/>
  <c r="EW152" i="1" s="1"/>
  <c r="EV116" i="1"/>
  <c r="EV152" i="1" s="1"/>
  <c r="EU116" i="1"/>
  <c r="EU152" i="1" s="1"/>
  <c r="ET116" i="1"/>
  <c r="ET152" i="1" s="1"/>
  <c r="ES116" i="1"/>
  <c r="ES152" i="1" s="1"/>
  <c r="ER116" i="1"/>
  <c r="ER152" i="1" s="1"/>
  <c r="EQ116" i="1"/>
  <c r="EQ152" i="1" s="1"/>
  <c r="EP116" i="1"/>
  <c r="EP152" i="1" s="1"/>
  <c r="EO116" i="1"/>
  <c r="EO152" i="1" s="1"/>
  <c r="EN116" i="1"/>
  <c r="EN152" i="1" s="1"/>
  <c r="EM116" i="1"/>
  <c r="EM152" i="1" s="1"/>
  <c r="EL116" i="1"/>
  <c r="EL152" i="1" s="1"/>
  <c r="EK116" i="1"/>
  <c r="EK152" i="1" s="1"/>
  <c r="EJ116" i="1"/>
  <c r="EJ152" i="1" s="1"/>
  <c r="EI116" i="1"/>
  <c r="EI152" i="1" s="1"/>
  <c r="EH116" i="1"/>
  <c r="EH152" i="1" s="1"/>
  <c r="EG116" i="1"/>
  <c r="EF116" i="1"/>
  <c r="EF152" i="1" s="1"/>
  <c r="EE116" i="1"/>
  <c r="EE152" i="1" s="1"/>
  <c r="ED116" i="1"/>
  <c r="ED152" i="1" s="1"/>
  <c r="EC116" i="1"/>
  <c r="EC152" i="1" s="1"/>
  <c r="EB116" i="1"/>
  <c r="EB152" i="1" s="1"/>
  <c r="EA116" i="1"/>
  <c r="EA152" i="1" s="1"/>
  <c r="DZ116" i="1"/>
  <c r="DZ152" i="1" s="1"/>
  <c r="DY116" i="1"/>
  <c r="DY152" i="1" s="1"/>
  <c r="DX116" i="1"/>
  <c r="DX152" i="1" s="1"/>
  <c r="DW116" i="1"/>
  <c r="DW152" i="1" s="1"/>
  <c r="DV116" i="1"/>
  <c r="DV152" i="1" s="1"/>
  <c r="DU116" i="1"/>
  <c r="DU152" i="1" s="1"/>
  <c r="DT116" i="1"/>
  <c r="DS116" i="1"/>
  <c r="DS152" i="1" s="1"/>
  <c r="DR116" i="1"/>
  <c r="DR152" i="1" s="1"/>
  <c r="DQ116" i="1"/>
  <c r="DQ152" i="1" s="1"/>
  <c r="DP116" i="1"/>
  <c r="DP152" i="1" s="1"/>
  <c r="DO116" i="1"/>
  <c r="DO152" i="1" s="1"/>
  <c r="DN116" i="1"/>
  <c r="DN152" i="1" s="1"/>
  <c r="DM116" i="1"/>
  <c r="DM152" i="1" s="1"/>
  <c r="DL116" i="1"/>
  <c r="DL152" i="1" s="1"/>
  <c r="DK116" i="1"/>
  <c r="DK152" i="1" s="1"/>
  <c r="DJ116" i="1"/>
  <c r="DJ152" i="1" s="1"/>
  <c r="DI116" i="1"/>
  <c r="DI152" i="1" s="1"/>
  <c r="DH116" i="1"/>
  <c r="DH152" i="1" s="1"/>
  <c r="DG116" i="1"/>
  <c r="DF116" i="1"/>
  <c r="DF152" i="1" s="1"/>
  <c r="DE116" i="1"/>
  <c r="DE152" i="1" s="1"/>
  <c r="DD116" i="1"/>
  <c r="DD152" i="1" s="1"/>
  <c r="DC116" i="1"/>
  <c r="DC152" i="1" s="1"/>
  <c r="HC115" i="1"/>
  <c r="HC151" i="1" s="1"/>
  <c r="HB115" i="1"/>
  <c r="HA115" i="1"/>
  <c r="HA151" i="1" s="1"/>
  <c r="GZ115" i="1"/>
  <c r="GY115" i="1"/>
  <c r="GY151" i="1" s="1"/>
  <c r="GX115" i="1"/>
  <c r="GX151" i="1" s="1"/>
  <c r="GW115" i="1"/>
  <c r="GW146" i="1" s="1"/>
  <c r="GV115" i="1"/>
  <c r="GU115" i="1"/>
  <c r="GU146" i="1" s="1"/>
  <c r="GT115" i="1"/>
  <c r="GS115" i="1"/>
  <c r="GS151" i="1" s="1"/>
  <c r="GR115" i="1"/>
  <c r="GR151" i="1" s="1"/>
  <c r="GR182" i="1" s="1"/>
  <c r="GQ115" i="1"/>
  <c r="GQ151" i="1" s="1"/>
  <c r="GP115" i="1"/>
  <c r="GO115" i="1"/>
  <c r="GO151" i="1" s="1"/>
  <c r="GN115" i="1"/>
  <c r="GM115" i="1"/>
  <c r="GM151" i="1" s="1"/>
  <c r="GL115" i="1"/>
  <c r="GL151" i="1" s="1"/>
  <c r="GK115" i="1"/>
  <c r="GK146" i="1" s="1"/>
  <c r="GJ115" i="1"/>
  <c r="GI115" i="1"/>
  <c r="GI146" i="1" s="1"/>
  <c r="GH115" i="1"/>
  <c r="GG115" i="1"/>
  <c r="GF115" i="1"/>
  <c r="GF151" i="1" s="1"/>
  <c r="GF182" i="1" s="1"/>
  <c r="GE115" i="1"/>
  <c r="GE151" i="1" s="1"/>
  <c r="GD115" i="1"/>
  <c r="GC115" i="1"/>
  <c r="GC151" i="1" s="1"/>
  <c r="GB115" i="1"/>
  <c r="GA115" i="1"/>
  <c r="GA151" i="1" s="1"/>
  <c r="FZ115" i="1"/>
  <c r="FZ151" i="1" s="1"/>
  <c r="FY115" i="1"/>
  <c r="FY146" i="1" s="1"/>
  <c r="FX115" i="1"/>
  <c r="FW115" i="1"/>
  <c r="FW146" i="1" s="1"/>
  <c r="FV115" i="1"/>
  <c r="FU115" i="1"/>
  <c r="FT115" i="1"/>
  <c r="FT146" i="1" s="1"/>
  <c r="FS115" i="1"/>
  <c r="FS151" i="1" s="1"/>
  <c r="FR115" i="1"/>
  <c r="FQ115" i="1"/>
  <c r="FQ151" i="1" s="1"/>
  <c r="FP115" i="1"/>
  <c r="FO115" i="1"/>
  <c r="FO151" i="1" s="1"/>
  <c r="FN115" i="1"/>
  <c r="FN151" i="1" s="1"/>
  <c r="FM115" i="1"/>
  <c r="FM146" i="1" s="1"/>
  <c r="FL115" i="1"/>
  <c r="FK115" i="1"/>
  <c r="FK146" i="1" s="1"/>
  <c r="FJ115" i="1"/>
  <c r="FI115" i="1"/>
  <c r="FH115" i="1"/>
  <c r="FH146" i="1" s="1"/>
  <c r="FG115" i="1"/>
  <c r="FF115" i="1"/>
  <c r="FE115" i="1"/>
  <c r="FE151" i="1" s="1"/>
  <c r="FD115" i="1"/>
  <c r="FC115" i="1"/>
  <c r="FC151" i="1" s="1"/>
  <c r="FB115" i="1"/>
  <c r="FB151" i="1" s="1"/>
  <c r="FA115" i="1"/>
  <c r="FA146" i="1" s="1"/>
  <c r="EZ115" i="1"/>
  <c r="EY115" i="1"/>
  <c r="EY146" i="1" s="1"/>
  <c r="EX115" i="1"/>
  <c r="EW115" i="1"/>
  <c r="EV115" i="1"/>
  <c r="EV146" i="1" s="1"/>
  <c r="EU115" i="1"/>
  <c r="ET115" i="1"/>
  <c r="ES115" i="1"/>
  <c r="ES151" i="1" s="1"/>
  <c r="ER115" i="1"/>
  <c r="EQ115" i="1"/>
  <c r="EQ151" i="1" s="1"/>
  <c r="EP115" i="1"/>
  <c r="EP151" i="1" s="1"/>
  <c r="EO115" i="1"/>
  <c r="EO146" i="1" s="1"/>
  <c r="EN115" i="1"/>
  <c r="EM115" i="1"/>
  <c r="EM146" i="1" s="1"/>
  <c r="EL115" i="1"/>
  <c r="EK115" i="1"/>
  <c r="EJ115" i="1"/>
  <c r="EJ146" i="1" s="1"/>
  <c r="EI115" i="1"/>
  <c r="EH115" i="1"/>
  <c r="EG115" i="1"/>
  <c r="EG146" i="1" s="1"/>
  <c r="EF115" i="1"/>
  <c r="EE115" i="1"/>
  <c r="EE151" i="1" s="1"/>
  <c r="ED115" i="1"/>
  <c r="ED151" i="1" s="1"/>
  <c r="EC115" i="1"/>
  <c r="EC146" i="1" s="1"/>
  <c r="EB115" i="1"/>
  <c r="EA115" i="1"/>
  <c r="EA146" i="1" s="1"/>
  <c r="DZ115" i="1"/>
  <c r="DY115" i="1"/>
  <c r="DX115" i="1"/>
  <c r="DX146" i="1" s="1"/>
  <c r="DW115" i="1"/>
  <c r="DV115" i="1"/>
  <c r="DU115" i="1"/>
  <c r="DU146" i="1" s="1"/>
  <c r="DT115" i="1"/>
  <c r="DS115" i="1"/>
  <c r="DS151" i="1" s="1"/>
  <c r="DR115" i="1"/>
  <c r="DR151" i="1" s="1"/>
  <c r="DQ115" i="1"/>
  <c r="DQ146" i="1" s="1"/>
  <c r="DP115" i="1"/>
  <c r="DO115" i="1"/>
  <c r="DO146" i="1" s="1"/>
  <c r="DN115" i="1"/>
  <c r="DM115" i="1"/>
  <c r="DL115" i="1"/>
  <c r="DL146" i="1" s="1"/>
  <c r="DK115" i="1"/>
  <c r="DJ115" i="1"/>
  <c r="DJ146" i="1" s="1"/>
  <c r="DI115" i="1"/>
  <c r="DI146" i="1" s="1"/>
  <c r="DH115" i="1"/>
  <c r="DG115" i="1"/>
  <c r="DG151" i="1" s="1"/>
  <c r="DF115" i="1"/>
  <c r="DF151" i="1" s="1"/>
  <c r="DE115" i="1"/>
  <c r="DE146" i="1" s="1"/>
  <c r="DD115" i="1"/>
  <c r="DC115" i="1"/>
  <c r="DC146" i="1" s="1"/>
  <c r="HC111" i="1"/>
  <c r="HB111" i="1"/>
  <c r="HA111" i="1"/>
  <c r="GZ111" i="1"/>
  <c r="GY111" i="1"/>
  <c r="GX111" i="1"/>
  <c r="GW111" i="1"/>
  <c r="GV111" i="1"/>
  <c r="GU111" i="1"/>
  <c r="GT111" i="1"/>
  <c r="GS111" i="1"/>
  <c r="GR111" i="1"/>
  <c r="GQ111" i="1"/>
  <c r="GP111" i="1"/>
  <c r="GO111" i="1"/>
  <c r="GN111" i="1"/>
  <c r="GM111" i="1"/>
  <c r="GL111" i="1"/>
  <c r="GK111" i="1"/>
  <c r="GJ111" i="1"/>
  <c r="GI111" i="1"/>
  <c r="GH111" i="1"/>
  <c r="GG111" i="1"/>
  <c r="GF111" i="1"/>
  <c r="GE111" i="1"/>
  <c r="GD111" i="1"/>
  <c r="GC111" i="1"/>
  <c r="GB111" i="1"/>
  <c r="GA111" i="1"/>
  <c r="FZ111" i="1"/>
  <c r="FY111" i="1"/>
  <c r="FX111" i="1"/>
  <c r="FW111" i="1"/>
  <c r="FV111" i="1"/>
  <c r="FU111" i="1"/>
  <c r="FT111" i="1"/>
  <c r="FS111" i="1"/>
  <c r="FR111" i="1"/>
  <c r="FQ111" i="1"/>
  <c r="FP111" i="1"/>
  <c r="FO111" i="1"/>
  <c r="FN111" i="1"/>
  <c r="FM111" i="1"/>
  <c r="FL111" i="1"/>
  <c r="FK111" i="1"/>
  <c r="FJ111" i="1"/>
  <c r="FI111" i="1"/>
  <c r="FH111" i="1"/>
  <c r="FG111" i="1"/>
  <c r="FF111" i="1"/>
  <c r="FE111" i="1"/>
  <c r="FD111" i="1"/>
  <c r="FC111" i="1"/>
  <c r="FB111" i="1"/>
  <c r="FA111" i="1"/>
  <c r="EZ111" i="1"/>
  <c r="EY111" i="1"/>
  <c r="EX111" i="1"/>
  <c r="EW111" i="1"/>
  <c r="EV111" i="1"/>
  <c r="EU111" i="1"/>
  <c r="ET111" i="1"/>
  <c r="ES111" i="1"/>
  <c r="ER111" i="1"/>
  <c r="EQ111" i="1"/>
  <c r="EP111" i="1"/>
  <c r="EO111" i="1"/>
  <c r="EN111" i="1"/>
  <c r="EM111" i="1"/>
  <c r="EL111" i="1"/>
  <c r="EK111" i="1"/>
  <c r="EJ111" i="1"/>
  <c r="EI111" i="1"/>
  <c r="EH111" i="1"/>
  <c r="EG111" i="1"/>
  <c r="EF111" i="1"/>
  <c r="EE111" i="1"/>
  <c r="ED111" i="1"/>
  <c r="EC111" i="1"/>
  <c r="EB111" i="1"/>
  <c r="EA111" i="1"/>
  <c r="DZ111" i="1"/>
  <c r="DY111" i="1"/>
  <c r="DX111" i="1"/>
  <c r="DW111" i="1"/>
  <c r="DV111" i="1"/>
  <c r="DU111" i="1"/>
  <c r="DT111" i="1"/>
  <c r="DS111" i="1"/>
  <c r="DR111" i="1"/>
  <c r="DQ111" i="1"/>
  <c r="DP111" i="1"/>
  <c r="DO111" i="1"/>
  <c r="DN111" i="1"/>
  <c r="DM111" i="1"/>
  <c r="DL111" i="1"/>
  <c r="DK111" i="1"/>
  <c r="DJ111" i="1"/>
  <c r="DI111" i="1"/>
  <c r="DH111" i="1"/>
  <c r="DG111" i="1"/>
  <c r="DF111" i="1"/>
  <c r="DE111" i="1"/>
  <c r="DD111" i="1"/>
  <c r="DC111" i="1"/>
  <c r="HC75" i="1"/>
  <c r="HB75" i="1"/>
  <c r="HA75" i="1"/>
  <c r="GZ75" i="1"/>
  <c r="GY75" i="1"/>
  <c r="GX75" i="1"/>
  <c r="GW75" i="1"/>
  <c r="GV75" i="1"/>
  <c r="GU75" i="1"/>
  <c r="GT75" i="1"/>
  <c r="GS75" i="1"/>
  <c r="GR75" i="1"/>
  <c r="GQ75" i="1"/>
  <c r="GP75" i="1"/>
  <c r="GO75" i="1"/>
  <c r="GN75" i="1"/>
  <c r="GM75" i="1"/>
  <c r="GL75" i="1"/>
  <c r="GK75" i="1"/>
  <c r="GJ75" i="1"/>
  <c r="GI75" i="1"/>
  <c r="GH75" i="1"/>
  <c r="GG75" i="1"/>
  <c r="GF75" i="1"/>
  <c r="GE75" i="1"/>
  <c r="GD75" i="1"/>
  <c r="GC75" i="1"/>
  <c r="GB75" i="1"/>
  <c r="GA75" i="1"/>
  <c r="FZ75" i="1"/>
  <c r="FY75" i="1"/>
  <c r="FX75" i="1"/>
  <c r="FW75" i="1"/>
  <c r="FV75" i="1"/>
  <c r="FU75" i="1"/>
  <c r="FT75" i="1"/>
  <c r="FS75" i="1"/>
  <c r="FR75" i="1"/>
  <c r="FQ75" i="1"/>
  <c r="FP75" i="1"/>
  <c r="FO75" i="1"/>
  <c r="FN75" i="1"/>
  <c r="FM75" i="1"/>
  <c r="FL75" i="1"/>
  <c r="FK75" i="1"/>
  <c r="FJ75" i="1"/>
  <c r="FI75" i="1"/>
  <c r="FH75" i="1"/>
  <c r="FG75" i="1"/>
  <c r="FF75" i="1"/>
  <c r="FE75" i="1"/>
  <c r="FD75" i="1"/>
  <c r="FC75" i="1"/>
  <c r="FB75" i="1"/>
  <c r="FA75" i="1"/>
  <c r="EZ75" i="1"/>
  <c r="EY75" i="1"/>
  <c r="EX75" i="1"/>
  <c r="EW75" i="1"/>
  <c r="EV75" i="1"/>
  <c r="EU75" i="1"/>
  <c r="ET75" i="1"/>
  <c r="ES75" i="1"/>
  <c r="ER75" i="1"/>
  <c r="EQ75" i="1"/>
  <c r="EP75" i="1"/>
  <c r="EO75" i="1"/>
  <c r="EN75" i="1"/>
  <c r="EM75" i="1"/>
  <c r="EL75" i="1"/>
  <c r="EK75" i="1"/>
  <c r="EJ75" i="1"/>
  <c r="EI75" i="1"/>
  <c r="EH75" i="1"/>
  <c r="EG75" i="1"/>
  <c r="EF75" i="1"/>
  <c r="EE75" i="1"/>
  <c r="ED75" i="1"/>
  <c r="EC75" i="1"/>
  <c r="EB75" i="1"/>
  <c r="EA75" i="1"/>
  <c r="DZ75" i="1"/>
  <c r="DY75" i="1"/>
  <c r="DX75" i="1"/>
  <c r="DW75" i="1"/>
  <c r="DV75" i="1"/>
  <c r="DU75" i="1"/>
  <c r="DT75" i="1"/>
  <c r="DS75" i="1"/>
  <c r="DR75" i="1"/>
  <c r="DQ75" i="1"/>
  <c r="DP75" i="1"/>
  <c r="DO75" i="1"/>
  <c r="DN75" i="1"/>
  <c r="DM75" i="1"/>
  <c r="DL75" i="1"/>
  <c r="DK75" i="1"/>
  <c r="DJ75" i="1"/>
  <c r="DI75" i="1"/>
  <c r="DH75" i="1"/>
  <c r="DG75" i="1"/>
  <c r="DF75" i="1"/>
  <c r="DE75" i="1"/>
  <c r="DD75" i="1"/>
  <c r="DC75" i="1"/>
  <c r="HC39" i="1"/>
  <c r="HB39" i="1"/>
  <c r="HA39" i="1"/>
  <c r="GZ39" i="1"/>
  <c r="GY39" i="1"/>
  <c r="GX39" i="1"/>
  <c r="GW39" i="1"/>
  <c r="GV39" i="1"/>
  <c r="GU39" i="1"/>
  <c r="GT39" i="1"/>
  <c r="GS39" i="1"/>
  <c r="GR39" i="1"/>
  <c r="GQ39" i="1"/>
  <c r="GP39" i="1"/>
  <c r="GO39" i="1"/>
  <c r="GN39" i="1"/>
  <c r="GM39" i="1"/>
  <c r="GL39" i="1"/>
  <c r="GK39" i="1"/>
  <c r="GJ39" i="1"/>
  <c r="GI39" i="1"/>
  <c r="GH39" i="1"/>
  <c r="GG39" i="1"/>
  <c r="GF39" i="1"/>
  <c r="GE39" i="1"/>
  <c r="GD39" i="1"/>
  <c r="GC39" i="1"/>
  <c r="GB39" i="1"/>
  <c r="GA39" i="1"/>
  <c r="FZ39" i="1"/>
  <c r="FY39" i="1"/>
  <c r="FX39" i="1"/>
  <c r="FW39" i="1"/>
  <c r="FV39" i="1"/>
  <c r="FU39" i="1"/>
  <c r="FT39" i="1"/>
  <c r="FS39" i="1"/>
  <c r="FR39" i="1"/>
  <c r="FQ39" i="1"/>
  <c r="FP39" i="1"/>
  <c r="FO39" i="1"/>
  <c r="FN39" i="1"/>
  <c r="FM39" i="1"/>
  <c r="FL39" i="1"/>
  <c r="FK39" i="1"/>
  <c r="FJ39" i="1"/>
  <c r="FI39" i="1"/>
  <c r="FH39" i="1"/>
  <c r="FG39" i="1"/>
  <c r="FF39" i="1"/>
  <c r="FE39" i="1"/>
  <c r="FD39" i="1"/>
  <c r="FC39" i="1"/>
  <c r="FB39" i="1"/>
  <c r="FA39" i="1"/>
  <c r="EZ39" i="1"/>
  <c r="EY39" i="1"/>
  <c r="EX39" i="1"/>
  <c r="EW39" i="1"/>
  <c r="EV39" i="1"/>
  <c r="EU39" i="1"/>
  <c r="ET39" i="1"/>
  <c r="ES39" i="1"/>
  <c r="ER39" i="1"/>
  <c r="EQ39" i="1"/>
  <c r="EP39" i="1"/>
  <c r="EO39" i="1"/>
  <c r="EN39" i="1"/>
  <c r="EM39" i="1"/>
  <c r="EL39" i="1"/>
  <c r="EK39" i="1"/>
  <c r="EJ39" i="1"/>
  <c r="EI39" i="1"/>
  <c r="EH39" i="1"/>
  <c r="EG39" i="1"/>
  <c r="EF39" i="1"/>
  <c r="EE39" i="1"/>
  <c r="ED39" i="1"/>
  <c r="EC39" i="1"/>
  <c r="EB39" i="1"/>
  <c r="EA39" i="1"/>
  <c r="DZ39" i="1"/>
  <c r="DY39" i="1"/>
  <c r="DX39" i="1"/>
  <c r="DW39" i="1"/>
  <c r="DV39" i="1"/>
  <c r="DU39" i="1"/>
  <c r="DT39" i="1"/>
  <c r="DS39" i="1"/>
  <c r="DR39" i="1"/>
  <c r="DQ39" i="1"/>
  <c r="DP39" i="1"/>
  <c r="DO39" i="1"/>
  <c r="DN39" i="1"/>
  <c r="DM39" i="1"/>
  <c r="DL39" i="1"/>
  <c r="DK39" i="1"/>
  <c r="DJ39" i="1"/>
  <c r="DI39" i="1"/>
  <c r="DH39" i="1"/>
  <c r="DG39" i="1"/>
  <c r="DF39" i="1"/>
  <c r="DE39" i="1"/>
  <c r="DD39" i="1"/>
  <c r="DC39" i="1"/>
  <c r="BQ140" i="2"/>
  <c r="BQ177" i="2" s="1"/>
  <c r="BP140" i="2"/>
  <c r="BP177" i="2" s="1"/>
  <c r="BO140" i="2"/>
  <c r="BO177" i="2" s="1"/>
  <c r="BN140" i="2"/>
  <c r="BN177" i="2" s="1"/>
  <c r="BM140" i="2"/>
  <c r="BM177" i="2" s="1"/>
  <c r="BL140" i="2"/>
  <c r="BL177" i="2" s="1"/>
  <c r="BK140" i="2"/>
  <c r="BK177" i="2" s="1"/>
  <c r="BJ140" i="2"/>
  <c r="BJ177" i="2" s="1"/>
  <c r="BI140" i="2"/>
  <c r="BI177" i="2" s="1"/>
  <c r="BH140" i="2"/>
  <c r="BG140" i="2"/>
  <c r="BG177" i="2" s="1"/>
  <c r="BF140" i="2"/>
  <c r="BF177" i="2" s="1"/>
  <c r="BQ139" i="2"/>
  <c r="BQ176" i="2" s="1"/>
  <c r="BP139" i="2"/>
  <c r="BP176" i="2" s="1"/>
  <c r="BO139" i="2"/>
  <c r="BO176" i="2" s="1"/>
  <c r="BN139" i="2"/>
  <c r="BN176" i="2" s="1"/>
  <c r="BM139" i="2"/>
  <c r="BM176" i="2" s="1"/>
  <c r="BL139" i="2"/>
  <c r="BL176" i="2" s="1"/>
  <c r="BK139" i="2"/>
  <c r="BK176" i="2" s="1"/>
  <c r="BJ139" i="2"/>
  <c r="BJ176" i="2" s="1"/>
  <c r="BI139" i="2"/>
  <c r="BI176" i="2" s="1"/>
  <c r="BH139" i="2"/>
  <c r="BG139" i="2"/>
  <c r="BG176" i="2" s="1"/>
  <c r="BF139" i="2"/>
  <c r="BF176" i="2" s="1"/>
  <c r="BQ138" i="2"/>
  <c r="BQ175" i="2" s="1"/>
  <c r="BP138" i="2"/>
  <c r="BP175" i="2" s="1"/>
  <c r="BO138" i="2"/>
  <c r="BO175" i="2" s="1"/>
  <c r="BN138" i="2"/>
  <c r="BN175" i="2" s="1"/>
  <c r="BM138" i="2"/>
  <c r="BM175" i="2" s="1"/>
  <c r="BL138" i="2"/>
  <c r="BL175" i="2" s="1"/>
  <c r="BK138" i="2"/>
  <c r="BK175" i="2" s="1"/>
  <c r="BJ138" i="2"/>
  <c r="BJ175" i="2" s="1"/>
  <c r="BI138" i="2"/>
  <c r="BI175" i="2" s="1"/>
  <c r="BH138" i="2"/>
  <c r="BG138" i="2"/>
  <c r="BG175" i="2" s="1"/>
  <c r="BF138" i="2"/>
  <c r="BF175" i="2" s="1"/>
  <c r="BQ137" i="2"/>
  <c r="BQ174" i="2" s="1"/>
  <c r="BP137" i="2"/>
  <c r="BP174" i="2" s="1"/>
  <c r="BO137" i="2"/>
  <c r="BO174" i="2" s="1"/>
  <c r="BN137" i="2"/>
  <c r="BN174" i="2" s="1"/>
  <c r="BM137" i="2"/>
  <c r="BM174" i="2" s="1"/>
  <c r="BL137" i="2"/>
  <c r="BL174" i="2" s="1"/>
  <c r="BK137" i="2"/>
  <c r="BK174" i="2" s="1"/>
  <c r="BJ137" i="2"/>
  <c r="BJ174" i="2" s="1"/>
  <c r="BI137" i="2"/>
  <c r="BI174" i="2" s="1"/>
  <c r="BH137" i="2"/>
  <c r="BG137" i="2"/>
  <c r="BG174" i="2" s="1"/>
  <c r="BF137" i="2"/>
  <c r="BF174" i="2" s="1"/>
  <c r="BQ136" i="2"/>
  <c r="BQ173" i="2" s="1"/>
  <c r="BP136" i="2"/>
  <c r="BP173" i="2" s="1"/>
  <c r="BO136" i="2"/>
  <c r="BO173" i="2" s="1"/>
  <c r="BN136" i="2"/>
  <c r="BN173" i="2" s="1"/>
  <c r="BM136" i="2"/>
  <c r="BM173" i="2" s="1"/>
  <c r="BL136" i="2"/>
  <c r="BL173" i="2" s="1"/>
  <c r="BK136" i="2"/>
  <c r="BK173" i="2" s="1"/>
  <c r="BJ136" i="2"/>
  <c r="BJ173" i="2" s="1"/>
  <c r="BI136" i="2"/>
  <c r="BI173" i="2" s="1"/>
  <c r="BH136" i="2"/>
  <c r="BG136" i="2"/>
  <c r="BG173" i="2" s="1"/>
  <c r="BF136" i="2"/>
  <c r="BF173" i="2" s="1"/>
  <c r="BQ135" i="2"/>
  <c r="BQ172" i="2" s="1"/>
  <c r="BP135" i="2"/>
  <c r="BP172" i="2" s="1"/>
  <c r="BO135" i="2"/>
  <c r="BO172" i="2" s="1"/>
  <c r="BN135" i="2"/>
  <c r="BN172" i="2" s="1"/>
  <c r="BM135" i="2"/>
  <c r="BM172" i="2" s="1"/>
  <c r="BL135" i="2"/>
  <c r="BL172" i="2" s="1"/>
  <c r="BK135" i="2"/>
  <c r="BK172" i="2" s="1"/>
  <c r="BJ135" i="2"/>
  <c r="BJ172" i="2" s="1"/>
  <c r="BI135" i="2"/>
  <c r="BI172" i="2" s="1"/>
  <c r="BH135" i="2"/>
  <c r="BG135" i="2"/>
  <c r="BG172" i="2" s="1"/>
  <c r="BF135" i="2"/>
  <c r="BF172" i="2" s="1"/>
  <c r="BQ134" i="2"/>
  <c r="BQ171" i="2" s="1"/>
  <c r="BP134" i="2"/>
  <c r="BP171" i="2" s="1"/>
  <c r="BO134" i="2"/>
  <c r="BO171" i="2" s="1"/>
  <c r="BN134" i="2"/>
  <c r="BN171" i="2" s="1"/>
  <c r="BM134" i="2"/>
  <c r="BM171" i="2" s="1"/>
  <c r="BL134" i="2"/>
  <c r="BL171" i="2" s="1"/>
  <c r="BK134" i="2"/>
  <c r="BK171" i="2" s="1"/>
  <c r="BJ134" i="2"/>
  <c r="BJ171" i="2" s="1"/>
  <c r="BI134" i="2"/>
  <c r="BI171" i="2" s="1"/>
  <c r="BH134" i="2"/>
  <c r="BG134" i="2"/>
  <c r="BG171" i="2" s="1"/>
  <c r="BF134" i="2"/>
  <c r="BF171" i="2" s="1"/>
  <c r="BQ133" i="2"/>
  <c r="BQ170" i="2" s="1"/>
  <c r="BP133" i="2"/>
  <c r="BP170" i="2" s="1"/>
  <c r="BO133" i="2"/>
  <c r="BO170" i="2" s="1"/>
  <c r="BN133" i="2"/>
  <c r="BN170" i="2" s="1"/>
  <c r="BM133" i="2"/>
  <c r="BM170" i="2" s="1"/>
  <c r="BL133" i="2"/>
  <c r="BL170" i="2" s="1"/>
  <c r="BK133" i="2"/>
  <c r="BK170" i="2" s="1"/>
  <c r="BJ133" i="2"/>
  <c r="BJ170" i="2" s="1"/>
  <c r="BI133" i="2"/>
  <c r="BI170" i="2" s="1"/>
  <c r="BH133" i="2"/>
  <c r="BG133" i="2"/>
  <c r="BG170" i="2" s="1"/>
  <c r="BF133" i="2"/>
  <c r="BF170" i="2" s="1"/>
  <c r="BQ132" i="2"/>
  <c r="BQ169" i="2" s="1"/>
  <c r="BP132" i="2"/>
  <c r="BP169" i="2" s="1"/>
  <c r="BO132" i="2"/>
  <c r="BO169" i="2" s="1"/>
  <c r="BN132" i="2"/>
  <c r="BN169" i="2" s="1"/>
  <c r="BM132" i="2"/>
  <c r="BM169" i="2" s="1"/>
  <c r="BL132" i="2"/>
  <c r="BL169" i="2" s="1"/>
  <c r="BK132" i="2"/>
  <c r="BK169" i="2" s="1"/>
  <c r="BJ132" i="2"/>
  <c r="BJ169" i="2" s="1"/>
  <c r="BI132" i="2"/>
  <c r="BI169" i="2" s="1"/>
  <c r="BH132" i="2"/>
  <c r="BG132" i="2"/>
  <c r="BG169" i="2" s="1"/>
  <c r="BF132" i="2"/>
  <c r="BF169" i="2" s="1"/>
  <c r="BQ131" i="2"/>
  <c r="BQ168" i="2" s="1"/>
  <c r="BP131" i="2"/>
  <c r="BP168" i="2" s="1"/>
  <c r="BO131" i="2"/>
  <c r="BO168" i="2" s="1"/>
  <c r="BN131" i="2"/>
  <c r="BN168" i="2" s="1"/>
  <c r="BM131" i="2"/>
  <c r="BM168" i="2" s="1"/>
  <c r="BL131" i="2"/>
  <c r="BL168" i="2" s="1"/>
  <c r="BK131" i="2"/>
  <c r="BK168" i="2" s="1"/>
  <c r="BJ131" i="2"/>
  <c r="BJ168" i="2" s="1"/>
  <c r="BI131" i="2"/>
  <c r="BI168" i="2" s="1"/>
  <c r="BH131" i="2"/>
  <c r="BG131" i="2"/>
  <c r="BG168" i="2" s="1"/>
  <c r="BF131" i="2"/>
  <c r="BF168" i="2" s="1"/>
  <c r="BQ130" i="2"/>
  <c r="BQ167" i="2" s="1"/>
  <c r="BP130" i="2"/>
  <c r="BP167" i="2" s="1"/>
  <c r="BO130" i="2"/>
  <c r="BO167" i="2" s="1"/>
  <c r="BN130" i="2"/>
  <c r="BN167" i="2" s="1"/>
  <c r="BM130" i="2"/>
  <c r="BM167" i="2" s="1"/>
  <c r="BL130" i="2"/>
  <c r="BL167" i="2" s="1"/>
  <c r="BK130" i="2"/>
  <c r="BK167" i="2" s="1"/>
  <c r="BJ130" i="2"/>
  <c r="BJ167" i="2" s="1"/>
  <c r="BI130" i="2"/>
  <c r="BI167" i="2" s="1"/>
  <c r="BH130" i="2"/>
  <c r="BG130" i="2"/>
  <c r="BG167" i="2" s="1"/>
  <c r="BF130" i="2"/>
  <c r="BF167" i="2" s="1"/>
  <c r="BQ129" i="2"/>
  <c r="BQ166" i="2" s="1"/>
  <c r="BP129" i="2"/>
  <c r="BP166" i="2" s="1"/>
  <c r="BO129" i="2"/>
  <c r="BO166" i="2" s="1"/>
  <c r="BN129" i="2"/>
  <c r="BN166" i="2" s="1"/>
  <c r="BM129" i="2"/>
  <c r="BM166" i="2" s="1"/>
  <c r="BL129" i="2"/>
  <c r="BL166" i="2" s="1"/>
  <c r="BK129" i="2"/>
  <c r="BK166" i="2" s="1"/>
  <c r="BJ129" i="2"/>
  <c r="BJ166" i="2" s="1"/>
  <c r="BI129" i="2"/>
  <c r="BI166" i="2" s="1"/>
  <c r="BH129" i="2"/>
  <c r="BG129" i="2"/>
  <c r="BG166" i="2" s="1"/>
  <c r="BF129" i="2"/>
  <c r="BF166" i="2" s="1"/>
  <c r="BQ128" i="2"/>
  <c r="BQ165" i="2" s="1"/>
  <c r="BP128" i="2"/>
  <c r="BP165" i="2" s="1"/>
  <c r="BO128" i="2"/>
  <c r="BO165" i="2" s="1"/>
  <c r="BN128" i="2"/>
  <c r="BN165" i="2" s="1"/>
  <c r="BM128" i="2"/>
  <c r="BM165" i="2" s="1"/>
  <c r="BL128" i="2"/>
  <c r="BL165" i="2" s="1"/>
  <c r="BK128" i="2"/>
  <c r="BK165" i="2" s="1"/>
  <c r="BJ128" i="2"/>
  <c r="BJ165" i="2" s="1"/>
  <c r="BI128" i="2"/>
  <c r="BI165" i="2" s="1"/>
  <c r="BH128" i="2"/>
  <c r="BG128" i="2"/>
  <c r="BG165" i="2" s="1"/>
  <c r="BF128" i="2"/>
  <c r="BF165" i="2" s="1"/>
  <c r="BQ127" i="2"/>
  <c r="BQ164" i="2" s="1"/>
  <c r="BP127" i="2"/>
  <c r="BP164" i="2" s="1"/>
  <c r="BO127" i="2"/>
  <c r="BO164" i="2" s="1"/>
  <c r="BN127" i="2"/>
  <c r="BN164" i="2" s="1"/>
  <c r="BM127" i="2"/>
  <c r="BM164" i="2" s="1"/>
  <c r="BL127" i="2"/>
  <c r="BL164" i="2" s="1"/>
  <c r="BK127" i="2"/>
  <c r="BK164" i="2" s="1"/>
  <c r="BJ127" i="2"/>
  <c r="BJ164" i="2" s="1"/>
  <c r="BI127" i="2"/>
  <c r="BI164" i="2" s="1"/>
  <c r="BH127" i="2"/>
  <c r="BG127" i="2"/>
  <c r="BG164" i="2" s="1"/>
  <c r="BF127" i="2"/>
  <c r="BF164" i="2" s="1"/>
  <c r="BQ126" i="2"/>
  <c r="BQ163" i="2" s="1"/>
  <c r="BP126" i="2"/>
  <c r="BP163" i="2" s="1"/>
  <c r="BO126" i="2"/>
  <c r="BO163" i="2" s="1"/>
  <c r="BN126" i="2"/>
  <c r="BN163" i="2" s="1"/>
  <c r="BM126" i="2"/>
  <c r="BM163" i="2" s="1"/>
  <c r="BL126" i="2"/>
  <c r="BL163" i="2" s="1"/>
  <c r="BK126" i="2"/>
  <c r="BK163" i="2" s="1"/>
  <c r="BJ126" i="2"/>
  <c r="BJ163" i="2" s="1"/>
  <c r="BI126" i="2"/>
  <c r="BI163" i="2" s="1"/>
  <c r="BH126" i="2"/>
  <c r="BG126" i="2"/>
  <c r="BG163" i="2" s="1"/>
  <c r="BF126" i="2"/>
  <c r="BF163" i="2" s="1"/>
  <c r="BQ125" i="2"/>
  <c r="BQ162" i="2" s="1"/>
  <c r="BP125" i="2"/>
  <c r="BP162" i="2" s="1"/>
  <c r="BO125" i="2"/>
  <c r="BO162" i="2" s="1"/>
  <c r="BN125" i="2"/>
  <c r="BN162" i="2" s="1"/>
  <c r="BM125" i="2"/>
  <c r="BM162" i="2" s="1"/>
  <c r="BL125" i="2"/>
  <c r="BL162" i="2" s="1"/>
  <c r="BK125" i="2"/>
  <c r="BK162" i="2" s="1"/>
  <c r="BJ125" i="2"/>
  <c r="BJ162" i="2" s="1"/>
  <c r="BI125" i="2"/>
  <c r="BI162" i="2" s="1"/>
  <c r="BH125" i="2"/>
  <c r="BG125" i="2"/>
  <c r="BG162" i="2" s="1"/>
  <c r="BF125" i="2"/>
  <c r="BF162" i="2" s="1"/>
  <c r="BQ124" i="2"/>
  <c r="BQ161" i="2" s="1"/>
  <c r="BP124" i="2"/>
  <c r="BP161" i="2" s="1"/>
  <c r="BO124" i="2"/>
  <c r="BO161" i="2" s="1"/>
  <c r="BN124" i="2"/>
  <c r="BN161" i="2" s="1"/>
  <c r="BM124" i="2"/>
  <c r="BM161" i="2" s="1"/>
  <c r="BL124" i="2"/>
  <c r="BL161" i="2" s="1"/>
  <c r="BK124" i="2"/>
  <c r="BK161" i="2" s="1"/>
  <c r="BJ124" i="2"/>
  <c r="BJ161" i="2" s="1"/>
  <c r="BI124" i="2"/>
  <c r="BI161" i="2" s="1"/>
  <c r="BH124" i="2"/>
  <c r="BG124" i="2"/>
  <c r="BG161" i="2" s="1"/>
  <c r="BF124" i="2"/>
  <c r="BF161" i="2" s="1"/>
  <c r="BQ123" i="2"/>
  <c r="BQ160" i="2" s="1"/>
  <c r="BP123" i="2"/>
  <c r="BP160" i="2" s="1"/>
  <c r="BO123" i="2"/>
  <c r="BO160" i="2" s="1"/>
  <c r="BN123" i="2"/>
  <c r="BN160" i="2" s="1"/>
  <c r="BM123" i="2"/>
  <c r="BM160" i="2" s="1"/>
  <c r="BL123" i="2"/>
  <c r="BL160" i="2" s="1"/>
  <c r="BK123" i="2"/>
  <c r="BK160" i="2" s="1"/>
  <c r="BJ123" i="2"/>
  <c r="BJ160" i="2" s="1"/>
  <c r="BI123" i="2"/>
  <c r="BI160" i="2" s="1"/>
  <c r="BH123" i="2"/>
  <c r="BG123" i="2"/>
  <c r="BG160" i="2" s="1"/>
  <c r="BF123" i="2"/>
  <c r="BF160" i="2" s="1"/>
  <c r="BQ122" i="2"/>
  <c r="BQ159" i="2" s="1"/>
  <c r="BP122" i="2"/>
  <c r="BP159" i="2" s="1"/>
  <c r="BO122" i="2"/>
  <c r="BO159" i="2" s="1"/>
  <c r="BN122" i="2"/>
  <c r="BN159" i="2" s="1"/>
  <c r="BM122" i="2"/>
  <c r="BM159" i="2" s="1"/>
  <c r="BL122" i="2"/>
  <c r="BL159" i="2" s="1"/>
  <c r="BK122" i="2"/>
  <c r="BK159" i="2" s="1"/>
  <c r="BJ122" i="2"/>
  <c r="BJ159" i="2" s="1"/>
  <c r="BI122" i="2"/>
  <c r="BI159" i="2" s="1"/>
  <c r="BH122" i="2"/>
  <c r="BG122" i="2"/>
  <c r="BG159" i="2" s="1"/>
  <c r="BF122" i="2"/>
  <c r="BF159" i="2" s="1"/>
  <c r="BQ121" i="2"/>
  <c r="BQ158" i="2" s="1"/>
  <c r="BP121" i="2"/>
  <c r="BP158" i="2" s="1"/>
  <c r="BO121" i="2"/>
  <c r="BO158" i="2" s="1"/>
  <c r="BN121" i="2"/>
  <c r="BN158" i="2" s="1"/>
  <c r="BM121" i="2"/>
  <c r="BM158" i="2" s="1"/>
  <c r="BL121" i="2"/>
  <c r="BL158" i="2" s="1"/>
  <c r="BK121" i="2"/>
  <c r="BK158" i="2" s="1"/>
  <c r="BJ121" i="2"/>
  <c r="BJ158" i="2" s="1"/>
  <c r="BI121" i="2"/>
  <c r="BI158" i="2" s="1"/>
  <c r="BH121" i="2"/>
  <c r="BG121" i="2"/>
  <c r="BG158" i="2" s="1"/>
  <c r="BF121" i="2"/>
  <c r="BF158" i="2" s="1"/>
  <c r="BQ120" i="2"/>
  <c r="BQ157" i="2" s="1"/>
  <c r="BP120" i="2"/>
  <c r="BP157" i="2" s="1"/>
  <c r="BO120" i="2"/>
  <c r="BO157" i="2" s="1"/>
  <c r="BN120" i="2"/>
  <c r="BN157" i="2" s="1"/>
  <c r="BM120" i="2"/>
  <c r="BM157" i="2" s="1"/>
  <c r="BL120" i="2"/>
  <c r="BL157" i="2" s="1"/>
  <c r="BK120" i="2"/>
  <c r="BK157" i="2" s="1"/>
  <c r="BJ120" i="2"/>
  <c r="BJ157" i="2" s="1"/>
  <c r="BI120" i="2"/>
  <c r="BI157" i="2" s="1"/>
  <c r="BH120" i="2"/>
  <c r="BG120" i="2"/>
  <c r="BG157" i="2" s="1"/>
  <c r="BF120" i="2"/>
  <c r="BF157" i="2" s="1"/>
  <c r="BQ119" i="2"/>
  <c r="BQ156" i="2" s="1"/>
  <c r="BP119" i="2"/>
  <c r="BP156" i="2" s="1"/>
  <c r="BO119" i="2"/>
  <c r="BO156" i="2" s="1"/>
  <c r="BN119" i="2"/>
  <c r="BN156" i="2" s="1"/>
  <c r="BM119" i="2"/>
  <c r="BM156" i="2" s="1"/>
  <c r="BL119" i="2"/>
  <c r="BL156" i="2" s="1"/>
  <c r="BK119" i="2"/>
  <c r="BK156" i="2" s="1"/>
  <c r="BJ119" i="2"/>
  <c r="BJ156" i="2" s="1"/>
  <c r="BI119" i="2"/>
  <c r="BI156" i="2" s="1"/>
  <c r="BH119" i="2"/>
  <c r="BG119" i="2"/>
  <c r="BG156" i="2" s="1"/>
  <c r="BF119" i="2"/>
  <c r="BF156" i="2" s="1"/>
  <c r="BQ118" i="2"/>
  <c r="BQ155" i="2" s="1"/>
  <c r="BP118" i="2"/>
  <c r="BP155" i="2" s="1"/>
  <c r="BO118" i="2"/>
  <c r="BO155" i="2" s="1"/>
  <c r="BN118" i="2"/>
  <c r="BN155" i="2" s="1"/>
  <c r="BM118" i="2"/>
  <c r="BM155" i="2" s="1"/>
  <c r="BL118" i="2"/>
  <c r="BL155" i="2" s="1"/>
  <c r="BK118" i="2"/>
  <c r="BK155" i="2" s="1"/>
  <c r="BJ118" i="2"/>
  <c r="BJ155" i="2" s="1"/>
  <c r="BI118" i="2"/>
  <c r="BI155" i="2" s="1"/>
  <c r="BH118" i="2"/>
  <c r="BG118" i="2"/>
  <c r="BG155" i="2" s="1"/>
  <c r="BF118" i="2"/>
  <c r="BF155" i="2" s="1"/>
  <c r="BQ117" i="2"/>
  <c r="BQ154" i="2" s="1"/>
  <c r="BP117" i="2"/>
  <c r="BP154" i="2" s="1"/>
  <c r="BO117" i="2"/>
  <c r="BO154" i="2" s="1"/>
  <c r="BN117" i="2"/>
  <c r="BN154" i="2" s="1"/>
  <c r="BM117" i="2"/>
  <c r="BM154" i="2" s="1"/>
  <c r="BL117" i="2"/>
  <c r="BL154" i="2" s="1"/>
  <c r="BK117" i="2"/>
  <c r="BK154" i="2" s="1"/>
  <c r="BJ117" i="2"/>
  <c r="BJ154" i="2" s="1"/>
  <c r="BI117" i="2"/>
  <c r="BI154" i="2" s="1"/>
  <c r="BH117" i="2"/>
  <c r="BG117" i="2"/>
  <c r="BG154" i="2" s="1"/>
  <c r="BF117" i="2"/>
  <c r="BF154" i="2" s="1"/>
  <c r="BQ116" i="2"/>
  <c r="BQ153" i="2" s="1"/>
  <c r="BP116" i="2"/>
  <c r="BP153" i="2" s="1"/>
  <c r="BO116" i="2"/>
  <c r="BO153" i="2" s="1"/>
  <c r="BN116" i="2"/>
  <c r="BN153" i="2" s="1"/>
  <c r="BM116" i="2"/>
  <c r="BM153" i="2" s="1"/>
  <c r="BL116" i="2"/>
  <c r="BL153" i="2" s="1"/>
  <c r="BK116" i="2"/>
  <c r="BK153" i="2" s="1"/>
  <c r="BJ116" i="2"/>
  <c r="BJ153" i="2" s="1"/>
  <c r="BI116" i="2"/>
  <c r="BI153" i="2" s="1"/>
  <c r="BH116" i="2"/>
  <c r="BG116" i="2"/>
  <c r="BG153" i="2" s="1"/>
  <c r="BF116" i="2"/>
  <c r="BF153" i="2" s="1"/>
  <c r="BQ115" i="2"/>
  <c r="BQ152" i="2" s="1"/>
  <c r="BP115" i="2"/>
  <c r="BP152" i="2" s="1"/>
  <c r="BO115" i="2"/>
  <c r="BO152" i="2" s="1"/>
  <c r="BN115" i="2"/>
  <c r="BN152" i="2" s="1"/>
  <c r="BM115" i="2"/>
  <c r="BM152" i="2" s="1"/>
  <c r="BL115" i="2"/>
  <c r="BL152" i="2" s="1"/>
  <c r="BK115" i="2"/>
  <c r="BK152" i="2" s="1"/>
  <c r="BJ115" i="2"/>
  <c r="BJ152" i="2" s="1"/>
  <c r="BI115" i="2"/>
  <c r="BI152" i="2" s="1"/>
  <c r="BH115" i="2"/>
  <c r="BG115" i="2"/>
  <c r="BG152" i="2" s="1"/>
  <c r="BF115" i="2"/>
  <c r="BF152" i="2" s="1"/>
  <c r="BQ114" i="2"/>
  <c r="BQ151" i="2" s="1"/>
  <c r="BP114" i="2"/>
  <c r="BP151" i="2" s="1"/>
  <c r="BO114" i="2"/>
  <c r="BO151" i="2" s="1"/>
  <c r="BN114" i="2"/>
  <c r="BN151" i="2" s="1"/>
  <c r="BM114" i="2"/>
  <c r="BM151" i="2" s="1"/>
  <c r="BL114" i="2"/>
  <c r="BL151" i="2" s="1"/>
  <c r="BK114" i="2"/>
  <c r="BK151" i="2" s="1"/>
  <c r="BJ114" i="2"/>
  <c r="BJ151" i="2" s="1"/>
  <c r="BI114" i="2"/>
  <c r="BI151" i="2" s="1"/>
  <c r="BH114" i="2"/>
  <c r="BG114" i="2"/>
  <c r="BG151" i="2" s="1"/>
  <c r="BF114" i="2"/>
  <c r="BF151" i="2" s="1"/>
  <c r="BQ113" i="2"/>
  <c r="BQ150" i="2" s="1"/>
  <c r="BP113" i="2"/>
  <c r="BP150" i="2" s="1"/>
  <c r="BO113" i="2"/>
  <c r="BO150" i="2" s="1"/>
  <c r="BN113" i="2"/>
  <c r="BN150" i="2" s="1"/>
  <c r="BM113" i="2"/>
  <c r="BM150" i="2" s="1"/>
  <c r="BL113" i="2"/>
  <c r="BL150" i="2" s="1"/>
  <c r="BK113" i="2"/>
  <c r="BK150" i="2" s="1"/>
  <c r="BJ113" i="2"/>
  <c r="BJ150" i="2" s="1"/>
  <c r="BI113" i="2"/>
  <c r="BI150" i="2" s="1"/>
  <c r="BH113" i="2"/>
  <c r="BG113" i="2"/>
  <c r="BG150" i="2" s="1"/>
  <c r="BF113" i="2"/>
  <c r="BF150" i="2" s="1"/>
  <c r="BQ112" i="2"/>
  <c r="BQ149" i="2" s="1"/>
  <c r="BP112" i="2"/>
  <c r="BP149" i="2" s="1"/>
  <c r="BO112" i="2"/>
  <c r="BO149" i="2" s="1"/>
  <c r="BN112" i="2"/>
  <c r="BN149" i="2" s="1"/>
  <c r="BM112" i="2"/>
  <c r="BM149" i="2" s="1"/>
  <c r="BL112" i="2"/>
  <c r="BL149" i="2" s="1"/>
  <c r="BK112" i="2"/>
  <c r="BK149" i="2" s="1"/>
  <c r="BJ112" i="2"/>
  <c r="BJ149" i="2" s="1"/>
  <c r="BI112" i="2"/>
  <c r="BI149" i="2" s="1"/>
  <c r="BH112" i="2"/>
  <c r="BG112" i="2"/>
  <c r="BG149" i="2" s="1"/>
  <c r="BF112" i="2"/>
  <c r="BF149" i="2" s="1"/>
  <c r="BQ111" i="2"/>
  <c r="BQ148" i="2" s="1"/>
  <c r="BP111" i="2"/>
  <c r="BP148" i="2" s="1"/>
  <c r="BO111" i="2"/>
  <c r="BO148" i="2" s="1"/>
  <c r="BN111" i="2"/>
  <c r="BN148" i="2" s="1"/>
  <c r="BM111" i="2"/>
  <c r="BM148" i="2" s="1"/>
  <c r="BL111" i="2"/>
  <c r="BL148" i="2" s="1"/>
  <c r="BK111" i="2"/>
  <c r="BK148" i="2" s="1"/>
  <c r="BJ111" i="2"/>
  <c r="BJ148" i="2" s="1"/>
  <c r="BI111" i="2"/>
  <c r="BI148" i="2" s="1"/>
  <c r="BH111" i="2"/>
  <c r="BG111" i="2"/>
  <c r="BG148" i="2" s="1"/>
  <c r="BF111" i="2"/>
  <c r="BF148" i="2" s="1"/>
  <c r="BQ110" i="2"/>
  <c r="BQ147" i="2" s="1"/>
  <c r="BP110" i="2"/>
  <c r="BO110" i="2"/>
  <c r="BO147" i="2" s="1"/>
  <c r="BO178" i="2" s="1"/>
  <c r="BN110" i="2"/>
  <c r="BM110" i="2"/>
  <c r="BL110" i="2"/>
  <c r="BL147" i="2" s="1"/>
  <c r="BK110" i="2"/>
  <c r="BK147" i="2" s="1"/>
  <c r="BJ110" i="2"/>
  <c r="BJ147" i="2" s="1"/>
  <c r="BI110" i="2"/>
  <c r="BI147" i="2" s="1"/>
  <c r="BI178" i="2" s="1"/>
  <c r="BH110" i="2"/>
  <c r="BG110" i="2"/>
  <c r="BG147" i="2" s="1"/>
  <c r="BF110" i="2"/>
  <c r="BF147" i="2" s="1"/>
  <c r="BF178" i="2" s="1"/>
  <c r="BQ106" i="2"/>
  <c r="BP106" i="2"/>
  <c r="BO106" i="2"/>
  <c r="BN106" i="2"/>
  <c r="BM106" i="2"/>
  <c r="BL106" i="2"/>
  <c r="BK106" i="2"/>
  <c r="BJ106" i="2"/>
  <c r="BI106" i="2"/>
  <c r="BH106" i="2"/>
  <c r="BG106" i="2"/>
  <c r="BF106" i="2"/>
  <c r="BQ71" i="2"/>
  <c r="BP71" i="2"/>
  <c r="BO71" i="2"/>
  <c r="BN71" i="2"/>
  <c r="BM71" i="2"/>
  <c r="BL71" i="2"/>
  <c r="BK71" i="2"/>
  <c r="BJ71" i="2"/>
  <c r="BI71" i="2"/>
  <c r="BH71" i="2"/>
  <c r="BG71" i="2"/>
  <c r="BF71" i="2"/>
  <c r="BQ35" i="2"/>
  <c r="BP35" i="2"/>
  <c r="BO35" i="2"/>
  <c r="BN35" i="2"/>
  <c r="BM35" i="2"/>
  <c r="BL35" i="2"/>
  <c r="BK35" i="2"/>
  <c r="BJ35" i="2"/>
  <c r="BI35" i="2"/>
  <c r="BH35" i="2"/>
  <c r="BG35" i="2"/>
  <c r="BF35" i="2"/>
  <c r="CC106" i="2"/>
  <c r="CB106" i="2"/>
  <c r="CA106" i="2"/>
  <c r="BZ106" i="2"/>
  <c r="BY106" i="2"/>
  <c r="BX106" i="2"/>
  <c r="BW106" i="2"/>
  <c r="BV106" i="2"/>
  <c r="BU106" i="2"/>
  <c r="BT106" i="2"/>
  <c r="BS106" i="2"/>
  <c r="CC71" i="2"/>
  <c r="CB71" i="2"/>
  <c r="CA71" i="2"/>
  <c r="BZ71" i="2"/>
  <c r="BY71" i="2"/>
  <c r="BX71" i="2"/>
  <c r="BW71" i="2"/>
  <c r="BV71" i="2"/>
  <c r="BU71" i="2"/>
  <c r="BT71" i="2"/>
  <c r="BS71" i="2"/>
  <c r="BS35" i="2"/>
  <c r="BT35" i="2"/>
  <c r="BU35" i="2"/>
  <c r="BV35" i="2"/>
  <c r="BW35" i="2"/>
  <c r="BX35" i="2"/>
  <c r="BY35" i="2"/>
  <c r="BZ35" i="2"/>
  <c r="CA35" i="2"/>
  <c r="CB35" i="2"/>
  <c r="CC35" i="2"/>
  <c r="BR35" i="2"/>
  <c r="BR111" i="2"/>
  <c r="BS111" i="2"/>
  <c r="BS148" i="2" s="1"/>
  <c r="BT111" i="2"/>
  <c r="BU111" i="2"/>
  <c r="BU148" i="2" s="1"/>
  <c r="BV111" i="2"/>
  <c r="BV148" i="2" s="1"/>
  <c r="BW111" i="2"/>
  <c r="BW148" i="2" s="1"/>
  <c r="BX111" i="2"/>
  <c r="BX148" i="2" s="1"/>
  <c r="BY111" i="2"/>
  <c r="BY148" i="2" s="1"/>
  <c r="BZ111" i="2"/>
  <c r="BZ148" i="2" s="1"/>
  <c r="CA111" i="2"/>
  <c r="CA148" i="2" s="1"/>
  <c r="CB111" i="2"/>
  <c r="CB148" i="2" s="1"/>
  <c r="CC111" i="2"/>
  <c r="CC148" i="2" s="1"/>
  <c r="BR112" i="2"/>
  <c r="BS112" i="2"/>
  <c r="BS149" i="2" s="1"/>
  <c r="BT112" i="2"/>
  <c r="BU112" i="2"/>
  <c r="BU149" i="2" s="1"/>
  <c r="BV112" i="2"/>
  <c r="BV149" i="2" s="1"/>
  <c r="BW112" i="2"/>
  <c r="BW149" i="2" s="1"/>
  <c r="BX112" i="2"/>
  <c r="BX149" i="2" s="1"/>
  <c r="BY112" i="2"/>
  <c r="BY149" i="2" s="1"/>
  <c r="BZ112" i="2"/>
  <c r="BZ149" i="2" s="1"/>
  <c r="CA112" i="2"/>
  <c r="CA149" i="2" s="1"/>
  <c r="CB112" i="2"/>
  <c r="CB149" i="2" s="1"/>
  <c r="CC112" i="2"/>
  <c r="CC149" i="2" s="1"/>
  <c r="BR113" i="2"/>
  <c r="BS113" i="2"/>
  <c r="BS150" i="2" s="1"/>
  <c r="BT113" i="2"/>
  <c r="BU113" i="2"/>
  <c r="BU150" i="2" s="1"/>
  <c r="BV113" i="2"/>
  <c r="BV150" i="2" s="1"/>
  <c r="BW113" i="2"/>
  <c r="BW150" i="2" s="1"/>
  <c r="BX113" i="2"/>
  <c r="BX150" i="2" s="1"/>
  <c r="BY113" i="2"/>
  <c r="BY150" i="2" s="1"/>
  <c r="BZ113" i="2"/>
  <c r="BZ150" i="2" s="1"/>
  <c r="CA113" i="2"/>
  <c r="CA150" i="2" s="1"/>
  <c r="CB113" i="2"/>
  <c r="CB150" i="2" s="1"/>
  <c r="CC113" i="2"/>
  <c r="CC150" i="2" s="1"/>
  <c r="BR114" i="2"/>
  <c r="BS114" i="2"/>
  <c r="BS151" i="2" s="1"/>
  <c r="BT114" i="2"/>
  <c r="BU114" i="2"/>
  <c r="BU151" i="2" s="1"/>
  <c r="BV114" i="2"/>
  <c r="BV151" i="2" s="1"/>
  <c r="BW114" i="2"/>
  <c r="BW151" i="2" s="1"/>
  <c r="BX114" i="2"/>
  <c r="BX151" i="2" s="1"/>
  <c r="BY114" i="2"/>
  <c r="BY151" i="2" s="1"/>
  <c r="BZ114" i="2"/>
  <c r="BZ151" i="2" s="1"/>
  <c r="CA114" i="2"/>
  <c r="CA151" i="2" s="1"/>
  <c r="CB114" i="2"/>
  <c r="CB151" i="2" s="1"/>
  <c r="CC114" i="2"/>
  <c r="CC151" i="2" s="1"/>
  <c r="BR115" i="2"/>
  <c r="BS115" i="2"/>
  <c r="BS152" i="2" s="1"/>
  <c r="BT115" i="2"/>
  <c r="BT152" i="2" s="1"/>
  <c r="BU115" i="2"/>
  <c r="BU152" i="2" s="1"/>
  <c r="BV115" i="2"/>
  <c r="BV152" i="2" s="1"/>
  <c r="BW115" i="2"/>
  <c r="BW152" i="2" s="1"/>
  <c r="BX115" i="2"/>
  <c r="BX152" i="2" s="1"/>
  <c r="BY115" i="2"/>
  <c r="BY152" i="2" s="1"/>
  <c r="BZ115" i="2"/>
  <c r="BZ152" i="2" s="1"/>
  <c r="CA115" i="2"/>
  <c r="CA152" i="2" s="1"/>
  <c r="CB115" i="2"/>
  <c r="CB152" i="2" s="1"/>
  <c r="CC115" i="2"/>
  <c r="CC152" i="2" s="1"/>
  <c r="BR116" i="2"/>
  <c r="BS116" i="2"/>
  <c r="BS153" i="2" s="1"/>
  <c r="BT116" i="2"/>
  <c r="BU116" i="2"/>
  <c r="BU153" i="2" s="1"/>
  <c r="BV116" i="2"/>
  <c r="BV153" i="2" s="1"/>
  <c r="BW116" i="2"/>
  <c r="BW153" i="2" s="1"/>
  <c r="BX116" i="2"/>
  <c r="BX153" i="2" s="1"/>
  <c r="BY116" i="2"/>
  <c r="BY153" i="2" s="1"/>
  <c r="BZ116" i="2"/>
  <c r="BZ153" i="2" s="1"/>
  <c r="CA116" i="2"/>
  <c r="CA153" i="2" s="1"/>
  <c r="CB116" i="2"/>
  <c r="CB153" i="2" s="1"/>
  <c r="CC116" i="2"/>
  <c r="CC153" i="2" s="1"/>
  <c r="BR117" i="2"/>
  <c r="BS117" i="2"/>
  <c r="BS154" i="2" s="1"/>
  <c r="BT117" i="2"/>
  <c r="BU117" i="2"/>
  <c r="BU154" i="2" s="1"/>
  <c r="BV117" i="2"/>
  <c r="BV154" i="2" s="1"/>
  <c r="BW117" i="2"/>
  <c r="BW154" i="2" s="1"/>
  <c r="BX117" i="2"/>
  <c r="BX154" i="2" s="1"/>
  <c r="BY117" i="2"/>
  <c r="BY154" i="2" s="1"/>
  <c r="BZ117" i="2"/>
  <c r="BZ154" i="2" s="1"/>
  <c r="CA117" i="2"/>
  <c r="CA154" i="2" s="1"/>
  <c r="CB117" i="2"/>
  <c r="CB154" i="2" s="1"/>
  <c r="CC117" i="2"/>
  <c r="CC154" i="2" s="1"/>
  <c r="BR118" i="2"/>
  <c r="BS118" i="2"/>
  <c r="BS155" i="2" s="1"/>
  <c r="BT118" i="2"/>
  <c r="BU118" i="2"/>
  <c r="BU155" i="2" s="1"/>
  <c r="BV118" i="2"/>
  <c r="BV155" i="2" s="1"/>
  <c r="BW118" i="2"/>
  <c r="BW155" i="2" s="1"/>
  <c r="BX118" i="2"/>
  <c r="BX155" i="2" s="1"/>
  <c r="BY118" i="2"/>
  <c r="BY155" i="2" s="1"/>
  <c r="BZ118" i="2"/>
  <c r="BZ155" i="2" s="1"/>
  <c r="CA118" i="2"/>
  <c r="CA155" i="2" s="1"/>
  <c r="CB118" i="2"/>
  <c r="CB155" i="2" s="1"/>
  <c r="CC118" i="2"/>
  <c r="CC155" i="2" s="1"/>
  <c r="BR119" i="2"/>
  <c r="BS119" i="2"/>
  <c r="BS156" i="2" s="1"/>
  <c r="BT119" i="2"/>
  <c r="BU119" i="2"/>
  <c r="BU156" i="2" s="1"/>
  <c r="BV119" i="2"/>
  <c r="BV156" i="2" s="1"/>
  <c r="BW119" i="2"/>
  <c r="BW156" i="2" s="1"/>
  <c r="BX119" i="2"/>
  <c r="BX156" i="2" s="1"/>
  <c r="BY119" i="2"/>
  <c r="BY156" i="2" s="1"/>
  <c r="BZ119" i="2"/>
  <c r="BZ156" i="2" s="1"/>
  <c r="CA119" i="2"/>
  <c r="CA156" i="2" s="1"/>
  <c r="CB119" i="2"/>
  <c r="CB156" i="2" s="1"/>
  <c r="CC119" i="2"/>
  <c r="CC156" i="2" s="1"/>
  <c r="BR120" i="2"/>
  <c r="BS120" i="2"/>
  <c r="BS157" i="2" s="1"/>
  <c r="BT120" i="2"/>
  <c r="BU120" i="2"/>
  <c r="BU157" i="2" s="1"/>
  <c r="BV120" i="2"/>
  <c r="BV157" i="2" s="1"/>
  <c r="BW120" i="2"/>
  <c r="BW157" i="2" s="1"/>
  <c r="BX120" i="2"/>
  <c r="BX157" i="2" s="1"/>
  <c r="BY120" i="2"/>
  <c r="BY157" i="2" s="1"/>
  <c r="BZ120" i="2"/>
  <c r="BZ157" i="2" s="1"/>
  <c r="CA120" i="2"/>
  <c r="CA157" i="2" s="1"/>
  <c r="CB120" i="2"/>
  <c r="CB157" i="2" s="1"/>
  <c r="CC120" i="2"/>
  <c r="CC157" i="2" s="1"/>
  <c r="BR121" i="2"/>
  <c r="BS121" i="2"/>
  <c r="BS158" i="2" s="1"/>
  <c r="BT121" i="2"/>
  <c r="BT158" i="2" s="1"/>
  <c r="BU121" i="2"/>
  <c r="BU158" i="2" s="1"/>
  <c r="BV121" i="2"/>
  <c r="BV158" i="2" s="1"/>
  <c r="BW121" i="2"/>
  <c r="BW158" i="2" s="1"/>
  <c r="BX121" i="2"/>
  <c r="BX158" i="2" s="1"/>
  <c r="BY121" i="2"/>
  <c r="BY158" i="2" s="1"/>
  <c r="BZ121" i="2"/>
  <c r="BZ158" i="2" s="1"/>
  <c r="CA121" i="2"/>
  <c r="CA158" i="2" s="1"/>
  <c r="CB121" i="2"/>
  <c r="CB158" i="2" s="1"/>
  <c r="CC121" i="2"/>
  <c r="CC158" i="2" s="1"/>
  <c r="BR122" i="2"/>
  <c r="BS122" i="2"/>
  <c r="BS159" i="2" s="1"/>
  <c r="BT122" i="2"/>
  <c r="BU122" i="2"/>
  <c r="BU159" i="2" s="1"/>
  <c r="BV122" i="2"/>
  <c r="BV159" i="2" s="1"/>
  <c r="BW122" i="2"/>
  <c r="BW159" i="2" s="1"/>
  <c r="BX122" i="2"/>
  <c r="BX159" i="2" s="1"/>
  <c r="BY122" i="2"/>
  <c r="BY159" i="2" s="1"/>
  <c r="BZ122" i="2"/>
  <c r="BZ159" i="2" s="1"/>
  <c r="CA122" i="2"/>
  <c r="CA159" i="2" s="1"/>
  <c r="CB122" i="2"/>
  <c r="CB159" i="2" s="1"/>
  <c r="CC122" i="2"/>
  <c r="CC159" i="2" s="1"/>
  <c r="BR123" i="2"/>
  <c r="BS123" i="2"/>
  <c r="BS160" i="2" s="1"/>
  <c r="BT123" i="2"/>
  <c r="BU123" i="2"/>
  <c r="BU160" i="2" s="1"/>
  <c r="BV123" i="2"/>
  <c r="BV160" i="2" s="1"/>
  <c r="BW123" i="2"/>
  <c r="BW160" i="2" s="1"/>
  <c r="BX123" i="2"/>
  <c r="BX160" i="2" s="1"/>
  <c r="BY123" i="2"/>
  <c r="BY160" i="2" s="1"/>
  <c r="BZ123" i="2"/>
  <c r="BZ160" i="2" s="1"/>
  <c r="CA123" i="2"/>
  <c r="CA160" i="2" s="1"/>
  <c r="CB123" i="2"/>
  <c r="CB160" i="2" s="1"/>
  <c r="CC123" i="2"/>
  <c r="CC160" i="2" s="1"/>
  <c r="BR124" i="2"/>
  <c r="BS124" i="2"/>
  <c r="BS161" i="2" s="1"/>
  <c r="BT124" i="2"/>
  <c r="BU124" i="2"/>
  <c r="BU161" i="2" s="1"/>
  <c r="BV124" i="2"/>
  <c r="BV161" i="2" s="1"/>
  <c r="BW124" i="2"/>
  <c r="BW161" i="2" s="1"/>
  <c r="BX124" i="2"/>
  <c r="BX161" i="2" s="1"/>
  <c r="BY124" i="2"/>
  <c r="BY161" i="2" s="1"/>
  <c r="BZ124" i="2"/>
  <c r="BZ161" i="2" s="1"/>
  <c r="CA124" i="2"/>
  <c r="CA161" i="2" s="1"/>
  <c r="CB124" i="2"/>
  <c r="CB161" i="2" s="1"/>
  <c r="CC124" i="2"/>
  <c r="CC161" i="2" s="1"/>
  <c r="BR125" i="2"/>
  <c r="BS125" i="2"/>
  <c r="BS162" i="2" s="1"/>
  <c r="BT125" i="2"/>
  <c r="BU125" i="2"/>
  <c r="BU162" i="2" s="1"/>
  <c r="BV125" i="2"/>
  <c r="BV162" i="2" s="1"/>
  <c r="BW125" i="2"/>
  <c r="BW162" i="2" s="1"/>
  <c r="BX125" i="2"/>
  <c r="BX162" i="2" s="1"/>
  <c r="BY125" i="2"/>
  <c r="BY162" i="2" s="1"/>
  <c r="BZ125" i="2"/>
  <c r="BZ162" i="2" s="1"/>
  <c r="CA125" i="2"/>
  <c r="CA162" i="2" s="1"/>
  <c r="CB125" i="2"/>
  <c r="CB162" i="2" s="1"/>
  <c r="CC125" i="2"/>
  <c r="CC162" i="2" s="1"/>
  <c r="BR126" i="2"/>
  <c r="BS126" i="2"/>
  <c r="BS163" i="2" s="1"/>
  <c r="BT126" i="2"/>
  <c r="BU126" i="2"/>
  <c r="BU163" i="2" s="1"/>
  <c r="BV126" i="2"/>
  <c r="BV163" i="2" s="1"/>
  <c r="BW126" i="2"/>
  <c r="BW163" i="2" s="1"/>
  <c r="BX126" i="2"/>
  <c r="BX163" i="2" s="1"/>
  <c r="BY126" i="2"/>
  <c r="BY163" i="2" s="1"/>
  <c r="BZ126" i="2"/>
  <c r="BZ163" i="2" s="1"/>
  <c r="CA126" i="2"/>
  <c r="CA163" i="2" s="1"/>
  <c r="CB126" i="2"/>
  <c r="CB163" i="2" s="1"/>
  <c r="CC126" i="2"/>
  <c r="CC163" i="2" s="1"/>
  <c r="BR127" i="2"/>
  <c r="BS127" i="2"/>
  <c r="BS164" i="2" s="1"/>
  <c r="BT127" i="2"/>
  <c r="BU127" i="2"/>
  <c r="BU164" i="2" s="1"/>
  <c r="BV127" i="2"/>
  <c r="BV164" i="2" s="1"/>
  <c r="BW127" i="2"/>
  <c r="BW164" i="2" s="1"/>
  <c r="BX127" i="2"/>
  <c r="BX164" i="2" s="1"/>
  <c r="BY127" i="2"/>
  <c r="BY164" i="2" s="1"/>
  <c r="BZ127" i="2"/>
  <c r="BZ164" i="2" s="1"/>
  <c r="CA127" i="2"/>
  <c r="CA164" i="2" s="1"/>
  <c r="CB127" i="2"/>
  <c r="CB164" i="2" s="1"/>
  <c r="CC127" i="2"/>
  <c r="CC164" i="2" s="1"/>
  <c r="BR128" i="2"/>
  <c r="BS128" i="2"/>
  <c r="BS165" i="2" s="1"/>
  <c r="BT128" i="2"/>
  <c r="BU128" i="2"/>
  <c r="BU165" i="2" s="1"/>
  <c r="BV128" i="2"/>
  <c r="BV165" i="2" s="1"/>
  <c r="BW128" i="2"/>
  <c r="BW165" i="2" s="1"/>
  <c r="BX128" i="2"/>
  <c r="BX165" i="2" s="1"/>
  <c r="BY128" i="2"/>
  <c r="BY165" i="2" s="1"/>
  <c r="BZ128" i="2"/>
  <c r="BZ165" i="2" s="1"/>
  <c r="CA128" i="2"/>
  <c r="CA165" i="2" s="1"/>
  <c r="CB128" i="2"/>
  <c r="CB165" i="2" s="1"/>
  <c r="CC128" i="2"/>
  <c r="CC165" i="2" s="1"/>
  <c r="BR129" i="2"/>
  <c r="BS129" i="2"/>
  <c r="BS166" i="2" s="1"/>
  <c r="BT129" i="2"/>
  <c r="BT166" i="2" s="1"/>
  <c r="BU129" i="2"/>
  <c r="BU166" i="2" s="1"/>
  <c r="BV129" i="2"/>
  <c r="BV166" i="2" s="1"/>
  <c r="BW129" i="2"/>
  <c r="BW166" i="2" s="1"/>
  <c r="BX129" i="2"/>
  <c r="BX166" i="2" s="1"/>
  <c r="BY129" i="2"/>
  <c r="BY166" i="2" s="1"/>
  <c r="BZ129" i="2"/>
  <c r="BZ166" i="2" s="1"/>
  <c r="CA129" i="2"/>
  <c r="CA166" i="2" s="1"/>
  <c r="CB129" i="2"/>
  <c r="CB166" i="2" s="1"/>
  <c r="CC129" i="2"/>
  <c r="CC166" i="2" s="1"/>
  <c r="BR130" i="2"/>
  <c r="BS130" i="2"/>
  <c r="BS167" i="2" s="1"/>
  <c r="BT130" i="2"/>
  <c r="BU130" i="2"/>
  <c r="BU167" i="2" s="1"/>
  <c r="BV130" i="2"/>
  <c r="BV167" i="2" s="1"/>
  <c r="BW130" i="2"/>
  <c r="BW167" i="2" s="1"/>
  <c r="BX130" i="2"/>
  <c r="BX167" i="2" s="1"/>
  <c r="BY130" i="2"/>
  <c r="BY167" i="2" s="1"/>
  <c r="BZ130" i="2"/>
  <c r="BZ167" i="2" s="1"/>
  <c r="CA130" i="2"/>
  <c r="CA167" i="2" s="1"/>
  <c r="CB130" i="2"/>
  <c r="CB167" i="2" s="1"/>
  <c r="CC130" i="2"/>
  <c r="CC167" i="2" s="1"/>
  <c r="BR131" i="2"/>
  <c r="BS131" i="2"/>
  <c r="BS168" i="2" s="1"/>
  <c r="BT131" i="2"/>
  <c r="BU131" i="2"/>
  <c r="BU168" i="2" s="1"/>
  <c r="BV131" i="2"/>
  <c r="BV168" i="2" s="1"/>
  <c r="BW131" i="2"/>
  <c r="BW168" i="2" s="1"/>
  <c r="BX131" i="2"/>
  <c r="BX168" i="2" s="1"/>
  <c r="BY131" i="2"/>
  <c r="BY168" i="2" s="1"/>
  <c r="BZ131" i="2"/>
  <c r="BZ168" i="2" s="1"/>
  <c r="CA131" i="2"/>
  <c r="CA168" i="2" s="1"/>
  <c r="CB131" i="2"/>
  <c r="CB168" i="2" s="1"/>
  <c r="CC131" i="2"/>
  <c r="CC168" i="2" s="1"/>
  <c r="BR132" i="2"/>
  <c r="BS132" i="2"/>
  <c r="BS169" i="2" s="1"/>
  <c r="BT132" i="2"/>
  <c r="BU132" i="2"/>
  <c r="BU169" i="2" s="1"/>
  <c r="BV132" i="2"/>
  <c r="BV169" i="2" s="1"/>
  <c r="BW132" i="2"/>
  <c r="BW169" i="2" s="1"/>
  <c r="BX132" i="2"/>
  <c r="BX169" i="2" s="1"/>
  <c r="BY132" i="2"/>
  <c r="BY169" i="2" s="1"/>
  <c r="BZ132" i="2"/>
  <c r="BZ169" i="2" s="1"/>
  <c r="CA132" i="2"/>
  <c r="CA169" i="2" s="1"/>
  <c r="CB132" i="2"/>
  <c r="CB169" i="2" s="1"/>
  <c r="CC132" i="2"/>
  <c r="CC169" i="2" s="1"/>
  <c r="BR133" i="2"/>
  <c r="BS133" i="2"/>
  <c r="BS170" i="2" s="1"/>
  <c r="BT133" i="2"/>
  <c r="BU133" i="2"/>
  <c r="BU170" i="2" s="1"/>
  <c r="BV133" i="2"/>
  <c r="BV170" i="2" s="1"/>
  <c r="BW133" i="2"/>
  <c r="BW170" i="2" s="1"/>
  <c r="BX133" i="2"/>
  <c r="BX170" i="2" s="1"/>
  <c r="BY133" i="2"/>
  <c r="BY170" i="2" s="1"/>
  <c r="BZ133" i="2"/>
  <c r="BZ170" i="2" s="1"/>
  <c r="CA133" i="2"/>
  <c r="CA170" i="2" s="1"/>
  <c r="CB133" i="2"/>
  <c r="CB170" i="2" s="1"/>
  <c r="CC133" i="2"/>
  <c r="CC170" i="2" s="1"/>
  <c r="BR134" i="2"/>
  <c r="BS134" i="2"/>
  <c r="BS171" i="2" s="1"/>
  <c r="BT134" i="2"/>
  <c r="BU134" i="2"/>
  <c r="BU171" i="2" s="1"/>
  <c r="BV134" i="2"/>
  <c r="BV171" i="2" s="1"/>
  <c r="BW134" i="2"/>
  <c r="BW171" i="2" s="1"/>
  <c r="BX134" i="2"/>
  <c r="BX171" i="2" s="1"/>
  <c r="BY134" i="2"/>
  <c r="BY171" i="2" s="1"/>
  <c r="BZ134" i="2"/>
  <c r="BZ171" i="2" s="1"/>
  <c r="CA134" i="2"/>
  <c r="CA171" i="2" s="1"/>
  <c r="CB134" i="2"/>
  <c r="CB171" i="2" s="1"/>
  <c r="CC134" i="2"/>
  <c r="CC171" i="2" s="1"/>
  <c r="BR135" i="2"/>
  <c r="BS135" i="2"/>
  <c r="BS172" i="2" s="1"/>
  <c r="BT135" i="2"/>
  <c r="BU135" i="2"/>
  <c r="BU172" i="2" s="1"/>
  <c r="BV135" i="2"/>
  <c r="BV172" i="2" s="1"/>
  <c r="BW135" i="2"/>
  <c r="BW172" i="2" s="1"/>
  <c r="BX135" i="2"/>
  <c r="BX172" i="2" s="1"/>
  <c r="BY135" i="2"/>
  <c r="BY172" i="2" s="1"/>
  <c r="BZ135" i="2"/>
  <c r="BZ172" i="2" s="1"/>
  <c r="CA135" i="2"/>
  <c r="CA172" i="2" s="1"/>
  <c r="CB135" i="2"/>
  <c r="CB172" i="2" s="1"/>
  <c r="CC135" i="2"/>
  <c r="CC172" i="2" s="1"/>
  <c r="BR136" i="2"/>
  <c r="BS136" i="2"/>
  <c r="BS173" i="2" s="1"/>
  <c r="BT136" i="2"/>
  <c r="BU136" i="2"/>
  <c r="BU173" i="2" s="1"/>
  <c r="BV136" i="2"/>
  <c r="BV173" i="2" s="1"/>
  <c r="BW136" i="2"/>
  <c r="BW173" i="2" s="1"/>
  <c r="BX136" i="2"/>
  <c r="BX173" i="2" s="1"/>
  <c r="BY136" i="2"/>
  <c r="BY173" i="2" s="1"/>
  <c r="BZ136" i="2"/>
  <c r="BZ173" i="2" s="1"/>
  <c r="CA136" i="2"/>
  <c r="CA173" i="2" s="1"/>
  <c r="CB136" i="2"/>
  <c r="CB173" i="2" s="1"/>
  <c r="CC136" i="2"/>
  <c r="CC173" i="2" s="1"/>
  <c r="BR137" i="2"/>
  <c r="BS137" i="2"/>
  <c r="BS174" i="2" s="1"/>
  <c r="BT137" i="2"/>
  <c r="BT174" i="2" s="1"/>
  <c r="BU137" i="2"/>
  <c r="BU174" i="2" s="1"/>
  <c r="BV137" i="2"/>
  <c r="BV174" i="2" s="1"/>
  <c r="BW137" i="2"/>
  <c r="BW174" i="2" s="1"/>
  <c r="BX137" i="2"/>
  <c r="BX174" i="2" s="1"/>
  <c r="BY137" i="2"/>
  <c r="BY174" i="2" s="1"/>
  <c r="BZ137" i="2"/>
  <c r="BZ174" i="2" s="1"/>
  <c r="CA137" i="2"/>
  <c r="CA174" i="2" s="1"/>
  <c r="CB137" i="2"/>
  <c r="CB174" i="2" s="1"/>
  <c r="CC137" i="2"/>
  <c r="CC174" i="2" s="1"/>
  <c r="BR138" i="2"/>
  <c r="BS138" i="2"/>
  <c r="BS175" i="2" s="1"/>
  <c r="BT138" i="2"/>
  <c r="BU138" i="2"/>
  <c r="BU175" i="2" s="1"/>
  <c r="BV138" i="2"/>
  <c r="BV175" i="2" s="1"/>
  <c r="BW138" i="2"/>
  <c r="BW175" i="2" s="1"/>
  <c r="BX138" i="2"/>
  <c r="BX175" i="2" s="1"/>
  <c r="BY138" i="2"/>
  <c r="BY175" i="2" s="1"/>
  <c r="BZ138" i="2"/>
  <c r="BZ175" i="2" s="1"/>
  <c r="CA138" i="2"/>
  <c r="CA175" i="2" s="1"/>
  <c r="CB138" i="2"/>
  <c r="CB175" i="2" s="1"/>
  <c r="CC138" i="2"/>
  <c r="CC175" i="2" s="1"/>
  <c r="BR139" i="2"/>
  <c r="BS139" i="2"/>
  <c r="BS176" i="2" s="1"/>
  <c r="BT139" i="2"/>
  <c r="BU139" i="2"/>
  <c r="BU176" i="2" s="1"/>
  <c r="BV139" i="2"/>
  <c r="BV176" i="2" s="1"/>
  <c r="BW139" i="2"/>
  <c r="BW176" i="2" s="1"/>
  <c r="BX139" i="2"/>
  <c r="BX176" i="2" s="1"/>
  <c r="BY139" i="2"/>
  <c r="BY176" i="2" s="1"/>
  <c r="BZ139" i="2"/>
  <c r="BZ176" i="2" s="1"/>
  <c r="CA139" i="2"/>
  <c r="CA176" i="2" s="1"/>
  <c r="CB139" i="2"/>
  <c r="CB176" i="2" s="1"/>
  <c r="CC139" i="2"/>
  <c r="CC176" i="2" s="1"/>
  <c r="BR140" i="2"/>
  <c r="BS140" i="2"/>
  <c r="BS177" i="2" s="1"/>
  <c r="BT140" i="2"/>
  <c r="BU140" i="2"/>
  <c r="BU177" i="2" s="1"/>
  <c r="BV140" i="2"/>
  <c r="BV177" i="2" s="1"/>
  <c r="BW140" i="2"/>
  <c r="BW177" i="2" s="1"/>
  <c r="BX140" i="2"/>
  <c r="BX177" i="2" s="1"/>
  <c r="BY140" i="2"/>
  <c r="BY177" i="2" s="1"/>
  <c r="BZ140" i="2"/>
  <c r="BZ177" i="2" s="1"/>
  <c r="CA140" i="2"/>
  <c r="CA177" i="2" s="1"/>
  <c r="CB140" i="2"/>
  <c r="CB177" i="2" s="1"/>
  <c r="CC140" i="2"/>
  <c r="CC177" i="2" s="1"/>
  <c r="CA110" i="2"/>
  <c r="CA147" i="2" s="1"/>
  <c r="BS110" i="2"/>
  <c r="BT110" i="2"/>
  <c r="BU110" i="2"/>
  <c r="BV110" i="2"/>
  <c r="BV147" i="2" s="1"/>
  <c r="BW110" i="2"/>
  <c r="BX110" i="2"/>
  <c r="BY110" i="2"/>
  <c r="BY147" i="2" s="1"/>
  <c r="BZ110" i="2"/>
  <c r="CB110" i="2"/>
  <c r="CB147" i="2" s="1"/>
  <c r="CC110" i="2"/>
  <c r="CC147" i="2" s="1"/>
  <c r="A9" i="20"/>
  <c r="A10" i="20"/>
  <c r="A11" i="20"/>
  <c r="A12" i="20"/>
  <c r="A13" i="20"/>
  <c r="A14" i="20"/>
  <c r="A15" i="20"/>
  <c r="A16" i="20"/>
  <c r="A17" i="20"/>
  <c r="A18" i="20"/>
  <c r="A19" i="20"/>
  <c r="A20" i="20"/>
  <c r="A21" i="20"/>
  <c r="A22" i="20"/>
  <c r="A23" i="20"/>
  <c r="A24" i="20"/>
  <c r="A25" i="20"/>
  <c r="A26" i="20"/>
  <c r="A27" i="20"/>
  <c r="A28" i="20"/>
  <c r="A29" i="20"/>
  <c r="A30" i="20"/>
  <c r="A31" i="20"/>
  <c r="A32" i="20"/>
  <c r="A33" i="20"/>
  <c r="A34" i="20"/>
  <c r="A35" i="20"/>
  <c r="A36" i="20"/>
  <c r="A37" i="20"/>
  <c r="A38" i="20"/>
  <c r="A8" i="20"/>
  <c r="U74" i="20"/>
  <c r="U73" i="20"/>
  <c r="U72" i="20"/>
  <c r="U71" i="20"/>
  <c r="U70" i="20"/>
  <c r="U69" i="20"/>
  <c r="U68" i="20"/>
  <c r="U67" i="20"/>
  <c r="U66" i="20"/>
  <c r="U65" i="20"/>
  <c r="U64" i="20"/>
  <c r="U63" i="20"/>
  <c r="U62" i="20"/>
  <c r="U61" i="20"/>
  <c r="U60" i="20"/>
  <c r="U59" i="20"/>
  <c r="U58" i="20"/>
  <c r="U57" i="20"/>
  <c r="U56" i="20"/>
  <c r="U55" i="20"/>
  <c r="U54" i="20"/>
  <c r="U53" i="20"/>
  <c r="U52" i="20"/>
  <c r="U51" i="20"/>
  <c r="U50" i="20"/>
  <c r="U49" i="20"/>
  <c r="U48" i="20"/>
  <c r="U47" i="20"/>
  <c r="U46" i="20"/>
  <c r="U45" i="20"/>
  <c r="U44" i="20"/>
  <c r="U39" i="20"/>
  <c r="S39" i="20"/>
  <c r="Y75" i="20"/>
  <c r="S74" i="20"/>
  <c r="R74" i="20"/>
  <c r="S73" i="20"/>
  <c r="R73" i="20"/>
  <c r="S72" i="20"/>
  <c r="R72" i="20"/>
  <c r="S71" i="20"/>
  <c r="R71" i="20"/>
  <c r="S70" i="20"/>
  <c r="R70" i="20"/>
  <c r="S69" i="20"/>
  <c r="R69" i="20"/>
  <c r="S68" i="20"/>
  <c r="R68" i="20"/>
  <c r="S67" i="20"/>
  <c r="R67" i="20"/>
  <c r="S66" i="20"/>
  <c r="R66" i="20"/>
  <c r="S65" i="20"/>
  <c r="R65" i="20"/>
  <c r="S64" i="20"/>
  <c r="R64" i="20"/>
  <c r="S63" i="20"/>
  <c r="R63" i="20"/>
  <c r="S62" i="20"/>
  <c r="R62" i="20"/>
  <c r="S61" i="20"/>
  <c r="R61" i="20"/>
  <c r="S60" i="20"/>
  <c r="R60" i="20"/>
  <c r="S59" i="20"/>
  <c r="R59" i="20"/>
  <c r="S58" i="20"/>
  <c r="R58" i="20"/>
  <c r="S57" i="20"/>
  <c r="R57" i="20"/>
  <c r="S56" i="20"/>
  <c r="R56" i="20"/>
  <c r="S55" i="20"/>
  <c r="R55" i="20"/>
  <c r="S54" i="20"/>
  <c r="R54" i="20"/>
  <c r="S53" i="20"/>
  <c r="R53" i="20"/>
  <c r="S52" i="20"/>
  <c r="R52" i="20"/>
  <c r="S51" i="20"/>
  <c r="R51" i="20"/>
  <c r="S50" i="20"/>
  <c r="R50" i="20"/>
  <c r="S49" i="20"/>
  <c r="R49" i="20"/>
  <c r="S48" i="20"/>
  <c r="R48" i="20"/>
  <c r="S47" i="20"/>
  <c r="R47" i="20"/>
  <c r="S46" i="20"/>
  <c r="R46" i="20"/>
  <c r="S45" i="20"/>
  <c r="R45" i="20"/>
  <c r="S44" i="20"/>
  <c r="R44" i="20"/>
  <c r="R39" i="20"/>
  <c r="O76" i="14"/>
  <c r="N76" i="14"/>
  <c r="M76" i="14"/>
  <c r="L76" i="14"/>
  <c r="K76" i="14"/>
  <c r="J76" i="14"/>
  <c r="I76" i="14"/>
  <c r="H76" i="14"/>
  <c r="F76" i="14"/>
  <c r="D76" i="14"/>
  <c r="B76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B75" i="14"/>
  <c r="A75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B74" i="14"/>
  <c r="A74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B73" i="14"/>
  <c r="A73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B72" i="14"/>
  <c r="A72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B71" i="14"/>
  <c r="A71" i="14"/>
  <c r="N70" i="14"/>
  <c r="M70" i="14"/>
  <c r="L70" i="14"/>
  <c r="K70" i="14"/>
  <c r="J70" i="14"/>
  <c r="I70" i="14"/>
  <c r="H70" i="14"/>
  <c r="G70" i="14"/>
  <c r="F70" i="14"/>
  <c r="E70" i="14"/>
  <c r="D70" i="14"/>
  <c r="C70" i="14"/>
  <c r="B70" i="14"/>
  <c r="A70" i="14"/>
  <c r="N69" i="14"/>
  <c r="M69" i="14"/>
  <c r="L69" i="14"/>
  <c r="K69" i="14"/>
  <c r="J69" i="14"/>
  <c r="I69" i="14"/>
  <c r="H69" i="14"/>
  <c r="G69" i="14"/>
  <c r="F69" i="14"/>
  <c r="E69" i="14"/>
  <c r="D69" i="14"/>
  <c r="C69" i="14"/>
  <c r="B69" i="14"/>
  <c r="A69" i="14"/>
  <c r="N68" i="14"/>
  <c r="M68" i="14"/>
  <c r="L68" i="14"/>
  <c r="K68" i="14"/>
  <c r="J68" i="14"/>
  <c r="I68" i="14"/>
  <c r="H68" i="14"/>
  <c r="G68" i="14"/>
  <c r="F68" i="14"/>
  <c r="E68" i="14"/>
  <c r="D68" i="14"/>
  <c r="C68" i="14"/>
  <c r="B68" i="14"/>
  <c r="A68" i="14"/>
  <c r="N67" i="14"/>
  <c r="M67" i="14"/>
  <c r="L67" i="14"/>
  <c r="K67" i="14"/>
  <c r="J67" i="14"/>
  <c r="I67" i="14"/>
  <c r="H67" i="14"/>
  <c r="G67" i="14"/>
  <c r="F67" i="14"/>
  <c r="E67" i="14"/>
  <c r="D67" i="14"/>
  <c r="C67" i="14"/>
  <c r="B67" i="14"/>
  <c r="A67" i="14"/>
  <c r="N66" i="14"/>
  <c r="M66" i="14"/>
  <c r="L66" i="14"/>
  <c r="K66" i="14"/>
  <c r="J66" i="14"/>
  <c r="I66" i="14"/>
  <c r="H66" i="14"/>
  <c r="G66" i="14"/>
  <c r="F66" i="14"/>
  <c r="E66" i="14"/>
  <c r="D66" i="14"/>
  <c r="C66" i="14"/>
  <c r="B66" i="14"/>
  <c r="A66" i="14"/>
  <c r="N65" i="14"/>
  <c r="M65" i="14"/>
  <c r="L65" i="14"/>
  <c r="K65" i="14"/>
  <c r="J65" i="14"/>
  <c r="I65" i="14"/>
  <c r="H65" i="14"/>
  <c r="G65" i="14"/>
  <c r="F65" i="14"/>
  <c r="E65" i="14"/>
  <c r="D65" i="14"/>
  <c r="C65" i="14"/>
  <c r="B65" i="14"/>
  <c r="A65" i="14"/>
  <c r="N64" i="14"/>
  <c r="M64" i="14"/>
  <c r="L64" i="14"/>
  <c r="K64" i="14"/>
  <c r="J64" i="14"/>
  <c r="I64" i="14"/>
  <c r="H64" i="14"/>
  <c r="G64" i="14"/>
  <c r="F64" i="14"/>
  <c r="E64" i="14"/>
  <c r="D64" i="14"/>
  <c r="C64" i="14"/>
  <c r="B64" i="14"/>
  <c r="A64" i="14"/>
  <c r="N63" i="14"/>
  <c r="M63" i="14"/>
  <c r="L63" i="14"/>
  <c r="K63" i="14"/>
  <c r="J63" i="14"/>
  <c r="I63" i="14"/>
  <c r="H63" i="14"/>
  <c r="G63" i="14"/>
  <c r="F63" i="14"/>
  <c r="E63" i="14"/>
  <c r="D63" i="14"/>
  <c r="C63" i="14"/>
  <c r="B63" i="14"/>
  <c r="A63" i="14"/>
  <c r="N62" i="14"/>
  <c r="M62" i="14"/>
  <c r="L62" i="14"/>
  <c r="K62" i="14"/>
  <c r="J62" i="14"/>
  <c r="I62" i="14"/>
  <c r="H62" i="14"/>
  <c r="G62" i="14"/>
  <c r="F62" i="14"/>
  <c r="E62" i="14"/>
  <c r="D62" i="14"/>
  <c r="C62" i="14"/>
  <c r="B62" i="14"/>
  <c r="A62" i="14"/>
  <c r="N61" i="14"/>
  <c r="M61" i="14"/>
  <c r="L61" i="14"/>
  <c r="K61" i="14"/>
  <c r="J61" i="14"/>
  <c r="I61" i="14"/>
  <c r="H61" i="14"/>
  <c r="G61" i="14"/>
  <c r="F61" i="14"/>
  <c r="E61" i="14"/>
  <c r="D61" i="14"/>
  <c r="C61" i="14"/>
  <c r="B61" i="14"/>
  <c r="A61" i="14"/>
  <c r="N60" i="14"/>
  <c r="M60" i="14"/>
  <c r="L60" i="14"/>
  <c r="K60" i="14"/>
  <c r="J60" i="14"/>
  <c r="I60" i="14"/>
  <c r="H60" i="14"/>
  <c r="G60" i="14"/>
  <c r="F60" i="14"/>
  <c r="E60" i="14"/>
  <c r="D60" i="14"/>
  <c r="C60" i="14"/>
  <c r="B60" i="14"/>
  <c r="A60" i="14"/>
  <c r="N59" i="14"/>
  <c r="M59" i="14"/>
  <c r="L59" i="14"/>
  <c r="K59" i="14"/>
  <c r="J59" i="14"/>
  <c r="I59" i="14"/>
  <c r="H59" i="14"/>
  <c r="G59" i="14"/>
  <c r="F59" i="14"/>
  <c r="E59" i="14"/>
  <c r="D59" i="14"/>
  <c r="C59" i="14"/>
  <c r="B59" i="14"/>
  <c r="A59" i="14"/>
  <c r="N58" i="14"/>
  <c r="M58" i="14"/>
  <c r="L58" i="14"/>
  <c r="K58" i="14"/>
  <c r="J58" i="14"/>
  <c r="I58" i="14"/>
  <c r="H58" i="14"/>
  <c r="G58" i="14"/>
  <c r="F58" i="14"/>
  <c r="E58" i="14"/>
  <c r="D58" i="14"/>
  <c r="C58" i="14"/>
  <c r="B58" i="14"/>
  <c r="A58" i="14"/>
  <c r="N57" i="14"/>
  <c r="M57" i="14"/>
  <c r="L57" i="14"/>
  <c r="K57" i="14"/>
  <c r="J57" i="14"/>
  <c r="I57" i="14"/>
  <c r="H57" i="14"/>
  <c r="G57" i="14"/>
  <c r="F57" i="14"/>
  <c r="E57" i="14"/>
  <c r="D57" i="14"/>
  <c r="C57" i="14"/>
  <c r="B57" i="14"/>
  <c r="A57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A56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A55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A54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A53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A52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A51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A50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A49" i="14"/>
  <c r="N48" i="14"/>
  <c r="M48" i="14"/>
  <c r="L48" i="14"/>
  <c r="K48" i="14"/>
  <c r="J48" i="14"/>
  <c r="I48" i="14"/>
  <c r="H48" i="14"/>
  <c r="G48" i="14"/>
  <c r="F48" i="14"/>
  <c r="E48" i="14"/>
  <c r="D48" i="14"/>
  <c r="C48" i="14"/>
  <c r="B48" i="14"/>
  <c r="A48" i="14"/>
  <c r="N47" i="14"/>
  <c r="M47" i="14"/>
  <c r="L47" i="14"/>
  <c r="K47" i="14"/>
  <c r="J47" i="14"/>
  <c r="I47" i="14"/>
  <c r="H47" i="14"/>
  <c r="G47" i="14"/>
  <c r="F47" i="14"/>
  <c r="E47" i="14"/>
  <c r="D47" i="14"/>
  <c r="C47" i="14"/>
  <c r="B47" i="14"/>
  <c r="A47" i="14"/>
  <c r="N46" i="14"/>
  <c r="M46" i="14"/>
  <c r="L46" i="14"/>
  <c r="K46" i="14"/>
  <c r="J46" i="14"/>
  <c r="I46" i="14"/>
  <c r="H46" i="14"/>
  <c r="G46" i="14"/>
  <c r="F46" i="14"/>
  <c r="E46" i="14"/>
  <c r="D46" i="14"/>
  <c r="C46" i="14"/>
  <c r="B46" i="14"/>
  <c r="A46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A45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A44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A39" i="14"/>
  <c r="A38" i="14"/>
  <c r="A37" i="14"/>
  <c r="A36" i="14"/>
  <c r="A35" i="14"/>
  <c r="A34" i="14"/>
  <c r="A33" i="14"/>
  <c r="A32" i="14"/>
  <c r="A31" i="14"/>
  <c r="A30" i="14"/>
  <c r="A29" i="14"/>
  <c r="A28" i="14"/>
  <c r="A27" i="14"/>
  <c r="A26" i="14"/>
  <c r="A25" i="14"/>
  <c r="A24" i="14"/>
  <c r="A23" i="14"/>
  <c r="A22" i="14"/>
  <c r="A21" i="14"/>
  <c r="A20" i="14"/>
  <c r="A19" i="14"/>
  <c r="A18" i="14"/>
  <c r="A17" i="14"/>
  <c r="A16" i="14"/>
  <c r="A15" i="14"/>
  <c r="A14" i="14"/>
  <c r="A13" i="14"/>
  <c r="A12" i="14"/>
  <c r="A11" i="14"/>
  <c r="A10" i="14"/>
  <c r="A9" i="14"/>
  <c r="A8" i="14"/>
  <c r="AD6" i="14"/>
  <c r="AG11" i="16"/>
  <c r="AF11" i="16"/>
  <c r="AE11" i="16"/>
  <c r="AD11" i="16"/>
  <c r="AC11" i="16"/>
  <c r="AB11" i="16"/>
  <c r="AA11" i="16"/>
  <c r="Z11" i="16"/>
  <c r="Y11" i="16"/>
  <c r="X11" i="16"/>
  <c r="W11" i="16"/>
  <c r="V11" i="16"/>
  <c r="U11" i="16"/>
  <c r="T11" i="16"/>
  <c r="S11" i="16"/>
  <c r="R11" i="16"/>
  <c r="Q11" i="16"/>
  <c r="P11" i="16"/>
  <c r="O11" i="16"/>
  <c r="N11" i="16"/>
  <c r="M11" i="16"/>
  <c r="L11" i="16"/>
  <c r="K11" i="16"/>
  <c r="J11" i="16"/>
  <c r="I11" i="16"/>
  <c r="H11" i="16"/>
  <c r="G11" i="16"/>
  <c r="F11" i="16"/>
  <c r="E11" i="16"/>
  <c r="D11" i="16"/>
  <c r="C11" i="16"/>
  <c r="AG9" i="15"/>
  <c r="AF9" i="15"/>
  <c r="AE9" i="15"/>
  <c r="AD9" i="15"/>
  <c r="AC9" i="15"/>
  <c r="AB9" i="15"/>
  <c r="AA9" i="15"/>
  <c r="Z9" i="15"/>
  <c r="Y9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G8" i="15"/>
  <c r="AG7" i="15"/>
  <c r="AG6" i="15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Q72" i="20"/>
  <c r="P72" i="20"/>
  <c r="O72" i="20"/>
  <c r="N72" i="20"/>
  <c r="M72" i="20"/>
  <c r="L72" i="20"/>
  <c r="K72" i="20"/>
  <c r="J72" i="20"/>
  <c r="I72" i="20"/>
  <c r="H72" i="20"/>
  <c r="G72" i="20"/>
  <c r="F72" i="20"/>
  <c r="E72" i="20"/>
  <c r="D72" i="20"/>
  <c r="C72" i="20"/>
  <c r="B72" i="20"/>
  <c r="Q71" i="20"/>
  <c r="P71" i="20"/>
  <c r="O71" i="20"/>
  <c r="N71" i="20"/>
  <c r="M71" i="20"/>
  <c r="L71" i="20"/>
  <c r="K71" i="20"/>
  <c r="J71" i="20"/>
  <c r="I71" i="20"/>
  <c r="H71" i="20"/>
  <c r="G71" i="20"/>
  <c r="F71" i="20"/>
  <c r="E71" i="20"/>
  <c r="D71" i="20"/>
  <c r="C71" i="20"/>
  <c r="B71" i="20"/>
  <c r="Q70" i="20"/>
  <c r="P70" i="20"/>
  <c r="O70" i="20"/>
  <c r="N70" i="20"/>
  <c r="M70" i="20"/>
  <c r="L70" i="20"/>
  <c r="K70" i="20"/>
  <c r="J70" i="20"/>
  <c r="I70" i="20"/>
  <c r="H70" i="20"/>
  <c r="G70" i="20"/>
  <c r="F70" i="20"/>
  <c r="E70" i="20"/>
  <c r="D70" i="20"/>
  <c r="C70" i="20"/>
  <c r="B70" i="20"/>
  <c r="Q69" i="20"/>
  <c r="P69" i="20"/>
  <c r="O69" i="20"/>
  <c r="N69" i="20"/>
  <c r="M69" i="20"/>
  <c r="L69" i="20"/>
  <c r="K69" i="20"/>
  <c r="J69" i="20"/>
  <c r="I69" i="20"/>
  <c r="H69" i="20"/>
  <c r="G69" i="20"/>
  <c r="F69" i="20"/>
  <c r="E69" i="20"/>
  <c r="D69" i="20"/>
  <c r="C69" i="20"/>
  <c r="B69" i="20"/>
  <c r="Q68" i="20"/>
  <c r="P68" i="20"/>
  <c r="O68" i="20"/>
  <c r="N68" i="20"/>
  <c r="M68" i="20"/>
  <c r="L68" i="20"/>
  <c r="K68" i="20"/>
  <c r="J68" i="20"/>
  <c r="I68" i="20"/>
  <c r="H68" i="20"/>
  <c r="G68" i="20"/>
  <c r="F68" i="20"/>
  <c r="E68" i="20"/>
  <c r="D68" i="20"/>
  <c r="C68" i="20"/>
  <c r="B68" i="20"/>
  <c r="Q67" i="20"/>
  <c r="P67" i="20"/>
  <c r="O67" i="20"/>
  <c r="N67" i="20"/>
  <c r="M67" i="20"/>
  <c r="L67" i="20"/>
  <c r="K67" i="20"/>
  <c r="J67" i="20"/>
  <c r="I67" i="20"/>
  <c r="H67" i="20"/>
  <c r="G67" i="20"/>
  <c r="F67" i="20"/>
  <c r="E67" i="20"/>
  <c r="D67" i="20"/>
  <c r="C67" i="20"/>
  <c r="B67" i="20"/>
  <c r="Q66" i="20"/>
  <c r="P66" i="20"/>
  <c r="O66" i="20"/>
  <c r="N66" i="20"/>
  <c r="M66" i="20"/>
  <c r="L66" i="20"/>
  <c r="K66" i="20"/>
  <c r="J66" i="20"/>
  <c r="I66" i="20"/>
  <c r="H66" i="20"/>
  <c r="G66" i="20"/>
  <c r="F66" i="20"/>
  <c r="E66" i="20"/>
  <c r="D66" i="20"/>
  <c r="C66" i="20"/>
  <c r="B66" i="20"/>
  <c r="Q65" i="20"/>
  <c r="P65" i="20"/>
  <c r="O65" i="20"/>
  <c r="N65" i="20"/>
  <c r="M65" i="20"/>
  <c r="L65" i="20"/>
  <c r="K65" i="20"/>
  <c r="J65" i="20"/>
  <c r="I65" i="20"/>
  <c r="H65" i="20"/>
  <c r="G65" i="20"/>
  <c r="F65" i="20"/>
  <c r="E65" i="20"/>
  <c r="D65" i="20"/>
  <c r="C65" i="20"/>
  <c r="B65" i="20"/>
  <c r="Q64" i="20"/>
  <c r="P64" i="20"/>
  <c r="O64" i="20"/>
  <c r="N64" i="20"/>
  <c r="M64" i="20"/>
  <c r="L64" i="20"/>
  <c r="K64" i="20"/>
  <c r="J64" i="20"/>
  <c r="I64" i="20"/>
  <c r="H64" i="20"/>
  <c r="G64" i="20"/>
  <c r="F64" i="20"/>
  <c r="E64" i="20"/>
  <c r="D64" i="20"/>
  <c r="C64" i="20"/>
  <c r="B64" i="20"/>
  <c r="Q63" i="20"/>
  <c r="P63" i="20"/>
  <c r="O63" i="20"/>
  <c r="N63" i="20"/>
  <c r="M63" i="20"/>
  <c r="L63" i="20"/>
  <c r="K63" i="20"/>
  <c r="J63" i="20"/>
  <c r="I63" i="20"/>
  <c r="H63" i="20"/>
  <c r="G63" i="20"/>
  <c r="F63" i="20"/>
  <c r="E63" i="20"/>
  <c r="D63" i="20"/>
  <c r="C63" i="20"/>
  <c r="B63" i="20"/>
  <c r="Q62" i="20"/>
  <c r="P62" i="20"/>
  <c r="O62" i="20"/>
  <c r="N62" i="20"/>
  <c r="M62" i="20"/>
  <c r="L62" i="20"/>
  <c r="K62" i="20"/>
  <c r="J62" i="20"/>
  <c r="I62" i="20"/>
  <c r="H62" i="20"/>
  <c r="G62" i="20"/>
  <c r="F62" i="20"/>
  <c r="E62" i="20"/>
  <c r="D62" i="20"/>
  <c r="C62" i="20"/>
  <c r="B62" i="20"/>
  <c r="Q61" i="20"/>
  <c r="P61" i="20"/>
  <c r="O61" i="20"/>
  <c r="N61" i="20"/>
  <c r="M61" i="20"/>
  <c r="L61" i="20"/>
  <c r="K61" i="20"/>
  <c r="J61" i="20"/>
  <c r="I61" i="20"/>
  <c r="H61" i="20"/>
  <c r="G61" i="20"/>
  <c r="F61" i="20"/>
  <c r="E61" i="20"/>
  <c r="D61" i="20"/>
  <c r="C61" i="20"/>
  <c r="B61" i="20"/>
  <c r="Q60" i="20"/>
  <c r="P60" i="20"/>
  <c r="O60" i="20"/>
  <c r="N60" i="20"/>
  <c r="M60" i="20"/>
  <c r="L60" i="20"/>
  <c r="K60" i="20"/>
  <c r="J60" i="20"/>
  <c r="I60" i="20"/>
  <c r="H60" i="20"/>
  <c r="G60" i="20"/>
  <c r="F60" i="20"/>
  <c r="E60" i="20"/>
  <c r="D60" i="20"/>
  <c r="C60" i="20"/>
  <c r="B60" i="20"/>
  <c r="Q59" i="20"/>
  <c r="P59" i="20"/>
  <c r="O59" i="20"/>
  <c r="N59" i="20"/>
  <c r="M59" i="20"/>
  <c r="L59" i="20"/>
  <c r="K59" i="20"/>
  <c r="J59" i="20"/>
  <c r="I59" i="20"/>
  <c r="H59" i="20"/>
  <c r="G59" i="20"/>
  <c r="F59" i="20"/>
  <c r="E59" i="20"/>
  <c r="D59" i="20"/>
  <c r="C59" i="20"/>
  <c r="B59" i="20"/>
  <c r="Q58" i="20"/>
  <c r="P58" i="20"/>
  <c r="O58" i="20"/>
  <c r="N58" i="20"/>
  <c r="M58" i="20"/>
  <c r="L58" i="20"/>
  <c r="K58" i="20"/>
  <c r="J58" i="20"/>
  <c r="I58" i="20"/>
  <c r="H58" i="20"/>
  <c r="G58" i="20"/>
  <c r="F58" i="20"/>
  <c r="E58" i="20"/>
  <c r="D58" i="20"/>
  <c r="C58" i="20"/>
  <c r="B58" i="20"/>
  <c r="Q57" i="20"/>
  <c r="P57" i="20"/>
  <c r="O57" i="20"/>
  <c r="N57" i="20"/>
  <c r="M57" i="20"/>
  <c r="L57" i="20"/>
  <c r="K57" i="20"/>
  <c r="J57" i="20"/>
  <c r="I57" i="20"/>
  <c r="H57" i="20"/>
  <c r="G57" i="20"/>
  <c r="F57" i="20"/>
  <c r="E57" i="20"/>
  <c r="D57" i="20"/>
  <c r="C57" i="20"/>
  <c r="B57" i="20"/>
  <c r="Q56" i="20"/>
  <c r="P56" i="20"/>
  <c r="O56" i="20"/>
  <c r="N56" i="20"/>
  <c r="M56" i="20"/>
  <c r="L56" i="20"/>
  <c r="K56" i="20"/>
  <c r="J56" i="20"/>
  <c r="I56" i="20"/>
  <c r="H56" i="20"/>
  <c r="G56" i="20"/>
  <c r="F56" i="20"/>
  <c r="E56" i="20"/>
  <c r="D56" i="20"/>
  <c r="C56" i="20"/>
  <c r="B56" i="20"/>
  <c r="Q55" i="20"/>
  <c r="P55" i="20"/>
  <c r="O55" i="20"/>
  <c r="N55" i="20"/>
  <c r="M55" i="20"/>
  <c r="L55" i="20"/>
  <c r="K55" i="20"/>
  <c r="J55" i="20"/>
  <c r="I55" i="20"/>
  <c r="H55" i="20"/>
  <c r="G55" i="20"/>
  <c r="F55" i="20"/>
  <c r="E55" i="20"/>
  <c r="D55" i="20"/>
  <c r="C55" i="20"/>
  <c r="B55" i="20"/>
  <c r="Q54" i="20"/>
  <c r="P54" i="20"/>
  <c r="O54" i="20"/>
  <c r="N54" i="20"/>
  <c r="M54" i="20"/>
  <c r="L54" i="20"/>
  <c r="K54" i="20"/>
  <c r="J54" i="20"/>
  <c r="I54" i="20"/>
  <c r="H54" i="20"/>
  <c r="G54" i="20"/>
  <c r="F54" i="20"/>
  <c r="E54" i="20"/>
  <c r="D54" i="20"/>
  <c r="C54" i="20"/>
  <c r="B54" i="20"/>
  <c r="Q53" i="20"/>
  <c r="P53" i="20"/>
  <c r="O53" i="20"/>
  <c r="N53" i="20"/>
  <c r="M53" i="20"/>
  <c r="L53" i="20"/>
  <c r="K53" i="20"/>
  <c r="J53" i="20"/>
  <c r="I53" i="20"/>
  <c r="H53" i="20"/>
  <c r="G53" i="20"/>
  <c r="F53" i="20"/>
  <c r="E53" i="20"/>
  <c r="D53" i="20"/>
  <c r="C53" i="20"/>
  <c r="B53" i="20"/>
  <c r="Q52" i="20"/>
  <c r="P52" i="20"/>
  <c r="O52" i="20"/>
  <c r="N52" i="20"/>
  <c r="M52" i="20"/>
  <c r="L52" i="20"/>
  <c r="K52" i="20"/>
  <c r="J52" i="20"/>
  <c r="I52" i="20"/>
  <c r="H52" i="20"/>
  <c r="G52" i="20"/>
  <c r="F52" i="20"/>
  <c r="E52" i="20"/>
  <c r="D52" i="20"/>
  <c r="C52" i="20"/>
  <c r="B52" i="20"/>
  <c r="Q51" i="20"/>
  <c r="P51" i="20"/>
  <c r="O51" i="20"/>
  <c r="N51" i="20"/>
  <c r="M51" i="20"/>
  <c r="L51" i="20"/>
  <c r="K51" i="20"/>
  <c r="J51" i="20"/>
  <c r="I51" i="20"/>
  <c r="H51" i="20"/>
  <c r="G51" i="20"/>
  <c r="F51" i="20"/>
  <c r="E51" i="20"/>
  <c r="D51" i="20"/>
  <c r="C51" i="20"/>
  <c r="B51" i="20"/>
  <c r="Q50" i="20"/>
  <c r="P50" i="20"/>
  <c r="O50" i="20"/>
  <c r="N50" i="20"/>
  <c r="M50" i="20"/>
  <c r="L50" i="20"/>
  <c r="K50" i="20"/>
  <c r="J50" i="20"/>
  <c r="I50" i="20"/>
  <c r="H50" i="20"/>
  <c r="G50" i="20"/>
  <c r="F50" i="20"/>
  <c r="E50" i="20"/>
  <c r="D50" i="20"/>
  <c r="C50" i="20"/>
  <c r="B50" i="20"/>
  <c r="Q49" i="20"/>
  <c r="P49" i="20"/>
  <c r="O49" i="20"/>
  <c r="N49" i="20"/>
  <c r="M49" i="20"/>
  <c r="L49" i="20"/>
  <c r="K49" i="20"/>
  <c r="J49" i="20"/>
  <c r="I49" i="20"/>
  <c r="H49" i="20"/>
  <c r="G49" i="20"/>
  <c r="F49" i="20"/>
  <c r="E49" i="20"/>
  <c r="D49" i="20"/>
  <c r="C49" i="20"/>
  <c r="B49" i="20"/>
  <c r="Q48" i="20"/>
  <c r="P48" i="20"/>
  <c r="O48" i="20"/>
  <c r="N48" i="20"/>
  <c r="M48" i="20"/>
  <c r="L48" i="20"/>
  <c r="K48" i="20"/>
  <c r="J48" i="20"/>
  <c r="I48" i="20"/>
  <c r="H48" i="20"/>
  <c r="G48" i="20"/>
  <c r="F48" i="20"/>
  <c r="E48" i="20"/>
  <c r="D48" i="20"/>
  <c r="C48" i="20"/>
  <c r="B48" i="20"/>
  <c r="Q47" i="20"/>
  <c r="P47" i="20"/>
  <c r="O47" i="20"/>
  <c r="N47" i="20"/>
  <c r="M47" i="20"/>
  <c r="L47" i="20"/>
  <c r="K47" i="20"/>
  <c r="J47" i="20"/>
  <c r="I47" i="20"/>
  <c r="H47" i="20"/>
  <c r="G47" i="20"/>
  <c r="F47" i="20"/>
  <c r="E47" i="20"/>
  <c r="D47" i="20"/>
  <c r="C47" i="20"/>
  <c r="B47" i="20"/>
  <c r="Q46" i="20"/>
  <c r="P46" i="20"/>
  <c r="O46" i="20"/>
  <c r="N46" i="20"/>
  <c r="M46" i="20"/>
  <c r="L46" i="20"/>
  <c r="K46" i="20"/>
  <c r="J46" i="20"/>
  <c r="I46" i="20"/>
  <c r="H46" i="20"/>
  <c r="G46" i="20"/>
  <c r="F46" i="20"/>
  <c r="E46" i="20"/>
  <c r="D46" i="20"/>
  <c r="C46" i="20"/>
  <c r="B46" i="20"/>
  <c r="Q45" i="20"/>
  <c r="P45" i="20"/>
  <c r="O45" i="20"/>
  <c r="N45" i="20"/>
  <c r="M45" i="20"/>
  <c r="L45" i="20"/>
  <c r="K45" i="20"/>
  <c r="J45" i="20"/>
  <c r="I45" i="20"/>
  <c r="H45" i="20"/>
  <c r="G45" i="20"/>
  <c r="F45" i="20"/>
  <c r="E45" i="20"/>
  <c r="D45" i="20"/>
  <c r="C45" i="20"/>
  <c r="B45" i="20"/>
  <c r="Q44" i="20"/>
  <c r="P44" i="20"/>
  <c r="O44" i="20"/>
  <c r="N44" i="20"/>
  <c r="M44" i="20"/>
  <c r="L44" i="20"/>
  <c r="K44" i="20"/>
  <c r="J44" i="20"/>
  <c r="I44" i="20"/>
  <c r="H44" i="20"/>
  <c r="G44" i="20"/>
  <c r="F44" i="20"/>
  <c r="E44" i="20"/>
  <c r="D44" i="20"/>
  <c r="C44" i="20"/>
  <c r="B44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T36" i="10"/>
  <c r="DJ36" i="5"/>
  <c r="DD36" i="5"/>
  <c r="CX36" i="5"/>
  <c r="CT36" i="5"/>
  <c r="CP36" i="5"/>
  <c r="CK36" i="5"/>
  <c r="CF36" i="5"/>
  <c r="CA36" i="5"/>
  <c r="BW36" i="5"/>
  <c r="BR36" i="5"/>
  <c r="BO36" i="5"/>
  <c r="AW36" i="5"/>
  <c r="AQ36" i="5"/>
  <c r="AK36" i="5"/>
  <c r="AG36" i="5"/>
  <c r="AC36" i="5"/>
  <c r="X36" i="5"/>
  <c r="S36" i="5"/>
  <c r="N36" i="5"/>
  <c r="J36" i="5"/>
  <c r="E36" i="5"/>
  <c r="B36" i="5"/>
  <c r="FX36" i="4"/>
  <c r="FW36" i="4"/>
  <c r="FV36" i="4"/>
  <c r="FU36" i="4"/>
  <c r="FT36" i="4"/>
  <c r="FS36" i="4"/>
  <c r="FR36" i="4"/>
  <c r="FQ36" i="4"/>
  <c r="FP36" i="4"/>
  <c r="FO36" i="4"/>
  <c r="FN36" i="4"/>
  <c r="FM36" i="4"/>
  <c r="FL36" i="4"/>
  <c r="FK36" i="4"/>
  <c r="FJ36" i="4"/>
  <c r="FI36" i="4"/>
  <c r="FH36" i="4"/>
  <c r="FG36" i="4"/>
  <c r="FF36" i="4"/>
  <c r="FE36" i="4"/>
  <c r="FD36" i="4"/>
  <c r="FC36" i="4"/>
  <c r="FB36" i="4"/>
  <c r="FA36" i="4"/>
  <c r="EZ36" i="4"/>
  <c r="EY36" i="4"/>
  <c r="EX36" i="4"/>
  <c r="EW36" i="4"/>
  <c r="EV36" i="4"/>
  <c r="EU36" i="4"/>
  <c r="ET36" i="4"/>
  <c r="ES36" i="4"/>
  <c r="ER36" i="4"/>
  <c r="EQ36" i="4"/>
  <c r="EP36" i="4"/>
  <c r="DD36" i="4"/>
  <c r="DC36" i="4"/>
  <c r="DB36" i="4"/>
  <c r="DA36" i="4"/>
  <c r="CZ36" i="4"/>
  <c r="CY36" i="4"/>
  <c r="CX36" i="4"/>
  <c r="CW36" i="4"/>
  <c r="CV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GO35" i="5"/>
  <c r="GO33" i="5"/>
  <c r="GO32" i="5"/>
  <c r="GO31" i="5"/>
  <c r="GO27" i="5"/>
  <c r="GO25" i="5"/>
  <c r="GO24" i="5"/>
  <c r="GO23" i="5"/>
  <c r="GO21" i="5"/>
  <c r="GO20" i="5"/>
  <c r="GO19" i="5"/>
  <c r="GO15" i="5"/>
  <c r="GO13" i="5"/>
  <c r="GO12" i="5"/>
  <c r="GO11" i="5"/>
  <c r="GO9" i="5"/>
  <c r="GO8" i="5"/>
  <c r="GO7" i="5"/>
  <c r="CI140" i="2"/>
  <c r="CI177" i="2" s="1"/>
  <c r="CH140" i="2"/>
  <c r="CH177" i="2" s="1"/>
  <c r="CG140" i="2"/>
  <c r="CG177" i="2" s="1"/>
  <c r="CF140" i="2"/>
  <c r="CF177" i="2" s="1"/>
  <c r="CE140" i="2"/>
  <c r="CE177" i="2" s="1"/>
  <c r="CD140" i="2"/>
  <c r="BE140" i="2"/>
  <c r="BE177" i="2" s="1"/>
  <c r="BD140" i="2"/>
  <c r="BD177" i="2" s="1"/>
  <c r="BC140" i="2"/>
  <c r="BC177" i="2" s="1"/>
  <c r="BB140" i="2"/>
  <c r="BB177" i="2" s="1"/>
  <c r="BA140" i="2"/>
  <c r="BA177" i="2" s="1"/>
  <c r="AZ140" i="2"/>
  <c r="AY140" i="2"/>
  <c r="AY177" i="2" s="1"/>
  <c r="AX140" i="2"/>
  <c r="AX177" i="2" s="1"/>
  <c r="AW140" i="2"/>
  <c r="AW177" i="2" s="1"/>
  <c r="AV140" i="2"/>
  <c r="AU140" i="2"/>
  <c r="AU177" i="2" s="1"/>
  <c r="AT140" i="2"/>
  <c r="AT177" i="2" s="1"/>
  <c r="AS140" i="2"/>
  <c r="AS177" i="2" s="1"/>
  <c r="AR140" i="2"/>
  <c r="AR177" i="2" s="1"/>
  <c r="AQ140" i="2"/>
  <c r="AQ177" i="2" s="1"/>
  <c r="AP140" i="2"/>
  <c r="AP177" i="2" s="1"/>
  <c r="AO140" i="2"/>
  <c r="AN140" i="2"/>
  <c r="AM140" i="2"/>
  <c r="AM177" i="2" s="1"/>
  <c r="AL140" i="2"/>
  <c r="AL177" i="2" s="1"/>
  <c r="AK140" i="2"/>
  <c r="AK177" i="2" s="1"/>
  <c r="AJ140" i="2"/>
  <c r="AJ177" i="2" s="1"/>
  <c r="AI140" i="2"/>
  <c r="AI177" i="2" s="1"/>
  <c r="AH140" i="2"/>
  <c r="AH177" i="2" s="1"/>
  <c r="AG140" i="2"/>
  <c r="AG177" i="2" s="1"/>
  <c r="AF140" i="2"/>
  <c r="AF177" i="2" s="1"/>
  <c r="AE140" i="2"/>
  <c r="AD140" i="2"/>
  <c r="AC140" i="2"/>
  <c r="AC177" i="2" s="1"/>
  <c r="AB140" i="2"/>
  <c r="AB177" i="2" s="1"/>
  <c r="AA140" i="2"/>
  <c r="AA177" i="2" s="1"/>
  <c r="Z140" i="2"/>
  <c r="Z177" i="2" s="1"/>
  <c r="Y140" i="2"/>
  <c r="X140" i="2"/>
  <c r="X177" i="2" s="1"/>
  <c r="W140" i="2"/>
  <c r="W177" i="2" s="1"/>
  <c r="U140" i="2"/>
  <c r="U177" i="2" s="1"/>
  <c r="T140" i="2"/>
  <c r="T177" i="2" s="1"/>
  <c r="S140" i="2"/>
  <c r="R140" i="2"/>
  <c r="R177" i="2" s="1"/>
  <c r="O140" i="2"/>
  <c r="O177" i="2" s="1"/>
  <c r="N140" i="2"/>
  <c r="N177" i="2" s="1"/>
  <c r="M140" i="2"/>
  <c r="K140" i="2"/>
  <c r="K177" i="2" s="1"/>
  <c r="J140" i="2"/>
  <c r="J177" i="2" s="1"/>
  <c r="I140" i="2"/>
  <c r="I177" i="2" s="1"/>
  <c r="H140" i="2"/>
  <c r="H177" i="2" s="1"/>
  <c r="G140" i="2"/>
  <c r="D140" i="2"/>
  <c r="D177" i="2" s="1"/>
  <c r="C140" i="2"/>
  <c r="B140" i="2"/>
  <c r="CI139" i="2"/>
  <c r="CI176" i="2" s="1"/>
  <c r="CH139" i="2"/>
  <c r="CH176" i="2" s="1"/>
  <c r="CG139" i="2"/>
  <c r="CG176" i="2" s="1"/>
  <c r="CF139" i="2"/>
  <c r="CF176" i="2" s="1"/>
  <c r="CE139" i="2"/>
  <c r="CE176" i="2" s="1"/>
  <c r="CD139" i="2"/>
  <c r="BE139" i="2"/>
  <c r="BE176" i="2" s="1"/>
  <c r="BD139" i="2"/>
  <c r="BD176" i="2" s="1"/>
  <c r="BC139" i="2"/>
  <c r="BC176" i="2" s="1"/>
  <c r="BB139" i="2"/>
  <c r="BB176" i="2" s="1"/>
  <c r="BA139" i="2"/>
  <c r="BA176" i="2" s="1"/>
  <c r="AZ139" i="2"/>
  <c r="AY139" i="2"/>
  <c r="AY176" i="2" s="1"/>
  <c r="AX139" i="2"/>
  <c r="AX176" i="2" s="1"/>
  <c r="AW139" i="2"/>
  <c r="AW176" i="2" s="1"/>
  <c r="AV139" i="2"/>
  <c r="AU139" i="2"/>
  <c r="AU176" i="2" s="1"/>
  <c r="AT139" i="2"/>
  <c r="AT176" i="2" s="1"/>
  <c r="AS139" i="2"/>
  <c r="AS176" i="2" s="1"/>
  <c r="AR139" i="2"/>
  <c r="AR176" i="2" s="1"/>
  <c r="AQ139" i="2"/>
  <c r="AQ176" i="2" s="1"/>
  <c r="AP139" i="2"/>
  <c r="AP176" i="2" s="1"/>
  <c r="AO139" i="2"/>
  <c r="AN139" i="2"/>
  <c r="AM139" i="2"/>
  <c r="AM176" i="2" s="1"/>
  <c r="AL139" i="2"/>
  <c r="AL176" i="2" s="1"/>
  <c r="AK139" i="2"/>
  <c r="AK176" i="2" s="1"/>
  <c r="AJ139" i="2"/>
  <c r="AJ176" i="2" s="1"/>
  <c r="AI139" i="2"/>
  <c r="AI176" i="2" s="1"/>
  <c r="AH139" i="2"/>
  <c r="AH176" i="2" s="1"/>
  <c r="AG139" i="2"/>
  <c r="AG176" i="2" s="1"/>
  <c r="AF139" i="2"/>
  <c r="AF176" i="2" s="1"/>
  <c r="AE139" i="2"/>
  <c r="AD139" i="2"/>
  <c r="AC139" i="2"/>
  <c r="AC176" i="2" s="1"/>
  <c r="AB139" i="2"/>
  <c r="AB176" i="2" s="1"/>
  <c r="AA139" i="2"/>
  <c r="AA176" i="2" s="1"/>
  <c r="Z139" i="2"/>
  <c r="Z176" i="2" s="1"/>
  <c r="Y139" i="2"/>
  <c r="X139" i="2"/>
  <c r="X176" i="2" s="1"/>
  <c r="W139" i="2"/>
  <c r="W176" i="2" s="1"/>
  <c r="U139" i="2"/>
  <c r="U176" i="2" s="1"/>
  <c r="T139" i="2"/>
  <c r="T176" i="2" s="1"/>
  <c r="S139" i="2"/>
  <c r="R139" i="2"/>
  <c r="R176" i="2" s="1"/>
  <c r="O139" i="2"/>
  <c r="O176" i="2" s="1"/>
  <c r="N139" i="2"/>
  <c r="N176" i="2" s="1"/>
  <c r="M139" i="2"/>
  <c r="K139" i="2"/>
  <c r="K176" i="2" s="1"/>
  <c r="J139" i="2"/>
  <c r="J176" i="2" s="1"/>
  <c r="I139" i="2"/>
  <c r="I176" i="2" s="1"/>
  <c r="H139" i="2"/>
  <c r="H176" i="2" s="1"/>
  <c r="G139" i="2"/>
  <c r="D139" i="2"/>
  <c r="D176" i="2" s="1"/>
  <c r="C139" i="2"/>
  <c r="C176" i="2" s="1"/>
  <c r="B139" i="2"/>
  <c r="CI138" i="2"/>
  <c r="CI175" i="2" s="1"/>
  <c r="CH138" i="2"/>
  <c r="CH175" i="2" s="1"/>
  <c r="CG138" i="2"/>
  <c r="CG175" i="2" s="1"/>
  <c r="CF138" i="2"/>
  <c r="CF175" i="2" s="1"/>
  <c r="CE138" i="2"/>
  <c r="CE175" i="2" s="1"/>
  <c r="CD138" i="2"/>
  <c r="BE138" i="2"/>
  <c r="BE175" i="2" s="1"/>
  <c r="BD138" i="2"/>
  <c r="BD175" i="2" s="1"/>
  <c r="BC138" i="2"/>
  <c r="BC175" i="2" s="1"/>
  <c r="BB138" i="2"/>
  <c r="BB175" i="2" s="1"/>
  <c r="BA138" i="2"/>
  <c r="BA175" i="2" s="1"/>
  <c r="AZ138" i="2"/>
  <c r="AY138" i="2"/>
  <c r="AY175" i="2" s="1"/>
  <c r="AX138" i="2"/>
  <c r="AX175" i="2" s="1"/>
  <c r="AW138" i="2"/>
  <c r="AW175" i="2" s="1"/>
  <c r="AV138" i="2"/>
  <c r="AU138" i="2"/>
  <c r="AU175" i="2" s="1"/>
  <c r="AT138" i="2"/>
  <c r="AT175" i="2" s="1"/>
  <c r="AS138" i="2"/>
  <c r="AS175" i="2" s="1"/>
  <c r="AR138" i="2"/>
  <c r="AR175" i="2" s="1"/>
  <c r="AQ138" i="2"/>
  <c r="AQ175" i="2" s="1"/>
  <c r="AP138" i="2"/>
  <c r="AP175" i="2" s="1"/>
  <c r="AO138" i="2"/>
  <c r="AN138" i="2"/>
  <c r="AM138" i="2"/>
  <c r="AM175" i="2" s="1"/>
  <c r="AL138" i="2"/>
  <c r="AL175" i="2" s="1"/>
  <c r="AK138" i="2"/>
  <c r="AK175" i="2" s="1"/>
  <c r="AJ138" i="2"/>
  <c r="AJ175" i="2" s="1"/>
  <c r="AI138" i="2"/>
  <c r="AI175" i="2" s="1"/>
  <c r="AH138" i="2"/>
  <c r="AH175" i="2" s="1"/>
  <c r="AG138" i="2"/>
  <c r="AG175" i="2" s="1"/>
  <c r="AF138" i="2"/>
  <c r="AF175" i="2" s="1"/>
  <c r="AE138" i="2"/>
  <c r="AD138" i="2"/>
  <c r="AC138" i="2"/>
  <c r="AC175" i="2" s="1"/>
  <c r="AB138" i="2"/>
  <c r="AB175" i="2" s="1"/>
  <c r="AA138" i="2"/>
  <c r="AA175" i="2" s="1"/>
  <c r="Z138" i="2"/>
  <c r="Z175" i="2" s="1"/>
  <c r="Y138" i="2"/>
  <c r="X138" i="2"/>
  <c r="X175" i="2" s="1"/>
  <c r="W138" i="2"/>
  <c r="W175" i="2" s="1"/>
  <c r="U138" i="2"/>
  <c r="U175" i="2" s="1"/>
  <c r="T138" i="2"/>
  <c r="T175" i="2" s="1"/>
  <c r="S138" i="2"/>
  <c r="R138" i="2"/>
  <c r="R175" i="2" s="1"/>
  <c r="O138" i="2"/>
  <c r="O175" i="2" s="1"/>
  <c r="N138" i="2"/>
  <c r="N175" i="2" s="1"/>
  <c r="M138" i="2"/>
  <c r="K138" i="2"/>
  <c r="K175" i="2" s="1"/>
  <c r="J138" i="2"/>
  <c r="J175" i="2" s="1"/>
  <c r="I138" i="2"/>
  <c r="I175" i="2" s="1"/>
  <c r="H138" i="2"/>
  <c r="H175" i="2" s="1"/>
  <c r="G138" i="2"/>
  <c r="D138" i="2"/>
  <c r="D175" i="2" s="1"/>
  <c r="C138" i="2"/>
  <c r="B138" i="2"/>
  <c r="CI137" i="2"/>
  <c r="CI174" i="2" s="1"/>
  <c r="CH137" i="2"/>
  <c r="CH174" i="2" s="1"/>
  <c r="CG137" i="2"/>
  <c r="CG174" i="2" s="1"/>
  <c r="CF137" i="2"/>
  <c r="CF174" i="2" s="1"/>
  <c r="CE137" i="2"/>
  <c r="CE174" i="2" s="1"/>
  <c r="CD137" i="2"/>
  <c r="BE137" i="2"/>
  <c r="BE174" i="2" s="1"/>
  <c r="BD137" i="2"/>
  <c r="BD174" i="2" s="1"/>
  <c r="BC137" i="2"/>
  <c r="BC174" i="2" s="1"/>
  <c r="BB137" i="2"/>
  <c r="BB174" i="2" s="1"/>
  <c r="BA137" i="2"/>
  <c r="BA174" i="2" s="1"/>
  <c r="AZ137" i="2"/>
  <c r="AY137" i="2"/>
  <c r="AY174" i="2" s="1"/>
  <c r="AX137" i="2"/>
  <c r="AX174" i="2" s="1"/>
  <c r="AW137" i="2"/>
  <c r="AW174" i="2" s="1"/>
  <c r="AV137" i="2"/>
  <c r="AU137" i="2"/>
  <c r="AU174" i="2" s="1"/>
  <c r="AT137" i="2"/>
  <c r="AT174" i="2" s="1"/>
  <c r="AS137" i="2"/>
  <c r="AS174" i="2" s="1"/>
  <c r="AR137" i="2"/>
  <c r="AR174" i="2" s="1"/>
  <c r="AQ137" i="2"/>
  <c r="AQ174" i="2" s="1"/>
  <c r="AP137" i="2"/>
  <c r="AP174" i="2" s="1"/>
  <c r="AO137" i="2"/>
  <c r="AN137" i="2"/>
  <c r="AM137" i="2"/>
  <c r="AM174" i="2" s="1"/>
  <c r="AL137" i="2"/>
  <c r="AL174" i="2" s="1"/>
  <c r="AK137" i="2"/>
  <c r="AK174" i="2" s="1"/>
  <c r="AJ137" i="2"/>
  <c r="AJ174" i="2" s="1"/>
  <c r="AI137" i="2"/>
  <c r="AI174" i="2" s="1"/>
  <c r="AH137" i="2"/>
  <c r="AH174" i="2" s="1"/>
  <c r="AG137" i="2"/>
  <c r="AG174" i="2" s="1"/>
  <c r="AF137" i="2"/>
  <c r="AF174" i="2" s="1"/>
  <c r="AE137" i="2"/>
  <c r="AD137" i="2"/>
  <c r="AC137" i="2"/>
  <c r="AC174" i="2" s="1"/>
  <c r="AB137" i="2"/>
  <c r="AB174" i="2" s="1"/>
  <c r="AA137" i="2"/>
  <c r="AA174" i="2" s="1"/>
  <c r="Z137" i="2"/>
  <c r="Z174" i="2" s="1"/>
  <c r="Y137" i="2"/>
  <c r="X137" i="2"/>
  <c r="X174" i="2" s="1"/>
  <c r="W137" i="2"/>
  <c r="W174" i="2" s="1"/>
  <c r="U137" i="2"/>
  <c r="U174" i="2" s="1"/>
  <c r="T137" i="2"/>
  <c r="T174" i="2" s="1"/>
  <c r="S137" i="2"/>
  <c r="R137" i="2"/>
  <c r="R174" i="2" s="1"/>
  <c r="O137" i="2"/>
  <c r="O174" i="2" s="1"/>
  <c r="N137" i="2"/>
  <c r="N174" i="2" s="1"/>
  <c r="M137" i="2"/>
  <c r="K137" i="2"/>
  <c r="K174" i="2" s="1"/>
  <c r="J137" i="2"/>
  <c r="J174" i="2" s="1"/>
  <c r="I137" i="2"/>
  <c r="I174" i="2" s="1"/>
  <c r="H137" i="2"/>
  <c r="H174" i="2" s="1"/>
  <c r="G137" i="2"/>
  <c r="D137" i="2"/>
  <c r="D174" i="2" s="1"/>
  <c r="C137" i="2"/>
  <c r="C174" i="2" s="1"/>
  <c r="B137" i="2"/>
  <c r="CI136" i="2"/>
  <c r="CI173" i="2" s="1"/>
  <c r="CH136" i="2"/>
  <c r="CH173" i="2" s="1"/>
  <c r="CG136" i="2"/>
  <c r="CG173" i="2" s="1"/>
  <c r="CF136" i="2"/>
  <c r="CF173" i="2" s="1"/>
  <c r="CE136" i="2"/>
  <c r="CE173" i="2" s="1"/>
  <c r="CD136" i="2"/>
  <c r="BE136" i="2"/>
  <c r="BE173" i="2" s="1"/>
  <c r="BD136" i="2"/>
  <c r="BD173" i="2" s="1"/>
  <c r="BC136" i="2"/>
  <c r="BC173" i="2" s="1"/>
  <c r="BB136" i="2"/>
  <c r="BB173" i="2" s="1"/>
  <c r="BA136" i="2"/>
  <c r="BA173" i="2" s="1"/>
  <c r="AZ136" i="2"/>
  <c r="AY136" i="2"/>
  <c r="AY173" i="2" s="1"/>
  <c r="AX136" i="2"/>
  <c r="AX173" i="2" s="1"/>
  <c r="AW136" i="2"/>
  <c r="AW173" i="2" s="1"/>
  <c r="AV136" i="2"/>
  <c r="AU136" i="2"/>
  <c r="AU173" i="2" s="1"/>
  <c r="AT136" i="2"/>
  <c r="AT173" i="2" s="1"/>
  <c r="AS136" i="2"/>
  <c r="AS173" i="2" s="1"/>
  <c r="AR136" i="2"/>
  <c r="AR173" i="2" s="1"/>
  <c r="AQ136" i="2"/>
  <c r="AQ173" i="2" s="1"/>
  <c r="AP136" i="2"/>
  <c r="AP173" i="2" s="1"/>
  <c r="AO136" i="2"/>
  <c r="AN136" i="2"/>
  <c r="AM136" i="2"/>
  <c r="AM173" i="2" s="1"/>
  <c r="AL136" i="2"/>
  <c r="AL173" i="2" s="1"/>
  <c r="AK136" i="2"/>
  <c r="AK173" i="2" s="1"/>
  <c r="AJ136" i="2"/>
  <c r="AJ173" i="2" s="1"/>
  <c r="AI136" i="2"/>
  <c r="AI173" i="2" s="1"/>
  <c r="AH136" i="2"/>
  <c r="AH173" i="2" s="1"/>
  <c r="AG136" i="2"/>
  <c r="AG173" i="2" s="1"/>
  <c r="AF136" i="2"/>
  <c r="AF173" i="2" s="1"/>
  <c r="AE136" i="2"/>
  <c r="AD136" i="2"/>
  <c r="AC136" i="2"/>
  <c r="AC173" i="2" s="1"/>
  <c r="AB136" i="2"/>
  <c r="AB173" i="2" s="1"/>
  <c r="AA136" i="2"/>
  <c r="AA173" i="2" s="1"/>
  <c r="Z136" i="2"/>
  <c r="Z173" i="2" s="1"/>
  <c r="Y136" i="2"/>
  <c r="X136" i="2"/>
  <c r="X173" i="2" s="1"/>
  <c r="W136" i="2"/>
  <c r="W173" i="2" s="1"/>
  <c r="U136" i="2"/>
  <c r="U173" i="2" s="1"/>
  <c r="T136" i="2"/>
  <c r="T173" i="2" s="1"/>
  <c r="S136" i="2"/>
  <c r="R136" i="2"/>
  <c r="R173" i="2" s="1"/>
  <c r="O136" i="2"/>
  <c r="O173" i="2" s="1"/>
  <c r="N136" i="2"/>
  <c r="N173" i="2" s="1"/>
  <c r="M136" i="2"/>
  <c r="K136" i="2"/>
  <c r="K173" i="2" s="1"/>
  <c r="J136" i="2"/>
  <c r="J173" i="2" s="1"/>
  <c r="I136" i="2"/>
  <c r="I173" i="2" s="1"/>
  <c r="H136" i="2"/>
  <c r="H173" i="2" s="1"/>
  <c r="G136" i="2"/>
  <c r="D136" i="2"/>
  <c r="D173" i="2" s="1"/>
  <c r="C136" i="2"/>
  <c r="B136" i="2"/>
  <c r="CI135" i="2"/>
  <c r="CI172" i="2" s="1"/>
  <c r="CH135" i="2"/>
  <c r="CH172" i="2" s="1"/>
  <c r="CG135" i="2"/>
  <c r="CG172" i="2" s="1"/>
  <c r="CF135" i="2"/>
  <c r="CF172" i="2" s="1"/>
  <c r="CE135" i="2"/>
  <c r="CE172" i="2" s="1"/>
  <c r="CD135" i="2"/>
  <c r="BE135" i="2"/>
  <c r="BE172" i="2" s="1"/>
  <c r="BD135" i="2"/>
  <c r="BD172" i="2" s="1"/>
  <c r="BC135" i="2"/>
  <c r="BC172" i="2" s="1"/>
  <c r="BB135" i="2"/>
  <c r="BB172" i="2" s="1"/>
  <c r="BA135" i="2"/>
  <c r="BA172" i="2" s="1"/>
  <c r="AZ135" i="2"/>
  <c r="AY135" i="2"/>
  <c r="AY172" i="2" s="1"/>
  <c r="AX135" i="2"/>
  <c r="AX172" i="2" s="1"/>
  <c r="AW135" i="2"/>
  <c r="AW172" i="2" s="1"/>
  <c r="AV135" i="2"/>
  <c r="AU135" i="2"/>
  <c r="AU172" i="2" s="1"/>
  <c r="AT135" i="2"/>
  <c r="AT172" i="2" s="1"/>
  <c r="AS135" i="2"/>
  <c r="AS172" i="2" s="1"/>
  <c r="AR135" i="2"/>
  <c r="AR172" i="2" s="1"/>
  <c r="AQ135" i="2"/>
  <c r="AQ172" i="2" s="1"/>
  <c r="AP135" i="2"/>
  <c r="AP172" i="2" s="1"/>
  <c r="AO135" i="2"/>
  <c r="AN135" i="2"/>
  <c r="AM135" i="2"/>
  <c r="AM172" i="2" s="1"/>
  <c r="AL135" i="2"/>
  <c r="AL172" i="2" s="1"/>
  <c r="AK135" i="2"/>
  <c r="AK172" i="2" s="1"/>
  <c r="AJ135" i="2"/>
  <c r="AJ172" i="2" s="1"/>
  <c r="AI135" i="2"/>
  <c r="AI172" i="2" s="1"/>
  <c r="AH135" i="2"/>
  <c r="AH172" i="2" s="1"/>
  <c r="AG135" i="2"/>
  <c r="AG172" i="2" s="1"/>
  <c r="AF135" i="2"/>
  <c r="AF172" i="2" s="1"/>
  <c r="AE135" i="2"/>
  <c r="AD135" i="2"/>
  <c r="AC135" i="2"/>
  <c r="AC172" i="2" s="1"/>
  <c r="AB135" i="2"/>
  <c r="AB172" i="2" s="1"/>
  <c r="AA135" i="2"/>
  <c r="AA172" i="2" s="1"/>
  <c r="Z135" i="2"/>
  <c r="Z172" i="2" s="1"/>
  <c r="Y135" i="2"/>
  <c r="X135" i="2"/>
  <c r="X172" i="2" s="1"/>
  <c r="W135" i="2"/>
  <c r="W172" i="2" s="1"/>
  <c r="U135" i="2"/>
  <c r="U172" i="2" s="1"/>
  <c r="T135" i="2"/>
  <c r="T172" i="2" s="1"/>
  <c r="S135" i="2"/>
  <c r="R135" i="2"/>
  <c r="R172" i="2" s="1"/>
  <c r="O135" i="2"/>
  <c r="O172" i="2" s="1"/>
  <c r="N135" i="2"/>
  <c r="N172" i="2" s="1"/>
  <c r="M135" i="2"/>
  <c r="K135" i="2"/>
  <c r="K172" i="2" s="1"/>
  <c r="J135" i="2"/>
  <c r="J172" i="2" s="1"/>
  <c r="I135" i="2"/>
  <c r="I172" i="2" s="1"/>
  <c r="H135" i="2"/>
  <c r="H172" i="2" s="1"/>
  <c r="G135" i="2"/>
  <c r="D135" i="2"/>
  <c r="D172" i="2" s="1"/>
  <c r="C135" i="2"/>
  <c r="C172" i="2" s="1"/>
  <c r="B135" i="2"/>
  <c r="CI134" i="2"/>
  <c r="CI171" i="2" s="1"/>
  <c r="CH134" i="2"/>
  <c r="CH171" i="2" s="1"/>
  <c r="CG134" i="2"/>
  <c r="CG171" i="2" s="1"/>
  <c r="CF134" i="2"/>
  <c r="CF171" i="2" s="1"/>
  <c r="CE134" i="2"/>
  <c r="CE171" i="2" s="1"/>
  <c r="CD134" i="2"/>
  <c r="BE134" i="2"/>
  <c r="BE171" i="2" s="1"/>
  <c r="BD134" i="2"/>
  <c r="BD171" i="2" s="1"/>
  <c r="BC134" i="2"/>
  <c r="BC171" i="2" s="1"/>
  <c r="BB134" i="2"/>
  <c r="BB171" i="2" s="1"/>
  <c r="BA134" i="2"/>
  <c r="BA171" i="2" s="1"/>
  <c r="AZ134" i="2"/>
  <c r="AY134" i="2"/>
  <c r="AY171" i="2" s="1"/>
  <c r="AX134" i="2"/>
  <c r="AX171" i="2" s="1"/>
  <c r="AW134" i="2"/>
  <c r="AW171" i="2" s="1"/>
  <c r="AV134" i="2"/>
  <c r="AU134" i="2"/>
  <c r="AU171" i="2" s="1"/>
  <c r="AT134" i="2"/>
  <c r="AT171" i="2" s="1"/>
  <c r="AS134" i="2"/>
  <c r="AS171" i="2" s="1"/>
  <c r="AR134" i="2"/>
  <c r="AR171" i="2" s="1"/>
  <c r="AQ134" i="2"/>
  <c r="AQ171" i="2" s="1"/>
  <c r="AP134" i="2"/>
  <c r="AP171" i="2" s="1"/>
  <c r="AO134" i="2"/>
  <c r="AN134" i="2"/>
  <c r="AM134" i="2"/>
  <c r="AM171" i="2" s="1"/>
  <c r="AL134" i="2"/>
  <c r="AL171" i="2" s="1"/>
  <c r="AK134" i="2"/>
  <c r="AK171" i="2" s="1"/>
  <c r="AJ134" i="2"/>
  <c r="AJ171" i="2" s="1"/>
  <c r="AI134" i="2"/>
  <c r="AI171" i="2" s="1"/>
  <c r="AH134" i="2"/>
  <c r="AH171" i="2" s="1"/>
  <c r="AG134" i="2"/>
  <c r="AG171" i="2" s="1"/>
  <c r="AF134" i="2"/>
  <c r="AF171" i="2" s="1"/>
  <c r="AE134" i="2"/>
  <c r="AD134" i="2"/>
  <c r="AC134" i="2"/>
  <c r="AC171" i="2" s="1"/>
  <c r="AB134" i="2"/>
  <c r="AB171" i="2" s="1"/>
  <c r="AA134" i="2"/>
  <c r="AA171" i="2" s="1"/>
  <c r="Z134" i="2"/>
  <c r="Z171" i="2" s="1"/>
  <c r="Y134" i="2"/>
  <c r="X134" i="2"/>
  <c r="X171" i="2" s="1"/>
  <c r="W134" i="2"/>
  <c r="W171" i="2" s="1"/>
  <c r="U134" i="2"/>
  <c r="U171" i="2" s="1"/>
  <c r="T134" i="2"/>
  <c r="T171" i="2" s="1"/>
  <c r="S134" i="2"/>
  <c r="R134" i="2"/>
  <c r="R171" i="2" s="1"/>
  <c r="O134" i="2"/>
  <c r="O171" i="2" s="1"/>
  <c r="N134" i="2"/>
  <c r="N171" i="2" s="1"/>
  <c r="M134" i="2"/>
  <c r="K134" i="2"/>
  <c r="K171" i="2" s="1"/>
  <c r="J134" i="2"/>
  <c r="J171" i="2" s="1"/>
  <c r="I134" i="2"/>
  <c r="I171" i="2" s="1"/>
  <c r="H134" i="2"/>
  <c r="H171" i="2" s="1"/>
  <c r="G134" i="2"/>
  <c r="D134" i="2"/>
  <c r="D171" i="2" s="1"/>
  <c r="C134" i="2"/>
  <c r="B134" i="2"/>
  <c r="CI133" i="2"/>
  <c r="CI170" i="2" s="1"/>
  <c r="CH133" i="2"/>
  <c r="CH170" i="2" s="1"/>
  <c r="CG133" i="2"/>
  <c r="CG170" i="2" s="1"/>
  <c r="CF133" i="2"/>
  <c r="CF170" i="2" s="1"/>
  <c r="CE133" i="2"/>
  <c r="CE170" i="2" s="1"/>
  <c r="CD133" i="2"/>
  <c r="BE133" i="2"/>
  <c r="BE170" i="2" s="1"/>
  <c r="BD133" i="2"/>
  <c r="BD170" i="2" s="1"/>
  <c r="BC133" i="2"/>
  <c r="BC170" i="2" s="1"/>
  <c r="BB133" i="2"/>
  <c r="BB170" i="2" s="1"/>
  <c r="BA133" i="2"/>
  <c r="BA170" i="2" s="1"/>
  <c r="AZ133" i="2"/>
  <c r="AY133" i="2"/>
  <c r="AY170" i="2" s="1"/>
  <c r="AX133" i="2"/>
  <c r="AX170" i="2" s="1"/>
  <c r="AW133" i="2"/>
  <c r="AW170" i="2" s="1"/>
  <c r="AV133" i="2"/>
  <c r="AU133" i="2"/>
  <c r="AU170" i="2" s="1"/>
  <c r="AT133" i="2"/>
  <c r="AT170" i="2" s="1"/>
  <c r="AS133" i="2"/>
  <c r="AS170" i="2" s="1"/>
  <c r="AR133" i="2"/>
  <c r="AR170" i="2" s="1"/>
  <c r="AQ133" i="2"/>
  <c r="AQ170" i="2" s="1"/>
  <c r="AP133" i="2"/>
  <c r="AP170" i="2" s="1"/>
  <c r="AO133" i="2"/>
  <c r="AN133" i="2"/>
  <c r="AM133" i="2"/>
  <c r="AM170" i="2" s="1"/>
  <c r="AL133" i="2"/>
  <c r="AL170" i="2" s="1"/>
  <c r="AK133" i="2"/>
  <c r="AK170" i="2" s="1"/>
  <c r="AJ133" i="2"/>
  <c r="AJ170" i="2" s="1"/>
  <c r="AI133" i="2"/>
  <c r="AI170" i="2" s="1"/>
  <c r="AH133" i="2"/>
  <c r="AH170" i="2" s="1"/>
  <c r="AG133" i="2"/>
  <c r="AG170" i="2" s="1"/>
  <c r="AF133" i="2"/>
  <c r="AF170" i="2" s="1"/>
  <c r="AE133" i="2"/>
  <c r="AD133" i="2"/>
  <c r="AC133" i="2"/>
  <c r="AC170" i="2" s="1"/>
  <c r="AB133" i="2"/>
  <c r="AB170" i="2" s="1"/>
  <c r="AA133" i="2"/>
  <c r="AA170" i="2" s="1"/>
  <c r="Z133" i="2"/>
  <c r="Z170" i="2" s="1"/>
  <c r="Y133" i="2"/>
  <c r="X133" i="2"/>
  <c r="X170" i="2" s="1"/>
  <c r="W133" i="2"/>
  <c r="W170" i="2" s="1"/>
  <c r="U133" i="2"/>
  <c r="U170" i="2" s="1"/>
  <c r="T133" i="2"/>
  <c r="T170" i="2" s="1"/>
  <c r="S133" i="2"/>
  <c r="R133" i="2"/>
  <c r="R170" i="2" s="1"/>
  <c r="O133" i="2"/>
  <c r="O170" i="2" s="1"/>
  <c r="N133" i="2"/>
  <c r="N170" i="2" s="1"/>
  <c r="M133" i="2"/>
  <c r="K133" i="2"/>
  <c r="K170" i="2" s="1"/>
  <c r="J133" i="2"/>
  <c r="J170" i="2" s="1"/>
  <c r="I133" i="2"/>
  <c r="I170" i="2" s="1"/>
  <c r="H133" i="2"/>
  <c r="H170" i="2" s="1"/>
  <c r="G133" i="2"/>
  <c r="D133" i="2"/>
  <c r="D170" i="2" s="1"/>
  <c r="C133" i="2"/>
  <c r="C170" i="2" s="1"/>
  <c r="B133" i="2"/>
  <c r="CI132" i="2"/>
  <c r="CI169" i="2" s="1"/>
  <c r="CH132" i="2"/>
  <c r="CH169" i="2" s="1"/>
  <c r="CG132" i="2"/>
  <c r="CG169" i="2" s="1"/>
  <c r="CF132" i="2"/>
  <c r="CF169" i="2" s="1"/>
  <c r="CE132" i="2"/>
  <c r="CE169" i="2" s="1"/>
  <c r="CD132" i="2"/>
  <c r="BE132" i="2"/>
  <c r="BE169" i="2" s="1"/>
  <c r="BD132" i="2"/>
  <c r="BD169" i="2" s="1"/>
  <c r="BC132" i="2"/>
  <c r="BC169" i="2" s="1"/>
  <c r="BB132" i="2"/>
  <c r="BB169" i="2" s="1"/>
  <c r="BA132" i="2"/>
  <c r="BA169" i="2" s="1"/>
  <c r="AZ132" i="2"/>
  <c r="AY132" i="2"/>
  <c r="AY169" i="2" s="1"/>
  <c r="AX132" i="2"/>
  <c r="AX169" i="2" s="1"/>
  <c r="AW132" i="2"/>
  <c r="AW169" i="2" s="1"/>
  <c r="AV132" i="2"/>
  <c r="AU132" i="2"/>
  <c r="AU169" i="2" s="1"/>
  <c r="AT132" i="2"/>
  <c r="AT169" i="2" s="1"/>
  <c r="AS132" i="2"/>
  <c r="AS169" i="2" s="1"/>
  <c r="AR132" i="2"/>
  <c r="AR169" i="2" s="1"/>
  <c r="AQ132" i="2"/>
  <c r="AQ169" i="2" s="1"/>
  <c r="AP132" i="2"/>
  <c r="AP169" i="2" s="1"/>
  <c r="AO132" i="2"/>
  <c r="AN132" i="2"/>
  <c r="AM132" i="2"/>
  <c r="AM169" i="2" s="1"/>
  <c r="AL132" i="2"/>
  <c r="AL169" i="2" s="1"/>
  <c r="AK132" i="2"/>
  <c r="AK169" i="2" s="1"/>
  <c r="AJ132" i="2"/>
  <c r="AJ169" i="2" s="1"/>
  <c r="AI132" i="2"/>
  <c r="AI169" i="2" s="1"/>
  <c r="AH132" i="2"/>
  <c r="AH169" i="2" s="1"/>
  <c r="AG132" i="2"/>
  <c r="AG169" i="2" s="1"/>
  <c r="AF132" i="2"/>
  <c r="AF169" i="2" s="1"/>
  <c r="AE132" i="2"/>
  <c r="AD132" i="2"/>
  <c r="AC132" i="2"/>
  <c r="AC169" i="2" s="1"/>
  <c r="AB132" i="2"/>
  <c r="AB169" i="2" s="1"/>
  <c r="AA132" i="2"/>
  <c r="AA169" i="2" s="1"/>
  <c r="Z132" i="2"/>
  <c r="Z169" i="2" s="1"/>
  <c r="Y132" i="2"/>
  <c r="X132" i="2"/>
  <c r="X169" i="2" s="1"/>
  <c r="W132" i="2"/>
  <c r="W169" i="2" s="1"/>
  <c r="U132" i="2"/>
  <c r="U169" i="2" s="1"/>
  <c r="T132" i="2"/>
  <c r="T169" i="2" s="1"/>
  <c r="S132" i="2"/>
  <c r="R132" i="2"/>
  <c r="R169" i="2" s="1"/>
  <c r="O132" i="2"/>
  <c r="O169" i="2" s="1"/>
  <c r="N132" i="2"/>
  <c r="N169" i="2" s="1"/>
  <c r="M132" i="2"/>
  <c r="K132" i="2"/>
  <c r="K169" i="2" s="1"/>
  <c r="J132" i="2"/>
  <c r="J169" i="2" s="1"/>
  <c r="I132" i="2"/>
  <c r="I169" i="2" s="1"/>
  <c r="H132" i="2"/>
  <c r="H169" i="2" s="1"/>
  <c r="G132" i="2"/>
  <c r="D132" i="2"/>
  <c r="D169" i="2" s="1"/>
  <c r="C132" i="2"/>
  <c r="B132" i="2"/>
  <c r="CI131" i="2"/>
  <c r="CI168" i="2" s="1"/>
  <c r="CH131" i="2"/>
  <c r="CH168" i="2" s="1"/>
  <c r="CG131" i="2"/>
  <c r="CG168" i="2" s="1"/>
  <c r="CF131" i="2"/>
  <c r="CF168" i="2" s="1"/>
  <c r="CE131" i="2"/>
  <c r="CE168" i="2" s="1"/>
  <c r="CD131" i="2"/>
  <c r="BE131" i="2"/>
  <c r="BE168" i="2" s="1"/>
  <c r="BD131" i="2"/>
  <c r="BD168" i="2" s="1"/>
  <c r="BC131" i="2"/>
  <c r="BC168" i="2" s="1"/>
  <c r="BB131" i="2"/>
  <c r="BB168" i="2" s="1"/>
  <c r="BA131" i="2"/>
  <c r="BA168" i="2" s="1"/>
  <c r="AZ131" i="2"/>
  <c r="AY131" i="2"/>
  <c r="AY168" i="2" s="1"/>
  <c r="AX131" i="2"/>
  <c r="AX168" i="2" s="1"/>
  <c r="AW131" i="2"/>
  <c r="AW168" i="2" s="1"/>
  <c r="AV131" i="2"/>
  <c r="AU131" i="2"/>
  <c r="AU168" i="2" s="1"/>
  <c r="AT131" i="2"/>
  <c r="AT168" i="2" s="1"/>
  <c r="AS131" i="2"/>
  <c r="AS168" i="2" s="1"/>
  <c r="AR131" i="2"/>
  <c r="AR168" i="2" s="1"/>
  <c r="AQ131" i="2"/>
  <c r="AQ168" i="2" s="1"/>
  <c r="AP131" i="2"/>
  <c r="AP168" i="2" s="1"/>
  <c r="AO131" i="2"/>
  <c r="AN131" i="2"/>
  <c r="AM131" i="2"/>
  <c r="AM168" i="2" s="1"/>
  <c r="AL131" i="2"/>
  <c r="AL168" i="2" s="1"/>
  <c r="AK131" i="2"/>
  <c r="AK168" i="2" s="1"/>
  <c r="AJ131" i="2"/>
  <c r="AJ168" i="2" s="1"/>
  <c r="AI131" i="2"/>
  <c r="AI168" i="2" s="1"/>
  <c r="AH131" i="2"/>
  <c r="AH168" i="2" s="1"/>
  <c r="AG131" i="2"/>
  <c r="AG168" i="2" s="1"/>
  <c r="AF131" i="2"/>
  <c r="AF168" i="2" s="1"/>
  <c r="AE131" i="2"/>
  <c r="AD131" i="2"/>
  <c r="AC131" i="2"/>
  <c r="AC168" i="2" s="1"/>
  <c r="AB131" i="2"/>
  <c r="AB168" i="2" s="1"/>
  <c r="AA131" i="2"/>
  <c r="AA168" i="2" s="1"/>
  <c r="Z131" i="2"/>
  <c r="Z168" i="2" s="1"/>
  <c r="Y131" i="2"/>
  <c r="X131" i="2"/>
  <c r="X168" i="2" s="1"/>
  <c r="W131" i="2"/>
  <c r="W168" i="2" s="1"/>
  <c r="U131" i="2"/>
  <c r="U168" i="2" s="1"/>
  <c r="T131" i="2"/>
  <c r="T168" i="2" s="1"/>
  <c r="S131" i="2"/>
  <c r="R131" i="2"/>
  <c r="R168" i="2" s="1"/>
  <c r="O131" i="2"/>
  <c r="O168" i="2" s="1"/>
  <c r="N131" i="2"/>
  <c r="N168" i="2" s="1"/>
  <c r="M131" i="2"/>
  <c r="K131" i="2"/>
  <c r="K168" i="2" s="1"/>
  <c r="J131" i="2"/>
  <c r="J168" i="2" s="1"/>
  <c r="I131" i="2"/>
  <c r="I168" i="2" s="1"/>
  <c r="H131" i="2"/>
  <c r="H168" i="2" s="1"/>
  <c r="G131" i="2"/>
  <c r="D131" i="2"/>
  <c r="D168" i="2" s="1"/>
  <c r="C131" i="2"/>
  <c r="C168" i="2" s="1"/>
  <c r="B131" i="2"/>
  <c r="CI130" i="2"/>
  <c r="CI167" i="2" s="1"/>
  <c r="CH130" i="2"/>
  <c r="CH167" i="2" s="1"/>
  <c r="CG130" i="2"/>
  <c r="CG167" i="2" s="1"/>
  <c r="CF130" i="2"/>
  <c r="CF167" i="2" s="1"/>
  <c r="CE130" i="2"/>
  <c r="CE167" i="2" s="1"/>
  <c r="CD130" i="2"/>
  <c r="BE130" i="2"/>
  <c r="BE167" i="2" s="1"/>
  <c r="BD130" i="2"/>
  <c r="BD167" i="2" s="1"/>
  <c r="BC130" i="2"/>
  <c r="BC167" i="2" s="1"/>
  <c r="BB130" i="2"/>
  <c r="BB167" i="2" s="1"/>
  <c r="BA130" i="2"/>
  <c r="BA167" i="2" s="1"/>
  <c r="AZ130" i="2"/>
  <c r="AY130" i="2"/>
  <c r="AY167" i="2" s="1"/>
  <c r="AX130" i="2"/>
  <c r="AX167" i="2" s="1"/>
  <c r="AW130" i="2"/>
  <c r="AW167" i="2" s="1"/>
  <c r="AV130" i="2"/>
  <c r="AU130" i="2"/>
  <c r="AU167" i="2" s="1"/>
  <c r="AT130" i="2"/>
  <c r="AT167" i="2" s="1"/>
  <c r="AS130" i="2"/>
  <c r="AS167" i="2" s="1"/>
  <c r="AR130" i="2"/>
  <c r="AR167" i="2" s="1"/>
  <c r="AQ130" i="2"/>
  <c r="AQ167" i="2" s="1"/>
  <c r="AP130" i="2"/>
  <c r="AP167" i="2" s="1"/>
  <c r="AO130" i="2"/>
  <c r="AN130" i="2"/>
  <c r="AM130" i="2"/>
  <c r="AM167" i="2" s="1"/>
  <c r="AL130" i="2"/>
  <c r="AL167" i="2" s="1"/>
  <c r="AK130" i="2"/>
  <c r="AK167" i="2" s="1"/>
  <c r="AJ130" i="2"/>
  <c r="AJ167" i="2" s="1"/>
  <c r="AI130" i="2"/>
  <c r="AI167" i="2" s="1"/>
  <c r="AH130" i="2"/>
  <c r="AH167" i="2" s="1"/>
  <c r="AG130" i="2"/>
  <c r="AG167" i="2" s="1"/>
  <c r="AF130" i="2"/>
  <c r="AF167" i="2" s="1"/>
  <c r="AE130" i="2"/>
  <c r="AD130" i="2"/>
  <c r="AC130" i="2"/>
  <c r="AC167" i="2" s="1"/>
  <c r="AB130" i="2"/>
  <c r="AB167" i="2" s="1"/>
  <c r="AA130" i="2"/>
  <c r="AA167" i="2" s="1"/>
  <c r="Z130" i="2"/>
  <c r="Z167" i="2" s="1"/>
  <c r="Y130" i="2"/>
  <c r="X130" i="2"/>
  <c r="X167" i="2" s="1"/>
  <c r="W130" i="2"/>
  <c r="W167" i="2" s="1"/>
  <c r="U130" i="2"/>
  <c r="U167" i="2" s="1"/>
  <c r="T130" i="2"/>
  <c r="T167" i="2" s="1"/>
  <c r="S130" i="2"/>
  <c r="R130" i="2"/>
  <c r="R167" i="2" s="1"/>
  <c r="O130" i="2"/>
  <c r="O167" i="2" s="1"/>
  <c r="N130" i="2"/>
  <c r="N167" i="2" s="1"/>
  <c r="M130" i="2"/>
  <c r="K130" i="2"/>
  <c r="K167" i="2" s="1"/>
  <c r="J130" i="2"/>
  <c r="J167" i="2" s="1"/>
  <c r="I130" i="2"/>
  <c r="I167" i="2" s="1"/>
  <c r="H130" i="2"/>
  <c r="H167" i="2" s="1"/>
  <c r="G130" i="2"/>
  <c r="D130" i="2"/>
  <c r="D167" i="2" s="1"/>
  <c r="C130" i="2"/>
  <c r="B130" i="2"/>
  <c r="CI129" i="2"/>
  <c r="CI166" i="2" s="1"/>
  <c r="CH129" i="2"/>
  <c r="CH166" i="2" s="1"/>
  <c r="CG129" i="2"/>
  <c r="CG166" i="2" s="1"/>
  <c r="CF129" i="2"/>
  <c r="CF166" i="2" s="1"/>
  <c r="CE129" i="2"/>
  <c r="CE166" i="2" s="1"/>
  <c r="CD129" i="2"/>
  <c r="BE129" i="2"/>
  <c r="BE166" i="2" s="1"/>
  <c r="BD129" i="2"/>
  <c r="BD166" i="2" s="1"/>
  <c r="BC129" i="2"/>
  <c r="BC166" i="2" s="1"/>
  <c r="BB129" i="2"/>
  <c r="BB166" i="2" s="1"/>
  <c r="BA129" i="2"/>
  <c r="BA166" i="2" s="1"/>
  <c r="AZ129" i="2"/>
  <c r="AY129" i="2"/>
  <c r="AY166" i="2" s="1"/>
  <c r="AX129" i="2"/>
  <c r="AX166" i="2" s="1"/>
  <c r="AW129" i="2"/>
  <c r="AW166" i="2" s="1"/>
  <c r="AV129" i="2"/>
  <c r="AU129" i="2"/>
  <c r="AU166" i="2" s="1"/>
  <c r="AT129" i="2"/>
  <c r="AT166" i="2" s="1"/>
  <c r="AS129" i="2"/>
  <c r="AS166" i="2" s="1"/>
  <c r="AR129" i="2"/>
  <c r="AR166" i="2" s="1"/>
  <c r="AQ129" i="2"/>
  <c r="AQ166" i="2" s="1"/>
  <c r="AP129" i="2"/>
  <c r="AP166" i="2" s="1"/>
  <c r="AO129" i="2"/>
  <c r="AN129" i="2"/>
  <c r="AM129" i="2"/>
  <c r="AM166" i="2" s="1"/>
  <c r="AL129" i="2"/>
  <c r="AL166" i="2" s="1"/>
  <c r="AK129" i="2"/>
  <c r="AK166" i="2" s="1"/>
  <c r="AJ129" i="2"/>
  <c r="AJ166" i="2" s="1"/>
  <c r="AI129" i="2"/>
  <c r="AI166" i="2" s="1"/>
  <c r="AH129" i="2"/>
  <c r="AH166" i="2" s="1"/>
  <c r="AG129" i="2"/>
  <c r="AG166" i="2" s="1"/>
  <c r="AF129" i="2"/>
  <c r="AF166" i="2" s="1"/>
  <c r="AE129" i="2"/>
  <c r="AD129" i="2"/>
  <c r="AC129" i="2"/>
  <c r="AC166" i="2" s="1"/>
  <c r="AB129" i="2"/>
  <c r="AB166" i="2" s="1"/>
  <c r="AA129" i="2"/>
  <c r="AA166" i="2" s="1"/>
  <c r="Z129" i="2"/>
  <c r="Z166" i="2" s="1"/>
  <c r="Y129" i="2"/>
  <c r="X129" i="2"/>
  <c r="X166" i="2" s="1"/>
  <c r="W129" i="2"/>
  <c r="W166" i="2" s="1"/>
  <c r="U129" i="2"/>
  <c r="U166" i="2" s="1"/>
  <c r="T129" i="2"/>
  <c r="T166" i="2" s="1"/>
  <c r="S129" i="2"/>
  <c r="R129" i="2"/>
  <c r="R166" i="2" s="1"/>
  <c r="O129" i="2"/>
  <c r="O166" i="2" s="1"/>
  <c r="N129" i="2"/>
  <c r="N166" i="2" s="1"/>
  <c r="M129" i="2"/>
  <c r="K129" i="2"/>
  <c r="K166" i="2" s="1"/>
  <c r="J129" i="2"/>
  <c r="J166" i="2" s="1"/>
  <c r="I129" i="2"/>
  <c r="I166" i="2" s="1"/>
  <c r="H129" i="2"/>
  <c r="H166" i="2" s="1"/>
  <c r="G129" i="2"/>
  <c r="D129" i="2"/>
  <c r="D166" i="2" s="1"/>
  <c r="C129" i="2"/>
  <c r="C166" i="2" s="1"/>
  <c r="B129" i="2"/>
  <c r="CI128" i="2"/>
  <c r="CI165" i="2" s="1"/>
  <c r="CH128" i="2"/>
  <c r="CH165" i="2" s="1"/>
  <c r="CG128" i="2"/>
  <c r="CG165" i="2" s="1"/>
  <c r="CF128" i="2"/>
  <c r="CF165" i="2" s="1"/>
  <c r="CE128" i="2"/>
  <c r="CE165" i="2" s="1"/>
  <c r="CD128" i="2"/>
  <c r="BE128" i="2"/>
  <c r="BE165" i="2" s="1"/>
  <c r="BD128" i="2"/>
  <c r="BD165" i="2" s="1"/>
  <c r="BC128" i="2"/>
  <c r="BC165" i="2" s="1"/>
  <c r="BB128" i="2"/>
  <c r="BB165" i="2" s="1"/>
  <c r="BA128" i="2"/>
  <c r="BA165" i="2" s="1"/>
  <c r="AZ128" i="2"/>
  <c r="AY128" i="2"/>
  <c r="AY165" i="2" s="1"/>
  <c r="AX128" i="2"/>
  <c r="AX165" i="2" s="1"/>
  <c r="AW128" i="2"/>
  <c r="AW165" i="2" s="1"/>
  <c r="AV128" i="2"/>
  <c r="AU128" i="2"/>
  <c r="AU165" i="2" s="1"/>
  <c r="AT128" i="2"/>
  <c r="AT165" i="2" s="1"/>
  <c r="AS128" i="2"/>
  <c r="AS165" i="2" s="1"/>
  <c r="AR128" i="2"/>
  <c r="AR165" i="2" s="1"/>
  <c r="AQ128" i="2"/>
  <c r="AQ165" i="2" s="1"/>
  <c r="AP128" i="2"/>
  <c r="AP165" i="2" s="1"/>
  <c r="AO128" i="2"/>
  <c r="AN128" i="2"/>
  <c r="AM128" i="2"/>
  <c r="AM165" i="2" s="1"/>
  <c r="AL128" i="2"/>
  <c r="AL165" i="2" s="1"/>
  <c r="AK128" i="2"/>
  <c r="AK165" i="2" s="1"/>
  <c r="AJ128" i="2"/>
  <c r="AJ165" i="2" s="1"/>
  <c r="AI128" i="2"/>
  <c r="AI165" i="2" s="1"/>
  <c r="AH128" i="2"/>
  <c r="AH165" i="2" s="1"/>
  <c r="AG128" i="2"/>
  <c r="AG165" i="2" s="1"/>
  <c r="AF128" i="2"/>
  <c r="AF165" i="2" s="1"/>
  <c r="AE128" i="2"/>
  <c r="AD128" i="2"/>
  <c r="AC128" i="2"/>
  <c r="AC165" i="2" s="1"/>
  <c r="AB128" i="2"/>
  <c r="AB165" i="2" s="1"/>
  <c r="AA128" i="2"/>
  <c r="AA165" i="2" s="1"/>
  <c r="Z128" i="2"/>
  <c r="Z165" i="2" s="1"/>
  <c r="Y128" i="2"/>
  <c r="X128" i="2"/>
  <c r="X165" i="2" s="1"/>
  <c r="W128" i="2"/>
  <c r="W165" i="2" s="1"/>
  <c r="U128" i="2"/>
  <c r="U165" i="2" s="1"/>
  <c r="T128" i="2"/>
  <c r="T165" i="2" s="1"/>
  <c r="S128" i="2"/>
  <c r="R128" i="2"/>
  <c r="R165" i="2" s="1"/>
  <c r="O128" i="2"/>
  <c r="O165" i="2" s="1"/>
  <c r="N128" i="2"/>
  <c r="N165" i="2" s="1"/>
  <c r="M128" i="2"/>
  <c r="K128" i="2"/>
  <c r="K165" i="2" s="1"/>
  <c r="J128" i="2"/>
  <c r="J165" i="2" s="1"/>
  <c r="I128" i="2"/>
  <c r="I165" i="2" s="1"/>
  <c r="H128" i="2"/>
  <c r="H165" i="2" s="1"/>
  <c r="G128" i="2"/>
  <c r="D128" i="2"/>
  <c r="D165" i="2" s="1"/>
  <c r="C128" i="2"/>
  <c r="B128" i="2"/>
  <c r="CI127" i="2"/>
  <c r="CI164" i="2" s="1"/>
  <c r="CH127" i="2"/>
  <c r="CH164" i="2" s="1"/>
  <c r="CG127" i="2"/>
  <c r="CG164" i="2" s="1"/>
  <c r="CF127" i="2"/>
  <c r="CF164" i="2" s="1"/>
  <c r="CE127" i="2"/>
  <c r="CE164" i="2" s="1"/>
  <c r="CD127" i="2"/>
  <c r="BE127" i="2"/>
  <c r="BE164" i="2" s="1"/>
  <c r="BD127" i="2"/>
  <c r="BD164" i="2" s="1"/>
  <c r="BC127" i="2"/>
  <c r="BC164" i="2" s="1"/>
  <c r="BB127" i="2"/>
  <c r="BB164" i="2" s="1"/>
  <c r="BA127" i="2"/>
  <c r="BA164" i="2" s="1"/>
  <c r="AZ127" i="2"/>
  <c r="AY127" i="2"/>
  <c r="AY164" i="2" s="1"/>
  <c r="AX127" i="2"/>
  <c r="AX164" i="2" s="1"/>
  <c r="AW127" i="2"/>
  <c r="AW164" i="2" s="1"/>
  <c r="AV127" i="2"/>
  <c r="AU127" i="2"/>
  <c r="AU164" i="2" s="1"/>
  <c r="AT127" i="2"/>
  <c r="AT164" i="2" s="1"/>
  <c r="AS127" i="2"/>
  <c r="AS164" i="2" s="1"/>
  <c r="AR127" i="2"/>
  <c r="AR164" i="2" s="1"/>
  <c r="AQ127" i="2"/>
  <c r="AQ164" i="2" s="1"/>
  <c r="AP127" i="2"/>
  <c r="AP164" i="2" s="1"/>
  <c r="AO127" i="2"/>
  <c r="AN127" i="2"/>
  <c r="AM127" i="2"/>
  <c r="AM164" i="2" s="1"/>
  <c r="AL127" i="2"/>
  <c r="AL164" i="2" s="1"/>
  <c r="AK127" i="2"/>
  <c r="AK164" i="2" s="1"/>
  <c r="AJ127" i="2"/>
  <c r="AJ164" i="2" s="1"/>
  <c r="AI127" i="2"/>
  <c r="AI164" i="2" s="1"/>
  <c r="AH127" i="2"/>
  <c r="AH164" i="2" s="1"/>
  <c r="AG127" i="2"/>
  <c r="AG164" i="2" s="1"/>
  <c r="AF127" i="2"/>
  <c r="AF164" i="2" s="1"/>
  <c r="AE127" i="2"/>
  <c r="AD127" i="2"/>
  <c r="AC127" i="2"/>
  <c r="AC164" i="2" s="1"/>
  <c r="AB127" i="2"/>
  <c r="AB164" i="2" s="1"/>
  <c r="AA127" i="2"/>
  <c r="AA164" i="2" s="1"/>
  <c r="Z127" i="2"/>
  <c r="Z164" i="2" s="1"/>
  <c r="Y127" i="2"/>
  <c r="X127" i="2"/>
  <c r="X164" i="2" s="1"/>
  <c r="W127" i="2"/>
  <c r="W164" i="2" s="1"/>
  <c r="U127" i="2"/>
  <c r="U164" i="2" s="1"/>
  <c r="T127" i="2"/>
  <c r="T164" i="2" s="1"/>
  <c r="S127" i="2"/>
  <c r="R127" i="2"/>
  <c r="R164" i="2" s="1"/>
  <c r="O127" i="2"/>
  <c r="O164" i="2" s="1"/>
  <c r="N127" i="2"/>
  <c r="N164" i="2" s="1"/>
  <c r="M127" i="2"/>
  <c r="K127" i="2"/>
  <c r="K164" i="2" s="1"/>
  <c r="J127" i="2"/>
  <c r="J164" i="2" s="1"/>
  <c r="I127" i="2"/>
  <c r="I164" i="2" s="1"/>
  <c r="H127" i="2"/>
  <c r="H164" i="2" s="1"/>
  <c r="G127" i="2"/>
  <c r="D127" i="2"/>
  <c r="D164" i="2" s="1"/>
  <c r="C127" i="2"/>
  <c r="C164" i="2" s="1"/>
  <c r="B127" i="2"/>
  <c r="CI126" i="2"/>
  <c r="CI163" i="2" s="1"/>
  <c r="CH126" i="2"/>
  <c r="CH163" i="2" s="1"/>
  <c r="CG126" i="2"/>
  <c r="CG163" i="2" s="1"/>
  <c r="CF126" i="2"/>
  <c r="CF163" i="2" s="1"/>
  <c r="CE126" i="2"/>
  <c r="CE163" i="2" s="1"/>
  <c r="CD126" i="2"/>
  <c r="BE126" i="2"/>
  <c r="BE163" i="2" s="1"/>
  <c r="BD126" i="2"/>
  <c r="BD163" i="2" s="1"/>
  <c r="BC126" i="2"/>
  <c r="BC163" i="2" s="1"/>
  <c r="BB126" i="2"/>
  <c r="BB163" i="2" s="1"/>
  <c r="BA126" i="2"/>
  <c r="BA163" i="2" s="1"/>
  <c r="AZ126" i="2"/>
  <c r="AY126" i="2"/>
  <c r="AY163" i="2" s="1"/>
  <c r="AX126" i="2"/>
  <c r="AX163" i="2" s="1"/>
  <c r="AW126" i="2"/>
  <c r="AW163" i="2" s="1"/>
  <c r="AV126" i="2"/>
  <c r="AU126" i="2"/>
  <c r="AU163" i="2" s="1"/>
  <c r="AT126" i="2"/>
  <c r="AT163" i="2" s="1"/>
  <c r="AS126" i="2"/>
  <c r="AS163" i="2" s="1"/>
  <c r="AR126" i="2"/>
  <c r="AR163" i="2" s="1"/>
  <c r="AQ126" i="2"/>
  <c r="AQ163" i="2" s="1"/>
  <c r="AP126" i="2"/>
  <c r="AP163" i="2" s="1"/>
  <c r="AO126" i="2"/>
  <c r="AN126" i="2"/>
  <c r="AM126" i="2"/>
  <c r="AM163" i="2" s="1"/>
  <c r="AL126" i="2"/>
  <c r="AL163" i="2" s="1"/>
  <c r="AK126" i="2"/>
  <c r="AK163" i="2" s="1"/>
  <c r="AJ126" i="2"/>
  <c r="AJ163" i="2" s="1"/>
  <c r="AI126" i="2"/>
  <c r="AI163" i="2" s="1"/>
  <c r="AH126" i="2"/>
  <c r="AH163" i="2" s="1"/>
  <c r="AG126" i="2"/>
  <c r="AG163" i="2" s="1"/>
  <c r="AF126" i="2"/>
  <c r="AF163" i="2" s="1"/>
  <c r="AE126" i="2"/>
  <c r="AD126" i="2"/>
  <c r="AC126" i="2"/>
  <c r="AC163" i="2" s="1"/>
  <c r="AB126" i="2"/>
  <c r="AB163" i="2" s="1"/>
  <c r="AA126" i="2"/>
  <c r="AA163" i="2" s="1"/>
  <c r="Z126" i="2"/>
  <c r="Z163" i="2" s="1"/>
  <c r="Y126" i="2"/>
  <c r="X126" i="2"/>
  <c r="X163" i="2" s="1"/>
  <c r="W126" i="2"/>
  <c r="W163" i="2" s="1"/>
  <c r="U126" i="2"/>
  <c r="U163" i="2" s="1"/>
  <c r="T126" i="2"/>
  <c r="T163" i="2" s="1"/>
  <c r="S126" i="2"/>
  <c r="R126" i="2"/>
  <c r="R163" i="2" s="1"/>
  <c r="O126" i="2"/>
  <c r="O163" i="2" s="1"/>
  <c r="N126" i="2"/>
  <c r="N163" i="2" s="1"/>
  <c r="M126" i="2"/>
  <c r="K126" i="2"/>
  <c r="K163" i="2" s="1"/>
  <c r="J126" i="2"/>
  <c r="J163" i="2" s="1"/>
  <c r="I126" i="2"/>
  <c r="I163" i="2" s="1"/>
  <c r="H126" i="2"/>
  <c r="H163" i="2" s="1"/>
  <c r="G126" i="2"/>
  <c r="D126" i="2"/>
  <c r="D163" i="2" s="1"/>
  <c r="C126" i="2"/>
  <c r="B126" i="2"/>
  <c r="CI125" i="2"/>
  <c r="CI162" i="2" s="1"/>
  <c r="CH125" i="2"/>
  <c r="CH162" i="2" s="1"/>
  <c r="CG125" i="2"/>
  <c r="CG162" i="2" s="1"/>
  <c r="CF125" i="2"/>
  <c r="CF162" i="2" s="1"/>
  <c r="CE125" i="2"/>
  <c r="CE162" i="2" s="1"/>
  <c r="CD125" i="2"/>
  <c r="BE125" i="2"/>
  <c r="BE162" i="2" s="1"/>
  <c r="BD125" i="2"/>
  <c r="BD162" i="2" s="1"/>
  <c r="BC125" i="2"/>
  <c r="BC162" i="2" s="1"/>
  <c r="BB125" i="2"/>
  <c r="BB162" i="2" s="1"/>
  <c r="BA125" i="2"/>
  <c r="BA162" i="2" s="1"/>
  <c r="AZ125" i="2"/>
  <c r="AY125" i="2"/>
  <c r="AY162" i="2" s="1"/>
  <c r="AX125" i="2"/>
  <c r="AX162" i="2" s="1"/>
  <c r="AW125" i="2"/>
  <c r="AW162" i="2" s="1"/>
  <c r="AV125" i="2"/>
  <c r="AU125" i="2"/>
  <c r="AU162" i="2" s="1"/>
  <c r="AT125" i="2"/>
  <c r="AT162" i="2" s="1"/>
  <c r="AS125" i="2"/>
  <c r="AS162" i="2" s="1"/>
  <c r="AR125" i="2"/>
  <c r="AR162" i="2" s="1"/>
  <c r="AQ125" i="2"/>
  <c r="AQ162" i="2" s="1"/>
  <c r="AP125" i="2"/>
  <c r="AP162" i="2" s="1"/>
  <c r="AO125" i="2"/>
  <c r="AN125" i="2"/>
  <c r="AM125" i="2"/>
  <c r="AM162" i="2" s="1"/>
  <c r="AL125" i="2"/>
  <c r="AL162" i="2" s="1"/>
  <c r="AK125" i="2"/>
  <c r="AK162" i="2" s="1"/>
  <c r="AJ125" i="2"/>
  <c r="AJ162" i="2" s="1"/>
  <c r="AI125" i="2"/>
  <c r="AI162" i="2" s="1"/>
  <c r="AH125" i="2"/>
  <c r="AH162" i="2" s="1"/>
  <c r="AG125" i="2"/>
  <c r="AG162" i="2" s="1"/>
  <c r="AF125" i="2"/>
  <c r="AF162" i="2" s="1"/>
  <c r="AE125" i="2"/>
  <c r="AD125" i="2"/>
  <c r="AC125" i="2"/>
  <c r="AC162" i="2" s="1"/>
  <c r="AB125" i="2"/>
  <c r="AB162" i="2" s="1"/>
  <c r="AA125" i="2"/>
  <c r="AA162" i="2" s="1"/>
  <c r="Z125" i="2"/>
  <c r="Z162" i="2" s="1"/>
  <c r="Y125" i="2"/>
  <c r="X125" i="2"/>
  <c r="X162" i="2" s="1"/>
  <c r="W125" i="2"/>
  <c r="W162" i="2" s="1"/>
  <c r="U125" i="2"/>
  <c r="U162" i="2" s="1"/>
  <c r="T125" i="2"/>
  <c r="T162" i="2" s="1"/>
  <c r="S125" i="2"/>
  <c r="R125" i="2"/>
  <c r="R162" i="2" s="1"/>
  <c r="O125" i="2"/>
  <c r="O162" i="2" s="1"/>
  <c r="N125" i="2"/>
  <c r="N162" i="2" s="1"/>
  <c r="M125" i="2"/>
  <c r="K125" i="2"/>
  <c r="K162" i="2" s="1"/>
  <c r="J125" i="2"/>
  <c r="J162" i="2" s="1"/>
  <c r="I125" i="2"/>
  <c r="I162" i="2" s="1"/>
  <c r="H125" i="2"/>
  <c r="H162" i="2" s="1"/>
  <c r="G125" i="2"/>
  <c r="D125" i="2"/>
  <c r="D162" i="2" s="1"/>
  <c r="C125" i="2"/>
  <c r="C162" i="2" s="1"/>
  <c r="B125" i="2"/>
  <c r="CI124" i="2"/>
  <c r="CI161" i="2" s="1"/>
  <c r="CH124" i="2"/>
  <c r="CH161" i="2" s="1"/>
  <c r="CG124" i="2"/>
  <c r="CG161" i="2" s="1"/>
  <c r="CF124" i="2"/>
  <c r="CF161" i="2" s="1"/>
  <c r="CE124" i="2"/>
  <c r="CE161" i="2" s="1"/>
  <c r="CD124" i="2"/>
  <c r="BE124" i="2"/>
  <c r="BE161" i="2" s="1"/>
  <c r="BD124" i="2"/>
  <c r="BD161" i="2" s="1"/>
  <c r="BC124" i="2"/>
  <c r="BC161" i="2" s="1"/>
  <c r="BB124" i="2"/>
  <c r="BB161" i="2" s="1"/>
  <c r="BA124" i="2"/>
  <c r="BA161" i="2" s="1"/>
  <c r="AZ124" i="2"/>
  <c r="AY124" i="2"/>
  <c r="AY161" i="2" s="1"/>
  <c r="AX124" i="2"/>
  <c r="AX161" i="2" s="1"/>
  <c r="AW124" i="2"/>
  <c r="AW161" i="2" s="1"/>
  <c r="AV124" i="2"/>
  <c r="AU124" i="2"/>
  <c r="AU161" i="2" s="1"/>
  <c r="AT124" i="2"/>
  <c r="AT161" i="2" s="1"/>
  <c r="AS124" i="2"/>
  <c r="AS161" i="2" s="1"/>
  <c r="AR124" i="2"/>
  <c r="AR161" i="2" s="1"/>
  <c r="AQ124" i="2"/>
  <c r="AQ161" i="2" s="1"/>
  <c r="AP124" i="2"/>
  <c r="AP161" i="2" s="1"/>
  <c r="AO124" i="2"/>
  <c r="AN124" i="2"/>
  <c r="AM124" i="2"/>
  <c r="AM161" i="2" s="1"/>
  <c r="AL124" i="2"/>
  <c r="AL161" i="2" s="1"/>
  <c r="AK124" i="2"/>
  <c r="AK161" i="2" s="1"/>
  <c r="AJ124" i="2"/>
  <c r="AJ161" i="2" s="1"/>
  <c r="AI124" i="2"/>
  <c r="AI161" i="2" s="1"/>
  <c r="AH124" i="2"/>
  <c r="AH161" i="2" s="1"/>
  <c r="AG124" i="2"/>
  <c r="AG161" i="2" s="1"/>
  <c r="AF124" i="2"/>
  <c r="AF161" i="2" s="1"/>
  <c r="AE124" i="2"/>
  <c r="AD124" i="2"/>
  <c r="AC124" i="2"/>
  <c r="AC161" i="2" s="1"/>
  <c r="AB124" i="2"/>
  <c r="AB161" i="2" s="1"/>
  <c r="AA124" i="2"/>
  <c r="AA161" i="2" s="1"/>
  <c r="Z124" i="2"/>
  <c r="Z161" i="2" s="1"/>
  <c r="Y124" i="2"/>
  <c r="X124" i="2"/>
  <c r="X161" i="2" s="1"/>
  <c r="W124" i="2"/>
  <c r="W161" i="2" s="1"/>
  <c r="U124" i="2"/>
  <c r="U161" i="2" s="1"/>
  <c r="T124" i="2"/>
  <c r="T161" i="2" s="1"/>
  <c r="S124" i="2"/>
  <c r="R124" i="2"/>
  <c r="R161" i="2" s="1"/>
  <c r="O124" i="2"/>
  <c r="O161" i="2" s="1"/>
  <c r="N124" i="2"/>
  <c r="N161" i="2" s="1"/>
  <c r="M124" i="2"/>
  <c r="K124" i="2"/>
  <c r="K161" i="2" s="1"/>
  <c r="J124" i="2"/>
  <c r="J161" i="2" s="1"/>
  <c r="I124" i="2"/>
  <c r="I161" i="2" s="1"/>
  <c r="H124" i="2"/>
  <c r="H161" i="2" s="1"/>
  <c r="G124" i="2"/>
  <c r="D124" i="2"/>
  <c r="D161" i="2" s="1"/>
  <c r="C124" i="2"/>
  <c r="B124" i="2"/>
  <c r="CI123" i="2"/>
  <c r="CI160" i="2" s="1"/>
  <c r="CH123" i="2"/>
  <c r="CH160" i="2" s="1"/>
  <c r="CG123" i="2"/>
  <c r="CG160" i="2" s="1"/>
  <c r="CF123" i="2"/>
  <c r="CF160" i="2" s="1"/>
  <c r="CE123" i="2"/>
  <c r="CE160" i="2" s="1"/>
  <c r="CD123" i="2"/>
  <c r="BE123" i="2"/>
  <c r="BE160" i="2" s="1"/>
  <c r="BD123" i="2"/>
  <c r="BD160" i="2" s="1"/>
  <c r="BC123" i="2"/>
  <c r="BC160" i="2" s="1"/>
  <c r="BB123" i="2"/>
  <c r="BB160" i="2" s="1"/>
  <c r="BA123" i="2"/>
  <c r="BA160" i="2" s="1"/>
  <c r="AZ123" i="2"/>
  <c r="AY123" i="2"/>
  <c r="AY160" i="2" s="1"/>
  <c r="AX123" i="2"/>
  <c r="AX160" i="2" s="1"/>
  <c r="AW123" i="2"/>
  <c r="AW160" i="2" s="1"/>
  <c r="AV123" i="2"/>
  <c r="AU123" i="2"/>
  <c r="AU160" i="2" s="1"/>
  <c r="AT123" i="2"/>
  <c r="AT160" i="2" s="1"/>
  <c r="AS123" i="2"/>
  <c r="AS160" i="2" s="1"/>
  <c r="AR123" i="2"/>
  <c r="AR160" i="2" s="1"/>
  <c r="AQ123" i="2"/>
  <c r="AQ160" i="2" s="1"/>
  <c r="AP123" i="2"/>
  <c r="AP160" i="2" s="1"/>
  <c r="AO123" i="2"/>
  <c r="AN123" i="2"/>
  <c r="AM123" i="2"/>
  <c r="AM160" i="2" s="1"/>
  <c r="AL123" i="2"/>
  <c r="AL160" i="2" s="1"/>
  <c r="AK123" i="2"/>
  <c r="AK160" i="2" s="1"/>
  <c r="AJ123" i="2"/>
  <c r="AJ160" i="2" s="1"/>
  <c r="AI123" i="2"/>
  <c r="AI160" i="2" s="1"/>
  <c r="AH123" i="2"/>
  <c r="AH160" i="2" s="1"/>
  <c r="AG123" i="2"/>
  <c r="AG160" i="2" s="1"/>
  <c r="AF123" i="2"/>
  <c r="AF160" i="2" s="1"/>
  <c r="AE123" i="2"/>
  <c r="AD123" i="2"/>
  <c r="AC123" i="2"/>
  <c r="AC160" i="2" s="1"/>
  <c r="AB123" i="2"/>
  <c r="AB160" i="2" s="1"/>
  <c r="AA123" i="2"/>
  <c r="AA160" i="2" s="1"/>
  <c r="Z123" i="2"/>
  <c r="Z160" i="2" s="1"/>
  <c r="Y123" i="2"/>
  <c r="X123" i="2"/>
  <c r="X160" i="2" s="1"/>
  <c r="W123" i="2"/>
  <c r="W160" i="2" s="1"/>
  <c r="U123" i="2"/>
  <c r="U160" i="2" s="1"/>
  <c r="T123" i="2"/>
  <c r="T160" i="2" s="1"/>
  <c r="S123" i="2"/>
  <c r="R123" i="2"/>
  <c r="R160" i="2" s="1"/>
  <c r="O123" i="2"/>
  <c r="O160" i="2" s="1"/>
  <c r="N123" i="2"/>
  <c r="N160" i="2" s="1"/>
  <c r="M123" i="2"/>
  <c r="K123" i="2"/>
  <c r="K160" i="2" s="1"/>
  <c r="J123" i="2"/>
  <c r="J160" i="2" s="1"/>
  <c r="I123" i="2"/>
  <c r="I160" i="2" s="1"/>
  <c r="H123" i="2"/>
  <c r="H160" i="2" s="1"/>
  <c r="G123" i="2"/>
  <c r="D123" i="2"/>
  <c r="D160" i="2" s="1"/>
  <c r="C123" i="2"/>
  <c r="C160" i="2" s="1"/>
  <c r="B123" i="2"/>
  <c r="CI122" i="2"/>
  <c r="CI159" i="2" s="1"/>
  <c r="CH122" i="2"/>
  <c r="CH159" i="2" s="1"/>
  <c r="CG122" i="2"/>
  <c r="CG159" i="2" s="1"/>
  <c r="CF122" i="2"/>
  <c r="CF159" i="2" s="1"/>
  <c r="CE122" i="2"/>
  <c r="CE159" i="2" s="1"/>
  <c r="CD122" i="2"/>
  <c r="BE122" i="2"/>
  <c r="BE159" i="2" s="1"/>
  <c r="BD122" i="2"/>
  <c r="BD159" i="2" s="1"/>
  <c r="BC122" i="2"/>
  <c r="BC159" i="2" s="1"/>
  <c r="BB122" i="2"/>
  <c r="BB159" i="2" s="1"/>
  <c r="BA122" i="2"/>
  <c r="BA159" i="2" s="1"/>
  <c r="AZ122" i="2"/>
  <c r="AY122" i="2"/>
  <c r="AY159" i="2" s="1"/>
  <c r="AX122" i="2"/>
  <c r="AX159" i="2" s="1"/>
  <c r="AW122" i="2"/>
  <c r="AW159" i="2" s="1"/>
  <c r="AV122" i="2"/>
  <c r="AU122" i="2"/>
  <c r="AU159" i="2" s="1"/>
  <c r="AT122" i="2"/>
  <c r="AT159" i="2" s="1"/>
  <c r="AS122" i="2"/>
  <c r="AS159" i="2" s="1"/>
  <c r="AR122" i="2"/>
  <c r="AR159" i="2" s="1"/>
  <c r="AQ122" i="2"/>
  <c r="AQ159" i="2" s="1"/>
  <c r="AP122" i="2"/>
  <c r="AP159" i="2" s="1"/>
  <c r="AO122" i="2"/>
  <c r="AN122" i="2"/>
  <c r="AM122" i="2"/>
  <c r="AM159" i="2" s="1"/>
  <c r="AL122" i="2"/>
  <c r="AL159" i="2" s="1"/>
  <c r="AK122" i="2"/>
  <c r="AK159" i="2" s="1"/>
  <c r="AJ122" i="2"/>
  <c r="AJ159" i="2" s="1"/>
  <c r="AI122" i="2"/>
  <c r="AI159" i="2" s="1"/>
  <c r="AH122" i="2"/>
  <c r="AH159" i="2" s="1"/>
  <c r="AG122" i="2"/>
  <c r="AG159" i="2" s="1"/>
  <c r="AF122" i="2"/>
  <c r="AF159" i="2" s="1"/>
  <c r="AE122" i="2"/>
  <c r="AD122" i="2"/>
  <c r="AC122" i="2"/>
  <c r="AC159" i="2" s="1"/>
  <c r="AB122" i="2"/>
  <c r="AB159" i="2" s="1"/>
  <c r="AA122" i="2"/>
  <c r="AA159" i="2" s="1"/>
  <c r="Z122" i="2"/>
  <c r="Z159" i="2" s="1"/>
  <c r="Y122" i="2"/>
  <c r="X122" i="2"/>
  <c r="X159" i="2" s="1"/>
  <c r="W122" i="2"/>
  <c r="W159" i="2" s="1"/>
  <c r="U122" i="2"/>
  <c r="U159" i="2" s="1"/>
  <c r="T122" i="2"/>
  <c r="T159" i="2" s="1"/>
  <c r="S122" i="2"/>
  <c r="R122" i="2"/>
  <c r="R159" i="2" s="1"/>
  <c r="O122" i="2"/>
  <c r="O159" i="2" s="1"/>
  <c r="N122" i="2"/>
  <c r="N159" i="2" s="1"/>
  <c r="M122" i="2"/>
  <c r="K122" i="2"/>
  <c r="K159" i="2" s="1"/>
  <c r="J122" i="2"/>
  <c r="J159" i="2" s="1"/>
  <c r="I122" i="2"/>
  <c r="I159" i="2" s="1"/>
  <c r="H122" i="2"/>
  <c r="H159" i="2" s="1"/>
  <c r="G122" i="2"/>
  <c r="D122" i="2"/>
  <c r="D159" i="2" s="1"/>
  <c r="C122" i="2"/>
  <c r="C159" i="2" s="1"/>
  <c r="B122" i="2"/>
  <c r="CI121" i="2"/>
  <c r="CI158" i="2" s="1"/>
  <c r="CH121" i="2"/>
  <c r="CH158" i="2" s="1"/>
  <c r="CG121" i="2"/>
  <c r="CG158" i="2" s="1"/>
  <c r="CF121" i="2"/>
  <c r="CF158" i="2" s="1"/>
  <c r="CE121" i="2"/>
  <c r="CE158" i="2" s="1"/>
  <c r="CD121" i="2"/>
  <c r="BE121" i="2"/>
  <c r="BE158" i="2" s="1"/>
  <c r="BD121" i="2"/>
  <c r="BD158" i="2" s="1"/>
  <c r="BC121" i="2"/>
  <c r="BC158" i="2" s="1"/>
  <c r="BB121" i="2"/>
  <c r="BB158" i="2" s="1"/>
  <c r="BA121" i="2"/>
  <c r="BA158" i="2" s="1"/>
  <c r="AZ121" i="2"/>
  <c r="AY121" i="2"/>
  <c r="AY158" i="2" s="1"/>
  <c r="AX121" i="2"/>
  <c r="AX158" i="2" s="1"/>
  <c r="AW121" i="2"/>
  <c r="AW158" i="2" s="1"/>
  <c r="AV121" i="2"/>
  <c r="AU121" i="2"/>
  <c r="AU158" i="2" s="1"/>
  <c r="AT121" i="2"/>
  <c r="AT158" i="2" s="1"/>
  <c r="AS121" i="2"/>
  <c r="AS158" i="2" s="1"/>
  <c r="AR121" i="2"/>
  <c r="AR158" i="2" s="1"/>
  <c r="AQ121" i="2"/>
  <c r="AQ158" i="2" s="1"/>
  <c r="AP121" i="2"/>
  <c r="AP158" i="2" s="1"/>
  <c r="AO121" i="2"/>
  <c r="AN121" i="2"/>
  <c r="AM121" i="2"/>
  <c r="AM158" i="2" s="1"/>
  <c r="AL121" i="2"/>
  <c r="AL158" i="2" s="1"/>
  <c r="AK121" i="2"/>
  <c r="AK158" i="2" s="1"/>
  <c r="AJ121" i="2"/>
  <c r="AJ158" i="2" s="1"/>
  <c r="AI121" i="2"/>
  <c r="AI158" i="2" s="1"/>
  <c r="AH121" i="2"/>
  <c r="AH158" i="2" s="1"/>
  <c r="AG121" i="2"/>
  <c r="AG158" i="2" s="1"/>
  <c r="AF121" i="2"/>
  <c r="AF158" i="2" s="1"/>
  <c r="AE121" i="2"/>
  <c r="AD121" i="2"/>
  <c r="AC121" i="2"/>
  <c r="AC158" i="2" s="1"/>
  <c r="AB121" i="2"/>
  <c r="AB158" i="2" s="1"/>
  <c r="AA121" i="2"/>
  <c r="AA158" i="2" s="1"/>
  <c r="Z121" i="2"/>
  <c r="Z158" i="2" s="1"/>
  <c r="Y121" i="2"/>
  <c r="X121" i="2"/>
  <c r="X158" i="2" s="1"/>
  <c r="W121" i="2"/>
  <c r="W158" i="2" s="1"/>
  <c r="U121" i="2"/>
  <c r="U158" i="2" s="1"/>
  <c r="T121" i="2"/>
  <c r="T158" i="2" s="1"/>
  <c r="S121" i="2"/>
  <c r="R121" i="2"/>
  <c r="R158" i="2" s="1"/>
  <c r="O121" i="2"/>
  <c r="O158" i="2" s="1"/>
  <c r="N121" i="2"/>
  <c r="N158" i="2" s="1"/>
  <c r="M121" i="2"/>
  <c r="K121" i="2"/>
  <c r="K158" i="2" s="1"/>
  <c r="J121" i="2"/>
  <c r="J158" i="2" s="1"/>
  <c r="I121" i="2"/>
  <c r="I158" i="2" s="1"/>
  <c r="H121" i="2"/>
  <c r="H158" i="2" s="1"/>
  <c r="G121" i="2"/>
  <c r="D121" i="2"/>
  <c r="D158" i="2" s="1"/>
  <c r="C121" i="2"/>
  <c r="C158" i="2" s="1"/>
  <c r="B121" i="2"/>
  <c r="CI120" i="2"/>
  <c r="CI157" i="2" s="1"/>
  <c r="CH120" i="2"/>
  <c r="CH157" i="2" s="1"/>
  <c r="CG120" i="2"/>
  <c r="CG157" i="2" s="1"/>
  <c r="CF120" i="2"/>
  <c r="CF157" i="2" s="1"/>
  <c r="CE120" i="2"/>
  <c r="CE157" i="2" s="1"/>
  <c r="CD120" i="2"/>
  <c r="BE120" i="2"/>
  <c r="BE157" i="2" s="1"/>
  <c r="BD120" i="2"/>
  <c r="BD157" i="2" s="1"/>
  <c r="BC120" i="2"/>
  <c r="BC157" i="2" s="1"/>
  <c r="BB120" i="2"/>
  <c r="BB157" i="2" s="1"/>
  <c r="BA120" i="2"/>
  <c r="BA157" i="2" s="1"/>
  <c r="AZ120" i="2"/>
  <c r="AY120" i="2"/>
  <c r="AY157" i="2" s="1"/>
  <c r="AX120" i="2"/>
  <c r="AX157" i="2" s="1"/>
  <c r="AW120" i="2"/>
  <c r="AW157" i="2" s="1"/>
  <c r="AV120" i="2"/>
  <c r="AU120" i="2"/>
  <c r="AU157" i="2" s="1"/>
  <c r="AT120" i="2"/>
  <c r="AT157" i="2" s="1"/>
  <c r="AS120" i="2"/>
  <c r="AS157" i="2" s="1"/>
  <c r="AR120" i="2"/>
  <c r="AR157" i="2" s="1"/>
  <c r="AQ120" i="2"/>
  <c r="AQ157" i="2" s="1"/>
  <c r="AP120" i="2"/>
  <c r="AP157" i="2" s="1"/>
  <c r="AO120" i="2"/>
  <c r="AN120" i="2"/>
  <c r="AM120" i="2"/>
  <c r="AM157" i="2" s="1"/>
  <c r="AL120" i="2"/>
  <c r="AL157" i="2" s="1"/>
  <c r="AK120" i="2"/>
  <c r="AK157" i="2" s="1"/>
  <c r="AJ120" i="2"/>
  <c r="AJ157" i="2" s="1"/>
  <c r="AI120" i="2"/>
  <c r="AI157" i="2" s="1"/>
  <c r="AH120" i="2"/>
  <c r="AH157" i="2" s="1"/>
  <c r="AG120" i="2"/>
  <c r="AG157" i="2" s="1"/>
  <c r="AF120" i="2"/>
  <c r="AF157" i="2" s="1"/>
  <c r="AE120" i="2"/>
  <c r="AD120" i="2"/>
  <c r="AC120" i="2"/>
  <c r="AC157" i="2" s="1"/>
  <c r="AB120" i="2"/>
  <c r="AB157" i="2" s="1"/>
  <c r="AA120" i="2"/>
  <c r="AA157" i="2" s="1"/>
  <c r="Z120" i="2"/>
  <c r="Z157" i="2" s="1"/>
  <c r="Y120" i="2"/>
  <c r="X120" i="2"/>
  <c r="X157" i="2" s="1"/>
  <c r="W120" i="2"/>
  <c r="W157" i="2" s="1"/>
  <c r="U120" i="2"/>
  <c r="U157" i="2" s="1"/>
  <c r="T120" i="2"/>
  <c r="T157" i="2" s="1"/>
  <c r="S120" i="2"/>
  <c r="R120" i="2"/>
  <c r="R157" i="2" s="1"/>
  <c r="O120" i="2"/>
  <c r="O157" i="2" s="1"/>
  <c r="N120" i="2"/>
  <c r="N157" i="2" s="1"/>
  <c r="M120" i="2"/>
  <c r="K120" i="2"/>
  <c r="K157" i="2" s="1"/>
  <c r="J120" i="2"/>
  <c r="J157" i="2" s="1"/>
  <c r="I120" i="2"/>
  <c r="I157" i="2" s="1"/>
  <c r="H120" i="2"/>
  <c r="H157" i="2" s="1"/>
  <c r="G120" i="2"/>
  <c r="D120" i="2"/>
  <c r="D157" i="2" s="1"/>
  <c r="C120" i="2"/>
  <c r="C157" i="2" s="1"/>
  <c r="B120" i="2"/>
  <c r="CI119" i="2"/>
  <c r="CI156" i="2" s="1"/>
  <c r="CH119" i="2"/>
  <c r="CH156" i="2" s="1"/>
  <c r="CG119" i="2"/>
  <c r="CG156" i="2" s="1"/>
  <c r="CF119" i="2"/>
  <c r="CF156" i="2" s="1"/>
  <c r="CE119" i="2"/>
  <c r="CE156" i="2" s="1"/>
  <c r="CD119" i="2"/>
  <c r="BE119" i="2"/>
  <c r="BE156" i="2" s="1"/>
  <c r="BD119" i="2"/>
  <c r="BD156" i="2" s="1"/>
  <c r="BC119" i="2"/>
  <c r="BC156" i="2" s="1"/>
  <c r="BB119" i="2"/>
  <c r="BB156" i="2" s="1"/>
  <c r="BA119" i="2"/>
  <c r="BA156" i="2" s="1"/>
  <c r="AZ119" i="2"/>
  <c r="AY119" i="2"/>
  <c r="AY156" i="2" s="1"/>
  <c r="AX119" i="2"/>
  <c r="AX156" i="2" s="1"/>
  <c r="AW119" i="2"/>
  <c r="AW156" i="2" s="1"/>
  <c r="AV119" i="2"/>
  <c r="AU119" i="2"/>
  <c r="AU156" i="2" s="1"/>
  <c r="AT119" i="2"/>
  <c r="AT156" i="2" s="1"/>
  <c r="AS119" i="2"/>
  <c r="AS156" i="2" s="1"/>
  <c r="AR119" i="2"/>
  <c r="AR156" i="2" s="1"/>
  <c r="AQ119" i="2"/>
  <c r="AQ156" i="2" s="1"/>
  <c r="AP119" i="2"/>
  <c r="AP156" i="2" s="1"/>
  <c r="AO119" i="2"/>
  <c r="AN119" i="2"/>
  <c r="AM119" i="2"/>
  <c r="AM156" i="2" s="1"/>
  <c r="AL119" i="2"/>
  <c r="AL156" i="2" s="1"/>
  <c r="AK119" i="2"/>
  <c r="AK156" i="2" s="1"/>
  <c r="AJ119" i="2"/>
  <c r="AJ156" i="2" s="1"/>
  <c r="AI119" i="2"/>
  <c r="AI156" i="2" s="1"/>
  <c r="AH119" i="2"/>
  <c r="AH156" i="2" s="1"/>
  <c r="AG119" i="2"/>
  <c r="AG156" i="2" s="1"/>
  <c r="AF119" i="2"/>
  <c r="AF156" i="2" s="1"/>
  <c r="AE119" i="2"/>
  <c r="AD119" i="2"/>
  <c r="AC119" i="2"/>
  <c r="AC156" i="2" s="1"/>
  <c r="AB119" i="2"/>
  <c r="AB156" i="2" s="1"/>
  <c r="AA119" i="2"/>
  <c r="AA156" i="2" s="1"/>
  <c r="Z119" i="2"/>
  <c r="Z156" i="2" s="1"/>
  <c r="Y119" i="2"/>
  <c r="X119" i="2"/>
  <c r="X156" i="2" s="1"/>
  <c r="W119" i="2"/>
  <c r="W156" i="2" s="1"/>
  <c r="U119" i="2"/>
  <c r="U156" i="2" s="1"/>
  <c r="T119" i="2"/>
  <c r="T156" i="2" s="1"/>
  <c r="S119" i="2"/>
  <c r="R119" i="2"/>
  <c r="R156" i="2" s="1"/>
  <c r="O119" i="2"/>
  <c r="O156" i="2" s="1"/>
  <c r="N119" i="2"/>
  <c r="N156" i="2" s="1"/>
  <c r="M119" i="2"/>
  <c r="K119" i="2"/>
  <c r="K156" i="2" s="1"/>
  <c r="J119" i="2"/>
  <c r="J156" i="2" s="1"/>
  <c r="I119" i="2"/>
  <c r="I156" i="2" s="1"/>
  <c r="H119" i="2"/>
  <c r="H156" i="2" s="1"/>
  <c r="G119" i="2"/>
  <c r="D119" i="2"/>
  <c r="D156" i="2" s="1"/>
  <c r="C119" i="2"/>
  <c r="C156" i="2" s="1"/>
  <c r="B119" i="2"/>
  <c r="CI118" i="2"/>
  <c r="CI155" i="2" s="1"/>
  <c r="CH118" i="2"/>
  <c r="CH155" i="2" s="1"/>
  <c r="CG118" i="2"/>
  <c r="CG155" i="2" s="1"/>
  <c r="CF118" i="2"/>
  <c r="CF155" i="2" s="1"/>
  <c r="CE118" i="2"/>
  <c r="CE155" i="2" s="1"/>
  <c r="CD118" i="2"/>
  <c r="BE118" i="2"/>
  <c r="BE155" i="2" s="1"/>
  <c r="BD118" i="2"/>
  <c r="BD155" i="2" s="1"/>
  <c r="BC118" i="2"/>
  <c r="BC155" i="2" s="1"/>
  <c r="BB118" i="2"/>
  <c r="BB155" i="2" s="1"/>
  <c r="BA118" i="2"/>
  <c r="BA155" i="2" s="1"/>
  <c r="AZ118" i="2"/>
  <c r="AY118" i="2"/>
  <c r="AY155" i="2" s="1"/>
  <c r="AX118" i="2"/>
  <c r="AX155" i="2" s="1"/>
  <c r="AW118" i="2"/>
  <c r="AW155" i="2" s="1"/>
  <c r="AV118" i="2"/>
  <c r="AU118" i="2"/>
  <c r="AU155" i="2" s="1"/>
  <c r="AT118" i="2"/>
  <c r="AT155" i="2" s="1"/>
  <c r="AS118" i="2"/>
  <c r="AS155" i="2" s="1"/>
  <c r="AR118" i="2"/>
  <c r="AR155" i="2" s="1"/>
  <c r="AQ118" i="2"/>
  <c r="AQ155" i="2" s="1"/>
  <c r="AP118" i="2"/>
  <c r="AP155" i="2" s="1"/>
  <c r="AO118" i="2"/>
  <c r="AN118" i="2"/>
  <c r="AM118" i="2"/>
  <c r="AM155" i="2" s="1"/>
  <c r="AL118" i="2"/>
  <c r="AL155" i="2" s="1"/>
  <c r="AK118" i="2"/>
  <c r="AK155" i="2" s="1"/>
  <c r="AJ118" i="2"/>
  <c r="AJ155" i="2" s="1"/>
  <c r="AI118" i="2"/>
  <c r="AI155" i="2" s="1"/>
  <c r="AH118" i="2"/>
  <c r="AH155" i="2" s="1"/>
  <c r="AG118" i="2"/>
  <c r="AG155" i="2" s="1"/>
  <c r="AF118" i="2"/>
  <c r="AF155" i="2" s="1"/>
  <c r="AE118" i="2"/>
  <c r="AD118" i="2"/>
  <c r="AC118" i="2"/>
  <c r="AC155" i="2" s="1"/>
  <c r="AB118" i="2"/>
  <c r="AB155" i="2" s="1"/>
  <c r="AA118" i="2"/>
  <c r="AA155" i="2" s="1"/>
  <c r="Z118" i="2"/>
  <c r="Z155" i="2" s="1"/>
  <c r="Y118" i="2"/>
  <c r="X118" i="2"/>
  <c r="X155" i="2" s="1"/>
  <c r="W118" i="2"/>
  <c r="W155" i="2" s="1"/>
  <c r="U118" i="2"/>
  <c r="U155" i="2" s="1"/>
  <c r="T118" i="2"/>
  <c r="T155" i="2" s="1"/>
  <c r="S118" i="2"/>
  <c r="R118" i="2"/>
  <c r="R155" i="2" s="1"/>
  <c r="O118" i="2"/>
  <c r="O155" i="2" s="1"/>
  <c r="N118" i="2"/>
  <c r="N155" i="2" s="1"/>
  <c r="M118" i="2"/>
  <c r="K118" i="2"/>
  <c r="K155" i="2" s="1"/>
  <c r="J118" i="2"/>
  <c r="J155" i="2" s="1"/>
  <c r="I118" i="2"/>
  <c r="I155" i="2" s="1"/>
  <c r="H118" i="2"/>
  <c r="H155" i="2" s="1"/>
  <c r="G118" i="2"/>
  <c r="D118" i="2"/>
  <c r="D155" i="2" s="1"/>
  <c r="C118" i="2"/>
  <c r="C155" i="2" s="1"/>
  <c r="B118" i="2"/>
  <c r="CI117" i="2"/>
  <c r="CI154" i="2" s="1"/>
  <c r="CH117" i="2"/>
  <c r="CH154" i="2" s="1"/>
  <c r="CG117" i="2"/>
  <c r="CG154" i="2" s="1"/>
  <c r="CF117" i="2"/>
  <c r="CF154" i="2" s="1"/>
  <c r="CE117" i="2"/>
  <c r="CE154" i="2" s="1"/>
  <c r="CD117" i="2"/>
  <c r="BE117" i="2"/>
  <c r="BE154" i="2" s="1"/>
  <c r="BD117" i="2"/>
  <c r="BD154" i="2" s="1"/>
  <c r="BC117" i="2"/>
  <c r="BC154" i="2" s="1"/>
  <c r="BB117" i="2"/>
  <c r="BB154" i="2" s="1"/>
  <c r="BA117" i="2"/>
  <c r="BA154" i="2" s="1"/>
  <c r="AZ117" i="2"/>
  <c r="AY117" i="2"/>
  <c r="AY154" i="2" s="1"/>
  <c r="AX117" i="2"/>
  <c r="AX154" i="2" s="1"/>
  <c r="AW117" i="2"/>
  <c r="AW154" i="2" s="1"/>
  <c r="AV117" i="2"/>
  <c r="AU117" i="2"/>
  <c r="AU154" i="2" s="1"/>
  <c r="AT117" i="2"/>
  <c r="AT154" i="2" s="1"/>
  <c r="AS117" i="2"/>
  <c r="AS154" i="2" s="1"/>
  <c r="AR117" i="2"/>
  <c r="AR154" i="2" s="1"/>
  <c r="AQ117" i="2"/>
  <c r="AQ154" i="2" s="1"/>
  <c r="AP117" i="2"/>
  <c r="AP154" i="2" s="1"/>
  <c r="AO117" i="2"/>
  <c r="AN117" i="2"/>
  <c r="AM117" i="2"/>
  <c r="AM154" i="2" s="1"/>
  <c r="AL117" i="2"/>
  <c r="AL154" i="2" s="1"/>
  <c r="AK117" i="2"/>
  <c r="AK154" i="2" s="1"/>
  <c r="AJ117" i="2"/>
  <c r="AJ154" i="2" s="1"/>
  <c r="AI117" i="2"/>
  <c r="AI154" i="2" s="1"/>
  <c r="AH117" i="2"/>
  <c r="AH154" i="2" s="1"/>
  <c r="AG117" i="2"/>
  <c r="AG154" i="2" s="1"/>
  <c r="AF117" i="2"/>
  <c r="AF154" i="2" s="1"/>
  <c r="AE117" i="2"/>
  <c r="AD117" i="2"/>
  <c r="AC117" i="2"/>
  <c r="AC154" i="2" s="1"/>
  <c r="AB117" i="2"/>
  <c r="AB154" i="2" s="1"/>
  <c r="AA117" i="2"/>
  <c r="AA154" i="2" s="1"/>
  <c r="Z117" i="2"/>
  <c r="Z154" i="2" s="1"/>
  <c r="Y117" i="2"/>
  <c r="X117" i="2"/>
  <c r="X154" i="2" s="1"/>
  <c r="W117" i="2"/>
  <c r="W154" i="2" s="1"/>
  <c r="U117" i="2"/>
  <c r="U154" i="2" s="1"/>
  <c r="T117" i="2"/>
  <c r="T154" i="2" s="1"/>
  <c r="S117" i="2"/>
  <c r="R117" i="2"/>
  <c r="R154" i="2" s="1"/>
  <c r="O117" i="2"/>
  <c r="O154" i="2" s="1"/>
  <c r="N117" i="2"/>
  <c r="N154" i="2" s="1"/>
  <c r="M117" i="2"/>
  <c r="K117" i="2"/>
  <c r="K154" i="2" s="1"/>
  <c r="J117" i="2"/>
  <c r="J154" i="2" s="1"/>
  <c r="I117" i="2"/>
  <c r="I154" i="2" s="1"/>
  <c r="H117" i="2"/>
  <c r="H154" i="2" s="1"/>
  <c r="G117" i="2"/>
  <c r="D117" i="2"/>
  <c r="D154" i="2" s="1"/>
  <c r="C117" i="2"/>
  <c r="C154" i="2" s="1"/>
  <c r="B117" i="2"/>
  <c r="CI116" i="2"/>
  <c r="CI153" i="2" s="1"/>
  <c r="CH116" i="2"/>
  <c r="CH153" i="2" s="1"/>
  <c r="CG116" i="2"/>
  <c r="CG153" i="2" s="1"/>
  <c r="CF116" i="2"/>
  <c r="CF153" i="2" s="1"/>
  <c r="CE116" i="2"/>
  <c r="CE153" i="2" s="1"/>
  <c r="CD116" i="2"/>
  <c r="BE116" i="2"/>
  <c r="BE153" i="2" s="1"/>
  <c r="BD116" i="2"/>
  <c r="BD153" i="2" s="1"/>
  <c r="BC116" i="2"/>
  <c r="BC153" i="2" s="1"/>
  <c r="BB116" i="2"/>
  <c r="BB153" i="2" s="1"/>
  <c r="BA116" i="2"/>
  <c r="BA153" i="2" s="1"/>
  <c r="AZ116" i="2"/>
  <c r="AY116" i="2"/>
  <c r="AY153" i="2" s="1"/>
  <c r="AX116" i="2"/>
  <c r="AX153" i="2" s="1"/>
  <c r="AW116" i="2"/>
  <c r="AW153" i="2" s="1"/>
  <c r="AV116" i="2"/>
  <c r="AU116" i="2"/>
  <c r="AU153" i="2" s="1"/>
  <c r="AT116" i="2"/>
  <c r="AT153" i="2" s="1"/>
  <c r="AS116" i="2"/>
  <c r="AS153" i="2" s="1"/>
  <c r="AR116" i="2"/>
  <c r="AR153" i="2" s="1"/>
  <c r="AQ116" i="2"/>
  <c r="AQ153" i="2" s="1"/>
  <c r="AP116" i="2"/>
  <c r="AP153" i="2" s="1"/>
  <c r="AO116" i="2"/>
  <c r="AN116" i="2"/>
  <c r="AM116" i="2"/>
  <c r="AM153" i="2" s="1"/>
  <c r="AL116" i="2"/>
  <c r="AL153" i="2" s="1"/>
  <c r="AK116" i="2"/>
  <c r="AK153" i="2" s="1"/>
  <c r="AJ116" i="2"/>
  <c r="AJ153" i="2" s="1"/>
  <c r="AI116" i="2"/>
  <c r="AI153" i="2" s="1"/>
  <c r="AH116" i="2"/>
  <c r="AH153" i="2" s="1"/>
  <c r="AG116" i="2"/>
  <c r="AG153" i="2" s="1"/>
  <c r="AF116" i="2"/>
  <c r="AF153" i="2" s="1"/>
  <c r="AE116" i="2"/>
  <c r="AD116" i="2"/>
  <c r="AC116" i="2"/>
  <c r="AC153" i="2" s="1"/>
  <c r="AB116" i="2"/>
  <c r="AB153" i="2" s="1"/>
  <c r="AA116" i="2"/>
  <c r="AA153" i="2" s="1"/>
  <c r="Z116" i="2"/>
  <c r="Z153" i="2" s="1"/>
  <c r="Y116" i="2"/>
  <c r="X116" i="2"/>
  <c r="X153" i="2" s="1"/>
  <c r="W116" i="2"/>
  <c r="W153" i="2" s="1"/>
  <c r="U116" i="2"/>
  <c r="U153" i="2" s="1"/>
  <c r="T116" i="2"/>
  <c r="T153" i="2" s="1"/>
  <c r="S116" i="2"/>
  <c r="R116" i="2"/>
  <c r="R153" i="2" s="1"/>
  <c r="O116" i="2"/>
  <c r="O153" i="2" s="1"/>
  <c r="N116" i="2"/>
  <c r="N153" i="2" s="1"/>
  <c r="M116" i="2"/>
  <c r="K116" i="2"/>
  <c r="K153" i="2" s="1"/>
  <c r="J116" i="2"/>
  <c r="J153" i="2" s="1"/>
  <c r="I116" i="2"/>
  <c r="I153" i="2" s="1"/>
  <c r="H116" i="2"/>
  <c r="H153" i="2" s="1"/>
  <c r="G116" i="2"/>
  <c r="D116" i="2"/>
  <c r="D153" i="2" s="1"/>
  <c r="C116" i="2"/>
  <c r="C153" i="2" s="1"/>
  <c r="B116" i="2"/>
  <c r="CI115" i="2"/>
  <c r="CI152" i="2" s="1"/>
  <c r="CH115" i="2"/>
  <c r="CH152" i="2" s="1"/>
  <c r="CG115" i="2"/>
  <c r="CG152" i="2" s="1"/>
  <c r="CF115" i="2"/>
  <c r="CF152" i="2" s="1"/>
  <c r="CE115" i="2"/>
  <c r="CE152" i="2" s="1"/>
  <c r="CD115" i="2"/>
  <c r="BE115" i="2"/>
  <c r="BE152" i="2" s="1"/>
  <c r="BD115" i="2"/>
  <c r="BD152" i="2" s="1"/>
  <c r="BC115" i="2"/>
  <c r="BC152" i="2" s="1"/>
  <c r="BB115" i="2"/>
  <c r="BB152" i="2" s="1"/>
  <c r="BA115" i="2"/>
  <c r="BA152" i="2" s="1"/>
  <c r="AZ115" i="2"/>
  <c r="AY115" i="2"/>
  <c r="AY152" i="2" s="1"/>
  <c r="AX115" i="2"/>
  <c r="AX152" i="2" s="1"/>
  <c r="AW115" i="2"/>
  <c r="AW152" i="2" s="1"/>
  <c r="AV115" i="2"/>
  <c r="AU115" i="2"/>
  <c r="AU152" i="2" s="1"/>
  <c r="AT115" i="2"/>
  <c r="AT152" i="2" s="1"/>
  <c r="AS115" i="2"/>
  <c r="AS152" i="2" s="1"/>
  <c r="AR115" i="2"/>
  <c r="AR152" i="2" s="1"/>
  <c r="AQ115" i="2"/>
  <c r="AQ152" i="2" s="1"/>
  <c r="AP115" i="2"/>
  <c r="AP152" i="2" s="1"/>
  <c r="AO115" i="2"/>
  <c r="AN115" i="2"/>
  <c r="AM115" i="2"/>
  <c r="AM152" i="2" s="1"/>
  <c r="AL115" i="2"/>
  <c r="AL152" i="2" s="1"/>
  <c r="AK115" i="2"/>
  <c r="AK152" i="2" s="1"/>
  <c r="AJ115" i="2"/>
  <c r="AJ152" i="2" s="1"/>
  <c r="AI115" i="2"/>
  <c r="AI152" i="2" s="1"/>
  <c r="AH115" i="2"/>
  <c r="AH152" i="2" s="1"/>
  <c r="AG115" i="2"/>
  <c r="AG152" i="2" s="1"/>
  <c r="AF115" i="2"/>
  <c r="AF152" i="2" s="1"/>
  <c r="AE115" i="2"/>
  <c r="AD115" i="2"/>
  <c r="AC115" i="2"/>
  <c r="AC152" i="2" s="1"/>
  <c r="AB115" i="2"/>
  <c r="AB152" i="2" s="1"/>
  <c r="AA115" i="2"/>
  <c r="AA152" i="2" s="1"/>
  <c r="Z115" i="2"/>
  <c r="Z152" i="2" s="1"/>
  <c r="Y115" i="2"/>
  <c r="X115" i="2"/>
  <c r="X152" i="2" s="1"/>
  <c r="W115" i="2"/>
  <c r="W152" i="2" s="1"/>
  <c r="U115" i="2"/>
  <c r="U152" i="2" s="1"/>
  <c r="T115" i="2"/>
  <c r="T152" i="2" s="1"/>
  <c r="S115" i="2"/>
  <c r="R115" i="2"/>
  <c r="R152" i="2" s="1"/>
  <c r="O115" i="2"/>
  <c r="O152" i="2" s="1"/>
  <c r="N115" i="2"/>
  <c r="N152" i="2" s="1"/>
  <c r="M115" i="2"/>
  <c r="K115" i="2"/>
  <c r="K152" i="2" s="1"/>
  <c r="J115" i="2"/>
  <c r="J152" i="2" s="1"/>
  <c r="I115" i="2"/>
  <c r="I152" i="2" s="1"/>
  <c r="H115" i="2"/>
  <c r="H152" i="2" s="1"/>
  <c r="G115" i="2"/>
  <c r="D115" i="2"/>
  <c r="D152" i="2" s="1"/>
  <c r="C115" i="2"/>
  <c r="C152" i="2" s="1"/>
  <c r="B115" i="2"/>
  <c r="CI114" i="2"/>
  <c r="CI151" i="2" s="1"/>
  <c r="CH114" i="2"/>
  <c r="CH151" i="2" s="1"/>
  <c r="CG114" i="2"/>
  <c r="CG151" i="2" s="1"/>
  <c r="CF114" i="2"/>
  <c r="CF151" i="2" s="1"/>
  <c r="CE114" i="2"/>
  <c r="CE151" i="2" s="1"/>
  <c r="CD114" i="2"/>
  <c r="BE114" i="2"/>
  <c r="BE151" i="2" s="1"/>
  <c r="BD114" i="2"/>
  <c r="BD151" i="2" s="1"/>
  <c r="BC114" i="2"/>
  <c r="BC151" i="2" s="1"/>
  <c r="BB114" i="2"/>
  <c r="BB151" i="2" s="1"/>
  <c r="BA114" i="2"/>
  <c r="BA151" i="2" s="1"/>
  <c r="AZ114" i="2"/>
  <c r="AY114" i="2"/>
  <c r="AY151" i="2" s="1"/>
  <c r="AX114" i="2"/>
  <c r="AX151" i="2" s="1"/>
  <c r="AW114" i="2"/>
  <c r="AW151" i="2" s="1"/>
  <c r="AV114" i="2"/>
  <c r="AU114" i="2"/>
  <c r="AU151" i="2" s="1"/>
  <c r="AT114" i="2"/>
  <c r="AT151" i="2" s="1"/>
  <c r="AS114" i="2"/>
  <c r="AS151" i="2" s="1"/>
  <c r="AR114" i="2"/>
  <c r="AR151" i="2" s="1"/>
  <c r="AQ114" i="2"/>
  <c r="AQ151" i="2" s="1"/>
  <c r="AP114" i="2"/>
  <c r="AP151" i="2" s="1"/>
  <c r="AO114" i="2"/>
  <c r="AN114" i="2"/>
  <c r="AM114" i="2"/>
  <c r="AM151" i="2" s="1"/>
  <c r="AL114" i="2"/>
  <c r="AL151" i="2" s="1"/>
  <c r="AK114" i="2"/>
  <c r="AK151" i="2" s="1"/>
  <c r="AJ114" i="2"/>
  <c r="AJ151" i="2" s="1"/>
  <c r="AI114" i="2"/>
  <c r="AI151" i="2" s="1"/>
  <c r="AH114" i="2"/>
  <c r="AH151" i="2" s="1"/>
  <c r="AG114" i="2"/>
  <c r="AG151" i="2" s="1"/>
  <c r="AF114" i="2"/>
  <c r="AF151" i="2" s="1"/>
  <c r="AE114" i="2"/>
  <c r="AD114" i="2"/>
  <c r="AC114" i="2"/>
  <c r="AC151" i="2" s="1"/>
  <c r="AB114" i="2"/>
  <c r="AB151" i="2" s="1"/>
  <c r="AA114" i="2"/>
  <c r="AA151" i="2" s="1"/>
  <c r="Z114" i="2"/>
  <c r="Z151" i="2" s="1"/>
  <c r="Y114" i="2"/>
  <c r="X114" i="2"/>
  <c r="X151" i="2" s="1"/>
  <c r="W114" i="2"/>
  <c r="W151" i="2" s="1"/>
  <c r="U114" i="2"/>
  <c r="U151" i="2" s="1"/>
  <c r="T114" i="2"/>
  <c r="T151" i="2" s="1"/>
  <c r="S114" i="2"/>
  <c r="R114" i="2"/>
  <c r="R151" i="2" s="1"/>
  <c r="O114" i="2"/>
  <c r="O151" i="2" s="1"/>
  <c r="N114" i="2"/>
  <c r="N151" i="2" s="1"/>
  <c r="M114" i="2"/>
  <c r="K114" i="2"/>
  <c r="K151" i="2" s="1"/>
  <c r="J114" i="2"/>
  <c r="J151" i="2" s="1"/>
  <c r="I114" i="2"/>
  <c r="I151" i="2" s="1"/>
  <c r="H114" i="2"/>
  <c r="H151" i="2" s="1"/>
  <c r="G114" i="2"/>
  <c r="D114" i="2"/>
  <c r="D151" i="2" s="1"/>
  <c r="C114" i="2"/>
  <c r="C151" i="2" s="1"/>
  <c r="B114" i="2"/>
  <c r="CI113" i="2"/>
  <c r="CI150" i="2" s="1"/>
  <c r="CH113" i="2"/>
  <c r="CH150" i="2" s="1"/>
  <c r="CG113" i="2"/>
  <c r="CG150" i="2" s="1"/>
  <c r="CF113" i="2"/>
  <c r="CF150" i="2" s="1"/>
  <c r="CE113" i="2"/>
  <c r="CE150" i="2" s="1"/>
  <c r="CD113" i="2"/>
  <c r="BE113" i="2"/>
  <c r="BE150" i="2" s="1"/>
  <c r="BD113" i="2"/>
  <c r="BD150" i="2" s="1"/>
  <c r="BC113" i="2"/>
  <c r="BC150" i="2" s="1"/>
  <c r="BB113" i="2"/>
  <c r="BB150" i="2" s="1"/>
  <c r="BA113" i="2"/>
  <c r="BA150" i="2" s="1"/>
  <c r="AZ113" i="2"/>
  <c r="AY113" i="2"/>
  <c r="AY150" i="2" s="1"/>
  <c r="AX113" i="2"/>
  <c r="AX150" i="2" s="1"/>
  <c r="AW113" i="2"/>
  <c r="AW150" i="2" s="1"/>
  <c r="AV113" i="2"/>
  <c r="AU113" i="2"/>
  <c r="AU150" i="2" s="1"/>
  <c r="AT113" i="2"/>
  <c r="AT150" i="2" s="1"/>
  <c r="AS113" i="2"/>
  <c r="AS150" i="2" s="1"/>
  <c r="AR113" i="2"/>
  <c r="AR150" i="2" s="1"/>
  <c r="AQ113" i="2"/>
  <c r="AQ150" i="2" s="1"/>
  <c r="AP113" i="2"/>
  <c r="AP150" i="2" s="1"/>
  <c r="AO113" i="2"/>
  <c r="AN113" i="2"/>
  <c r="AM113" i="2"/>
  <c r="AM150" i="2" s="1"/>
  <c r="AL113" i="2"/>
  <c r="AL150" i="2" s="1"/>
  <c r="AK113" i="2"/>
  <c r="AK150" i="2" s="1"/>
  <c r="AJ113" i="2"/>
  <c r="AJ150" i="2" s="1"/>
  <c r="AI113" i="2"/>
  <c r="AI150" i="2" s="1"/>
  <c r="AH113" i="2"/>
  <c r="AH150" i="2" s="1"/>
  <c r="AG113" i="2"/>
  <c r="AG150" i="2" s="1"/>
  <c r="AF113" i="2"/>
  <c r="AF150" i="2" s="1"/>
  <c r="AE113" i="2"/>
  <c r="AD113" i="2"/>
  <c r="AC113" i="2"/>
  <c r="AC150" i="2" s="1"/>
  <c r="AB113" i="2"/>
  <c r="AB150" i="2" s="1"/>
  <c r="AA113" i="2"/>
  <c r="AA150" i="2" s="1"/>
  <c r="Z113" i="2"/>
  <c r="Z150" i="2" s="1"/>
  <c r="Y113" i="2"/>
  <c r="X113" i="2"/>
  <c r="X150" i="2" s="1"/>
  <c r="W113" i="2"/>
  <c r="W150" i="2" s="1"/>
  <c r="U113" i="2"/>
  <c r="U150" i="2" s="1"/>
  <c r="T113" i="2"/>
  <c r="T150" i="2" s="1"/>
  <c r="S113" i="2"/>
  <c r="R113" i="2"/>
  <c r="R150" i="2" s="1"/>
  <c r="O113" i="2"/>
  <c r="O150" i="2" s="1"/>
  <c r="N113" i="2"/>
  <c r="N150" i="2" s="1"/>
  <c r="M113" i="2"/>
  <c r="K113" i="2"/>
  <c r="K150" i="2" s="1"/>
  <c r="J113" i="2"/>
  <c r="J150" i="2" s="1"/>
  <c r="I113" i="2"/>
  <c r="I150" i="2" s="1"/>
  <c r="H113" i="2"/>
  <c r="H150" i="2" s="1"/>
  <c r="G113" i="2"/>
  <c r="D113" i="2"/>
  <c r="D150" i="2" s="1"/>
  <c r="C113" i="2"/>
  <c r="C150" i="2" s="1"/>
  <c r="B113" i="2"/>
  <c r="CI112" i="2"/>
  <c r="CI149" i="2" s="1"/>
  <c r="CH112" i="2"/>
  <c r="CH149" i="2" s="1"/>
  <c r="CG112" i="2"/>
  <c r="CG149" i="2" s="1"/>
  <c r="CF112" i="2"/>
  <c r="CF149" i="2" s="1"/>
  <c r="CE112" i="2"/>
  <c r="CE149" i="2" s="1"/>
  <c r="CD112" i="2"/>
  <c r="BE112" i="2"/>
  <c r="BE149" i="2" s="1"/>
  <c r="BD112" i="2"/>
  <c r="BD149" i="2" s="1"/>
  <c r="BC112" i="2"/>
  <c r="BC149" i="2" s="1"/>
  <c r="BB112" i="2"/>
  <c r="BB149" i="2" s="1"/>
  <c r="BA112" i="2"/>
  <c r="BA149" i="2" s="1"/>
  <c r="AZ112" i="2"/>
  <c r="AY112" i="2"/>
  <c r="AY149" i="2" s="1"/>
  <c r="AX112" i="2"/>
  <c r="AX149" i="2" s="1"/>
  <c r="AW112" i="2"/>
  <c r="AW149" i="2" s="1"/>
  <c r="AV112" i="2"/>
  <c r="AU112" i="2"/>
  <c r="AU149" i="2" s="1"/>
  <c r="AT112" i="2"/>
  <c r="AT149" i="2" s="1"/>
  <c r="AS112" i="2"/>
  <c r="AS149" i="2" s="1"/>
  <c r="AR112" i="2"/>
  <c r="AR149" i="2" s="1"/>
  <c r="AQ112" i="2"/>
  <c r="AQ149" i="2" s="1"/>
  <c r="AP112" i="2"/>
  <c r="AP149" i="2" s="1"/>
  <c r="AO112" i="2"/>
  <c r="AN112" i="2"/>
  <c r="AM112" i="2"/>
  <c r="AM149" i="2" s="1"/>
  <c r="AL112" i="2"/>
  <c r="AL149" i="2" s="1"/>
  <c r="AK112" i="2"/>
  <c r="AK149" i="2" s="1"/>
  <c r="AJ112" i="2"/>
  <c r="AJ149" i="2" s="1"/>
  <c r="AI112" i="2"/>
  <c r="AI149" i="2" s="1"/>
  <c r="AH112" i="2"/>
  <c r="AH149" i="2" s="1"/>
  <c r="AG112" i="2"/>
  <c r="AG149" i="2" s="1"/>
  <c r="AF112" i="2"/>
  <c r="AF149" i="2" s="1"/>
  <c r="AE112" i="2"/>
  <c r="AD112" i="2"/>
  <c r="AC112" i="2"/>
  <c r="AC149" i="2" s="1"/>
  <c r="AB112" i="2"/>
  <c r="AB149" i="2" s="1"/>
  <c r="AA112" i="2"/>
  <c r="AA149" i="2" s="1"/>
  <c r="Z112" i="2"/>
  <c r="Z149" i="2" s="1"/>
  <c r="Y112" i="2"/>
  <c r="X112" i="2"/>
  <c r="X149" i="2" s="1"/>
  <c r="W112" i="2"/>
  <c r="W149" i="2" s="1"/>
  <c r="U112" i="2"/>
  <c r="U149" i="2" s="1"/>
  <c r="T112" i="2"/>
  <c r="T149" i="2" s="1"/>
  <c r="S112" i="2"/>
  <c r="R112" i="2"/>
  <c r="R149" i="2" s="1"/>
  <c r="O112" i="2"/>
  <c r="O149" i="2" s="1"/>
  <c r="N112" i="2"/>
  <c r="N149" i="2" s="1"/>
  <c r="M112" i="2"/>
  <c r="K112" i="2"/>
  <c r="K149" i="2" s="1"/>
  <c r="J112" i="2"/>
  <c r="J149" i="2" s="1"/>
  <c r="I112" i="2"/>
  <c r="I149" i="2" s="1"/>
  <c r="H112" i="2"/>
  <c r="H149" i="2" s="1"/>
  <c r="G112" i="2"/>
  <c r="D112" i="2"/>
  <c r="D149" i="2" s="1"/>
  <c r="C112" i="2"/>
  <c r="C149" i="2" s="1"/>
  <c r="B112" i="2"/>
  <c r="CI111" i="2"/>
  <c r="CI148" i="2" s="1"/>
  <c r="CH111" i="2"/>
  <c r="CH148" i="2" s="1"/>
  <c r="CG111" i="2"/>
  <c r="CG148" i="2" s="1"/>
  <c r="CF111" i="2"/>
  <c r="CF148" i="2" s="1"/>
  <c r="CE111" i="2"/>
  <c r="CE148" i="2" s="1"/>
  <c r="CD111" i="2"/>
  <c r="BE111" i="2"/>
  <c r="BE148" i="2" s="1"/>
  <c r="BD111" i="2"/>
  <c r="BD148" i="2" s="1"/>
  <c r="BC111" i="2"/>
  <c r="BC148" i="2" s="1"/>
  <c r="BB111" i="2"/>
  <c r="BB148" i="2" s="1"/>
  <c r="BA111" i="2"/>
  <c r="BA148" i="2" s="1"/>
  <c r="AZ111" i="2"/>
  <c r="AY111" i="2"/>
  <c r="AY148" i="2" s="1"/>
  <c r="AX111" i="2"/>
  <c r="AX148" i="2" s="1"/>
  <c r="AW111" i="2"/>
  <c r="AW148" i="2" s="1"/>
  <c r="AV111" i="2"/>
  <c r="AU111" i="2"/>
  <c r="AU148" i="2" s="1"/>
  <c r="AT111" i="2"/>
  <c r="AT148" i="2" s="1"/>
  <c r="AS111" i="2"/>
  <c r="AS148" i="2" s="1"/>
  <c r="AR111" i="2"/>
  <c r="AR148" i="2" s="1"/>
  <c r="AQ111" i="2"/>
  <c r="AQ148" i="2" s="1"/>
  <c r="AP111" i="2"/>
  <c r="AP148" i="2" s="1"/>
  <c r="AO111" i="2"/>
  <c r="AN111" i="2"/>
  <c r="AM111" i="2"/>
  <c r="AM148" i="2" s="1"/>
  <c r="AL111" i="2"/>
  <c r="AL148" i="2" s="1"/>
  <c r="AK111" i="2"/>
  <c r="AK148" i="2" s="1"/>
  <c r="AJ111" i="2"/>
  <c r="AJ148" i="2" s="1"/>
  <c r="AI111" i="2"/>
  <c r="AI148" i="2" s="1"/>
  <c r="AH111" i="2"/>
  <c r="AH148" i="2" s="1"/>
  <c r="AG111" i="2"/>
  <c r="AG148" i="2" s="1"/>
  <c r="AF111" i="2"/>
  <c r="AF148" i="2" s="1"/>
  <c r="AE111" i="2"/>
  <c r="AD111" i="2"/>
  <c r="AC111" i="2"/>
  <c r="AC148" i="2" s="1"/>
  <c r="AB111" i="2"/>
  <c r="AB148" i="2" s="1"/>
  <c r="AA111" i="2"/>
  <c r="AA148" i="2" s="1"/>
  <c r="Z111" i="2"/>
  <c r="Z148" i="2" s="1"/>
  <c r="Y111" i="2"/>
  <c r="X111" i="2"/>
  <c r="X148" i="2" s="1"/>
  <c r="W111" i="2"/>
  <c r="W148" i="2" s="1"/>
  <c r="U111" i="2"/>
  <c r="U148" i="2" s="1"/>
  <c r="T111" i="2"/>
  <c r="T148" i="2" s="1"/>
  <c r="S111" i="2"/>
  <c r="R111" i="2"/>
  <c r="R148" i="2" s="1"/>
  <c r="O111" i="2"/>
  <c r="O148" i="2" s="1"/>
  <c r="N111" i="2"/>
  <c r="N148" i="2" s="1"/>
  <c r="M111" i="2"/>
  <c r="K111" i="2"/>
  <c r="K148" i="2" s="1"/>
  <c r="J111" i="2"/>
  <c r="J148" i="2" s="1"/>
  <c r="I111" i="2"/>
  <c r="I148" i="2" s="1"/>
  <c r="H111" i="2"/>
  <c r="H148" i="2" s="1"/>
  <c r="G111" i="2"/>
  <c r="D111" i="2"/>
  <c r="D148" i="2" s="1"/>
  <c r="C111" i="2"/>
  <c r="C148" i="2" s="1"/>
  <c r="B111" i="2"/>
  <c r="CI110" i="2"/>
  <c r="CI147" i="2" s="1"/>
  <c r="CH110" i="2"/>
  <c r="CH147" i="2" s="1"/>
  <c r="CG110" i="2"/>
  <c r="CG147" i="2" s="1"/>
  <c r="CF110" i="2"/>
  <c r="CE110" i="2"/>
  <c r="CD110" i="2"/>
  <c r="CD147" i="2" s="1"/>
  <c r="BR110" i="2"/>
  <c r="BR147" i="2" s="1"/>
  <c r="BE110" i="2"/>
  <c r="BE147" i="2" s="1"/>
  <c r="BD110" i="2"/>
  <c r="BC110" i="2"/>
  <c r="BB110" i="2"/>
  <c r="BB147" i="2" s="1"/>
  <c r="BA110" i="2"/>
  <c r="AZ110" i="2"/>
  <c r="AY110" i="2"/>
  <c r="AY147" i="2" s="1"/>
  <c r="AX110" i="2"/>
  <c r="AW110" i="2"/>
  <c r="AV110" i="2"/>
  <c r="AU110" i="2"/>
  <c r="AU147" i="2" s="1"/>
  <c r="AT110" i="2"/>
  <c r="AS110" i="2"/>
  <c r="AR110" i="2"/>
  <c r="AQ110" i="2"/>
  <c r="AP110" i="2"/>
  <c r="AO110" i="2"/>
  <c r="AN110" i="2"/>
  <c r="AM110" i="2"/>
  <c r="AM147" i="2" s="1"/>
  <c r="AL110" i="2"/>
  <c r="AK110" i="2"/>
  <c r="AJ110" i="2"/>
  <c r="AJ147" i="2" s="1"/>
  <c r="AI110" i="2"/>
  <c r="AI147" i="2" s="1"/>
  <c r="AH110" i="2"/>
  <c r="AH147" i="2" s="1"/>
  <c r="AG110" i="2"/>
  <c r="AG147" i="2" s="1"/>
  <c r="AF110" i="2"/>
  <c r="AE110" i="2"/>
  <c r="AD110" i="2"/>
  <c r="AD147" i="2" s="1"/>
  <c r="AC110" i="2"/>
  <c r="AC147" i="2" s="1"/>
  <c r="AB110" i="2"/>
  <c r="AB147" i="2" s="1"/>
  <c r="AA110" i="2"/>
  <c r="AA147" i="2" s="1"/>
  <c r="Z110" i="2"/>
  <c r="Y110" i="2"/>
  <c r="X110" i="2"/>
  <c r="X147" i="2" s="1"/>
  <c r="W110" i="2"/>
  <c r="W147" i="2" s="1"/>
  <c r="U110" i="2"/>
  <c r="U147" i="2" s="1"/>
  <c r="T110" i="2"/>
  <c r="T147" i="2" s="1"/>
  <c r="S110" i="2"/>
  <c r="R110" i="2"/>
  <c r="O110" i="2"/>
  <c r="O147" i="2" s="1"/>
  <c r="N110" i="2"/>
  <c r="M110" i="2"/>
  <c r="K110" i="2"/>
  <c r="K147" i="2" s="1"/>
  <c r="J110" i="2"/>
  <c r="I110" i="2"/>
  <c r="H110" i="2"/>
  <c r="H147" i="2" s="1"/>
  <c r="G110" i="2"/>
  <c r="D110" i="2"/>
  <c r="C110" i="2"/>
  <c r="B110" i="2"/>
  <c r="CI106" i="2"/>
  <c r="CH106" i="2"/>
  <c r="CG106" i="2"/>
  <c r="CF106" i="2"/>
  <c r="CE106" i="2"/>
  <c r="CD106" i="2"/>
  <c r="BR106" i="2"/>
  <c r="BE106" i="2"/>
  <c r="BD106" i="2"/>
  <c r="BC106" i="2"/>
  <c r="BB106" i="2"/>
  <c r="BA106" i="2"/>
  <c r="AZ106" i="2"/>
  <c r="AY106" i="2"/>
  <c r="AX106" i="2"/>
  <c r="AW106" i="2"/>
  <c r="AV106" i="2"/>
  <c r="AU106" i="2"/>
  <c r="AT106" i="2"/>
  <c r="AS106" i="2"/>
  <c r="AR106" i="2"/>
  <c r="AQ106" i="2"/>
  <c r="AP106" i="2"/>
  <c r="AO106" i="2"/>
  <c r="AN106" i="2"/>
  <c r="AM106" i="2"/>
  <c r="AL106" i="2"/>
  <c r="AK106" i="2"/>
  <c r="AJ106" i="2"/>
  <c r="AI106" i="2"/>
  <c r="AH106" i="2"/>
  <c r="AG106" i="2"/>
  <c r="AF106" i="2"/>
  <c r="AE106" i="2"/>
  <c r="AD106" i="2"/>
  <c r="AC106" i="2"/>
  <c r="AB106" i="2"/>
  <c r="AA106" i="2"/>
  <c r="Z106" i="2"/>
  <c r="Y106" i="2"/>
  <c r="X106" i="2"/>
  <c r="W106" i="2"/>
  <c r="U106" i="2"/>
  <c r="T106" i="2"/>
  <c r="S106" i="2"/>
  <c r="R106" i="2"/>
  <c r="O106" i="2"/>
  <c r="N106" i="2"/>
  <c r="M106" i="2"/>
  <c r="K106" i="2"/>
  <c r="J106" i="2"/>
  <c r="I106" i="2"/>
  <c r="H106" i="2"/>
  <c r="G106" i="2"/>
  <c r="D106" i="2"/>
  <c r="C106" i="2"/>
  <c r="B106" i="2"/>
  <c r="CI71" i="2"/>
  <c r="CH71" i="2"/>
  <c r="CG71" i="2"/>
  <c r="CF71" i="2"/>
  <c r="CE71" i="2"/>
  <c r="CD71" i="2"/>
  <c r="BR71" i="2"/>
  <c r="BE71" i="2"/>
  <c r="BD71" i="2"/>
  <c r="BC71" i="2"/>
  <c r="BB71" i="2"/>
  <c r="BA71" i="2"/>
  <c r="AZ71" i="2"/>
  <c r="AY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U71" i="2"/>
  <c r="T71" i="2"/>
  <c r="S71" i="2"/>
  <c r="R71" i="2"/>
  <c r="O71" i="2"/>
  <c r="N71" i="2"/>
  <c r="M71" i="2"/>
  <c r="K71" i="2"/>
  <c r="J71" i="2"/>
  <c r="I71" i="2"/>
  <c r="H71" i="2"/>
  <c r="G71" i="2"/>
  <c r="D71" i="2"/>
  <c r="C71" i="2"/>
  <c r="B71" i="2"/>
  <c r="CI35" i="2"/>
  <c r="CH35" i="2"/>
  <c r="CG35" i="2"/>
  <c r="CF35" i="2"/>
  <c r="CE35" i="2"/>
  <c r="CD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U35" i="2"/>
  <c r="T35" i="2"/>
  <c r="S35" i="2"/>
  <c r="R35" i="2"/>
  <c r="O35" i="2"/>
  <c r="N35" i="2"/>
  <c r="M35" i="2"/>
  <c r="K35" i="2"/>
  <c r="J35" i="2"/>
  <c r="I35" i="2"/>
  <c r="H35" i="2"/>
  <c r="G35" i="2"/>
  <c r="D35" i="2"/>
  <c r="C35" i="2"/>
  <c r="B35" i="2"/>
  <c r="BE151" i="1"/>
  <c r="DB181" i="1"/>
  <c r="DA181" i="1"/>
  <c r="CY181" i="1"/>
  <c r="CX181" i="1"/>
  <c r="CV145" i="1"/>
  <c r="CV181" i="1" s="1"/>
  <c r="CU145" i="1"/>
  <c r="CU181" i="1" s="1"/>
  <c r="CT145" i="1"/>
  <c r="CS145" i="1"/>
  <c r="CS181" i="1" s="1"/>
  <c r="CR145" i="1"/>
  <c r="CR181" i="1" s="1"/>
  <c r="CQ145" i="1"/>
  <c r="CP145" i="1"/>
  <c r="CP181" i="1" s="1"/>
  <c r="CO145" i="1"/>
  <c r="CO181" i="1" s="1"/>
  <c r="CN145" i="1"/>
  <c r="CM145" i="1"/>
  <c r="CM181" i="1" s="1"/>
  <c r="CL145" i="1"/>
  <c r="CL181" i="1" s="1"/>
  <c r="CK145" i="1"/>
  <c r="CJ145" i="1"/>
  <c r="CJ181" i="1" s="1"/>
  <c r="CI145" i="1"/>
  <c r="CI181" i="1" s="1"/>
  <c r="CH145" i="1"/>
  <c r="CG145" i="1"/>
  <c r="CG181" i="1" s="1"/>
  <c r="CF145" i="1"/>
  <c r="CF181" i="1" s="1"/>
  <c r="CE145" i="1"/>
  <c r="CD145" i="1"/>
  <c r="CD181" i="1" s="1"/>
  <c r="CC145" i="1"/>
  <c r="CC181" i="1" s="1"/>
  <c r="CB145" i="1"/>
  <c r="CA145" i="1"/>
  <c r="CA181" i="1" s="1"/>
  <c r="BZ145" i="1"/>
  <c r="BZ181" i="1" s="1"/>
  <c r="BY145" i="1"/>
  <c r="BX145" i="1"/>
  <c r="BX181" i="1" s="1"/>
  <c r="BW145" i="1"/>
  <c r="BW181" i="1" s="1"/>
  <c r="BV145" i="1"/>
  <c r="BU145" i="1"/>
  <c r="BU181" i="1" s="1"/>
  <c r="BT145" i="1"/>
  <c r="BT181" i="1" s="1"/>
  <c r="BS145" i="1"/>
  <c r="BR145" i="1"/>
  <c r="BR181" i="1" s="1"/>
  <c r="BQ145" i="1"/>
  <c r="BQ181" i="1" s="1"/>
  <c r="BP145" i="1"/>
  <c r="BO145" i="1"/>
  <c r="BO181" i="1" s="1"/>
  <c r="BN145" i="1"/>
  <c r="BN181" i="1" s="1"/>
  <c r="BM145" i="1"/>
  <c r="BL145" i="1"/>
  <c r="BL181" i="1" s="1"/>
  <c r="BK145" i="1"/>
  <c r="BK181" i="1" s="1"/>
  <c r="BJ145" i="1"/>
  <c r="BI145" i="1"/>
  <c r="BI181" i="1" s="1"/>
  <c r="BH145" i="1"/>
  <c r="BH181" i="1" s="1"/>
  <c r="BG145" i="1"/>
  <c r="BF145" i="1"/>
  <c r="BF181" i="1" s="1"/>
  <c r="BE145" i="1"/>
  <c r="BE181" i="1" s="1"/>
  <c r="BD145" i="1"/>
  <c r="BC145" i="1"/>
  <c r="BC181" i="1" s="1"/>
  <c r="BB145" i="1"/>
  <c r="BB181" i="1" s="1"/>
  <c r="BA145" i="1"/>
  <c r="AZ145" i="1"/>
  <c r="AZ181" i="1" s="1"/>
  <c r="AY145" i="1"/>
  <c r="AY181" i="1" s="1"/>
  <c r="AX145" i="1"/>
  <c r="AW145" i="1"/>
  <c r="AW181" i="1" s="1"/>
  <c r="AV145" i="1"/>
  <c r="AV181" i="1" s="1"/>
  <c r="AU145" i="1"/>
  <c r="AT145" i="1"/>
  <c r="AT181" i="1" s="1"/>
  <c r="AS145" i="1"/>
  <c r="AS181" i="1" s="1"/>
  <c r="AR145" i="1"/>
  <c r="AQ145" i="1"/>
  <c r="AQ181" i="1" s="1"/>
  <c r="AP145" i="1"/>
  <c r="AP181" i="1" s="1"/>
  <c r="AO145" i="1"/>
  <c r="AN145" i="1"/>
  <c r="AN181" i="1" s="1"/>
  <c r="AM145" i="1"/>
  <c r="AM181" i="1" s="1"/>
  <c r="AL145" i="1"/>
  <c r="AK145" i="1"/>
  <c r="AK181" i="1" s="1"/>
  <c r="AJ145" i="1"/>
  <c r="AJ181" i="1" s="1"/>
  <c r="AI145" i="1"/>
  <c r="AH145" i="1"/>
  <c r="AH181" i="1" s="1"/>
  <c r="AG145" i="1"/>
  <c r="AG181" i="1" s="1"/>
  <c r="AF145" i="1"/>
  <c r="AE145" i="1"/>
  <c r="AE181" i="1" s="1"/>
  <c r="AD145" i="1"/>
  <c r="AD181" i="1" s="1"/>
  <c r="AC145" i="1"/>
  <c r="AB145" i="1"/>
  <c r="AB181" i="1" s="1"/>
  <c r="AA145" i="1"/>
  <c r="AA181" i="1" s="1"/>
  <c r="Z145" i="1"/>
  <c r="Y145" i="1"/>
  <c r="Y181" i="1" s="1"/>
  <c r="X145" i="1"/>
  <c r="X181" i="1" s="1"/>
  <c r="W145" i="1"/>
  <c r="V145" i="1"/>
  <c r="V181" i="1" s="1"/>
  <c r="U145" i="1"/>
  <c r="U181" i="1" s="1"/>
  <c r="T145" i="1"/>
  <c r="S145" i="1"/>
  <c r="S181" i="1" s="1"/>
  <c r="R145" i="1"/>
  <c r="R181" i="1" s="1"/>
  <c r="Q145" i="1"/>
  <c r="P145" i="1"/>
  <c r="P181" i="1" s="1"/>
  <c r="O145" i="1"/>
  <c r="O181" i="1" s="1"/>
  <c r="N145" i="1"/>
  <c r="M145" i="1"/>
  <c r="M181" i="1" s="1"/>
  <c r="L145" i="1"/>
  <c r="L181" i="1" s="1"/>
  <c r="K145" i="1"/>
  <c r="J145" i="1"/>
  <c r="J181" i="1" s="1"/>
  <c r="I145" i="1"/>
  <c r="I181" i="1" s="1"/>
  <c r="H145" i="1"/>
  <c r="G145" i="1"/>
  <c r="G181" i="1" s="1"/>
  <c r="F145" i="1"/>
  <c r="F181" i="1" s="1"/>
  <c r="E145" i="1"/>
  <c r="D145" i="1"/>
  <c r="D181" i="1" s="1"/>
  <c r="C145" i="1"/>
  <c r="C181" i="1" s="1"/>
  <c r="B145" i="1"/>
  <c r="DB180" i="1"/>
  <c r="CY180" i="1"/>
  <c r="CX180" i="1"/>
  <c r="CV144" i="1"/>
  <c r="CV180" i="1" s="1"/>
  <c r="CU144" i="1"/>
  <c r="CU180" i="1" s="1"/>
  <c r="CT144" i="1"/>
  <c r="CS144" i="1"/>
  <c r="CS180" i="1" s="1"/>
  <c r="CR144" i="1"/>
  <c r="CR180" i="1" s="1"/>
  <c r="CQ144" i="1"/>
  <c r="CP144" i="1"/>
  <c r="CP180" i="1" s="1"/>
  <c r="CO144" i="1"/>
  <c r="CO180" i="1" s="1"/>
  <c r="CN144" i="1"/>
  <c r="CM144" i="1"/>
  <c r="CM180" i="1" s="1"/>
  <c r="CL144" i="1"/>
  <c r="CL180" i="1" s="1"/>
  <c r="CK144" i="1"/>
  <c r="CJ144" i="1"/>
  <c r="CJ180" i="1" s="1"/>
  <c r="CI144" i="1"/>
  <c r="CI180" i="1" s="1"/>
  <c r="CH144" i="1"/>
  <c r="CG144" i="1"/>
  <c r="CG180" i="1" s="1"/>
  <c r="CF144" i="1"/>
  <c r="CF180" i="1" s="1"/>
  <c r="CE144" i="1"/>
  <c r="CD144" i="1"/>
  <c r="CD180" i="1" s="1"/>
  <c r="CC144" i="1"/>
  <c r="CC180" i="1" s="1"/>
  <c r="CB144" i="1"/>
  <c r="CA144" i="1"/>
  <c r="CA180" i="1" s="1"/>
  <c r="BZ144" i="1"/>
  <c r="BZ180" i="1" s="1"/>
  <c r="BY144" i="1"/>
  <c r="BX144" i="1"/>
  <c r="BX180" i="1" s="1"/>
  <c r="BW144" i="1"/>
  <c r="BW180" i="1" s="1"/>
  <c r="BV144" i="1"/>
  <c r="BU144" i="1"/>
  <c r="BU180" i="1" s="1"/>
  <c r="BT144" i="1"/>
  <c r="BT180" i="1" s="1"/>
  <c r="BS144" i="1"/>
  <c r="BR144" i="1"/>
  <c r="BR180" i="1" s="1"/>
  <c r="BQ144" i="1"/>
  <c r="BQ180" i="1" s="1"/>
  <c r="BP144" i="1"/>
  <c r="BO144" i="1"/>
  <c r="BO180" i="1" s="1"/>
  <c r="BN144" i="1"/>
  <c r="BN180" i="1" s="1"/>
  <c r="BM144" i="1"/>
  <c r="BL144" i="1"/>
  <c r="BL180" i="1" s="1"/>
  <c r="BK144" i="1"/>
  <c r="BK180" i="1" s="1"/>
  <c r="BJ144" i="1"/>
  <c r="BI144" i="1"/>
  <c r="BI180" i="1" s="1"/>
  <c r="BH144" i="1"/>
  <c r="BH180" i="1" s="1"/>
  <c r="BG144" i="1"/>
  <c r="BF144" i="1"/>
  <c r="BF180" i="1" s="1"/>
  <c r="BE144" i="1"/>
  <c r="BE180" i="1" s="1"/>
  <c r="BD144" i="1"/>
  <c r="BC144" i="1"/>
  <c r="BC180" i="1" s="1"/>
  <c r="BB144" i="1"/>
  <c r="BB180" i="1" s="1"/>
  <c r="BA144" i="1"/>
  <c r="AZ144" i="1"/>
  <c r="AZ180" i="1" s="1"/>
  <c r="AY144" i="1"/>
  <c r="AY180" i="1" s="1"/>
  <c r="AX144" i="1"/>
  <c r="AW144" i="1"/>
  <c r="AW180" i="1" s="1"/>
  <c r="AV144" i="1"/>
  <c r="AV180" i="1" s="1"/>
  <c r="AU144" i="1"/>
  <c r="AT144" i="1"/>
  <c r="AT180" i="1" s="1"/>
  <c r="AS144" i="1"/>
  <c r="AS180" i="1" s="1"/>
  <c r="AR144" i="1"/>
  <c r="AQ144" i="1"/>
  <c r="AQ180" i="1" s="1"/>
  <c r="AP144" i="1"/>
  <c r="AP180" i="1" s="1"/>
  <c r="AO144" i="1"/>
  <c r="AN144" i="1"/>
  <c r="AN180" i="1" s="1"/>
  <c r="AM144" i="1"/>
  <c r="AM180" i="1" s="1"/>
  <c r="AL144" i="1"/>
  <c r="AK144" i="1"/>
  <c r="AK180" i="1" s="1"/>
  <c r="AJ144" i="1"/>
  <c r="AJ180" i="1" s="1"/>
  <c r="AI144" i="1"/>
  <c r="AH144" i="1"/>
  <c r="AH180" i="1" s="1"/>
  <c r="AG144" i="1"/>
  <c r="AG180" i="1" s="1"/>
  <c r="AF144" i="1"/>
  <c r="AE144" i="1"/>
  <c r="AE180" i="1" s="1"/>
  <c r="AD144" i="1"/>
  <c r="AD180" i="1" s="1"/>
  <c r="AC144" i="1"/>
  <c r="AB144" i="1"/>
  <c r="AB180" i="1" s="1"/>
  <c r="AA144" i="1"/>
  <c r="AA180" i="1" s="1"/>
  <c r="Z144" i="1"/>
  <c r="Y144" i="1"/>
  <c r="Y180" i="1" s="1"/>
  <c r="X144" i="1"/>
  <c r="X180" i="1" s="1"/>
  <c r="W144" i="1"/>
  <c r="V144" i="1"/>
  <c r="V180" i="1" s="1"/>
  <c r="U144" i="1"/>
  <c r="U180" i="1" s="1"/>
  <c r="T144" i="1"/>
  <c r="S144" i="1"/>
  <c r="S180" i="1" s="1"/>
  <c r="R144" i="1"/>
  <c r="R180" i="1" s="1"/>
  <c r="Q144" i="1"/>
  <c r="P144" i="1"/>
  <c r="P180" i="1" s="1"/>
  <c r="O144" i="1"/>
  <c r="O180" i="1" s="1"/>
  <c r="N144" i="1"/>
  <c r="M144" i="1"/>
  <c r="M180" i="1" s="1"/>
  <c r="L144" i="1"/>
  <c r="L180" i="1" s="1"/>
  <c r="K144" i="1"/>
  <c r="J144" i="1"/>
  <c r="J180" i="1" s="1"/>
  <c r="I144" i="1"/>
  <c r="I180" i="1" s="1"/>
  <c r="H144" i="1"/>
  <c r="G144" i="1"/>
  <c r="G180" i="1" s="1"/>
  <c r="F144" i="1"/>
  <c r="F180" i="1" s="1"/>
  <c r="E144" i="1"/>
  <c r="D144" i="1"/>
  <c r="D180" i="1" s="1"/>
  <c r="C144" i="1"/>
  <c r="C180" i="1" s="1"/>
  <c r="B144" i="1"/>
  <c r="DB179" i="1"/>
  <c r="DA179" i="1"/>
  <c r="CY179" i="1"/>
  <c r="CX179" i="1"/>
  <c r="CV143" i="1"/>
  <c r="CV179" i="1" s="1"/>
  <c r="CU143" i="1"/>
  <c r="CU179" i="1" s="1"/>
  <c r="CT143" i="1"/>
  <c r="CS143" i="1"/>
  <c r="CS179" i="1" s="1"/>
  <c r="CR143" i="1"/>
  <c r="CR179" i="1" s="1"/>
  <c r="CQ143" i="1"/>
  <c r="CP143" i="1"/>
  <c r="CP179" i="1" s="1"/>
  <c r="CO143" i="1"/>
  <c r="CO179" i="1" s="1"/>
  <c r="CN143" i="1"/>
  <c r="CM143" i="1"/>
  <c r="CM179" i="1" s="1"/>
  <c r="CL143" i="1"/>
  <c r="CL179" i="1" s="1"/>
  <c r="CK143" i="1"/>
  <c r="CJ143" i="1"/>
  <c r="CJ179" i="1" s="1"/>
  <c r="CI143" i="1"/>
  <c r="CI179" i="1" s="1"/>
  <c r="CH143" i="1"/>
  <c r="CG143" i="1"/>
  <c r="CG179" i="1" s="1"/>
  <c r="CF143" i="1"/>
  <c r="CF179" i="1" s="1"/>
  <c r="CE143" i="1"/>
  <c r="CD143" i="1"/>
  <c r="CD179" i="1" s="1"/>
  <c r="CC143" i="1"/>
  <c r="CC179" i="1" s="1"/>
  <c r="CB143" i="1"/>
  <c r="CA143" i="1"/>
  <c r="CA179" i="1" s="1"/>
  <c r="BZ143" i="1"/>
  <c r="BZ179" i="1" s="1"/>
  <c r="BY143" i="1"/>
  <c r="BX143" i="1"/>
  <c r="BX179" i="1" s="1"/>
  <c r="BW143" i="1"/>
  <c r="BW179" i="1" s="1"/>
  <c r="BV143" i="1"/>
  <c r="BU143" i="1"/>
  <c r="BU179" i="1" s="1"/>
  <c r="BT143" i="1"/>
  <c r="BT179" i="1" s="1"/>
  <c r="BS143" i="1"/>
  <c r="BR143" i="1"/>
  <c r="BR179" i="1" s="1"/>
  <c r="BQ143" i="1"/>
  <c r="BQ179" i="1" s="1"/>
  <c r="BP143" i="1"/>
  <c r="BO143" i="1"/>
  <c r="BO179" i="1" s="1"/>
  <c r="BN143" i="1"/>
  <c r="BN179" i="1" s="1"/>
  <c r="BM143" i="1"/>
  <c r="BL143" i="1"/>
  <c r="BL179" i="1" s="1"/>
  <c r="BK143" i="1"/>
  <c r="BK179" i="1" s="1"/>
  <c r="BJ143" i="1"/>
  <c r="BI143" i="1"/>
  <c r="BI179" i="1" s="1"/>
  <c r="BH143" i="1"/>
  <c r="BH179" i="1" s="1"/>
  <c r="BG143" i="1"/>
  <c r="BF143" i="1"/>
  <c r="BF179" i="1" s="1"/>
  <c r="BE143" i="1"/>
  <c r="BE179" i="1" s="1"/>
  <c r="BD143" i="1"/>
  <c r="BC143" i="1"/>
  <c r="BC179" i="1" s="1"/>
  <c r="BB143" i="1"/>
  <c r="BB179" i="1" s="1"/>
  <c r="BA143" i="1"/>
  <c r="AZ143" i="1"/>
  <c r="AZ179" i="1" s="1"/>
  <c r="AY143" i="1"/>
  <c r="AY179" i="1" s="1"/>
  <c r="AX143" i="1"/>
  <c r="AW143" i="1"/>
  <c r="AW179" i="1" s="1"/>
  <c r="AV143" i="1"/>
  <c r="AV179" i="1" s="1"/>
  <c r="AU143" i="1"/>
  <c r="AT143" i="1"/>
  <c r="AT179" i="1" s="1"/>
  <c r="AS143" i="1"/>
  <c r="AS179" i="1" s="1"/>
  <c r="AR143" i="1"/>
  <c r="AQ143" i="1"/>
  <c r="AQ179" i="1" s="1"/>
  <c r="AP143" i="1"/>
  <c r="AP179" i="1" s="1"/>
  <c r="AO143" i="1"/>
  <c r="AN143" i="1"/>
  <c r="AN179" i="1" s="1"/>
  <c r="AM143" i="1"/>
  <c r="AM179" i="1" s="1"/>
  <c r="AL143" i="1"/>
  <c r="AK143" i="1"/>
  <c r="AK179" i="1" s="1"/>
  <c r="AJ143" i="1"/>
  <c r="AJ179" i="1" s="1"/>
  <c r="AI143" i="1"/>
  <c r="AH143" i="1"/>
  <c r="AH179" i="1" s="1"/>
  <c r="AG143" i="1"/>
  <c r="AG179" i="1" s="1"/>
  <c r="AF143" i="1"/>
  <c r="AE143" i="1"/>
  <c r="AE179" i="1" s="1"/>
  <c r="AD143" i="1"/>
  <c r="AD179" i="1" s="1"/>
  <c r="AC143" i="1"/>
  <c r="AB143" i="1"/>
  <c r="AB179" i="1" s="1"/>
  <c r="AA143" i="1"/>
  <c r="AA179" i="1" s="1"/>
  <c r="Z143" i="1"/>
  <c r="Y143" i="1"/>
  <c r="Y179" i="1" s="1"/>
  <c r="X143" i="1"/>
  <c r="X179" i="1" s="1"/>
  <c r="W143" i="1"/>
  <c r="W179" i="1" s="1"/>
  <c r="V143" i="1"/>
  <c r="V179" i="1" s="1"/>
  <c r="U143" i="1"/>
  <c r="U179" i="1" s="1"/>
  <c r="T143" i="1"/>
  <c r="S143" i="1"/>
  <c r="S179" i="1" s="1"/>
  <c r="R143" i="1"/>
  <c r="R179" i="1" s="1"/>
  <c r="Q143" i="1"/>
  <c r="P143" i="1"/>
  <c r="P179" i="1" s="1"/>
  <c r="O143" i="1"/>
  <c r="O179" i="1" s="1"/>
  <c r="N143" i="1"/>
  <c r="M143" i="1"/>
  <c r="M179" i="1" s="1"/>
  <c r="L143" i="1"/>
  <c r="L179" i="1" s="1"/>
  <c r="K143" i="1"/>
  <c r="J143" i="1"/>
  <c r="J179" i="1" s="1"/>
  <c r="I143" i="1"/>
  <c r="I179" i="1" s="1"/>
  <c r="H143" i="1"/>
  <c r="G143" i="1"/>
  <c r="G179" i="1" s="1"/>
  <c r="F143" i="1"/>
  <c r="F179" i="1" s="1"/>
  <c r="E143" i="1"/>
  <c r="D143" i="1"/>
  <c r="D179" i="1" s="1"/>
  <c r="C143" i="1"/>
  <c r="B143" i="1"/>
  <c r="DB178" i="1"/>
  <c r="CY178" i="1"/>
  <c r="CX178" i="1"/>
  <c r="CV142" i="1"/>
  <c r="CV178" i="1" s="1"/>
  <c r="CU142" i="1"/>
  <c r="CU178" i="1" s="1"/>
  <c r="CT142" i="1"/>
  <c r="CS142" i="1"/>
  <c r="CS178" i="1" s="1"/>
  <c r="CR142" i="1"/>
  <c r="CR178" i="1" s="1"/>
  <c r="CQ142" i="1"/>
  <c r="CP142" i="1"/>
  <c r="CP178" i="1" s="1"/>
  <c r="CO142" i="1"/>
  <c r="CO178" i="1" s="1"/>
  <c r="CN142" i="1"/>
  <c r="CM142" i="1"/>
  <c r="CM178" i="1" s="1"/>
  <c r="CL142" i="1"/>
  <c r="CL178" i="1" s="1"/>
  <c r="CK142" i="1"/>
  <c r="CJ142" i="1"/>
  <c r="CJ178" i="1" s="1"/>
  <c r="CI142" i="1"/>
  <c r="CI178" i="1" s="1"/>
  <c r="CH142" i="1"/>
  <c r="CG142" i="1"/>
  <c r="CG178" i="1" s="1"/>
  <c r="CF142" i="1"/>
  <c r="CF178" i="1" s="1"/>
  <c r="CE142" i="1"/>
  <c r="CD142" i="1"/>
  <c r="CD178" i="1" s="1"/>
  <c r="CC142" i="1"/>
  <c r="CC178" i="1" s="1"/>
  <c r="CB142" i="1"/>
  <c r="CA142" i="1"/>
  <c r="CA178" i="1" s="1"/>
  <c r="BZ142" i="1"/>
  <c r="BZ178" i="1" s="1"/>
  <c r="BY142" i="1"/>
  <c r="BX142" i="1"/>
  <c r="BX178" i="1" s="1"/>
  <c r="BW142" i="1"/>
  <c r="BW178" i="1" s="1"/>
  <c r="BV142" i="1"/>
  <c r="BU142" i="1"/>
  <c r="BU178" i="1" s="1"/>
  <c r="BT142" i="1"/>
  <c r="BT178" i="1" s="1"/>
  <c r="BS142" i="1"/>
  <c r="BR142" i="1"/>
  <c r="BR178" i="1" s="1"/>
  <c r="BQ142" i="1"/>
  <c r="BQ178" i="1" s="1"/>
  <c r="BP142" i="1"/>
  <c r="BO142" i="1"/>
  <c r="BO178" i="1" s="1"/>
  <c r="BN142" i="1"/>
  <c r="BN178" i="1" s="1"/>
  <c r="BM142" i="1"/>
  <c r="BL142" i="1"/>
  <c r="BL178" i="1" s="1"/>
  <c r="BK142" i="1"/>
  <c r="BK178" i="1" s="1"/>
  <c r="BJ142" i="1"/>
  <c r="BI142" i="1"/>
  <c r="BI178" i="1" s="1"/>
  <c r="BH142" i="1"/>
  <c r="BH178" i="1" s="1"/>
  <c r="BG142" i="1"/>
  <c r="BF142" i="1"/>
  <c r="BF178" i="1" s="1"/>
  <c r="BE142" i="1"/>
  <c r="BE178" i="1" s="1"/>
  <c r="BD142" i="1"/>
  <c r="BC142" i="1"/>
  <c r="BC178" i="1" s="1"/>
  <c r="BB142" i="1"/>
  <c r="BB178" i="1" s="1"/>
  <c r="BA142" i="1"/>
  <c r="AZ142" i="1"/>
  <c r="AZ178" i="1" s="1"/>
  <c r="AY142" i="1"/>
  <c r="AY178" i="1" s="1"/>
  <c r="AX142" i="1"/>
  <c r="AW142" i="1"/>
  <c r="AW178" i="1" s="1"/>
  <c r="AV142" i="1"/>
  <c r="AV178" i="1" s="1"/>
  <c r="AU142" i="1"/>
  <c r="AT142" i="1"/>
  <c r="AT178" i="1" s="1"/>
  <c r="AS142" i="1"/>
  <c r="AS178" i="1" s="1"/>
  <c r="AR142" i="1"/>
  <c r="AQ142" i="1"/>
  <c r="AQ178" i="1" s="1"/>
  <c r="AP142" i="1"/>
  <c r="AP178" i="1" s="1"/>
  <c r="AO142" i="1"/>
  <c r="AN142" i="1"/>
  <c r="AN178" i="1" s="1"/>
  <c r="AM142" i="1"/>
  <c r="AM178" i="1" s="1"/>
  <c r="AL142" i="1"/>
  <c r="AK142" i="1"/>
  <c r="AK178" i="1" s="1"/>
  <c r="AJ142" i="1"/>
  <c r="AJ178" i="1" s="1"/>
  <c r="AI142" i="1"/>
  <c r="AH142" i="1"/>
  <c r="AH178" i="1" s="1"/>
  <c r="AG142" i="1"/>
  <c r="AG178" i="1" s="1"/>
  <c r="AF142" i="1"/>
  <c r="AE142" i="1"/>
  <c r="AE178" i="1" s="1"/>
  <c r="AD142" i="1"/>
  <c r="AD178" i="1" s="1"/>
  <c r="AC142" i="1"/>
  <c r="AB142" i="1"/>
  <c r="AB178" i="1" s="1"/>
  <c r="AA142" i="1"/>
  <c r="AA178" i="1" s="1"/>
  <c r="Z142" i="1"/>
  <c r="Y142" i="1"/>
  <c r="Y178" i="1" s="1"/>
  <c r="X142" i="1"/>
  <c r="X178" i="1" s="1"/>
  <c r="W142" i="1"/>
  <c r="V142" i="1"/>
  <c r="V178" i="1" s="1"/>
  <c r="U142" i="1"/>
  <c r="U178" i="1" s="1"/>
  <c r="T142" i="1"/>
  <c r="S142" i="1"/>
  <c r="S178" i="1" s="1"/>
  <c r="R142" i="1"/>
  <c r="R178" i="1" s="1"/>
  <c r="Q142" i="1"/>
  <c r="P142" i="1"/>
  <c r="P178" i="1" s="1"/>
  <c r="O142" i="1"/>
  <c r="O178" i="1" s="1"/>
  <c r="N142" i="1"/>
  <c r="M142" i="1"/>
  <c r="M178" i="1" s="1"/>
  <c r="L142" i="1"/>
  <c r="L178" i="1" s="1"/>
  <c r="K142" i="1"/>
  <c r="J142" i="1"/>
  <c r="J178" i="1" s="1"/>
  <c r="I142" i="1"/>
  <c r="I178" i="1" s="1"/>
  <c r="H142" i="1"/>
  <c r="G142" i="1"/>
  <c r="G178" i="1" s="1"/>
  <c r="F142" i="1"/>
  <c r="F178" i="1" s="1"/>
  <c r="E142" i="1"/>
  <c r="D142" i="1"/>
  <c r="C142" i="1"/>
  <c r="C178" i="1" s="1"/>
  <c r="B142" i="1"/>
  <c r="DB177" i="1"/>
  <c r="DA177" i="1"/>
  <c r="CY177" i="1"/>
  <c r="CX177" i="1"/>
  <c r="CV141" i="1"/>
  <c r="CV177" i="1" s="1"/>
  <c r="CU141" i="1"/>
  <c r="CU177" i="1" s="1"/>
  <c r="CT141" i="1"/>
  <c r="CS141" i="1"/>
  <c r="CS177" i="1" s="1"/>
  <c r="CR141" i="1"/>
  <c r="CR177" i="1" s="1"/>
  <c r="CQ141" i="1"/>
  <c r="CP141" i="1"/>
  <c r="CP177" i="1" s="1"/>
  <c r="CO141" i="1"/>
  <c r="CO177" i="1" s="1"/>
  <c r="CN141" i="1"/>
  <c r="CM141" i="1"/>
  <c r="CM177" i="1" s="1"/>
  <c r="CL141" i="1"/>
  <c r="CL177" i="1" s="1"/>
  <c r="CK141" i="1"/>
  <c r="CJ141" i="1"/>
  <c r="CJ177" i="1" s="1"/>
  <c r="CI141" i="1"/>
  <c r="CI177" i="1" s="1"/>
  <c r="CH141" i="1"/>
  <c r="CG141" i="1"/>
  <c r="CG177" i="1" s="1"/>
  <c r="CF141" i="1"/>
  <c r="CF177" i="1" s="1"/>
  <c r="CE141" i="1"/>
  <c r="CD141" i="1"/>
  <c r="CD177" i="1" s="1"/>
  <c r="CC141" i="1"/>
  <c r="CC177" i="1" s="1"/>
  <c r="CB141" i="1"/>
  <c r="CA141" i="1"/>
  <c r="CA177" i="1" s="1"/>
  <c r="BZ141" i="1"/>
  <c r="BZ177" i="1" s="1"/>
  <c r="BY141" i="1"/>
  <c r="BX141" i="1"/>
  <c r="BX177" i="1" s="1"/>
  <c r="BW141" i="1"/>
  <c r="BW177" i="1" s="1"/>
  <c r="BV141" i="1"/>
  <c r="BU141" i="1"/>
  <c r="BU177" i="1" s="1"/>
  <c r="BT141" i="1"/>
  <c r="BT177" i="1" s="1"/>
  <c r="BS141" i="1"/>
  <c r="BR141" i="1"/>
  <c r="BR177" i="1" s="1"/>
  <c r="BQ141" i="1"/>
  <c r="BQ177" i="1" s="1"/>
  <c r="BP141" i="1"/>
  <c r="BO141" i="1"/>
  <c r="BO177" i="1" s="1"/>
  <c r="BN141" i="1"/>
  <c r="BN177" i="1" s="1"/>
  <c r="BM141" i="1"/>
  <c r="BL141" i="1"/>
  <c r="BL177" i="1" s="1"/>
  <c r="BK141" i="1"/>
  <c r="BK177" i="1" s="1"/>
  <c r="BJ141" i="1"/>
  <c r="BI141" i="1"/>
  <c r="BI177" i="1" s="1"/>
  <c r="BH141" i="1"/>
  <c r="BH177" i="1" s="1"/>
  <c r="BG141" i="1"/>
  <c r="BF141" i="1"/>
  <c r="BF177" i="1" s="1"/>
  <c r="BE141" i="1"/>
  <c r="BE177" i="1" s="1"/>
  <c r="BD141" i="1"/>
  <c r="BC141" i="1"/>
  <c r="BC177" i="1" s="1"/>
  <c r="BB141" i="1"/>
  <c r="BB177" i="1" s="1"/>
  <c r="BA141" i="1"/>
  <c r="AZ141" i="1"/>
  <c r="AZ177" i="1" s="1"/>
  <c r="AY141" i="1"/>
  <c r="AY177" i="1" s="1"/>
  <c r="AX141" i="1"/>
  <c r="AW141" i="1"/>
  <c r="AW177" i="1" s="1"/>
  <c r="AV141" i="1"/>
  <c r="AV177" i="1" s="1"/>
  <c r="AU141" i="1"/>
  <c r="AT141" i="1"/>
  <c r="AT177" i="1" s="1"/>
  <c r="AS141" i="1"/>
  <c r="AS177" i="1" s="1"/>
  <c r="AR141" i="1"/>
  <c r="AQ141" i="1"/>
  <c r="AQ177" i="1" s="1"/>
  <c r="AP141" i="1"/>
  <c r="AP177" i="1" s="1"/>
  <c r="AO141" i="1"/>
  <c r="AN141" i="1"/>
  <c r="AN177" i="1" s="1"/>
  <c r="AM141" i="1"/>
  <c r="AM177" i="1" s="1"/>
  <c r="AL141" i="1"/>
  <c r="AK141" i="1"/>
  <c r="AK177" i="1" s="1"/>
  <c r="AJ141" i="1"/>
  <c r="AJ177" i="1" s="1"/>
  <c r="AI141" i="1"/>
  <c r="AH141" i="1"/>
  <c r="AH177" i="1" s="1"/>
  <c r="AG141" i="1"/>
  <c r="AG177" i="1" s="1"/>
  <c r="AF141" i="1"/>
  <c r="AE141" i="1"/>
  <c r="AE177" i="1" s="1"/>
  <c r="AD141" i="1"/>
  <c r="AD177" i="1" s="1"/>
  <c r="AC141" i="1"/>
  <c r="AB141" i="1"/>
  <c r="AB177" i="1" s="1"/>
  <c r="AA141" i="1"/>
  <c r="AA177" i="1" s="1"/>
  <c r="Z141" i="1"/>
  <c r="Y141" i="1"/>
  <c r="Y177" i="1" s="1"/>
  <c r="X141" i="1"/>
  <c r="X177" i="1" s="1"/>
  <c r="W141" i="1"/>
  <c r="V141" i="1"/>
  <c r="V177" i="1" s="1"/>
  <c r="U141" i="1"/>
  <c r="U177" i="1" s="1"/>
  <c r="T141" i="1"/>
  <c r="S141" i="1"/>
  <c r="S177" i="1" s="1"/>
  <c r="R141" i="1"/>
  <c r="R177" i="1" s="1"/>
  <c r="Q141" i="1"/>
  <c r="P141" i="1"/>
  <c r="P177" i="1" s="1"/>
  <c r="O141" i="1"/>
  <c r="O177" i="1" s="1"/>
  <c r="N141" i="1"/>
  <c r="M141" i="1"/>
  <c r="M177" i="1" s="1"/>
  <c r="L141" i="1"/>
  <c r="L177" i="1" s="1"/>
  <c r="K141" i="1"/>
  <c r="J141" i="1"/>
  <c r="J177" i="1" s="1"/>
  <c r="I141" i="1"/>
  <c r="I177" i="1" s="1"/>
  <c r="H141" i="1"/>
  <c r="G141" i="1"/>
  <c r="G177" i="1" s="1"/>
  <c r="F141" i="1"/>
  <c r="F177" i="1" s="1"/>
  <c r="E141" i="1"/>
  <c r="D141" i="1"/>
  <c r="D177" i="1" s="1"/>
  <c r="C141" i="1"/>
  <c r="B141" i="1"/>
  <c r="DB176" i="1"/>
  <c r="CY176" i="1"/>
  <c r="CX176" i="1"/>
  <c r="CV140" i="1"/>
  <c r="CV176" i="1" s="1"/>
  <c r="CU140" i="1"/>
  <c r="CU176" i="1" s="1"/>
  <c r="CT140" i="1"/>
  <c r="CS140" i="1"/>
  <c r="CS176" i="1" s="1"/>
  <c r="CR140" i="1"/>
  <c r="CR176" i="1" s="1"/>
  <c r="CQ140" i="1"/>
  <c r="CP140" i="1"/>
  <c r="CP176" i="1" s="1"/>
  <c r="CO140" i="1"/>
  <c r="CO176" i="1" s="1"/>
  <c r="CN140" i="1"/>
  <c r="CM140" i="1"/>
  <c r="CM176" i="1" s="1"/>
  <c r="CL140" i="1"/>
  <c r="CL176" i="1" s="1"/>
  <c r="CK140" i="1"/>
  <c r="CJ140" i="1"/>
  <c r="CJ176" i="1" s="1"/>
  <c r="CI140" i="1"/>
  <c r="CI176" i="1" s="1"/>
  <c r="CH140" i="1"/>
  <c r="CG140" i="1"/>
  <c r="CG176" i="1" s="1"/>
  <c r="CF140" i="1"/>
  <c r="CF176" i="1" s="1"/>
  <c r="CE140" i="1"/>
  <c r="CD140" i="1"/>
  <c r="CD176" i="1" s="1"/>
  <c r="CC140" i="1"/>
  <c r="CC176" i="1" s="1"/>
  <c r="CB140" i="1"/>
  <c r="CA140" i="1"/>
  <c r="CA176" i="1" s="1"/>
  <c r="BZ140" i="1"/>
  <c r="BZ176" i="1" s="1"/>
  <c r="BY140" i="1"/>
  <c r="BX140" i="1"/>
  <c r="BX176" i="1" s="1"/>
  <c r="BW140" i="1"/>
  <c r="BW176" i="1" s="1"/>
  <c r="BV140" i="1"/>
  <c r="BU140" i="1"/>
  <c r="BU176" i="1" s="1"/>
  <c r="BT140" i="1"/>
  <c r="BT176" i="1" s="1"/>
  <c r="BS140" i="1"/>
  <c r="BR140" i="1"/>
  <c r="BR176" i="1" s="1"/>
  <c r="BQ140" i="1"/>
  <c r="BQ176" i="1" s="1"/>
  <c r="BP140" i="1"/>
  <c r="BO140" i="1"/>
  <c r="BO176" i="1" s="1"/>
  <c r="BN140" i="1"/>
  <c r="BN176" i="1" s="1"/>
  <c r="BM140" i="1"/>
  <c r="BL140" i="1"/>
  <c r="BL176" i="1" s="1"/>
  <c r="BK140" i="1"/>
  <c r="BK176" i="1" s="1"/>
  <c r="BJ140" i="1"/>
  <c r="BI140" i="1"/>
  <c r="BI176" i="1" s="1"/>
  <c r="BH140" i="1"/>
  <c r="BH176" i="1" s="1"/>
  <c r="BG140" i="1"/>
  <c r="BF140" i="1"/>
  <c r="BF176" i="1" s="1"/>
  <c r="BE140" i="1"/>
  <c r="BE176" i="1" s="1"/>
  <c r="BD140" i="1"/>
  <c r="BC140" i="1"/>
  <c r="BC176" i="1" s="1"/>
  <c r="BB140" i="1"/>
  <c r="BB176" i="1" s="1"/>
  <c r="BA140" i="1"/>
  <c r="AZ140" i="1"/>
  <c r="AZ176" i="1" s="1"/>
  <c r="AY140" i="1"/>
  <c r="AY176" i="1" s="1"/>
  <c r="AX140" i="1"/>
  <c r="AW140" i="1"/>
  <c r="AW176" i="1" s="1"/>
  <c r="AV140" i="1"/>
  <c r="AV176" i="1" s="1"/>
  <c r="AU140" i="1"/>
  <c r="AT140" i="1"/>
  <c r="AT176" i="1" s="1"/>
  <c r="AS140" i="1"/>
  <c r="AS176" i="1" s="1"/>
  <c r="AR140" i="1"/>
  <c r="AQ140" i="1"/>
  <c r="AQ176" i="1" s="1"/>
  <c r="AP140" i="1"/>
  <c r="AP176" i="1" s="1"/>
  <c r="AO140" i="1"/>
  <c r="AN140" i="1"/>
  <c r="AN176" i="1" s="1"/>
  <c r="AM140" i="1"/>
  <c r="AM176" i="1" s="1"/>
  <c r="AL140" i="1"/>
  <c r="AK140" i="1"/>
  <c r="AK176" i="1" s="1"/>
  <c r="AJ140" i="1"/>
  <c r="AJ176" i="1" s="1"/>
  <c r="AI140" i="1"/>
  <c r="AH140" i="1"/>
  <c r="AH176" i="1" s="1"/>
  <c r="AG140" i="1"/>
  <c r="AG176" i="1" s="1"/>
  <c r="AF140" i="1"/>
  <c r="AE140" i="1"/>
  <c r="AE176" i="1" s="1"/>
  <c r="AD140" i="1"/>
  <c r="AD176" i="1" s="1"/>
  <c r="AC140" i="1"/>
  <c r="AB140" i="1"/>
  <c r="AB176" i="1" s="1"/>
  <c r="AA140" i="1"/>
  <c r="AA176" i="1" s="1"/>
  <c r="Z140" i="1"/>
  <c r="Y140" i="1"/>
  <c r="Y176" i="1" s="1"/>
  <c r="X140" i="1"/>
  <c r="X176" i="1" s="1"/>
  <c r="W140" i="1"/>
  <c r="V140" i="1"/>
  <c r="V176" i="1" s="1"/>
  <c r="U140" i="1"/>
  <c r="U176" i="1" s="1"/>
  <c r="T140" i="1"/>
  <c r="S140" i="1"/>
  <c r="S176" i="1" s="1"/>
  <c r="R140" i="1"/>
  <c r="R176" i="1" s="1"/>
  <c r="Q140" i="1"/>
  <c r="P140" i="1"/>
  <c r="P176" i="1" s="1"/>
  <c r="O140" i="1"/>
  <c r="O176" i="1" s="1"/>
  <c r="N140" i="1"/>
  <c r="N176" i="1" s="1"/>
  <c r="M140" i="1"/>
  <c r="M176" i="1" s="1"/>
  <c r="L140" i="1"/>
  <c r="L176" i="1" s="1"/>
  <c r="K140" i="1"/>
  <c r="J140" i="1"/>
  <c r="J176" i="1" s="1"/>
  <c r="I140" i="1"/>
  <c r="I176" i="1" s="1"/>
  <c r="H140" i="1"/>
  <c r="G140" i="1"/>
  <c r="G176" i="1" s="1"/>
  <c r="F140" i="1"/>
  <c r="F176" i="1" s="1"/>
  <c r="E140" i="1"/>
  <c r="D140" i="1"/>
  <c r="C140" i="1"/>
  <c r="C176" i="1" s="1"/>
  <c r="B140" i="1"/>
  <c r="DB175" i="1"/>
  <c r="DA175" i="1"/>
  <c r="CY175" i="1"/>
  <c r="CX175" i="1"/>
  <c r="CV139" i="1"/>
  <c r="CV175" i="1" s="1"/>
  <c r="CU139" i="1"/>
  <c r="CU175" i="1" s="1"/>
  <c r="CT139" i="1"/>
  <c r="CS139" i="1"/>
  <c r="CS175" i="1" s="1"/>
  <c r="CR139" i="1"/>
  <c r="CR175" i="1" s="1"/>
  <c r="CQ139" i="1"/>
  <c r="CP139" i="1"/>
  <c r="CP175" i="1" s="1"/>
  <c r="CO139" i="1"/>
  <c r="CO175" i="1" s="1"/>
  <c r="CN139" i="1"/>
  <c r="CM139" i="1"/>
  <c r="CM175" i="1" s="1"/>
  <c r="CL139" i="1"/>
  <c r="CL175" i="1" s="1"/>
  <c r="CK139" i="1"/>
  <c r="CJ139" i="1"/>
  <c r="CJ175" i="1" s="1"/>
  <c r="CI139" i="1"/>
  <c r="CI175" i="1" s="1"/>
  <c r="CH139" i="1"/>
  <c r="CG139" i="1"/>
  <c r="CG175" i="1" s="1"/>
  <c r="CF139" i="1"/>
  <c r="CF175" i="1" s="1"/>
  <c r="CE139" i="1"/>
  <c r="CD139" i="1"/>
  <c r="CD175" i="1" s="1"/>
  <c r="CC139" i="1"/>
  <c r="CC175" i="1" s="1"/>
  <c r="CB139" i="1"/>
  <c r="CA139" i="1"/>
  <c r="CA175" i="1" s="1"/>
  <c r="BZ139" i="1"/>
  <c r="BZ175" i="1" s="1"/>
  <c r="BY139" i="1"/>
  <c r="BX139" i="1"/>
  <c r="BX175" i="1" s="1"/>
  <c r="BW139" i="1"/>
  <c r="BW175" i="1" s="1"/>
  <c r="BV139" i="1"/>
  <c r="BU139" i="1"/>
  <c r="BU175" i="1" s="1"/>
  <c r="BT139" i="1"/>
  <c r="BT175" i="1" s="1"/>
  <c r="BS139" i="1"/>
  <c r="BR139" i="1"/>
  <c r="BR175" i="1" s="1"/>
  <c r="BQ139" i="1"/>
  <c r="BQ175" i="1" s="1"/>
  <c r="BP139" i="1"/>
  <c r="BO139" i="1"/>
  <c r="BO175" i="1" s="1"/>
  <c r="BN139" i="1"/>
  <c r="BN175" i="1" s="1"/>
  <c r="BM139" i="1"/>
  <c r="BL139" i="1"/>
  <c r="BL175" i="1" s="1"/>
  <c r="BK139" i="1"/>
  <c r="BK175" i="1" s="1"/>
  <c r="BJ139" i="1"/>
  <c r="BI139" i="1"/>
  <c r="BI175" i="1" s="1"/>
  <c r="BH139" i="1"/>
  <c r="BH175" i="1" s="1"/>
  <c r="BG139" i="1"/>
  <c r="BF139" i="1"/>
  <c r="BF175" i="1" s="1"/>
  <c r="BE139" i="1"/>
  <c r="BE175" i="1" s="1"/>
  <c r="BD139" i="1"/>
  <c r="BC139" i="1"/>
  <c r="BC175" i="1" s="1"/>
  <c r="BB139" i="1"/>
  <c r="BB175" i="1" s="1"/>
  <c r="BA139" i="1"/>
  <c r="AZ139" i="1"/>
  <c r="AZ175" i="1" s="1"/>
  <c r="AY139" i="1"/>
  <c r="AY175" i="1" s="1"/>
  <c r="AX139" i="1"/>
  <c r="AX175" i="1" s="1"/>
  <c r="AW139" i="1"/>
  <c r="AW175" i="1" s="1"/>
  <c r="AV139" i="1"/>
  <c r="AV175" i="1" s="1"/>
  <c r="AU139" i="1"/>
  <c r="AT139" i="1"/>
  <c r="AT175" i="1" s="1"/>
  <c r="AS139" i="1"/>
  <c r="AS175" i="1" s="1"/>
  <c r="AR139" i="1"/>
  <c r="AQ139" i="1"/>
  <c r="AQ175" i="1" s="1"/>
  <c r="AP139" i="1"/>
  <c r="AP175" i="1" s="1"/>
  <c r="AO139" i="1"/>
  <c r="AN139" i="1"/>
  <c r="AN175" i="1" s="1"/>
  <c r="AM139" i="1"/>
  <c r="AM175" i="1" s="1"/>
  <c r="AL139" i="1"/>
  <c r="AK139" i="1"/>
  <c r="AK175" i="1" s="1"/>
  <c r="AJ139" i="1"/>
  <c r="AJ175" i="1" s="1"/>
  <c r="AI139" i="1"/>
  <c r="AH139" i="1"/>
  <c r="AH175" i="1" s="1"/>
  <c r="AG139" i="1"/>
  <c r="AG175" i="1" s="1"/>
  <c r="AF139" i="1"/>
  <c r="AE139" i="1"/>
  <c r="AE175" i="1" s="1"/>
  <c r="AD139" i="1"/>
  <c r="AD175" i="1" s="1"/>
  <c r="AC139" i="1"/>
  <c r="AB139" i="1"/>
  <c r="AB175" i="1" s="1"/>
  <c r="AA139" i="1"/>
  <c r="AA175" i="1" s="1"/>
  <c r="Z139" i="1"/>
  <c r="Y139" i="1"/>
  <c r="Y175" i="1" s="1"/>
  <c r="X139" i="1"/>
  <c r="X175" i="1" s="1"/>
  <c r="W139" i="1"/>
  <c r="V139" i="1"/>
  <c r="V175" i="1" s="1"/>
  <c r="U139" i="1"/>
  <c r="U175" i="1" s="1"/>
  <c r="T139" i="1"/>
  <c r="S139" i="1"/>
  <c r="S175" i="1" s="1"/>
  <c r="R139" i="1"/>
  <c r="R175" i="1" s="1"/>
  <c r="Q139" i="1"/>
  <c r="P139" i="1"/>
  <c r="P175" i="1" s="1"/>
  <c r="O139" i="1"/>
  <c r="O175" i="1" s="1"/>
  <c r="N139" i="1"/>
  <c r="M139" i="1"/>
  <c r="M175" i="1" s="1"/>
  <c r="L139" i="1"/>
  <c r="L175" i="1" s="1"/>
  <c r="K139" i="1"/>
  <c r="J139" i="1"/>
  <c r="J175" i="1" s="1"/>
  <c r="I139" i="1"/>
  <c r="I175" i="1" s="1"/>
  <c r="H139" i="1"/>
  <c r="G139" i="1"/>
  <c r="G175" i="1" s="1"/>
  <c r="F139" i="1"/>
  <c r="F175" i="1" s="1"/>
  <c r="E139" i="1"/>
  <c r="D139" i="1"/>
  <c r="D175" i="1" s="1"/>
  <c r="C139" i="1"/>
  <c r="C175" i="1" s="1"/>
  <c r="B139" i="1"/>
  <c r="DB174" i="1"/>
  <c r="DA174" i="1"/>
  <c r="CY174" i="1"/>
  <c r="CX174" i="1"/>
  <c r="CV138" i="1"/>
  <c r="CV174" i="1" s="1"/>
  <c r="CU138" i="1"/>
  <c r="CU174" i="1" s="1"/>
  <c r="CT138" i="1"/>
  <c r="CS138" i="1"/>
  <c r="CS174" i="1" s="1"/>
  <c r="CR138" i="1"/>
  <c r="CR174" i="1" s="1"/>
  <c r="CQ138" i="1"/>
  <c r="CP138" i="1"/>
  <c r="CP174" i="1" s="1"/>
  <c r="CO138" i="1"/>
  <c r="CO174" i="1" s="1"/>
  <c r="CN138" i="1"/>
  <c r="CM138" i="1"/>
  <c r="CM174" i="1" s="1"/>
  <c r="CL138" i="1"/>
  <c r="CL174" i="1" s="1"/>
  <c r="CK138" i="1"/>
  <c r="CJ138" i="1"/>
  <c r="CJ174" i="1" s="1"/>
  <c r="CI138" i="1"/>
  <c r="CI174" i="1" s="1"/>
  <c r="CH138" i="1"/>
  <c r="CG138" i="1"/>
  <c r="CG174" i="1" s="1"/>
  <c r="CF138" i="1"/>
  <c r="CF174" i="1" s="1"/>
  <c r="CE138" i="1"/>
  <c r="CD138" i="1"/>
  <c r="CD174" i="1" s="1"/>
  <c r="CC138" i="1"/>
  <c r="CC174" i="1" s="1"/>
  <c r="CB138" i="1"/>
  <c r="CA138" i="1"/>
  <c r="CA174" i="1" s="1"/>
  <c r="BZ138" i="1"/>
  <c r="BZ174" i="1" s="1"/>
  <c r="BY138" i="1"/>
  <c r="BX138" i="1"/>
  <c r="BX174" i="1" s="1"/>
  <c r="BW138" i="1"/>
  <c r="BW174" i="1" s="1"/>
  <c r="BV138" i="1"/>
  <c r="BU138" i="1"/>
  <c r="BU174" i="1" s="1"/>
  <c r="BT138" i="1"/>
  <c r="BT174" i="1" s="1"/>
  <c r="BS138" i="1"/>
  <c r="BR138" i="1"/>
  <c r="BR174" i="1" s="1"/>
  <c r="BQ138" i="1"/>
  <c r="BQ174" i="1" s="1"/>
  <c r="BP138" i="1"/>
  <c r="BO138" i="1"/>
  <c r="BO174" i="1" s="1"/>
  <c r="BN138" i="1"/>
  <c r="BN174" i="1" s="1"/>
  <c r="BM138" i="1"/>
  <c r="BL138" i="1"/>
  <c r="BL174" i="1" s="1"/>
  <c r="BK138" i="1"/>
  <c r="BK174" i="1" s="1"/>
  <c r="BJ138" i="1"/>
  <c r="BI138" i="1"/>
  <c r="BI174" i="1" s="1"/>
  <c r="BH138" i="1"/>
  <c r="BH174" i="1" s="1"/>
  <c r="BG138" i="1"/>
  <c r="BF138" i="1"/>
  <c r="BF174" i="1" s="1"/>
  <c r="BE138" i="1"/>
  <c r="BE174" i="1" s="1"/>
  <c r="BD138" i="1"/>
  <c r="BC138" i="1"/>
  <c r="BC174" i="1" s="1"/>
  <c r="BB138" i="1"/>
  <c r="BB174" i="1" s="1"/>
  <c r="BA138" i="1"/>
  <c r="AZ138" i="1"/>
  <c r="AZ174" i="1" s="1"/>
  <c r="AY138" i="1"/>
  <c r="AY174" i="1" s="1"/>
  <c r="AX138" i="1"/>
  <c r="AW138" i="1"/>
  <c r="AW174" i="1" s="1"/>
  <c r="AV138" i="1"/>
  <c r="AV174" i="1" s="1"/>
  <c r="AU138" i="1"/>
  <c r="AT138" i="1"/>
  <c r="AT174" i="1" s="1"/>
  <c r="AS138" i="1"/>
  <c r="AS174" i="1" s="1"/>
  <c r="AR138" i="1"/>
  <c r="AQ138" i="1"/>
  <c r="AQ174" i="1" s="1"/>
  <c r="AP138" i="1"/>
  <c r="AP174" i="1" s="1"/>
  <c r="AO138" i="1"/>
  <c r="AN138" i="1"/>
  <c r="AN174" i="1" s="1"/>
  <c r="AM138" i="1"/>
  <c r="AM174" i="1" s="1"/>
  <c r="AL138" i="1"/>
  <c r="AK138" i="1"/>
  <c r="AK174" i="1" s="1"/>
  <c r="AJ138" i="1"/>
  <c r="AJ174" i="1" s="1"/>
  <c r="AI138" i="1"/>
  <c r="AH138" i="1"/>
  <c r="AH174" i="1" s="1"/>
  <c r="AG138" i="1"/>
  <c r="AG174" i="1" s="1"/>
  <c r="AF138" i="1"/>
  <c r="AE138" i="1"/>
  <c r="AE174" i="1" s="1"/>
  <c r="AD138" i="1"/>
  <c r="AD174" i="1" s="1"/>
  <c r="AC138" i="1"/>
  <c r="AB138" i="1"/>
  <c r="AB174" i="1" s="1"/>
  <c r="AA138" i="1"/>
  <c r="AA174" i="1" s="1"/>
  <c r="Z138" i="1"/>
  <c r="Y138" i="1"/>
  <c r="Y174" i="1" s="1"/>
  <c r="X138" i="1"/>
  <c r="X174" i="1" s="1"/>
  <c r="W138" i="1"/>
  <c r="V138" i="1"/>
  <c r="V174" i="1" s="1"/>
  <c r="U138" i="1"/>
  <c r="U174" i="1" s="1"/>
  <c r="T138" i="1"/>
  <c r="S138" i="1"/>
  <c r="S174" i="1" s="1"/>
  <c r="R138" i="1"/>
  <c r="R174" i="1" s="1"/>
  <c r="Q138" i="1"/>
  <c r="P138" i="1"/>
  <c r="P174" i="1" s="1"/>
  <c r="O138" i="1"/>
  <c r="O174" i="1" s="1"/>
  <c r="N138" i="1"/>
  <c r="M138" i="1"/>
  <c r="M174" i="1" s="1"/>
  <c r="L138" i="1"/>
  <c r="L174" i="1" s="1"/>
  <c r="K138" i="1"/>
  <c r="J138" i="1"/>
  <c r="J174" i="1" s="1"/>
  <c r="I138" i="1"/>
  <c r="I174" i="1" s="1"/>
  <c r="H138" i="1"/>
  <c r="G138" i="1"/>
  <c r="G174" i="1" s="1"/>
  <c r="F138" i="1"/>
  <c r="F174" i="1" s="1"/>
  <c r="E138" i="1"/>
  <c r="D138" i="1"/>
  <c r="D174" i="1" s="1"/>
  <c r="C138" i="1"/>
  <c r="C174" i="1" s="1"/>
  <c r="B138" i="1"/>
  <c r="DB173" i="1"/>
  <c r="DA173" i="1"/>
  <c r="CY173" i="1"/>
  <c r="CX173" i="1"/>
  <c r="CV137" i="1"/>
  <c r="CV173" i="1" s="1"/>
  <c r="CU137" i="1"/>
  <c r="CU173" i="1" s="1"/>
  <c r="CT137" i="1"/>
  <c r="CS137" i="1"/>
  <c r="CS173" i="1" s="1"/>
  <c r="CR137" i="1"/>
  <c r="CR173" i="1" s="1"/>
  <c r="CQ137" i="1"/>
  <c r="CP137" i="1"/>
  <c r="CP173" i="1" s="1"/>
  <c r="CO137" i="1"/>
  <c r="CO173" i="1" s="1"/>
  <c r="CN137" i="1"/>
  <c r="CM137" i="1"/>
  <c r="CM173" i="1" s="1"/>
  <c r="CL137" i="1"/>
  <c r="CL173" i="1" s="1"/>
  <c r="CK137" i="1"/>
  <c r="CJ137" i="1"/>
  <c r="CJ173" i="1" s="1"/>
  <c r="CI137" i="1"/>
  <c r="CI173" i="1" s="1"/>
  <c r="CH137" i="1"/>
  <c r="CG137" i="1"/>
  <c r="CG173" i="1" s="1"/>
  <c r="CF137" i="1"/>
  <c r="CF173" i="1" s="1"/>
  <c r="CE137" i="1"/>
  <c r="CD137" i="1"/>
  <c r="CD173" i="1" s="1"/>
  <c r="CC137" i="1"/>
  <c r="CC173" i="1" s="1"/>
  <c r="CB137" i="1"/>
  <c r="CA137" i="1"/>
  <c r="CA173" i="1" s="1"/>
  <c r="BZ137" i="1"/>
  <c r="BZ173" i="1" s="1"/>
  <c r="BY137" i="1"/>
  <c r="BX137" i="1"/>
  <c r="BX173" i="1" s="1"/>
  <c r="BW137" i="1"/>
  <c r="BW173" i="1" s="1"/>
  <c r="BV137" i="1"/>
  <c r="BU137" i="1"/>
  <c r="BU173" i="1" s="1"/>
  <c r="BT137" i="1"/>
  <c r="BT173" i="1" s="1"/>
  <c r="BS137" i="1"/>
  <c r="BR137" i="1"/>
  <c r="BR173" i="1" s="1"/>
  <c r="BQ137" i="1"/>
  <c r="BQ173" i="1" s="1"/>
  <c r="BP137" i="1"/>
  <c r="BO137" i="1"/>
  <c r="BO173" i="1" s="1"/>
  <c r="BN137" i="1"/>
  <c r="BN173" i="1" s="1"/>
  <c r="BM137" i="1"/>
  <c r="BM173" i="1" s="1"/>
  <c r="BL137" i="1"/>
  <c r="BL173" i="1" s="1"/>
  <c r="BK137" i="1"/>
  <c r="BK173" i="1" s="1"/>
  <c r="BJ137" i="1"/>
  <c r="BI137" i="1"/>
  <c r="BI173" i="1" s="1"/>
  <c r="BH137" i="1"/>
  <c r="BH173" i="1" s="1"/>
  <c r="BG137" i="1"/>
  <c r="BF137" i="1"/>
  <c r="BF173" i="1" s="1"/>
  <c r="BE137" i="1"/>
  <c r="BE173" i="1" s="1"/>
  <c r="BD137" i="1"/>
  <c r="BD173" i="1" s="1"/>
  <c r="BC137" i="1"/>
  <c r="BC173" i="1" s="1"/>
  <c r="BB137" i="1"/>
  <c r="BB173" i="1" s="1"/>
  <c r="BA137" i="1"/>
  <c r="AZ137" i="1"/>
  <c r="AZ173" i="1" s="1"/>
  <c r="AY137" i="1"/>
  <c r="AY173" i="1" s="1"/>
  <c r="AX137" i="1"/>
  <c r="AW137" i="1"/>
  <c r="AW173" i="1" s="1"/>
  <c r="AV137" i="1"/>
  <c r="AV173" i="1" s="1"/>
  <c r="AU137" i="1"/>
  <c r="AT137" i="1"/>
  <c r="AT173" i="1" s="1"/>
  <c r="AS137" i="1"/>
  <c r="AS173" i="1" s="1"/>
  <c r="AR137" i="1"/>
  <c r="AQ137" i="1"/>
  <c r="AQ173" i="1" s="1"/>
  <c r="AP137" i="1"/>
  <c r="AP173" i="1" s="1"/>
  <c r="AO137" i="1"/>
  <c r="AN137" i="1"/>
  <c r="AN173" i="1" s="1"/>
  <c r="AM137" i="1"/>
  <c r="AM173" i="1" s="1"/>
  <c r="AL137" i="1"/>
  <c r="AK137" i="1"/>
  <c r="AK173" i="1" s="1"/>
  <c r="AJ137" i="1"/>
  <c r="AJ173" i="1" s="1"/>
  <c r="AI137" i="1"/>
  <c r="AH137" i="1"/>
  <c r="AH173" i="1" s="1"/>
  <c r="AG137" i="1"/>
  <c r="AG173" i="1" s="1"/>
  <c r="AF137" i="1"/>
  <c r="AE137" i="1"/>
  <c r="AE173" i="1" s="1"/>
  <c r="AD137" i="1"/>
  <c r="AD173" i="1" s="1"/>
  <c r="AC137" i="1"/>
  <c r="AB137" i="1"/>
  <c r="AB173" i="1" s="1"/>
  <c r="AA137" i="1"/>
  <c r="AA173" i="1" s="1"/>
  <c r="Z137" i="1"/>
  <c r="Y137" i="1"/>
  <c r="Y173" i="1" s="1"/>
  <c r="X137" i="1"/>
  <c r="X173" i="1" s="1"/>
  <c r="W137" i="1"/>
  <c r="V137" i="1"/>
  <c r="V173" i="1" s="1"/>
  <c r="U137" i="1"/>
  <c r="U173" i="1" s="1"/>
  <c r="T137" i="1"/>
  <c r="S137" i="1"/>
  <c r="S173" i="1" s="1"/>
  <c r="R137" i="1"/>
  <c r="R173" i="1" s="1"/>
  <c r="Q137" i="1"/>
  <c r="Q173" i="1" s="1"/>
  <c r="P137" i="1"/>
  <c r="P173" i="1" s="1"/>
  <c r="O137" i="1"/>
  <c r="O173" i="1" s="1"/>
  <c r="N137" i="1"/>
  <c r="M137" i="1"/>
  <c r="M173" i="1" s="1"/>
  <c r="L137" i="1"/>
  <c r="K137" i="1"/>
  <c r="J137" i="1"/>
  <c r="J173" i="1" s="1"/>
  <c r="I137" i="1"/>
  <c r="I173" i="1" s="1"/>
  <c r="H137" i="1"/>
  <c r="G137" i="1"/>
  <c r="G173" i="1" s="1"/>
  <c r="F137" i="1"/>
  <c r="F173" i="1" s="1"/>
  <c r="E137" i="1"/>
  <c r="D137" i="1"/>
  <c r="D173" i="1" s="1"/>
  <c r="C137" i="1"/>
  <c r="C173" i="1" s="1"/>
  <c r="B137" i="1"/>
  <c r="DB172" i="1"/>
  <c r="CY172" i="1"/>
  <c r="CX172" i="1"/>
  <c r="CV136" i="1"/>
  <c r="CV172" i="1" s="1"/>
  <c r="CU136" i="1"/>
  <c r="CU172" i="1" s="1"/>
  <c r="CT136" i="1"/>
  <c r="CS136" i="1"/>
  <c r="CS172" i="1" s="1"/>
  <c r="CR136" i="1"/>
  <c r="CR172" i="1" s="1"/>
  <c r="CQ136" i="1"/>
  <c r="CP136" i="1"/>
  <c r="CP172" i="1" s="1"/>
  <c r="CO136" i="1"/>
  <c r="CO172" i="1" s="1"/>
  <c r="CN136" i="1"/>
  <c r="CM136" i="1"/>
  <c r="CM172" i="1" s="1"/>
  <c r="CL136" i="1"/>
  <c r="CL172" i="1" s="1"/>
  <c r="CK136" i="1"/>
  <c r="CJ136" i="1"/>
  <c r="CJ172" i="1" s="1"/>
  <c r="CI136" i="1"/>
  <c r="CI172" i="1" s="1"/>
  <c r="CH136" i="1"/>
  <c r="CG136" i="1"/>
  <c r="CG172" i="1" s="1"/>
  <c r="CF136" i="1"/>
  <c r="CF172" i="1" s="1"/>
  <c r="CE136" i="1"/>
  <c r="CD136" i="1"/>
  <c r="CD172" i="1" s="1"/>
  <c r="CC136" i="1"/>
  <c r="CC172" i="1" s="1"/>
  <c r="CB136" i="1"/>
  <c r="CA136" i="1"/>
  <c r="CA172" i="1" s="1"/>
  <c r="BZ136" i="1"/>
  <c r="BZ172" i="1" s="1"/>
  <c r="BY136" i="1"/>
  <c r="BX136" i="1"/>
  <c r="BX172" i="1" s="1"/>
  <c r="BW136" i="1"/>
  <c r="BW172" i="1" s="1"/>
  <c r="BV136" i="1"/>
  <c r="BU136" i="1"/>
  <c r="BU172" i="1" s="1"/>
  <c r="BT136" i="1"/>
  <c r="BT172" i="1" s="1"/>
  <c r="BS136" i="1"/>
  <c r="BR136" i="1"/>
  <c r="BR172" i="1" s="1"/>
  <c r="BQ136" i="1"/>
  <c r="BQ172" i="1" s="1"/>
  <c r="BP136" i="1"/>
  <c r="BO136" i="1"/>
  <c r="BO172" i="1" s="1"/>
  <c r="BN136" i="1"/>
  <c r="BN172" i="1" s="1"/>
  <c r="BM136" i="1"/>
  <c r="BL136" i="1"/>
  <c r="BL172" i="1" s="1"/>
  <c r="BK136" i="1"/>
  <c r="BK172" i="1" s="1"/>
  <c r="BJ136" i="1"/>
  <c r="BI136" i="1"/>
  <c r="BI172" i="1" s="1"/>
  <c r="BH136" i="1"/>
  <c r="BH172" i="1" s="1"/>
  <c r="BG136" i="1"/>
  <c r="BF136" i="1"/>
  <c r="BF172" i="1" s="1"/>
  <c r="BE136" i="1"/>
  <c r="BE172" i="1" s="1"/>
  <c r="BD136" i="1"/>
  <c r="BC136" i="1"/>
  <c r="BC172" i="1" s="1"/>
  <c r="BB136" i="1"/>
  <c r="BB172" i="1" s="1"/>
  <c r="BA136" i="1"/>
  <c r="AZ136" i="1"/>
  <c r="AZ172" i="1" s="1"/>
  <c r="AY136" i="1"/>
  <c r="AY172" i="1" s="1"/>
  <c r="AX136" i="1"/>
  <c r="AW136" i="1"/>
  <c r="AW172" i="1" s="1"/>
  <c r="AV136" i="1"/>
  <c r="AV172" i="1" s="1"/>
  <c r="AU136" i="1"/>
  <c r="AT136" i="1"/>
  <c r="AT172" i="1" s="1"/>
  <c r="AS136" i="1"/>
  <c r="AS172" i="1" s="1"/>
  <c r="AR136" i="1"/>
  <c r="AQ136" i="1"/>
  <c r="AQ172" i="1" s="1"/>
  <c r="AP136" i="1"/>
  <c r="AP172" i="1" s="1"/>
  <c r="AO136" i="1"/>
  <c r="AN136" i="1"/>
  <c r="AN172" i="1" s="1"/>
  <c r="AM136" i="1"/>
  <c r="AM172" i="1" s="1"/>
  <c r="AL136" i="1"/>
  <c r="AK136" i="1"/>
  <c r="AK172" i="1" s="1"/>
  <c r="AJ136" i="1"/>
  <c r="AJ172" i="1" s="1"/>
  <c r="AI136" i="1"/>
  <c r="AH136" i="1"/>
  <c r="AH172" i="1" s="1"/>
  <c r="AG136" i="1"/>
  <c r="AG172" i="1" s="1"/>
  <c r="AF136" i="1"/>
  <c r="AE136" i="1"/>
  <c r="AE172" i="1" s="1"/>
  <c r="AD136" i="1"/>
  <c r="AD172" i="1" s="1"/>
  <c r="AC136" i="1"/>
  <c r="AB136" i="1"/>
  <c r="AB172" i="1" s="1"/>
  <c r="AA136" i="1"/>
  <c r="AA172" i="1" s="1"/>
  <c r="Z136" i="1"/>
  <c r="Y136" i="1"/>
  <c r="Y172" i="1" s="1"/>
  <c r="X136" i="1"/>
  <c r="X172" i="1" s="1"/>
  <c r="W136" i="1"/>
  <c r="V136" i="1"/>
  <c r="V172" i="1" s="1"/>
  <c r="U136" i="1"/>
  <c r="U172" i="1" s="1"/>
  <c r="T136" i="1"/>
  <c r="S136" i="1"/>
  <c r="S172" i="1" s="1"/>
  <c r="R136" i="1"/>
  <c r="R172" i="1" s="1"/>
  <c r="Q136" i="1"/>
  <c r="P136" i="1"/>
  <c r="P172" i="1" s="1"/>
  <c r="O136" i="1"/>
  <c r="O172" i="1" s="1"/>
  <c r="N136" i="1"/>
  <c r="M136" i="1"/>
  <c r="M172" i="1" s="1"/>
  <c r="L136" i="1"/>
  <c r="L172" i="1" s="1"/>
  <c r="K136" i="1"/>
  <c r="J136" i="1"/>
  <c r="J172" i="1" s="1"/>
  <c r="I136" i="1"/>
  <c r="I172" i="1" s="1"/>
  <c r="H136" i="1"/>
  <c r="G136" i="1"/>
  <c r="G172" i="1" s="1"/>
  <c r="F136" i="1"/>
  <c r="F172" i="1" s="1"/>
  <c r="E136" i="1"/>
  <c r="D136" i="1"/>
  <c r="D172" i="1" s="1"/>
  <c r="C136" i="1"/>
  <c r="C172" i="1" s="1"/>
  <c r="B136" i="1"/>
  <c r="DB171" i="1"/>
  <c r="DA171" i="1"/>
  <c r="CY171" i="1"/>
  <c r="CX171" i="1"/>
  <c r="CV135" i="1"/>
  <c r="CV171" i="1" s="1"/>
  <c r="CU135" i="1"/>
  <c r="CU171" i="1" s="1"/>
  <c r="CT135" i="1"/>
  <c r="CS135" i="1"/>
  <c r="CS171" i="1" s="1"/>
  <c r="CR135" i="1"/>
  <c r="CR171" i="1" s="1"/>
  <c r="CQ135" i="1"/>
  <c r="CP135" i="1"/>
  <c r="CP171" i="1" s="1"/>
  <c r="CO135" i="1"/>
  <c r="CO171" i="1" s="1"/>
  <c r="CN135" i="1"/>
  <c r="CM135" i="1"/>
  <c r="CM171" i="1" s="1"/>
  <c r="CL135" i="1"/>
  <c r="CL171" i="1" s="1"/>
  <c r="CK135" i="1"/>
  <c r="CJ135" i="1"/>
  <c r="CJ171" i="1" s="1"/>
  <c r="CI135" i="1"/>
  <c r="CI171" i="1" s="1"/>
  <c r="CH135" i="1"/>
  <c r="CG135" i="1"/>
  <c r="CG171" i="1" s="1"/>
  <c r="CF135" i="1"/>
  <c r="CF171" i="1" s="1"/>
  <c r="CE135" i="1"/>
  <c r="CD135" i="1"/>
  <c r="CD171" i="1" s="1"/>
  <c r="CC135" i="1"/>
  <c r="CC171" i="1" s="1"/>
  <c r="CB135" i="1"/>
  <c r="CA135" i="1"/>
  <c r="CA171" i="1" s="1"/>
  <c r="BZ135" i="1"/>
  <c r="BZ171" i="1" s="1"/>
  <c r="BY135" i="1"/>
  <c r="BX135" i="1"/>
  <c r="BX171" i="1" s="1"/>
  <c r="BW135" i="1"/>
  <c r="BW171" i="1" s="1"/>
  <c r="BV135" i="1"/>
  <c r="BU135" i="1"/>
  <c r="BU171" i="1" s="1"/>
  <c r="BT135" i="1"/>
  <c r="BT171" i="1" s="1"/>
  <c r="BS135" i="1"/>
  <c r="BR135" i="1"/>
  <c r="BR171" i="1" s="1"/>
  <c r="BQ135" i="1"/>
  <c r="BQ171" i="1" s="1"/>
  <c r="BP135" i="1"/>
  <c r="BO135" i="1"/>
  <c r="BO171" i="1" s="1"/>
  <c r="BN135" i="1"/>
  <c r="BN171" i="1" s="1"/>
  <c r="BM135" i="1"/>
  <c r="BL135" i="1"/>
  <c r="BL171" i="1" s="1"/>
  <c r="BK135" i="1"/>
  <c r="BK171" i="1" s="1"/>
  <c r="BJ135" i="1"/>
  <c r="BI135" i="1"/>
  <c r="BI171" i="1" s="1"/>
  <c r="BH135" i="1"/>
  <c r="BH171" i="1" s="1"/>
  <c r="BG135" i="1"/>
  <c r="BF135" i="1"/>
  <c r="BF171" i="1" s="1"/>
  <c r="BE135" i="1"/>
  <c r="BE171" i="1" s="1"/>
  <c r="BD135" i="1"/>
  <c r="BC135" i="1"/>
  <c r="BC171" i="1" s="1"/>
  <c r="BB135" i="1"/>
  <c r="BB171" i="1" s="1"/>
  <c r="BA135" i="1"/>
  <c r="AZ135" i="1"/>
  <c r="AZ171" i="1" s="1"/>
  <c r="AY135" i="1"/>
  <c r="AY171" i="1" s="1"/>
  <c r="AX135" i="1"/>
  <c r="AW135" i="1"/>
  <c r="AW171" i="1" s="1"/>
  <c r="AV135" i="1"/>
  <c r="AV171" i="1" s="1"/>
  <c r="AU135" i="1"/>
  <c r="AT135" i="1"/>
  <c r="AT171" i="1" s="1"/>
  <c r="AS135" i="1"/>
  <c r="AS171" i="1" s="1"/>
  <c r="AR135" i="1"/>
  <c r="AR171" i="1" s="1"/>
  <c r="AQ135" i="1"/>
  <c r="AQ171" i="1" s="1"/>
  <c r="AP135" i="1"/>
  <c r="AP171" i="1" s="1"/>
  <c r="AO135" i="1"/>
  <c r="AO171" i="1" s="1"/>
  <c r="AN135" i="1"/>
  <c r="AN171" i="1" s="1"/>
  <c r="AM135" i="1"/>
  <c r="AM171" i="1" s="1"/>
  <c r="AL135" i="1"/>
  <c r="AK135" i="1"/>
  <c r="AK171" i="1" s="1"/>
  <c r="AJ135" i="1"/>
  <c r="AJ171" i="1" s="1"/>
  <c r="AI135" i="1"/>
  <c r="AH135" i="1"/>
  <c r="AH171" i="1" s="1"/>
  <c r="AG135" i="1"/>
  <c r="AG171" i="1" s="1"/>
  <c r="AF135" i="1"/>
  <c r="AE135" i="1"/>
  <c r="AE171" i="1" s="1"/>
  <c r="AD135" i="1"/>
  <c r="AD171" i="1" s="1"/>
  <c r="AC135" i="1"/>
  <c r="AB135" i="1"/>
  <c r="AB171" i="1" s="1"/>
  <c r="AA135" i="1"/>
  <c r="AA171" i="1" s="1"/>
  <c r="Z135" i="1"/>
  <c r="Y135" i="1"/>
  <c r="Y171" i="1" s="1"/>
  <c r="X135" i="1"/>
  <c r="X171" i="1" s="1"/>
  <c r="W135" i="1"/>
  <c r="V135" i="1"/>
  <c r="V171" i="1" s="1"/>
  <c r="U135" i="1"/>
  <c r="U171" i="1" s="1"/>
  <c r="T135" i="1"/>
  <c r="T171" i="1" s="1"/>
  <c r="S135" i="1"/>
  <c r="S171" i="1" s="1"/>
  <c r="R135" i="1"/>
  <c r="R171" i="1" s="1"/>
  <c r="Q135" i="1"/>
  <c r="P135" i="1"/>
  <c r="P171" i="1" s="1"/>
  <c r="O135" i="1"/>
  <c r="O171" i="1" s="1"/>
  <c r="N135" i="1"/>
  <c r="M135" i="1"/>
  <c r="M171" i="1" s="1"/>
  <c r="L135" i="1"/>
  <c r="L171" i="1" s="1"/>
  <c r="K135" i="1"/>
  <c r="J135" i="1"/>
  <c r="J171" i="1" s="1"/>
  <c r="I135" i="1"/>
  <c r="I171" i="1" s="1"/>
  <c r="H135" i="1"/>
  <c r="G135" i="1"/>
  <c r="G171" i="1" s="1"/>
  <c r="F135" i="1"/>
  <c r="F171" i="1" s="1"/>
  <c r="E135" i="1"/>
  <c r="D135" i="1"/>
  <c r="D171" i="1" s="1"/>
  <c r="C135" i="1"/>
  <c r="B135" i="1"/>
  <c r="DB170" i="1"/>
  <c r="CY170" i="1"/>
  <c r="CX170" i="1"/>
  <c r="CV134" i="1"/>
  <c r="CV170" i="1" s="1"/>
  <c r="CU134" i="1"/>
  <c r="CU170" i="1" s="1"/>
  <c r="CT134" i="1"/>
  <c r="CS134" i="1"/>
  <c r="CS170" i="1" s="1"/>
  <c r="CR134" i="1"/>
  <c r="CR170" i="1" s="1"/>
  <c r="CQ134" i="1"/>
  <c r="CP134" i="1"/>
  <c r="CP170" i="1" s="1"/>
  <c r="CO134" i="1"/>
  <c r="CO170" i="1" s="1"/>
  <c r="CN134" i="1"/>
  <c r="CM134" i="1"/>
  <c r="CM170" i="1" s="1"/>
  <c r="CL134" i="1"/>
  <c r="CL170" i="1" s="1"/>
  <c r="CK134" i="1"/>
  <c r="CJ134" i="1"/>
  <c r="CJ170" i="1" s="1"/>
  <c r="CI134" i="1"/>
  <c r="CI170" i="1" s="1"/>
  <c r="CH134" i="1"/>
  <c r="CG134" i="1"/>
  <c r="CG170" i="1" s="1"/>
  <c r="CF134" i="1"/>
  <c r="CF170" i="1" s="1"/>
  <c r="CE134" i="1"/>
  <c r="CD134" i="1"/>
  <c r="CD170" i="1" s="1"/>
  <c r="CC134" i="1"/>
  <c r="CC170" i="1" s="1"/>
  <c r="CB134" i="1"/>
  <c r="CA134" i="1"/>
  <c r="CA170" i="1" s="1"/>
  <c r="BZ134" i="1"/>
  <c r="BZ170" i="1" s="1"/>
  <c r="BY134" i="1"/>
  <c r="BX134" i="1"/>
  <c r="BX170" i="1" s="1"/>
  <c r="BW134" i="1"/>
  <c r="BW170" i="1" s="1"/>
  <c r="BV134" i="1"/>
  <c r="BU134" i="1"/>
  <c r="BU170" i="1" s="1"/>
  <c r="BT134" i="1"/>
  <c r="BT170" i="1" s="1"/>
  <c r="BS134" i="1"/>
  <c r="BR134" i="1"/>
  <c r="BR170" i="1" s="1"/>
  <c r="BQ134" i="1"/>
  <c r="BQ170" i="1" s="1"/>
  <c r="BP134" i="1"/>
  <c r="BO134" i="1"/>
  <c r="BO170" i="1" s="1"/>
  <c r="BN134" i="1"/>
  <c r="BN170" i="1" s="1"/>
  <c r="BM134" i="1"/>
  <c r="BM170" i="1" s="1"/>
  <c r="BL134" i="1"/>
  <c r="BL170" i="1" s="1"/>
  <c r="BK134" i="1"/>
  <c r="BK170" i="1" s="1"/>
  <c r="BJ134" i="1"/>
  <c r="BI134" i="1"/>
  <c r="BI170" i="1" s="1"/>
  <c r="BH134" i="1"/>
  <c r="BH170" i="1" s="1"/>
  <c r="BG134" i="1"/>
  <c r="BF134" i="1"/>
  <c r="BF170" i="1" s="1"/>
  <c r="BE134" i="1"/>
  <c r="BE170" i="1" s="1"/>
  <c r="BD134" i="1"/>
  <c r="BC134" i="1"/>
  <c r="BC170" i="1" s="1"/>
  <c r="BB134" i="1"/>
  <c r="BB170" i="1" s="1"/>
  <c r="BA134" i="1"/>
  <c r="AZ134" i="1"/>
  <c r="AZ170" i="1" s="1"/>
  <c r="AY134" i="1"/>
  <c r="AY170" i="1" s="1"/>
  <c r="AX134" i="1"/>
  <c r="AW134" i="1"/>
  <c r="AW170" i="1" s="1"/>
  <c r="AV134" i="1"/>
  <c r="AV170" i="1" s="1"/>
  <c r="AU134" i="1"/>
  <c r="AT134" i="1"/>
  <c r="AT170" i="1" s="1"/>
  <c r="AS134" i="1"/>
  <c r="AS170" i="1" s="1"/>
  <c r="AR134" i="1"/>
  <c r="AQ134" i="1"/>
  <c r="AQ170" i="1" s="1"/>
  <c r="AP134" i="1"/>
  <c r="AP170" i="1" s="1"/>
  <c r="AO134" i="1"/>
  <c r="AO170" i="1" s="1"/>
  <c r="AN134" i="1"/>
  <c r="AN170" i="1" s="1"/>
  <c r="AM134" i="1"/>
  <c r="AM170" i="1" s="1"/>
  <c r="AL134" i="1"/>
  <c r="AK134" i="1"/>
  <c r="AK170" i="1" s="1"/>
  <c r="AJ134" i="1"/>
  <c r="AJ170" i="1" s="1"/>
  <c r="AI134" i="1"/>
  <c r="AH134" i="1"/>
  <c r="AH170" i="1" s="1"/>
  <c r="AG134" i="1"/>
  <c r="AG170" i="1" s="1"/>
  <c r="AF134" i="1"/>
  <c r="AE134" i="1"/>
  <c r="AE170" i="1" s="1"/>
  <c r="AD134" i="1"/>
  <c r="AD170" i="1" s="1"/>
  <c r="AC134" i="1"/>
  <c r="AB134" i="1"/>
  <c r="AB170" i="1" s="1"/>
  <c r="AA134" i="1"/>
  <c r="AA170" i="1" s="1"/>
  <c r="Z134" i="1"/>
  <c r="Y134" i="1"/>
  <c r="Y170" i="1" s="1"/>
  <c r="X134" i="1"/>
  <c r="X170" i="1" s="1"/>
  <c r="W134" i="1"/>
  <c r="V134" i="1"/>
  <c r="V170" i="1" s="1"/>
  <c r="U134" i="1"/>
  <c r="U170" i="1" s="1"/>
  <c r="T134" i="1"/>
  <c r="S134" i="1"/>
  <c r="S170" i="1" s="1"/>
  <c r="R134" i="1"/>
  <c r="R170" i="1" s="1"/>
  <c r="Q134" i="1"/>
  <c r="P134" i="1"/>
  <c r="P170" i="1" s="1"/>
  <c r="O134" i="1"/>
  <c r="O170" i="1" s="1"/>
  <c r="N134" i="1"/>
  <c r="M134" i="1"/>
  <c r="M170" i="1" s="1"/>
  <c r="L134" i="1"/>
  <c r="L170" i="1" s="1"/>
  <c r="K134" i="1"/>
  <c r="J134" i="1"/>
  <c r="J170" i="1" s="1"/>
  <c r="I134" i="1"/>
  <c r="I170" i="1" s="1"/>
  <c r="H134" i="1"/>
  <c r="G134" i="1"/>
  <c r="G170" i="1" s="1"/>
  <c r="F134" i="1"/>
  <c r="F170" i="1" s="1"/>
  <c r="E134" i="1"/>
  <c r="D134" i="1"/>
  <c r="C134" i="1"/>
  <c r="C170" i="1" s="1"/>
  <c r="B134" i="1"/>
  <c r="DB169" i="1"/>
  <c r="DA169" i="1"/>
  <c r="CY169" i="1"/>
  <c r="CX169" i="1"/>
  <c r="CV133" i="1"/>
  <c r="CV169" i="1" s="1"/>
  <c r="CU133" i="1"/>
  <c r="CU169" i="1" s="1"/>
  <c r="CT133" i="1"/>
  <c r="CS133" i="1"/>
  <c r="CS169" i="1" s="1"/>
  <c r="CR133" i="1"/>
  <c r="CR169" i="1" s="1"/>
  <c r="CQ133" i="1"/>
  <c r="CP133" i="1"/>
  <c r="CP169" i="1" s="1"/>
  <c r="CO133" i="1"/>
  <c r="CO169" i="1" s="1"/>
  <c r="CN133" i="1"/>
  <c r="CM133" i="1"/>
  <c r="CM169" i="1" s="1"/>
  <c r="CL133" i="1"/>
  <c r="CL169" i="1" s="1"/>
  <c r="CK133" i="1"/>
  <c r="CJ133" i="1"/>
  <c r="CJ169" i="1" s="1"/>
  <c r="CI133" i="1"/>
  <c r="CI169" i="1" s="1"/>
  <c r="CH133" i="1"/>
  <c r="CG133" i="1"/>
  <c r="CG169" i="1" s="1"/>
  <c r="CF133" i="1"/>
  <c r="CF169" i="1" s="1"/>
  <c r="CE133" i="1"/>
  <c r="CD133" i="1"/>
  <c r="CD169" i="1" s="1"/>
  <c r="CC133" i="1"/>
  <c r="CC169" i="1" s="1"/>
  <c r="CB133" i="1"/>
  <c r="CA133" i="1"/>
  <c r="CA169" i="1" s="1"/>
  <c r="BZ133" i="1"/>
  <c r="BZ169" i="1" s="1"/>
  <c r="BY133" i="1"/>
  <c r="BX133" i="1"/>
  <c r="BX169" i="1" s="1"/>
  <c r="BW133" i="1"/>
  <c r="BW169" i="1" s="1"/>
  <c r="BV133" i="1"/>
  <c r="BU133" i="1"/>
  <c r="BU169" i="1" s="1"/>
  <c r="BT133" i="1"/>
  <c r="BT169" i="1" s="1"/>
  <c r="BS133" i="1"/>
  <c r="BR133" i="1"/>
  <c r="BR169" i="1" s="1"/>
  <c r="BQ133" i="1"/>
  <c r="BQ169" i="1" s="1"/>
  <c r="BP133" i="1"/>
  <c r="BO133" i="1"/>
  <c r="BO169" i="1" s="1"/>
  <c r="BN133" i="1"/>
  <c r="BN169" i="1" s="1"/>
  <c r="BM133" i="1"/>
  <c r="BL133" i="1"/>
  <c r="BL169" i="1" s="1"/>
  <c r="BK133" i="1"/>
  <c r="BK169" i="1" s="1"/>
  <c r="BJ133" i="1"/>
  <c r="BI133" i="1"/>
  <c r="BI169" i="1" s="1"/>
  <c r="BH133" i="1"/>
  <c r="BH169" i="1" s="1"/>
  <c r="BG133" i="1"/>
  <c r="BF133" i="1"/>
  <c r="BF169" i="1" s="1"/>
  <c r="BE133" i="1"/>
  <c r="BE169" i="1" s="1"/>
  <c r="BD133" i="1"/>
  <c r="BC133" i="1"/>
  <c r="BC169" i="1" s="1"/>
  <c r="BB133" i="1"/>
  <c r="BB169" i="1" s="1"/>
  <c r="BA133" i="1"/>
  <c r="AZ133" i="1"/>
  <c r="AZ169" i="1" s="1"/>
  <c r="AY133" i="1"/>
  <c r="AY169" i="1" s="1"/>
  <c r="AX133" i="1"/>
  <c r="AW133" i="1"/>
  <c r="AW169" i="1" s="1"/>
  <c r="AV133" i="1"/>
  <c r="AV169" i="1" s="1"/>
  <c r="AU133" i="1"/>
  <c r="AT133" i="1"/>
  <c r="AT169" i="1" s="1"/>
  <c r="AS133" i="1"/>
  <c r="AS169" i="1" s="1"/>
  <c r="AR133" i="1"/>
  <c r="AQ133" i="1"/>
  <c r="AQ169" i="1" s="1"/>
  <c r="AP133" i="1"/>
  <c r="AP169" i="1" s="1"/>
  <c r="AO133" i="1"/>
  <c r="AN133" i="1"/>
  <c r="AN169" i="1" s="1"/>
  <c r="AM133" i="1"/>
  <c r="AM169" i="1" s="1"/>
  <c r="AL133" i="1"/>
  <c r="AK133" i="1"/>
  <c r="AK169" i="1" s="1"/>
  <c r="AJ133" i="1"/>
  <c r="AJ169" i="1" s="1"/>
  <c r="AI133" i="1"/>
  <c r="AH133" i="1"/>
  <c r="AH169" i="1" s="1"/>
  <c r="AG133" i="1"/>
  <c r="AG169" i="1" s="1"/>
  <c r="AF133" i="1"/>
  <c r="AE133" i="1"/>
  <c r="AE169" i="1" s="1"/>
  <c r="AD133" i="1"/>
  <c r="AD169" i="1" s="1"/>
  <c r="AC133" i="1"/>
  <c r="AB133" i="1"/>
  <c r="AB169" i="1" s="1"/>
  <c r="AA133" i="1"/>
  <c r="AA169" i="1" s="1"/>
  <c r="Z133" i="1"/>
  <c r="Z169" i="1" s="1"/>
  <c r="Y133" i="1"/>
  <c r="Y169" i="1" s="1"/>
  <c r="X133" i="1"/>
  <c r="X169" i="1" s="1"/>
  <c r="W133" i="1"/>
  <c r="V133" i="1"/>
  <c r="V169" i="1" s="1"/>
  <c r="U133" i="1"/>
  <c r="U169" i="1" s="1"/>
  <c r="T133" i="1"/>
  <c r="S133" i="1"/>
  <c r="S169" i="1" s="1"/>
  <c r="R133" i="1"/>
  <c r="R169" i="1" s="1"/>
  <c r="Q133" i="1"/>
  <c r="P133" i="1"/>
  <c r="P169" i="1" s="1"/>
  <c r="O133" i="1"/>
  <c r="O169" i="1" s="1"/>
  <c r="N133" i="1"/>
  <c r="M133" i="1"/>
  <c r="M169" i="1" s="1"/>
  <c r="L133" i="1"/>
  <c r="L169" i="1" s="1"/>
  <c r="K133" i="1"/>
  <c r="J133" i="1"/>
  <c r="J169" i="1" s="1"/>
  <c r="I133" i="1"/>
  <c r="I169" i="1" s="1"/>
  <c r="H133" i="1"/>
  <c r="G133" i="1"/>
  <c r="G169" i="1" s="1"/>
  <c r="F133" i="1"/>
  <c r="F169" i="1" s="1"/>
  <c r="E133" i="1"/>
  <c r="D133" i="1"/>
  <c r="D169" i="1" s="1"/>
  <c r="C133" i="1"/>
  <c r="C169" i="1" s="1"/>
  <c r="B133" i="1"/>
  <c r="DB168" i="1"/>
  <c r="CY168" i="1"/>
  <c r="CX168" i="1"/>
  <c r="CV132" i="1"/>
  <c r="CV168" i="1" s="1"/>
  <c r="CU132" i="1"/>
  <c r="CU168" i="1" s="1"/>
  <c r="CT132" i="1"/>
  <c r="CS132" i="1"/>
  <c r="CS168" i="1" s="1"/>
  <c r="CR132" i="1"/>
  <c r="CR168" i="1" s="1"/>
  <c r="CQ132" i="1"/>
  <c r="CP132" i="1"/>
  <c r="CP168" i="1" s="1"/>
  <c r="CO132" i="1"/>
  <c r="CO168" i="1" s="1"/>
  <c r="CN132" i="1"/>
  <c r="CN168" i="1" s="1"/>
  <c r="CM132" i="1"/>
  <c r="CM168" i="1" s="1"/>
  <c r="CL132" i="1"/>
  <c r="CL168" i="1" s="1"/>
  <c r="CK132" i="1"/>
  <c r="CJ132" i="1"/>
  <c r="CJ168" i="1" s="1"/>
  <c r="CI132" i="1"/>
  <c r="CI168" i="1" s="1"/>
  <c r="CH132" i="1"/>
  <c r="CG132" i="1"/>
  <c r="CG168" i="1" s="1"/>
  <c r="CF132" i="1"/>
  <c r="CF168" i="1" s="1"/>
  <c r="CE132" i="1"/>
  <c r="CD132" i="1"/>
  <c r="CD168" i="1" s="1"/>
  <c r="CC132" i="1"/>
  <c r="CC168" i="1" s="1"/>
  <c r="CB132" i="1"/>
  <c r="CA132" i="1"/>
  <c r="CA168" i="1" s="1"/>
  <c r="BZ132" i="1"/>
  <c r="BZ168" i="1" s="1"/>
  <c r="BY132" i="1"/>
  <c r="BX132" i="1"/>
  <c r="BX168" i="1" s="1"/>
  <c r="BW132" i="1"/>
  <c r="BW168" i="1" s="1"/>
  <c r="BV132" i="1"/>
  <c r="BU132" i="1"/>
  <c r="BU168" i="1" s="1"/>
  <c r="BT132" i="1"/>
  <c r="BT168" i="1" s="1"/>
  <c r="BS132" i="1"/>
  <c r="BR132" i="1"/>
  <c r="BR168" i="1" s="1"/>
  <c r="BQ132" i="1"/>
  <c r="BQ168" i="1" s="1"/>
  <c r="BP132" i="1"/>
  <c r="BO132" i="1"/>
  <c r="BO168" i="1" s="1"/>
  <c r="BN132" i="1"/>
  <c r="BN168" i="1" s="1"/>
  <c r="BM132" i="1"/>
  <c r="BL132" i="1"/>
  <c r="BL168" i="1" s="1"/>
  <c r="BK132" i="1"/>
  <c r="BK168" i="1" s="1"/>
  <c r="BJ132" i="1"/>
  <c r="BI132" i="1"/>
  <c r="BI168" i="1" s="1"/>
  <c r="BH132" i="1"/>
  <c r="BH168" i="1" s="1"/>
  <c r="BG132" i="1"/>
  <c r="BF132" i="1"/>
  <c r="BF168" i="1" s="1"/>
  <c r="BE132" i="1"/>
  <c r="BE168" i="1" s="1"/>
  <c r="BD132" i="1"/>
  <c r="BC132" i="1"/>
  <c r="BC168" i="1" s="1"/>
  <c r="BB132" i="1"/>
  <c r="BB168" i="1" s="1"/>
  <c r="BA132" i="1"/>
  <c r="AZ132" i="1"/>
  <c r="AZ168" i="1" s="1"/>
  <c r="AY132" i="1"/>
  <c r="AY168" i="1" s="1"/>
  <c r="AX132" i="1"/>
  <c r="AW132" i="1"/>
  <c r="AW168" i="1" s="1"/>
  <c r="AV132" i="1"/>
  <c r="AV168" i="1" s="1"/>
  <c r="AU132" i="1"/>
  <c r="AT132" i="1"/>
  <c r="AT168" i="1" s="1"/>
  <c r="AS132" i="1"/>
  <c r="AS168" i="1" s="1"/>
  <c r="AR132" i="1"/>
  <c r="AQ132" i="1"/>
  <c r="AQ168" i="1" s="1"/>
  <c r="AP132" i="1"/>
  <c r="AP168" i="1" s="1"/>
  <c r="AO132" i="1"/>
  <c r="AN132" i="1"/>
  <c r="AN168" i="1" s="1"/>
  <c r="AM132" i="1"/>
  <c r="AM168" i="1" s="1"/>
  <c r="AL132" i="1"/>
  <c r="AK132" i="1"/>
  <c r="AK168" i="1" s="1"/>
  <c r="AJ132" i="1"/>
  <c r="AJ168" i="1" s="1"/>
  <c r="AI132" i="1"/>
  <c r="AH132" i="1"/>
  <c r="AH168" i="1" s="1"/>
  <c r="AG132" i="1"/>
  <c r="AG168" i="1" s="1"/>
  <c r="AF132" i="1"/>
  <c r="AF168" i="1" s="1"/>
  <c r="AE132" i="1"/>
  <c r="AE168" i="1" s="1"/>
  <c r="AD132" i="1"/>
  <c r="AD168" i="1" s="1"/>
  <c r="AC132" i="1"/>
  <c r="AB132" i="1"/>
  <c r="AB168" i="1" s="1"/>
  <c r="AA132" i="1"/>
  <c r="AA168" i="1" s="1"/>
  <c r="Z132" i="1"/>
  <c r="Y132" i="1"/>
  <c r="Y168" i="1" s="1"/>
  <c r="X132" i="1"/>
  <c r="X168" i="1" s="1"/>
  <c r="W132" i="1"/>
  <c r="V132" i="1"/>
  <c r="V168" i="1" s="1"/>
  <c r="U132" i="1"/>
  <c r="U168" i="1" s="1"/>
  <c r="T132" i="1"/>
  <c r="T168" i="1" s="1"/>
  <c r="S132" i="1"/>
  <c r="S168" i="1" s="1"/>
  <c r="R132" i="1"/>
  <c r="R168" i="1" s="1"/>
  <c r="Q132" i="1"/>
  <c r="P132" i="1"/>
  <c r="P168" i="1" s="1"/>
  <c r="O132" i="1"/>
  <c r="O168" i="1" s="1"/>
  <c r="N132" i="1"/>
  <c r="M132" i="1"/>
  <c r="M168" i="1" s="1"/>
  <c r="L132" i="1"/>
  <c r="L168" i="1" s="1"/>
  <c r="K132" i="1"/>
  <c r="J132" i="1"/>
  <c r="J168" i="1" s="1"/>
  <c r="I132" i="1"/>
  <c r="I168" i="1" s="1"/>
  <c r="H132" i="1"/>
  <c r="G132" i="1"/>
  <c r="G168" i="1" s="1"/>
  <c r="F132" i="1"/>
  <c r="F168" i="1" s="1"/>
  <c r="E132" i="1"/>
  <c r="D132" i="1"/>
  <c r="D168" i="1" s="1"/>
  <c r="C132" i="1"/>
  <c r="C168" i="1" s="1"/>
  <c r="B132" i="1"/>
  <c r="DB167" i="1"/>
  <c r="DA167" i="1"/>
  <c r="CY167" i="1"/>
  <c r="CX167" i="1"/>
  <c r="CV131" i="1"/>
  <c r="CV167" i="1" s="1"/>
  <c r="CU131" i="1"/>
  <c r="CU167" i="1" s="1"/>
  <c r="CT131" i="1"/>
  <c r="CS131" i="1"/>
  <c r="CS167" i="1" s="1"/>
  <c r="CR131" i="1"/>
  <c r="CR167" i="1" s="1"/>
  <c r="CQ131" i="1"/>
  <c r="CP131" i="1"/>
  <c r="CP167" i="1" s="1"/>
  <c r="CO131" i="1"/>
  <c r="CO167" i="1" s="1"/>
  <c r="CN131" i="1"/>
  <c r="CM131" i="1"/>
  <c r="CM167" i="1" s="1"/>
  <c r="CL131" i="1"/>
  <c r="CL167" i="1" s="1"/>
  <c r="CK131" i="1"/>
  <c r="CJ131" i="1"/>
  <c r="CJ167" i="1" s="1"/>
  <c r="CI131" i="1"/>
  <c r="CI167" i="1" s="1"/>
  <c r="CH131" i="1"/>
  <c r="CG131" i="1"/>
  <c r="CG167" i="1" s="1"/>
  <c r="CF131" i="1"/>
  <c r="CF167" i="1" s="1"/>
  <c r="CE131" i="1"/>
  <c r="CD131" i="1"/>
  <c r="CD167" i="1" s="1"/>
  <c r="CC131" i="1"/>
  <c r="CC167" i="1" s="1"/>
  <c r="CB131" i="1"/>
  <c r="CB167" i="1" s="1"/>
  <c r="CA131" i="1"/>
  <c r="CA167" i="1" s="1"/>
  <c r="BZ131" i="1"/>
  <c r="BZ167" i="1" s="1"/>
  <c r="BY131" i="1"/>
  <c r="BX131" i="1"/>
  <c r="BX167" i="1" s="1"/>
  <c r="BW131" i="1"/>
  <c r="BW167" i="1" s="1"/>
  <c r="BV131" i="1"/>
  <c r="BU131" i="1"/>
  <c r="BU167" i="1" s="1"/>
  <c r="BT131" i="1"/>
  <c r="BT167" i="1" s="1"/>
  <c r="BS131" i="1"/>
  <c r="BS167" i="1" s="1"/>
  <c r="BR131" i="1"/>
  <c r="BR167" i="1" s="1"/>
  <c r="BQ131" i="1"/>
  <c r="BQ167" i="1" s="1"/>
  <c r="BP131" i="1"/>
  <c r="BO131" i="1"/>
  <c r="BO167" i="1" s="1"/>
  <c r="BN131" i="1"/>
  <c r="BN167" i="1" s="1"/>
  <c r="BM131" i="1"/>
  <c r="BL131" i="1"/>
  <c r="BL167" i="1" s="1"/>
  <c r="BK131" i="1"/>
  <c r="BK167" i="1" s="1"/>
  <c r="BJ131" i="1"/>
  <c r="BJ167" i="1" s="1"/>
  <c r="BI131" i="1"/>
  <c r="BI167" i="1" s="1"/>
  <c r="BH131" i="1"/>
  <c r="BH167" i="1" s="1"/>
  <c r="BG131" i="1"/>
  <c r="BF131" i="1"/>
  <c r="BF167" i="1" s="1"/>
  <c r="BE131" i="1"/>
  <c r="BE167" i="1" s="1"/>
  <c r="BD131" i="1"/>
  <c r="BC131" i="1"/>
  <c r="BC167" i="1" s="1"/>
  <c r="BB131" i="1"/>
  <c r="BB167" i="1" s="1"/>
  <c r="BA131" i="1"/>
  <c r="AZ131" i="1"/>
  <c r="AZ167" i="1" s="1"/>
  <c r="AY131" i="1"/>
  <c r="AY167" i="1" s="1"/>
  <c r="AX131" i="1"/>
  <c r="AW131" i="1"/>
  <c r="AW167" i="1" s="1"/>
  <c r="AV131" i="1"/>
  <c r="AV167" i="1" s="1"/>
  <c r="AU131" i="1"/>
  <c r="AT131" i="1"/>
  <c r="AT167" i="1" s="1"/>
  <c r="AS131" i="1"/>
  <c r="AS167" i="1" s="1"/>
  <c r="AR131" i="1"/>
  <c r="AQ131" i="1"/>
  <c r="AQ167" i="1" s="1"/>
  <c r="AP131" i="1"/>
  <c r="AP167" i="1" s="1"/>
  <c r="AO131" i="1"/>
  <c r="AN131" i="1"/>
  <c r="AN167" i="1" s="1"/>
  <c r="AM131" i="1"/>
  <c r="AM167" i="1" s="1"/>
  <c r="AL131" i="1"/>
  <c r="AK131" i="1"/>
  <c r="AK167" i="1" s="1"/>
  <c r="AJ131" i="1"/>
  <c r="AJ167" i="1" s="1"/>
  <c r="AI131" i="1"/>
  <c r="AI167" i="1" s="1"/>
  <c r="AH131" i="1"/>
  <c r="AH167" i="1" s="1"/>
  <c r="AG131" i="1"/>
  <c r="AG167" i="1" s="1"/>
  <c r="AF131" i="1"/>
  <c r="AE131" i="1"/>
  <c r="AE167" i="1" s="1"/>
  <c r="AD131" i="1"/>
  <c r="AD167" i="1" s="1"/>
  <c r="AC131" i="1"/>
  <c r="AB131" i="1"/>
  <c r="AB167" i="1" s="1"/>
  <c r="AA131" i="1"/>
  <c r="AA167" i="1" s="1"/>
  <c r="Z131" i="1"/>
  <c r="Y131" i="1"/>
  <c r="Y167" i="1" s="1"/>
  <c r="X131" i="1"/>
  <c r="X167" i="1" s="1"/>
  <c r="W131" i="1"/>
  <c r="V131" i="1"/>
  <c r="V167" i="1" s="1"/>
  <c r="U131" i="1"/>
  <c r="U167" i="1" s="1"/>
  <c r="T131" i="1"/>
  <c r="S131" i="1"/>
  <c r="S167" i="1" s="1"/>
  <c r="R131" i="1"/>
  <c r="R167" i="1" s="1"/>
  <c r="Q131" i="1"/>
  <c r="Q167" i="1" s="1"/>
  <c r="P131" i="1"/>
  <c r="P167" i="1" s="1"/>
  <c r="O131" i="1"/>
  <c r="O167" i="1" s="1"/>
  <c r="N131" i="1"/>
  <c r="M131" i="1"/>
  <c r="M167" i="1" s="1"/>
  <c r="L131" i="1"/>
  <c r="L167" i="1" s="1"/>
  <c r="K131" i="1"/>
  <c r="J131" i="1"/>
  <c r="J167" i="1" s="1"/>
  <c r="I131" i="1"/>
  <c r="I167" i="1" s="1"/>
  <c r="H131" i="1"/>
  <c r="H167" i="1" s="1"/>
  <c r="G131" i="1"/>
  <c r="G167" i="1" s="1"/>
  <c r="F131" i="1"/>
  <c r="F167" i="1" s="1"/>
  <c r="E131" i="1"/>
  <c r="D131" i="1"/>
  <c r="D167" i="1" s="1"/>
  <c r="C131" i="1"/>
  <c r="B131" i="1"/>
  <c r="DB166" i="1"/>
  <c r="CY166" i="1"/>
  <c r="CX166" i="1"/>
  <c r="CV130" i="1"/>
  <c r="CV166" i="1" s="1"/>
  <c r="CU130" i="1"/>
  <c r="CU166" i="1" s="1"/>
  <c r="CT130" i="1"/>
  <c r="CS130" i="1"/>
  <c r="CS166" i="1" s="1"/>
  <c r="CR130" i="1"/>
  <c r="CR166" i="1" s="1"/>
  <c r="CQ130" i="1"/>
  <c r="CP130" i="1"/>
  <c r="CP166" i="1" s="1"/>
  <c r="CO130" i="1"/>
  <c r="CO166" i="1" s="1"/>
  <c r="CN130" i="1"/>
  <c r="CM130" i="1"/>
  <c r="CM166" i="1" s="1"/>
  <c r="CL130" i="1"/>
  <c r="CL166" i="1" s="1"/>
  <c r="CK130" i="1"/>
  <c r="CJ130" i="1"/>
  <c r="CJ166" i="1" s="1"/>
  <c r="CI130" i="1"/>
  <c r="CI166" i="1" s="1"/>
  <c r="CH130" i="1"/>
  <c r="CG130" i="1"/>
  <c r="CG166" i="1" s="1"/>
  <c r="CF130" i="1"/>
  <c r="CF166" i="1" s="1"/>
  <c r="CE130" i="1"/>
  <c r="CE166" i="1" s="1"/>
  <c r="CD130" i="1"/>
  <c r="CD166" i="1" s="1"/>
  <c r="CC130" i="1"/>
  <c r="CC166" i="1" s="1"/>
  <c r="CB130" i="1"/>
  <c r="CA130" i="1"/>
  <c r="CA166" i="1" s="1"/>
  <c r="BZ130" i="1"/>
  <c r="BZ166" i="1" s="1"/>
  <c r="BY130" i="1"/>
  <c r="BX130" i="1"/>
  <c r="BX166" i="1" s="1"/>
  <c r="BW130" i="1"/>
  <c r="BW166" i="1" s="1"/>
  <c r="BV130" i="1"/>
  <c r="BU130" i="1"/>
  <c r="BU166" i="1" s="1"/>
  <c r="BT130" i="1"/>
  <c r="BT166" i="1" s="1"/>
  <c r="BS130" i="1"/>
  <c r="BR130" i="1"/>
  <c r="BR166" i="1" s="1"/>
  <c r="BQ130" i="1"/>
  <c r="BQ166" i="1" s="1"/>
  <c r="BP130" i="1"/>
  <c r="BO130" i="1"/>
  <c r="BO166" i="1" s="1"/>
  <c r="BN130" i="1"/>
  <c r="BN166" i="1" s="1"/>
  <c r="BM130" i="1"/>
  <c r="BL130" i="1"/>
  <c r="BL166" i="1" s="1"/>
  <c r="BK130" i="1"/>
  <c r="BK166" i="1" s="1"/>
  <c r="BJ130" i="1"/>
  <c r="BI130" i="1"/>
  <c r="BI166" i="1" s="1"/>
  <c r="BH130" i="1"/>
  <c r="BH166" i="1" s="1"/>
  <c r="BG130" i="1"/>
  <c r="BF130" i="1"/>
  <c r="BF166" i="1" s="1"/>
  <c r="BE130" i="1"/>
  <c r="BE166" i="1" s="1"/>
  <c r="BD130" i="1"/>
  <c r="BC130" i="1"/>
  <c r="BC166" i="1" s="1"/>
  <c r="BB130" i="1"/>
  <c r="BB166" i="1" s="1"/>
  <c r="BA130" i="1"/>
  <c r="AZ130" i="1"/>
  <c r="AZ166" i="1" s="1"/>
  <c r="AY130" i="1"/>
  <c r="AY166" i="1" s="1"/>
  <c r="AX130" i="1"/>
  <c r="AW130" i="1"/>
  <c r="AW166" i="1" s="1"/>
  <c r="AV130" i="1"/>
  <c r="AV166" i="1" s="1"/>
  <c r="AU130" i="1"/>
  <c r="AT130" i="1"/>
  <c r="AT166" i="1" s="1"/>
  <c r="AS130" i="1"/>
  <c r="AS166" i="1" s="1"/>
  <c r="AR130" i="1"/>
  <c r="AQ130" i="1"/>
  <c r="AQ166" i="1" s="1"/>
  <c r="AP130" i="1"/>
  <c r="AP166" i="1" s="1"/>
  <c r="AO130" i="1"/>
  <c r="AN130" i="1"/>
  <c r="AN166" i="1" s="1"/>
  <c r="AM130" i="1"/>
  <c r="AM166" i="1" s="1"/>
  <c r="AL130" i="1"/>
  <c r="AK130" i="1"/>
  <c r="AK166" i="1" s="1"/>
  <c r="AJ130" i="1"/>
  <c r="AJ166" i="1" s="1"/>
  <c r="AI130" i="1"/>
  <c r="AH130" i="1"/>
  <c r="AH166" i="1" s="1"/>
  <c r="AG130" i="1"/>
  <c r="AG166" i="1" s="1"/>
  <c r="AF130" i="1"/>
  <c r="AE130" i="1"/>
  <c r="AE166" i="1" s="1"/>
  <c r="AD130" i="1"/>
  <c r="AD166" i="1" s="1"/>
  <c r="AC130" i="1"/>
  <c r="AB130" i="1"/>
  <c r="AB166" i="1" s="1"/>
  <c r="AA130" i="1"/>
  <c r="AA166" i="1" s="1"/>
  <c r="Z130" i="1"/>
  <c r="Y130" i="1"/>
  <c r="Y166" i="1" s="1"/>
  <c r="X130" i="1"/>
  <c r="X166" i="1" s="1"/>
  <c r="W130" i="1"/>
  <c r="V130" i="1"/>
  <c r="V166" i="1" s="1"/>
  <c r="U130" i="1"/>
  <c r="U166" i="1" s="1"/>
  <c r="T130" i="1"/>
  <c r="S130" i="1"/>
  <c r="S166" i="1" s="1"/>
  <c r="R130" i="1"/>
  <c r="R166" i="1" s="1"/>
  <c r="Q130" i="1"/>
  <c r="P130" i="1"/>
  <c r="P166" i="1" s="1"/>
  <c r="O130" i="1"/>
  <c r="O166" i="1" s="1"/>
  <c r="N130" i="1"/>
  <c r="M130" i="1"/>
  <c r="M166" i="1" s="1"/>
  <c r="L130" i="1"/>
  <c r="L166" i="1" s="1"/>
  <c r="K130" i="1"/>
  <c r="K166" i="1" s="1"/>
  <c r="J130" i="1"/>
  <c r="J166" i="1" s="1"/>
  <c r="I130" i="1"/>
  <c r="I166" i="1" s="1"/>
  <c r="H130" i="1"/>
  <c r="G130" i="1"/>
  <c r="G166" i="1" s="1"/>
  <c r="F130" i="1"/>
  <c r="F166" i="1" s="1"/>
  <c r="E130" i="1"/>
  <c r="D130" i="1"/>
  <c r="C130" i="1"/>
  <c r="C166" i="1" s="1"/>
  <c r="B130" i="1"/>
  <c r="DB165" i="1"/>
  <c r="DA165" i="1"/>
  <c r="CY165" i="1"/>
  <c r="CX165" i="1"/>
  <c r="CV129" i="1"/>
  <c r="CV165" i="1" s="1"/>
  <c r="CU129" i="1"/>
  <c r="CU165" i="1" s="1"/>
  <c r="CT129" i="1"/>
  <c r="CS129" i="1"/>
  <c r="CS165" i="1" s="1"/>
  <c r="CR129" i="1"/>
  <c r="CR165" i="1" s="1"/>
  <c r="CQ129" i="1"/>
  <c r="CP129" i="1"/>
  <c r="CP165" i="1" s="1"/>
  <c r="CO129" i="1"/>
  <c r="CO165" i="1" s="1"/>
  <c r="CN129" i="1"/>
  <c r="CM129" i="1"/>
  <c r="CM165" i="1" s="1"/>
  <c r="CL129" i="1"/>
  <c r="CL165" i="1" s="1"/>
  <c r="CK129" i="1"/>
  <c r="CJ129" i="1"/>
  <c r="CJ165" i="1" s="1"/>
  <c r="CI129" i="1"/>
  <c r="CI165" i="1" s="1"/>
  <c r="CH129" i="1"/>
  <c r="CG129" i="1"/>
  <c r="CG165" i="1" s="1"/>
  <c r="CF129" i="1"/>
  <c r="CF165" i="1" s="1"/>
  <c r="CE129" i="1"/>
  <c r="CD129" i="1"/>
  <c r="CD165" i="1" s="1"/>
  <c r="CC129" i="1"/>
  <c r="CC165" i="1" s="1"/>
  <c r="CB129" i="1"/>
  <c r="CA129" i="1"/>
  <c r="CA165" i="1" s="1"/>
  <c r="BZ129" i="1"/>
  <c r="BZ165" i="1" s="1"/>
  <c r="BY129" i="1"/>
  <c r="BX129" i="1"/>
  <c r="BX165" i="1" s="1"/>
  <c r="BW129" i="1"/>
  <c r="BW165" i="1" s="1"/>
  <c r="BV129" i="1"/>
  <c r="BU129" i="1"/>
  <c r="BU165" i="1" s="1"/>
  <c r="BT129" i="1"/>
  <c r="BT165" i="1" s="1"/>
  <c r="BS129" i="1"/>
  <c r="BR129" i="1"/>
  <c r="BR165" i="1" s="1"/>
  <c r="BQ129" i="1"/>
  <c r="BQ165" i="1" s="1"/>
  <c r="BP129" i="1"/>
  <c r="BO129" i="1"/>
  <c r="BO165" i="1" s="1"/>
  <c r="BN129" i="1"/>
  <c r="BN165" i="1" s="1"/>
  <c r="BM129" i="1"/>
  <c r="BL129" i="1"/>
  <c r="BL165" i="1" s="1"/>
  <c r="BK129" i="1"/>
  <c r="BK165" i="1" s="1"/>
  <c r="BJ129" i="1"/>
  <c r="BI129" i="1"/>
  <c r="BI165" i="1" s="1"/>
  <c r="BH129" i="1"/>
  <c r="BH165" i="1" s="1"/>
  <c r="BG129" i="1"/>
  <c r="BF129" i="1"/>
  <c r="BF165" i="1" s="1"/>
  <c r="BE129" i="1"/>
  <c r="BE165" i="1" s="1"/>
  <c r="BD129" i="1"/>
  <c r="BC129" i="1"/>
  <c r="BC165" i="1" s="1"/>
  <c r="BB129" i="1"/>
  <c r="BB165" i="1" s="1"/>
  <c r="BA129" i="1"/>
  <c r="AZ129" i="1"/>
  <c r="AZ165" i="1" s="1"/>
  <c r="AY129" i="1"/>
  <c r="AY165" i="1" s="1"/>
  <c r="AX129" i="1"/>
  <c r="AW129" i="1"/>
  <c r="AW165" i="1" s="1"/>
  <c r="AV129" i="1"/>
  <c r="AV165" i="1" s="1"/>
  <c r="AU129" i="1"/>
  <c r="AT129" i="1"/>
  <c r="AT165" i="1" s="1"/>
  <c r="AS129" i="1"/>
  <c r="AS165" i="1" s="1"/>
  <c r="AR129" i="1"/>
  <c r="AQ129" i="1"/>
  <c r="AQ165" i="1" s="1"/>
  <c r="AP129" i="1"/>
  <c r="AP165" i="1" s="1"/>
  <c r="AO129" i="1"/>
  <c r="AN129" i="1"/>
  <c r="AN165" i="1" s="1"/>
  <c r="AM129" i="1"/>
  <c r="AM165" i="1" s="1"/>
  <c r="AL129" i="1"/>
  <c r="AK129" i="1"/>
  <c r="AK165" i="1" s="1"/>
  <c r="AJ129" i="1"/>
  <c r="AJ165" i="1" s="1"/>
  <c r="AI129" i="1"/>
  <c r="AH129" i="1"/>
  <c r="AH165" i="1" s="1"/>
  <c r="AG129" i="1"/>
  <c r="AG165" i="1" s="1"/>
  <c r="AF129" i="1"/>
  <c r="AE129" i="1"/>
  <c r="AE165" i="1" s="1"/>
  <c r="AD129" i="1"/>
  <c r="AD165" i="1" s="1"/>
  <c r="AC129" i="1"/>
  <c r="AB129" i="1"/>
  <c r="AB165" i="1" s="1"/>
  <c r="AA129" i="1"/>
  <c r="AA165" i="1" s="1"/>
  <c r="Z129" i="1"/>
  <c r="Y129" i="1"/>
  <c r="Y165" i="1" s="1"/>
  <c r="X129" i="1"/>
  <c r="X165" i="1" s="1"/>
  <c r="W129" i="1"/>
  <c r="W165" i="1" s="1"/>
  <c r="V129" i="1"/>
  <c r="V165" i="1" s="1"/>
  <c r="U129" i="1"/>
  <c r="U165" i="1" s="1"/>
  <c r="T129" i="1"/>
  <c r="S129" i="1"/>
  <c r="S165" i="1" s="1"/>
  <c r="R129" i="1"/>
  <c r="R165" i="1" s="1"/>
  <c r="Q129" i="1"/>
  <c r="P129" i="1"/>
  <c r="P165" i="1" s="1"/>
  <c r="O129" i="1"/>
  <c r="O165" i="1" s="1"/>
  <c r="N129" i="1"/>
  <c r="M129" i="1"/>
  <c r="L129" i="1"/>
  <c r="L165" i="1" s="1"/>
  <c r="K129" i="1"/>
  <c r="J129" i="1"/>
  <c r="J165" i="1" s="1"/>
  <c r="I129" i="1"/>
  <c r="I165" i="1" s="1"/>
  <c r="H129" i="1"/>
  <c r="G129" i="1"/>
  <c r="G165" i="1" s="1"/>
  <c r="F129" i="1"/>
  <c r="F165" i="1" s="1"/>
  <c r="E129" i="1"/>
  <c r="D129" i="1"/>
  <c r="D165" i="1" s="1"/>
  <c r="C129" i="1"/>
  <c r="B129" i="1"/>
  <c r="DB164" i="1"/>
  <c r="CY164" i="1"/>
  <c r="CX164" i="1"/>
  <c r="CV128" i="1"/>
  <c r="CV164" i="1" s="1"/>
  <c r="CU128" i="1"/>
  <c r="CU164" i="1" s="1"/>
  <c r="CT128" i="1"/>
  <c r="CS128" i="1"/>
  <c r="CS164" i="1" s="1"/>
  <c r="CR128" i="1"/>
  <c r="CR164" i="1" s="1"/>
  <c r="CQ128" i="1"/>
  <c r="CP128" i="1"/>
  <c r="CP164" i="1" s="1"/>
  <c r="CO128" i="1"/>
  <c r="CO164" i="1" s="1"/>
  <c r="CN128" i="1"/>
  <c r="CM128" i="1"/>
  <c r="CM164" i="1" s="1"/>
  <c r="CL128" i="1"/>
  <c r="CL164" i="1" s="1"/>
  <c r="CK128" i="1"/>
  <c r="CJ128" i="1"/>
  <c r="CJ164" i="1" s="1"/>
  <c r="CI128" i="1"/>
  <c r="CI164" i="1" s="1"/>
  <c r="CH128" i="1"/>
  <c r="CG128" i="1"/>
  <c r="CG164" i="1" s="1"/>
  <c r="CF128" i="1"/>
  <c r="CF164" i="1" s="1"/>
  <c r="CE128" i="1"/>
  <c r="CD128" i="1"/>
  <c r="CD164" i="1" s="1"/>
  <c r="CC128" i="1"/>
  <c r="CC164" i="1" s="1"/>
  <c r="CB128" i="1"/>
  <c r="CB164" i="1" s="1"/>
  <c r="CA128" i="1"/>
  <c r="CA164" i="1" s="1"/>
  <c r="BZ128" i="1"/>
  <c r="BZ164" i="1" s="1"/>
  <c r="BY128" i="1"/>
  <c r="BX128" i="1"/>
  <c r="BX164" i="1" s="1"/>
  <c r="BW128" i="1"/>
  <c r="BW164" i="1" s="1"/>
  <c r="BV128" i="1"/>
  <c r="BU128" i="1"/>
  <c r="BU164" i="1" s="1"/>
  <c r="BT128" i="1"/>
  <c r="BT164" i="1" s="1"/>
  <c r="BS128" i="1"/>
  <c r="BR128" i="1"/>
  <c r="BR164" i="1" s="1"/>
  <c r="BQ128" i="1"/>
  <c r="BQ164" i="1" s="1"/>
  <c r="BP128" i="1"/>
  <c r="BO128" i="1"/>
  <c r="BO164" i="1" s="1"/>
  <c r="BN128" i="1"/>
  <c r="BN164" i="1" s="1"/>
  <c r="BM128" i="1"/>
  <c r="BL128" i="1"/>
  <c r="BL164" i="1" s="1"/>
  <c r="BK128" i="1"/>
  <c r="BK164" i="1" s="1"/>
  <c r="BJ128" i="1"/>
  <c r="BI128" i="1"/>
  <c r="BI164" i="1" s="1"/>
  <c r="BH128" i="1"/>
  <c r="BH164" i="1" s="1"/>
  <c r="BG128" i="1"/>
  <c r="BG164" i="1" s="1"/>
  <c r="BF128" i="1"/>
  <c r="BF164" i="1" s="1"/>
  <c r="BE128" i="1"/>
  <c r="BE164" i="1" s="1"/>
  <c r="BD128" i="1"/>
  <c r="BC128" i="1"/>
  <c r="BC164" i="1" s="1"/>
  <c r="BB128" i="1"/>
  <c r="BB164" i="1" s="1"/>
  <c r="BA128" i="1"/>
  <c r="AZ128" i="1"/>
  <c r="AZ164" i="1" s="1"/>
  <c r="AY128" i="1"/>
  <c r="AY164" i="1" s="1"/>
  <c r="AX128" i="1"/>
  <c r="AW128" i="1"/>
  <c r="AW164" i="1" s="1"/>
  <c r="AV128" i="1"/>
  <c r="AV164" i="1" s="1"/>
  <c r="AU128" i="1"/>
  <c r="AT128" i="1"/>
  <c r="AT164" i="1" s="1"/>
  <c r="AS128" i="1"/>
  <c r="AS164" i="1" s="1"/>
  <c r="AR128" i="1"/>
  <c r="AQ128" i="1"/>
  <c r="AQ164" i="1" s="1"/>
  <c r="AP128" i="1"/>
  <c r="AP164" i="1" s="1"/>
  <c r="AO128" i="1"/>
  <c r="AN128" i="1"/>
  <c r="AN164" i="1" s="1"/>
  <c r="AM128" i="1"/>
  <c r="AM164" i="1" s="1"/>
  <c r="AL128" i="1"/>
  <c r="AK128" i="1"/>
  <c r="AK164" i="1" s="1"/>
  <c r="AJ128" i="1"/>
  <c r="AJ164" i="1" s="1"/>
  <c r="AI128" i="1"/>
  <c r="AH128" i="1"/>
  <c r="AH164" i="1" s="1"/>
  <c r="AG128" i="1"/>
  <c r="AG164" i="1" s="1"/>
  <c r="AF128" i="1"/>
  <c r="AE128" i="1"/>
  <c r="AE164" i="1" s="1"/>
  <c r="AD128" i="1"/>
  <c r="AD164" i="1" s="1"/>
  <c r="AC128" i="1"/>
  <c r="AB128" i="1"/>
  <c r="AB164" i="1" s="1"/>
  <c r="AA128" i="1"/>
  <c r="AA164" i="1" s="1"/>
  <c r="Z128" i="1"/>
  <c r="Y128" i="1"/>
  <c r="Y164" i="1" s="1"/>
  <c r="X128" i="1"/>
  <c r="X164" i="1" s="1"/>
  <c r="W128" i="1"/>
  <c r="W164" i="1" s="1"/>
  <c r="V128" i="1"/>
  <c r="V164" i="1" s="1"/>
  <c r="U128" i="1"/>
  <c r="U164" i="1" s="1"/>
  <c r="T128" i="1"/>
  <c r="S128" i="1"/>
  <c r="S164" i="1" s="1"/>
  <c r="R128" i="1"/>
  <c r="R164" i="1" s="1"/>
  <c r="Q128" i="1"/>
  <c r="P128" i="1"/>
  <c r="P164" i="1" s="1"/>
  <c r="O128" i="1"/>
  <c r="O164" i="1" s="1"/>
  <c r="N128" i="1"/>
  <c r="M128" i="1"/>
  <c r="M164" i="1" s="1"/>
  <c r="L128" i="1"/>
  <c r="L164" i="1" s="1"/>
  <c r="K128" i="1"/>
  <c r="J128" i="1"/>
  <c r="J164" i="1" s="1"/>
  <c r="I128" i="1"/>
  <c r="I164" i="1" s="1"/>
  <c r="H128" i="1"/>
  <c r="G128" i="1"/>
  <c r="G164" i="1" s="1"/>
  <c r="F128" i="1"/>
  <c r="F164" i="1" s="1"/>
  <c r="E128" i="1"/>
  <c r="D128" i="1"/>
  <c r="C128" i="1"/>
  <c r="C164" i="1" s="1"/>
  <c r="B128" i="1"/>
  <c r="DB163" i="1"/>
  <c r="DA163" i="1"/>
  <c r="CY163" i="1"/>
  <c r="CX163" i="1"/>
  <c r="CV127" i="1"/>
  <c r="CV163" i="1" s="1"/>
  <c r="CU127" i="1"/>
  <c r="CU163" i="1" s="1"/>
  <c r="CT127" i="1"/>
  <c r="CS127" i="1"/>
  <c r="CS163" i="1" s="1"/>
  <c r="CR127" i="1"/>
  <c r="CR163" i="1" s="1"/>
  <c r="CQ127" i="1"/>
  <c r="CP127" i="1"/>
  <c r="CP163" i="1" s="1"/>
  <c r="CO127" i="1"/>
  <c r="CO163" i="1" s="1"/>
  <c r="CN127" i="1"/>
  <c r="CM127" i="1"/>
  <c r="CM163" i="1" s="1"/>
  <c r="CL127" i="1"/>
  <c r="CL163" i="1" s="1"/>
  <c r="CK127" i="1"/>
  <c r="CJ127" i="1"/>
  <c r="CJ163" i="1" s="1"/>
  <c r="CI127" i="1"/>
  <c r="CI163" i="1" s="1"/>
  <c r="CH127" i="1"/>
  <c r="CH163" i="1" s="1"/>
  <c r="CG127" i="1"/>
  <c r="CG163" i="1" s="1"/>
  <c r="CF127" i="1"/>
  <c r="CF163" i="1" s="1"/>
  <c r="CE127" i="1"/>
  <c r="CD127" i="1"/>
  <c r="CD163" i="1" s="1"/>
  <c r="CC127" i="1"/>
  <c r="CC163" i="1" s="1"/>
  <c r="CB127" i="1"/>
  <c r="CA127" i="1"/>
  <c r="CA163" i="1" s="1"/>
  <c r="BZ127" i="1"/>
  <c r="BZ163" i="1" s="1"/>
  <c r="BY127" i="1"/>
  <c r="BX127" i="1"/>
  <c r="BX163" i="1" s="1"/>
  <c r="BW127" i="1"/>
  <c r="BW163" i="1" s="1"/>
  <c r="BV127" i="1"/>
  <c r="BU127" i="1"/>
  <c r="BU163" i="1" s="1"/>
  <c r="BT127" i="1"/>
  <c r="BT163" i="1" s="1"/>
  <c r="BS127" i="1"/>
  <c r="BR127" i="1"/>
  <c r="BR163" i="1" s="1"/>
  <c r="BQ127" i="1"/>
  <c r="BQ163" i="1" s="1"/>
  <c r="BP127" i="1"/>
  <c r="BO127" i="1"/>
  <c r="BO163" i="1" s="1"/>
  <c r="BN127" i="1"/>
  <c r="BN163" i="1" s="1"/>
  <c r="BM127" i="1"/>
  <c r="BL127" i="1"/>
  <c r="BL163" i="1" s="1"/>
  <c r="BK127" i="1"/>
  <c r="BK163" i="1" s="1"/>
  <c r="BJ127" i="1"/>
  <c r="BI127" i="1"/>
  <c r="BI163" i="1" s="1"/>
  <c r="BH127" i="1"/>
  <c r="BH163" i="1" s="1"/>
  <c r="BG127" i="1"/>
  <c r="BF127" i="1"/>
  <c r="BF163" i="1" s="1"/>
  <c r="BE127" i="1"/>
  <c r="BE163" i="1" s="1"/>
  <c r="BD127" i="1"/>
  <c r="BC127" i="1"/>
  <c r="BC163" i="1" s="1"/>
  <c r="BB127" i="1"/>
  <c r="BB163" i="1" s="1"/>
  <c r="BA127" i="1"/>
  <c r="AZ127" i="1"/>
  <c r="AZ163" i="1" s="1"/>
  <c r="AY127" i="1"/>
  <c r="AY163" i="1" s="1"/>
  <c r="AX127" i="1"/>
  <c r="AX163" i="1" s="1"/>
  <c r="AW127" i="1"/>
  <c r="AW163" i="1" s="1"/>
  <c r="AV127" i="1"/>
  <c r="AV163" i="1" s="1"/>
  <c r="AU127" i="1"/>
  <c r="AT127" i="1"/>
  <c r="AT163" i="1" s="1"/>
  <c r="AS127" i="1"/>
  <c r="AS163" i="1" s="1"/>
  <c r="AR127" i="1"/>
  <c r="AQ127" i="1"/>
  <c r="AQ163" i="1" s="1"/>
  <c r="AP127" i="1"/>
  <c r="AP163" i="1" s="1"/>
  <c r="AO127" i="1"/>
  <c r="AN127" i="1"/>
  <c r="AN163" i="1" s="1"/>
  <c r="AM127" i="1"/>
  <c r="AM163" i="1" s="1"/>
  <c r="AL127" i="1"/>
  <c r="AK127" i="1"/>
  <c r="AK163" i="1" s="1"/>
  <c r="AJ127" i="1"/>
  <c r="AJ163" i="1" s="1"/>
  <c r="AI127" i="1"/>
  <c r="AH127" i="1"/>
  <c r="AH163" i="1" s="1"/>
  <c r="AG127" i="1"/>
  <c r="AG163" i="1" s="1"/>
  <c r="AF127" i="1"/>
  <c r="AF163" i="1" s="1"/>
  <c r="AE127" i="1"/>
  <c r="AE163" i="1" s="1"/>
  <c r="AD127" i="1"/>
  <c r="AD163" i="1" s="1"/>
  <c r="AC127" i="1"/>
  <c r="AB127" i="1"/>
  <c r="AB163" i="1" s="1"/>
  <c r="AA127" i="1"/>
  <c r="AA163" i="1" s="1"/>
  <c r="Z127" i="1"/>
  <c r="Y127" i="1"/>
  <c r="Y163" i="1" s="1"/>
  <c r="X127" i="1"/>
  <c r="X163" i="1" s="1"/>
  <c r="W127" i="1"/>
  <c r="V127" i="1"/>
  <c r="V163" i="1" s="1"/>
  <c r="U127" i="1"/>
  <c r="U163" i="1" s="1"/>
  <c r="T127" i="1"/>
  <c r="S127" i="1"/>
  <c r="S163" i="1" s="1"/>
  <c r="R127" i="1"/>
  <c r="R163" i="1" s="1"/>
  <c r="Q127" i="1"/>
  <c r="P127" i="1"/>
  <c r="P163" i="1" s="1"/>
  <c r="O127" i="1"/>
  <c r="O163" i="1" s="1"/>
  <c r="N127" i="1"/>
  <c r="M127" i="1"/>
  <c r="M163" i="1" s="1"/>
  <c r="L127" i="1"/>
  <c r="L163" i="1" s="1"/>
  <c r="K127" i="1"/>
  <c r="J127" i="1"/>
  <c r="J163" i="1" s="1"/>
  <c r="I127" i="1"/>
  <c r="I163" i="1" s="1"/>
  <c r="H127" i="1"/>
  <c r="G127" i="1"/>
  <c r="G163" i="1" s="1"/>
  <c r="F127" i="1"/>
  <c r="F163" i="1" s="1"/>
  <c r="E127" i="1"/>
  <c r="D127" i="1"/>
  <c r="D163" i="1" s="1"/>
  <c r="C127" i="1"/>
  <c r="B127" i="1"/>
  <c r="DB162" i="1"/>
  <c r="CY162" i="1"/>
  <c r="CX162" i="1"/>
  <c r="CV126" i="1"/>
  <c r="CV162" i="1" s="1"/>
  <c r="CU126" i="1"/>
  <c r="CU162" i="1" s="1"/>
  <c r="CT126" i="1"/>
  <c r="CT162" i="1" s="1"/>
  <c r="CS126" i="1"/>
  <c r="CS162" i="1" s="1"/>
  <c r="CR126" i="1"/>
  <c r="CR162" i="1" s="1"/>
  <c r="CQ126" i="1"/>
  <c r="CP126" i="1"/>
  <c r="CP162" i="1" s="1"/>
  <c r="CO126" i="1"/>
  <c r="CO162" i="1" s="1"/>
  <c r="CN126" i="1"/>
  <c r="CM126" i="1"/>
  <c r="CM162" i="1" s="1"/>
  <c r="CL126" i="1"/>
  <c r="CL162" i="1" s="1"/>
  <c r="CK126" i="1"/>
  <c r="CJ126" i="1"/>
  <c r="CJ162" i="1" s="1"/>
  <c r="CI126" i="1"/>
  <c r="CI162" i="1" s="1"/>
  <c r="CH126" i="1"/>
  <c r="CG126" i="1"/>
  <c r="CG162" i="1" s="1"/>
  <c r="CF126" i="1"/>
  <c r="CF162" i="1" s="1"/>
  <c r="CE126" i="1"/>
  <c r="CD126" i="1"/>
  <c r="CD162" i="1" s="1"/>
  <c r="CC126" i="1"/>
  <c r="CC162" i="1" s="1"/>
  <c r="CB126" i="1"/>
  <c r="CA126" i="1"/>
  <c r="CA162" i="1" s="1"/>
  <c r="BZ126" i="1"/>
  <c r="BZ162" i="1" s="1"/>
  <c r="BY126" i="1"/>
  <c r="BX126" i="1"/>
  <c r="BX162" i="1" s="1"/>
  <c r="BW126" i="1"/>
  <c r="BW162" i="1" s="1"/>
  <c r="BV126" i="1"/>
  <c r="BU126" i="1"/>
  <c r="BU162" i="1" s="1"/>
  <c r="BT126" i="1"/>
  <c r="BT162" i="1" s="1"/>
  <c r="BS126" i="1"/>
  <c r="BR126" i="1"/>
  <c r="BR162" i="1" s="1"/>
  <c r="BQ126" i="1"/>
  <c r="BQ162" i="1" s="1"/>
  <c r="BP126" i="1"/>
  <c r="BO126" i="1"/>
  <c r="BO162" i="1" s="1"/>
  <c r="BN126" i="1"/>
  <c r="BN162" i="1" s="1"/>
  <c r="BM126" i="1"/>
  <c r="BL126" i="1"/>
  <c r="BL162" i="1" s="1"/>
  <c r="BK126" i="1"/>
  <c r="BK162" i="1" s="1"/>
  <c r="BJ126" i="1"/>
  <c r="BJ162" i="1" s="1"/>
  <c r="BI126" i="1"/>
  <c r="BI162" i="1" s="1"/>
  <c r="BH126" i="1"/>
  <c r="BH162" i="1" s="1"/>
  <c r="BG126" i="1"/>
  <c r="BF126" i="1"/>
  <c r="BF162" i="1" s="1"/>
  <c r="BE126" i="1"/>
  <c r="BE162" i="1" s="1"/>
  <c r="BD126" i="1"/>
  <c r="BC126" i="1"/>
  <c r="BC162" i="1" s="1"/>
  <c r="BB126" i="1"/>
  <c r="BB162" i="1" s="1"/>
  <c r="BA126" i="1"/>
  <c r="AZ126" i="1"/>
  <c r="AZ162" i="1" s="1"/>
  <c r="AY126" i="1"/>
  <c r="AY162" i="1" s="1"/>
  <c r="AX126" i="1"/>
  <c r="AW126" i="1"/>
  <c r="AW162" i="1" s="1"/>
  <c r="AV126" i="1"/>
  <c r="AV162" i="1" s="1"/>
  <c r="AU126" i="1"/>
  <c r="AT126" i="1"/>
  <c r="AT162" i="1" s="1"/>
  <c r="AS126" i="1"/>
  <c r="AS162" i="1" s="1"/>
  <c r="AR126" i="1"/>
  <c r="AQ126" i="1"/>
  <c r="AQ162" i="1" s="1"/>
  <c r="AP126" i="1"/>
  <c r="AP162" i="1" s="1"/>
  <c r="AO126" i="1"/>
  <c r="AN126" i="1"/>
  <c r="AN162" i="1" s="1"/>
  <c r="AM126" i="1"/>
  <c r="AM162" i="1" s="1"/>
  <c r="AL126" i="1"/>
  <c r="AL162" i="1" s="1"/>
  <c r="AK126" i="1"/>
  <c r="AK162" i="1" s="1"/>
  <c r="AJ126" i="1"/>
  <c r="AJ162" i="1" s="1"/>
  <c r="AI126" i="1"/>
  <c r="AH126" i="1"/>
  <c r="AH162" i="1" s="1"/>
  <c r="AG126" i="1"/>
  <c r="AG162" i="1" s="1"/>
  <c r="AF126" i="1"/>
  <c r="AE126" i="1"/>
  <c r="AE162" i="1" s="1"/>
  <c r="AD126" i="1"/>
  <c r="AD162" i="1" s="1"/>
  <c r="AC126" i="1"/>
  <c r="AB126" i="1"/>
  <c r="AB162" i="1" s="1"/>
  <c r="AA126" i="1"/>
  <c r="AA162" i="1" s="1"/>
  <c r="Z126" i="1"/>
  <c r="Z162" i="1" s="1"/>
  <c r="Y126" i="1"/>
  <c r="Y162" i="1" s="1"/>
  <c r="X126" i="1"/>
  <c r="X162" i="1" s="1"/>
  <c r="W126" i="1"/>
  <c r="V126" i="1"/>
  <c r="V162" i="1" s="1"/>
  <c r="U126" i="1"/>
  <c r="U162" i="1" s="1"/>
  <c r="T126" i="1"/>
  <c r="S126" i="1"/>
  <c r="S162" i="1" s="1"/>
  <c r="R126" i="1"/>
  <c r="R162" i="1" s="1"/>
  <c r="Q126" i="1"/>
  <c r="P126" i="1"/>
  <c r="P162" i="1" s="1"/>
  <c r="O126" i="1"/>
  <c r="O162" i="1" s="1"/>
  <c r="N126" i="1"/>
  <c r="M126" i="1"/>
  <c r="M162" i="1" s="1"/>
  <c r="L126" i="1"/>
  <c r="L162" i="1" s="1"/>
  <c r="K126" i="1"/>
  <c r="J126" i="1"/>
  <c r="J162" i="1" s="1"/>
  <c r="I126" i="1"/>
  <c r="I162" i="1" s="1"/>
  <c r="H126" i="1"/>
  <c r="G126" i="1"/>
  <c r="G162" i="1" s="1"/>
  <c r="F126" i="1"/>
  <c r="F162" i="1" s="1"/>
  <c r="E126" i="1"/>
  <c r="D126" i="1"/>
  <c r="C126" i="1"/>
  <c r="C162" i="1" s="1"/>
  <c r="B126" i="1"/>
  <c r="DB161" i="1"/>
  <c r="DA161" i="1"/>
  <c r="CY161" i="1"/>
  <c r="CX161" i="1"/>
  <c r="CV125" i="1"/>
  <c r="CV161" i="1" s="1"/>
  <c r="CU125" i="1"/>
  <c r="CU161" i="1" s="1"/>
  <c r="CT125" i="1"/>
  <c r="CS125" i="1"/>
  <c r="CS161" i="1" s="1"/>
  <c r="CR125" i="1"/>
  <c r="CR161" i="1" s="1"/>
  <c r="CQ125" i="1"/>
  <c r="CP125" i="1"/>
  <c r="CP161" i="1" s="1"/>
  <c r="CO125" i="1"/>
  <c r="CO161" i="1" s="1"/>
  <c r="CN125" i="1"/>
  <c r="CM125" i="1"/>
  <c r="CM161" i="1" s="1"/>
  <c r="CL125" i="1"/>
  <c r="CL161" i="1" s="1"/>
  <c r="CK125" i="1"/>
  <c r="CJ125" i="1"/>
  <c r="CJ161" i="1" s="1"/>
  <c r="CI125" i="1"/>
  <c r="CI161" i="1" s="1"/>
  <c r="CH125" i="1"/>
  <c r="CG125" i="1"/>
  <c r="CG161" i="1" s="1"/>
  <c r="CF125" i="1"/>
  <c r="CF161" i="1" s="1"/>
  <c r="CE125" i="1"/>
  <c r="CD125" i="1"/>
  <c r="CD161" i="1" s="1"/>
  <c r="CC125" i="1"/>
  <c r="CC161" i="1" s="1"/>
  <c r="CB125" i="1"/>
  <c r="CA125" i="1"/>
  <c r="CA161" i="1" s="1"/>
  <c r="BZ125" i="1"/>
  <c r="BZ161" i="1" s="1"/>
  <c r="BY125" i="1"/>
  <c r="BX125" i="1"/>
  <c r="BX161" i="1" s="1"/>
  <c r="BW125" i="1"/>
  <c r="BW161" i="1" s="1"/>
  <c r="BV125" i="1"/>
  <c r="BV161" i="1" s="1"/>
  <c r="BU125" i="1"/>
  <c r="BU161" i="1" s="1"/>
  <c r="BT125" i="1"/>
  <c r="BT161" i="1" s="1"/>
  <c r="BS125" i="1"/>
  <c r="BS161" i="1" s="1"/>
  <c r="BR125" i="1"/>
  <c r="BR161" i="1" s="1"/>
  <c r="BQ125" i="1"/>
  <c r="BQ161" i="1" s="1"/>
  <c r="BP125" i="1"/>
  <c r="BO125" i="1"/>
  <c r="BO161" i="1" s="1"/>
  <c r="BN125" i="1"/>
  <c r="BN161" i="1" s="1"/>
  <c r="BM125" i="1"/>
  <c r="BL125" i="1"/>
  <c r="BL161" i="1" s="1"/>
  <c r="BK125" i="1"/>
  <c r="BK161" i="1" s="1"/>
  <c r="BJ125" i="1"/>
  <c r="BI125" i="1"/>
  <c r="BI161" i="1" s="1"/>
  <c r="BH125" i="1"/>
  <c r="BH161" i="1" s="1"/>
  <c r="BG125" i="1"/>
  <c r="BF125" i="1"/>
  <c r="BF161" i="1" s="1"/>
  <c r="BE125" i="1"/>
  <c r="BE161" i="1" s="1"/>
  <c r="BD125" i="1"/>
  <c r="BC125" i="1"/>
  <c r="BC161" i="1" s="1"/>
  <c r="BB125" i="1"/>
  <c r="BB161" i="1" s="1"/>
  <c r="BA125" i="1"/>
  <c r="AZ125" i="1"/>
  <c r="AZ161" i="1" s="1"/>
  <c r="AY125" i="1"/>
  <c r="AY161" i="1" s="1"/>
  <c r="AX125" i="1"/>
  <c r="AX161" i="1" s="1"/>
  <c r="AW125" i="1"/>
  <c r="AW161" i="1" s="1"/>
  <c r="AV125" i="1"/>
  <c r="AV161" i="1" s="1"/>
  <c r="AU125" i="1"/>
  <c r="AT125" i="1"/>
  <c r="AT161" i="1" s="1"/>
  <c r="AS125" i="1"/>
  <c r="AS161" i="1" s="1"/>
  <c r="AR125" i="1"/>
  <c r="AR161" i="1" s="1"/>
  <c r="AQ125" i="1"/>
  <c r="AQ161" i="1" s="1"/>
  <c r="AP125" i="1"/>
  <c r="AP161" i="1" s="1"/>
  <c r="AO125" i="1"/>
  <c r="AN125" i="1"/>
  <c r="AN161" i="1" s="1"/>
  <c r="AM125" i="1"/>
  <c r="AM161" i="1" s="1"/>
  <c r="AL125" i="1"/>
  <c r="AK125" i="1"/>
  <c r="AK161" i="1" s="1"/>
  <c r="AJ125" i="1"/>
  <c r="AJ161" i="1" s="1"/>
  <c r="AI125" i="1"/>
  <c r="AH125" i="1"/>
  <c r="AH161" i="1" s="1"/>
  <c r="AG125" i="1"/>
  <c r="AG161" i="1" s="1"/>
  <c r="AF125" i="1"/>
  <c r="AE125" i="1"/>
  <c r="AE161" i="1" s="1"/>
  <c r="AD125" i="1"/>
  <c r="AD161" i="1" s="1"/>
  <c r="AC125" i="1"/>
  <c r="AB125" i="1"/>
  <c r="AB161" i="1" s="1"/>
  <c r="AA125" i="1"/>
  <c r="AA161" i="1" s="1"/>
  <c r="Z125" i="1"/>
  <c r="Y125" i="1"/>
  <c r="Y161" i="1" s="1"/>
  <c r="X125" i="1"/>
  <c r="X161" i="1" s="1"/>
  <c r="W125" i="1"/>
  <c r="W161" i="1" s="1"/>
  <c r="V125" i="1"/>
  <c r="V161" i="1" s="1"/>
  <c r="U125" i="1"/>
  <c r="U161" i="1" s="1"/>
  <c r="T125" i="1"/>
  <c r="S125" i="1"/>
  <c r="S161" i="1" s="1"/>
  <c r="R125" i="1"/>
  <c r="R161" i="1" s="1"/>
  <c r="Q125" i="1"/>
  <c r="Q161" i="1" s="1"/>
  <c r="P125" i="1"/>
  <c r="P161" i="1" s="1"/>
  <c r="O125" i="1"/>
  <c r="O161" i="1" s="1"/>
  <c r="N125" i="1"/>
  <c r="M125" i="1"/>
  <c r="M161" i="1" s="1"/>
  <c r="L125" i="1"/>
  <c r="L161" i="1" s="1"/>
  <c r="K125" i="1"/>
  <c r="J125" i="1"/>
  <c r="J161" i="1" s="1"/>
  <c r="I125" i="1"/>
  <c r="I161" i="1" s="1"/>
  <c r="H125" i="1"/>
  <c r="G125" i="1"/>
  <c r="G161" i="1" s="1"/>
  <c r="F125" i="1"/>
  <c r="F161" i="1" s="1"/>
  <c r="E125" i="1"/>
  <c r="D125" i="1"/>
  <c r="D161" i="1" s="1"/>
  <c r="C125" i="1"/>
  <c r="C161" i="1" s="1"/>
  <c r="B125" i="1"/>
  <c r="B161" i="1" s="1"/>
  <c r="DB160" i="1"/>
  <c r="CY160" i="1"/>
  <c r="CX160" i="1"/>
  <c r="CW160" i="1"/>
  <c r="AI57" i="9" s="1"/>
  <c r="CV124" i="1"/>
  <c r="CV160" i="1" s="1"/>
  <c r="CU124" i="1"/>
  <c r="CU160" i="1" s="1"/>
  <c r="CT124" i="1"/>
  <c r="CS124" i="1"/>
  <c r="CS160" i="1" s="1"/>
  <c r="CR124" i="1"/>
  <c r="CR160" i="1" s="1"/>
  <c r="CQ124" i="1"/>
  <c r="CP124" i="1"/>
  <c r="CP160" i="1" s="1"/>
  <c r="CO124" i="1"/>
  <c r="CO160" i="1" s="1"/>
  <c r="CN124" i="1"/>
  <c r="CM124" i="1"/>
  <c r="CM160" i="1" s="1"/>
  <c r="CL124" i="1"/>
  <c r="CL160" i="1" s="1"/>
  <c r="CK124" i="1"/>
  <c r="CJ124" i="1"/>
  <c r="CJ160" i="1" s="1"/>
  <c r="CI124" i="1"/>
  <c r="CI160" i="1" s="1"/>
  <c r="CH124" i="1"/>
  <c r="CG124" i="1"/>
  <c r="CG160" i="1" s="1"/>
  <c r="CF124" i="1"/>
  <c r="CF160" i="1" s="1"/>
  <c r="CE124" i="1"/>
  <c r="CD124" i="1"/>
  <c r="CD160" i="1" s="1"/>
  <c r="CC124" i="1"/>
  <c r="CC160" i="1" s="1"/>
  <c r="CB124" i="1"/>
  <c r="CA124" i="1"/>
  <c r="CA160" i="1" s="1"/>
  <c r="BZ124" i="1"/>
  <c r="BZ160" i="1" s="1"/>
  <c r="BY124" i="1"/>
  <c r="BX124" i="1"/>
  <c r="BX160" i="1" s="1"/>
  <c r="BW124" i="1"/>
  <c r="BW160" i="1" s="1"/>
  <c r="BV124" i="1"/>
  <c r="BU124" i="1"/>
  <c r="BU160" i="1" s="1"/>
  <c r="BT124" i="1"/>
  <c r="BT160" i="1" s="1"/>
  <c r="BS124" i="1"/>
  <c r="BR124" i="1"/>
  <c r="BR160" i="1" s="1"/>
  <c r="BQ124" i="1"/>
  <c r="BQ160" i="1" s="1"/>
  <c r="BP124" i="1"/>
  <c r="BO124" i="1"/>
  <c r="BO160" i="1" s="1"/>
  <c r="BN124" i="1"/>
  <c r="BN160" i="1" s="1"/>
  <c r="BM124" i="1"/>
  <c r="BL124" i="1"/>
  <c r="BL160" i="1" s="1"/>
  <c r="BK124" i="1"/>
  <c r="BK160" i="1" s="1"/>
  <c r="BJ124" i="1"/>
  <c r="BI124" i="1"/>
  <c r="BI160" i="1" s="1"/>
  <c r="BH124" i="1"/>
  <c r="BH160" i="1" s="1"/>
  <c r="BG124" i="1"/>
  <c r="BF124" i="1"/>
  <c r="BF160" i="1" s="1"/>
  <c r="BE124" i="1"/>
  <c r="BE160" i="1" s="1"/>
  <c r="BD124" i="1"/>
  <c r="BC124" i="1"/>
  <c r="BC160" i="1" s="1"/>
  <c r="BB124" i="1"/>
  <c r="BB160" i="1" s="1"/>
  <c r="BA124" i="1"/>
  <c r="AZ124" i="1"/>
  <c r="AZ160" i="1" s="1"/>
  <c r="AY124" i="1"/>
  <c r="AY160" i="1" s="1"/>
  <c r="AX124" i="1"/>
  <c r="AW124" i="1"/>
  <c r="AW160" i="1" s="1"/>
  <c r="AV124" i="1"/>
  <c r="AV160" i="1" s="1"/>
  <c r="AU124" i="1"/>
  <c r="AT124" i="1"/>
  <c r="AT160" i="1" s="1"/>
  <c r="AS124" i="1"/>
  <c r="AS160" i="1" s="1"/>
  <c r="AR124" i="1"/>
  <c r="AQ124" i="1"/>
  <c r="AQ160" i="1" s="1"/>
  <c r="AP124" i="1"/>
  <c r="AP160" i="1" s="1"/>
  <c r="AO124" i="1"/>
  <c r="AN124" i="1"/>
  <c r="AN160" i="1" s="1"/>
  <c r="AM124" i="1"/>
  <c r="AM160" i="1" s="1"/>
  <c r="AL124" i="1"/>
  <c r="AK124" i="1"/>
  <c r="AK160" i="1" s="1"/>
  <c r="AJ124" i="1"/>
  <c r="AJ160" i="1" s="1"/>
  <c r="AI124" i="1"/>
  <c r="AH124" i="1"/>
  <c r="AH160" i="1" s="1"/>
  <c r="AG124" i="1"/>
  <c r="AG160" i="1" s="1"/>
  <c r="AF124" i="1"/>
  <c r="AE124" i="1"/>
  <c r="AE160" i="1" s="1"/>
  <c r="AD124" i="1"/>
  <c r="AD160" i="1" s="1"/>
  <c r="AC124" i="1"/>
  <c r="AB124" i="1"/>
  <c r="AB160" i="1" s="1"/>
  <c r="AA124" i="1"/>
  <c r="AA160" i="1" s="1"/>
  <c r="Z124" i="1"/>
  <c r="Y124" i="1"/>
  <c r="Y160" i="1" s="1"/>
  <c r="X124" i="1"/>
  <c r="X160" i="1" s="1"/>
  <c r="W124" i="1"/>
  <c r="V124" i="1"/>
  <c r="V160" i="1" s="1"/>
  <c r="U124" i="1"/>
  <c r="U160" i="1" s="1"/>
  <c r="T124" i="1"/>
  <c r="S124" i="1"/>
  <c r="S160" i="1" s="1"/>
  <c r="R124" i="1"/>
  <c r="R160" i="1" s="1"/>
  <c r="Q124" i="1"/>
  <c r="P124" i="1"/>
  <c r="P160" i="1" s="1"/>
  <c r="O124" i="1"/>
  <c r="O160" i="1" s="1"/>
  <c r="N124" i="1"/>
  <c r="M124" i="1"/>
  <c r="M160" i="1" s="1"/>
  <c r="L124" i="1"/>
  <c r="L160" i="1" s="1"/>
  <c r="K124" i="1"/>
  <c r="J124" i="1"/>
  <c r="J160" i="1" s="1"/>
  <c r="I124" i="1"/>
  <c r="I160" i="1" s="1"/>
  <c r="H124" i="1"/>
  <c r="G124" i="1"/>
  <c r="G160" i="1" s="1"/>
  <c r="F124" i="1"/>
  <c r="E124" i="1"/>
  <c r="D124" i="1"/>
  <c r="D160" i="1" s="1"/>
  <c r="C124" i="1"/>
  <c r="C160" i="1" s="1"/>
  <c r="B124" i="1"/>
  <c r="DB159" i="1"/>
  <c r="DA159" i="1"/>
  <c r="CY159" i="1"/>
  <c r="CX159" i="1"/>
  <c r="CV123" i="1"/>
  <c r="CV159" i="1" s="1"/>
  <c r="CU123" i="1"/>
  <c r="CU159" i="1" s="1"/>
  <c r="CT123" i="1"/>
  <c r="CS123" i="1"/>
  <c r="CS159" i="1" s="1"/>
  <c r="CR123" i="1"/>
  <c r="CR159" i="1" s="1"/>
  <c r="CQ123" i="1"/>
  <c r="CP123" i="1"/>
  <c r="CP159" i="1" s="1"/>
  <c r="CO123" i="1"/>
  <c r="CO159" i="1" s="1"/>
  <c r="CN123" i="1"/>
  <c r="CM123" i="1"/>
  <c r="CM159" i="1" s="1"/>
  <c r="CL123" i="1"/>
  <c r="CL159" i="1" s="1"/>
  <c r="CK123" i="1"/>
  <c r="CJ123" i="1"/>
  <c r="CJ159" i="1" s="1"/>
  <c r="CI123" i="1"/>
  <c r="CI159" i="1" s="1"/>
  <c r="CH123" i="1"/>
  <c r="CG123" i="1"/>
  <c r="CG159" i="1" s="1"/>
  <c r="CF123" i="1"/>
  <c r="CF159" i="1" s="1"/>
  <c r="CE123" i="1"/>
  <c r="CD123" i="1"/>
  <c r="CD159" i="1" s="1"/>
  <c r="CC123" i="1"/>
  <c r="CC159" i="1" s="1"/>
  <c r="CB123" i="1"/>
  <c r="CA123" i="1"/>
  <c r="CA159" i="1" s="1"/>
  <c r="BZ123" i="1"/>
  <c r="BZ159" i="1" s="1"/>
  <c r="BY123" i="1"/>
  <c r="BX123" i="1"/>
  <c r="BX159" i="1" s="1"/>
  <c r="BW123" i="1"/>
  <c r="BW159" i="1" s="1"/>
  <c r="BV123" i="1"/>
  <c r="BU123" i="1"/>
  <c r="BU159" i="1" s="1"/>
  <c r="BT123" i="1"/>
  <c r="BT159" i="1" s="1"/>
  <c r="BS123" i="1"/>
  <c r="BR123" i="1"/>
  <c r="BR159" i="1" s="1"/>
  <c r="BQ123" i="1"/>
  <c r="BQ159" i="1" s="1"/>
  <c r="BP123" i="1"/>
  <c r="BO123" i="1"/>
  <c r="BO159" i="1" s="1"/>
  <c r="BN123" i="1"/>
  <c r="BN159" i="1" s="1"/>
  <c r="BM123" i="1"/>
  <c r="BL123" i="1"/>
  <c r="BL159" i="1" s="1"/>
  <c r="BK123" i="1"/>
  <c r="BK159" i="1" s="1"/>
  <c r="BJ123" i="1"/>
  <c r="BI123" i="1"/>
  <c r="BI159" i="1" s="1"/>
  <c r="BH123" i="1"/>
  <c r="BH159" i="1" s="1"/>
  <c r="BG123" i="1"/>
  <c r="BF123" i="1"/>
  <c r="BF159" i="1" s="1"/>
  <c r="BE123" i="1"/>
  <c r="BE159" i="1" s="1"/>
  <c r="BD123" i="1"/>
  <c r="BC123" i="1"/>
  <c r="BC159" i="1" s="1"/>
  <c r="BB123" i="1"/>
  <c r="BB159" i="1" s="1"/>
  <c r="BA123" i="1"/>
  <c r="BA159" i="1" s="1"/>
  <c r="AZ123" i="1"/>
  <c r="AZ159" i="1" s="1"/>
  <c r="AY123" i="1"/>
  <c r="AY159" i="1" s="1"/>
  <c r="AX123" i="1"/>
  <c r="AW123" i="1"/>
  <c r="AW159" i="1" s="1"/>
  <c r="AV123" i="1"/>
  <c r="AV159" i="1" s="1"/>
  <c r="AU123" i="1"/>
  <c r="AT123" i="1"/>
  <c r="AT159" i="1" s="1"/>
  <c r="AS123" i="1"/>
  <c r="AS159" i="1" s="1"/>
  <c r="AR123" i="1"/>
  <c r="AQ123" i="1"/>
  <c r="AQ159" i="1" s="1"/>
  <c r="AP123" i="1"/>
  <c r="AP159" i="1" s="1"/>
  <c r="AO123" i="1"/>
  <c r="AN123" i="1"/>
  <c r="AN159" i="1" s="1"/>
  <c r="AM123" i="1"/>
  <c r="AM159" i="1" s="1"/>
  <c r="AL123" i="1"/>
  <c r="AK123" i="1"/>
  <c r="AK159" i="1" s="1"/>
  <c r="AJ123" i="1"/>
  <c r="AJ159" i="1" s="1"/>
  <c r="AI123" i="1"/>
  <c r="AH123" i="1"/>
  <c r="AH159" i="1" s="1"/>
  <c r="AG123" i="1"/>
  <c r="AG159" i="1" s="1"/>
  <c r="AF123" i="1"/>
  <c r="AE123" i="1"/>
  <c r="AE159" i="1" s="1"/>
  <c r="AD123" i="1"/>
  <c r="AD159" i="1" s="1"/>
  <c r="AC123" i="1"/>
  <c r="AB123" i="1"/>
  <c r="AB159" i="1" s="1"/>
  <c r="AA123" i="1"/>
  <c r="AA159" i="1" s="1"/>
  <c r="Z123" i="1"/>
  <c r="Y123" i="1"/>
  <c r="Y159" i="1" s="1"/>
  <c r="X123" i="1"/>
  <c r="X159" i="1" s="1"/>
  <c r="W123" i="1"/>
  <c r="V123" i="1"/>
  <c r="V159" i="1" s="1"/>
  <c r="U123" i="1"/>
  <c r="U159" i="1" s="1"/>
  <c r="T123" i="1"/>
  <c r="S123" i="1"/>
  <c r="S159" i="1" s="1"/>
  <c r="R123" i="1"/>
  <c r="R159" i="1" s="1"/>
  <c r="Q123" i="1"/>
  <c r="P123" i="1"/>
  <c r="P159" i="1" s="1"/>
  <c r="O123" i="1"/>
  <c r="O159" i="1" s="1"/>
  <c r="N123" i="1"/>
  <c r="M123" i="1"/>
  <c r="M159" i="1" s="1"/>
  <c r="L123" i="1"/>
  <c r="L159" i="1" s="1"/>
  <c r="K123" i="1"/>
  <c r="J123" i="1"/>
  <c r="J159" i="1" s="1"/>
  <c r="I123" i="1"/>
  <c r="I159" i="1" s="1"/>
  <c r="H123" i="1"/>
  <c r="G123" i="1"/>
  <c r="F123" i="1"/>
  <c r="F159" i="1" s="1"/>
  <c r="E123" i="1"/>
  <c r="D123" i="1"/>
  <c r="D159" i="1" s="1"/>
  <c r="C123" i="1"/>
  <c r="C159" i="1" s="1"/>
  <c r="B123" i="1"/>
  <c r="DB158" i="1"/>
  <c r="CY158" i="1"/>
  <c r="CX158" i="1"/>
  <c r="CW158" i="1"/>
  <c r="CV122" i="1"/>
  <c r="CV158" i="1" s="1"/>
  <c r="CU122" i="1"/>
  <c r="CU158" i="1" s="1"/>
  <c r="CT122" i="1"/>
  <c r="CS122" i="1"/>
  <c r="CS158" i="1" s="1"/>
  <c r="CR122" i="1"/>
  <c r="CR158" i="1" s="1"/>
  <c r="CQ122" i="1"/>
  <c r="CP122" i="1"/>
  <c r="CP158" i="1" s="1"/>
  <c r="CO122" i="1"/>
  <c r="CO158" i="1" s="1"/>
  <c r="CN122" i="1"/>
  <c r="CM122" i="1"/>
  <c r="CM158" i="1" s="1"/>
  <c r="CL122" i="1"/>
  <c r="CL158" i="1" s="1"/>
  <c r="CK122" i="1"/>
  <c r="CJ122" i="1"/>
  <c r="CJ158" i="1" s="1"/>
  <c r="CI122" i="1"/>
  <c r="CI158" i="1" s="1"/>
  <c r="CH122" i="1"/>
  <c r="CG122" i="1"/>
  <c r="CG158" i="1" s="1"/>
  <c r="CF122" i="1"/>
  <c r="CF158" i="1" s="1"/>
  <c r="CE122" i="1"/>
  <c r="CD122" i="1"/>
  <c r="CD158" i="1" s="1"/>
  <c r="CC122" i="1"/>
  <c r="CC158" i="1" s="1"/>
  <c r="CB122" i="1"/>
  <c r="CA122" i="1"/>
  <c r="CA158" i="1" s="1"/>
  <c r="BZ122" i="1"/>
  <c r="BZ158" i="1" s="1"/>
  <c r="BY122" i="1"/>
  <c r="BY158" i="1" s="1"/>
  <c r="BX122" i="1"/>
  <c r="BX158" i="1" s="1"/>
  <c r="BW122" i="1"/>
  <c r="BW158" i="1" s="1"/>
  <c r="BV122" i="1"/>
  <c r="BU122" i="1"/>
  <c r="BU158" i="1" s="1"/>
  <c r="BT122" i="1"/>
  <c r="BT158" i="1" s="1"/>
  <c r="BS122" i="1"/>
  <c r="BR122" i="1"/>
  <c r="BR158" i="1" s="1"/>
  <c r="BQ122" i="1"/>
  <c r="BQ158" i="1" s="1"/>
  <c r="BP122" i="1"/>
  <c r="BO122" i="1"/>
  <c r="BO158" i="1" s="1"/>
  <c r="BN122" i="1"/>
  <c r="BN158" i="1" s="1"/>
  <c r="BM122" i="1"/>
  <c r="BM158" i="1" s="1"/>
  <c r="BL122" i="1"/>
  <c r="BL158" i="1" s="1"/>
  <c r="BK122" i="1"/>
  <c r="BK158" i="1" s="1"/>
  <c r="BJ122" i="1"/>
  <c r="BI122" i="1"/>
  <c r="BI158" i="1" s="1"/>
  <c r="BH122" i="1"/>
  <c r="BH158" i="1" s="1"/>
  <c r="BG122" i="1"/>
  <c r="BG158" i="1" s="1"/>
  <c r="BF122" i="1"/>
  <c r="BF158" i="1" s="1"/>
  <c r="BE122" i="1"/>
  <c r="BE158" i="1" s="1"/>
  <c r="BD122" i="1"/>
  <c r="BC122" i="1"/>
  <c r="BC158" i="1" s="1"/>
  <c r="BB122" i="1"/>
  <c r="BB158" i="1" s="1"/>
  <c r="BA122" i="1"/>
  <c r="AZ122" i="1"/>
  <c r="AZ158" i="1" s="1"/>
  <c r="AY122" i="1"/>
  <c r="AY158" i="1" s="1"/>
  <c r="AX122" i="1"/>
  <c r="AW122" i="1"/>
  <c r="AW158" i="1" s="1"/>
  <c r="AV122" i="1"/>
  <c r="AV158" i="1" s="1"/>
  <c r="AU122" i="1"/>
  <c r="AT122" i="1"/>
  <c r="AT158" i="1" s="1"/>
  <c r="AS122" i="1"/>
  <c r="AS158" i="1" s="1"/>
  <c r="AR122" i="1"/>
  <c r="AQ122" i="1"/>
  <c r="AQ158" i="1" s="1"/>
  <c r="AP122" i="1"/>
  <c r="AP158" i="1" s="1"/>
  <c r="AO122" i="1"/>
  <c r="AO158" i="1" s="1"/>
  <c r="AN122" i="1"/>
  <c r="AN158" i="1" s="1"/>
  <c r="AM122" i="1"/>
  <c r="AM158" i="1" s="1"/>
  <c r="AL122" i="1"/>
  <c r="AK122" i="1"/>
  <c r="AK158" i="1" s="1"/>
  <c r="AJ122" i="1"/>
  <c r="AJ158" i="1" s="1"/>
  <c r="AI122" i="1"/>
  <c r="AH122" i="1"/>
  <c r="AH158" i="1" s="1"/>
  <c r="AG122" i="1"/>
  <c r="AG158" i="1" s="1"/>
  <c r="AF122" i="1"/>
  <c r="AE122" i="1"/>
  <c r="AE158" i="1" s="1"/>
  <c r="AD122" i="1"/>
  <c r="AD158" i="1" s="1"/>
  <c r="AC122" i="1"/>
  <c r="AC158" i="1" s="1"/>
  <c r="AB122" i="1"/>
  <c r="AB158" i="1" s="1"/>
  <c r="AA122" i="1"/>
  <c r="AA158" i="1" s="1"/>
  <c r="Z122" i="1"/>
  <c r="Y122" i="1"/>
  <c r="Y158" i="1" s="1"/>
  <c r="X122" i="1"/>
  <c r="X158" i="1" s="1"/>
  <c r="W122" i="1"/>
  <c r="V122" i="1"/>
  <c r="V158" i="1" s="1"/>
  <c r="U122" i="1"/>
  <c r="U158" i="1" s="1"/>
  <c r="T122" i="1"/>
  <c r="S122" i="1"/>
  <c r="S158" i="1" s="1"/>
  <c r="R122" i="1"/>
  <c r="R158" i="1" s="1"/>
  <c r="Q122" i="1"/>
  <c r="P122" i="1"/>
  <c r="P158" i="1" s="1"/>
  <c r="O122" i="1"/>
  <c r="O158" i="1" s="1"/>
  <c r="N122" i="1"/>
  <c r="M122" i="1"/>
  <c r="M158" i="1" s="1"/>
  <c r="L122" i="1"/>
  <c r="L158" i="1" s="1"/>
  <c r="K122" i="1"/>
  <c r="J122" i="1"/>
  <c r="J158" i="1" s="1"/>
  <c r="I122" i="1"/>
  <c r="I158" i="1" s="1"/>
  <c r="H122" i="1"/>
  <c r="G122" i="1"/>
  <c r="G158" i="1" s="1"/>
  <c r="F122" i="1"/>
  <c r="F158" i="1" s="1"/>
  <c r="E122" i="1"/>
  <c r="D122" i="1"/>
  <c r="D158" i="1" s="1"/>
  <c r="C122" i="1"/>
  <c r="C158" i="1" s="1"/>
  <c r="B122" i="1"/>
  <c r="DB157" i="1"/>
  <c r="DA157" i="1"/>
  <c r="CY157" i="1"/>
  <c r="CX157" i="1"/>
  <c r="CV121" i="1"/>
  <c r="CV157" i="1" s="1"/>
  <c r="CU121" i="1"/>
  <c r="CU157" i="1" s="1"/>
  <c r="CT121" i="1"/>
  <c r="CS121" i="1"/>
  <c r="CS157" i="1" s="1"/>
  <c r="CR121" i="1"/>
  <c r="CR157" i="1" s="1"/>
  <c r="CQ121" i="1"/>
  <c r="CP121" i="1"/>
  <c r="CP157" i="1" s="1"/>
  <c r="CO121" i="1"/>
  <c r="CO157" i="1" s="1"/>
  <c r="CN121" i="1"/>
  <c r="CM121" i="1"/>
  <c r="CM157" i="1" s="1"/>
  <c r="CL121" i="1"/>
  <c r="CL157" i="1" s="1"/>
  <c r="CK121" i="1"/>
  <c r="CJ121" i="1"/>
  <c r="CJ157" i="1" s="1"/>
  <c r="CI121" i="1"/>
  <c r="CI157" i="1" s="1"/>
  <c r="CH121" i="1"/>
  <c r="CG121" i="1"/>
  <c r="CG157" i="1" s="1"/>
  <c r="CF121" i="1"/>
  <c r="CF157" i="1" s="1"/>
  <c r="CE121" i="1"/>
  <c r="CD121" i="1"/>
  <c r="CD157" i="1" s="1"/>
  <c r="CC121" i="1"/>
  <c r="CC157" i="1" s="1"/>
  <c r="CB121" i="1"/>
  <c r="CA121" i="1"/>
  <c r="CA157" i="1" s="1"/>
  <c r="BZ121" i="1"/>
  <c r="BZ157" i="1" s="1"/>
  <c r="BY121" i="1"/>
  <c r="BX121" i="1"/>
  <c r="BX157" i="1" s="1"/>
  <c r="BW121" i="1"/>
  <c r="BW157" i="1" s="1"/>
  <c r="BV121" i="1"/>
  <c r="BU121" i="1"/>
  <c r="BU157" i="1" s="1"/>
  <c r="BT121" i="1"/>
  <c r="BT157" i="1" s="1"/>
  <c r="BS121" i="1"/>
  <c r="BR121" i="1"/>
  <c r="BR157" i="1" s="1"/>
  <c r="BQ121" i="1"/>
  <c r="BQ157" i="1" s="1"/>
  <c r="BP121" i="1"/>
  <c r="BO121" i="1"/>
  <c r="BO157" i="1" s="1"/>
  <c r="BN121" i="1"/>
  <c r="BN157" i="1" s="1"/>
  <c r="BM121" i="1"/>
  <c r="BL121" i="1"/>
  <c r="BL157" i="1" s="1"/>
  <c r="BK121" i="1"/>
  <c r="BK157" i="1" s="1"/>
  <c r="BJ121" i="1"/>
  <c r="BI121" i="1"/>
  <c r="BI157" i="1" s="1"/>
  <c r="BH121" i="1"/>
  <c r="BH157" i="1" s="1"/>
  <c r="BG121" i="1"/>
  <c r="BF121" i="1"/>
  <c r="BF157" i="1" s="1"/>
  <c r="BE121" i="1"/>
  <c r="BE157" i="1" s="1"/>
  <c r="BD121" i="1"/>
  <c r="BC121" i="1"/>
  <c r="BC157" i="1" s="1"/>
  <c r="BB121" i="1"/>
  <c r="BB157" i="1" s="1"/>
  <c r="BA121" i="1"/>
  <c r="AZ121" i="1"/>
  <c r="AZ157" i="1" s="1"/>
  <c r="AY121" i="1"/>
  <c r="AY157" i="1" s="1"/>
  <c r="AX121" i="1"/>
  <c r="AW121" i="1"/>
  <c r="AW157" i="1" s="1"/>
  <c r="AV121" i="1"/>
  <c r="AV157" i="1" s="1"/>
  <c r="AU121" i="1"/>
  <c r="AT121" i="1"/>
  <c r="AT157" i="1" s="1"/>
  <c r="AS121" i="1"/>
  <c r="AS157" i="1" s="1"/>
  <c r="AR121" i="1"/>
  <c r="AQ121" i="1"/>
  <c r="AQ157" i="1" s="1"/>
  <c r="AP121" i="1"/>
  <c r="AP157" i="1" s="1"/>
  <c r="AO121" i="1"/>
  <c r="AN121" i="1"/>
  <c r="AN157" i="1" s="1"/>
  <c r="AM121" i="1"/>
  <c r="AM157" i="1" s="1"/>
  <c r="AL121" i="1"/>
  <c r="AK121" i="1"/>
  <c r="AK157" i="1" s="1"/>
  <c r="AJ121" i="1"/>
  <c r="AJ157" i="1" s="1"/>
  <c r="AI121" i="1"/>
  <c r="AH121" i="1"/>
  <c r="AH157" i="1" s="1"/>
  <c r="AG121" i="1"/>
  <c r="AG157" i="1" s="1"/>
  <c r="AF121" i="1"/>
  <c r="AE121" i="1"/>
  <c r="AE157" i="1" s="1"/>
  <c r="AD121" i="1"/>
  <c r="AD157" i="1" s="1"/>
  <c r="AC121" i="1"/>
  <c r="AB121" i="1"/>
  <c r="AB157" i="1" s="1"/>
  <c r="AA121" i="1"/>
  <c r="AA157" i="1" s="1"/>
  <c r="Z121" i="1"/>
  <c r="Y121" i="1"/>
  <c r="Y157" i="1" s="1"/>
  <c r="X121" i="1"/>
  <c r="X157" i="1" s="1"/>
  <c r="W121" i="1"/>
  <c r="V121" i="1"/>
  <c r="V157" i="1" s="1"/>
  <c r="U121" i="1"/>
  <c r="U157" i="1" s="1"/>
  <c r="T121" i="1"/>
  <c r="S121" i="1"/>
  <c r="S157" i="1" s="1"/>
  <c r="R121" i="1"/>
  <c r="R157" i="1" s="1"/>
  <c r="Q121" i="1"/>
  <c r="P121" i="1"/>
  <c r="P157" i="1" s="1"/>
  <c r="O121" i="1"/>
  <c r="O157" i="1" s="1"/>
  <c r="N121" i="1"/>
  <c r="M121" i="1"/>
  <c r="M157" i="1" s="1"/>
  <c r="L121" i="1"/>
  <c r="L157" i="1" s="1"/>
  <c r="K121" i="1"/>
  <c r="K157" i="1" s="1"/>
  <c r="J121" i="1"/>
  <c r="J157" i="1" s="1"/>
  <c r="I121" i="1"/>
  <c r="I157" i="1" s="1"/>
  <c r="H121" i="1"/>
  <c r="G121" i="1"/>
  <c r="G157" i="1" s="1"/>
  <c r="F121" i="1"/>
  <c r="F157" i="1" s="1"/>
  <c r="E121" i="1"/>
  <c r="D121" i="1"/>
  <c r="D157" i="1" s="1"/>
  <c r="C121" i="1"/>
  <c r="B121" i="1"/>
  <c r="DB156" i="1"/>
  <c r="CY156" i="1"/>
  <c r="CX156" i="1"/>
  <c r="CV120" i="1"/>
  <c r="CV156" i="1" s="1"/>
  <c r="CU120" i="1"/>
  <c r="CU156" i="1" s="1"/>
  <c r="CT120" i="1"/>
  <c r="CS120" i="1"/>
  <c r="CS156" i="1" s="1"/>
  <c r="CR120" i="1"/>
  <c r="CR156" i="1" s="1"/>
  <c r="CQ120" i="1"/>
  <c r="CP120" i="1"/>
  <c r="CP156" i="1" s="1"/>
  <c r="CO120" i="1"/>
  <c r="CO156" i="1" s="1"/>
  <c r="CN120" i="1"/>
  <c r="CM120" i="1"/>
  <c r="CM156" i="1" s="1"/>
  <c r="CL120" i="1"/>
  <c r="CL156" i="1" s="1"/>
  <c r="CK120" i="1"/>
  <c r="CJ120" i="1"/>
  <c r="CJ156" i="1" s="1"/>
  <c r="CI120" i="1"/>
  <c r="CI156" i="1" s="1"/>
  <c r="CH120" i="1"/>
  <c r="CG120" i="1"/>
  <c r="CG156" i="1" s="1"/>
  <c r="CF120" i="1"/>
  <c r="CF156" i="1" s="1"/>
  <c r="CE120" i="1"/>
  <c r="CD120" i="1"/>
  <c r="CD156" i="1" s="1"/>
  <c r="CC120" i="1"/>
  <c r="CC156" i="1" s="1"/>
  <c r="CB120" i="1"/>
  <c r="CA120" i="1"/>
  <c r="CA156" i="1" s="1"/>
  <c r="BZ120" i="1"/>
  <c r="BZ156" i="1" s="1"/>
  <c r="BY120" i="1"/>
  <c r="BX120" i="1"/>
  <c r="BX156" i="1" s="1"/>
  <c r="BW120" i="1"/>
  <c r="BW156" i="1" s="1"/>
  <c r="BV120" i="1"/>
  <c r="BU120" i="1"/>
  <c r="BU156" i="1" s="1"/>
  <c r="BT120" i="1"/>
  <c r="BT156" i="1" s="1"/>
  <c r="BS120" i="1"/>
  <c r="BR120" i="1"/>
  <c r="BR156" i="1" s="1"/>
  <c r="BQ120" i="1"/>
  <c r="BQ156" i="1" s="1"/>
  <c r="BP120" i="1"/>
  <c r="BO120" i="1"/>
  <c r="BO156" i="1" s="1"/>
  <c r="BN120" i="1"/>
  <c r="BN156" i="1" s="1"/>
  <c r="BM120" i="1"/>
  <c r="BL120" i="1"/>
  <c r="BL156" i="1" s="1"/>
  <c r="BK120" i="1"/>
  <c r="BK156" i="1" s="1"/>
  <c r="BJ120" i="1"/>
  <c r="BI120" i="1"/>
  <c r="BI156" i="1" s="1"/>
  <c r="BH120" i="1"/>
  <c r="BH156" i="1" s="1"/>
  <c r="BG120" i="1"/>
  <c r="BF120" i="1"/>
  <c r="BF156" i="1" s="1"/>
  <c r="BE120" i="1"/>
  <c r="BE156" i="1" s="1"/>
  <c r="BD120" i="1"/>
  <c r="BC120" i="1"/>
  <c r="BC156" i="1" s="1"/>
  <c r="BB120" i="1"/>
  <c r="BB156" i="1" s="1"/>
  <c r="BA120" i="1"/>
  <c r="AZ120" i="1"/>
  <c r="AZ156" i="1" s="1"/>
  <c r="AY120" i="1"/>
  <c r="AY156" i="1" s="1"/>
  <c r="AX120" i="1"/>
  <c r="AW120" i="1"/>
  <c r="AW156" i="1" s="1"/>
  <c r="AV120" i="1"/>
  <c r="AV156" i="1" s="1"/>
  <c r="AU120" i="1"/>
  <c r="AT120" i="1"/>
  <c r="AT156" i="1" s="1"/>
  <c r="AS120" i="1"/>
  <c r="AS156" i="1" s="1"/>
  <c r="AR120" i="1"/>
  <c r="AQ120" i="1"/>
  <c r="AQ156" i="1" s="1"/>
  <c r="AP120" i="1"/>
  <c r="AP156" i="1" s="1"/>
  <c r="AO120" i="1"/>
  <c r="AN120" i="1"/>
  <c r="AN156" i="1" s="1"/>
  <c r="AM120" i="1"/>
  <c r="AM156" i="1" s="1"/>
  <c r="AL120" i="1"/>
  <c r="AK120" i="1"/>
  <c r="AK156" i="1" s="1"/>
  <c r="AJ120" i="1"/>
  <c r="AJ156" i="1" s="1"/>
  <c r="AI120" i="1"/>
  <c r="AH120" i="1"/>
  <c r="AH156" i="1" s="1"/>
  <c r="AG120" i="1"/>
  <c r="AG156" i="1" s="1"/>
  <c r="AF120" i="1"/>
  <c r="AE120" i="1"/>
  <c r="AE156" i="1" s="1"/>
  <c r="AD120" i="1"/>
  <c r="AD156" i="1" s="1"/>
  <c r="AC120" i="1"/>
  <c r="AB120" i="1"/>
  <c r="AB156" i="1" s="1"/>
  <c r="AA120" i="1"/>
  <c r="AA156" i="1" s="1"/>
  <c r="Z120" i="1"/>
  <c r="Y120" i="1"/>
  <c r="Y156" i="1" s="1"/>
  <c r="X120" i="1"/>
  <c r="X156" i="1" s="1"/>
  <c r="W120" i="1"/>
  <c r="V120" i="1"/>
  <c r="V156" i="1" s="1"/>
  <c r="U120" i="1"/>
  <c r="U156" i="1" s="1"/>
  <c r="T120" i="1"/>
  <c r="S120" i="1"/>
  <c r="S156" i="1" s="1"/>
  <c r="R120" i="1"/>
  <c r="R156" i="1" s="1"/>
  <c r="Q120" i="1"/>
  <c r="P120" i="1"/>
  <c r="P156" i="1" s="1"/>
  <c r="O120" i="1"/>
  <c r="O156" i="1" s="1"/>
  <c r="N120" i="1"/>
  <c r="M120" i="1"/>
  <c r="M156" i="1" s="1"/>
  <c r="L120" i="1"/>
  <c r="L156" i="1" s="1"/>
  <c r="K120" i="1"/>
  <c r="J120" i="1"/>
  <c r="J156" i="1" s="1"/>
  <c r="I120" i="1"/>
  <c r="I156" i="1" s="1"/>
  <c r="H120" i="1"/>
  <c r="G120" i="1"/>
  <c r="G156" i="1" s="1"/>
  <c r="F120" i="1"/>
  <c r="F156" i="1" s="1"/>
  <c r="E120" i="1"/>
  <c r="E156" i="1" s="1"/>
  <c r="D120" i="1"/>
  <c r="C120" i="1"/>
  <c r="C156" i="1" s="1"/>
  <c r="B120" i="1"/>
  <c r="DB155" i="1"/>
  <c r="DA155" i="1"/>
  <c r="CZ155" i="1"/>
  <c r="CY155" i="1"/>
  <c r="CX155" i="1"/>
  <c r="CV119" i="1"/>
  <c r="CV155" i="1" s="1"/>
  <c r="CU119" i="1"/>
  <c r="CU155" i="1" s="1"/>
  <c r="CT119" i="1"/>
  <c r="CS119" i="1"/>
  <c r="CS155" i="1" s="1"/>
  <c r="CR119" i="1"/>
  <c r="CR155" i="1" s="1"/>
  <c r="CQ119" i="1"/>
  <c r="CP119" i="1"/>
  <c r="CP155" i="1" s="1"/>
  <c r="CO119" i="1"/>
  <c r="CO155" i="1" s="1"/>
  <c r="CN119" i="1"/>
  <c r="CN155" i="1" s="1"/>
  <c r="CM119" i="1"/>
  <c r="CM155" i="1" s="1"/>
  <c r="CL119" i="1"/>
  <c r="CL155" i="1" s="1"/>
  <c r="CK119" i="1"/>
  <c r="CJ119" i="1"/>
  <c r="CJ155" i="1" s="1"/>
  <c r="CI119" i="1"/>
  <c r="CI155" i="1" s="1"/>
  <c r="CH119" i="1"/>
  <c r="CG119" i="1"/>
  <c r="CG155" i="1" s="1"/>
  <c r="CF119" i="1"/>
  <c r="CF155" i="1" s="1"/>
  <c r="CE119" i="1"/>
  <c r="CD119" i="1"/>
  <c r="CD155" i="1" s="1"/>
  <c r="CC119" i="1"/>
  <c r="CC155" i="1" s="1"/>
  <c r="CB119" i="1"/>
  <c r="CA119" i="1"/>
  <c r="CA155" i="1" s="1"/>
  <c r="BZ119" i="1"/>
  <c r="BZ155" i="1" s="1"/>
  <c r="BY119" i="1"/>
  <c r="BX119" i="1"/>
  <c r="BX155" i="1" s="1"/>
  <c r="BW119" i="1"/>
  <c r="BW155" i="1" s="1"/>
  <c r="BV119" i="1"/>
  <c r="BU119" i="1"/>
  <c r="BU155" i="1" s="1"/>
  <c r="BT119" i="1"/>
  <c r="BT155" i="1" s="1"/>
  <c r="BS119" i="1"/>
  <c r="BR119" i="1"/>
  <c r="BR155" i="1" s="1"/>
  <c r="BQ119" i="1"/>
  <c r="BQ155" i="1" s="1"/>
  <c r="BP119" i="1"/>
  <c r="BO119" i="1"/>
  <c r="BO155" i="1" s="1"/>
  <c r="BN119" i="1"/>
  <c r="BN155" i="1" s="1"/>
  <c r="BM119" i="1"/>
  <c r="BL119" i="1"/>
  <c r="BL155" i="1" s="1"/>
  <c r="BK119" i="1"/>
  <c r="BK155" i="1" s="1"/>
  <c r="BJ119" i="1"/>
  <c r="BI119" i="1"/>
  <c r="BI155" i="1" s="1"/>
  <c r="BH119" i="1"/>
  <c r="BH155" i="1" s="1"/>
  <c r="BG119" i="1"/>
  <c r="BF119" i="1"/>
  <c r="BF155" i="1" s="1"/>
  <c r="BE119" i="1"/>
  <c r="BE155" i="1" s="1"/>
  <c r="BD119" i="1"/>
  <c r="BD155" i="1" s="1"/>
  <c r="BC119" i="1"/>
  <c r="BC155" i="1" s="1"/>
  <c r="BB119" i="1"/>
  <c r="BB155" i="1" s="1"/>
  <c r="BA119" i="1"/>
  <c r="AZ119" i="1"/>
  <c r="AZ155" i="1" s="1"/>
  <c r="AY119" i="1"/>
  <c r="AY155" i="1" s="1"/>
  <c r="AX119" i="1"/>
  <c r="AW119" i="1"/>
  <c r="AW155" i="1" s="1"/>
  <c r="AV119" i="1"/>
  <c r="AV155" i="1" s="1"/>
  <c r="AU119" i="1"/>
  <c r="AT119" i="1"/>
  <c r="AT155" i="1" s="1"/>
  <c r="AS119" i="1"/>
  <c r="AS155" i="1" s="1"/>
  <c r="AR119" i="1"/>
  <c r="AQ119" i="1"/>
  <c r="AQ155" i="1" s="1"/>
  <c r="AP119" i="1"/>
  <c r="AP155" i="1" s="1"/>
  <c r="AO119" i="1"/>
  <c r="AN119" i="1"/>
  <c r="AN155" i="1" s="1"/>
  <c r="AM119" i="1"/>
  <c r="AM155" i="1" s="1"/>
  <c r="AL119" i="1"/>
  <c r="AK119" i="1"/>
  <c r="AK155" i="1" s="1"/>
  <c r="AJ119" i="1"/>
  <c r="AJ155" i="1" s="1"/>
  <c r="AI119" i="1"/>
  <c r="AH119" i="1"/>
  <c r="AH155" i="1" s="1"/>
  <c r="AG119" i="1"/>
  <c r="AG155" i="1" s="1"/>
  <c r="AF119" i="1"/>
  <c r="AE119" i="1"/>
  <c r="AE155" i="1" s="1"/>
  <c r="AD119" i="1"/>
  <c r="AD155" i="1" s="1"/>
  <c r="AC119" i="1"/>
  <c r="AB119" i="1"/>
  <c r="AB155" i="1" s="1"/>
  <c r="AA119" i="1"/>
  <c r="AA155" i="1" s="1"/>
  <c r="Z119" i="1"/>
  <c r="Y119" i="1"/>
  <c r="Y155" i="1" s="1"/>
  <c r="X119" i="1"/>
  <c r="X155" i="1" s="1"/>
  <c r="W119" i="1"/>
  <c r="V119" i="1"/>
  <c r="V155" i="1" s="1"/>
  <c r="U119" i="1"/>
  <c r="U155" i="1" s="1"/>
  <c r="T119" i="1"/>
  <c r="S119" i="1"/>
  <c r="S155" i="1" s="1"/>
  <c r="R119" i="1"/>
  <c r="R155" i="1" s="1"/>
  <c r="Q119" i="1"/>
  <c r="P119" i="1"/>
  <c r="P155" i="1" s="1"/>
  <c r="O119" i="1"/>
  <c r="O155" i="1" s="1"/>
  <c r="N119" i="1"/>
  <c r="M119" i="1"/>
  <c r="M155" i="1" s="1"/>
  <c r="L119" i="1"/>
  <c r="L155" i="1" s="1"/>
  <c r="K119" i="1"/>
  <c r="J119" i="1"/>
  <c r="J155" i="1" s="1"/>
  <c r="I119" i="1"/>
  <c r="I155" i="1" s="1"/>
  <c r="H119" i="1"/>
  <c r="G119" i="1"/>
  <c r="G155" i="1" s="1"/>
  <c r="F119" i="1"/>
  <c r="F155" i="1" s="1"/>
  <c r="E119" i="1"/>
  <c r="D119" i="1"/>
  <c r="D155" i="1" s="1"/>
  <c r="C119" i="1"/>
  <c r="C155" i="1" s="1"/>
  <c r="B119" i="1"/>
  <c r="DB154" i="1"/>
  <c r="DA154" i="1"/>
  <c r="CY154" i="1"/>
  <c r="CX154" i="1"/>
  <c r="CV118" i="1"/>
  <c r="CV154" i="1" s="1"/>
  <c r="CU118" i="1"/>
  <c r="CU154" i="1" s="1"/>
  <c r="CT118" i="1"/>
  <c r="CS118" i="1"/>
  <c r="CS154" i="1" s="1"/>
  <c r="CR118" i="1"/>
  <c r="CR154" i="1" s="1"/>
  <c r="CQ118" i="1"/>
  <c r="CP118" i="1"/>
  <c r="CP154" i="1" s="1"/>
  <c r="CO118" i="1"/>
  <c r="CO154" i="1" s="1"/>
  <c r="CN118" i="1"/>
  <c r="CM118" i="1"/>
  <c r="CM154" i="1" s="1"/>
  <c r="CL118" i="1"/>
  <c r="CL154" i="1" s="1"/>
  <c r="CK118" i="1"/>
  <c r="CJ118" i="1"/>
  <c r="CJ154" i="1" s="1"/>
  <c r="CI118" i="1"/>
  <c r="CI154" i="1" s="1"/>
  <c r="CH118" i="1"/>
  <c r="CG118" i="1"/>
  <c r="CG154" i="1" s="1"/>
  <c r="CF118" i="1"/>
  <c r="CF154" i="1" s="1"/>
  <c r="CE118" i="1"/>
  <c r="CD118" i="1"/>
  <c r="CD154" i="1" s="1"/>
  <c r="CC118" i="1"/>
  <c r="CC154" i="1" s="1"/>
  <c r="CB118" i="1"/>
  <c r="CA118" i="1"/>
  <c r="CA154" i="1" s="1"/>
  <c r="BZ118" i="1"/>
  <c r="BZ154" i="1" s="1"/>
  <c r="BY118" i="1"/>
  <c r="BX118" i="1"/>
  <c r="BX154" i="1" s="1"/>
  <c r="BW118" i="1"/>
  <c r="BW154" i="1" s="1"/>
  <c r="BV118" i="1"/>
  <c r="BU118" i="1"/>
  <c r="BU154" i="1" s="1"/>
  <c r="BT118" i="1"/>
  <c r="BT154" i="1" s="1"/>
  <c r="BS118" i="1"/>
  <c r="BR118" i="1"/>
  <c r="BR154" i="1" s="1"/>
  <c r="BQ118" i="1"/>
  <c r="BQ154" i="1" s="1"/>
  <c r="BP118" i="1"/>
  <c r="BO118" i="1"/>
  <c r="BO154" i="1" s="1"/>
  <c r="BN118" i="1"/>
  <c r="BN154" i="1" s="1"/>
  <c r="BM118" i="1"/>
  <c r="BL118" i="1"/>
  <c r="BL154" i="1" s="1"/>
  <c r="BK118" i="1"/>
  <c r="BK154" i="1" s="1"/>
  <c r="BJ118" i="1"/>
  <c r="BI118" i="1"/>
  <c r="BI154" i="1" s="1"/>
  <c r="BH118" i="1"/>
  <c r="BH154" i="1" s="1"/>
  <c r="BG118" i="1"/>
  <c r="BF118" i="1"/>
  <c r="BF154" i="1" s="1"/>
  <c r="BE118" i="1"/>
  <c r="BE154" i="1" s="1"/>
  <c r="BD118" i="1"/>
  <c r="BC118" i="1"/>
  <c r="BC154" i="1" s="1"/>
  <c r="BB118" i="1"/>
  <c r="BB154" i="1" s="1"/>
  <c r="BA118" i="1"/>
  <c r="AZ118" i="1"/>
  <c r="AZ154" i="1" s="1"/>
  <c r="AY118" i="1"/>
  <c r="AY154" i="1" s="1"/>
  <c r="AX118" i="1"/>
  <c r="AW118" i="1"/>
  <c r="AW154" i="1" s="1"/>
  <c r="AV118" i="1"/>
  <c r="AV154" i="1" s="1"/>
  <c r="AU118" i="1"/>
  <c r="AT118" i="1"/>
  <c r="AT154" i="1" s="1"/>
  <c r="AS118" i="1"/>
  <c r="AS154" i="1" s="1"/>
  <c r="AR118" i="1"/>
  <c r="AQ118" i="1"/>
  <c r="AQ154" i="1" s="1"/>
  <c r="AP118" i="1"/>
  <c r="AP154" i="1" s="1"/>
  <c r="AO118" i="1"/>
  <c r="AN118" i="1"/>
  <c r="AN154" i="1" s="1"/>
  <c r="AM118" i="1"/>
  <c r="AM154" i="1" s="1"/>
  <c r="AL118" i="1"/>
  <c r="AK118" i="1"/>
  <c r="AK154" i="1" s="1"/>
  <c r="AJ118" i="1"/>
  <c r="AJ154" i="1" s="1"/>
  <c r="AI118" i="1"/>
  <c r="AH118" i="1"/>
  <c r="AH154" i="1" s="1"/>
  <c r="AG118" i="1"/>
  <c r="AG154" i="1" s="1"/>
  <c r="AF118" i="1"/>
  <c r="AE118" i="1"/>
  <c r="AE154" i="1" s="1"/>
  <c r="AD118" i="1"/>
  <c r="AD154" i="1" s="1"/>
  <c r="AC118" i="1"/>
  <c r="AB118" i="1"/>
  <c r="AB154" i="1" s="1"/>
  <c r="AA118" i="1"/>
  <c r="AA154" i="1" s="1"/>
  <c r="Z118" i="1"/>
  <c r="Y118" i="1"/>
  <c r="Y154" i="1" s="1"/>
  <c r="X118" i="1"/>
  <c r="X154" i="1" s="1"/>
  <c r="W118" i="1"/>
  <c r="V118" i="1"/>
  <c r="V154" i="1" s="1"/>
  <c r="U118" i="1"/>
  <c r="U154" i="1" s="1"/>
  <c r="T118" i="1"/>
  <c r="S118" i="1"/>
  <c r="S154" i="1" s="1"/>
  <c r="R118" i="1"/>
  <c r="R154" i="1" s="1"/>
  <c r="Q118" i="1"/>
  <c r="P118" i="1"/>
  <c r="P154" i="1" s="1"/>
  <c r="O118" i="1"/>
  <c r="O154" i="1" s="1"/>
  <c r="N118" i="1"/>
  <c r="M118" i="1"/>
  <c r="M154" i="1" s="1"/>
  <c r="L118" i="1"/>
  <c r="L154" i="1" s="1"/>
  <c r="K118" i="1"/>
  <c r="J118" i="1"/>
  <c r="J154" i="1" s="1"/>
  <c r="I118" i="1"/>
  <c r="I154" i="1" s="1"/>
  <c r="H118" i="1"/>
  <c r="G118" i="1"/>
  <c r="G154" i="1" s="1"/>
  <c r="F118" i="1"/>
  <c r="F154" i="1" s="1"/>
  <c r="E118" i="1"/>
  <c r="D118" i="1"/>
  <c r="D154" i="1" s="1"/>
  <c r="C118" i="1"/>
  <c r="C154" i="1" s="1"/>
  <c r="B118" i="1"/>
  <c r="DB153" i="1"/>
  <c r="DA153" i="1"/>
  <c r="CY153" i="1"/>
  <c r="CX153" i="1"/>
  <c r="CV117" i="1"/>
  <c r="CV153" i="1" s="1"/>
  <c r="CU117" i="1"/>
  <c r="CU153" i="1" s="1"/>
  <c r="CT117" i="1"/>
  <c r="CS117" i="1"/>
  <c r="CS153" i="1" s="1"/>
  <c r="CR117" i="1"/>
  <c r="CR153" i="1" s="1"/>
  <c r="CQ117" i="1"/>
  <c r="CP117" i="1"/>
  <c r="CP153" i="1" s="1"/>
  <c r="CO117" i="1"/>
  <c r="CO153" i="1" s="1"/>
  <c r="CN117" i="1"/>
  <c r="CM117" i="1"/>
  <c r="CM153" i="1" s="1"/>
  <c r="CL117" i="1"/>
  <c r="CL153" i="1" s="1"/>
  <c r="CK117" i="1"/>
  <c r="CJ117" i="1"/>
  <c r="CJ153" i="1" s="1"/>
  <c r="CI117" i="1"/>
  <c r="CI153" i="1" s="1"/>
  <c r="CH117" i="1"/>
  <c r="CG117" i="1"/>
  <c r="CG153" i="1" s="1"/>
  <c r="CF117" i="1"/>
  <c r="CF153" i="1" s="1"/>
  <c r="CE117" i="1"/>
  <c r="CD117" i="1"/>
  <c r="CD153" i="1" s="1"/>
  <c r="CC117" i="1"/>
  <c r="CC153" i="1" s="1"/>
  <c r="CB117" i="1"/>
  <c r="CA117" i="1"/>
  <c r="CA153" i="1" s="1"/>
  <c r="BZ117" i="1"/>
  <c r="BZ153" i="1" s="1"/>
  <c r="BY117" i="1"/>
  <c r="BX117" i="1"/>
  <c r="BX153" i="1" s="1"/>
  <c r="BW117" i="1"/>
  <c r="BW153" i="1" s="1"/>
  <c r="BV117" i="1"/>
  <c r="BU117" i="1"/>
  <c r="BU153" i="1" s="1"/>
  <c r="BT117" i="1"/>
  <c r="BT153" i="1" s="1"/>
  <c r="BS117" i="1"/>
  <c r="BR117" i="1"/>
  <c r="BR153" i="1" s="1"/>
  <c r="BQ117" i="1"/>
  <c r="BQ153" i="1" s="1"/>
  <c r="BP117" i="1"/>
  <c r="BO117" i="1"/>
  <c r="BO153" i="1" s="1"/>
  <c r="BN117" i="1"/>
  <c r="BN153" i="1" s="1"/>
  <c r="BM117" i="1"/>
  <c r="BL117" i="1"/>
  <c r="BL153" i="1" s="1"/>
  <c r="BK117" i="1"/>
  <c r="BK153" i="1" s="1"/>
  <c r="BJ117" i="1"/>
  <c r="BI117" i="1"/>
  <c r="BI153" i="1" s="1"/>
  <c r="BH117" i="1"/>
  <c r="BH153" i="1" s="1"/>
  <c r="BG117" i="1"/>
  <c r="BF117" i="1"/>
  <c r="BF153" i="1" s="1"/>
  <c r="BE117" i="1"/>
  <c r="BE153" i="1" s="1"/>
  <c r="BD117" i="1"/>
  <c r="BC117" i="1"/>
  <c r="BC153" i="1" s="1"/>
  <c r="BB117" i="1"/>
  <c r="BB153" i="1" s="1"/>
  <c r="BA117" i="1"/>
  <c r="AZ117" i="1"/>
  <c r="AZ153" i="1" s="1"/>
  <c r="AY117" i="1"/>
  <c r="AY153" i="1" s="1"/>
  <c r="AX117" i="1"/>
  <c r="AW117" i="1"/>
  <c r="AW153" i="1" s="1"/>
  <c r="AV117" i="1"/>
  <c r="AV153" i="1" s="1"/>
  <c r="AU117" i="1"/>
  <c r="AT117" i="1"/>
  <c r="AT153" i="1" s="1"/>
  <c r="AS117" i="1"/>
  <c r="AS153" i="1" s="1"/>
  <c r="AR117" i="1"/>
  <c r="AQ117" i="1"/>
  <c r="AQ153" i="1" s="1"/>
  <c r="AP117" i="1"/>
  <c r="AP153" i="1" s="1"/>
  <c r="AO117" i="1"/>
  <c r="AN117" i="1"/>
  <c r="AN153" i="1" s="1"/>
  <c r="AM117" i="1"/>
  <c r="AM153" i="1" s="1"/>
  <c r="AL117" i="1"/>
  <c r="AK117" i="1"/>
  <c r="AK153" i="1" s="1"/>
  <c r="AJ117" i="1"/>
  <c r="AJ153" i="1" s="1"/>
  <c r="AI117" i="1"/>
  <c r="AH117" i="1"/>
  <c r="AH153" i="1" s="1"/>
  <c r="AG117" i="1"/>
  <c r="AG153" i="1" s="1"/>
  <c r="AF117" i="1"/>
  <c r="AE117" i="1"/>
  <c r="AE153" i="1" s="1"/>
  <c r="AD117" i="1"/>
  <c r="AD153" i="1" s="1"/>
  <c r="AC117" i="1"/>
  <c r="AB117" i="1"/>
  <c r="AB153" i="1" s="1"/>
  <c r="AA117" i="1"/>
  <c r="AA153" i="1" s="1"/>
  <c r="Z117" i="1"/>
  <c r="Y117" i="1"/>
  <c r="Y153" i="1" s="1"/>
  <c r="X117" i="1"/>
  <c r="X153" i="1" s="1"/>
  <c r="W117" i="1"/>
  <c r="V117" i="1"/>
  <c r="V153" i="1" s="1"/>
  <c r="U117" i="1"/>
  <c r="U153" i="1" s="1"/>
  <c r="T117" i="1"/>
  <c r="S117" i="1"/>
  <c r="S153" i="1" s="1"/>
  <c r="R117" i="1"/>
  <c r="R153" i="1" s="1"/>
  <c r="Q117" i="1"/>
  <c r="P117" i="1"/>
  <c r="P153" i="1" s="1"/>
  <c r="O117" i="1"/>
  <c r="O153" i="1" s="1"/>
  <c r="N117" i="1"/>
  <c r="M117" i="1"/>
  <c r="M153" i="1" s="1"/>
  <c r="L117" i="1"/>
  <c r="L153" i="1" s="1"/>
  <c r="K117" i="1"/>
  <c r="J117" i="1"/>
  <c r="J153" i="1" s="1"/>
  <c r="I117" i="1"/>
  <c r="I153" i="1" s="1"/>
  <c r="H117" i="1"/>
  <c r="G117" i="1"/>
  <c r="G153" i="1" s="1"/>
  <c r="F117" i="1"/>
  <c r="F153" i="1" s="1"/>
  <c r="E117" i="1"/>
  <c r="D117" i="1"/>
  <c r="D153" i="1" s="1"/>
  <c r="C117" i="1"/>
  <c r="C153" i="1" s="1"/>
  <c r="B117" i="1"/>
  <c r="DB152" i="1"/>
  <c r="CZ152" i="1"/>
  <c r="CY152" i="1"/>
  <c r="CX152" i="1"/>
  <c r="CV116" i="1"/>
  <c r="CV152" i="1" s="1"/>
  <c r="CU116" i="1"/>
  <c r="CU152" i="1" s="1"/>
  <c r="CT116" i="1"/>
  <c r="CS116" i="1"/>
  <c r="CS152" i="1" s="1"/>
  <c r="CR116" i="1"/>
  <c r="CR152" i="1" s="1"/>
  <c r="CQ116" i="1"/>
  <c r="CP116" i="1"/>
  <c r="CP152" i="1" s="1"/>
  <c r="CO116" i="1"/>
  <c r="CO152" i="1" s="1"/>
  <c r="CN116" i="1"/>
  <c r="CN152" i="1" s="1"/>
  <c r="CM116" i="1"/>
  <c r="CM152" i="1" s="1"/>
  <c r="CL116" i="1"/>
  <c r="CL152" i="1" s="1"/>
  <c r="CK116" i="1"/>
  <c r="CJ116" i="1"/>
  <c r="CJ152" i="1" s="1"/>
  <c r="CI116" i="1"/>
  <c r="CI152" i="1" s="1"/>
  <c r="CH116" i="1"/>
  <c r="CG116" i="1"/>
  <c r="CG152" i="1" s="1"/>
  <c r="CF116" i="1"/>
  <c r="CF152" i="1" s="1"/>
  <c r="CE116" i="1"/>
  <c r="CD116" i="1"/>
  <c r="CD152" i="1" s="1"/>
  <c r="CC116" i="1"/>
  <c r="CC152" i="1" s="1"/>
  <c r="CB116" i="1"/>
  <c r="CB152" i="1" s="1"/>
  <c r="CA116" i="1"/>
  <c r="CA152" i="1" s="1"/>
  <c r="BZ116" i="1"/>
  <c r="BZ152" i="1" s="1"/>
  <c r="BY116" i="1"/>
  <c r="BX116" i="1"/>
  <c r="BX152" i="1" s="1"/>
  <c r="BW116" i="1"/>
  <c r="BW152" i="1" s="1"/>
  <c r="BV116" i="1"/>
  <c r="BU116" i="1"/>
  <c r="BU152" i="1" s="1"/>
  <c r="BT116" i="1"/>
  <c r="BT152" i="1" s="1"/>
  <c r="BS116" i="1"/>
  <c r="BR116" i="1"/>
  <c r="BR152" i="1" s="1"/>
  <c r="BQ116" i="1"/>
  <c r="BQ152" i="1" s="1"/>
  <c r="BP116" i="1"/>
  <c r="BO116" i="1"/>
  <c r="BO152" i="1" s="1"/>
  <c r="BN116" i="1"/>
  <c r="BN152" i="1" s="1"/>
  <c r="BM116" i="1"/>
  <c r="BL116" i="1"/>
  <c r="BL152" i="1" s="1"/>
  <c r="BK116" i="1"/>
  <c r="BK152" i="1" s="1"/>
  <c r="BJ116" i="1"/>
  <c r="BI116" i="1"/>
  <c r="BI152" i="1" s="1"/>
  <c r="BH116" i="1"/>
  <c r="BH152" i="1" s="1"/>
  <c r="BG116" i="1"/>
  <c r="BF116" i="1"/>
  <c r="BF152" i="1" s="1"/>
  <c r="BE116" i="1"/>
  <c r="BE152" i="1" s="1"/>
  <c r="BD116" i="1"/>
  <c r="BC116" i="1"/>
  <c r="BC152" i="1" s="1"/>
  <c r="BB116" i="1"/>
  <c r="BB152" i="1" s="1"/>
  <c r="BA116" i="1"/>
  <c r="AZ116" i="1"/>
  <c r="AZ152" i="1" s="1"/>
  <c r="AY116" i="1"/>
  <c r="AY152" i="1" s="1"/>
  <c r="AX116" i="1"/>
  <c r="AW116" i="1"/>
  <c r="AW152" i="1" s="1"/>
  <c r="AV116" i="1"/>
  <c r="AV152" i="1" s="1"/>
  <c r="AU116" i="1"/>
  <c r="AT116" i="1"/>
  <c r="AT152" i="1" s="1"/>
  <c r="AS116" i="1"/>
  <c r="AS152" i="1" s="1"/>
  <c r="AR116" i="1"/>
  <c r="AQ116" i="1"/>
  <c r="AQ152" i="1" s="1"/>
  <c r="AP116" i="1"/>
  <c r="AP152" i="1" s="1"/>
  <c r="AO116" i="1"/>
  <c r="AN116" i="1"/>
  <c r="AN152" i="1" s="1"/>
  <c r="AM116" i="1"/>
  <c r="AM152" i="1" s="1"/>
  <c r="AL116" i="1"/>
  <c r="AK116" i="1"/>
  <c r="AK152" i="1" s="1"/>
  <c r="AJ116" i="1"/>
  <c r="AJ152" i="1" s="1"/>
  <c r="AI116" i="1"/>
  <c r="AH116" i="1"/>
  <c r="AH152" i="1" s="1"/>
  <c r="AG116" i="1"/>
  <c r="AG152" i="1" s="1"/>
  <c r="AF116" i="1"/>
  <c r="AF152" i="1" s="1"/>
  <c r="AE116" i="1"/>
  <c r="AE152" i="1" s="1"/>
  <c r="AD116" i="1"/>
  <c r="AD152" i="1" s="1"/>
  <c r="AC116" i="1"/>
  <c r="AB116" i="1"/>
  <c r="AB152" i="1" s="1"/>
  <c r="AA116" i="1"/>
  <c r="AA152" i="1" s="1"/>
  <c r="Z116" i="1"/>
  <c r="Y116" i="1"/>
  <c r="Y152" i="1" s="1"/>
  <c r="X116" i="1"/>
  <c r="X152" i="1" s="1"/>
  <c r="W116" i="1"/>
  <c r="V116" i="1"/>
  <c r="V152" i="1" s="1"/>
  <c r="U116" i="1"/>
  <c r="U152" i="1" s="1"/>
  <c r="T116" i="1"/>
  <c r="T152" i="1" s="1"/>
  <c r="S116" i="1"/>
  <c r="S152" i="1" s="1"/>
  <c r="R116" i="1"/>
  <c r="R152" i="1" s="1"/>
  <c r="Q116" i="1"/>
  <c r="P116" i="1"/>
  <c r="P152" i="1" s="1"/>
  <c r="O116" i="1"/>
  <c r="O152" i="1" s="1"/>
  <c r="N116" i="1"/>
  <c r="M116" i="1"/>
  <c r="M152" i="1" s="1"/>
  <c r="L116" i="1"/>
  <c r="L152" i="1" s="1"/>
  <c r="K116" i="1"/>
  <c r="J116" i="1"/>
  <c r="J152" i="1" s="1"/>
  <c r="I116" i="1"/>
  <c r="I152" i="1" s="1"/>
  <c r="H116" i="1"/>
  <c r="H152" i="1" s="1"/>
  <c r="G116" i="1"/>
  <c r="G152" i="1" s="1"/>
  <c r="F116" i="1"/>
  <c r="F152" i="1" s="1"/>
  <c r="E116" i="1"/>
  <c r="D116" i="1"/>
  <c r="D152" i="1" s="1"/>
  <c r="C116" i="1"/>
  <c r="C152" i="1" s="1"/>
  <c r="B116" i="1"/>
  <c r="DB151" i="1"/>
  <c r="DA151" i="1"/>
  <c r="CV115" i="1"/>
  <c r="CU115" i="1"/>
  <c r="CT115" i="1"/>
  <c r="CS115" i="1"/>
  <c r="CR115" i="1"/>
  <c r="CQ115" i="1"/>
  <c r="CP115" i="1"/>
  <c r="CP151" i="1" s="1"/>
  <c r="CO115" i="1"/>
  <c r="CO151" i="1" s="1"/>
  <c r="CN115" i="1"/>
  <c r="CM115" i="1"/>
  <c r="CL115" i="1"/>
  <c r="CK115" i="1"/>
  <c r="CJ115" i="1"/>
  <c r="CI115" i="1"/>
  <c r="CH115" i="1"/>
  <c r="CG115" i="1"/>
  <c r="CF115" i="1"/>
  <c r="CE115" i="1"/>
  <c r="CD115" i="1"/>
  <c r="CD151" i="1" s="1"/>
  <c r="CC115" i="1"/>
  <c r="CC151" i="1" s="1"/>
  <c r="CB115" i="1"/>
  <c r="CA115" i="1"/>
  <c r="BZ115" i="1"/>
  <c r="BY115" i="1"/>
  <c r="BX115" i="1"/>
  <c r="BW115" i="1"/>
  <c r="BV115" i="1"/>
  <c r="BU115" i="1"/>
  <c r="BT115" i="1"/>
  <c r="BS115" i="1"/>
  <c r="BR115" i="1"/>
  <c r="BR151" i="1" s="1"/>
  <c r="BQ115" i="1"/>
  <c r="BQ151" i="1" s="1"/>
  <c r="BP115" i="1"/>
  <c r="BO115" i="1"/>
  <c r="BN115" i="1"/>
  <c r="BM115" i="1"/>
  <c r="BL115" i="1"/>
  <c r="BK115" i="1"/>
  <c r="BJ115" i="1"/>
  <c r="BI115" i="1"/>
  <c r="BH115" i="1"/>
  <c r="BG115" i="1"/>
  <c r="BF115" i="1"/>
  <c r="BF151" i="1" s="1"/>
  <c r="BE115" i="1"/>
  <c r="BD115" i="1"/>
  <c r="BC115" i="1"/>
  <c r="BB115" i="1"/>
  <c r="BA115" i="1"/>
  <c r="AZ115" i="1"/>
  <c r="AY115" i="1"/>
  <c r="AX115" i="1"/>
  <c r="AW115" i="1"/>
  <c r="AV115" i="1"/>
  <c r="AU115" i="1"/>
  <c r="AT115" i="1"/>
  <c r="AT151" i="1" s="1"/>
  <c r="AS115" i="1"/>
  <c r="AS151" i="1" s="1"/>
  <c r="AR115" i="1"/>
  <c r="AQ115" i="1"/>
  <c r="AP115" i="1"/>
  <c r="AO115" i="1"/>
  <c r="AN115" i="1"/>
  <c r="AM115" i="1"/>
  <c r="AL115" i="1"/>
  <c r="AK115" i="1"/>
  <c r="AJ115" i="1"/>
  <c r="AI115" i="1"/>
  <c r="AH115" i="1"/>
  <c r="AH151" i="1" s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V151" i="1" s="1"/>
  <c r="U115" i="1"/>
  <c r="T115" i="1"/>
  <c r="S115" i="1"/>
  <c r="R115" i="1"/>
  <c r="Q115" i="1"/>
  <c r="P115" i="1"/>
  <c r="O115" i="1"/>
  <c r="N115" i="1"/>
  <c r="M115" i="1"/>
  <c r="L115" i="1"/>
  <c r="K115" i="1"/>
  <c r="J115" i="1"/>
  <c r="J151" i="1" s="1"/>
  <c r="I115" i="1"/>
  <c r="H115" i="1"/>
  <c r="G115" i="1"/>
  <c r="F115" i="1"/>
  <c r="E115" i="1"/>
  <c r="D115" i="1"/>
  <c r="C115" i="1"/>
  <c r="B115" i="1"/>
  <c r="DB111" i="1"/>
  <c r="DA111" i="1"/>
  <c r="CZ111" i="1"/>
  <c r="CY111" i="1"/>
  <c r="CX111" i="1"/>
  <c r="CW111" i="1"/>
  <c r="CV111" i="1"/>
  <c r="CU111" i="1"/>
  <c r="CT111" i="1"/>
  <c r="CS111" i="1"/>
  <c r="CR111" i="1"/>
  <c r="CQ111" i="1"/>
  <c r="CP111" i="1"/>
  <c r="CO111" i="1"/>
  <c r="CN111" i="1"/>
  <c r="CM111" i="1"/>
  <c r="CL111" i="1"/>
  <c r="CK111" i="1"/>
  <c r="CJ111" i="1"/>
  <c r="CI111" i="1"/>
  <c r="CH111" i="1"/>
  <c r="CG111" i="1"/>
  <c r="CF111" i="1"/>
  <c r="CE111" i="1"/>
  <c r="CD111" i="1"/>
  <c r="CC111" i="1"/>
  <c r="CB111" i="1"/>
  <c r="CA111" i="1"/>
  <c r="BZ111" i="1"/>
  <c r="BY111" i="1"/>
  <c r="BX111" i="1"/>
  <c r="BW111" i="1"/>
  <c r="BV111" i="1"/>
  <c r="BU111" i="1"/>
  <c r="BT111" i="1"/>
  <c r="BS111" i="1"/>
  <c r="BR111" i="1"/>
  <c r="BQ111" i="1"/>
  <c r="BP111" i="1"/>
  <c r="BO111" i="1"/>
  <c r="BN111" i="1"/>
  <c r="BM111" i="1"/>
  <c r="BL111" i="1"/>
  <c r="BK111" i="1"/>
  <c r="BJ111" i="1"/>
  <c r="BI111" i="1"/>
  <c r="BH111" i="1"/>
  <c r="BG111" i="1"/>
  <c r="BF111" i="1"/>
  <c r="BE111" i="1"/>
  <c r="BD111" i="1"/>
  <c r="BC111" i="1"/>
  <c r="BB111" i="1"/>
  <c r="BA111" i="1"/>
  <c r="AZ111" i="1"/>
  <c r="AY111" i="1"/>
  <c r="AX111" i="1"/>
  <c r="AW111" i="1"/>
  <c r="AV111" i="1"/>
  <c r="AU111" i="1"/>
  <c r="AT111" i="1"/>
  <c r="AS111" i="1"/>
  <c r="AR111" i="1"/>
  <c r="AQ111" i="1"/>
  <c r="AP111" i="1"/>
  <c r="AO111" i="1"/>
  <c r="AN111" i="1"/>
  <c r="AM111" i="1"/>
  <c r="AL111" i="1"/>
  <c r="AK111" i="1"/>
  <c r="AJ111" i="1"/>
  <c r="AI111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E111" i="1"/>
  <c r="D111" i="1"/>
  <c r="C111" i="1"/>
  <c r="B111" i="1"/>
  <c r="HG110" i="1"/>
  <c r="HG109" i="1"/>
  <c r="HG108" i="1"/>
  <c r="HG107" i="1"/>
  <c r="HG106" i="1"/>
  <c r="HG105" i="1"/>
  <c r="HG104" i="1"/>
  <c r="HG103" i="1"/>
  <c r="HG102" i="1"/>
  <c r="HG101" i="1"/>
  <c r="HG100" i="1"/>
  <c r="HG99" i="1"/>
  <c r="HG98" i="1"/>
  <c r="HG97" i="1"/>
  <c r="HG96" i="1"/>
  <c r="HG95" i="1"/>
  <c r="HG94" i="1"/>
  <c r="HG93" i="1"/>
  <c r="HG92" i="1"/>
  <c r="HG91" i="1"/>
  <c r="HG90" i="1"/>
  <c r="HG89" i="1"/>
  <c r="HG88" i="1"/>
  <c r="HG87" i="1"/>
  <c r="HG86" i="1"/>
  <c r="HG85" i="1"/>
  <c r="HG84" i="1"/>
  <c r="HG83" i="1"/>
  <c r="HG82" i="1"/>
  <c r="HG81" i="1"/>
  <c r="HG80" i="1"/>
  <c r="HG79" i="1"/>
  <c r="HG78" i="1"/>
  <c r="HG77" i="1"/>
  <c r="HG76" i="1"/>
  <c r="DB75" i="1"/>
  <c r="DA75" i="1"/>
  <c r="CZ75" i="1"/>
  <c r="CY75" i="1"/>
  <c r="CX75" i="1"/>
  <c r="CW75" i="1"/>
  <c r="CV75" i="1"/>
  <c r="CU75" i="1"/>
  <c r="CT75" i="1"/>
  <c r="CS75" i="1"/>
  <c r="CR75" i="1"/>
  <c r="CQ75" i="1"/>
  <c r="CP75" i="1"/>
  <c r="CO75" i="1"/>
  <c r="CN75" i="1"/>
  <c r="CM75" i="1"/>
  <c r="CL75" i="1"/>
  <c r="CK75" i="1"/>
  <c r="CJ75" i="1"/>
  <c r="CI75" i="1"/>
  <c r="CH75" i="1"/>
  <c r="CG75" i="1"/>
  <c r="CF75" i="1"/>
  <c r="CE75" i="1"/>
  <c r="CD75" i="1"/>
  <c r="CC75" i="1"/>
  <c r="CB75" i="1"/>
  <c r="CA75" i="1"/>
  <c r="BZ75" i="1"/>
  <c r="BY75" i="1"/>
  <c r="BX75" i="1"/>
  <c r="BW75" i="1"/>
  <c r="BV75" i="1"/>
  <c r="BU75" i="1"/>
  <c r="BT75" i="1"/>
  <c r="BS75" i="1"/>
  <c r="BR75" i="1"/>
  <c r="BQ75" i="1"/>
  <c r="BP75" i="1"/>
  <c r="BO75" i="1"/>
  <c r="BN75" i="1"/>
  <c r="BM75" i="1"/>
  <c r="BL75" i="1"/>
  <c r="BK75" i="1"/>
  <c r="BJ75" i="1"/>
  <c r="BI75" i="1"/>
  <c r="BH75" i="1"/>
  <c r="BG75" i="1"/>
  <c r="BF75" i="1"/>
  <c r="BE75" i="1"/>
  <c r="BD75" i="1"/>
  <c r="BC75" i="1"/>
  <c r="BB75" i="1"/>
  <c r="BA75" i="1"/>
  <c r="AZ75" i="1"/>
  <c r="AY75" i="1"/>
  <c r="AX75" i="1"/>
  <c r="AW75" i="1"/>
  <c r="AV75" i="1"/>
  <c r="AU75" i="1"/>
  <c r="AT75" i="1"/>
  <c r="AS75" i="1"/>
  <c r="AR75" i="1"/>
  <c r="AQ75" i="1"/>
  <c r="AP75" i="1"/>
  <c r="AO75" i="1"/>
  <c r="AN75" i="1"/>
  <c r="AM75" i="1"/>
  <c r="AL75" i="1"/>
  <c r="AK75" i="1"/>
  <c r="AJ75" i="1"/>
  <c r="AI75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D75" i="1"/>
  <c r="C75" i="1"/>
  <c r="B75" i="1"/>
  <c r="HG74" i="1"/>
  <c r="HG73" i="1"/>
  <c r="HG72" i="1"/>
  <c r="HG71" i="1"/>
  <c r="HG70" i="1"/>
  <c r="DB39" i="1"/>
  <c r="DA39" i="1"/>
  <c r="CZ39" i="1"/>
  <c r="CY39" i="1"/>
  <c r="CX39" i="1"/>
  <c r="CW39" i="1"/>
  <c r="CV39" i="1"/>
  <c r="CU39" i="1"/>
  <c r="CT39" i="1"/>
  <c r="CS39" i="1"/>
  <c r="CR39" i="1"/>
  <c r="CQ39" i="1"/>
  <c r="CP39" i="1"/>
  <c r="CO39" i="1"/>
  <c r="CN39" i="1"/>
  <c r="CM39" i="1"/>
  <c r="CL39" i="1"/>
  <c r="CK39" i="1"/>
  <c r="CJ39" i="1"/>
  <c r="CI39" i="1"/>
  <c r="CH39" i="1"/>
  <c r="CG39" i="1"/>
  <c r="CF39" i="1"/>
  <c r="CE39" i="1"/>
  <c r="CD39" i="1"/>
  <c r="CC39" i="1"/>
  <c r="CB39" i="1"/>
  <c r="CA39" i="1"/>
  <c r="BZ39" i="1"/>
  <c r="BY39" i="1"/>
  <c r="BX39" i="1"/>
  <c r="BW39" i="1"/>
  <c r="BV39" i="1"/>
  <c r="BU39" i="1"/>
  <c r="BT39" i="1"/>
  <c r="BS39" i="1"/>
  <c r="BR39" i="1"/>
  <c r="BQ39" i="1"/>
  <c r="BP39" i="1"/>
  <c r="BO39" i="1"/>
  <c r="BN39" i="1"/>
  <c r="BM39" i="1"/>
  <c r="BL39" i="1"/>
  <c r="BK39" i="1"/>
  <c r="BJ39" i="1"/>
  <c r="BI39" i="1"/>
  <c r="BH39" i="1"/>
  <c r="BG39" i="1"/>
  <c r="BF39" i="1"/>
  <c r="BE39" i="1"/>
  <c r="BD39" i="1"/>
  <c r="BC39" i="1"/>
  <c r="BB39" i="1"/>
  <c r="BA39" i="1"/>
  <c r="AZ39" i="1"/>
  <c r="AY39" i="1"/>
  <c r="AX39" i="1"/>
  <c r="AW39" i="1"/>
  <c r="AV39" i="1"/>
  <c r="AU39" i="1"/>
  <c r="AT39" i="1"/>
  <c r="AS39" i="1"/>
  <c r="AR39" i="1"/>
  <c r="AQ39" i="1"/>
  <c r="AP39" i="1"/>
  <c r="AO39" i="1"/>
  <c r="AN39" i="1"/>
  <c r="AM39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HG37" i="1"/>
  <c r="HG36" i="1"/>
  <c r="HG35" i="1"/>
  <c r="HG34" i="1"/>
  <c r="V178" i="2" l="1"/>
  <c r="V141" i="2"/>
  <c r="P178" i="2"/>
  <c r="CW178" i="2"/>
  <c r="P141" i="2"/>
  <c r="CT141" i="2"/>
  <c r="Q178" i="2"/>
  <c r="CX141" i="2"/>
  <c r="Q141" i="2"/>
  <c r="CY141" i="2"/>
  <c r="BW141" i="2"/>
  <c r="L141" i="2"/>
  <c r="L178" i="2"/>
  <c r="F31" i="17"/>
  <c r="F178" i="2"/>
  <c r="G7" i="17"/>
  <c r="G10" i="17"/>
  <c r="G13" i="17"/>
  <c r="G16" i="17"/>
  <c r="G19" i="17"/>
  <c r="G25" i="17"/>
  <c r="G28" i="17"/>
  <c r="G31" i="17"/>
  <c r="G34" i="17"/>
  <c r="I15" i="17"/>
  <c r="I18" i="17"/>
  <c r="I21" i="17"/>
  <c r="I24" i="17"/>
  <c r="I27" i="17"/>
  <c r="DA178" i="2"/>
  <c r="H11" i="17"/>
  <c r="H29" i="17"/>
  <c r="B14" i="17"/>
  <c r="F141" i="2"/>
  <c r="S35" i="17"/>
  <c r="S70" i="17" s="1"/>
  <c r="H19" i="17"/>
  <c r="N32" i="17"/>
  <c r="I30" i="17"/>
  <c r="R5" i="17"/>
  <c r="N4" i="10" s="1"/>
  <c r="R23" i="17"/>
  <c r="R58" i="17" s="1"/>
  <c r="R27" i="17"/>
  <c r="N26" i="10" s="1"/>
  <c r="DB71" i="2"/>
  <c r="J6" i="17"/>
  <c r="F8" i="17"/>
  <c r="J9" i="17"/>
  <c r="F11" i="17"/>
  <c r="J12" i="17"/>
  <c r="F14" i="17"/>
  <c r="J15" i="17"/>
  <c r="F17" i="17"/>
  <c r="J18" i="17"/>
  <c r="F20" i="17"/>
  <c r="J21" i="17"/>
  <c r="F23" i="17"/>
  <c r="J24" i="17"/>
  <c r="F26" i="17"/>
  <c r="J27" i="17"/>
  <c r="F29" i="17"/>
  <c r="J30" i="17"/>
  <c r="F32" i="17"/>
  <c r="J33" i="17"/>
  <c r="F35" i="17"/>
  <c r="S25" i="17"/>
  <c r="O24" i="10" s="1"/>
  <c r="E178" i="2"/>
  <c r="CZ141" i="2"/>
  <c r="N11" i="17"/>
  <c r="N46" i="17" s="1"/>
  <c r="N10" i="17"/>
  <c r="N9" i="17"/>
  <c r="N8" i="17"/>
  <c r="N7" i="17"/>
  <c r="N42" i="17" s="1"/>
  <c r="N6" i="17"/>
  <c r="DB35" i="2"/>
  <c r="E141" i="2"/>
  <c r="H27" i="17"/>
  <c r="P11" i="17"/>
  <c r="P32" i="17"/>
  <c r="P35" i="17"/>
  <c r="BM147" i="2"/>
  <c r="BM178" i="2" s="1"/>
  <c r="DB106" i="2"/>
  <c r="CD156" i="2"/>
  <c r="P14" i="17"/>
  <c r="AD164" i="2"/>
  <c r="G22" i="17"/>
  <c r="P26" i="17"/>
  <c r="H7" i="17"/>
  <c r="C8" i="17"/>
  <c r="H10" i="17"/>
  <c r="C11" i="17"/>
  <c r="H13" i="17"/>
  <c r="C14" i="17"/>
  <c r="H16" i="17"/>
  <c r="G159" i="2"/>
  <c r="C17" i="17"/>
  <c r="C20" i="17"/>
  <c r="AE164" i="2"/>
  <c r="H22" i="17"/>
  <c r="C23" i="17"/>
  <c r="H25" i="17"/>
  <c r="C26" i="17"/>
  <c r="H28" i="17"/>
  <c r="C29" i="17"/>
  <c r="H31" i="17"/>
  <c r="C32" i="17"/>
  <c r="H34" i="17"/>
  <c r="G177" i="2"/>
  <c r="C35" i="17"/>
  <c r="C70" i="17" s="1"/>
  <c r="BN147" i="2"/>
  <c r="BN178" i="2" s="1"/>
  <c r="BT151" i="2"/>
  <c r="P8" i="17"/>
  <c r="P17" i="17"/>
  <c r="P20" i="17"/>
  <c r="P23" i="17"/>
  <c r="P29" i="17"/>
  <c r="D6" i="17"/>
  <c r="AN148" i="2"/>
  <c r="I6" i="17"/>
  <c r="AZ148" i="2"/>
  <c r="L6" i="17"/>
  <c r="B149" i="2"/>
  <c r="B7" i="17"/>
  <c r="DB112" i="2"/>
  <c r="S149" i="2"/>
  <c r="E7" i="17"/>
  <c r="K8" i="17"/>
  <c r="M151" i="2"/>
  <c r="D9" i="17"/>
  <c r="AN151" i="2"/>
  <c r="I9" i="17"/>
  <c r="AZ151" i="2"/>
  <c r="L9" i="17"/>
  <c r="B10" i="17"/>
  <c r="DB115" i="2"/>
  <c r="E10" i="17"/>
  <c r="K11" i="17"/>
  <c r="D12" i="17"/>
  <c r="AN154" i="2"/>
  <c r="I12" i="17"/>
  <c r="L12" i="17"/>
  <c r="B13" i="17"/>
  <c r="DB118" i="2"/>
  <c r="S155" i="2"/>
  <c r="E13" i="17"/>
  <c r="K14" i="17"/>
  <c r="M157" i="2"/>
  <c r="D15" i="17"/>
  <c r="L15" i="17"/>
  <c r="B16" i="17"/>
  <c r="E16" i="17"/>
  <c r="K17" i="17"/>
  <c r="D18" i="17"/>
  <c r="L18" i="17"/>
  <c r="B19" i="17"/>
  <c r="DB124" i="2"/>
  <c r="E19" i="17"/>
  <c r="K20" i="17"/>
  <c r="M163" i="2"/>
  <c r="D21" i="17"/>
  <c r="AZ163" i="2"/>
  <c r="L21" i="17"/>
  <c r="DB127" i="2"/>
  <c r="E22" i="17"/>
  <c r="K23" i="17"/>
  <c r="D24" i="17"/>
  <c r="L24" i="17"/>
  <c r="B25" i="17"/>
  <c r="DB130" i="2"/>
  <c r="E25" i="17"/>
  <c r="K26" i="17"/>
  <c r="D27" i="17"/>
  <c r="L27" i="17"/>
  <c r="B28" i="17"/>
  <c r="E28" i="17"/>
  <c r="K29" i="17"/>
  <c r="D30" i="17"/>
  <c r="L30" i="17"/>
  <c r="B31" i="17"/>
  <c r="DB136" i="2"/>
  <c r="E31" i="17"/>
  <c r="K32" i="17"/>
  <c r="D33" i="17"/>
  <c r="I33" i="17"/>
  <c r="L33" i="17"/>
  <c r="DB139" i="2"/>
  <c r="B34" i="17"/>
  <c r="E34" i="17"/>
  <c r="K35" i="17"/>
  <c r="BT150" i="2"/>
  <c r="BP147" i="2"/>
  <c r="BP178" i="2" s="1"/>
  <c r="BT149" i="2"/>
  <c r="BU141" i="2"/>
  <c r="G6" i="17"/>
  <c r="P7" i="17"/>
  <c r="G9" i="17"/>
  <c r="P10" i="17"/>
  <c r="AD154" i="2"/>
  <c r="G12" i="17"/>
  <c r="P13" i="17"/>
  <c r="G15" i="17"/>
  <c r="P16" i="17"/>
  <c r="G18" i="17"/>
  <c r="P19" i="17"/>
  <c r="G21" i="17"/>
  <c r="P22" i="17"/>
  <c r="AD166" i="2"/>
  <c r="G24" i="17"/>
  <c r="P25" i="17"/>
  <c r="G27" i="17"/>
  <c r="P28" i="17"/>
  <c r="G30" i="17"/>
  <c r="P31" i="17"/>
  <c r="G33" i="17"/>
  <c r="P34" i="17"/>
  <c r="N5" i="17"/>
  <c r="BT147" i="2"/>
  <c r="N35" i="17"/>
  <c r="N70" i="17" s="1"/>
  <c r="BT177" i="2"/>
  <c r="N34" i="17"/>
  <c r="BT176" i="2"/>
  <c r="N33" i="17"/>
  <c r="BT175" i="2"/>
  <c r="N31" i="17"/>
  <c r="N66" i="17" s="1"/>
  <c r="BT173" i="2"/>
  <c r="N30" i="17"/>
  <c r="N65" i="17" s="1"/>
  <c r="BT172" i="2"/>
  <c r="N29" i="17"/>
  <c r="BT171" i="2"/>
  <c r="N28" i="17"/>
  <c r="N63" i="17" s="1"/>
  <c r="BT170" i="2"/>
  <c r="N27" i="17"/>
  <c r="BT169" i="2"/>
  <c r="N26" i="17"/>
  <c r="BT168" i="2"/>
  <c r="N25" i="17"/>
  <c r="N60" i="17" s="1"/>
  <c r="BT167" i="2"/>
  <c r="N23" i="17"/>
  <c r="N58" i="17" s="1"/>
  <c r="BT165" i="2"/>
  <c r="N22" i="17"/>
  <c r="BT164" i="2"/>
  <c r="N21" i="17"/>
  <c r="N56" i="17" s="1"/>
  <c r="BT163" i="2"/>
  <c r="N20" i="17"/>
  <c r="BT162" i="2"/>
  <c r="N19" i="17"/>
  <c r="BT161" i="2"/>
  <c r="N18" i="17"/>
  <c r="N53" i="17" s="1"/>
  <c r="BT160" i="2"/>
  <c r="N17" i="17"/>
  <c r="N52" i="17" s="1"/>
  <c r="BT159" i="2"/>
  <c r="N15" i="17"/>
  <c r="BT157" i="2"/>
  <c r="N14" i="17"/>
  <c r="N49" i="17" s="1"/>
  <c r="BT156" i="2"/>
  <c r="N13" i="17"/>
  <c r="BT155" i="2"/>
  <c r="N12" i="17"/>
  <c r="BT154" i="2"/>
  <c r="BT148" i="2"/>
  <c r="N24" i="17"/>
  <c r="H12" i="17"/>
  <c r="C13" i="17"/>
  <c r="H15" i="17"/>
  <c r="C16" i="17"/>
  <c r="AE160" i="2"/>
  <c r="H18" i="17"/>
  <c r="C19" i="17"/>
  <c r="H21" i="17"/>
  <c r="C22" i="17"/>
  <c r="H24" i="17"/>
  <c r="C25" i="17"/>
  <c r="C28" i="17"/>
  <c r="H30" i="17"/>
  <c r="C31" i="17"/>
  <c r="H33" i="17"/>
  <c r="C34" i="17"/>
  <c r="BS141" i="2"/>
  <c r="BS147" i="2"/>
  <c r="B22" i="17"/>
  <c r="B6" i="17"/>
  <c r="DB111" i="2"/>
  <c r="E6" i="17"/>
  <c r="K7" i="17"/>
  <c r="D8" i="17"/>
  <c r="I8" i="17"/>
  <c r="L8" i="17"/>
  <c r="B9" i="17"/>
  <c r="DB114" i="2"/>
  <c r="E9" i="17"/>
  <c r="K10" i="17"/>
  <c r="D11" i="17"/>
  <c r="I11" i="17"/>
  <c r="L11" i="17"/>
  <c r="B12" i="17"/>
  <c r="DB117" i="2"/>
  <c r="E12" i="17"/>
  <c r="K13" i="17"/>
  <c r="D14" i="17"/>
  <c r="I14" i="17"/>
  <c r="L14" i="17"/>
  <c r="B15" i="17"/>
  <c r="DB120" i="2"/>
  <c r="E15" i="17"/>
  <c r="K16" i="17"/>
  <c r="D17" i="17"/>
  <c r="I17" i="17"/>
  <c r="L17" i="17"/>
  <c r="DB123" i="2"/>
  <c r="B18" i="17"/>
  <c r="E18" i="17"/>
  <c r="K19" i="17"/>
  <c r="D20" i="17"/>
  <c r="I20" i="17"/>
  <c r="L20" i="17"/>
  <c r="B21" i="17"/>
  <c r="DB126" i="2"/>
  <c r="E21" i="17"/>
  <c r="K22" i="17"/>
  <c r="D23" i="17"/>
  <c r="I23" i="17"/>
  <c r="L23" i="17"/>
  <c r="DB129" i="2"/>
  <c r="B24" i="17"/>
  <c r="E24" i="17"/>
  <c r="K25" i="17"/>
  <c r="D26" i="17"/>
  <c r="I26" i="17"/>
  <c r="L26" i="17"/>
  <c r="B27" i="17"/>
  <c r="DB132" i="2"/>
  <c r="E27" i="17"/>
  <c r="K28" i="17"/>
  <c r="D29" i="17"/>
  <c r="I29" i="17"/>
  <c r="L29" i="17"/>
  <c r="DB135" i="2"/>
  <c r="B30" i="17"/>
  <c r="E30" i="17"/>
  <c r="K31" i="17"/>
  <c r="D32" i="17"/>
  <c r="I32" i="17"/>
  <c r="L32" i="17"/>
  <c r="B33" i="17"/>
  <c r="DB138" i="2"/>
  <c r="E33" i="17"/>
  <c r="K34" i="17"/>
  <c r="D35" i="17"/>
  <c r="I35" i="17"/>
  <c r="L35" i="17"/>
  <c r="CA178" i="2"/>
  <c r="BR177" i="2"/>
  <c r="M35" i="17"/>
  <c r="M34" i="17"/>
  <c r="BR176" i="2"/>
  <c r="M33" i="17"/>
  <c r="BR175" i="2"/>
  <c r="BR174" i="2"/>
  <c r="M32" i="17"/>
  <c r="M31" i="17"/>
  <c r="BR173" i="2"/>
  <c r="M30" i="17"/>
  <c r="BR172" i="2"/>
  <c r="M29" i="17"/>
  <c r="BR171" i="2"/>
  <c r="M28" i="17"/>
  <c r="BR170" i="2"/>
  <c r="M27" i="17"/>
  <c r="BR169" i="2"/>
  <c r="M26" i="17"/>
  <c r="BR168" i="2"/>
  <c r="M25" i="17"/>
  <c r="BR167" i="2"/>
  <c r="BR166" i="2"/>
  <c r="M24" i="17"/>
  <c r="M23" i="17"/>
  <c r="BR165" i="2"/>
  <c r="M22" i="17"/>
  <c r="BR164" i="2"/>
  <c r="M21" i="17"/>
  <c r="BR163" i="2"/>
  <c r="M20" i="17"/>
  <c r="BR162" i="2"/>
  <c r="M19" i="17"/>
  <c r="BR161" i="2"/>
  <c r="M18" i="17"/>
  <c r="BR160" i="2"/>
  <c r="M17" i="17"/>
  <c r="BR159" i="2"/>
  <c r="BR158" i="2"/>
  <c r="M16" i="17"/>
  <c r="M15" i="17"/>
  <c r="M50" i="17" s="1"/>
  <c r="BR157" i="2"/>
  <c r="M14" i="17"/>
  <c r="BR156" i="2"/>
  <c r="M13" i="17"/>
  <c r="BR155" i="2"/>
  <c r="M12" i="17"/>
  <c r="BR154" i="2"/>
  <c r="M11" i="17"/>
  <c r="BR153" i="2"/>
  <c r="BR152" i="2"/>
  <c r="M10" i="17"/>
  <c r="M9" i="17"/>
  <c r="BR151" i="2"/>
  <c r="BR150" i="2"/>
  <c r="M8" i="17"/>
  <c r="M7" i="17"/>
  <c r="BR149" i="2"/>
  <c r="BR148" i="2"/>
  <c r="M6" i="17"/>
  <c r="C10" i="17"/>
  <c r="F7" i="17"/>
  <c r="J8" i="17"/>
  <c r="F10" i="17"/>
  <c r="J11" i="17"/>
  <c r="Y155" i="2"/>
  <c r="F13" i="17"/>
  <c r="J14" i="17"/>
  <c r="F16" i="17"/>
  <c r="J17" i="17"/>
  <c r="Y161" i="2"/>
  <c r="F19" i="17"/>
  <c r="J20" i="17"/>
  <c r="F22" i="17"/>
  <c r="J23" i="17"/>
  <c r="F25" i="17"/>
  <c r="J26" i="17"/>
  <c r="F28" i="17"/>
  <c r="J29" i="17"/>
  <c r="J32" i="17"/>
  <c r="F34" i="17"/>
  <c r="J35" i="17"/>
  <c r="O5" i="17"/>
  <c r="O40" i="17" s="1"/>
  <c r="BH147" i="2"/>
  <c r="O6" i="17"/>
  <c r="O41" i="17" s="1"/>
  <c r="BH148" i="2"/>
  <c r="O7" i="17"/>
  <c r="O42" i="17" s="1"/>
  <c r="BH149" i="2"/>
  <c r="O8" i="17"/>
  <c r="O43" i="17" s="1"/>
  <c r="BH150" i="2"/>
  <c r="O9" i="17"/>
  <c r="O44" i="17" s="1"/>
  <c r="BH151" i="2"/>
  <c r="O10" i="17"/>
  <c r="O45" i="17" s="1"/>
  <c r="BH152" i="2"/>
  <c r="O11" i="17"/>
  <c r="O46" i="17" s="1"/>
  <c r="BH153" i="2"/>
  <c r="O12" i="17"/>
  <c r="O47" i="17" s="1"/>
  <c r="BH154" i="2"/>
  <c r="O13" i="17"/>
  <c r="O48" i="17" s="1"/>
  <c r="BH155" i="2"/>
  <c r="O14" i="17"/>
  <c r="O49" i="17" s="1"/>
  <c r="BH156" i="2"/>
  <c r="O15" i="17"/>
  <c r="O50" i="17" s="1"/>
  <c r="BH157" i="2"/>
  <c r="O16" i="17"/>
  <c r="O51" i="17" s="1"/>
  <c r="BH158" i="2"/>
  <c r="O17" i="17"/>
  <c r="O52" i="17" s="1"/>
  <c r="BH159" i="2"/>
  <c r="O18" i="17"/>
  <c r="O53" i="17" s="1"/>
  <c r="BH160" i="2"/>
  <c r="O19" i="17"/>
  <c r="O54" i="17" s="1"/>
  <c r="BH161" i="2"/>
  <c r="O20" i="17"/>
  <c r="O55" i="17" s="1"/>
  <c r="BH162" i="2"/>
  <c r="O21" i="17"/>
  <c r="O56" i="17" s="1"/>
  <c r="BH163" i="2"/>
  <c r="O22" i="17"/>
  <c r="O57" i="17" s="1"/>
  <c r="BH164" i="2"/>
  <c r="O23" i="17"/>
  <c r="O58" i="17" s="1"/>
  <c r="BH165" i="2"/>
  <c r="O24" i="17"/>
  <c r="O59" i="17" s="1"/>
  <c r="BH166" i="2"/>
  <c r="O25" i="17"/>
  <c r="O60" i="17" s="1"/>
  <c r="BH167" i="2"/>
  <c r="O26" i="17"/>
  <c r="O61" i="17" s="1"/>
  <c r="BH168" i="2"/>
  <c r="O27" i="17"/>
  <c r="O62" i="17" s="1"/>
  <c r="BH169" i="2"/>
  <c r="O28" i="17"/>
  <c r="O63" i="17" s="1"/>
  <c r="BH170" i="2"/>
  <c r="O29" i="17"/>
  <c r="O64" i="17" s="1"/>
  <c r="BH171" i="2"/>
  <c r="O30" i="17"/>
  <c r="O65" i="17" s="1"/>
  <c r="BH172" i="2"/>
  <c r="O31" i="17"/>
  <c r="O66" i="17" s="1"/>
  <c r="BH173" i="2"/>
  <c r="O32" i="17"/>
  <c r="O67" i="17" s="1"/>
  <c r="BH174" i="2"/>
  <c r="O33" i="17"/>
  <c r="O68" i="17" s="1"/>
  <c r="BH175" i="2"/>
  <c r="O34" i="17"/>
  <c r="O69" i="17" s="1"/>
  <c r="BH176" i="2"/>
  <c r="O35" i="17"/>
  <c r="O70" i="17" s="1"/>
  <c r="BH177" i="2"/>
  <c r="DB133" i="2"/>
  <c r="N16" i="17"/>
  <c r="H6" i="17"/>
  <c r="G149" i="2"/>
  <c r="C7" i="17"/>
  <c r="H9" i="17"/>
  <c r="P6" i="17"/>
  <c r="G8" i="17"/>
  <c r="P9" i="17"/>
  <c r="G11" i="17"/>
  <c r="G46" i="17" s="1"/>
  <c r="P12" i="17"/>
  <c r="G14" i="17"/>
  <c r="P15" i="17"/>
  <c r="G17" i="17"/>
  <c r="P18" i="17"/>
  <c r="G20" i="17"/>
  <c r="P21" i="17"/>
  <c r="G23" i="17"/>
  <c r="P24" i="17"/>
  <c r="G26" i="17"/>
  <c r="P27" i="17"/>
  <c r="G29" i="17"/>
  <c r="P30" i="17"/>
  <c r="G32" i="17"/>
  <c r="P33" i="17"/>
  <c r="G35" i="17"/>
  <c r="CJ148" i="2"/>
  <c r="Q6" i="17"/>
  <c r="CJ150" i="2"/>
  <c r="Q8" i="17"/>
  <c r="CJ152" i="2"/>
  <c r="Q10" i="17"/>
  <c r="CJ154" i="2"/>
  <c r="Q12" i="17"/>
  <c r="CJ156" i="2"/>
  <c r="Q14" i="17"/>
  <c r="CJ158" i="2"/>
  <c r="Q16" i="17"/>
  <c r="CJ160" i="2"/>
  <c r="Q18" i="17"/>
  <c r="CJ162" i="2"/>
  <c r="Q20" i="17"/>
  <c r="CJ164" i="2"/>
  <c r="Q22" i="17"/>
  <c r="CJ166" i="2"/>
  <c r="Q24" i="17"/>
  <c r="CJ168" i="2"/>
  <c r="Q26" i="17"/>
  <c r="CJ170" i="2"/>
  <c r="Q28" i="17"/>
  <c r="CJ172" i="2"/>
  <c r="Q30" i="17"/>
  <c r="CJ174" i="2"/>
  <c r="Q32" i="17"/>
  <c r="CJ176" i="2"/>
  <c r="Q34" i="17"/>
  <c r="CP148" i="2"/>
  <c r="R6" i="17"/>
  <c r="CP150" i="2"/>
  <c r="R8" i="17"/>
  <c r="CP152" i="2"/>
  <c r="R10" i="17"/>
  <c r="CP154" i="2"/>
  <c r="R12" i="17"/>
  <c r="CP156" i="2"/>
  <c r="R14" i="17"/>
  <c r="CP158" i="2"/>
  <c r="R16" i="17"/>
  <c r="CP160" i="2"/>
  <c r="R18" i="17"/>
  <c r="CP162" i="2"/>
  <c r="R20" i="17"/>
  <c r="CP164" i="2"/>
  <c r="R22" i="17"/>
  <c r="CP166" i="2"/>
  <c r="R24" i="17"/>
  <c r="CP168" i="2"/>
  <c r="R26" i="17"/>
  <c r="CP170" i="2"/>
  <c r="R28" i="17"/>
  <c r="CP172" i="2"/>
  <c r="R30" i="17"/>
  <c r="CP174" i="2"/>
  <c r="R32" i="17"/>
  <c r="CP176" i="2"/>
  <c r="R34" i="17"/>
  <c r="DB121" i="2"/>
  <c r="AE162" i="2"/>
  <c r="H20" i="17"/>
  <c r="H32" i="17"/>
  <c r="C33" i="17"/>
  <c r="H35" i="17"/>
  <c r="C6" i="17"/>
  <c r="H8" i="17"/>
  <c r="C9" i="17"/>
  <c r="AE156" i="2"/>
  <c r="H14" i="17"/>
  <c r="C15" i="17"/>
  <c r="C18" i="17"/>
  <c r="C21" i="17"/>
  <c r="C30" i="17"/>
  <c r="K6" i="17"/>
  <c r="M149" i="2"/>
  <c r="D7" i="17"/>
  <c r="AN149" i="2"/>
  <c r="I7" i="17"/>
  <c r="L7" i="17"/>
  <c r="DB113" i="2"/>
  <c r="B8" i="17"/>
  <c r="E8" i="17"/>
  <c r="K9" i="17"/>
  <c r="M152" i="2"/>
  <c r="D10" i="17"/>
  <c r="I10" i="17"/>
  <c r="I45" i="17" s="1"/>
  <c r="L10" i="17"/>
  <c r="B11" i="17"/>
  <c r="DB116" i="2"/>
  <c r="E11" i="17"/>
  <c r="K12" i="17"/>
  <c r="D13" i="17"/>
  <c r="I13" i="17"/>
  <c r="L13" i="17"/>
  <c r="DB119" i="2"/>
  <c r="E14" i="17"/>
  <c r="K15" i="17"/>
  <c r="D16" i="17"/>
  <c r="I16" i="17"/>
  <c r="L16" i="17"/>
  <c r="B17" i="17"/>
  <c r="DB122" i="2"/>
  <c r="E17" i="17"/>
  <c r="K18" i="17"/>
  <c r="D19" i="17"/>
  <c r="AN161" i="2"/>
  <c r="I19" i="17"/>
  <c r="L19" i="17"/>
  <c r="B20" i="17"/>
  <c r="DB125" i="2"/>
  <c r="E20" i="17"/>
  <c r="K21" i="17"/>
  <c r="D22" i="17"/>
  <c r="I22" i="17"/>
  <c r="L22" i="17"/>
  <c r="B165" i="2"/>
  <c r="B23" i="17"/>
  <c r="DB128" i="2"/>
  <c r="E23" i="17"/>
  <c r="K24" i="17"/>
  <c r="D25" i="17"/>
  <c r="AN167" i="2"/>
  <c r="I25" i="17"/>
  <c r="L25" i="17"/>
  <c r="B26" i="17"/>
  <c r="B25" i="10" s="1"/>
  <c r="DB131" i="2"/>
  <c r="E26" i="17"/>
  <c r="K27" i="17"/>
  <c r="D28" i="17"/>
  <c r="I28" i="17"/>
  <c r="L28" i="17"/>
  <c r="B29" i="17"/>
  <c r="DB134" i="2"/>
  <c r="E29" i="17"/>
  <c r="K30" i="17"/>
  <c r="D31" i="17"/>
  <c r="I31" i="17"/>
  <c r="L31" i="17"/>
  <c r="DB137" i="2"/>
  <c r="B32" i="17"/>
  <c r="E32" i="17"/>
  <c r="K33" i="17"/>
  <c r="D34" i="17"/>
  <c r="I34" i="17"/>
  <c r="L34" i="17"/>
  <c r="B35" i="17"/>
  <c r="DB140" i="2"/>
  <c r="E35" i="17"/>
  <c r="BZ141" i="2"/>
  <c r="BZ147" i="2"/>
  <c r="BZ178" i="2" s="1"/>
  <c r="BW147" i="2"/>
  <c r="BW178" i="2" s="1"/>
  <c r="DB110" i="2"/>
  <c r="C12" i="17"/>
  <c r="AE159" i="2"/>
  <c r="H17" i="17"/>
  <c r="H23" i="17"/>
  <c r="C24" i="17"/>
  <c r="H26" i="17"/>
  <c r="C27" i="17"/>
  <c r="Y148" i="2"/>
  <c r="F6" i="17"/>
  <c r="J7" i="17"/>
  <c r="F9" i="17"/>
  <c r="J10" i="17"/>
  <c r="F12" i="17"/>
  <c r="J13" i="17"/>
  <c r="F15" i="17"/>
  <c r="J16" i="17"/>
  <c r="F18" i="17"/>
  <c r="J19" i="17"/>
  <c r="F21" i="17"/>
  <c r="J22" i="17"/>
  <c r="F24" i="17"/>
  <c r="J25" i="17"/>
  <c r="F27" i="17"/>
  <c r="J28" i="17"/>
  <c r="F30" i="17"/>
  <c r="J31" i="17"/>
  <c r="F33" i="17"/>
  <c r="J34" i="17"/>
  <c r="BT153" i="2"/>
  <c r="CP169" i="2"/>
  <c r="R35" i="17"/>
  <c r="S30" i="17"/>
  <c r="S21" i="17"/>
  <c r="S13" i="17"/>
  <c r="CV148" i="2"/>
  <c r="S6" i="17"/>
  <c r="CV150" i="2"/>
  <c r="S8" i="17"/>
  <c r="CV152" i="2"/>
  <c r="S10" i="17"/>
  <c r="CV154" i="2"/>
  <c r="S12" i="17"/>
  <c r="CV156" i="2"/>
  <c r="S14" i="17"/>
  <c r="CV158" i="2"/>
  <c r="S16" i="17"/>
  <c r="CV160" i="2"/>
  <c r="S18" i="17"/>
  <c r="CV162" i="2"/>
  <c r="S20" i="17"/>
  <c r="CV164" i="2"/>
  <c r="S22" i="17"/>
  <c r="CV166" i="2"/>
  <c r="S24" i="17"/>
  <c r="CV168" i="2"/>
  <c r="S26" i="17"/>
  <c r="CV170" i="2"/>
  <c r="S28" i="17"/>
  <c r="CV167" i="2"/>
  <c r="R21" i="17"/>
  <c r="R13" i="17"/>
  <c r="S33" i="17"/>
  <c r="R33" i="17"/>
  <c r="S23" i="17"/>
  <c r="S15" i="17"/>
  <c r="S7" i="17"/>
  <c r="R15" i="17"/>
  <c r="R7" i="17"/>
  <c r="Q5" i="17"/>
  <c r="CJ149" i="2"/>
  <c r="Q7" i="17"/>
  <c r="CJ151" i="2"/>
  <c r="Q9" i="17"/>
  <c r="CJ153" i="2"/>
  <c r="Q11" i="17"/>
  <c r="CJ155" i="2"/>
  <c r="Q13" i="17"/>
  <c r="CJ157" i="2"/>
  <c r="Q15" i="17"/>
  <c r="CJ159" i="2"/>
  <c r="Q17" i="17"/>
  <c r="CJ161" i="2"/>
  <c r="Q19" i="17"/>
  <c r="CJ163" i="2"/>
  <c r="Q21" i="17"/>
  <c r="CJ165" i="2"/>
  <c r="Q23" i="17"/>
  <c r="CJ167" i="2"/>
  <c r="Q25" i="17"/>
  <c r="CJ169" i="2"/>
  <c r="Q27" i="17"/>
  <c r="CJ171" i="2"/>
  <c r="Q29" i="17"/>
  <c r="CJ173" i="2"/>
  <c r="Q31" i="17"/>
  <c r="CJ175" i="2"/>
  <c r="Q33" i="17"/>
  <c r="CJ177" i="2"/>
  <c r="Q35" i="17"/>
  <c r="S31" i="17"/>
  <c r="S34" i="17"/>
  <c r="R31" i="17"/>
  <c r="S17" i="17"/>
  <c r="S9" i="17"/>
  <c r="CV141" i="2"/>
  <c r="S5" i="17"/>
  <c r="R25" i="17"/>
  <c r="R17" i="17"/>
  <c r="R9" i="17"/>
  <c r="S29" i="17"/>
  <c r="S27" i="17"/>
  <c r="S32" i="17"/>
  <c r="R29" i="17"/>
  <c r="S19" i="17"/>
  <c r="S11" i="17"/>
  <c r="R19" i="17"/>
  <c r="R11" i="17"/>
  <c r="GQ32" i="5"/>
  <c r="GQ11" i="5"/>
  <c r="GQ15" i="5"/>
  <c r="GQ19" i="5"/>
  <c r="GQ23" i="5"/>
  <c r="GQ13" i="5"/>
  <c r="GQ21" i="5"/>
  <c r="GQ27" i="5"/>
  <c r="GQ25" i="5"/>
  <c r="GQ31" i="5"/>
  <c r="GQ33" i="5"/>
  <c r="GQ7" i="5"/>
  <c r="GQ24" i="5"/>
  <c r="GQ12" i="5"/>
  <c r="GQ9" i="5"/>
  <c r="BM36" i="5"/>
  <c r="GQ8" i="5"/>
  <c r="DZ36" i="5"/>
  <c r="GQ35" i="5"/>
  <c r="GQ20" i="5"/>
  <c r="X75" i="20"/>
  <c r="W75" i="20"/>
  <c r="A44" i="20"/>
  <c r="A45" i="20"/>
  <c r="U75" i="20"/>
  <c r="V75" i="20"/>
  <c r="A39" i="20"/>
  <c r="A52" i="20"/>
  <c r="K14" i="16" s="1"/>
  <c r="A58" i="20"/>
  <c r="Q14" i="16" s="1"/>
  <c r="A61" i="20"/>
  <c r="T14" i="16" s="1"/>
  <c r="A64" i="20"/>
  <c r="W14" i="16" s="1"/>
  <c r="A70" i="20"/>
  <c r="AC14" i="16" s="1"/>
  <c r="A73" i="20"/>
  <c r="AF14" i="16" s="1"/>
  <c r="K75" i="20"/>
  <c r="S75" i="20"/>
  <c r="A51" i="20"/>
  <c r="J14" i="16" s="1"/>
  <c r="CX147" i="2"/>
  <c r="CX178" i="2" s="1"/>
  <c r="CP141" i="2"/>
  <c r="CY147" i="2"/>
  <c r="CY178" i="2" s="1"/>
  <c r="CQ141" i="2"/>
  <c r="CZ147" i="2"/>
  <c r="CZ178" i="2" s="1"/>
  <c r="CV147" i="2"/>
  <c r="CR178" i="2"/>
  <c r="CS141" i="2"/>
  <c r="CW141" i="2"/>
  <c r="CU178" i="2"/>
  <c r="DA141" i="2"/>
  <c r="BQ178" i="2"/>
  <c r="CP147" i="2"/>
  <c r="CQ147" i="2"/>
  <c r="CQ178" i="2" s="1"/>
  <c r="CS147" i="2"/>
  <c r="CS178" i="2" s="1"/>
  <c r="CT147" i="2"/>
  <c r="CT178" i="2" s="1"/>
  <c r="CR141" i="2"/>
  <c r="CU141" i="2"/>
  <c r="BL178" i="2"/>
  <c r="BY141" i="2"/>
  <c r="CJ141" i="2"/>
  <c r="CA141" i="2"/>
  <c r="CK141" i="2"/>
  <c r="CM141" i="2"/>
  <c r="CN141" i="2"/>
  <c r="CL178" i="2"/>
  <c r="CC178" i="2"/>
  <c r="CO178" i="2"/>
  <c r="CJ147" i="2"/>
  <c r="CK147" i="2"/>
  <c r="CK178" i="2" s="1"/>
  <c r="BV178" i="2"/>
  <c r="CM147" i="2"/>
  <c r="CM178" i="2" s="1"/>
  <c r="CN147" i="2"/>
  <c r="CN178" i="2" s="1"/>
  <c r="BX141" i="2"/>
  <c r="BV141" i="2"/>
  <c r="BG178" i="2"/>
  <c r="CL141" i="2"/>
  <c r="BY178" i="2"/>
  <c r="BX147" i="2"/>
  <c r="BX178" i="2" s="1"/>
  <c r="CO141" i="2"/>
  <c r="GO29" i="5"/>
  <c r="GO17" i="5"/>
  <c r="GO28" i="5"/>
  <c r="GQ28" i="5" s="1"/>
  <c r="GO16" i="5"/>
  <c r="AO79" i="9"/>
  <c r="AP79" i="9"/>
  <c r="AK79" i="9"/>
  <c r="AR79" i="9"/>
  <c r="BD79" i="9"/>
  <c r="AV35" i="9"/>
  <c r="BA35" i="9"/>
  <c r="AX35" i="9"/>
  <c r="AH11" i="16"/>
  <c r="M38" i="4"/>
  <c r="M40" i="4" s="1"/>
  <c r="GO6" i="5"/>
  <c r="GO10" i="5"/>
  <c r="GO14" i="5"/>
  <c r="GO18" i="5"/>
  <c r="GO22" i="5"/>
  <c r="GO26" i="5"/>
  <c r="GO30" i="5"/>
  <c r="GO34" i="5"/>
  <c r="DA168" i="1"/>
  <c r="AF49" i="9"/>
  <c r="E54" i="9"/>
  <c r="DK146" i="1"/>
  <c r="DW146" i="1"/>
  <c r="EI146" i="1"/>
  <c r="EU146" i="1"/>
  <c r="FG146" i="1"/>
  <c r="FS182" i="1"/>
  <c r="GE182" i="1"/>
  <c r="GQ182" i="1"/>
  <c r="HC182" i="1"/>
  <c r="FO146" i="1"/>
  <c r="GA146" i="1"/>
  <c r="L173" i="1"/>
  <c r="DM146" i="1"/>
  <c r="DY146" i="1"/>
  <c r="EK146" i="1"/>
  <c r="EW146" i="1"/>
  <c r="FI146" i="1"/>
  <c r="FU146" i="1"/>
  <c r="GG146" i="1"/>
  <c r="GS182" i="1"/>
  <c r="GY146" i="1"/>
  <c r="DN146" i="1"/>
  <c r="DZ146" i="1"/>
  <c r="EL146" i="1"/>
  <c r="EX146" i="1"/>
  <c r="FJ146" i="1"/>
  <c r="FV146" i="1"/>
  <c r="GH146" i="1"/>
  <c r="GT146" i="1"/>
  <c r="DJ151" i="1"/>
  <c r="DJ182" i="1" s="1"/>
  <c r="EU182" i="1"/>
  <c r="DD146" i="1"/>
  <c r="DP146" i="1"/>
  <c r="EB146" i="1"/>
  <c r="EN146" i="1"/>
  <c r="EZ146" i="1"/>
  <c r="FL146" i="1"/>
  <c r="FX146" i="1"/>
  <c r="GJ146" i="1"/>
  <c r="GV146" i="1"/>
  <c r="DF182" i="1"/>
  <c r="DR182" i="1"/>
  <c r="ED182" i="1"/>
  <c r="EP182" i="1"/>
  <c r="FB182" i="1"/>
  <c r="FN182" i="1"/>
  <c r="FZ182" i="1"/>
  <c r="GL182" i="1"/>
  <c r="GX182" i="1"/>
  <c r="DG146" i="1"/>
  <c r="DG182" i="1"/>
  <c r="DS182" i="1"/>
  <c r="EE182" i="1"/>
  <c r="DS146" i="1"/>
  <c r="DH151" i="1"/>
  <c r="DH182" i="1" s="1"/>
  <c r="DH146" i="1"/>
  <c r="DT151" i="1"/>
  <c r="DT182" i="1" s="1"/>
  <c r="DT146" i="1"/>
  <c r="EF151" i="1"/>
  <c r="EF182" i="1" s="1"/>
  <c r="EF146" i="1"/>
  <c r="ER151" i="1"/>
  <c r="ER182" i="1" s="1"/>
  <c r="ER146" i="1"/>
  <c r="FP151" i="1"/>
  <c r="FP182" i="1" s="1"/>
  <c r="FP146" i="1"/>
  <c r="GB151" i="1"/>
  <c r="GB182" i="1" s="1"/>
  <c r="GB146" i="1"/>
  <c r="GN151" i="1"/>
  <c r="GN182" i="1" s="1"/>
  <c r="GN146" i="1"/>
  <c r="GZ151" i="1"/>
  <c r="GZ182" i="1" s="1"/>
  <c r="GZ146" i="1"/>
  <c r="EE146" i="1"/>
  <c r="FD151" i="1"/>
  <c r="FD182" i="1" s="1"/>
  <c r="FD146" i="1"/>
  <c r="ES182" i="1"/>
  <c r="FE182" i="1"/>
  <c r="FQ182" i="1"/>
  <c r="GC182" i="1"/>
  <c r="GO182" i="1"/>
  <c r="HA182" i="1"/>
  <c r="EQ146" i="1"/>
  <c r="DV151" i="1"/>
  <c r="DV182" i="1" s="1"/>
  <c r="DV146" i="1"/>
  <c r="EH146" i="1"/>
  <c r="EH151" i="1"/>
  <c r="EH182" i="1" s="1"/>
  <c r="ET146" i="1"/>
  <c r="ET151" i="1"/>
  <c r="ET182" i="1" s="1"/>
  <c r="FF151" i="1"/>
  <c r="FF182" i="1" s="1"/>
  <c r="FF146" i="1"/>
  <c r="FR151" i="1"/>
  <c r="FR182" i="1" s="1"/>
  <c r="FR146" i="1"/>
  <c r="GD151" i="1"/>
  <c r="GD182" i="1" s="1"/>
  <c r="GD146" i="1"/>
  <c r="GP151" i="1"/>
  <c r="GP182" i="1" s="1"/>
  <c r="GP146" i="1"/>
  <c r="HB151" i="1"/>
  <c r="HB182" i="1" s="1"/>
  <c r="HB146" i="1"/>
  <c r="GM154" i="1"/>
  <c r="GM182" i="1" s="1"/>
  <c r="GM146" i="1"/>
  <c r="FC146" i="1"/>
  <c r="DF146" i="1"/>
  <c r="DR146" i="1"/>
  <c r="ED146" i="1"/>
  <c r="EP146" i="1"/>
  <c r="FB146" i="1"/>
  <c r="FN146" i="1"/>
  <c r="FZ146" i="1"/>
  <c r="GL146" i="1"/>
  <c r="GX146" i="1"/>
  <c r="DI151" i="1"/>
  <c r="DI182" i="1" s="1"/>
  <c r="DU151" i="1"/>
  <c r="DU182" i="1" s="1"/>
  <c r="EG151" i="1"/>
  <c r="EG182" i="1" s="1"/>
  <c r="FG151" i="1"/>
  <c r="FG182" i="1" s="1"/>
  <c r="FT151" i="1"/>
  <c r="FT182" i="1" s="1"/>
  <c r="GG151" i="1"/>
  <c r="GG182" i="1" s="1"/>
  <c r="GT151" i="1"/>
  <c r="GT182" i="1" s="1"/>
  <c r="GH182" i="1"/>
  <c r="DK151" i="1"/>
  <c r="DK182" i="1" s="1"/>
  <c r="DW151" i="1"/>
  <c r="DW182" i="1" s="1"/>
  <c r="EI151" i="1"/>
  <c r="EI182" i="1" s="1"/>
  <c r="EV151" i="1"/>
  <c r="EV182" i="1" s="1"/>
  <c r="FI151" i="1"/>
  <c r="FI182" i="1" s="1"/>
  <c r="FV151" i="1"/>
  <c r="FV182" i="1" s="1"/>
  <c r="GI151" i="1"/>
  <c r="GI182" i="1" s="1"/>
  <c r="GV151" i="1"/>
  <c r="GV182" i="1" s="1"/>
  <c r="ES146" i="1"/>
  <c r="FE146" i="1"/>
  <c r="FQ146" i="1"/>
  <c r="GC146" i="1"/>
  <c r="GO146" i="1"/>
  <c r="HA146" i="1"/>
  <c r="DL151" i="1"/>
  <c r="DL182" i="1" s="1"/>
  <c r="DX151" i="1"/>
  <c r="DX182" i="1" s="1"/>
  <c r="EJ151" i="1"/>
  <c r="EJ182" i="1" s="1"/>
  <c r="EW151" i="1"/>
  <c r="EW182" i="1" s="1"/>
  <c r="FJ151" i="1"/>
  <c r="FJ182" i="1" s="1"/>
  <c r="FW151" i="1"/>
  <c r="FW182" i="1" s="1"/>
  <c r="GJ151" i="1"/>
  <c r="GJ182" i="1" s="1"/>
  <c r="GW151" i="1"/>
  <c r="GW182" i="1" s="1"/>
  <c r="DM151" i="1"/>
  <c r="DM182" i="1" s="1"/>
  <c r="DY151" i="1"/>
  <c r="DY182" i="1" s="1"/>
  <c r="EK151" i="1"/>
  <c r="EK182" i="1" s="1"/>
  <c r="EX151" i="1"/>
  <c r="EX182" i="1" s="1"/>
  <c r="FK151" i="1"/>
  <c r="FK182" i="1" s="1"/>
  <c r="FX151" i="1"/>
  <c r="FX182" i="1" s="1"/>
  <c r="GK151" i="1"/>
  <c r="GK182" i="1" s="1"/>
  <c r="HD75" i="1"/>
  <c r="FS146" i="1"/>
  <c r="GE146" i="1"/>
  <c r="GQ146" i="1"/>
  <c r="HC146" i="1"/>
  <c r="DN151" i="1"/>
  <c r="DN182" i="1" s="1"/>
  <c r="DZ151" i="1"/>
  <c r="DZ182" i="1" s="1"/>
  <c r="EL151" i="1"/>
  <c r="EL182" i="1" s="1"/>
  <c r="EY151" i="1"/>
  <c r="EY182" i="1" s="1"/>
  <c r="FL151" i="1"/>
  <c r="FL182" i="1" s="1"/>
  <c r="FY151" i="1"/>
  <c r="FY182" i="1" s="1"/>
  <c r="FH182" i="1"/>
  <c r="J25" i="9"/>
  <c r="GF146" i="1"/>
  <c r="GR146" i="1"/>
  <c r="DC151" i="1"/>
  <c r="DC182" i="1" s="1"/>
  <c r="DO151" i="1"/>
  <c r="DO182" i="1" s="1"/>
  <c r="EA151" i="1"/>
  <c r="EA182" i="1" s="1"/>
  <c r="EM151" i="1"/>
  <c r="EM182" i="1" s="1"/>
  <c r="EZ151" i="1"/>
  <c r="EZ182" i="1" s="1"/>
  <c r="FM151" i="1"/>
  <c r="FM182" i="1" s="1"/>
  <c r="GU182" i="1"/>
  <c r="HD111" i="1"/>
  <c r="Z33" i="9"/>
  <c r="GS146" i="1"/>
  <c r="DD151" i="1"/>
  <c r="DD182" i="1" s="1"/>
  <c r="DP151" i="1"/>
  <c r="DP182" i="1" s="1"/>
  <c r="EB151" i="1"/>
  <c r="EB182" i="1" s="1"/>
  <c r="EN151" i="1"/>
  <c r="EN182" i="1" s="1"/>
  <c r="FA151" i="1"/>
  <c r="FA182" i="1" s="1"/>
  <c r="DE151" i="1"/>
  <c r="DE182" i="1" s="1"/>
  <c r="DQ151" i="1"/>
  <c r="DQ182" i="1" s="1"/>
  <c r="EC151" i="1"/>
  <c r="EC182" i="1" s="1"/>
  <c r="EO151" i="1"/>
  <c r="EO182" i="1" s="1"/>
  <c r="FU182" i="1"/>
  <c r="EQ182" i="1"/>
  <c r="FC182" i="1"/>
  <c r="FO182" i="1"/>
  <c r="GA182" i="1"/>
  <c r="GY182" i="1"/>
  <c r="HE39" i="1"/>
  <c r="AS182" i="1"/>
  <c r="BQ182" i="1"/>
  <c r="CC182" i="1"/>
  <c r="CO182" i="1"/>
  <c r="DA182" i="1"/>
  <c r="J66" i="9"/>
  <c r="BV180" i="1"/>
  <c r="Z77" i="9" s="1"/>
  <c r="HD39" i="1"/>
  <c r="HF39" i="1"/>
  <c r="HF75" i="1"/>
  <c r="HG75" i="1"/>
  <c r="V9" i="9"/>
  <c r="G58" i="9"/>
  <c r="H15" i="9"/>
  <c r="M64" i="9"/>
  <c r="Y64" i="9"/>
  <c r="O67" i="9"/>
  <c r="W67" i="9"/>
  <c r="H68" i="9"/>
  <c r="P68" i="9"/>
  <c r="HE75" i="1"/>
  <c r="HE111" i="1"/>
  <c r="C53" i="9"/>
  <c r="R60" i="9"/>
  <c r="AD60" i="9"/>
  <c r="E63" i="9"/>
  <c r="AC63" i="9"/>
  <c r="G70" i="9"/>
  <c r="W70" i="9"/>
  <c r="HF111" i="1"/>
  <c r="F73" i="9"/>
  <c r="HG111" i="1"/>
  <c r="D49" i="9"/>
  <c r="H49" i="9"/>
  <c r="L49" i="9"/>
  <c r="AB49" i="9"/>
  <c r="AJ49" i="9"/>
  <c r="S56" i="9"/>
  <c r="H65" i="9"/>
  <c r="L65" i="9"/>
  <c r="AF65" i="9"/>
  <c r="Z24" i="9"/>
  <c r="Y27" i="9"/>
  <c r="R72" i="9"/>
  <c r="R58" i="9"/>
  <c r="Z58" i="9"/>
  <c r="D64" i="9"/>
  <c r="AB64" i="9"/>
  <c r="O68" i="9"/>
  <c r="Y151" i="1"/>
  <c r="Y182" i="1" s="1"/>
  <c r="Y146" i="1"/>
  <c r="L151" i="1"/>
  <c r="L182" i="1" s="1"/>
  <c r="L146" i="1"/>
  <c r="X151" i="1"/>
  <c r="X182" i="1" s="1"/>
  <c r="X146" i="1"/>
  <c r="AJ151" i="1"/>
  <c r="AJ182" i="1" s="1"/>
  <c r="AJ146" i="1"/>
  <c r="AV151" i="1"/>
  <c r="AV182" i="1" s="1"/>
  <c r="AV146" i="1"/>
  <c r="BH151" i="1"/>
  <c r="BH182" i="1" s="1"/>
  <c r="BH146" i="1"/>
  <c r="BT151" i="1"/>
  <c r="BT182" i="1" s="1"/>
  <c r="BT146" i="1"/>
  <c r="CF151" i="1"/>
  <c r="CF182" i="1" s="1"/>
  <c r="CF146" i="1"/>
  <c r="CR151" i="1"/>
  <c r="CR182" i="1" s="1"/>
  <c r="CR146" i="1"/>
  <c r="E5" i="9"/>
  <c r="K152" i="1"/>
  <c r="E49" i="9" s="1"/>
  <c r="I5" i="9"/>
  <c r="W152" i="1"/>
  <c r="I49" i="9" s="1"/>
  <c r="M5" i="9"/>
  <c r="AI152" i="1"/>
  <c r="M49" i="9" s="1"/>
  <c r="Q5" i="9"/>
  <c r="AU152" i="1"/>
  <c r="Q49" i="9" s="1"/>
  <c r="U5" i="9"/>
  <c r="BG152" i="1"/>
  <c r="U49" i="9" s="1"/>
  <c r="Y5" i="9"/>
  <c r="BS152" i="1"/>
  <c r="Y49" i="9" s="1"/>
  <c r="AC5" i="9"/>
  <c r="CE152" i="1"/>
  <c r="AC49" i="9" s="1"/>
  <c r="AG5" i="9"/>
  <c r="CQ152" i="1"/>
  <c r="AG49" i="9" s="1"/>
  <c r="D8" i="9"/>
  <c r="H155" i="1"/>
  <c r="D52" i="9" s="1"/>
  <c r="H8" i="9"/>
  <c r="T155" i="1"/>
  <c r="H52" i="9" s="1"/>
  <c r="L8" i="9"/>
  <c r="AF155" i="1"/>
  <c r="L52" i="9" s="1"/>
  <c r="P8" i="9"/>
  <c r="AR155" i="1"/>
  <c r="P52" i="9" s="1"/>
  <c r="T8" i="9"/>
  <c r="X8" i="9"/>
  <c r="AF52" i="9"/>
  <c r="AJ52" i="9"/>
  <c r="D9" i="9"/>
  <c r="H156" i="1"/>
  <c r="D53" i="9" s="1"/>
  <c r="H9" i="9"/>
  <c r="T156" i="1"/>
  <c r="H53" i="9" s="1"/>
  <c r="L9" i="9"/>
  <c r="AF156" i="1"/>
  <c r="L53" i="9" s="1"/>
  <c r="P9" i="9"/>
  <c r="AR156" i="1"/>
  <c r="P53" i="9" s="1"/>
  <c r="T9" i="9"/>
  <c r="BD156" i="1"/>
  <c r="T53" i="9" s="1"/>
  <c r="X9" i="9"/>
  <c r="BP156" i="1"/>
  <c r="X53" i="9" s="1"/>
  <c r="AB9" i="9"/>
  <c r="CB156" i="1"/>
  <c r="AB53" i="9" s="1"/>
  <c r="AF9" i="9"/>
  <c r="CN156" i="1"/>
  <c r="AF53" i="9" s="1"/>
  <c r="CZ156" i="1"/>
  <c r="AJ53" i="9" s="1"/>
  <c r="D10" i="9"/>
  <c r="H157" i="1"/>
  <c r="D54" i="9" s="1"/>
  <c r="H10" i="9"/>
  <c r="T157" i="1"/>
  <c r="H54" i="9" s="1"/>
  <c r="L10" i="9"/>
  <c r="AF157" i="1"/>
  <c r="L54" i="9" s="1"/>
  <c r="P10" i="9"/>
  <c r="AR157" i="1"/>
  <c r="P54" i="9" s="1"/>
  <c r="T10" i="9"/>
  <c r="BD157" i="1"/>
  <c r="T54" i="9" s="1"/>
  <c r="X10" i="9"/>
  <c r="AB10" i="9"/>
  <c r="CB157" i="1"/>
  <c r="AB54" i="9" s="1"/>
  <c r="AF10" i="9"/>
  <c r="CN157" i="1"/>
  <c r="AF54" i="9" s="1"/>
  <c r="CZ157" i="1"/>
  <c r="AJ54" i="9" s="1"/>
  <c r="D11" i="9"/>
  <c r="H158" i="1"/>
  <c r="D55" i="9" s="1"/>
  <c r="H11" i="9"/>
  <c r="T158" i="1"/>
  <c r="H55" i="9" s="1"/>
  <c r="L11" i="9"/>
  <c r="AF158" i="1"/>
  <c r="L55" i="9" s="1"/>
  <c r="P11" i="9"/>
  <c r="AR158" i="1"/>
  <c r="P55" i="9" s="1"/>
  <c r="T11" i="9"/>
  <c r="BD158" i="1"/>
  <c r="T55" i="9" s="1"/>
  <c r="X11" i="9"/>
  <c r="BP158" i="1"/>
  <c r="X55" i="9" s="1"/>
  <c r="AB11" i="9"/>
  <c r="CB158" i="1"/>
  <c r="AB55" i="9" s="1"/>
  <c r="AF11" i="9"/>
  <c r="CN158" i="1"/>
  <c r="AF55" i="9" s="1"/>
  <c r="CZ158" i="1"/>
  <c r="AJ55" i="9" s="1"/>
  <c r="D12" i="9"/>
  <c r="H159" i="1"/>
  <c r="D56" i="9" s="1"/>
  <c r="H12" i="9"/>
  <c r="T159" i="1"/>
  <c r="H56" i="9" s="1"/>
  <c r="L12" i="9"/>
  <c r="AF159" i="1"/>
  <c r="L56" i="9" s="1"/>
  <c r="P12" i="9"/>
  <c r="AR159" i="1"/>
  <c r="P56" i="9" s="1"/>
  <c r="T12" i="9"/>
  <c r="BD159" i="1"/>
  <c r="T56" i="9" s="1"/>
  <c r="X12" i="9"/>
  <c r="BP159" i="1"/>
  <c r="X56" i="9" s="1"/>
  <c r="AB12" i="9"/>
  <c r="CB159" i="1"/>
  <c r="AB56" i="9" s="1"/>
  <c r="AF12" i="9"/>
  <c r="CN159" i="1"/>
  <c r="AF56" i="9" s="1"/>
  <c r="D13" i="9"/>
  <c r="H160" i="1"/>
  <c r="D57" i="9" s="1"/>
  <c r="H13" i="9"/>
  <c r="T160" i="1"/>
  <c r="H57" i="9" s="1"/>
  <c r="L13" i="9"/>
  <c r="AF160" i="1"/>
  <c r="L57" i="9" s="1"/>
  <c r="AR160" i="1"/>
  <c r="P57" i="9" s="1"/>
  <c r="P13" i="9"/>
  <c r="T13" i="9"/>
  <c r="BD160" i="1"/>
  <c r="T57" i="9" s="1"/>
  <c r="X13" i="9"/>
  <c r="BP160" i="1"/>
  <c r="X57" i="9" s="1"/>
  <c r="AB13" i="9"/>
  <c r="CB160" i="1"/>
  <c r="AB57" i="9" s="1"/>
  <c r="AF13" i="9"/>
  <c r="CN160" i="1"/>
  <c r="AF57" i="9" s="1"/>
  <c r="CZ160" i="1"/>
  <c r="AJ57" i="9" s="1"/>
  <c r="B25" i="9"/>
  <c r="B172" i="1"/>
  <c r="F25" i="9"/>
  <c r="N172" i="1"/>
  <c r="F69" i="9" s="1"/>
  <c r="C177" i="1"/>
  <c r="J146" i="1"/>
  <c r="U61" i="9"/>
  <c r="M151" i="1"/>
  <c r="M146" i="1"/>
  <c r="I6" i="9"/>
  <c r="W153" i="1"/>
  <c r="I50" i="9" s="1"/>
  <c r="AG6" i="9"/>
  <c r="CQ153" i="1"/>
  <c r="AG50" i="9" s="1"/>
  <c r="E16" i="9"/>
  <c r="K163" i="1"/>
  <c r="E60" i="9" s="1"/>
  <c r="Q22" i="9"/>
  <c r="AU169" i="1"/>
  <c r="Q66" i="9" s="1"/>
  <c r="U22" i="9"/>
  <c r="BG169" i="1"/>
  <c r="U66" i="9" s="1"/>
  <c r="AG22" i="9"/>
  <c r="CQ169" i="1"/>
  <c r="AG66" i="9" s="1"/>
  <c r="F24" i="9"/>
  <c r="N171" i="1"/>
  <c r="F68" i="9" s="1"/>
  <c r="R24" i="9"/>
  <c r="AX171" i="1"/>
  <c r="R68" i="9" s="1"/>
  <c r="V24" i="9"/>
  <c r="BJ171" i="1"/>
  <c r="V68" i="9" s="1"/>
  <c r="AD24" i="9"/>
  <c r="CH171" i="1"/>
  <c r="AD68" i="9" s="1"/>
  <c r="AH24" i="9"/>
  <c r="CT171" i="1"/>
  <c r="AH68" i="9" s="1"/>
  <c r="V146" i="1"/>
  <c r="BE182" i="1"/>
  <c r="T52" i="9"/>
  <c r="BV171" i="1"/>
  <c r="Z68" i="9" s="1"/>
  <c r="BU151" i="1"/>
  <c r="BU182" i="1" s="1"/>
  <c r="BU146" i="1"/>
  <c r="Y6" i="9"/>
  <c r="BS153" i="1"/>
  <c r="Y50" i="9" s="1"/>
  <c r="I16" i="9"/>
  <c r="W163" i="1"/>
  <c r="I60" i="9" s="1"/>
  <c r="C165" i="1"/>
  <c r="E22" i="9"/>
  <c r="K169" i="1"/>
  <c r="E66" i="9" s="1"/>
  <c r="AC22" i="9"/>
  <c r="CE169" i="1"/>
  <c r="AC66" i="9" s="1"/>
  <c r="J24" i="9"/>
  <c r="Z171" i="1"/>
  <c r="J68" i="9" s="1"/>
  <c r="B151" i="1"/>
  <c r="B146" i="1"/>
  <c r="F4" i="9"/>
  <c r="N151" i="1"/>
  <c r="N146" i="1"/>
  <c r="J4" i="9"/>
  <c r="Z151" i="1"/>
  <c r="Z146" i="1"/>
  <c r="N4" i="9"/>
  <c r="AL151" i="1"/>
  <c r="AL146" i="1"/>
  <c r="R4" i="9"/>
  <c r="AX151" i="1"/>
  <c r="AX146" i="1"/>
  <c r="V4" i="9"/>
  <c r="BJ151" i="1"/>
  <c r="BJ146" i="1"/>
  <c r="Z4" i="9"/>
  <c r="BV151" i="1"/>
  <c r="BV146" i="1"/>
  <c r="AD4" i="9"/>
  <c r="CH151" i="1"/>
  <c r="CH146" i="1"/>
  <c r="AH4" i="9"/>
  <c r="CT151" i="1"/>
  <c r="CT146" i="1"/>
  <c r="E7" i="9"/>
  <c r="K154" i="1"/>
  <c r="E51" i="9" s="1"/>
  <c r="I7" i="9"/>
  <c r="W154" i="1"/>
  <c r="I51" i="9" s="1"/>
  <c r="M7" i="9"/>
  <c r="AI154" i="1"/>
  <c r="M51" i="9" s="1"/>
  <c r="Q7" i="9"/>
  <c r="AU154" i="1"/>
  <c r="Q51" i="9" s="1"/>
  <c r="U7" i="9"/>
  <c r="BG154" i="1"/>
  <c r="U51" i="9" s="1"/>
  <c r="Y7" i="9"/>
  <c r="BS154" i="1"/>
  <c r="Y51" i="9" s="1"/>
  <c r="AC7" i="9"/>
  <c r="CE154" i="1"/>
  <c r="AC51" i="9" s="1"/>
  <c r="AG7" i="9"/>
  <c r="CQ154" i="1"/>
  <c r="AG51" i="9" s="1"/>
  <c r="E15" i="9"/>
  <c r="K162" i="1"/>
  <c r="E59" i="9" s="1"/>
  <c r="I15" i="9"/>
  <c r="W162" i="1"/>
  <c r="I59" i="9" s="1"/>
  <c r="M15" i="9"/>
  <c r="AI162" i="1"/>
  <c r="M59" i="9" s="1"/>
  <c r="Q15" i="9"/>
  <c r="AU162" i="1"/>
  <c r="Q59" i="9" s="1"/>
  <c r="U15" i="9"/>
  <c r="BG162" i="1"/>
  <c r="U59" i="9" s="1"/>
  <c r="Y15" i="9"/>
  <c r="BS162" i="1"/>
  <c r="Y59" i="9" s="1"/>
  <c r="AC15" i="9"/>
  <c r="CE162" i="1"/>
  <c r="AC59" i="9" s="1"/>
  <c r="AG15" i="9"/>
  <c r="CQ162" i="1"/>
  <c r="AG59" i="9" s="1"/>
  <c r="B17" i="9"/>
  <c r="B164" i="1"/>
  <c r="F17" i="9"/>
  <c r="N164" i="1"/>
  <c r="F61" i="9" s="1"/>
  <c r="J17" i="9"/>
  <c r="Z164" i="1"/>
  <c r="J61" i="9" s="1"/>
  <c r="N17" i="9"/>
  <c r="AL164" i="1"/>
  <c r="N61" i="9" s="1"/>
  <c r="R17" i="9"/>
  <c r="AX164" i="1"/>
  <c r="R61" i="9" s="1"/>
  <c r="V17" i="9"/>
  <c r="BJ164" i="1"/>
  <c r="V61" i="9" s="1"/>
  <c r="Z17" i="9"/>
  <c r="BV164" i="1"/>
  <c r="Z61" i="9" s="1"/>
  <c r="AD17" i="9"/>
  <c r="CH164" i="1"/>
  <c r="AD61" i="9" s="1"/>
  <c r="AH17" i="9"/>
  <c r="CT164" i="1"/>
  <c r="AH61" i="9" s="1"/>
  <c r="C171" i="1"/>
  <c r="D27" i="9"/>
  <c r="H174" i="1"/>
  <c r="D71" i="9" s="1"/>
  <c r="H27" i="9"/>
  <c r="T174" i="1"/>
  <c r="H71" i="9" s="1"/>
  <c r="L27" i="9"/>
  <c r="AF174" i="1"/>
  <c r="L71" i="9" s="1"/>
  <c r="P27" i="9"/>
  <c r="AR174" i="1"/>
  <c r="P71" i="9" s="1"/>
  <c r="T27" i="9"/>
  <c r="BD174" i="1"/>
  <c r="T71" i="9" s="1"/>
  <c r="X27" i="9"/>
  <c r="BP174" i="1"/>
  <c r="X71" i="9" s="1"/>
  <c r="AB27" i="9"/>
  <c r="CB174" i="1"/>
  <c r="AB71" i="9" s="1"/>
  <c r="AF27" i="9"/>
  <c r="CN174" i="1"/>
  <c r="AF71" i="9" s="1"/>
  <c r="CZ174" i="1"/>
  <c r="AJ71" i="9" s="1"/>
  <c r="C30" i="9"/>
  <c r="E177" i="1"/>
  <c r="C74" i="9" s="1"/>
  <c r="G30" i="9"/>
  <c r="Q177" i="1"/>
  <c r="G74" i="9" s="1"/>
  <c r="K30" i="9"/>
  <c r="AC177" i="1"/>
  <c r="K74" i="9" s="1"/>
  <c r="O30" i="9"/>
  <c r="AO177" i="1"/>
  <c r="O74" i="9" s="1"/>
  <c r="S30" i="9"/>
  <c r="BA177" i="1"/>
  <c r="S74" i="9" s="1"/>
  <c r="W30" i="9"/>
  <c r="BM177" i="1"/>
  <c r="W74" i="9" s="1"/>
  <c r="AA30" i="9"/>
  <c r="BY177" i="1"/>
  <c r="AA74" i="9" s="1"/>
  <c r="AE30" i="9"/>
  <c r="CK177" i="1"/>
  <c r="AE74" i="9" s="1"/>
  <c r="CW177" i="1"/>
  <c r="AI74" i="9" s="1"/>
  <c r="AH146" i="1"/>
  <c r="CS151" i="1"/>
  <c r="CS182" i="1" s="1"/>
  <c r="CS146" i="1"/>
  <c r="E6" i="9"/>
  <c r="K153" i="1"/>
  <c r="E50" i="9" s="1"/>
  <c r="M16" i="9"/>
  <c r="AI163" i="1"/>
  <c r="M60" i="9" s="1"/>
  <c r="B24" i="9"/>
  <c r="B171" i="1"/>
  <c r="C151" i="1"/>
  <c r="C146" i="1"/>
  <c r="O151" i="1"/>
  <c r="O182" i="1" s="1"/>
  <c r="O146" i="1"/>
  <c r="AA151" i="1"/>
  <c r="AA182" i="1" s="1"/>
  <c r="AA146" i="1"/>
  <c r="AM151" i="1"/>
  <c r="AM182" i="1" s="1"/>
  <c r="AM146" i="1"/>
  <c r="AY151" i="1"/>
  <c r="AY182" i="1" s="1"/>
  <c r="AY146" i="1"/>
  <c r="BK151" i="1"/>
  <c r="BK182" i="1" s="1"/>
  <c r="BK146" i="1"/>
  <c r="BW151" i="1"/>
  <c r="BW182" i="1" s="1"/>
  <c r="BW146" i="1"/>
  <c r="CI151" i="1"/>
  <c r="CI182" i="1" s="1"/>
  <c r="CI146" i="1"/>
  <c r="CU151" i="1"/>
  <c r="CU182" i="1" s="1"/>
  <c r="CU146" i="1"/>
  <c r="B5" i="9"/>
  <c r="B152" i="1"/>
  <c r="F5" i="9"/>
  <c r="N152" i="1"/>
  <c r="F49" i="9" s="1"/>
  <c r="J5" i="9"/>
  <c r="Z152" i="1"/>
  <c r="J49" i="9" s="1"/>
  <c r="N5" i="9"/>
  <c r="AL152" i="1"/>
  <c r="N49" i="9" s="1"/>
  <c r="R5" i="9"/>
  <c r="AX152" i="1"/>
  <c r="R49" i="9" s="1"/>
  <c r="V5" i="9"/>
  <c r="BJ152" i="1"/>
  <c r="V49" i="9" s="1"/>
  <c r="Z5" i="9"/>
  <c r="BV152" i="1"/>
  <c r="Z49" i="9" s="1"/>
  <c r="AD5" i="9"/>
  <c r="CH152" i="1"/>
  <c r="AD49" i="9" s="1"/>
  <c r="AH5" i="9"/>
  <c r="CT152" i="1"/>
  <c r="AH49" i="9" s="1"/>
  <c r="E8" i="9"/>
  <c r="K155" i="1"/>
  <c r="E52" i="9" s="1"/>
  <c r="I8" i="9"/>
  <c r="W155" i="1"/>
  <c r="I52" i="9" s="1"/>
  <c r="M8" i="9"/>
  <c r="AI155" i="1"/>
  <c r="M52" i="9" s="1"/>
  <c r="Q8" i="9"/>
  <c r="AU155" i="1"/>
  <c r="Q52" i="9" s="1"/>
  <c r="U8" i="9"/>
  <c r="BG155" i="1"/>
  <c r="U52" i="9" s="1"/>
  <c r="Y8" i="9"/>
  <c r="BS155" i="1"/>
  <c r="Y52" i="9" s="1"/>
  <c r="AC8" i="9"/>
  <c r="CE155" i="1"/>
  <c r="AC52" i="9" s="1"/>
  <c r="AG8" i="9"/>
  <c r="CQ155" i="1"/>
  <c r="AG52" i="9" s="1"/>
  <c r="E9" i="9"/>
  <c r="K156" i="1"/>
  <c r="E53" i="9" s="1"/>
  <c r="I9" i="9"/>
  <c r="W156" i="1"/>
  <c r="I53" i="9" s="1"/>
  <c r="M9" i="9"/>
  <c r="AI156" i="1"/>
  <c r="M53" i="9" s="1"/>
  <c r="Q9" i="9"/>
  <c r="AU156" i="1"/>
  <c r="Q53" i="9" s="1"/>
  <c r="U9" i="9"/>
  <c r="BG156" i="1"/>
  <c r="U53" i="9" s="1"/>
  <c r="Y9" i="9"/>
  <c r="BS156" i="1"/>
  <c r="Y53" i="9" s="1"/>
  <c r="AC9" i="9"/>
  <c r="CE156" i="1"/>
  <c r="AC53" i="9" s="1"/>
  <c r="AG9" i="9"/>
  <c r="CQ156" i="1"/>
  <c r="AG53" i="9" s="1"/>
  <c r="E10" i="9"/>
  <c r="I10" i="9"/>
  <c r="W157" i="1"/>
  <c r="I54" i="9" s="1"/>
  <c r="M10" i="9"/>
  <c r="AI157" i="1"/>
  <c r="M54" i="9" s="1"/>
  <c r="Q10" i="9"/>
  <c r="AU157" i="1"/>
  <c r="Q54" i="9" s="1"/>
  <c r="U10" i="9"/>
  <c r="BG157" i="1"/>
  <c r="U54" i="9" s="1"/>
  <c r="Y10" i="9"/>
  <c r="BS157" i="1"/>
  <c r="Y54" i="9" s="1"/>
  <c r="AC10" i="9"/>
  <c r="CE157" i="1"/>
  <c r="AC54" i="9" s="1"/>
  <c r="AG10" i="9"/>
  <c r="CQ157" i="1"/>
  <c r="AG54" i="9" s="1"/>
  <c r="E12" i="9"/>
  <c r="K159" i="1"/>
  <c r="E56" i="9" s="1"/>
  <c r="I12" i="9"/>
  <c r="W159" i="1"/>
  <c r="I56" i="9" s="1"/>
  <c r="M12" i="9"/>
  <c r="AI159" i="1"/>
  <c r="M56" i="9" s="1"/>
  <c r="Q12" i="9"/>
  <c r="AU159" i="1"/>
  <c r="Q56" i="9" s="1"/>
  <c r="U12" i="9"/>
  <c r="BG159" i="1"/>
  <c r="U56" i="9" s="1"/>
  <c r="Y12" i="9"/>
  <c r="AC12" i="9"/>
  <c r="CE159" i="1"/>
  <c r="AG12" i="9"/>
  <c r="CQ159" i="1"/>
  <c r="AG56" i="9" s="1"/>
  <c r="E13" i="9"/>
  <c r="K160" i="1"/>
  <c r="E57" i="9" s="1"/>
  <c r="I13" i="9"/>
  <c r="W160" i="1"/>
  <c r="I57" i="9" s="1"/>
  <c r="M13" i="9"/>
  <c r="AI160" i="1"/>
  <c r="M57" i="9" s="1"/>
  <c r="Q13" i="9"/>
  <c r="AU160" i="1"/>
  <c r="Q57" i="9" s="1"/>
  <c r="U13" i="9"/>
  <c r="Y13" i="9"/>
  <c r="BS160" i="1"/>
  <c r="Y57" i="9" s="1"/>
  <c r="AC13" i="9"/>
  <c r="CE160" i="1"/>
  <c r="AC57" i="9" s="1"/>
  <c r="AG13" i="9"/>
  <c r="CQ160" i="1"/>
  <c r="AG57" i="9" s="1"/>
  <c r="I58" i="9"/>
  <c r="Y14" i="9"/>
  <c r="C18" i="9"/>
  <c r="E165" i="1"/>
  <c r="C62" i="9" s="1"/>
  <c r="G18" i="9"/>
  <c r="Q165" i="1"/>
  <c r="G62" i="9" s="1"/>
  <c r="K18" i="9"/>
  <c r="AC165" i="1"/>
  <c r="K62" i="9" s="1"/>
  <c r="O18" i="9"/>
  <c r="AO165" i="1"/>
  <c r="O62" i="9" s="1"/>
  <c r="S18" i="9"/>
  <c r="BA165" i="1"/>
  <c r="S62" i="9" s="1"/>
  <c r="W18" i="9"/>
  <c r="BM165" i="1"/>
  <c r="W62" i="9" s="1"/>
  <c r="AA18" i="9"/>
  <c r="BY165" i="1"/>
  <c r="AA62" i="9" s="1"/>
  <c r="AE18" i="9"/>
  <c r="CK165" i="1"/>
  <c r="AE62" i="9" s="1"/>
  <c r="CW165" i="1"/>
  <c r="AI62" i="9" s="1"/>
  <c r="D19" i="9"/>
  <c r="H166" i="1"/>
  <c r="D63" i="9" s="1"/>
  <c r="H19" i="9"/>
  <c r="T166" i="1"/>
  <c r="H63" i="9" s="1"/>
  <c r="L19" i="9"/>
  <c r="AF166" i="1"/>
  <c r="L63" i="9" s="1"/>
  <c r="P19" i="9"/>
  <c r="AR166" i="1"/>
  <c r="P63" i="9" s="1"/>
  <c r="T19" i="9"/>
  <c r="BD166" i="1"/>
  <c r="T63" i="9" s="1"/>
  <c r="X19" i="9"/>
  <c r="BP166" i="1"/>
  <c r="X63" i="9" s="1"/>
  <c r="AB19" i="9"/>
  <c r="CB166" i="1"/>
  <c r="AB63" i="9" s="1"/>
  <c r="AF19" i="9"/>
  <c r="CN166" i="1"/>
  <c r="AF63" i="9" s="1"/>
  <c r="CZ166" i="1"/>
  <c r="AJ63" i="9" s="1"/>
  <c r="I76" i="9"/>
  <c r="AT146" i="1"/>
  <c r="P58" i="9"/>
  <c r="T70" i="9"/>
  <c r="AK151" i="1"/>
  <c r="AK182" i="1" s="1"/>
  <c r="AK146" i="1"/>
  <c r="U16" i="9"/>
  <c r="BG163" i="1"/>
  <c r="U60" i="9" s="1"/>
  <c r="D151" i="1"/>
  <c r="D146" i="1"/>
  <c r="P151" i="1"/>
  <c r="P182" i="1" s="1"/>
  <c r="P146" i="1"/>
  <c r="AB151" i="1"/>
  <c r="AB182" i="1" s="1"/>
  <c r="AB146" i="1"/>
  <c r="AN151" i="1"/>
  <c r="AN182" i="1" s="1"/>
  <c r="AN146" i="1"/>
  <c r="AZ151" i="1"/>
  <c r="AZ182" i="1" s="1"/>
  <c r="AZ146" i="1"/>
  <c r="BL151" i="1"/>
  <c r="BL182" i="1" s="1"/>
  <c r="BL146" i="1"/>
  <c r="BX151" i="1"/>
  <c r="BX182" i="1" s="1"/>
  <c r="BX146" i="1"/>
  <c r="CJ151" i="1"/>
  <c r="CJ182" i="1" s="1"/>
  <c r="CJ146" i="1"/>
  <c r="CV151" i="1"/>
  <c r="CV182" i="1" s="1"/>
  <c r="CV146" i="1"/>
  <c r="B6" i="9"/>
  <c r="B153" i="1"/>
  <c r="F6" i="9"/>
  <c r="N153" i="1"/>
  <c r="F50" i="9" s="1"/>
  <c r="J6" i="9"/>
  <c r="Z153" i="1"/>
  <c r="J50" i="9" s="1"/>
  <c r="N6" i="9"/>
  <c r="AL153" i="1"/>
  <c r="N50" i="9" s="1"/>
  <c r="R6" i="9"/>
  <c r="AX153" i="1"/>
  <c r="R50" i="9" s="1"/>
  <c r="V6" i="9"/>
  <c r="BJ153" i="1"/>
  <c r="V50" i="9" s="1"/>
  <c r="Z6" i="9"/>
  <c r="BV153" i="1"/>
  <c r="Z50" i="9" s="1"/>
  <c r="AD6" i="9"/>
  <c r="CH153" i="1"/>
  <c r="AD50" i="9" s="1"/>
  <c r="AH6" i="9"/>
  <c r="CT153" i="1"/>
  <c r="AH50" i="9" s="1"/>
  <c r="D164" i="1"/>
  <c r="D176" i="1"/>
  <c r="B180" i="1"/>
  <c r="B33" i="9"/>
  <c r="F33" i="9"/>
  <c r="N180" i="1"/>
  <c r="F77" i="9" s="1"/>
  <c r="J33" i="9"/>
  <c r="Z180" i="1"/>
  <c r="J77" i="9" s="1"/>
  <c r="N33" i="9"/>
  <c r="AL180" i="1"/>
  <c r="N77" i="9" s="1"/>
  <c r="R33" i="9"/>
  <c r="AX180" i="1"/>
  <c r="R77" i="9" s="1"/>
  <c r="V33" i="9"/>
  <c r="BJ180" i="1"/>
  <c r="V77" i="9" s="1"/>
  <c r="BF146" i="1"/>
  <c r="Y58" i="9"/>
  <c r="Q16" i="9"/>
  <c r="AU163" i="1"/>
  <c r="Q60" i="9" s="1"/>
  <c r="C4" i="9"/>
  <c r="E151" i="1"/>
  <c r="E146" i="1"/>
  <c r="G4" i="9"/>
  <c r="Q151" i="1"/>
  <c r="Q146" i="1"/>
  <c r="K4" i="9"/>
  <c r="AC151" i="1"/>
  <c r="AC146" i="1"/>
  <c r="O4" i="9"/>
  <c r="AO151" i="1"/>
  <c r="AO146" i="1"/>
  <c r="S4" i="9"/>
  <c r="BA151" i="1"/>
  <c r="BA146" i="1"/>
  <c r="W4" i="9"/>
  <c r="BM151" i="1"/>
  <c r="BM146" i="1"/>
  <c r="BY151" i="1"/>
  <c r="AA4" i="9"/>
  <c r="BY146" i="1"/>
  <c r="AE4" i="9"/>
  <c r="CK151" i="1"/>
  <c r="CK146" i="1"/>
  <c r="CW151" i="1"/>
  <c r="CW146" i="1"/>
  <c r="B7" i="9"/>
  <c r="B154" i="1"/>
  <c r="F7" i="9"/>
  <c r="N154" i="1"/>
  <c r="F51" i="9" s="1"/>
  <c r="J7" i="9"/>
  <c r="Z154" i="1"/>
  <c r="J51" i="9" s="1"/>
  <c r="N7" i="9"/>
  <c r="AL154" i="1"/>
  <c r="N51" i="9" s="1"/>
  <c r="R7" i="9"/>
  <c r="AX154" i="1"/>
  <c r="R51" i="9" s="1"/>
  <c r="V7" i="9"/>
  <c r="BJ154" i="1"/>
  <c r="V51" i="9" s="1"/>
  <c r="Z7" i="9"/>
  <c r="BV154" i="1"/>
  <c r="Z51" i="9" s="1"/>
  <c r="AD7" i="9"/>
  <c r="CH154" i="1"/>
  <c r="AD51" i="9" s="1"/>
  <c r="AH7" i="9"/>
  <c r="CT154" i="1"/>
  <c r="AH51" i="9" s="1"/>
  <c r="B15" i="9"/>
  <c r="B162" i="1"/>
  <c r="J59" i="9"/>
  <c r="N59" i="9"/>
  <c r="V59" i="9"/>
  <c r="AH59" i="9"/>
  <c r="C163" i="1"/>
  <c r="B21" i="9"/>
  <c r="B168" i="1"/>
  <c r="F21" i="9"/>
  <c r="N168" i="1"/>
  <c r="F65" i="9" s="1"/>
  <c r="J21" i="9"/>
  <c r="Z168" i="1"/>
  <c r="J65" i="9" s="1"/>
  <c r="N21" i="9"/>
  <c r="AL168" i="1"/>
  <c r="N65" i="9" s="1"/>
  <c r="R21" i="9"/>
  <c r="AX168" i="1"/>
  <c r="R65" i="9" s="1"/>
  <c r="V21" i="9"/>
  <c r="BJ168" i="1"/>
  <c r="V65" i="9" s="1"/>
  <c r="Z21" i="9"/>
  <c r="BV168" i="1"/>
  <c r="Z65" i="9" s="1"/>
  <c r="AD21" i="9"/>
  <c r="CH168" i="1"/>
  <c r="AD65" i="9" s="1"/>
  <c r="AH21" i="9"/>
  <c r="CT168" i="1"/>
  <c r="AH65" i="9" s="1"/>
  <c r="D170" i="1"/>
  <c r="K174" i="1"/>
  <c r="E71" i="9" s="1"/>
  <c r="E27" i="9"/>
  <c r="I27" i="9"/>
  <c r="W174" i="1"/>
  <c r="I71" i="9" s="1"/>
  <c r="M27" i="9"/>
  <c r="AI174" i="1"/>
  <c r="M71" i="9" s="1"/>
  <c r="Q27" i="9"/>
  <c r="AU174" i="1"/>
  <c r="Q71" i="9" s="1"/>
  <c r="U27" i="9"/>
  <c r="BG174" i="1"/>
  <c r="U71" i="9" s="1"/>
  <c r="BR146" i="1"/>
  <c r="BP157" i="1"/>
  <c r="X54" i="9" s="1"/>
  <c r="AW151" i="1"/>
  <c r="AW182" i="1" s="1"/>
  <c r="AW146" i="1"/>
  <c r="Q6" i="9"/>
  <c r="AU153" i="1"/>
  <c r="Q50" i="9" s="1"/>
  <c r="F151" i="1"/>
  <c r="F146" i="1"/>
  <c r="R151" i="1"/>
  <c r="R182" i="1" s="1"/>
  <c r="R146" i="1"/>
  <c r="AD151" i="1"/>
  <c r="AD182" i="1" s="1"/>
  <c r="AD146" i="1"/>
  <c r="AP151" i="1"/>
  <c r="AP182" i="1" s="1"/>
  <c r="AP146" i="1"/>
  <c r="BB151" i="1"/>
  <c r="BB182" i="1" s="1"/>
  <c r="BB146" i="1"/>
  <c r="BN151" i="1"/>
  <c r="BN182" i="1" s="1"/>
  <c r="BN146" i="1"/>
  <c r="BZ151" i="1"/>
  <c r="BZ182" i="1" s="1"/>
  <c r="BZ146" i="1"/>
  <c r="CL151" i="1"/>
  <c r="CL182" i="1" s="1"/>
  <c r="CL146" i="1"/>
  <c r="CX151" i="1"/>
  <c r="CX182" i="1" s="1"/>
  <c r="CX146" i="1"/>
  <c r="C5" i="9"/>
  <c r="E152" i="1"/>
  <c r="C49" i="9" s="1"/>
  <c r="G5" i="9"/>
  <c r="Q152" i="1"/>
  <c r="G49" i="9" s="1"/>
  <c r="K5" i="9"/>
  <c r="AC152" i="1"/>
  <c r="K49" i="9" s="1"/>
  <c r="O5" i="9"/>
  <c r="AO152" i="1"/>
  <c r="O49" i="9" s="1"/>
  <c r="S5" i="9"/>
  <c r="BA152" i="1"/>
  <c r="S49" i="9" s="1"/>
  <c r="W5" i="9"/>
  <c r="BM152" i="1"/>
  <c r="W49" i="9" s="1"/>
  <c r="AA5" i="9"/>
  <c r="BY152" i="1"/>
  <c r="AA49" i="9" s="1"/>
  <c r="AE5" i="9"/>
  <c r="CK152" i="1"/>
  <c r="AE49" i="9" s="1"/>
  <c r="CW152" i="1"/>
  <c r="AI49" i="9" s="1"/>
  <c r="B8" i="9"/>
  <c r="B155" i="1"/>
  <c r="F8" i="9"/>
  <c r="N155" i="1"/>
  <c r="F52" i="9" s="1"/>
  <c r="J8" i="9"/>
  <c r="Z155" i="1"/>
  <c r="J52" i="9" s="1"/>
  <c r="N8" i="9"/>
  <c r="AL155" i="1"/>
  <c r="N52" i="9" s="1"/>
  <c r="R8" i="9"/>
  <c r="AX155" i="1"/>
  <c r="R52" i="9" s="1"/>
  <c r="V8" i="9"/>
  <c r="BJ155" i="1"/>
  <c r="V52" i="9" s="1"/>
  <c r="B9" i="9"/>
  <c r="B156" i="1"/>
  <c r="F9" i="9"/>
  <c r="N156" i="1"/>
  <c r="F53" i="9" s="1"/>
  <c r="J9" i="9"/>
  <c r="Z156" i="1"/>
  <c r="J53" i="9" s="1"/>
  <c r="N9" i="9"/>
  <c r="AL156" i="1"/>
  <c r="N53" i="9" s="1"/>
  <c r="R9" i="9"/>
  <c r="AX156" i="1"/>
  <c r="R53" i="9" s="1"/>
  <c r="Z9" i="9"/>
  <c r="BV156" i="1"/>
  <c r="Z53" i="9" s="1"/>
  <c r="AD9" i="9"/>
  <c r="CH156" i="1"/>
  <c r="AD53" i="9" s="1"/>
  <c r="AH9" i="9"/>
  <c r="CT156" i="1"/>
  <c r="AH53" i="9" s="1"/>
  <c r="B10" i="9"/>
  <c r="B157" i="1"/>
  <c r="F10" i="9"/>
  <c r="N157" i="1"/>
  <c r="F54" i="9" s="1"/>
  <c r="J10" i="9"/>
  <c r="Z157" i="1"/>
  <c r="J54" i="9" s="1"/>
  <c r="N10" i="9"/>
  <c r="AL157" i="1"/>
  <c r="N54" i="9" s="1"/>
  <c r="R10" i="9"/>
  <c r="AX157" i="1"/>
  <c r="R54" i="9" s="1"/>
  <c r="V10" i="9"/>
  <c r="BJ157" i="1"/>
  <c r="V54" i="9" s="1"/>
  <c r="Z10" i="9"/>
  <c r="BV157" i="1"/>
  <c r="Z54" i="9" s="1"/>
  <c r="AD10" i="9"/>
  <c r="CH157" i="1"/>
  <c r="AD54" i="9" s="1"/>
  <c r="AH10" i="9"/>
  <c r="CT157" i="1"/>
  <c r="AH54" i="9" s="1"/>
  <c r="B11" i="9"/>
  <c r="B158" i="1"/>
  <c r="F11" i="9"/>
  <c r="N158" i="1"/>
  <c r="F55" i="9" s="1"/>
  <c r="J11" i="9"/>
  <c r="Z158" i="1"/>
  <c r="J55" i="9" s="1"/>
  <c r="N11" i="9"/>
  <c r="AL158" i="1"/>
  <c r="N55" i="9" s="1"/>
  <c r="R11" i="9"/>
  <c r="AX158" i="1"/>
  <c r="R55" i="9" s="1"/>
  <c r="V11" i="9"/>
  <c r="BJ158" i="1"/>
  <c r="V55" i="9" s="1"/>
  <c r="Z11" i="9"/>
  <c r="BV158" i="1"/>
  <c r="Z55" i="9" s="1"/>
  <c r="AD11" i="9"/>
  <c r="CH158" i="1"/>
  <c r="AD55" i="9" s="1"/>
  <c r="AH11" i="9"/>
  <c r="CT158" i="1"/>
  <c r="AH55" i="9" s="1"/>
  <c r="B12" i="9"/>
  <c r="B159" i="1"/>
  <c r="F12" i="9"/>
  <c r="N159" i="1"/>
  <c r="F56" i="9" s="1"/>
  <c r="J12" i="9"/>
  <c r="Z159" i="1"/>
  <c r="J56" i="9" s="1"/>
  <c r="N12" i="9"/>
  <c r="AL159" i="1"/>
  <c r="N56" i="9" s="1"/>
  <c r="R12" i="9"/>
  <c r="AX159" i="1"/>
  <c r="R56" i="9" s="1"/>
  <c r="V12" i="9"/>
  <c r="BJ159" i="1"/>
  <c r="V56" i="9" s="1"/>
  <c r="Z12" i="9"/>
  <c r="BV159" i="1"/>
  <c r="Z56" i="9" s="1"/>
  <c r="AD12" i="9"/>
  <c r="CH159" i="1"/>
  <c r="AD56" i="9" s="1"/>
  <c r="AH12" i="9"/>
  <c r="CT159" i="1"/>
  <c r="AH56" i="9" s="1"/>
  <c r="B160" i="1"/>
  <c r="B13" i="9"/>
  <c r="F13" i="9"/>
  <c r="N160" i="1"/>
  <c r="F57" i="9" s="1"/>
  <c r="Z160" i="1"/>
  <c r="J57" i="9" s="1"/>
  <c r="J13" i="9"/>
  <c r="N13" i="9"/>
  <c r="AL160" i="1"/>
  <c r="N57" i="9" s="1"/>
  <c r="R13" i="9"/>
  <c r="AX160" i="1"/>
  <c r="R57" i="9" s="1"/>
  <c r="V13" i="9"/>
  <c r="BJ160" i="1"/>
  <c r="V57" i="9" s="1"/>
  <c r="Z13" i="9"/>
  <c r="BV160" i="1"/>
  <c r="Z57" i="9" s="1"/>
  <c r="AD13" i="9"/>
  <c r="CH160" i="1"/>
  <c r="AD57" i="9" s="1"/>
  <c r="AH13" i="9"/>
  <c r="CT160" i="1"/>
  <c r="AH57" i="9" s="1"/>
  <c r="B58" i="9"/>
  <c r="D18" i="9"/>
  <c r="H165" i="1"/>
  <c r="D62" i="9" s="1"/>
  <c r="H18" i="9"/>
  <c r="T165" i="1"/>
  <c r="H62" i="9" s="1"/>
  <c r="L18" i="9"/>
  <c r="AF165" i="1"/>
  <c r="L62" i="9" s="1"/>
  <c r="P18" i="9"/>
  <c r="AR165" i="1"/>
  <c r="P62" i="9" s="1"/>
  <c r="T18" i="9"/>
  <c r="BD165" i="1"/>
  <c r="T62" i="9" s="1"/>
  <c r="X18" i="9"/>
  <c r="BP165" i="1"/>
  <c r="X62" i="9" s="1"/>
  <c r="AB18" i="9"/>
  <c r="CB165" i="1"/>
  <c r="AB62" i="9" s="1"/>
  <c r="AF18" i="9"/>
  <c r="CN165" i="1"/>
  <c r="AF62" i="9" s="1"/>
  <c r="CZ165" i="1"/>
  <c r="AJ62" i="9" s="1"/>
  <c r="D25" i="9"/>
  <c r="H172" i="1"/>
  <c r="D69" i="9" s="1"/>
  <c r="H25" i="9"/>
  <c r="T172" i="1"/>
  <c r="H69" i="9" s="1"/>
  <c r="AF172" i="1"/>
  <c r="L69" i="9" s="1"/>
  <c r="L25" i="9"/>
  <c r="P25" i="9"/>
  <c r="AR172" i="1"/>
  <c r="P69" i="9" s="1"/>
  <c r="T25" i="9"/>
  <c r="BD172" i="1"/>
  <c r="T69" i="9" s="1"/>
  <c r="X25" i="9"/>
  <c r="BP172" i="1"/>
  <c r="X69" i="9" s="1"/>
  <c r="AB25" i="9"/>
  <c r="CB172" i="1"/>
  <c r="AB69" i="9" s="1"/>
  <c r="AF25" i="9"/>
  <c r="CN172" i="1"/>
  <c r="AF69" i="9" s="1"/>
  <c r="CZ172" i="1"/>
  <c r="AJ69" i="9" s="1"/>
  <c r="CD146" i="1"/>
  <c r="BS159" i="1"/>
  <c r="Y56" i="9" s="1"/>
  <c r="T162" i="1"/>
  <c r="H59" i="9" s="1"/>
  <c r="V64" i="9"/>
  <c r="G151" i="1"/>
  <c r="G146" i="1"/>
  <c r="S151" i="1"/>
  <c r="S182" i="1" s="1"/>
  <c r="S146" i="1"/>
  <c r="AE151" i="1"/>
  <c r="AE182" i="1" s="1"/>
  <c r="AE146" i="1"/>
  <c r="AQ151" i="1"/>
  <c r="AQ182" i="1" s="1"/>
  <c r="AQ146" i="1"/>
  <c r="BC151" i="1"/>
  <c r="BC182" i="1" s="1"/>
  <c r="BC146" i="1"/>
  <c r="BO151" i="1"/>
  <c r="BO182" i="1" s="1"/>
  <c r="BO146" i="1"/>
  <c r="CA151" i="1"/>
  <c r="CA182" i="1" s="1"/>
  <c r="CA146" i="1"/>
  <c r="CM151" i="1"/>
  <c r="CM182" i="1" s="1"/>
  <c r="CM146" i="1"/>
  <c r="CY151" i="1"/>
  <c r="CY182" i="1" s="1"/>
  <c r="CY146" i="1"/>
  <c r="C6" i="9"/>
  <c r="E153" i="1"/>
  <c r="C50" i="9" s="1"/>
  <c r="G6" i="9"/>
  <c r="Q153" i="1"/>
  <c r="G50" i="9" s="1"/>
  <c r="K6" i="9"/>
  <c r="AC153" i="1"/>
  <c r="K50" i="9" s="1"/>
  <c r="O6" i="9"/>
  <c r="AO153" i="1"/>
  <c r="O50" i="9" s="1"/>
  <c r="S6" i="9"/>
  <c r="BA153" i="1"/>
  <c r="S50" i="9" s="1"/>
  <c r="W6" i="9"/>
  <c r="BM153" i="1"/>
  <c r="W50" i="9" s="1"/>
  <c r="AA6" i="9"/>
  <c r="BY153" i="1"/>
  <c r="AA50" i="9" s="1"/>
  <c r="AE6" i="9"/>
  <c r="CK153" i="1"/>
  <c r="AE50" i="9" s="1"/>
  <c r="CW153" i="1"/>
  <c r="AI50" i="9" s="1"/>
  <c r="C157" i="1"/>
  <c r="D162" i="1"/>
  <c r="C16" i="9"/>
  <c r="E163" i="1"/>
  <c r="C60" i="9" s="1"/>
  <c r="G16" i="9"/>
  <c r="Q163" i="1"/>
  <c r="G60" i="9" s="1"/>
  <c r="K16" i="9"/>
  <c r="AC163" i="1"/>
  <c r="K60" i="9" s="1"/>
  <c r="O16" i="9"/>
  <c r="AO163" i="1"/>
  <c r="O60" i="9" s="1"/>
  <c r="S16" i="9"/>
  <c r="BA163" i="1"/>
  <c r="S60" i="9" s="1"/>
  <c r="W16" i="9"/>
  <c r="BM163" i="1"/>
  <c r="W60" i="9" s="1"/>
  <c r="AA16" i="9"/>
  <c r="BY163" i="1"/>
  <c r="AA60" i="9" s="1"/>
  <c r="AE16" i="9"/>
  <c r="CK163" i="1"/>
  <c r="AE60" i="9" s="1"/>
  <c r="CW163" i="1"/>
  <c r="AI60" i="9" s="1"/>
  <c r="C22" i="9"/>
  <c r="E169" i="1"/>
  <c r="C66" i="9" s="1"/>
  <c r="G22" i="9"/>
  <c r="Q169" i="1"/>
  <c r="G66" i="9" s="1"/>
  <c r="K22" i="9"/>
  <c r="AC169" i="1"/>
  <c r="K66" i="9" s="1"/>
  <c r="O22" i="9"/>
  <c r="AO169" i="1"/>
  <c r="O66" i="9" s="1"/>
  <c r="S22" i="9"/>
  <c r="BA169" i="1"/>
  <c r="S66" i="9" s="1"/>
  <c r="W22" i="9"/>
  <c r="BM169" i="1"/>
  <c r="W66" i="9" s="1"/>
  <c r="AA22" i="9"/>
  <c r="BY169" i="1"/>
  <c r="AA66" i="9" s="1"/>
  <c r="AE22" i="9"/>
  <c r="CK169" i="1"/>
  <c r="AE66" i="9" s="1"/>
  <c r="CW169" i="1"/>
  <c r="AI66" i="9" s="1"/>
  <c r="C179" i="1"/>
  <c r="CP146" i="1"/>
  <c r="CG151" i="1"/>
  <c r="CG182" i="1" s="1"/>
  <c r="CG146" i="1"/>
  <c r="AC6" i="9"/>
  <c r="CE153" i="1"/>
  <c r="AC50" i="9" s="1"/>
  <c r="AG16" i="9"/>
  <c r="CQ163" i="1"/>
  <c r="AG60" i="9" s="1"/>
  <c r="Y22" i="9"/>
  <c r="BS169" i="1"/>
  <c r="Y66" i="9" s="1"/>
  <c r="N24" i="9"/>
  <c r="AL171" i="1"/>
  <c r="N68" i="9" s="1"/>
  <c r="D4" i="9"/>
  <c r="H151" i="1"/>
  <c r="H146" i="1"/>
  <c r="H4" i="9"/>
  <c r="T151" i="1"/>
  <c r="T146" i="1"/>
  <c r="L4" i="9"/>
  <c r="AF151" i="1"/>
  <c r="AF146" i="1"/>
  <c r="P4" i="9"/>
  <c r="AR151" i="1"/>
  <c r="AR146" i="1"/>
  <c r="T4" i="9"/>
  <c r="BD151" i="1"/>
  <c r="BD146" i="1"/>
  <c r="X4" i="9"/>
  <c r="BP151" i="1"/>
  <c r="BP146" i="1"/>
  <c r="AB4" i="9"/>
  <c r="CB151" i="1"/>
  <c r="CB146" i="1"/>
  <c r="AF4" i="9"/>
  <c r="CN151" i="1"/>
  <c r="CN146" i="1"/>
  <c r="CZ151" i="1"/>
  <c r="CZ146" i="1"/>
  <c r="C7" i="9"/>
  <c r="E154" i="1"/>
  <c r="C51" i="9" s="1"/>
  <c r="G7" i="9"/>
  <c r="Q154" i="1"/>
  <c r="G51" i="9" s="1"/>
  <c r="K7" i="9"/>
  <c r="AC154" i="1"/>
  <c r="K51" i="9" s="1"/>
  <c r="O7" i="9"/>
  <c r="AO154" i="1"/>
  <c r="O51" i="9" s="1"/>
  <c r="S7" i="9"/>
  <c r="BA154" i="1"/>
  <c r="S51" i="9" s="1"/>
  <c r="W7" i="9"/>
  <c r="BM154" i="1"/>
  <c r="W51" i="9" s="1"/>
  <c r="AA7" i="9"/>
  <c r="BY154" i="1"/>
  <c r="AA51" i="9" s="1"/>
  <c r="AE7" i="9"/>
  <c r="CK154" i="1"/>
  <c r="AE51" i="9" s="1"/>
  <c r="CW154" i="1"/>
  <c r="AI51" i="9" s="1"/>
  <c r="D156" i="1"/>
  <c r="C167" i="1"/>
  <c r="C21" i="9"/>
  <c r="E168" i="1"/>
  <c r="C65" i="9" s="1"/>
  <c r="G21" i="9"/>
  <c r="Q168" i="1"/>
  <c r="G65" i="9" s="1"/>
  <c r="K21" i="9"/>
  <c r="AC168" i="1"/>
  <c r="K65" i="9" s="1"/>
  <c r="O21" i="9"/>
  <c r="AO168" i="1"/>
  <c r="O65" i="9" s="1"/>
  <c r="S21" i="9"/>
  <c r="BA168" i="1"/>
  <c r="S65" i="9" s="1"/>
  <c r="W21" i="9"/>
  <c r="BM168" i="1"/>
  <c r="W65" i="9" s="1"/>
  <c r="AA21" i="9"/>
  <c r="BY168" i="1"/>
  <c r="AA65" i="9" s="1"/>
  <c r="AE21" i="9"/>
  <c r="CK168" i="1"/>
  <c r="AE65" i="9" s="1"/>
  <c r="CW168" i="1"/>
  <c r="AI65" i="9" s="1"/>
  <c r="C28" i="9"/>
  <c r="E175" i="1"/>
  <c r="C72" i="9" s="1"/>
  <c r="G28" i="9"/>
  <c r="Q175" i="1"/>
  <c r="G72" i="9" s="1"/>
  <c r="K28" i="9"/>
  <c r="AC175" i="1"/>
  <c r="K72" i="9" s="1"/>
  <c r="O28" i="9"/>
  <c r="AO175" i="1"/>
  <c r="O72" i="9" s="1"/>
  <c r="S28" i="9"/>
  <c r="BA175" i="1"/>
  <c r="S72" i="9" s="1"/>
  <c r="W28" i="9"/>
  <c r="BM175" i="1"/>
  <c r="W72" i="9" s="1"/>
  <c r="AA28" i="9"/>
  <c r="BY175" i="1"/>
  <c r="AA72" i="9" s="1"/>
  <c r="AE28" i="9"/>
  <c r="CK175" i="1"/>
  <c r="AE72" i="9" s="1"/>
  <c r="CW175" i="1"/>
  <c r="AI72" i="9" s="1"/>
  <c r="B31" i="9"/>
  <c r="B178" i="1"/>
  <c r="F31" i="9"/>
  <c r="N178" i="1"/>
  <c r="F75" i="9" s="1"/>
  <c r="J31" i="9"/>
  <c r="Z178" i="1"/>
  <c r="J75" i="9" s="1"/>
  <c r="N31" i="9"/>
  <c r="AL178" i="1"/>
  <c r="N75" i="9" s="1"/>
  <c r="R31" i="9"/>
  <c r="AX178" i="1"/>
  <c r="R75" i="9" s="1"/>
  <c r="V31" i="9"/>
  <c r="BJ178" i="1"/>
  <c r="V75" i="9" s="1"/>
  <c r="BV178" i="1"/>
  <c r="Z75" i="9" s="1"/>
  <c r="Z31" i="9"/>
  <c r="AD31" i="9"/>
  <c r="CH178" i="1"/>
  <c r="AD75" i="9" s="1"/>
  <c r="AH31" i="9"/>
  <c r="CT178" i="1"/>
  <c r="AH75" i="9" s="1"/>
  <c r="DB146" i="1"/>
  <c r="CZ159" i="1"/>
  <c r="AJ56" i="9" s="1"/>
  <c r="BI151" i="1"/>
  <c r="BI182" i="1" s="1"/>
  <c r="BI146" i="1"/>
  <c r="U6" i="9"/>
  <c r="BG153" i="1"/>
  <c r="U50" i="9" s="1"/>
  <c r="AC16" i="9"/>
  <c r="CE163" i="1"/>
  <c r="AC60" i="9" s="1"/>
  <c r="I22" i="9"/>
  <c r="W169" i="1"/>
  <c r="I66" i="9" s="1"/>
  <c r="I146" i="1"/>
  <c r="U146" i="1"/>
  <c r="AG146" i="1"/>
  <c r="AS146" i="1"/>
  <c r="BE146" i="1"/>
  <c r="BQ146" i="1"/>
  <c r="CC146" i="1"/>
  <c r="CO146" i="1"/>
  <c r="DA146" i="1"/>
  <c r="D5" i="9"/>
  <c r="H5" i="9"/>
  <c r="L5" i="9"/>
  <c r="P5" i="9"/>
  <c r="T5" i="9"/>
  <c r="X5" i="9"/>
  <c r="AB5" i="9"/>
  <c r="AF5" i="9"/>
  <c r="C8" i="9"/>
  <c r="G8" i="9"/>
  <c r="K8" i="9"/>
  <c r="O8" i="9"/>
  <c r="AO155" i="1"/>
  <c r="O52" i="9" s="1"/>
  <c r="S8" i="9"/>
  <c r="BA155" i="1"/>
  <c r="S52" i="9" s="1"/>
  <c r="W8" i="9"/>
  <c r="BM155" i="1"/>
  <c r="W52" i="9" s="1"/>
  <c r="AA8" i="9"/>
  <c r="BY155" i="1"/>
  <c r="AA52" i="9" s="1"/>
  <c r="AE8" i="9"/>
  <c r="CK155" i="1"/>
  <c r="AE52" i="9" s="1"/>
  <c r="CW155" i="1"/>
  <c r="AI52" i="9" s="1"/>
  <c r="C9" i="9"/>
  <c r="G9" i="9"/>
  <c r="Q156" i="1"/>
  <c r="G53" i="9" s="1"/>
  <c r="K9" i="9"/>
  <c r="AC156" i="1"/>
  <c r="K53" i="9" s="1"/>
  <c r="O9" i="9"/>
  <c r="AO156" i="1"/>
  <c r="O53" i="9" s="1"/>
  <c r="S9" i="9"/>
  <c r="BA156" i="1"/>
  <c r="S53" i="9" s="1"/>
  <c r="W9" i="9"/>
  <c r="BM156" i="1"/>
  <c r="W53" i="9" s="1"/>
  <c r="AA9" i="9"/>
  <c r="AE9" i="9"/>
  <c r="CK156" i="1"/>
  <c r="AE53" i="9" s="1"/>
  <c r="CW156" i="1"/>
  <c r="AI53" i="9" s="1"/>
  <c r="C10" i="9"/>
  <c r="E157" i="1"/>
  <c r="C54" i="9" s="1"/>
  <c r="G10" i="9"/>
  <c r="Q157" i="1"/>
  <c r="G54" i="9" s="1"/>
  <c r="K10" i="9"/>
  <c r="AC157" i="1"/>
  <c r="K54" i="9" s="1"/>
  <c r="O10" i="9"/>
  <c r="AO157" i="1"/>
  <c r="O54" i="9" s="1"/>
  <c r="S10" i="9"/>
  <c r="BA157" i="1"/>
  <c r="S54" i="9" s="1"/>
  <c r="W10" i="9"/>
  <c r="BM157" i="1"/>
  <c r="W54" i="9" s="1"/>
  <c r="AA10" i="9"/>
  <c r="BY157" i="1"/>
  <c r="AA54" i="9" s="1"/>
  <c r="AE10" i="9"/>
  <c r="CK157" i="1"/>
  <c r="AE54" i="9" s="1"/>
  <c r="CW157" i="1"/>
  <c r="AI54" i="9" s="1"/>
  <c r="K55" i="9"/>
  <c r="W55" i="9"/>
  <c r="AA55" i="9"/>
  <c r="AI55" i="9"/>
  <c r="C12" i="9"/>
  <c r="E159" i="1"/>
  <c r="G12" i="9"/>
  <c r="Q159" i="1"/>
  <c r="G56" i="9" s="1"/>
  <c r="K12" i="9"/>
  <c r="AC159" i="1"/>
  <c r="K56" i="9" s="1"/>
  <c r="O12" i="9"/>
  <c r="AO159" i="1"/>
  <c r="O56" i="9" s="1"/>
  <c r="S12" i="9"/>
  <c r="W12" i="9"/>
  <c r="BM159" i="1"/>
  <c r="W56" i="9" s="1"/>
  <c r="AA12" i="9"/>
  <c r="BY159" i="1"/>
  <c r="AA56" i="9" s="1"/>
  <c r="AE12" i="9"/>
  <c r="CK159" i="1"/>
  <c r="AE56" i="9" s="1"/>
  <c r="CW159" i="1"/>
  <c r="AI56" i="9" s="1"/>
  <c r="C13" i="9"/>
  <c r="E160" i="1"/>
  <c r="G13" i="9"/>
  <c r="Q160" i="1"/>
  <c r="G57" i="9" s="1"/>
  <c r="K13" i="9"/>
  <c r="AC160" i="1"/>
  <c r="K57" i="9" s="1"/>
  <c r="O13" i="9"/>
  <c r="AO160" i="1"/>
  <c r="O57" i="9" s="1"/>
  <c r="S13" i="9"/>
  <c r="BA160" i="1"/>
  <c r="S57" i="9" s="1"/>
  <c r="W13" i="9"/>
  <c r="BM160" i="1"/>
  <c r="W57" i="9" s="1"/>
  <c r="AA13" i="9"/>
  <c r="BY160" i="1"/>
  <c r="AA57" i="9" s="1"/>
  <c r="AE13" i="9"/>
  <c r="CK160" i="1"/>
  <c r="AE57" i="9" s="1"/>
  <c r="C14" i="9"/>
  <c r="E161" i="1"/>
  <c r="C58" i="9" s="1"/>
  <c r="HG125" i="1"/>
  <c r="G14" i="9"/>
  <c r="K14" i="9"/>
  <c r="AC161" i="1"/>
  <c r="K58" i="9" s="1"/>
  <c r="O14" i="9"/>
  <c r="AO161" i="1"/>
  <c r="O58" i="9" s="1"/>
  <c r="S14" i="9"/>
  <c r="BA161" i="1"/>
  <c r="S58" i="9" s="1"/>
  <c r="W14" i="9"/>
  <c r="BM161" i="1"/>
  <c r="W58" i="9" s="1"/>
  <c r="AA14" i="9"/>
  <c r="BY161" i="1"/>
  <c r="AA58" i="9" s="1"/>
  <c r="AE14" i="9"/>
  <c r="CK161" i="1"/>
  <c r="AE58" i="9" s="1"/>
  <c r="CW161" i="1"/>
  <c r="AI58" i="9" s="1"/>
  <c r="I62" i="9"/>
  <c r="B19" i="9"/>
  <c r="B166" i="1"/>
  <c r="F19" i="9"/>
  <c r="N166" i="1"/>
  <c r="F63" i="9" s="1"/>
  <c r="Z166" i="1"/>
  <c r="J63" i="9" s="1"/>
  <c r="J19" i="9"/>
  <c r="N19" i="9"/>
  <c r="AL166" i="1"/>
  <c r="N63" i="9" s="1"/>
  <c r="R19" i="9"/>
  <c r="AX166" i="1"/>
  <c r="R63" i="9" s="1"/>
  <c r="V19" i="9"/>
  <c r="BJ166" i="1"/>
  <c r="V63" i="9" s="1"/>
  <c r="Z19" i="9"/>
  <c r="BV166" i="1"/>
  <c r="Z63" i="9" s="1"/>
  <c r="AD19" i="9"/>
  <c r="CH166" i="1"/>
  <c r="AD63" i="9" s="1"/>
  <c r="AH19" i="9"/>
  <c r="CT166" i="1"/>
  <c r="AH63" i="9" s="1"/>
  <c r="I151" i="1"/>
  <c r="I182" i="1" s="1"/>
  <c r="AR152" i="1"/>
  <c r="P49" i="9" s="1"/>
  <c r="E155" i="1"/>
  <c r="C52" i="9" s="1"/>
  <c r="BJ156" i="1"/>
  <c r="V53" i="9" s="1"/>
  <c r="M6" i="9"/>
  <c r="AI153" i="1"/>
  <c r="M50" i="9" s="1"/>
  <c r="Y16" i="9"/>
  <c r="BS163" i="1"/>
  <c r="Y60" i="9" s="1"/>
  <c r="M22" i="9"/>
  <c r="AI169" i="1"/>
  <c r="M66" i="9" s="1"/>
  <c r="J182" i="1"/>
  <c r="V182" i="1"/>
  <c r="AH182" i="1"/>
  <c r="AT182" i="1"/>
  <c r="BF182" i="1"/>
  <c r="BR182" i="1"/>
  <c r="CD182" i="1"/>
  <c r="CP182" i="1"/>
  <c r="DB182" i="1"/>
  <c r="D6" i="9"/>
  <c r="H153" i="1"/>
  <c r="D50" i="9" s="1"/>
  <c r="H6" i="9"/>
  <c r="T153" i="1"/>
  <c r="H50" i="9" s="1"/>
  <c r="L6" i="9"/>
  <c r="AF153" i="1"/>
  <c r="L50" i="9" s="1"/>
  <c r="P6" i="9"/>
  <c r="AR153" i="1"/>
  <c r="P50" i="9" s="1"/>
  <c r="T6" i="9"/>
  <c r="BD153" i="1"/>
  <c r="T50" i="9" s="1"/>
  <c r="X6" i="9"/>
  <c r="BP153" i="1"/>
  <c r="X50" i="9" s="1"/>
  <c r="AB6" i="9"/>
  <c r="CB153" i="1"/>
  <c r="AB50" i="9" s="1"/>
  <c r="AF6" i="9"/>
  <c r="CN153" i="1"/>
  <c r="AF50" i="9" s="1"/>
  <c r="CZ153" i="1"/>
  <c r="AJ50" i="9" s="1"/>
  <c r="F160" i="1"/>
  <c r="L60" i="9"/>
  <c r="G64" i="9"/>
  <c r="E24" i="9"/>
  <c r="K171" i="1"/>
  <c r="E68" i="9" s="1"/>
  <c r="I24" i="9"/>
  <c r="W171" i="1"/>
  <c r="I68" i="9" s="1"/>
  <c r="M24" i="9"/>
  <c r="AI171" i="1"/>
  <c r="M68" i="9" s="1"/>
  <c r="Q24" i="9"/>
  <c r="AU171" i="1"/>
  <c r="Q68" i="9" s="1"/>
  <c r="U24" i="9"/>
  <c r="BG171" i="1"/>
  <c r="U68" i="9" s="1"/>
  <c r="Y24" i="9"/>
  <c r="BS171" i="1"/>
  <c r="Y68" i="9" s="1"/>
  <c r="AC24" i="9"/>
  <c r="CE171" i="1"/>
  <c r="AC68" i="9" s="1"/>
  <c r="AG24" i="9"/>
  <c r="CQ171" i="1"/>
  <c r="AG68" i="9" s="1"/>
  <c r="D178" i="1"/>
  <c r="U151" i="1"/>
  <c r="U182" i="1" s="1"/>
  <c r="BD152" i="1"/>
  <c r="T49" i="9" s="1"/>
  <c r="Q155" i="1"/>
  <c r="G52" i="9" s="1"/>
  <c r="BY156" i="1"/>
  <c r="AA53" i="9" s="1"/>
  <c r="O55" i="9"/>
  <c r="E4" i="9"/>
  <c r="K151" i="1"/>
  <c r="K146" i="1"/>
  <c r="I4" i="9"/>
  <c r="W151" i="1"/>
  <c r="W146" i="1"/>
  <c r="M4" i="9"/>
  <c r="AI151" i="1"/>
  <c r="AI146" i="1"/>
  <c r="Q4" i="9"/>
  <c r="AU151" i="1"/>
  <c r="AU146" i="1"/>
  <c r="U4" i="9"/>
  <c r="BG151" i="1"/>
  <c r="BG146" i="1"/>
  <c r="Y4" i="9"/>
  <c r="BS151" i="1"/>
  <c r="BS146" i="1"/>
  <c r="AC4" i="9"/>
  <c r="CE151" i="1"/>
  <c r="CE146" i="1"/>
  <c r="AG4" i="9"/>
  <c r="CQ151" i="1"/>
  <c r="CQ146" i="1"/>
  <c r="D7" i="9"/>
  <c r="H154" i="1"/>
  <c r="D51" i="9" s="1"/>
  <c r="H7" i="9"/>
  <c r="T154" i="1"/>
  <c r="H51" i="9" s="1"/>
  <c r="L7" i="9"/>
  <c r="AF154" i="1"/>
  <c r="L51" i="9" s="1"/>
  <c r="P7" i="9"/>
  <c r="AR154" i="1"/>
  <c r="P51" i="9" s="1"/>
  <c r="T7" i="9"/>
  <c r="BD154" i="1"/>
  <c r="T51" i="9" s="1"/>
  <c r="X7" i="9"/>
  <c r="BP154" i="1"/>
  <c r="X51" i="9" s="1"/>
  <c r="AB7" i="9"/>
  <c r="CB154" i="1"/>
  <c r="AB51" i="9" s="1"/>
  <c r="AF7" i="9"/>
  <c r="CN154" i="1"/>
  <c r="AF51" i="9" s="1"/>
  <c r="CZ154" i="1"/>
  <c r="AJ51" i="9" s="1"/>
  <c r="G159" i="1"/>
  <c r="D15" i="9"/>
  <c r="H162" i="1"/>
  <c r="D59" i="9" s="1"/>
  <c r="L15" i="9"/>
  <c r="AF162" i="1"/>
  <c r="L59" i="9" s="1"/>
  <c r="P15" i="9"/>
  <c r="AR162" i="1"/>
  <c r="P59" i="9" s="1"/>
  <c r="T15" i="9"/>
  <c r="BD162" i="1"/>
  <c r="T59" i="9" s="1"/>
  <c r="X15" i="9"/>
  <c r="BP162" i="1"/>
  <c r="X59" i="9" s="1"/>
  <c r="AB15" i="9"/>
  <c r="CB162" i="1"/>
  <c r="AB59" i="9" s="1"/>
  <c r="AF15" i="9"/>
  <c r="CN162" i="1"/>
  <c r="AF59" i="9" s="1"/>
  <c r="CZ162" i="1"/>
  <c r="AJ59" i="9" s="1"/>
  <c r="I61" i="9"/>
  <c r="M165" i="1"/>
  <c r="D166" i="1"/>
  <c r="E34" i="9"/>
  <c r="K181" i="1"/>
  <c r="E78" i="9" s="1"/>
  <c r="I34" i="9"/>
  <c r="W181" i="1"/>
  <c r="I78" i="9" s="1"/>
  <c r="M34" i="9"/>
  <c r="AI181" i="1"/>
  <c r="M78" i="9" s="1"/>
  <c r="Q34" i="9"/>
  <c r="AU181" i="1"/>
  <c r="Q78" i="9" s="1"/>
  <c r="U34" i="9"/>
  <c r="BG181" i="1"/>
  <c r="U78" i="9" s="1"/>
  <c r="BS181" i="1"/>
  <c r="Y78" i="9" s="1"/>
  <c r="Y34" i="9"/>
  <c r="AC34" i="9"/>
  <c r="CE181" i="1"/>
  <c r="AC78" i="9" s="1"/>
  <c r="AG34" i="9"/>
  <c r="CQ181" i="1"/>
  <c r="AG78" i="9" s="1"/>
  <c r="AG151" i="1"/>
  <c r="AG182" i="1" s="1"/>
  <c r="BP152" i="1"/>
  <c r="X49" i="9" s="1"/>
  <c r="AC155" i="1"/>
  <c r="K52" i="9" s="1"/>
  <c r="U55" i="9"/>
  <c r="BG160" i="1"/>
  <c r="U57" i="9" s="1"/>
  <c r="Z8" i="9"/>
  <c r="AD8" i="9"/>
  <c r="AH8" i="9"/>
  <c r="E11" i="9"/>
  <c r="I11" i="9"/>
  <c r="M11" i="9"/>
  <c r="AI158" i="1"/>
  <c r="M55" i="9" s="1"/>
  <c r="Q11" i="9"/>
  <c r="U11" i="9"/>
  <c r="Y11" i="9"/>
  <c r="BS158" i="1"/>
  <c r="Y55" i="9" s="1"/>
  <c r="AC11" i="9"/>
  <c r="AG11" i="9"/>
  <c r="D14" i="9"/>
  <c r="H14" i="9"/>
  <c r="L14" i="9"/>
  <c r="P14" i="9"/>
  <c r="T14" i="9"/>
  <c r="X14" i="9"/>
  <c r="AB14" i="9"/>
  <c r="CB161" i="1"/>
  <c r="AB58" i="9" s="1"/>
  <c r="AF14" i="9"/>
  <c r="C17" i="9"/>
  <c r="G17" i="9"/>
  <c r="Q164" i="1"/>
  <c r="G61" i="9" s="1"/>
  <c r="K17" i="9"/>
  <c r="AC164" i="1"/>
  <c r="K61" i="9" s="1"/>
  <c r="O17" i="9"/>
  <c r="S17" i="9"/>
  <c r="BA164" i="1"/>
  <c r="S61" i="9" s="1"/>
  <c r="W17" i="9"/>
  <c r="BM164" i="1"/>
  <c r="W61" i="9" s="1"/>
  <c r="AA17" i="9"/>
  <c r="AE17" i="9"/>
  <c r="CK164" i="1"/>
  <c r="AE61" i="9" s="1"/>
  <c r="CW164" i="1"/>
  <c r="AI61" i="9" s="1"/>
  <c r="B20" i="9"/>
  <c r="B167" i="1"/>
  <c r="F20" i="9"/>
  <c r="N167" i="1"/>
  <c r="F64" i="9" s="1"/>
  <c r="J20" i="9"/>
  <c r="Z167" i="1"/>
  <c r="J64" i="9" s="1"/>
  <c r="N20" i="9"/>
  <c r="AL167" i="1"/>
  <c r="N64" i="9" s="1"/>
  <c r="R20" i="9"/>
  <c r="AX167" i="1"/>
  <c r="R64" i="9" s="1"/>
  <c r="V20" i="9"/>
  <c r="Z20" i="9"/>
  <c r="BV167" i="1"/>
  <c r="Z64" i="9" s="1"/>
  <c r="AD20" i="9"/>
  <c r="CH167" i="1"/>
  <c r="AD64" i="9" s="1"/>
  <c r="AH20" i="9"/>
  <c r="HG133" i="1"/>
  <c r="E23" i="9"/>
  <c r="K170" i="1"/>
  <c r="E67" i="9" s="1"/>
  <c r="I23" i="9"/>
  <c r="M23" i="9"/>
  <c r="AI170" i="1"/>
  <c r="M67" i="9" s="1"/>
  <c r="Q23" i="9"/>
  <c r="AU170" i="1"/>
  <c r="Q67" i="9" s="1"/>
  <c r="BG170" i="1"/>
  <c r="U67" i="9" s="1"/>
  <c r="U23" i="9"/>
  <c r="Y23" i="9"/>
  <c r="BS170" i="1"/>
  <c r="Y67" i="9" s="1"/>
  <c r="AC23" i="9"/>
  <c r="CE170" i="1"/>
  <c r="AC67" i="9" s="1"/>
  <c r="AG23" i="9"/>
  <c r="CQ170" i="1"/>
  <c r="AG67" i="9" s="1"/>
  <c r="D26" i="9"/>
  <c r="H173" i="1"/>
  <c r="D70" i="9" s="1"/>
  <c r="H26" i="9"/>
  <c r="T173" i="1"/>
  <c r="H70" i="9" s="1"/>
  <c r="L26" i="9"/>
  <c r="P26" i="9"/>
  <c r="AR173" i="1"/>
  <c r="P70" i="9" s="1"/>
  <c r="T26" i="9"/>
  <c r="X26" i="9"/>
  <c r="BP173" i="1"/>
  <c r="X70" i="9" s="1"/>
  <c r="AB26" i="9"/>
  <c r="AF26" i="9"/>
  <c r="CN173" i="1"/>
  <c r="AF70" i="9" s="1"/>
  <c r="CZ173" i="1"/>
  <c r="AJ70" i="9" s="1"/>
  <c r="C29" i="9"/>
  <c r="E176" i="1"/>
  <c r="C73" i="9" s="1"/>
  <c r="G29" i="9"/>
  <c r="Q176" i="1"/>
  <c r="G73" i="9" s="1"/>
  <c r="K29" i="9"/>
  <c r="AC176" i="1"/>
  <c r="K73" i="9" s="1"/>
  <c r="O29" i="9"/>
  <c r="AO176" i="1"/>
  <c r="O73" i="9" s="1"/>
  <c r="S29" i="9"/>
  <c r="BA176" i="1"/>
  <c r="S73" i="9" s="1"/>
  <c r="W29" i="9"/>
  <c r="BM176" i="1"/>
  <c r="W73" i="9" s="1"/>
  <c r="AA29" i="9"/>
  <c r="BY176" i="1"/>
  <c r="AA73" i="9" s="1"/>
  <c r="AE29" i="9"/>
  <c r="CK176" i="1"/>
  <c r="AE73" i="9" s="1"/>
  <c r="CW176" i="1"/>
  <c r="AI73" i="9" s="1"/>
  <c r="B32" i="9"/>
  <c r="B179" i="1"/>
  <c r="F32" i="9"/>
  <c r="N179" i="1"/>
  <c r="F76" i="9" s="1"/>
  <c r="J32" i="9"/>
  <c r="Z179" i="1"/>
  <c r="J76" i="9" s="1"/>
  <c r="N32" i="9"/>
  <c r="AL179" i="1"/>
  <c r="N76" i="9" s="1"/>
  <c r="R32" i="9"/>
  <c r="AX179" i="1"/>
  <c r="R76" i="9" s="1"/>
  <c r="BJ179" i="1"/>
  <c r="V76" i="9" s="1"/>
  <c r="V32" i="9"/>
  <c r="Z32" i="9"/>
  <c r="BV179" i="1"/>
  <c r="Z76" i="9" s="1"/>
  <c r="CH179" i="1"/>
  <c r="AD76" i="9" s="1"/>
  <c r="AD32" i="9"/>
  <c r="AH32" i="9"/>
  <c r="CT179" i="1"/>
  <c r="AH76" i="9" s="1"/>
  <c r="CH155" i="1"/>
  <c r="AD52" i="9" s="1"/>
  <c r="CQ158" i="1"/>
  <c r="AG55" i="9" s="1"/>
  <c r="T161" i="1"/>
  <c r="H58" i="9" s="1"/>
  <c r="CZ161" i="1"/>
  <c r="AJ58" i="9" s="1"/>
  <c r="AD33" i="9"/>
  <c r="CH180" i="1"/>
  <c r="AD77" i="9" s="1"/>
  <c r="AH33" i="9"/>
  <c r="CT180" i="1"/>
  <c r="AH77" i="9" s="1"/>
  <c r="CB173" i="1"/>
  <c r="AB70" i="9" s="1"/>
  <c r="D16" i="9"/>
  <c r="H163" i="1"/>
  <c r="D60" i="9" s="1"/>
  <c r="H16" i="9"/>
  <c r="T163" i="1"/>
  <c r="H60" i="9" s="1"/>
  <c r="L16" i="9"/>
  <c r="P16" i="9"/>
  <c r="AR163" i="1"/>
  <c r="P60" i="9" s="1"/>
  <c r="T16" i="9"/>
  <c r="BD163" i="1"/>
  <c r="T60" i="9" s="1"/>
  <c r="X16" i="9"/>
  <c r="AB16" i="9"/>
  <c r="CB163" i="1"/>
  <c r="AB60" i="9" s="1"/>
  <c r="AF16" i="9"/>
  <c r="CN163" i="1"/>
  <c r="AF60" i="9" s="1"/>
  <c r="C19" i="9"/>
  <c r="E166" i="1"/>
  <c r="C63" i="9" s="1"/>
  <c r="G19" i="9"/>
  <c r="Q166" i="1"/>
  <c r="G63" i="9" s="1"/>
  <c r="K19" i="9"/>
  <c r="O19" i="9"/>
  <c r="AO166" i="1"/>
  <c r="O63" i="9" s="1"/>
  <c r="S19" i="9"/>
  <c r="BA166" i="1"/>
  <c r="S63" i="9" s="1"/>
  <c r="W19" i="9"/>
  <c r="AA19" i="9"/>
  <c r="BY166" i="1"/>
  <c r="AA63" i="9" s="1"/>
  <c r="AE19" i="9"/>
  <c r="CK166" i="1"/>
  <c r="AE63" i="9" s="1"/>
  <c r="B22" i="9"/>
  <c r="B169" i="1"/>
  <c r="F22" i="9"/>
  <c r="N169" i="1"/>
  <c r="F66" i="9" s="1"/>
  <c r="J22" i="9"/>
  <c r="N22" i="9"/>
  <c r="AL169" i="1"/>
  <c r="N66" i="9" s="1"/>
  <c r="R22" i="9"/>
  <c r="AX169" i="1"/>
  <c r="R66" i="9" s="1"/>
  <c r="V22" i="9"/>
  <c r="Z22" i="9"/>
  <c r="BV169" i="1"/>
  <c r="Z66" i="9" s="1"/>
  <c r="AD22" i="9"/>
  <c r="AH22" i="9"/>
  <c r="CT169" i="1"/>
  <c r="AH66" i="9" s="1"/>
  <c r="E25" i="9"/>
  <c r="I25" i="9"/>
  <c r="W172" i="1"/>
  <c r="I69" i="9" s="1"/>
  <c r="M25" i="9"/>
  <c r="AI172" i="1"/>
  <c r="M69" i="9" s="1"/>
  <c r="Q25" i="9"/>
  <c r="AU172" i="1"/>
  <c r="Q69" i="9" s="1"/>
  <c r="U25" i="9"/>
  <c r="BG172" i="1"/>
  <c r="U69" i="9" s="1"/>
  <c r="Y25" i="9"/>
  <c r="BS172" i="1"/>
  <c r="Y69" i="9" s="1"/>
  <c r="AC25" i="9"/>
  <c r="AG25" i="9"/>
  <c r="CQ172" i="1"/>
  <c r="AG69" i="9" s="1"/>
  <c r="D28" i="9"/>
  <c r="H175" i="1"/>
  <c r="D72" i="9" s="1"/>
  <c r="H28" i="9"/>
  <c r="T175" i="1"/>
  <c r="H72" i="9" s="1"/>
  <c r="L28" i="9"/>
  <c r="AF175" i="1"/>
  <c r="L72" i="9" s="1"/>
  <c r="P28" i="9"/>
  <c r="AR175" i="1"/>
  <c r="P72" i="9" s="1"/>
  <c r="T28" i="9"/>
  <c r="BD175" i="1"/>
  <c r="T72" i="9" s="1"/>
  <c r="X28" i="9"/>
  <c r="BP175" i="1"/>
  <c r="X72" i="9" s="1"/>
  <c r="AB28" i="9"/>
  <c r="CB175" i="1"/>
  <c r="AB72" i="9" s="1"/>
  <c r="AF28" i="9"/>
  <c r="CN175" i="1"/>
  <c r="AF72" i="9" s="1"/>
  <c r="CZ175" i="1"/>
  <c r="AJ72" i="9" s="1"/>
  <c r="C31" i="9"/>
  <c r="E178" i="1"/>
  <c r="C75" i="9" s="1"/>
  <c r="G31" i="9"/>
  <c r="Q178" i="1"/>
  <c r="G75" i="9" s="1"/>
  <c r="K31" i="9"/>
  <c r="AC178" i="1"/>
  <c r="K75" i="9" s="1"/>
  <c r="O31" i="9"/>
  <c r="AO178" i="1"/>
  <c r="O75" i="9" s="1"/>
  <c r="S31" i="9"/>
  <c r="BA178" i="1"/>
  <c r="S75" i="9" s="1"/>
  <c r="W31" i="9"/>
  <c r="BM178" i="1"/>
  <c r="W75" i="9" s="1"/>
  <c r="AA31" i="9"/>
  <c r="BY178" i="1"/>
  <c r="AA75" i="9" s="1"/>
  <c r="AE31" i="9"/>
  <c r="CK178" i="1"/>
  <c r="AE75" i="9" s="1"/>
  <c r="B34" i="9"/>
  <c r="B181" i="1"/>
  <c r="F34" i="9"/>
  <c r="N181" i="1"/>
  <c r="F78" i="9" s="1"/>
  <c r="J34" i="9"/>
  <c r="Z181" i="1"/>
  <c r="J78" i="9" s="1"/>
  <c r="N34" i="9"/>
  <c r="AL181" i="1"/>
  <c r="N78" i="9" s="1"/>
  <c r="R34" i="9"/>
  <c r="AX181" i="1"/>
  <c r="R78" i="9" s="1"/>
  <c r="V34" i="9"/>
  <c r="BJ181" i="1"/>
  <c r="V78" i="9" s="1"/>
  <c r="Z34" i="9"/>
  <c r="BV181" i="1"/>
  <c r="Z78" i="9" s="1"/>
  <c r="CH181" i="1"/>
  <c r="AD78" i="9" s="1"/>
  <c r="AD34" i="9"/>
  <c r="AH34" i="9"/>
  <c r="CT181" i="1"/>
  <c r="AH78" i="9" s="1"/>
  <c r="BV155" i="1"/>
  <c r="Z52" i="9" s="1"/>
  <c r="K158" i="1"/>
  <c r="E55" i="9" s="1"/>
  <c r="BM166" i="1"/>
  <c r="W63" i="9" s="1"/>
  <c r="CH169" i="1"/>
  <c r="AD66" i="9" s="1"/>
  <c r="CW178" i="1"/>
  <c r="AI75" i="9" s="1"/>
  <c r="E14" i="9"/>
  <c r="K161" i="1"/>
  <c r="E58" i="9" s="1"/>
  <c r="I14" i="9"/>
  <c r="M14" i="9"/>
  <c r="AI161" i="1"/>
  <c r="M58" i="9" s="1"/>
  <c r="Q14" i="9"/>
  <c r="AU161" i="1"/>
  <c r="Q58" i="9" s="1"/>
  <c r="U14" i="9"/>
  <c r="AC14" i="9"/>
  <c r="CE161" i="1"/>
  <c r="AC58" i="9" s="1"/>
  <c r="AG14" i="9"/>
  <c r="D17" i="9"/>
  <c r="H164" i="1"/>
  <c r="D61" i="9" s="1"/>
  <c r="H17" i="9"/>
  <c r="T164" i="1"/>
  <c r="H61" i="9" s="1"/>
  <c r="L17" i="9"/>
  <c r="AF164" i="1"/>
  <c r="L61" i="9" s="1"/>
  <c r="P17" i="9"/>
  <c r="AR164" i="1"/>
  <c r="P61" i="9" s="1"/>
  <c r="T17" i="9"/>
  <c r="BD164" i="1"/>
  <c r="T61" i="9" s="1"/>
  <c r="X17" i="9"/>
  <c r="BP164" i="1"/>
  <c r="X61" i="9" s="1"/>
  <c r="AB61" i="9"/>
  <c r="AF17" i="9"/>
  <c r="CN164" i="1"/>
  <c r="AF61" i="9" s="1"/>
  <c r="CZ164" i="1"/>
  <c r="AJ61" i="9" s="1"/>
  <c r="C20" i="9"/>
  <c r="E167" i="1"/>
  <c r="C64" i="9" s="1"/>
  <c r="G20" i="9"/>
  <c r="K20" i="9"/>
  <c r="AC167" i="1"/>
  <c r="K64" i="9" s="1"/>
  <c r="O20" i="9"/>
  <c r="AO167" i="1"/>
  <c r="O64" i="9" s="1"/>
  <c r="S20" i="9"/>
  <c r="W20" i="9"/>
  <c r="BM167" i="1"/>
  <c r="W64" i="9" s="1"/>
  <c r="AA20" i="9"/>
  <c r="BY167" i="1"/>
  <c r="AA64" i="9" s="1"/>
  <c r="AE20" i="9"/>
  <c r="CK167" i="1"/>
  <c r="AE64" i="9" s="1"/>
  <c r="CW167" i="1"/>
  <c r="AI64" i="9" s="1"/>
  <c r="B23" i="9"/>
  <c r="B170" i="1"/>
  <c r="F23" i="9"/>
  <c r="J23" i="9"/>
  <c r="Z170" i="1"/>
  <c r="J67" i="9" s="1"/>
  <c r="N23" i="9"/>
  <c r="AL170" i="1"/>
  <c r="N67" i="9" s="1"/>
  <c r="R23" i="9"/>
  <c r="AX170" i="1"/>
  <c r="R67" i="9" s="1"/>
  <c r="V23" i="9"/>
  <c r="BJ170" i="1"/>
  <c r="V67" i="9" s="1"/>
  <c r="Z23" i="9"/>
  <c r="BV170" i="1"/>
  <c r="Z67" i="9" s="1"/>
  <c r="AD23" i="9"/>
  <c r="CH170" i="1"/>
  <c r="AD67" i="9" s="1"/>
  <c r="AH23" i="9"/>
  <c r="CT170" i="1"/>
  <c r="AH67" i="9" s="1"/>
  <c r="E26" i="9"/>
  <c r="K173" i="1"/>
  <c r="E70" i="9" s="1"/>
  <c r="I26" i="9"/>
  <c r="W173" i="1"/>
  <c r="I70" i="9" s="1"/>
  <c r="M26" i="9"/>
  <c r="AI173" i="1"/>
  <c r="M70" i="9" s="1"/>
  <c r="Q26" i="9"/>
  <c r="AU173" i="1"/>
  <c r="Q70" i="9" s="1"/>
  <c r="U26" i="9"/>
  <c r="BG173" i="1"/>
  <c r="U70" i="9" s="1"/>
  <c r="Y26" i="9"/>
  <c r="BS173" i="1"/>
  <c r="Y70" i="9" s="1"/>
  <c r="AC26" i="9"/>
  <c r="CE173" i="1"/>
  <c r="AC70" i="9" s="1"/>
  <c r="AG26" i="9"/>
  <c r="CQ173" i="1"/>
  <c r="AG70" i="9" s="1"/>
  <c r="D29" i="9"/>
  <c r="H176" i="1"/>
  <c r="D73" i="9" s="1"/>
  <c r="H29" i="9"/>
  <c r="T176" i="1"/>
  <c r="H73" i="9" s="1"/>
  <c r="L29" i="9"/>
  <c r="AF176" i="1"/>
  <c r="L73" i="9" s="1"/>
  <c r="P29" i="9"/>
  <c r="AR176" i="1"/>
  <c r="P73" i="9" s="1"/>
  <c r="T29" i="9"/>
  <c r="BD176" i="1"/>
  <c r="T73" i="9" s="1"/>
  <c r="X29" i="9"/>
  <c r="BP176" i="1"/>
  <c r="X73" i="9" s="1"/>
  <c r="AB29" i="9"/>
  <c r="CB176" i="1"/>
  <c r="AB73" i="9" s="1"/>
  <c r="AF29" i="9"/>
  <c r="CN176" i="1"/>
  <c r="AF73" i="9" s="1"/>
  <c r="CZ176" i="1"/>
  <c r="AJ73" i="9" s="1"/>
  <c r="C32" i="9"/>
  <c r="E179" i="1"/>
  <c r="C76" i="9" s="1"/>
  <c r="G32" i="9"/>
  <c r="Q179" i="1"/>
  <c r="G76" i="9" s="1"/>
  <c r="K32" i="9"/>
  <c r="AC179" i="1"/>
  <c r="K76" i="9" s="1"/>
  <c r="O32" i="9"/>
  <c r="AO179" i="1"/>
  <c r="O76" i="9" s="1"/>
  <c r="S32" i="9"/>
  <c r="W32" i="9"/>
  <c r="BM179" i="1"/>
  <c r="W76" i="9" s="1"/>
  <c r="AA32" i="9"/>
  <c r="BY179" i="1"/>
  <c r="AA76" i="9" s="1"/>
  <c r="AE32" i="9"/>
  <c r="CK179" i="1"/>
  <c r="AE76" i="9" s="1"/>
  <c r="CW179" i="1"/>
  <c r="AI76" i="9" s="1"/>
  <c r="AU158" i="1"/>
  <c r="Q55" i="9" s="1"/>
  <c r="CE172" i="1"/>
  <c r="AC69" i="9" s="1"/>
  <c r="AC27" i="9"/>
  <c r="CE174" i="1"/>
  <c r="AC71" i="9" s="1"/>
  <c r="AG27" i="9"/>
  <c r="CQ174" i="1"/>
  <c r="AG71" i="9" s="1"/>
  <c r="D30" i="9"/>
  <c r="H177" i="1"/>
  <c r="D74" i="9" s="1"/>
  <c r="H30" i="9"/>
  <c r="T177" i="1"/>
  <c r="H74" i="9" s="1"/>
  <c r="L30" i="9"/>
  <c r="AF177" i="1"/>
  <c r="L74" i="9" s="1"/>
  <c r="P30" i="9"/>
  <c r="AR177" i="1"/>
  <c r="P74" i="9" s="1"/>
  <c r="T30" i="9"/>
  <c r="BD177" i="1"/>
  <c r="T74" i="9" s="1"/>
  <c r="X30" i="9"/>
  <c r="BP177" i="1"/>
  <c r="X74" i="9" s="1"/>
  <c r="AB30" i="9"/>
  <c r="CB177" i="1"/>
  <c r="AB74" i="9" s="1"/>
  <c r="AF30" i="9"/>
  <c r="CN177" i="1"/>
  <c r="AF74" i="9" s="1"/>
  <c r="CZ177" i="1"/>
  <c r="AJ74" i="9" s="1"/>
  <c r="C33" i="9"/>
  <c r="E180" i="1"/>
  <c r="C77" i="9" s="1"/>
  <c r="G33" i="9"/>
  <c r="Q180" i="1"/>
  <c r="G77" i="9" s="1"/>
  <c r="K33" i="9"/>
  <c r="AC180" i="1"/>
  <c r="K77" i="9" s="1"/>
  <c r="O33" i="9"/>
  <c r="AO180" i="1"/>
  <c r="O77" i="9" s="1"/>
  <c r="S33" i="9"/>
  <c r="BA180" i="1"/>
  <c r="S77" i="9" s="1"/>
  <c r="W33" i="9"/>
  <c r="BM180" i="1"/>
  <c r="W77" i="9" s="1"/>
  <c r="AA33" i="9"/>
  <c r="BY180" i="1"/>
  <c r="AA77" i="9" s="1"/>
  <c r="AE33" i="9"/>
  <c r="CK180" i="1"/>
  <c r="AE77" i="9" s="1"/>
  <c r="CW180" i="1"/>
  <c r="AI77" i="9" s="1"/>
  <c r="CE158" i="1"/>
  <c r="AC55" i="9" s="1"/>
  <c r="BY164" i="1"/>
  <c r="AA61" i="9" s="1"/>
  <c r="N25" i="9"/>
  <c r="AL172" i="1"/>
  <c r="N69" i="9" s="1"/>
  <c r="R25" i="9"/>
  <c r="AX172" i="1"/>
  <c r="R69" i="9" s="1"/>
  <c r="V25" i="9"/>
  <c r="BJ172" i="1"/>
  <c r="V69" i="9" s="1"/>
  <c r="Z25" i="9"/>
  <c r="BV172" i="1"/>
  <c r="Z69" i="9" s="1"/>
  <c r="AD25" i="9"/>
  <c r="CH172" i="1"/>
  <c r="AD69" i="9" s="1"/>
  <c r="AH25" i="9"/>
  <c r="CT172" i="1"/>
  <c r="AH69" i="9" s="1"/>
  <c r="HG137" i="1"/>
  <c r="E28" i="9"/>
  <c r="K175" i="1"/>
  <c r="E72" i="9" s="1"/>
  <c r="I28" i="9"/>
  <c r="W175" i="1"/>
  <c r="I72" i="9" s="1"/>
  <c r="M28" i="9"/>
  <c r="AI175" i="1"/>
  <c r="M72" i="9" s="1"/>
  <c r="Q28" i="9"/>
  <c r="AU175" i="1"/>
  <c r="Q72" i="9" s="1"/>
  <c r="U28" i="9"/>
  <c r="BG175" i="1"/>
  <c r="U72" i="9" s="1"/>
  <c r="Y28" i="9"/>
  <c r="BS175" i="1"/>
  <c r="Y72" i="9" s="1"/>
  <c r="CE175" i="1"/>
  <c r="AC72" i="9" s="1"/>
  <c r="AC28" i="9"/>
  <c r="AG28" i="9"/>
  <c r="CQ175" i="1"/>
  <c r="AG72" i="9" s="1"/>
  <c r="D31" i="9"/>
  <c r="H178" i="1"/>
  <c r="D75" i="9" s="1"/>
  <c r="H31" i="9"/>
  <c r="T178" i="1"/>
  <c r="H75" i="9" s="1"/>
  <c r="L31" i="9"/>
  <c r="AF178" i="1"/>
  <c r="L75" i="9" s="1"/>
  <c r="P31" i="9"/>
  <c r="AR178" i="1"/>
  <c r="P75" i="9" s="1"/>
  <c r="T31" i="9"/>
  <c r="BD178" i="1"/>
  <c r="T75" i="9" s="1"/>
  <c r="X31" i="9"/>
  <c r="BP178" i="1"/>
  <c r="X75" i="9" s="1"/>
  <c r="AB31" i="9"/>
  <c r="CB178" i="1"/>
  <c r="AB75" i="9" s="1"/>
  <c r="AF31" i="9"/>
  <c r="CN178" i="1"/>
  <c r="AF75" i="9" s="1"/>
  <c r="CZ178" i="1"/>
  <c r="AJ75" i="9" s="1"/>
  <c r="C34" i="9"/>
  <c r="E181" i="1"/>
  <c r="C78" i="9" s="1"/>
  <c r="G34" i="9"/>
  <c r="Q181" i="1"/>
  <c r="G78" i="9" s="1"/>
  <c r="K34" i="9"/>
  <c r="AC181" i="1"/>
  <c r="K78" i="9" s="1"/>
  <c r="O34" i="9"/>
  <c r="AO181" i="1"/>
  <c r="O78" i="9" s="1"/>
  <c r="S34" i="9"/>
  <c r="BA181" i="1"/>
  <c r="S78" i="9" s="1"/>
  <c r="W34" i="9"/>
  <c r="BM181" i="1"/>
  <c r="W78" i="9" s="1"/>
  <c r="AA34" i="9"/>
  <c r="BY181" i="1"/>
  <c r="AA78" i="9" s="1"/>
  <c r="AE34" i="9"/>
  <c r="CK181" i="1"/>
  <c r="AE78" i="9" s="1"/>
  <c r="CW181" i="1"/>
  <c r="AI78" i="9" s="1"/>
  <c r="AF161" i="1"/>
  <c r="L58" i="9" s="1"/>
  <c r="BD161" i="1"/>
  <c r="T58" i="9" s="1"/>
  <c r="K172" i="1"/>
  <c r="E69" i="9" s="1"/>
  <c r="AB8" i="9"/>
  <c r="AF8" i="9"/>
  <c r="C11" i="9"/>
  <c r="G11" i="9"/>
  <c r="K11" i="9"/>
  <c r="O11" i="9"/>
  <c r="S11" i="9"/>
  <c r="W11" i="9"/>
  <c r="AA11" i="9"/>
  <c r="AE11" i="9"/>
  <c r="B14" i="9"/>
  <c r="F14" i="9"/>
  <c r="J14" i="9"/>
  <c r="Z161" i="1"/>
  <c r="J58" i="9" s="1"/>
  <c r="N14" i="9"/>
  <c r="R14" i="9"/>
  <c r="V14" i="9"/>
  <c r="Z14" i="9"/>
  <c r="AD14" i="9"/>
  <c r="CH161" i="1"/>
  <c r="AD58" i="9" s="1"/>
  <c r="AH14" i="9"/>
  <c r="E17" i="9"/>
  <c r="K164" i="1"/>
  <c r="E61" i="9" s="1"/>
  <c r="I17" i="9"/>
  <c r="M17" i="9"/>
  <c r="AI164" i="1"/>
  <c r="M61" i="9" s="1"/>
  <c r="Q17" i="9"/>
  <c r="AU164" i="1"/>
  <c r="Q61" i="9" s="1"/>
  <c r="U17" i="9"/>
  <c r="Y17" i="9"/>
  <c r="BS164" i="1"/>
  <c r="Y61" i="9" s="1"/>
  <c r="AC17" i="9"/>
  <c r="CE164" i="1"/>
  <c r="AC61" i="9" s="1"/>
  <c r="AG17" i="9"/>
  <c r="D20" i="9"/>
  <c r="H20" i="9"/>
  <c r="T167" i="1"/>
  <c r="H64" i="9" s="1"/>
  <c r="L20" i="9"/>
  <c r="AF167" i="1"/>
  <c r="L64" i="9" s="1"/>
  <c r="P20" i="9"/>
  <c r="T20" i="9"/>
  <c r="BD167" i="1"/>
  <c r="T64" i="9" s="1"/>
  <c r="X20" i="9"/>
  <c r="BP167" i="1"/>
  <c r="X64" i="9" s="1"/>
  <c r="AB20" i="9"/>
  <c r="AF20" i="9"/>
  <c r="CN167" i="1"/>
  <c r="AF64" i="9" s="1"/>
  <c r="CZ167" i="1"/>
  <c r="AJ64" i="9" s="1"/>
  <c r="C23" i="9"/>
  <c r="E170" i="1"/>
  <c r="C67" i="9" s="1"/>
  <c r="G23" i="9"/>
  <c r="Q170" i="1"/>
  <c r="G67" i="9" s="1"/>
  <c r="K23" i="9"/>
  <c r="AC170" i="1"/>
  <c r="K67" i="9" s="1"/>
  <c r="O23" i="9"/>
  <c r="S23" i="9"/>
  <c r="BA170" i="1"/>
  <c r="S67" i="9" s="1"/>
  <c r="W23" i="9"/>
  <c r="AA23" i="9"/>
  <c r="BY170" i="1"/>
  <c r="AA67" i="9" s="1"/>
  <c r="AE23" i="9"/>
  <c r="CK170" i="1"/>
  <c r="AE67" i="9" s="1"/>
  <c r="CW170" i="1"/>
  <c r="AI67" i="9" s="1"/>
  <c r="B26" i="9"/>
  <c r="F26" i="9"/>
  <c r="N173" i="1"/>
  <c r="F70" i="9" s="1"/>
  <c r="J26" i="9"/>
  <c r="Z173" i="1"/>
  <c r="J70" i="9" s="1"/>
  <c r="N26" i="9"/>
  <c r="AL173" i="1"/>
  <c r="N70" i="9" s="1"/>
  <c r="R26" i="9"/>
  <c r="AX173" i="1"/>
  <c r="R70" i="9" s="1"/>
  <c r="BJ173" i="1"/>
  <c r="V70" i="9" s="1"/>
  <c r="V26" i="9"/>
  <c r="Z26" i="9"/>
  <c r="BV173" i="1"/>
  <c r="Z70" i="9" s="1"/>
  <c r="AD26" i="9"/>
  <c r="CH173" i="1"/>
  <c r="AD70" i="9" s="1"/>
  <c r="AH26" i="9"/>
  <c r="CT173" i="1"/>
  <c r="AH70" i="9" s="1"/>
  <c r="E29" i="9"/>
  <c r="K176" i="1"/>
  <c r="E73" i="9" s="1"/>
  <c r="I29" i="9"/>
  <c r="M29" i="9"/>
  <c r="AI176" i="1"/>
  <c r="M73" i="9" s="1"/>
  <c r="Q29" i="9"/>
  <c r="AU176" i="1"/>
  <c r="Q73" i="9" s="1"/>
  <c r="U29" i="9"/>
  <c r="BG176" i="1"/>
  <c r="U73" i="9" s="1"/>
  <c r="Y29" i="9"/>
  <c r="BS176" i="1"/>
  <c r="Y73" i="9" s="1"/>
  <c r="AC29" i="9"/>
  <c r="CE176" i="1"/>
  <c r="AC73" i="9" s="1"/>
  <c r="AG29" i="9"/>
  <c r="CQ176" i="1"/>
  <c r="AG73" i="9" s="1"/>
  <c r="D32" i="9"/>
  <c r="H179" i="1"/>
  <c r="D76" i="9" s="1"/>
  <c r="H32" i="9"/>
  <c r="T179" i="1"/>
  <c r="H76" i="9" s="1"/>
  <c r="L32" i="9"/>
  <c r="AF179" i="1"/>
  <c r="L76" i="9" s="1"/>
  <c r="P32" i="9"/>
  <c r="AR179" i="1"/>
  <c r="P76" i="9" s="1"/>
  <c r="T32" i="9"/>
  <c r="BD179" i="1"/>
  <c r="T76" i="9" s="1"/>
  <c r="X32" i="9"/>
  <c r="BP179" i="1"/>
  <c r="X76" i="9" s="1"/>
  <c r="AB32" i="9"/>
  <c r="CB179" i="1"/>
  <c r="AB76" i="9" s="1"/>
  <c r="AF32" i="9"/>
  <c r="CN179" i="1"/>
  <c r="AF76" i="9" s="1"/>
  <c r="CZ179" i="1"/>
  <c r="AJ76" i="9" s="1"/>
  <c r="Q158" i="1"/>
  <c r="G55" i="9" s="1"/>
  <c r="H161" i="1"/>
  <c r="D58" i="9" s="1"/>
  <c r="BG161" i="1"/>
  <c r="U58" i="9" s="1"/>
  <c r="AC166" i="1"/>
  <c r="K63" i="9" s="1"/>
  <c r="B173" i="1"/>
  <c r="BA179" i="1"/>
  <c r="S76" i="9" s="1"/>
  <c r="F15" i="9"/>
  <c r="N162" i="1"/>
  <c r="F59" i="9" s="1"/>
  <c r="J15" i="9"/>
  <c r="N15" i="9"/>
  <c r="R15" i="9"/>
  <c r="AX162" i="1"/>
  <c r="R59" i="9" s="1"/>
  <c r="V15" i="9"/>
  <c r="Z15" i="9"/>
  <c r="AD15" i="9"/>
  <c r="CH162" i="1"/>
  <c r="AD59" i="9" s="1"/>
  <c r="AH15" i="9"/>
  <c r="E18" i="9"/>
  <c r="K165" i="1"/>
  <c r="E62" i="9" s="1"/>
  <c r="I18" i="9"/>
  <c r="M18" i="9"/>
  <c r="Q18" i="9"/>
  <c r="AU165" i="1"/>
  <c r="Q62" i="9" s="1"/>
  <c r="U18" i="9"/>
  <c r="BG165" i="1"/>
  <c r="U62" i="9" s="1"/>
  <c r="Y18" i="9"/>
  <c r="BS165" i="1"/>
  <c r="Y62" i="9" s="1"/>
  <c r="AC18" i="9"/>
  <c r="CE165" i="1"/>
  <c r="AC62" i="9" s="1"/>
  <c r="AG18" i="9"/>
  <c r="D21" i="9"/>
  <c r="H168" i="1"/>
  <c r="D65" i="9" s="1"/>
  <c r="H21" i="9"/>
  <c r="L21" i="9"/>
  <c r="P21" i="9"/>
  <c r="AR168" i="1"/>
  <c r="P65" i="9" s="1"/>
  <c r="T21" i="9"/>
  <c r="X21" i="9"/>
  <c r="BP168" i="1"/>
  <c r="X65" i="9" s="1"/>
  <c r="AB21" i="9"/>
  <c r="CB168" i="1"/>
  <c r="AB65" i="9" s="1"/>
  <c r="AF21" i="9"/>
  <c r="C24" i="9"/>
  <c r="E171" i="1"/>
  <c r="C68" i="9" s="1"/>
  <c r="G24" i="9"/>
  <c r="Q171" i="1"/>
  <c r="G68" i="9" s="1"/>
  <c r="K24" i="9"/>
  <c r="AC171" i="1"/>
  <c r="K68" i="9" s="1"/>
  <c r="O24" i="9"/>
  <c r="S24" i="9"/>
  <c r="W24" i="9"/>
  <c r="BM171" i="1"/>
  <c r="W68" i="9" s="1"/>
  <c r="AA24" i="9"/>
  <c r="BY171" i="1"/>
  <c r="AA68" i="9" s="1"/>
  <c r="AE24" i="9"/>
  <c r="CK171" i="1"/>
  <c r="AE68" i="9" s="1"/>
  <c r="CW171" i="1"/>
  <c r="AI68" i="9" s="1"/>
  <c r="B27" i="9"/>
  <c r="B174" i="1"/>
  <c r="F27" i="9"/>
  <c r="N174" i="1"/>
  <c r="F71" i="9" s="1"/>
  <c r="J27" i="9"/>
  <c r="Z174" i="1"/>
  <c r="J71" i="9" s="1"/>
  <c r="N27" i="9"/>
  <c r="AL174" i="1"/>
  <c r="N71" i="9" s="1"/>
  <c r="R27" i="9"/>
  <c r="AX174" i="1"/>
  <c r="R71" i="9" s="1"/>
  <c r="V27" i="9"/>
  <c r="BJ174" i="1"/>
  <c r="V71" i="9" s="1"/>
  <c r="Z27" i="9"/>
  <c r="BV174" i="1"/>
  <c r="Z71" i="9" s="1"/>
  <c r="AD27" i="9"/>
  <c r="CH174" i="1"/>
  <c r="AD71" i="9" s="1"/>
  <c r="AH27" i="9"/>
  <c r="CT174" i="1"/>
  <c r="AH71" i="9" s="1"/>
  <c r="HG140" i="1"/>
  <c r="E30" i="9"/>
  <c r="K177" i="1"/>
  <c r="E74" i="9" s="1"/>
  <c r="I30" i="9"/>
  <c r="W177" i="1"/>
  <c r="I74" i="9" s="1"/>
  <c r="M30" i="9"/>
  <c r="AI177" i="1"/>
  <c r="M74" i="9" s="1"/>
  <c r="Q30" i="9"/>
  <c r="AU177" i="1"/>
  <c r="Q74" i="9" s="1"/>
  <c r="BG177" i="1"/>
  <c r="U74" i="9" s="1"/>
  <c r="U30" i="9"/>
  <c r="Y30" i="9"/>
  <c r="BS177" i="1"/>
  <c r="Y74" i="9" s="1"/>
  <c r="AC30" i="9"/>
  <c r="CE177" i="1"/>
  <c r="AC74" i="9" s="1"/>
  <c r="AG30" i="9"/>
  <c r="CQ177" i="1"/>
  <c r="AG74" i="9" s="1"/>
  <c r="D33" i="9"/>
  <c r="H180" i="1"/>
  <c r="D77" i="9" s="1"/>
  <c r="H33" i="9"/>
  <c r="T180" i="1"/>
  <c r="H77" i="9" s="1"/>
  <c r="L33" i="9"/>
  <c r="AF180" i="1"/>
  <c r="L77" i="9" s="1"/>
  <c r="P33" i="9"/>
  <c r="AR180" i="1"/>
  <c r="P77" i="9" s="1"/>
  <c r="T33" i="9"/>
  <c r="X33" i="9"/>
  <c r="BP180" i="1"/>
  <c r="X77" i="9" s="1"/>
  <c r="AB33" i="9"/>
  <c r="CB180" i="1"/>
  <c r="AB77" i="9" s="1"/>
  <c r="AF33" i="9"/>
  <c r="CN180" i="1"/>
  <c r="AF77" i="9" s="1"/>
  <c r="CZ180" i="1"/>
  <c r="AJ77" i="9" s="1"/>
  <c r="CB155" i="1"/>
  <c r="AB52" i="9" s="1"/>
  <c r="BA158" i="1"/>
  <c r="S55" i="9" s="1"/>
  <c r="BJ161" i="1"/>
  <c r="V58" i="9" s="1"/>
  <c r="CN161" i="1"/>
  <c r="AF58" i="9" s="1"/>
  <c r="BV162" i="1"/>
  <c r="Z59" i="9" s="1"/>
  <c r="CZ163" i="1"/>
  <c r="AJ60" i="9" s="1"/>
  <c r="AO164" i="1"/>
  <c r="O61" i="9" s="1"/>
  <c r="CT167" i="1"/>
  <c r="AH64" i="9" s="1"/>
  <c r="CZ168" i="1"/>
  <c r="AJ65" i="9" s="1"/>
  <c r="Z172" i="1"/>
  <c r="J69" i="9" s="1"/>
  <c r="B16" i="9"/>
  <c r="B163" i="1"/>
  <c r="F16" i="9"/>
  <c r="J16" i="9"/>
  <c r="Z163" i="1"/>
  <c r="J60" i="9" s="1"/>
  <c r="N16" i="9"/>
  <c r="AL163" i="1"/>
  <c r="N60" i="9" s="1"/>
  <c r="R16" i="9"/>
  <c r="V16" i="9"/>
  <c r="BJ163" i="1"/>
  <c r="V60" i="9" s="1"/>
  <c r="Z16" i="9"/>
  <c r="BV163" i="1"/>
  <c r="Z60" i="9" s="1"/>
  <c r="AD16" i="9"/>
  <c r="AH16" i="9"/>
  <c r="CT163" i="1"/>
  <c r="AH60" i="9" s="1"/>
  <c r="E19" i="9"/>
  <c r="I19" i="9"/>
  <c r="W166" i="1"/>
  <c r="I63" i="9" s="1"/>
  <c r="M19" i="9"/>
  <c r="AI166" i="1"/>
  <c r="M63" i="9" s="1"/>
  <c r="Q19" i="9"/>
  <c r="AU166" i="1"/>
  <c r="Q63" i="9" s="1"/>
  <c r="U19" i="9"/>
  <c r="BG166" i="1"/>
  <c r="U63" i="9" s="1"/>
  <c r="Y19" i="9"/>
  <c r="BS166" i="1"/>
  <c r="Y63" i="9" s="1"/>
  <c r="AC19" i="9"/>
  <c r="AG19" i="9"/>
  <c r="CQ166" i="1"/>
  <c r="AG63" i="9" s="1"/>
  <c r="D22" i="9"/>
  <c r="H22" i="9"/>
  <c r="T169" i="1"/>
  <c r="H66" i="9" s="1"/>
  <c r="L22" i="9"/>
  <c r="AF169" i="1"/>
  <c r="L66" i="9" s="1"/>
  <c r="P22" i="9"/>
  <c r="AR169" i="1"/>
  <c r="P66" i="9" s="1"/>
  <c r="T22" i="9"/>
  <c r="BD169" i="1"/>
  <c r="T66" i="9" s="1"/>
  <c r="X22" i="9"/>
  <c r="BP169" i="1"/>
  <c r="X66" i="9" s="1"/>
  <c r="AB22" i="9"/>
  <c r="CB169" i="1"/>
  <c r="AB66" i="9" s="1"/>
  <c r="AF22" i="9"/>
  <c r="CN169" i="1"/>
  <c r="AF66" i="9" s="1"/>
  <c r="CZ169" i="1"/>
  <c r="AJ66" i="9" s="1"/>
  <c r="C25" i="9"/>
  <c r="E172" i="1"/>
  <c r="C69" i="9" s="1"/>
  <c r="G25" i="9"/>
  <c r="Q172" i="1"/>
  <c r="G69" i="9" s="1"/>
  <c r="K25" i="9"/>
  <c r="AC172" i="1"/>
  <c r="K69" i="9" s="1"/>
  <c r="O25" i="9"/>
  <c r="S25" i="9"/>
  <c r="BA172" i="1"/>
  <c r="S69" i="9" s="1"/>
  <c r="W25" i="9"/>
  <c r="BM172" i="1"/>
  <c r="W69" i="9" s="1"/>
  <c r="AA25" i="9"/>
  <c r="BY172" i="1"/>
  <c r="AA69" i="9" s="1"/>
  <c r="AE25" i="9"/>
  <c r="CK172" i="1"/>
  <c r="AE69" i="9" s="1"/>
  <c r="CW172" i="1"/>
  <c r="AI69" i="9" s="1"/>
  <c r="B28" i="9"/>
  <c r="B175" i="1"/>
  <c r="F28" i="9"/>
  <c r="N175" i="1"/>
  <c r="F72" i="9" s="1"/>
  <c r="J28" i="9"/>
  <c r="Z175" i="1"/>
  <c r="J72" i="9" s="1"/>
  <c r="N28" i="9"/>
  <c r="AL175" i="1"/>
  <c r="N72" i="9" s="1"/>
  <c r="R28" i="9"/>
  <c r="V28" i="9"/>
  <c r="BJ175" i="1"/>
  <c r="V72" i="9" s="1"/>
  <c r="Z28" i="9"/>
  <c r="BV175" i="1"/>
  <c r="Z72" i="9" s="1"/>
  <c r="AD28" i="9"/>
  <c r="CH175" i="1"/>
  <c r="AD72" i="9" s="1"/>
  <c r="AH28" i="9"/>
  <c r="CT175" i="1"/>
  <c r="AH72" i="9" s="1"/>
  <c r="E31" i="9"/>
  <c r="K178" i="1"/>
  <c r="E75" i="9" s="1"/>
  <c r="I31" i="9"/>
  <c r="W178" i="1"/>
  <c r="I75" i="9" s="1"/>
  <c r="M31" i="9"/>
  <c r="AI178" i="1"/>
  <c r="M75" i="9" s="1"/>
  <c r="Q31" i="9"/>
  <c r="AU178" i="1"/>
  <c r="Q75" i="9" s="1"/>
  <c r="U31" i="9"/>
  <c r="BG178" i="1"/>
  <c r="U75" i="9" s="1"/>
  <c r="Y31" i="9"/>
  <c r="BS178" i="1"/>
  <c r="Y75" i="9" s="1"/>
  <c r="AC31" i="9"/>
  <c r="CE178" i="1"/>
  <c r="AC75" i="9" s="1"/>
  <c r="AG31" i="9"/>
  <c r="CQ178" i="1"/>
  <c r="AG75" i="9" s="1"/>
  <c r="D34" i="9"/>
  <c r="H181" i="1"/>
  <c r="D78" i="9" s="1"/>
  <c r="H34" i="9"/>
  <c r="T181" i="1"/>
  <c r="H78" i="9" s="1"/>
  <c r="L34" i="9"/>
  <c r="AF181" i="1"/>
  <c r="L78" i="9" s="1"/>
  <c r="P34" i="9"/>
  <c r="AR181" i="1"/>
  <c r="P78" i="9" s="1"/>
  <c r="T34" i="9"/>
  <c r="BD181" i="1"/>
  <c r="T78" i="9" s="1"/>
  <c r="X34" i="9"/>
  <c r="BP181" i="1"/>
  <c r="X78" i="9" s="1"/>
  <c r="AB34" i="9"/>
  <c r="CB181" i="1"/>
  <c r="AB78" i="9" s="1"/>
  <c r="AF34" i="9"/>
  <c r="CN181" i="1"/>
  <c r="AF78" i="9" s="1"/>
  <c r="CZ181" i="1"/>
  <c r="AJ78" i="9" s="1"/>
  <c r="CK158" i="1"/>
  <c r="AE55" i="9" s="1"/>
  <c r="AL161" i="1"/>
  <c r="N58" i="9" s="1"/>
  <c r="CQ164" i="1"/>
  <c r="AG61" i="9" s="1"/>
  <c r="AI165" i="1"/>
  <c r="M62" i="9" s="1"/>
  <c r="AR167" i="1"/>
  <c r="P64" i="9" s="1"/>
  <c r="N170" i="1"/>
  <c r="F67" i="9" s="1"/>
  <c r="BA171" i="1"/>
  <c r="S68" i="9" s="1"/>
  <c r="AB17" i="9"/>
  <c r="E20" i="9"/>
  <c r="K167" i="1"/>
  <c r="E64" i="9" s="1"/>
  <c r="I20" i="9"/>
  <c r="W167" i="1"/>
  <c r="I64" i="9" s="1"/>
  <c r="M20" i="9"/>
  <c r="Q20" i="9"/>
  <c r="AU167" i="1"/>
  <c r="Q64" i="9" s="1"/>
  <c r="U20" i="9"/>
  <c r="BG167" i="1"/>
  <c r="U64" i="9" s="1"/>
  <c r="Y20" i="9"/>
  <c r="AC20" i="9"/>
  <c r="CE167" i="1"/>
  <c r="AC64" i="9" s="1"/>
  <c r="AG20" i="9"/>
  <c r="CQ167" i="1"/>
  <c r="AG64" i="9" s="1"/>
  <c r="HG131" i="1"/>
  <c r="D23" i="9"/>
  <c r="H170" i="1"/>
  <c r="D67" i="9" s="1"/>
  <c r="H23" i="9"/>
  <c r="AF170" i="1"/>
  <c r="L67" i="9" s="1"/>
  <c r="L23" i="9"/>
  <c r="P23" i="9"/>
  <c r="AR170" i="1"/>
  <c r="P67" i="9" s="1"/>
  <c r="T23" i="9"/>
  <c r="BD170" i="1"/>
  <c r="T67" i="9" s="1"/>
  <c r="X23" i="9"/>
  <c r="BP170" i="1"/>
  <c r="X67" i="9" s="1"/>
  <c r="AB23" i="9"/>
  <c r="CB170" i="1"/>
  <c r="AB67" i="9" s="1"/>
  <c r="AF23" i="9"/>
  <c r="CN170" i="1"/>
  <c r="AF67" i="9" s="1"/>
  <c r="CZ170" i="1"/>
  <c r="AJ67" i="9" s="1"/>
  <c r="C26" i="9"/>
  <c r="E173" i="1"/>
  <c r="C70" i="9" s="1"/>
  <c r="G26" i="9"/>
  <c r="K26" i="9"/>
  <c r="AC173" i="1"/>
  <c r="K70" i="9" s="1"/>
  <c r="O26" i="9"/>
  <c r="AO173" i="1"/>
  <c r="O70" i="9" s="1"/>
  <c r="S26" i="9"/>
  <c r="BA173" i="1"/>
  <c r="S70" i="9" s="1"/>
  <c r="W26" i="9"/>
  <c r="AA26" i="9"/>
  <c r="BY173" i="1"/>
  <c r="AA70" i="9" s="1"/>
  <c r="AE26" i="9"/>
  <c r="CK173" i="1"/>
  <c r="AE70" i="9" s="1"/>
  <c r="CW173" i="1"/>
  <c r="AI70" i="9" s="1"/>
  <c r="B29" i="9"/>
  <c r="B176" i="1"/>
  <c r="F29" i="9"/>
  <c r="J29" i="9"/>
  <c r="Z176" i="1"/>
  <c r="J73" i="9" s="1"/>
  <c r="N29" i="9"/>
  <c r="AL176" i="1"/>
  <c r="N73" i="9" s="1"/>
  <c r="R29" i="9"/>
  <c r="AX176" i="1"/>
  <c r="R73" i="9" s="1"/>
  <c r="V29" i="9"/>
  <c r="BJ176" i="1"/>
  <c r="V73" i="9" s="1"/>
  <c r="Z29" i="9"/>
  <c r="BV176" i="1"/>
  <c r="Z73" i="9" s="1"/>
  <c r="AD29" i="9"/>
  <c r="CH176" i="1"/>
  <c r="AD73" i="9" s="1"/>
  <c r="AH29" i="9"/>
  <c r="CT176" i="1"/>
  <c r="AH73" i="9" s="1"/>
  <c r="E32" i="9"/>
  <c r="K179" i="1"/>
  <c r="E76" i="9" s="1"/>
  <c r="I32" i="9"/>
  <c r="M32" i="9"/>
  <c r="AI179" i="1"/>
  <c r="M76" i="9" s="1"/>
  <c r="Q32" i="9"/>
  <c r="AU179" i="1"/>
  <c r="Q76" i="9" s="1"/>
  <c r="U32" i="9"/>
  <c r="BG179" i="1"/>
  <c r="U76" i="9" s="1"/>
  <c r="Y32" i="9"/>
  <c r="BS179" i="1"/>
  <c r="Y76" i="9" s="1"/>
  <c r="AC32" i="9"/>
  <c r="CE179" i="1"/>
  <c r="AC76" i="9" s="1"/>
  <c r="AG32" i="9"/>
  <c r="CQ179" i="1"/>
  <c r="AG76" i="9" s="1"/>
  <c r="HG143" i="1"/>
  <c r="BP155" i="1"/>
  <c r="X52" i="9" s="1"/>
  <c r="N161" i="1"/>
  <c r="F58" i="9" s="1"/>
  <c r="BP161" i="1"/>
  <c r="X58" i="9" s="1"/>
  <c r="CQ161" i="1"/>
  <c r="AG58" i="9" s="1"/>
  <c r="N163" i="1"/>
  <c r="F60" i="9" s="1"/>
  <c r="CQ165" i="1"/>
  <c r="AG62" i="9" s="1"/>
  <c r="CW166" i="1"/>
  <c r="AI63" i="9" s="1"/>
  <c r="BD168" i="1"/>
  <c r="T65" i="9" s="1"/>
  <c r="BJ169" i="1"/>
  <c r="V66" i="9" s="1"/>
  <c r="T170" i="1"/>
  <c r="H67" i="9" s="1"/>
  <c r="AO172" i="1"/>
  <c r="O69" i="9" s="1"/>
  <c r="AF173" i="1"/>
  <c r="L70" i="9" s="1"/>
  <c r="BS174" i="1"/>
  <c r="Y71" i="9" s="1"/>
  <c r="W176" i="1"/>
  <c r="I73" i="9" s="1"/>
  <c r="C15" i="9"/>
  <c r="E162" i="1"/>
  <c r="C59" i="9" s="1"/>
  <c r="G15" i="9"/>
  <c r="Q162" i="1"/>
  <c r="G59" i="9" s="1"/>
  <c r="K15" i="9"/>
  <c r="AC162" i="1"/>
  <c r="K59" i="9" s="1"/>
  <c r="O15" i="9"/>
  <c r="AO162" i="1"/>
  <c r="O59" i="9" s="1"/>
  <c r="S15" i="9"/>
  <c r="BA162" i="1"/>
  <c r="S59" i="9" s="1"/>
  <c r="W15" i="9"/>
  <c r="BM162" i="1"/>
  <c r="W59" i="9" s="1"/>
  <c r="AA15" i="9"/>
  <c r="BY162" i="1"/>
  <c r="AA59" i="9" s="1"/>
  <c r="AE15" i="9"/>
  <c r="CK162" i="1"/>
  <c r="AE59" i="9" s="1"/>
  <c r="CW162" i="1"/>
  <c r="AI59" i="9" s="1"/>
  <c r="B18" i="9"/>
  <c r="B165" i="1"/>
  <c r="F18" i="9"/>
  <c r="N165" i="1"/>
  <c r="F62" i="9" s="1"/>
  <c r="J18" i="9"/>
  <c r="Z165" i="1"/>
  <c r="J62" i="9" s="1"/>
  <c r="N18" i="9"/>
  <c r="AL165" i="1"/>
  <c r="N62" i="9" s="1"/>
  <c r="R18" i="9"/>
  <c r="AX165" i="1"/>
  <c r="R62" i="9" s="1"/>
  <c r="BJ165" i="1"/>
  <c r="V62" i="9" s="1"/>
  <c r="V18" i="9"/>
  <c r="Z18" i="9"/>
  <c r="BV165" i="1"/>
  <c r="Z62" i="9" s="1"/>
  <c r="AD18" i="9"/>
  <c r="CH165" i="1"/>
  <c r="AD62" i="9" s="1"/>
  <c r="AH18" i="9"/>
  <c r="CT165" i="1"/>
  <c r="AH62" i="9" s="1"/>
  <c r="E21" i="9"/>
  <c r="K168" i="1"/>
  <c r="E65" i="9" s="1"/>
  <c r="I21" i="9"/>
  <c r="W168" i="1"/>
  <c r="I65" i="9" s="1"/>
  <c r="M21" i="9"/>
  <c r="AI168" i="1"/>
  <c r="M65" i="9" s="1"/>
  <c r="Q21" i="9"/>
  <c r="AU168" i="1"/>
  <c r="Q65" i="9" s="1"/>
  <c r="U21" i="9"/>
  <c r="BG168" i="1"/>
  <c r="U65" i="9" s="1"/>
  <c r="Y21" i="9"/>
  <c r="BS168" i="1"/>
  <c r="Y65" i="9" s="1"/>
  <c r="AC21" i="9"/>
  <c r="CE168" i="1"/>
  <c r="AC65" i="9" s="1"/>
  <c r="AG21" i="9"/>
  <c r="CQ168" i="1"/>
  <c r="AG65" i="9" s="1"/>
  <c r="D24" i="9"/>
  <c r="H171" i="1"/>
  <c r="D68" i="9" s="1"/>
  <c r="H24" i="9"/>
  <c r="L24" i="9"/>
  <c r="AF171" i="1"/>
  <c r="L68" i="9" s="1"/>
  <c r="P24" i="9"/>
  <c r="T24" i="9"/>
  <c r="BD171" i="1"/>
  <c r="T68" i="9" s="1"/>
  <c r="X24" i="9"/>
  <c r="BP171" i="1"/>
  <c r="X68" i="9" s="1"/>
  <c r="AB24" i="9"/>
  <c r="CB171" i="1"/>
  <c r="AB68" i="9" s="1"/>
  <c r="AF24" i="9"/>
  <c r="CN171" i="1"/>
  <c r="AF68" i="9" s="1"/>
  <c r="CZ171" i="1"/>
  <c r="AJ68" i="9" s="1"/>
  <c r="C27" i="9"/>
  <c r="E174" i="1"/>
  <c r="C71" i="9" s="1"/>
  <c r="G27" i="9"/>
  <c r="Q174" i="1"/>
  <c r="G71" i="9" s="1"/>
  <c r="K27" i="9"/>
  <c r="AC174" i="1"/>
  <c r="K71" i="9" s="1"/>
  <c r="AO174" i="1"/>
  <c r="O71" i="9" s="1"/>
  <c r="O27" i="9"/>
  <c r="S27" i="9"/>
  <c r="BA174" i="1"/>
  <c r="S71" i="9" s="1"/>
  <c r="W27" i="9"/>
  <c r="BM174" i="1"/>
  <c r="W71" i="9" s="1"/>
  <c r="AA27" i="9"/>
  <c r="BY174" i="1"/>
  <c r="AA71" i="9" s="1"/>
  <c r="AE27" i="9"/>
  <c r="CK174" i="1"/>
  <c r="AE71" i="9" s="1"/>
  <c r="CW174" i="1"/>
  <c r="AI71" i="9" s="1"/>
  <c r="B30" i="9"/>
  <c r="B177" i="1"/>
  <c r="F30" i="9"/>
  <c r="N177" i="1"/>
  <c r="F74" i="9" s="1"/>
  <c r="J30" i="9"/>
  <c r="Z177" i="1"/>
  <c r="J74" i="9" s="1"/>
  <c r="N30" i="9"/>
  <c r="AL177" i="1"/>
  <c r="N74" i="9" s="1"/>
  <c r="R30" i="9"/>
  <c r="AX177" i="1"/>
  <c r="R74" i="9" s="1"/>
  <c r="V30" i="9"/>
  <c r="BJ177" i="1"/>
  <c r="V74" i="9" s="1"/>
  <c r="Z30" i="9"/>
  <c r="BV177" i="1"/>
  <c r="Z74" i="9" s="1"/>
  <c r="AD30" i="9"/>
  <c r="CH177" i="1"/>
  <c r="AD74" i="9" s="1"/>
  <c r="AH30" i="9"/>
  <c r="CT177" i="1"/>
  <c r="AH74" i="9" s="1"/>
  <c r="E33" i="9"/>
  <c r="K180" i="1"/>
  <c r="E77" i="9" s="1"/>
  <c r="I33" i="9"/>
  <c r="W180" i="1"/>
  <c r="I77" i="9" s="1"/>
  <c r="M33" i="9"/>
  <c r="AI180" i="1"/>
  <c r="M77" i="9" s="1"/>
  <c r="Q33" i="9"/>
  <c r="AU180" i="1"/>
  <c r="Q77" i="9" s="1"/>
  <c r="U33" i="9"/>
  <c r="BG180" i="1"/>
  <c r="U77" i="9" s="1"/>
  <c r="Y33" i="9"/>
  <c r="BS180" i="1"/>
  <c r="Y77" i="9" s="1"/>
  <c r="AC33" i="9"/>
  <c r="CE180" i="1"/>
  <c r="AC77" i="9" s="1"/>
  <c r="AG33" i="9"/>
  <c r="CQ180" i="1"/>
  <c r="AG77" i="9" s="1"/>
  <c r="CT155" i="1"/>
  <c r="AH52" i="9" s="1"/>
  <c r="E158" i="1"/>
  <c r="C55" i="9" s="1"/>
  <c r="W158" i="1"/>
  <c r="I55" i="9" s="1"/>
  <c r="CT161" i="1"/>
  <c r="AH58" i="9" s="1"/>
  <c r="BP163" i="1"/>
  <c r="X60" i="9" s="1"/>
  <c r="E164" i="1"/>
  <c r="C61" i="9" s="1"/>
  <c r="BA167" i="1"/>
  <c r="S64" i="9" s="1"/>
  <c r="H169" i="1"/>
  <c r="D66" i="9" s="1"/>
  <c r="W170" i="1"/>
  <c r="I67" i="9" s="1"/>
  <c r="BD180" i="1"/>
  <c r="T77" i="9" s="1"/>
  <c r="BJ178" i="2"/>
  <c r="BK178" i="2"/>
  <c r="BF141" i="2"/>
  <c r="BH141" i="2"/>
  <c r="BG141" i="2"/>
  <c r="BI141" i="2"/>
  <c r="BJ141" i="2"/>
  <c r="BK141" i="2"/>
  <c r="BL141" i="2"/>
  <c r="BM141" i="2"/>
  <c r="BN141" i="2"/>
  <c r="BO141" i="2"/>
  <c r="BP141" i="2"/>
  <c r="BQ141" i="2"/>
  <c r="BT141" i="2"/>
  <c r="BU147" i="2"/>
  <c r="BU178" i="2" s="1"/>
  <c r="BR141" i="2"/>
  <c r="CC141" i="2"/>
  <c r="CB141" i="2"/>
  <c r="AZ141" i="2"/>
  <c r="CB178" i="2"/>
  <c r="BS178" i="2"/>
  <c r="M141" i="2"/>
  <c r="K178" i="2"/>
  <c r="G52" i="17"/>
  <c r="AV141" i="2"/>
  <c r="T178" i="2"/>
  <c r="AG178" i="2"/>
  <c r="BE178" i="2"/>
  <c r="AH178" i="2"/>
  <c r="CH178" i="2"/>
  <c r="C7" i="10"/>
  <c r="CG178" i="2"/>
  <c r="AA178" i="2"/>
  <c r="AY178" i="2"/>
  <c r="I147" i="2"/>
  <c r="I178" i="2" s="1"/>
  <c r="I141" i="2"/>
  <c r="Y147" i="2"/>
  <c r="F5" i="17"/>
  <c r="Y141" i="2"/>
  <c r="AK147" i="2"/>
  <c r="AK178" i="2" s="1"/>
  <c r="AK141" i="2"/>
  <c r="AW147" i="2"/>
  <c r="AW178" i="2" s="1"/>
  <c r="AW141" i="2"/>
  <c r="AE148" i="2"/>
  <c r="G156" i="2"/>
  <c r="AO157" i="2"/>
  <c r="AV158" i="2"/>
  <c r="CD159" i="2"/>
  <c r="Y160" i="2"/>
  <c r="AE161" i="2"/>
  <c r="C163" i="2"/>
  <c r="AO164" i="2"/>
  <c r="G165" i="2"/>
  <c r="G170" i="2"/>
  <c r="AO171" i="2"/>
  <c r="Y172" i="2"/>
  <c r="H141" i="2"/>
  <c r="O178" i="2"/>
  <c r="BB178" i="2"/>
  <c r="J147" i="2"/>
  <c r="J141" i="2"/>
  <c r="Z147" i="2"/>
  <c r="Z178" i="2" s="1"/>
  <c r="Z141" i="2"/>
  <c r="AL147" i="2"/>
  <c r="AL178" i="2" s="1"/>
  <c r="AL141" i="2"/>
  <c r="AX147" i="2"/>
  <c r="AX178" i="2" s="1"/>
  <c r="AX141" i="2"/>
  <c r="B148" i="2"/>
  <c r="S148" i="2"/>
  <c r="G154" i="2"/>
  <c r="N47" i="17"/>
  <c r="AO155" i="2"/>
  <c r="AV156" i="2"/>
  <c r="AD157" i="2"/>
  <c r="CD157" i="2"/>
  <c r="Y158" i="2"/>
  <c r="M162" i="2"/>
  <c r="AN162" i="2"/>
  <c r="AZ162" i="2"/>
  <c r="AV170" i="2"/>
  <c r="AD171" i="2"/>
  <c r="CD171" i="2"/>
  <c r="M174" i="2"/>
  <c r="AN174" i="2"/>
  <c r="AZ174" i="2"/>
  <c r="K141" i="2"/>
  <c r="AY141" i="2"/>
  <c r="G150" i="2"/>
  <c r="N43" i="17"/>
  <c r="AO151" i="2"/>
  <c r="CD153" i="2"/>
  <c r="AC178" i="2"/>
  <c r="N141" i="2"/>
  <c r="AC141" i="2"/>
  <c r="J5" i="17"/>
  <c r="AO141" i="2"/>
  <c r="BA141" i="2"/>
  <c r="G148" i="2"/>
  <c r="N41" i="17"/>
  <c r="AV150" i="2"/>
  <c r="AD151" i="2"/>
  <c r="CD151" i="2"/>
  <c r="Y152" i="2"/>
  <c r="AE153" i="2"/>
  <c r="M158" i="2"/>
  <c r="AN158" i="2"/>
  <c r="AZ158" i="2"/>
  <c r="AO160" i="2"/>
  <c r="G161" i="2"/>
  <c r="N54" i="17"/>
  <c r="G166" i="2"/>
  <c r="N59" i="17"/>
  <c r="AO167" i="2"/>
  <c r="Y168" i="2"/>
  <c r="AE169" i="2"/>
  <c r="C171" i="2"/>
  <c r="AO177" i="2"/>
  <c r="X141" i="2"/>
  <c r="AD153" i="2"/>
  <c r="N45" i="17"/>
  <c r="AD155" i="2"/>
  <c r="Y156" i="2"/>
  <c r="AO162" i="2"/>
  <c r="D5" i="17"/>
  <c r="M147" i="2"/>
  <c r="L5" i="17"/>
  <c r="AZ147" i="2"/>
  <c r="AV152" i="2"/>
  <c r="M160" i="2"/>
  <c r="AZ160" i="2"/>
  <c r="CD169" i="2"/>
  <c r="M172" i="2"/>
  <c r="W141" i="2"/>
  <c r="O141" i="2"/>
  <c r="G5" i="17"/>
  <c r="AD141" i="2"/>
  <c r="AP141" i="2"/>
  <c r="BB141" i="2"/>
  <c r="P5" i="17"/>
  <c r="L4" i="10" s="1"/>
  <c r="CD141" i="2"/>
  <c r="AD149" i="2"/>
  <c r="CD149" i="2"/>
  <c r="Y150" i="2"/>
  <c r="AE151" i="2"/>
  <c r="M156" i="2"/>
  <c r="AN156" i="2"/>
  <c r="AZ156" i="2"/>
  <c r="AO158" i="2"/>
  <c r="AD160" i="2"/>
  <c r="CD160" i="2"/>
  <c r="AV166" i="2"/>
  <c r="AD167" i="2"/>
  <c r="CD167" i="2"/>
  <c r="M170" i="2"/>
  <c r="AN170" i="2"/>
  <c r="AZ170" i="2"/>
  <c r="G176" i="2"/>
  <c r="N69" i="17"/>
  <c r="AD177" i="2"/>
  <c r="CD177" i="2"/>
  <c r="AA141" i="2"/>
  <c r="R141" i="2"/>
  <c r="R147" i="2"/>
  <c r="R178" i="2" s="1"/>
  <c r="H5" i="17"/>
  <c r="AE141" i="2"/>
  <c r="AE147" i="2"/>
  <c r="AQ141" i="2"/>
  <c r="AQ147" i="2"/>
  <c r="AQ178" i="2" s="1"/>
  <c r="BC141" i="2"/>
  <c r="BC147" i="2"/>
  <c r="BC178" i="2" s="1"/>
  <c r="CE141" i="2"/>
  <c r="CE147" i="2"/>
  <c r="CE178" i="2" s="1"/>
  <c r="AE149" i="2"/>
  <c r="AZ154" i="2"/>
  <c r="AO156" i="2"/>
  <c r="G157" i="2"/>
  <c r="N50" i="17"/>
  <c r="AD158" i="2"/>
  <c r="CD158" i="2"/>
  <c r="AV159" i="2"/>
  <c r="G164" i="2"/>
  <c r="N57" i="17"/>
  <c r="AO165" i="2"/>
  <c r="Y166" i="2"/>
  <c r="AE167" i="2"/>
  <c r="C169" i="2"/>
  <c r="AV176" i="2"/>
  <c r="AB141" i="2"/>
  <c r="AV148" i="2"/>
  <c r="AN172" i="2"/>
  <c r="B5" i="17"/>
  <c r="B141" i="2"/>
  <c r="B147" i="2"/>
  <c r="E5" i="17"/>
  <c r="S141" i="2"/>
  <c r="S147" i="2"/>
  <c r="AF141" i="2"/>
  <c r="AF147" i="2"/>
  <c r="AF178" i="2" s="1"/>
  <c r="AR141" i="2"/>
  <c r="AR147" i="2"/>
  <c r="AR178" i="2" s="1"/>
  <c r="BD141" i="2"/>
  <c r="BD147" i="2"/>
  <c r="BD178" i="2" s="1"/>
  <c r="CF141" i="2"/>
  <c r="CF147" i="2"/>
  <c r="CF178" i="2" s="1"/>
  <c r="AZ152" i="2"/>
  <c r="AO154" i="2"/>
  <c r="G155" i="2"/>
  <c r="N48" i="17"/>
  <c r="AD156" i="2"/>
  <c r="AV157" i="2"/>
  <c r="AV164" i="2"/>
  <c r="AD165" i="2"/>
  <c r="CD165" i="2"/>
  <c r="M168" i="2"/>
  <c r="AN168" i="2"/>
  <c r="AZ168" i="2"/>
  <c r="AO175" i="2"/>
  <c r="AI141" i="2"/>
  <c r="CI141" i="2"/>
  <c r="AO147" i="2"/>
  <c r="G163" i="2"/>
  <c r="AO169" i="2"/>
  <c r="C173" i="2"/>
  <c r="AE155" i="2"/>
  <c r="AN160" i="2"/>
  <c r="AV168" i="2"/>
  <c r="AD169" i="2"/>
  <c r="C141" i="2"/>
  <c r="T141" i="2"/>
  <c r="AG141" i="2"/>
  <c r="AS141" i="2"/>
  <c r="BE141" i="2"/>
  <c r="CG141" i="2"/>
  <c r="M150" i="2"/>
  <c r="AN150" i="2"/>
  <c r="AZ150" i="2"/>
  <c r="AO152" i="2"/>
  <c r="G153" i="2"/>
  <c r="CD154" i="2"/>
  <c r="AV155" i="2"/>
  <c r="N55" i="17"/>
  <c r="AO163" i="2"/>
  <c r="Y164" i="2"/>
  <c r="AE165" i="2"/>
  <c r="C167" i="2"/>
  <c r="G174" i="2"/>
  <c r="N67" i="17"/>
  <c r="AD175" i="2"/>
  <c r="CD175" i="2"/>
  <c r="C177" i="2"/>
  <c r="AJ141" i="2"/>
  <c r="AP147" i="2"/>
  <c r="AP178" i="2" s="1"/>
  <c r="AO149" i="2"/>
  <c r="AM178" i="2"/>
  <c r="AV154" i="2"/>
  <c r="N61" i="17"/>
  <c r="AE171" i="2"/>
  <c r="AB178" i="2"/>
  <c r="Y154" i="2"/>
  <c r="D141" i="2"/>
  <c r="U141" i="2"/>
  <c r="AH141" i="2"/>
  <c r="AT141" i="2"/>
  <c r="M5" i="17"/>
  <c r="CH141" i="2"/>
  <c r="AO150" i="2"/>
  <c r="G151" i="2"/>
  <c r="N44" i="17"/>
  <c r="AD152" i="2"/>
  <c r="CD152" i="2"/>
  <c r="AV153" i="2"/>
  <c r="AV162" i="2"/>
  <c r="AD163" i="2"/>
  <c r="CD163" i="2"/>
  <c r="M166" i="2"/>
  <c r="AN166" i="2"/>
  <c r="AZ166" i="2"/>
  <c r="AV174" i="2"/>
  <c r="AM141" i="2"/>
  <c r="C147" i="2"/>
  <c r="AS147" i="2"/>
  <c r="AS178" i="2" s="1"/>
  <c r="M148" i="2"/>
  <c r="AN152" i="2"/>
  <c r="AD159" i="2"/>
  <c r="CD155" i="2"/>
  <c r="C161" i="2"/>
  <c r="G168" i="2"/>
  <c r="Y170" i="2"/>
  <c r="U178" i="2"/>
  <c r="I5" i="17"/>
  <c r="AN147" i="2"/>
  <c r="AZ172" i="2"/>
  <c r="C5" i="17"/>
  <c r="G147" i="2"/>
  <c r="W178" i="2"/>
  <c r="AI178" i="2"/>
  <c r="AU178" i="2"/>
  <c r="CI178" i="2"/>
  <c r="AO148" i="2"/>
  <c r="AD150" i="2"/>
  <c r="CD150" i="2"/>
  <c r="AV151" i="2"/>
  <c r="G160" i="2"/>
  <c r="AO161" i="2"/>
  <c r="Y162" i="2"/>
  <c r="AE163" i="2"/>
  <c r="C165" i="2"/>
  <c r="AO166" i="2"/>
  <c r="G167" i="2"/>
  <c r="G172" i="2"/>
  <c r="AO173" i="2"/>
  <c r="M176" i="2"/>
  <c r="AN176" i="2"/>
  <c r="AZ176" i="2"/>
  <c r="AN141" i="2"/>
  <c r="D147" i="2"/>
  <c r="D178" i="2" s="1"/>
  <c r="AT147" i="2"/>
  <c r="AT178" i="2" s="1"/>
  <c r="G162" i="2"/>
  <c r="G152" i="2"/>
  <c r="AO153" i="2"/>
  <c r="H178" i="2"/>
  <c r="X178" i="2"/>
  <c r="AJ178" i="2"/>
  <c r="K5" i="17"/>
  <c r="AV147" i="2"/>
  <c r="AD148" i="2"/>
  <c r="CD148" i="2"/>
  <c r="AV149" i="2"/>
  <c r="G158" i="2"/>
  <c r="N51" i="17"/>
  <c r="AO159" i="2"/>
  <c r="AV160" i="2"/>
  <c r="AD161" i="2"/>
  <c r="CD161" i="2"/>
  <c r="M164" i="2"/>
  <c r="AN164" i="2"/>
  <c r="AZ164" i="2"/>
  <c r="AV172" i="2"/>
  <c r="AD173" i="2"/>
  <c r="CD173" i="2"/>
  <c r="C175" i="2"/>
  <c r="G141" i="2"/>
  <c r="AU141" i="2"/>
  <c r="N147" i="2"/>
  <c r="N178" i="2" s="1"/>
  <c r="BA147" i="2"/>
  <c r="BA178" i="2" s="1"/>
  <c r="M154" i="2"/>
  <c r="AE157" i="2"/>
  <c r="AO168" i="2"/>
  <c r="Y174" i="2"/>
  <c r="AE175" i="2"/>
  <c r="Y176" i="2"/>
  <c r="AE177" i="2"/>
  <c r="B157" i="2"/>
  <c r="S157" i="2"/>
  <c r="B159" i="2"/>
  <c r="S159" i="2"/>
  <c r="B163" i="2"/>
  <c r="S163" i="2"/>
  <c r="S165" i="2"/>
  <c r="B167" i="2"/>
  <c r="S167" i="2"/>
  <c r="B171" i="2"/>
  <c r="S171" i="2"/>
  <c r="B173" i="2"/>
  <c r="S173" i="2"/>
  <c r="B175" i="2"/>
  <c r="S175" i="2"/>
  <c r="B177" i="2"/>
  <c r="S177" i="2"/>
  <c r="B153" i="2"/>
  <c r="S151" i="2"/>
  <c r="B169" i="2"/>
  <c r="G169" i="2"/>
  <c r="N62" i="17"/>
  <c r="AO170" i="2"/>
  <c r="G171" i="2"/>
  <c r="N64" i="17"/>
  <c r="AO172" i="2"/>
  <c r="G173" i="2"/>
  <c r="AO174" i="2"/>
  <c r="G175" i="2"/>
  <c r="N68" i="17"/>
  <c r="AO176" i="2"/>
  <c r="B158" i="2"/>
  <c r="AV161" i="2"/>
  <c r="AD162" i="2"/>
  <c r="CD162" i="2"/>
  <c r="AV163" i="2"/>
  <c r="CD164" i="2"/>
  <c r="AV165" i="2"/>
  <c r="AV167" i="2"/>
  <c r="AD168" i="2"/>
  <c r="CD168" i="2"/>
  <c r="AV169" i="2"/>
  <c r="AD170" i="2"/>
  <c r="CD170" i="2"/>
  <c r="AV171" i="2"/>
  <c r="AD172" i="2"/>
  <c r="CD172" i="2"/>
  <c r="AV173" i="2"/>
  <c r="AD174" i="2"/>
  <c r="CD174" i="2"/>
  <c r="AV175" i="2"/>
  <c r="AD176" i="2"/>
  <c r="CD176" i="2"/>
  <c r="AV177" i="2"/>
  <c r="B155" i="2"/>
  <c r="B161" i="2"/>
  <c r="Y149" i="2"/>
  <c r="AE150" i="2"/>
  <c r="Y151" i="2"/>
  <c r="AE152" i="2"/>
  <c r="Y153" i="2"/>
  <c r="AE154" i="2"/>
  <c r="Y157" i="2"/>
  <c r="AE158" i="2"/>
  <c r="Y159" i="2"/>
  <c r="Y163" i="2"/>
  <c r="Y165" i="2"/>
  <c r="AE166" i="2"/>
  <c r="Y167" i="2"/>
  <c r="AE168" i="2"/>
  <c r="Y169" i="2"/>
  <c r="AE170" i="2"/>
  <c r="Y171" i="2"/>
  <c r="AE172" i="2"/>
  <c r="Y173" i="2"/>
  <c r="AE174" i="2"/>
  <c r="Y175" i="2"/>
  <c r="AE176" i="2"/>
  <c r="Y177" i="2"/>
  <c r="S161" i="2"/>
  <c r="S169" i="2"/>
  <c r="AE173" i="2"/>
  <c r="B150" i="2"/>
  <c r="S150" i="2"/>
  <c r="B152" i="2"/>
  <c r="S152" i="2"/>
  <c r="B154" i="2"/>
  <c r="S154" i="2"/>
  <c r="B156" i="2"/>
  <c r="S156" i="2"/>
  <c r="B160" i="2"/>
  <c r="S160" i="2"/>
  <c r="S162" i="2"/>
  <c r="B164" i="2"/>
  <c r="S164" i="2"/>
  <c r="B166" i="2"/>
  <c r="S166" i="2"/>
  <c r="S168" i="2"/>
  <c r="B170" i="2"/>
  <c r="S170" i="2"/>
  <c r="B172" i="2"/>
  <c r="S172" i="2"/>
  <c r="B174" i="2"/>
  <c r="S174" i="2"/>
  <c r="B176" i="2"/>
  <c r="S176" i="2"/>
  <c r="S153" i="2"/>
  <c r="S158" i="2"/>
  <c r="B168" i="2"/>
  <c r="M153" i="2"/>
  <c r="AN153" i="2"/>
  <c r="AZ153" i="2"/>
  <c r="M155" i="2"/>
  <c r="AN155" i="2"/>
  <c r="AZ155" i="2"/>
  <c r="AN157" i="2"/>
  <c r="AZ157" i="2"/>
  <c r="M159" i="2"/>
  <c r="AN159" i="2"/>
  <c r="AZ159" i="2"/>
  <c r="M161" i="2"/>
  <c r="AZ161" i="2"/>
  <c r="AN163" i="2"/>
  <c r="M165" i="2"/>
  <c r="AN165" i="2"/>
  <c r="AZ165" i="2"/>
  <c r="M167" i="2"/>
  <c r="AZ167" i="2"/>
  <c r="M169" i="2"/>
  <c r="AN169" i="2"/>
  <c r="AZ169" i="2"/>
  <c r="M171" i="2"/>
  <c r="AN171" i="2"/>
  <c r="AZ171" i="2"/>
  <c r="M173" i="2"/>
  <c r="AN173" i="2"/>
  <c r="AZ173" i="2"/>
  <c r="M175" i="2"/>
  <c r="AN175" i="2"/>
  <c r="AZ175" i="2"/>
  <c r="M177" i="2"/>
  <c r="AN177" i="2"/>
  <c r="AZ177" i="2"/>
  <c r="AZ149" i="2"/>
  <c r="B151" i="2"/>
  <c r="B162" i="2"/>
  <c r="CD166" i="2"/>
  <c r="L75" i="20"/>
  <c r="I75" i="20"/>
  <c r="E75" i="20"/>
  <c r="Q75" i="20"/>
  <c r="H75" i="20"/>
  <c r="J75" i="20"/>
  <c r="A55" i="20"/>
  <c r="N14" i="16" s="1"/>
  <c r="A67" i="20"/>
  <c r="Z14" i="16" s="1"/>
  <c r="C75" i="20"/>
  <c r="O75" i="20"/>
  <c r="A53" i="20"/>
  <c r="L14" i="16" s="1"/>
  <c r="A54" i="20"/>
  <c r="M14" i="16" s="1"/>
  <c r="A65" i="20"/>
  <c r="X14" i="16" s="1"/>
  <c r="A66" i="20"/>
  <c r="Y14" i="16" s="1"/>
  <c r="A47" i="20"/>
  <c r="F14" i="16" s="1"/>
  <c r="P75" i="20"/>
  <c r="A56" i="20"/>
  <c r="O14" i="16" s="1"/>
  <c r="A68" i="20"/>
  <c r="AA14" i="16" s="1"/>
  <c r="A59" i="20"/>
  <c r="R14" i="16" s="1"/>
  <c r="A71" i="20"/>
  <c r="AD14" i="16" s="1"/>
  <c r="F75" i="20"/>
  <c r="D14" i="16"/>
  <c r="N75" i="20"/>
  <c r="A50" i="20"/>
  <c r="I14" i="16" s="1"/>
  <c r="M75" i="20"/>
  <c r="G75" i="20"/>
  <c r="A48" i="20"/>
  <c r="G14" i="16" s="1"/>
  <c r="A57" i="20"/>
  <c r="P14" i="16" s="1"/>
  <c r="A62" i="20"/>
  <c r="U14" i="16" s="1"/>
  <c r="A69" i="20"/>
  <c r="AB14" i="16" s="1"/>
  <c r="A74" i="20"/>
  <c r="AG14" i="16" s="1"/>
  <c r="R75" i="20"/>
  <c r="A60" i="20"/>
  <c r="S14" i="16" s="1"/>
  <c r="A72" i="20"/>
  <c r="AE14" i="16" s="1"/>
  <c r="A63" i="20"/>
  <c r="V14" i="16" s="1"/>
  <c r="A46" i="20"/>
  <c r="E14" i="16" s="1"/>
  <c r="A49" i="20"/>
  <c r="H14" i="16" s="1"/>
  <c r="C14" i="16"/>
  <c r="B75" i="20"/>
  <c r="D75" i="20"/>
  <c r="V5" i="17" l="1"/>
  <c r="O34" i="10"/>
  <c r="K4" i="10"/>
  <c r="BH178" i="2"/>
  <c r="DB149" i="2"/>
  <c r="O71" i="17"/>
  <c r="N22" i="10"/>
  <c r="DB157" i="2"/>
  <c r="T15" i="17"/>
  <c r="K7" i="10"/>
  <c r="K31" i="10"/>
  <c r="T14" i="17"/>
  <c r="DB167" i="2"/>
  <c r="DB155" i="2"/>
  <c r="T7" i="17"/>
  <c r="V8" i="17"/>
  <c r="BT178" i="2"/>
  <c r="DB150" i="2"/>
  <c r="DB160" i="2"/>
  <c r="DB158" i="2"/>
  <c r="DB175" i="2"/>
  <c r="V23" i="17"/>
  <c r="V32" i="17"/>
  <c r="S60" i="17"/>
  <c r="DB165" i="2"/>
  <c r="DB176" i="2"/>
  <c r="DB168" i="2"/>
  <c r="DB163" i="2"/>
  <c r="DB164" i="2"/>
  <c r="DB162" i="2"/>
  <c r="CV178" i="2"/>
  <c r="DB154" i="2"/>
  <c r="DB152" i="2"/>
  <c r="DB161" i="2"/>
  <c r="B61" i="17"/>
  <c r="DB173" i="2"/>
  <c r="DB166" i="2"/>
  <c r="V6" i="17"/>
  <c r="DB171" i="2"/>
  <c r="R62" i="17"/>
  <c r="DB151" i="2"/>
  <c r="DB153" i="2"/>
  <c r="DB156" i="2"/>
  <c r="R40" i="17"/>
  <c r="V34" i="17"/>
  <c r="DB159" i="2"/>
  <c r="DB172" i="2"/>
  <c r="CP178" i="2"/>
  <c r="DB177" i="2"/>
  <c r="DB169" i="2"/>
  <c r="DB170" i="2"/>
  <c r="DB174" i="2"/>
  <c r="K5" i="10"/>
  <c r="K23" i="10"/>
  <c r="V18" i="17"/>
  <c r="S36" i="17"/>
  <c r="DB148" i="2"/>
  <c r="N13" i="10"/>
  <c r="R49" i="17"/>
  <c r="V21" i="17"/>
  <c r="S62" i="17"/>
  <c r="O26" i="10"/>
  <c r="Q70" i="17"/>
  <c r="M34" i="10"/>
  <c r="Q58" i="17"/>
  <c r="M22" i="10"/>
  <c r="Q46" i="17"/>
  <c r="M10" i="10"/>
  <c r="R68" i="17"/>
  <c r="N32" i="10"/>
  <c r="V17" i="17"/>
  <c r="V20" i="17"/>
  <c r="V9" i="17"/>
  <c r="K13" i="10"/>
  <c r="K19" i="10"/>
  <c r="K25" i="10"/>
  <c r="V16" i="17"/>
  <c r="O31" i="10"/>
  <c r="S67" i="17"/>
  <c r="M19" i="10"/>
  <c r="Q55" i="17"/>
  <c r="S64" i="17"/>
  <c r="O28" i="10"/>
  <c r="O32" i="10"/>
  <c r="S68" i="17"/>
  <c r="O19" i="10"/>
  <c r="S55" i="17"/>
  <c r="O7" i="10"/>
  <c r="S43" i="17"/>
  <c r="N23" i="10"/>
  <c r="R59" i="17"/>
  <c r="N11" i="10"/>
  <c r="R47" i="17"/>
  <c r="M29" i="10"/>
  <c r="Q65" i="17"/>
  <c r="M17" i="10"/>
  <c r="Q53" i="17"/>
  <c r="M5" i="10"/>
  <c r="Q41" i="17"/>
  <c r="V31" i="17"/>
  <c r="O9" i="10"/>
  <c r="S45" i="17"/>
  <c r="N25" i="10"/>
  <c r="R61" i="17"/>
  <c r="CJ178" i="2"/>
  <c r="O36" i="17"/>
  <c r="N8" i="10"/>
  <c r="R44" i="17"/>
  <c r="M32" i="10"/>
  <c r="Q68" i="17"/>
  <c r="Q56" i="17"/>
  <c r="M20" i="10"/>
  <c r="M8" i="10"/>
  <c r="Q44" i="17"/>
  <c r="N12" i="10"/>
  <c r="R48" i="17"/>
  <c r="K8" i="10"/>
  <c r="K14" i="10"/>
  <c r="K20" i="10"/>
  <c r="K26" i="10"/>
  <c r="K32" i="10"/>
  <c r="V13" i="17"/>
  <c r="S57" i="17"/>
  <c r="O21" i="10"/>
  <c r="T8" i="17"/>
  <c r="N16" i="10"/>
  <c r="R52" i="17"/>
  <c r="N20" i="10"/>
  <c r="R56" i="17"/>
  <c r="S53" i="17"/>
  <c r="O17" i="10"/>
  <c r="O5" i="10"/>
  <c r="S41" i="17"/>
  <c r="N33" i="10"/>
  <c r="R69" i="17"/>
  <c r="N21" i="10"/>
  <c r="R57" i="17"/>
  <c r="N9" i="10"/>
  <c r="R45" i="17"/>
  <c r="M27" i="10"/>
  <c r="Q63" i="17"/>
  <c r="M15" i="10"/>
  <c r="Q51" i="17"/>
  <c r="K9" i="10"/>
  <c r="K15" i="10"/>
  <c r="V28" i="17"/>
  <c r="S66" i="17"/>
  <c r="O30" i="10"/>
  <c r="R60" i="17"/>
  <c r="N24" i="10"/>
  <c r="M30" i="10"/>
  <c r="Q66" i="17"/>
  <c r="M18" i="10"/>
  <c r="Q54" i="17"/>
  <c r="M6" i="10"/>
  <c r="Q42" i="17"/>
  <c r="V14" i="17"/>
  <c r="K21" i="10"/>
  <c r="K27" i="10"/>
  <c r="K33" i="10"/>
  <c r="V33" i="17"/>
  <c r="V15" i="17"/>
  <c r="V10" i="17"/>
  <c r="S58" i="17"/>
  <c r="O22" i="10"/>
  <c r="DB147" i="2"/>
  <c r="O4" i="10"/>
  <c r="S40" i="17"/>
  <c r="O27" i="10"/>
  <c r="S63" i="17"/>
  <c r="S51" i="17"/>
  <c r="O15" i="10"/>
  <c r="S48" i="17"/>
  <c r="O12" i="10"/>
  <c r="N31" i="10"/>
  <c r="R67" i="17"/>
  <c r="N19" i="10"/>
  <c r="R55" i="17"/>
  <c r="N7" i="10"/>
  <c r="R43" i="17"/>
  <c r="M25" i="10"/>
  <c r="Q61" i="17"/>
  <c r="M13" i="10"/>
  <c r="Q49" i="17"/>
  <c r="K34" i="10"/>
  <c r="V25" i="17"/>
  <c r="N10" i="10"/>
  <c r="R46" i="17"/>
  <c r="M28" i="10"/>
  <c r="Q64" i="17"/>
  <c r="M16" i="10"/>
  <c r="Q52" i="17"/>
  <c r="M4" i="10"/>
  <c r="Q40" i="17"/>
  <c r="S56" i="17"/>
  <c r="O20" i="10"/>
  <c r="K10" i="10"/>
  <c r="K16" i="10"/>
  <c r="K22" i="10"/>
  <c r="K28" i="10"/>
  <c r="V30" i="17"/>
  <c r="V12" i="17"/>
  <c r="V7" i="17"/>
  <c r="V29" i="17"/>
  <c r="M7" i="10"/>
  <c r="Q43" i="17"/>
  <c r="N18" i="10"/>
  <c r="R54" i="17"/>
  <c r="S44" i="17"/>
  <c r="O8" i="10"/>
  <c r="N6" i="10"/>
  <c r="R42" i="17"/>
  <c r="S61" i="17"/>
  <c r="O25" i="10"/>
  <c r="O13" i="10"/>
  <c r="S49" i="17"/>
  <c r="O29" i="10"/>
  <c r="S65" i="17"/>
  <c r="R65" i="17"/>
  <c r="N29" i="10"/>
  <c r="N17" i="10"/>
  <c r="R53" i="17"/>
  <c r="N5" i="10"/>
  <c r="R41" i="17"/>
  <c r="Q59" i="17"/>
  <c r="M23" i="10"/>
  <c r="M11" i="10"/>
  <c r="Q47" i="17"/>
  <c r="V22" i="17"/>
  <c r="V11" i="17"/>
  <c r="Q36" i="17"/>
  <c r="S46" i="17"/>
  <c r="O10" i="10"/>
  <c r="S52" i="17"/>
  <c r="O16" i="10"/>
  <c r="M26" i="10"/>
  <c r="Q62" i="17"/>
  <c r="M14" i="10"/>
  <c r="Q50" i="17"/>
  <c r="N14" i="10"/>
  <c r="R50" i="17"/>
  <c r="R70" i="17"/>
  <c r="N34" i="10"/>
  <c r="K11" i="10"/>
  <c r="K17" i="10"/>
  <c r="K29" i="10"/>
  <c r="S54" i="17"/>
  <c r="O18" i="10"/>
  <c r="R66" i="17"/>
  <c r="N30" i="10"/>
  <c r="O6" i="10"/>
  <c r="S42" i="17"/>
  <c r="O23" i="10"/>
  <c r="S59" i="17"/>
  <c r="S47" i="17"/>
  <c r="O11" i="10"/>
  <c r="V26" i="17"/>
  <c r="V35" i="17"/>
  <c r="R63" i="17"/>
  <c r="N27" i="10"/>
  <c r="N15" i="10"/>
  <c r="R51" i="17"/>
  <c r="M33" i="10"/>
  <c r="Q69" i="17"/>
  <c r="M21" i="10"/>
  <c r="Q57" i="17"/>
  <c r="M9" i="10"/>
  <c r="Q45" i="17"/>
  <c r="V24" i="17"/>
  <c r="V27" i="17"/>
  <c r="M31" i="10"/>
  <c r="Q67" i="17"/>
  <c r="R36" i="17"/>
  <c r="R64" i="17"/>
  <c r="N28" i="10"/>
  <c r="S69" i="17"/>
  <c r="O33" i="10"/>
  <c r="M24" i="10"/>
  <c r="Q60" i="17"/>
  <c r="M12" i="10"/>
  <c r="Q48" i="17"/>
  <c r="S50" i="17"/>
  <c r="O14" i="10"/>
  <c r="K6" i="10"/>
  <c r="K12" i="10"/>
  <c r="K18" i="10"/>
  <c r="K24" i="10"/>
  <c r="K30" i="10"/>
  <c r="V19" i="17"/>
  <c r="GQ17" i="5"/>
  <c r="GQ6" i="5"/>
  <c r="GQ22" i="5"/>
  <c r="GQ18" i="5"/>
  <c r="GQ10" i="5"/>
  <c r="GQ30" i="5"/>
  <c r="GQ16" i="5"/>
  <c r="GQ14" i="5"/>
  <c r="GQ34" i="5"/>
  <c r="GP36" i="5"/>
  <c r="GQ26" i="5"/>
  <c r="GQ5" i="5"/>
  <c r="GQ29" i="5"/>
  <c r="A75" i="20"/>
  <c r="T34" i="17"/>
  <c r="T28" i="17"/>
  <c r="T22" i="17"/>
  <c r="T35" i="17"/>
  <c r="T29" i="17"/>
  <c r="T27" i="17"/>
  <c r="T12" i="17"/>
  <c r="T19" i="17"/>
  <c r="T11" i="17"/>
  <c r="T5" i="17"/>
  <c r="T36" i="17" s="1"/>
  <c r="B15" i="10"/>
  <c r="T16" i="17"/>
  <c r="T32" i="17"/>
  <c r="T9" i="17"/>
  <c r="T13" i="17"/>
  <c r="T33" i="17"/>
  <c r="T18" i="17"/>
  <c r="T25" i="17"/>
  <c r="T10" i="17"/>
  <c r="T17" i="17"/>
  <c r="B55" i="17"/>
  <c r="T20" i="17"/>
  <c r="T30" i="17"/>
  <c r="T24" i="17"/>
  <c r="T31" i="17"/>
  <c r="T26" i="17"/>
  <c r="T21" i="17"/>
  <c r="T23" i="17"/>
  <c r="T6" i="17"/>
  <c r="B19" i="10"/>
  <c r="B51" i="17"/>
  <c r="DB141" i="2"/>
  <c r="C43" i="17"/>
  <c r="DD120" i="2"/>
  <c r="DD126" i="2"/>
  <c r="F182" i="1"/>
  <c r="HG123" i="1"/>
  <c r="C57" i="9"/>
  <c r="HG124" i="1"/>
  <c r="HG120" i="1"/>
  <c r="HG121" i="1"/>
  <c r="DD116" i="2" s="1"/>
  <c r="HG134" i="1"/>
  <c r="HG119" i="1"/>
  <c r="DD114" i="2" s="1"/>
  <c r="DD138" i="2"/>
  <c r="C56" i="9"/>
  <c r="HG129" i="1"/>
  <c r="DD124" i="2" s="1"/>
  <c r="DD128" i="2"/>
  <c r="B78" i="9"/>
  <c r="BF78" i="9" s="1"/>
  <c r="BG182" i="1"/>
  <c r="U48" i="9"/>
  <c r="U79" i="9" s="1"/>
  <c r="E48" i="9"/>
  <c r="E79" i="9" s="1"/>
  <c r="K182" i="1"/>
  <c r="B75" i="9"/>
  <c r="BF75" i="9" s="1"/>
  <c r="HG178" i="1"/>
  <c r="AF35" i="9"/>
  <c r="P35" i="9"/>
  <c r="L10" i="16"/>
  <c r="L12" i="16" s="1"/>
  <c r="HG122" i="1"/>
  <c r="DD117" i="2" s="1"/>
  <c r="H10" i="16"/>
  <c r="H12" i="16" s="1"/>
  <c r="G10" i="16"/>
  <c r="G12" i="16" s="1"/>
  <c r="B59" i="9"/>
  <c r="BF59" i="9" s="1"/>
  <c r="HG162" i="1"/>
  <c r="AI48" i="9"/>
  <c r="AI79" i="9" s="1"/>
  <c r="CW182" i="1"/>
  <c r="S48" i="9"/>
  <c r="S79" i="9" s="1"/>
  <c r="BA182" i="1"/>
  <c r="C48" i="9"/>
  <c r="E182" i="1"/>
  <c r="X10" i="16"/>
  <c r="X12" i="16" s="1"/>
  <c r="HE146" i="1"/>
  <c r="AG10" i="16"/>
  <c r="AG12" i="16" s="1"/>
  <c r="HG145" i="1"/>
  <c r="DD140" i="2" s="1"/>
  <c r="HD146" i="1"/>
  <c r="HG115" i="1"/>
  <c r="U35" i="9"/>
  <c r="E35" i="9"/>
  <c r="AD10" i="16"/>
  <c r="AD12" i="16" s="1"/>
  <c r="B57" i="9"/>
  <c r="BF57" i="9" s="1"/>
  <c r="HG160" i="1"/>
  <c r="B55" i="9"/>
  <c r="BF55" i="9" s="1"/>
  <c r="HG158" i="1"/>
  <c r="N10" i="16"/>
  <c r="N12" i="16" s="1"/>
  <c r="AI35" i="9"/>
  <c r="S35" i="9"/>
  <c r="C35" i="9"/>
  <c r="Z48" i="9"/>
  <c r="Z79" i="9" s="1"/>
  <c r="BV182" i="1"/>
  <c r="J48" i="9"/>
  <c r="J79" i="9" s="1"/>
  <c r="Z182" i="1"/>
  <c r="HG130" i="1"/>
  <c r="DD125" i="2" s="1"/>
  <c r="AB48" i="9"/>
  <c r="AB79" i="9" s="1"/>
  <c r="CB182" i="1"/>
  <c r="L48" i="9"/>
  <c r="L79" i="9" s="1"/>
  <c r="AF182" i="1"/>
  <c r="J10" i="16"/>
  <c r="J12" i="16" s="1"/>
  <c r="B50" i="9"/>
  <c r="BF50" i="9" s="1"/>
  <c r="HG153" i="1"/>
  <c r="B49" i="9"/>
  <c r="BF49" i="9" s="1"/>
  <c r="HG152" i="1"/>
  <c r="Z35" i="9"/>
  <c r="J35" i="9"/>
  <c r="B60" i="9"/>
  <c r="BF60" i="9" s="1"/>
  <c r="HG163" i="1"/>
  <c r="AG48" i="9"/>
  <c r="AG79" i="9" s="1"/>
  <c r="CQ182" i="1"/>
  <c r="Q48" i="9"/>
  <c r="Q79" i="9" s="1"/>
  <c r="AU182" i="1"/>
  <c r="B63" i="9"/>
  <c r="BF63" i="9" s="1"/>
  <c r="AB35" i="9"/>
  <c r="L35" i="9"/>
  <c r="HG127" i="1"/>
  <c r="DD122" i="2" s="1"/>
  <c r="HG132" i="1"/>
  <c r="DD127" i="2" s="1"/>
  <c r="AE48" i="9"/>
  <c r="AE79" i="9" s="1"/>
  <c r="CK182" i="1"/>
  <c r="O48" i="9"/>
  <c r="O79" i="9" s="1"/>
  <c r="AO182" i="1"/>
  <c r="E10" i="16"/>
  <c r="E12" i="16" s="1"/>
  <c r="D10" i="16"/>
  <c r="D12" i="16" s="1"/>
  <c r="HG128" i="1"/>
  <c r="M182" i="1"/>
  <c r="Q10" i="16"/>
  <c r="Q12" i="16" s="1"/>
  <c r="O10" i="16"/>
  <c r="O12" i="16" s="1"/>
  <c r="B67" i="9"/>
  <c r="BF67" i="9" s="1"/>
  <c r="B64" i="9"/>
  <c r="BF64" i="9" s="1"/>
  <c r="HG167" i="1"/>
  <c r="AG35" i="9"/>
  <c r="Q35" i="9"/>
  <c r="HF146" i="1"/>
  <c r="R10" i="16"/>
  <c r="R12" i="16" s="1"/>
  <c r="B65" i="9"/>
  <c r="BF65" i="9" s="1"/>
  <c r="AE35" i="9"/>
  <c r="O35" i="9"/>
  <c r="HG117" i="1"/>
  <c r="DD112" i="2" s="1"/>
  <c r="B61" i="9"/>
  <c r="BF61" i="9" s="1"/>
  <c r="HG164" i="1"/>
  <c r="V48" i="9"/>
  <c r="V79" i="9" s="1"/>
  <c r="BJ182" i="1"/>
  <c r="F48" i="9"/>
  <c r="F79" i="9" s="1"/>
  <c r="N182" i="1"/>
  <c r="B62" i="9"/>
  <c r="BF62" i="9" s="1"/>
  <c r="HG165" i="1"/>
  <c r="Y10" i="16"/>
  <c r="Y12" i="16" s="1"/>
  <c r="B74" i="9"/>
  <c r="BF74" i="9" s="1"/>
  <c r="HG177" i="1"/>
  <c r="V10" i="16"/>
  <c r="V12" i="16" s="1"/>
  <c r="S10" i="16"/>
  <c r="S12" i="16" s="1"/>
  <c r="X48" i="9"/>
  <c r="X79" i="9" s="1"/>
  <c r="BP182" i="1"/>
  <c r="H48" i="9"/>
  <c r="H79" i="9" s="1"/>
  <c r="T182" i="1"/>
  <c r="T10" i="16"/>
  <c r="T12" i="16" s="1"/>
  <c r="HG144" i="1"/>
  <c r="DD139" i="2" s="1"/>
  <c r="P10" i="16"/>
  <c r="P12" i="16" s="1"/>
  <c r="V35" i="9"/>
  <c r="F35" i="9"/>
  <c r="DD115" i="2"/>
  <c r="AC10" i="16"/>
  <c r="AC12" i="16" s="1"/>
  <c r="HG168" i="1"/>
  <c r="B66" i="9"/>
  <c r="BF66" i="9" s="1"/>
  <c r="HG169" i="1"/>
  <c r="HG141" i="1"/>
  <c r="DD136" i="2" s="1"/>
  <c r="AC48" i="9"/>
  <c r="AC79" i="9" s="1"/>
  <c r="CE182" i="1"/>
  <c r="M48" i="9"/>
  <c r="M79" i="9" s="1"/>
  <c r="AI182" i="1"/>
  <c r="HG139" i="1"/>
  <c r="DD134" i="2" s="1"/>
  <c r="X35" i="9"/>
  <c r="H35" i="9"/>
  <c r="HG161" i="1"/>
  <c r="B56" i="9"/>
  <c r="HG159" i="1"/>
  <c r="AA35" i="9"/>
  <c r="K48" i="9"/>
  <c r="K79" i="9" s="1"/>
  <c r="AC182" i="1"/>
  <c r="AF10" i="16"/>
  <c r="AF12" i="16" s="1"/>
  <c r="HG126" i="1"/>
  <c r="DD121" i="2" s="1"/>
  <c r="B71" i="9"/>
  <c r="BF71" i="9" s="1"/>
  <c r="HG174" i="1"/>
  <c r="B70" i="9"/>
  <c r="BF70" i="9" s="1"/>
  <c r="HG173" i="1"/>
  <c r="U10" i="16"/>
  <c r="U12" i="16" s="1"/>
  <c r="HG138" i="1"/>
  <c r="DD133" i="2" s="1"/>
  <c r="AC35" i="9"/>
  <c r="M35" i="9"/>
  <c r="BF58" i="9"/>
  <c r="K10" i="16"/>
  <c r="K12" i="16" s="1"/>
  <c r="B54" i="9"/>
  <c r="BF54" i="9" s="1"/>
  <c r="HG157" i="1"/>
  <c r="B51" i="9"/>
  <c r="BF51" i="9" s="1"/>
  <c r="HG154" i="1"/>
  <c r="AA48" i="9"/>
  <c r="AA79" i="9" s="1"/>
  <c r="BY182" i="1"/>
  <c r="K35" i="9"/>
  <c r="B77" i="9"/>
  <c r="BF77" i="9" s="1"/>
  <c r="HG180" i="1"/>
  <c r="AH48" i="9"/>
  <c r="AH79" i="9" s="1"/>
  <c r="CT182" i="1"/>
  <c r="R48" i="9"/>
  <c r="R79" i="9" s="1"/>
  <c r="AX182" i="1"/>
  <c r="B48" i="9"/>
  <c r="B182" i="1"/>
  <c r="HG116" i="1"/>
  <c r="DD111" i="2" s="1"/>
  <c r="Z10" i="16"/>
  <c r="Z12" i="16" s="1"/>
  <c r="B76" i="9"/>
  <c r="BF76" i="9" s="1"/>
  <c r="HG179" i="1"/>
  <c r="AJ48" i="9"/>
  <c r="AJ79" i="9" s="1"/>
  <c r="CZ182" i="1"/>
  <c r="T48" i="9"/>
  <c r="T79" i="9" s="1"/>
  <c r="BD182" i="1"/>
  <c r="D48" i="9"/>
  <c r="D79" i="9" s="1"/>
  <c r="H182" i="1"/>
  <c r="I10" i="16"/>
  <c r="I12" i="16" s="1"/>
  <c r="F10" i="16"/>
  <c r="F12" i="16" s="1"/>
  <c r="AH35" i="9"/>
  <c r="R35" i="9"/>
  <c r="B35" i="9"/>
  <c r="DD118" i="2"/>
  <c r="DD135" i="2"/>
  <c r="AE10" i="16"/>
  <c r="AE12" i="16" s="1"/>
  <c r="HG166" i="1"/>
  <c r="Y48" i="9"/>
  <c r="Y79" i="9" s="1"/>
  <c r="BS182" i="1"/>
  <c r="I48" i="9"/>
  <c r="I79" i="9" s="1"/>
  <c r="W182" i="1"/>
  <c r="AJ35" i="9"/>
  <c r="T35" i="9"/>
  <c r="D35" i="9"/>
  <c r="HG170" i="1"/>
  <c r="W48" i="9"/>
  <c r="W79" i="9" s="1"/>
  <c r="BM182" i="1"/>
  <c r="G48" i="9"/>
  <c r="G79" i="9" s="1"/>
  <c r="Q182" i="1"/>
  <c r="C182" i="1"/>
  <c r="HE182" i="1"/>
  <c r="M39" i="9" s="1"/>
  <c r="DD123" i="2"/>
  <c r="DD132" i="2"/>
  <c r="B73" i="9"/>
  <c r="BF73" i="9" s="1"/>
  <c r="HG176" i="1"/>
  <c r="B72" i="9"/>
  <c r="BF72" i="9" s="1"/>
  <c r="HG175" i="1"/>
  <c r="Y35" i="9"/>
  <c r="I35" i="9"/>
  <c r="HG135" i="1"/>
  <c r="DD130" i="2" s="1"/>
  <c r="G182" i="1"/>
  <c r="W35" i="9"/>
  <c r="G35" i="9"/>
  <c r="D182" i="1"/>
  <c r="B68" i="9"/>
  <c r="BF68" i="9" s="1"/>
  <c r="HG171" i="1"/>
  <c r="AD48" i="9"/>
  <c r="AD79" i="9" s="1"/>
  <c r="CH182" i="1"/>
  <c r="N48" i="9"/>
  <c r="N79" i="9" s="1"/>
  <c r="AL182" i="1"/>
  <c r="HG136" i="1"/>
  <c r="DD131" i="2" s="1"/>
  <c r="DD119" i="2"/>
  <c r="DD129" i="2"/>
  <c r="AB10" i="16"/>
  <c r="AB12" i="16" s="1"/>
  <c r="AA10" i="16"/>
  <c r="AA12" i="16" s="1"/>
  <c r="M10" i="16"/>
  <c r="M12" i="16" s="1"/>
  <c r="HG181" i="1"/>
  <c r="HG142" i="1"/>
  <c r="DD137" i="2" s="1"/>
  <c r="AF48" i="9"/>
  <c r="AF79" i="9" s="1"/>
  <c r="CN182" i="1"/>
  <c r="P48" i="9"/>
  <c r="P79" i="9" s="1"/>
  <c r="AR182" i="1"/>
  <c r="B53" i="9"/>
  <c r="BF53" i="9" s="1"/>
  <c r="HG156" i="1"/>
  <c r="B52" i="9"/>
  <c r="BF52" i="9" s="1"/>
  <c r="HG155" i="1"/>
  <c r="W10" i="16"/>
  <c r="W12" i="16" s="1"/>
  <c r="HG118" i="1"/>
  <c r="DD113" i="2" s="1"/>
  <c r="AD35" i="9"/>
  <c r="N35" i="9"/>
  <c r="B69" i="9"/>
  <c r="BF69" i="9" s="1"/>
  <c r="HG172" i="1"/>
  <c r="H50" i="17"/>
  <c r="V50" i="17" s="1"/>
  <c r="C34" i="10"/>
  <c r="H9" i="10"/>
  <c r="G16" i="10"/>
  <c r="G10" i="10"/>
  <c r="AO178" i="2"/>
  <c r="BR178" i="2"/>
  <c r="AD178" i="2"/>
  <c r="CD178" i="2"/>
  <c r="P45" i="17"/>
  <c r="L9" i="10"/>
  <c r="H5" i="10"/>
  <c r="I41" i="17"/>
  <c r="H58" i="17"/>
  <c r="V58" i="17" s="1"/>
  <c r="J7" i="10"/>
  <c r="L43" i="17"/>
  <c r="G26" i="10"/>
  <c r="G62" i="17"/>
  <c r="M41" i="17"/>
  <c r="D61" i="17"/>
  <c r="D25" i="10"/>
  <c r="F5" i="10"/>
  <c r="F41" i="17"/>
  <c r="K59" i="17"/>
  <c r="I23" i="10"/>
  <c r="H62" i="17"/>
  <c r="V62" i="17" s="1"/>
  <c r="C18" i="10"/>
  <c r="C54" i="17"/>
  <c r="L10" i="10"/>
  <c r="P46" i="17"/>
  <c r="K63" i="17"/>
  <c r="I27" i="10"/>
  <c r="C11" i="10"/>
  <c r="C47" i="17"/>
  <c r="U29" i="17"/>
  <c r="J64" i="17"/>
  <c r="U64" i="17" s="1"/>
  <c r="H30" i="10"/>
  <c r="I66" i="17"/>
  <c r="I60" i="17"/>
  <c r="H24" i="10"/>
  <c r="M57" i="17"/>
  <c r="M47" i="17"/>
  <c r="M43" i="17"/>
  <c r="B23" i="10"/>
  <c r="B59" i="17"/>
  <c r="H67" i="17"/>
  <c r="V67" i="17" s="1"/>
  <c r="H61" i="17"/>
  <c r="V61" i="17" s="1"/>
  <c r="H53" i="17"/>
  <c r="V53" i="17" s="1"/>
  <c r="F10" i="10"/>
  <c r="F46" i="17"/>
  <c r="I34" i="10"/>
  <c r="K70" i="17"/>
  <c r="I30" i="10"/>
  <c r="K66" i="17"/>
  <c r="L21" i="10"/>
  <c r="P57" i="17"/>
  <c r="E68" i="17"/>
  <c r="E32" i="10"/>
  <c r="B28" i="10"/>
  <c r="B64" i="17"/>
  <c r="B22" i="10"/>
  <c r="B58" i="17"/>
  <c r="I29" i="10"/>
  <c r="K65" i="17"/>
  <c r="H33" i="10"/>
  <c r="I69" i="17"/>
  <c r="C24" i="10"/>
  <c r="C60" i="17"/>
  <c r="D41" i="17"/>
  <c r="D5" i="10"/>
  <c r="H64" i="17"/>
  <c r="V64" i="17" s="1"/>
  <c r="L32" i="10"/>
  <c r="P68" i="17"/>
  <c r="P47" i="17"/>
  <c r="L11" i="10"/>
  <c r="G49" i="17"/>
  <c r="G13" i="10"/>
  <c r="S178" i="2"/>
  <c r="C50" i="17"/>
  <c r="C14" i="10"/>
  <c r="J27" i="10"/>
  <c r="L63" i="17"/>
  <c r="P42" i="17"/>
  <c r="L6" i="10"/>
  <c r="D53" i="17"/>
  <c r="D17" i="10"/>
  <c r="G48" i="17"/>
  <c r="G12" i="10"/>
  <c r="H46" i="17"/>
  <c r="V46" i="17" s="1"/>
  <c r="L67" i="17"/>
  <c r="J31" i="10"/>
  <c r="P50" i="17"/>
  <c r="L14" i="10"/>
  <c r="J50" i="17"/>
  <c r="U50" i="17" s="1"/>
  <c r="U15" i="17"/>
  <c r="F18" i="10"/>
  <c r="F54" i="17"/>
  <c r="B16" i="10"/>
  <c r="B52" i="17"/>
  <c r="M70" i="17"/>
  <c r="H14" i="10"/>
  <c r="I50" i="17"/>
  <c r="B43" i="17"/>
  <c r="B7" i="10"/>
  <c r="G21" i="10"/>
  <c r="G57" i="17"/>
  <c r="I6" i="10"/>
  <c r="K42" i="17"/>
  <c r="C6" i="10"/>
  <c r="C42" i="17"/>
  <c r="F21" i="10"/>
  <c r="F57" i="17"/>
  <c r="J13" i="10"/>
  <c r="L49" i="17"/>
  <c r="D14" i="10"/>
  <c r="D50" i="17"/>
  <c r="L25" i="10"/>
  <c r="P61" i="17"/>
  <c r="AN178" i="2"/>
  <c r="E6" i="10"/>
  <c r="E42" i="17"/>
  <c r="E40" i="17"/>
  <c r="E36" i="17"/>
  <c r="E4" i="10"/>
  <c r="U14" i="17"/>
  <c r="J49" i="17"/>
  <c r="U49" i="17" s="1"/>
  <c r="L34" i="10"/>
  <c r="P70" i="17"/>
  <c r="L17" i="10"/>
  <c r="P53" i="17"/>
  <c r="G6" i="10"/>
  <c r="G42" i="17"/>
  <c r="I9" i="10"/>
  <c r="K45" i="17"/>
  <c r="F9" i="10"/>
  <c r="F45" i="17"/>
  <c r="C5" i="10"/>
  <c r="C41" i="17"/>
  <c r="I67" i="17"/>
  <c r="H31" i="10"/>
  <c r="G14" i="10"/>
  <c r="G50" i="17"/>
  <c r="E41" i="17"/>
  <c r="E5" i="10"/>
  <c r="J178" i="2"/>
  <c r="F36" i="17"/>
  <c r="F4" i="10"/>
  <c r="F40" i="17"/>
  <c r="D6" i="10"/>
  <c r="D42" i="17"/>
  <c r="E57" i="17"/>
  <c r="E21" i="10"/>
  <c r="B53" i="17"/>
  <c r="B17" i="10"/>
  <c r="B11" i="10"/>
  <c r="B47" i="17"/>
  <c r="H59" i="17"/>
  <c r="V59" i="17" s="1"/>
  <c r="I20" i="10"/>
  <c r="K56" i="17"/>
  <c r="B62" i="17"/>
  <c r="B26" i="10"/>
  <c r="E56" i="17"/>
  <c r="E20" i="10"/>
  <c r="F33" i="10"/>
  <c r="F69" i="17"/>
  <c r="L5" i="10"/>
  <c r="P41" i="17"/>
  <c r="J41" i="17"/>
  <c r="U41" i="17" s="1"/>
  <c r="U6" i="17"/>
  <c r="I40" i="17"/>
  <c r="H4" i="10"/>
  <c r="I36" i="17"/>
  <c r="L12" i="10"/>
  <c r="P48" i="17"/>
  <c r="K67" i="17"/>
  <c r="I31" i="10"/>
  <c r="G56" i="17"/>
  <c r="G20" i="10"/>
  <c r="M40" i="17"/>
  <c r="M36" i="17"/>
  <c r="U21" i="17"/>
  <c r="J56" i="17"/>
  <c r="U56" i="17" s="1"/>
  <c r="D7" i="10"/>
  <c r="D43" i="17"/>
  <c r="M54" i="17"/>
  <c r="U33" i="17"/>
  <c r="J68" i="17"/>
  <c r="U68" i="17" s="1"/>
  <c r="G22" i="10"/>
  <c r="G58" i="17"/>
  <c r="B6" i="10"/>
  <c r="B42" i="17"/>
  <c r="B178" i="2"/>
  <c r="H13" i="10"/>
  <c r="I49" i="17"/>
  <c r="AZ178" i="2"/>
  <c r="J60" i="17"/>
  <c r="U60" i="17" s="1"/>
  <c r="U25" i="17"/>
  <c r="M52" i="17"/>
  <c r="L55" i="17"/>
  <c r="J19" i="10"/>
  <c r="C27" i="10"/>
  <c r="C63" i="17"/>
  <c r="F17" i="10"/>
  <c r="F53" i="17"/>
  <c r="Y178" i="2"/>
  <c r="D34" i="10"/>
  <c r="D70" i="17"/>
  <c r="D44" i="17"/>
  <c r="D8" i="10"/>
  <c r="J6" i="10"/>
  <c r="L42" i="17"/>
  <c r="D45" i="17"/>
  <c r="D9" i="10"/>
  <c r="L33" i="10"/>
  <c r="P69" i="17"/>
  <c r="J32" i="10"/>
  <c r="L68" i="17"/>
  <c r="I56" i="17"/>
  <c r="H20" i="10"/>
  <c r="M59" i="17"/>
  <c r="D20" i="10"/>
  <c r="D56" i="17"/>
  <c r="M49" i="17"/>
  <c r="I46" i="17"/>
  <c r="H10" i="10"/>
  <c r="B67" i="17"/>
  <c r="B31" i="10"/>
  <c r="E61" i="17"/>
  <c r="E25" i="10"/>
  <c r="E15" i="10"/>
  <c r="E51" i="17"/>
  <c r="H65" i="17"/>
  <c r="V65" i="17" s="1"/>
  <c r="H51" i="17"/>
  <c r="V51" i="17" s="1"/>
  <c r="F8" i="10"/>
  <c r="F44" i="17"/>
  <c r="G33" i="10"/>
  <c r="G69" i="17"/>
  <c r="G29" i="10"/>
  <c r="G65" i="17"/>
  <c r="G61" i="17"/>
  <c r="G25" i="10"/>
  <c r="J69" i="17"/>
  <c r="U69" i="17" s="1"/>
  <c r="U34" i="17"/>
  <c r="J65" i="17"/>
  <c r="U65" i="17" s="1"/>
  <c r="U30" i="17"/>
  <c r="B50" i="17"/>
  <c r="B14" i="10"/>
  <c r="J21" i="10"/>
  <c r="L57" i="17"/>
  <c r="I17" i="10"/>
  <c r="K53" i="17"/>
  <c r="C45" i="17"/>
  <c r="C9" i="10"/>
  <c r="U31" i="17"/>
  <c r="J66" i="17"/>
  <c r="U66" i="17" s="1"/>
  <c r="K47" i="17"/>
  <c r="I11" i="10"/>
  <c r="C12" i="10"/>
  <c r="C48" i="17"/>
  <c r="I16" i="10"/>
  <c r="K52" i="17"/>
  <c r="M48" i="17"/>
  <c r="G34" i="10"/>
  <c r="G70" i="17"/>
  <c r="D27" i="10"/>
  <c r="D63" i="17"/>
  <c r="G17" i="10"/>
  <c r="G53" i="17"/>
  <c r="I5" i="10"/>
  <c r="K41" i="17"/>
  <c r="M66" i="17"/>
  <c r="J4" i="10"/>
  <c r="L40" i="17"/>
  <c r="L36" i="17"/>
  <c r="L8" i="10"/>
  <c r="P44" i="17"/>
  <c r="D31" i="10"/>
  <c r="D67" i="17"/>
  <c r="B5" i="10"/>
  <c r="B41" i="17"/>
  <c r="C13" i="10"/>
  <c r="C49" i="17"/>
  <c r="J30" i="10"/>
  <c r="L66" i="17"/>
  <c r="B69" i="17"/>
  <c r="B33" i="10"/>
  <c r="B44" i="17"/>
  <c r="B8" i="10"/>
  <c r="M69" i="17"/>
  <c r="H45" i="17"/>
  <c r="V45" i="17" s="1"/>
  <c r="G18" i="10"/>
  <c r="G54" i="17"/>
  <c r="L22" i="10"/>
  <c r="P58" i="17"/>
  <c r="I42" i="17"/>
  <c r="H6" i="10"/>
  <c r="C62" i="17"/>
  <c r="C26" i="10"/>
  <c r="J46" i="17"/>
  <c r="U46" i="17" s="1"/>
  <c r="U11" i="17"/>
  <c r="J26" i="10"/>
  <c r="L62" i="17"/>
  <c r="J16" i="10"/>
  <c r="L52" i="17"/>
  <c r="I68" i="17"/>
  <c r="H32" i="10"/>
  <c r="M65" i="17"/>
  <c r="H26" i="10"/>
  <c r="I62" i="17"/>
  <c r="H16" i="10"/>
  <c r="I52" i="17"/>
  <c r="B57" i="17"/>
  <c r="B21" i="10"/>
  <c r="L19" i="10"/>
  <c r="P55" i="17"/>
  <c r="E30" i="10"/>
  <c r="E66" i="17"/>
  <c r="B20" i="10"/>
  <c r="B56" i="17"/>
  <c r="H68" i="17"/>
  <c r="V68" i="17" s="1"/>
  <c r="G5" i="10"/>
  <c r="G41" i="17"/>
  <c r="M60" i="17"/>
  <c r="C44" i="17"/>
  <c r="C8" i="10"/>
  <c r="C31" i="10"/>
  <c r="C67" i="17"/>
  <c r="C10" i="10"/>
  <c r="C46" i="17"/>
  <c r="H17" i="10"/>
  <c r="I53" i="17"/>
  <c r="J62" i="17"/>
  <c r="U62" i="17" s="1"/>
  <c r="U27" i="17"/>
  <c r="M62" i="17"/>
  <c r="B4" i="10"/>
  <c r="B36" i="17"/>
  <c r="B40" i="17"/>
  <c r="H60" i="17"/>
  <c r="V60" i="17" s="1"/>
  <c r="D49" i="17"/>
  <c r="D13" i="10"/>
  <c r="M178" i="2"/>
  <c r="J15" i="10"/>
  <c r="L51" i="17"/>
  <c r="H19" i="10"/>
  <c r="I55" i="17"/>
  <c r="I13" i="10"/>
  <c r="K49" i="17"/>
  <c r="L16" i="10"/>
  <c r="P52" i="17"/>
  <c r="L60" i="17"/>
  <c r="J24" i="10"/>
  <c r="B13" i="10"/>
  <c r="B49" i="17"/>
  <c r="E47" i="17"/>
  <c r="E11" i="10"/>
  <c r="I63" i="17"/>
  <c r="H27" i="10"/>
  <c r="M56" i="17"/>
  <c r="D24" i="10"/>
  <c r="D60" i="17"/>
  <c r="E14" i="10"/>
  <c r="E50" i="17"/>
  <c r="G68" i="17"/>
  <c r="G32" i="10"/>
  <c r="J34" i="10"/>
  <c r="L70" i="17"/>
  <c r="M55" i="17"/>
  <c r="L48" i="17"/>
  <c r="J12" i="10"/>
  <c r="D10" i="10"/>
  <c r="D46" i="17"/>
  <c r="E45" i="17"/>
  <c r="E9" i="10"/>
  <c r="F34" i="10"/>
  <c r="F70" i="17"/>
  <c r="F28" i="10"/>
  <c r="F64" i="17"/>
  <c r="F22" i="10"/>
  <c r="F58" i="17"/>
  <c r="F14" i="10"/>
  <c r="F50" i="17"/>
  <c r="H43" i="17"/>
  <c r="V43" i="17" s="1"/>
  <c r="I32" i="10"/>
  <c r="K68" i="17"/>
  <c r="I28" i="10"/>
  <c r="K64" i="17"/>
  <c r="K60" i="17"/>
  <c r="I24" i="10"/>
  <c r="E24" i="10"/>
  <c r="E60" i="17"/>
  <c r="E18" i="10"/>
  <c r="E54" i="17"/>
  <c r="E48" i="17"/>
  <c r="E12" i="10"/>
  <c r="H21" i="10"/>
  <c r="I57" i="17"/>
  <c r="J52" i="17"/>
  <c r="U52" i="17" s="1"/>
  <c r="U17" i="17"/>
  <c r="DD110" i="2"/>
  <c r="H56" i="17"/>
  <c r="V56" i="17" s="1"/>
  <c r="I8" i="10"/>
  <c r="K44" i="17"/>
  <c r="N40" i="17"/>
  <c r="N71" i="17" s="1"/>
  <c r="N36" i="17"/>
  <c r="K55" i="17"/>
  <c r="I19" i="10"/>
  <c r="C19" i="10"/>
  <c r="C55" i="17"/>
  <c r="I21" i="10"/>
  <c r="K57" i="17"/>
  <c r="J47" i="17"/>
  <c r="U47" i="17" s="1"/>
  <c r="U12" i="17"/>
  <c r="L15" i="10"/>
  <c r="P51" i="17"/>
  <c r="L47" i="17"/>
  <c r="J11" i="10"/>
  <c r="AE178" i="2"/>
  <c r="L24" i="10"/>
  <c r="P60" i="17"/>
  <c r="P40" i="17"/>
  <c r="P36" i="17"/>
  <c r="D65" i="17"/>
  <c r="D29" i="10"/>
  <c r="D36" i="17"/>
  <c r="D40" i="17"/>
  <c r="D4" i="10"/>
  <c r="G44" i="17"/>
  <c r="G8" i="10"/>
  <c r="J40" i="17"/>
  <c r="J36" i="17"/>
  <c r="U5" i="17"/>
  <c r="L28" i="10"/>
  <c r="P64" i="17"/>
  <c r="H41" i="17"/>
  <c r="V41" i="17" s="1"/>
  <c r="D28" i="10"/>
  <c r="D64" i="17"/>
  <c r="D23" i="10"/>
  <c r="D59" i="17"/>
  <c r="M63" i="17"/>
  <c r="H70" i="17"/>
  <c r="V70" i="17" s="1"/>
  <c r="L20" i="10"/>
  <c r="P56" i="17"/>
  <c r="H7" i="10"/>
  <c r="I43" i="17"/>
  <c r="C57" i="17"/>
  <c r="C21" i="10"/>
  <c r="L46" i="17"/>
  <c r="J10" i="10"/>
  <c r="F16" i="10"/>
  <c r="F52" i="17"/>
  <c r="B32" i="10"/>
  <c r="B68" i="17"/>
  <c r="M58" i="17"/>
  <c r="C53" i="17"/>
  <c r="C17" i="10"/>
  <c r="D32" i="10"/>
  <c r="D68" i="17"/>
  <c r="E19" i="10"/>
  <c r="E55" i="17"/>
  <c r="H57" i="17"/>
  <c r="V57" i="17" s="1"/>
  <c r="H49" i="17"/>
  <c r="V49" i="17" s="1"/>
  <c r="P59" i="17"/>
  <c r="L23" i="10"/>
  <c r="G19" i="10"/>
  <c r="G55" i="17"/>
  <c r="E34" i="10"/>
  <c r="E70" i="17"/>
  <c r="B30" i="10"/>
  <c r="B66" i="17"/>
  <c r="B18" i="10"/>
  <c r="B54" i="17"/>
  <c r="B48" i="17"/>
  <c r="B12" i="10"/>
  <c r="F31" i="10"/>
  <c r="F67" i="17"/>
  <c r="P66" i="17"/>
  <c r="L30" i="10"/>
  <c r="F19" i="10"/>
  <c r="F55" i="17"/>
  <c r="F27" i="10"/>
  <c r="F63" i="17"/>
  <c r="L59" i="17"/>
  <c r="J23" i="10"/>
  <c r="J43" i="17"/>
  <c r="U43" i="17" s="1"/>
  <c r="U8" i="17"/>
  <c r="U26" i="17"/>
  <c r="J61" i="17"/>
  <c r="U61" i="17" s="1"/>
  <c r="J45" i="17"/>
  <c r="U45" i="17" s="1"/>
  <c r="U10" i="17"/>
  <c r="H48" i="17"/>
  <c r="V48" i="17" s="1"/>
  <c r="J25" i="10"/>
  <c r="L61" i="17"/>
  <c r="H29" i="10"/>
  <c r="I65" i="17"/>
  <c r="F23" i="10"/>
  <c r="F59" i="17"/>
  <c r="H11" i="10"/>
  <c r="I47" i="17"/>
  <c r="C16" i="10"/>
  <c r="C52" i="17"/>
  <c r="J70" i="17"/>
  <c r="U70" i="17" s="1"/>
  <c r="U35" i="17"/>
  <c r="C23" i="10"/>
  <c r="C59" i="17"/>
  <c r="I51" i="17"/>
  <c r="H15" i="10"/>
  <c r="D19" i="10"/>
  <c r="D55" i="17"/>
  <c r="J48" i="17"/>
  <c r="U48" i="17" s="1"/>
  <c r="U13" i="17"/>
  <c r="M68" i="17"/>
  <c r="C22" i="10"/>
  <c r="C58" i="17"/>
  <c r="L50" i="17"/>
  <c r="J14" i="10"/>
  <c r="P54" i="17"/>
  <c r="L18" i="10"/>
  <c r="E53" i="17"/>
  <c r="E17" i="10"/>
  <c r="E31" i="10"/>
  <c r="E67" i="17"/>
  <c r="F24" i="10"/>
  <c r="F60" i="17"/>
  <c r="E26" i="10"/>
  <c r="E62" i="17"/>
  <c r="J59" i="17"/>
  <c r="U59" i="17" s="1"/>
  <c r="U24" i="17"/>
  <c r="J28" i="10"/>
  <c r="L64" i="17"/>
  <c r="D52" i="17"/>
  <c r="D16" i="10"/>
  <c r="H22" i="10"/>
  <c r="I58" i="17"/>
  <c r="J18" i="10"/>
  <c r="L54" i="17"/>
  <c r="I48" i="17"/>
  <c r="H12" i="10"/>
  <c r="M45" i="17"/>
  <c r="B45" i="17"/>
  <c r="B9" i="10"/>
  <c r="H69" i="17"/>
  <c r="V69" i="17" s="1"/>
  <c r="H63" i="17"/>
  <c r="V63" i="17" s="1"/>
  <c r="F48" i="17"/>
  <c r="F12" i="10"/>
  <c r="F6" i="10"/>
  <c r="F42" i="17"/>
  <c r="L31" i="10"/>
  <c r="P67" i="17"/>
  <c r="L27" i="10"/>
  <c r="P63" i="17"/>
  <c r="G23" i="10"/>
  <c r="G59" i="17"/>
  <c r="C32" i="10"/>
  <c r="C68" i="17"/>
  <c r="C28" i="10"/>
  <c r="C64" i="17"/>
  <c r="B24" i="10"/>
  <c r="B60" i="17"/>
  <c r="E10" i="10"/>
  <c r="E46" i="17"/>
  <c r="H66" i="17"/>
  <c r="V66" i="17" s="1"/>
  <c r="D57" i="17"/>
  <c r="D21" i="10"/>
  <c r="AV178" i="2"/>
  <c r="C65" i="17"/>
  <c r="C29" i="10"/>
  <c r="L7" i="10"/>
  <c r="P43" i="17"/>
  <c r="M46" i="17"/>
  <c r="G51" i="17"/>
  <c r="G15" i="10"/>
  <c r="D11" i="10"/>
  <c r="D47" i="17"/>
  <c r="H40" i="17"/>
  <c r="V40" i="17" s="1"/>
  <c r="H36" i="17"/>
  <c r="C69" i="17"/>
  <c r="C33" i="10"/>
  <c r="G24" i="10"/>
  <c r="G60" i="17"/>
  <c r="H44" i="17"/>
  <c r="V44" i="17" s="1"/>
  <c r="P62" i="17"/>
  <c r="L26" i="10"/>
  <c r="J55" i="17"/>
  <c r="U55" i="17" s="1"/>
  <c r="U20" i="17"/>
  <c r="G28" i="10"/>
  <c r="G64" i="17"/>
  <c r="H52" i="17"/>
  <c r="V52" i="17" s="1"/>
  <c r="D18" i="10"/>
  <c r="D54" i="17"/>
  <c r="E43" i="17"/>
  <c r="E7" i="10"/>
  <c r="C36" i="17"/>
  <c r="C40" i="17"/>
  <c r="C4" i="10"/>
  <c r="J20" i="10"/>
  <c r="L56" i="17"/>
  <c r="B27" i="10"/>
  <c r="B63" i="17"/>
  <c r="J29" i="10"/>
  <c r="L65" i="17"/>
  <c r="G11" i="10"/>
  <c r="G47" i="17"/>
  <c r="F61" i="17"/>
  <c r="F25" i="10"/>
  <c r="J44" i="17"/>
  <c r="U44" i="17" s="1"/>
  <c r="U9" i="17"/>
  <c r="L29" i="10"/>
  <c r="P65" i="17"/>
  <c r="J22" i="10"/>
  <c r="L58" i="17"/>
  <c r="D26" i="10"/>
  <c r="D62" i="17"/>
  <c r="E65" i="17"/>
  <c r="E29" i="10"/>
  <c r="H34" i="10"/>
  <c r="I70" i="17"/>
  <c r="M67" i="17"/>
  <c r="H28" i="10"/>
  <c r="I64" i="17"/>
  <c r="M61" i="17"/>
  <c r="H18" i="10"/>
  <c r="I54" i="17"/>
  <c r="M51" i="17"/>
  <c r="J8" i="10"/>
  <c r="L44" i="17"/>
  <c r="E69" i="17"/>
  <c r="E33" i="10"/>
  <c r="B65" i="17"/>
  <c r="B29" i="10"/>
  <c r="E49" i="17"/>
  <c r="E13" i="10"/>
  <c r="F56" i="17"/>
  <c r="F20" i="10"/>
  <c r="I18" i="10"/>
  <c r="K54" i="17"/>
  <c r="B34" i="10"/>
  <c r="B70" i="17"/>
  <c r="E52" i="17"/>
  <c r="E16" i="10"/>
  <c r="B10" i="10"/>
  <c r="B46" i="17"/>
  <c r="G30" i="10"/>
  <c r="G66" i="17"/>
  <c r="I4" i="10"/>
  <c r="K40" i="17"/>
  <c r="K36" i="17"/>
  <c r="C25" i="10"/>
  <c r="C61" i="17"/>
  <c r="C178" i="2"/>
  <c r="I59" i="17"/>
  <c r="H23" i="10"/>
  <c r="K46" i="17"/>
  <c r="I10" i="10"/>
  <c r="M42" i="17"/>
  <c r="F47" i="17"/>
  <c r="F11" i="10"/>
  <c r="M44" i="17"/>
  <c r="C20" i="10"/>
  <c r="C56" i="17"/>
  <c r="H25" i="10"/>
  <c r="I61" i="17"/>
  <c r="I14" i="10"/>
  <c r="K50" i="17"/>
  <c r="J58" i="17"/>
  <c r="U58" i="17" s="1"/>
  <c r="U23" i="17"/>
  <c r="J51" i="17"/>
  <c r="U51" i="17" s="1"/>
  <c r="U16" i="17"/>
  <c r="D15" i="10"/>
  <c r="D51" i="17"/>
  <c r="I7" i="10"/>
  <c r="K43" i="17"/>
  <c r="F29" i="10"/>
  <c r="F65" i="17"/>
  <c r="U22" i="17"/>
  <c r="J57" i="17"/>
  <c r="U57" i="17" s="1"/>
  <c r="E27" i="10"/>
  <c r="E63" i="17"/>
  <c r="I26" i="10"/>
  <c r="K62" i="17"/>
  <c r="E22" i="10"/>
  <c r="E58" i="17"/>
  <c r="M53" i="17"/>
  <c r="G9" i="10"/>
  <c r="G45" i="17"/>
  <c r="I25" i="10"/>
  <c r="K61" i="17"/>
  <c r="I33" i="10"/>
  <c r="K69" i="17"/>
  <c r="J53" i="17"/>
  <c r="U53" i="17" s="1"/>
  <c r="U18" i="17"/>
  <c r="H54" i="17"/>
  <c r="V54" i="17" s="1"/>
  <c r="F30" i="10"/>
  <c r="F66" i="17"/>
  <c r="C30" i="10"/>
  <c r="C66" i="17"/>
  <c r="D69" i="17"/>
  <c r="D33" i="10"/>
  <c r="D30" i="10"/>
  <c r="D66" i="17"/>
  <c r="D22" i="10"/>
  <c r="D58" i="17"/>
  <c r="D48" i="17"/>
  <c r="D12" i="10"/>
  <c r="I44" i="17"/>
  <c r="H8" i="10"/>
  <c r="E23" i="10"/>
  <c r="E59" i="17"/>
  <c r="F68" i="17"/>
  <c r="F32" i="10"/>
  <c r="F26" i="10"/>
  <c r="F62" i="17"/>
  <c r="H55" i="17"/>
  <c r="V55" i="17" s="1"/>
  <c r="H47" i="17"/>
  <c r="V47" i="17" s="1"/>
  <c r="G31" i="10"/>
  <c r="G67" i="17"/>
  <c r="G27" i="10"/>
  <c r="G63" i="17"/>
  <c r="I22" i="10"/>
  <c r="K58" i="17"/>
  <c r="J67" i="17"/>
  <c r="U67" i="17" s="1"/>
  <c r="U32" i="17"/>
  <c r="J63" i="17"/>
  <c r="U63" i="17" s="1"/>
  <c r="U28" i="17"/>
  <c r="E64" i="17"/>
  <c r="E28" i="10"/>
  <c r="E44" i="17"/>
  <c r="E8" i="10"/>
  <c r="C15" i="10"/>
  <c r="C51" i="17"/>
  <c r="J33" i="10"/>
  <c r="L69" i="17"/>
  <c r="U19" i="17"/>
  <c r="J54" i="17"/>
  <c r="U54" i="17" s="1"/>
  <c r="G43" i="17"/>
  <c r="G7" i="10"/>
  <c r="G178" i="2"/>
  <c r="J5" i="10"/>
  <c r="L41" i="17"/>
  <c r="K48" i="17"/>
  <c r="I12" i="10"/>
  <c r="L13" i="10"/>
  <c r="P49" i="17"/>
  <c r="J9" i="10"/>
  <c r="L45" i="17"/>
  <c r="H42" i="17"/>
  <c r="V42" i="17" s="1"/>
  <c r="M64" i="17"/>
  <c r="F43" i="17"/>
  <c r="F7" i="10"/>
  <c r="G4" i="10"/>
  <c r="G40" i="17"/>
  <c r="G36" i="17"/>
  <c r="J17" i="10"/>
  <c r="L53" i="17"/>
  <c r="F49" i="17"/>
  <c r="F13" i="10"/>
  <c r="J42" i="17"/>
  <c r="U42" i="17" s="1"/>
  <c r="U7" i="17"/>
  <c r="F15" i="10"/>
  <c r="F51" i="17"/>
  <c r="I15" i="10"/>
  <c r="K51" i="17"/>
  <c r="AH14" i="16"/>
  <c r="U40" i="17" l="1"/>
  <c r="U71" i="17" s="1"/>
  <c r="T70" i="17"/>
  <c r="S25" i="10"/>
  <c r="U25" i="10" s="1"/>
  <c r="K36" i="10"/>
  <c r="R71" i="17"/>
  <c r="S29" i="10"/>
  <c r="S24" i="10"/>
  <c r="S12" i="10"/>
  <c r="S26" i="10"/>
  <c r="S10" i="10"/>
  <c r="S13" i="10"/>
  <c r="N36" i="10"/>
  <c r="S5" i="10"/>
  <c r="S18" i="10"/>
  <c r="S16" i="10"/>
  <c r="S22" i="10"/>
  <c r="T40" i="17"/>
  <c r="S21" i="10"/>
  <c r="T61" i="17"/>
  <c r="S34" i="10"/>
  <c r="S9" i="10"/>
  <c r="S30" i="10"/>
  <c r="S8" i="10"/>
  <c r="S15" i="10"/>
  <c r="U15" i="10" s="1"/>
  <c r="O36" i="10"/>
  <c r="S4" i="10"/>
  <c r="S28" i="10"/>
  <c r="S31" i="10"/>
  <c r="S11" i="10"/>
  <c r="S33" i="10"/>
  <c r="S6" i="10"/>
  <c r="S17" i="10"/>
  <c r="Q71" i="17"/>
  <c r="S27" i="10"/>
  <c r="V27" i="10" s="1"/>
  <c r="M36" i="10"/>
  <c r="S7" i="10"/>
  <c r="S23" i="10"/>
  <c r="S71" i="17"/>
  <c r="S14" i="10"/>
  <c r="S19" i="10"/>
  <c r="V19" i="10" s="1"/>
  <c r="S32" i="10"/>
  <c r="V32" i="10" s="1"/>
  <c r="T43" i="17"/>
  <c r="S20" i="10"/>
  <c r="T44" i="17"/>
  <c r="T54" i="17"/>
  <c r="T63" i="17"/>
  <c r="T45" i="17"/>
  <c r="T66" i="17"/>
  <c r="T55" i="17"/>
  <c r="T49" i="17"/>
  <c r="T56" i="17"/>
  <c r="T69" i="17"/>
  <c r="T62" i="17"/>
  <c r="T46" i="17"/>
  <c r="T67" i="17"/>
  <c r="T51" i="17"/>
  <c r="T52" i="17"/>
  <c r="T42" i="17"/>
  <c r="T58" i="17"/>
  <c r="T47" i="17"/>
  <c r="T65" i="17"/>
  <c r="T60" i="17"/>
  <c r="T68" i="17"/>
  <c r="T41" i="17"/>
  <c r="T50" i="17"/>
  <c r="T64" i="17"/>
  <c r="T57" i="17"/>
  <c r="T53" i="17"/>
  <c r="T48" i="17"/>
  <c r="T59" i="17"/>
  <c r="DB178" i="2"/>
  <c r="C79" i="9"/>
  <c r="BF56" i="9"/>
  <c r="K13" i="16" s="1"/>
  <c r="K15" i="16" s="1"/>
  <c r="X13" i="16"/>
  <c r="X15" i="16" s="1"/>
  <c r="P25" i="10"/>
  <c r="P31" i="10"/>
  <c r="AD13" i="16"/>
  <c r="AD15" i="16" s="1"/>
  <c r="P33" i="10"/>
  <c r="AF13" i="16"/>
  <c r="AF15" i="16" s="1"/>
  <c r="P15" i="10"/>
  <c r="N13" i="16"/>
  <c r="N15" i="16" s="1"/>
  <c r="J13" i="16"/>
  <c r="J15" i="16" s="1"/>
  <c r="P11" i="10"/>
  <c r="P22" i="10"/>
  <c r="U13" i="16"/>
  <c r="U15" i="16" s="1"/>
  <c r="P30" i="10"/>
  <c r="AC13" i="16"/>
  <c r="AC15" i="16" s="1"/>
  <c r="L13" i="16"/>
  <c r="L15" i="16" s="1"/>
  <c r="P13" i="10"/>
  <c r="P8" i="10"/>
  <c r="G13" i="16"/>
  <c r="G15" i="16" s="1"/>
  <c r="HD182" i="1"/>
  <c r="M38" i="9" s="1"/>
  <c r="M42" i="9" s="1"/>
  <c r="AA39" i="9" s="1"/>
  <c r="R13" i="16"/>
  <c r="R15" i="16" s="1"/>
  <c r="P19" i="10"/>
  <c r="P34" i="10"/>
  <c r="AG13" i="16"/>
  <c r="AG15" i="16" s="1"/>
  <c r="P9" i="10"/>
  <c r="H13" i="16"/>
  <c r="H15" i="16" s="1"/>
  <c r="F13" i="16"/>
  <c r="F15" i="16" s="1"/>
  <c r="P7" i="10"/>
  <c r="P20" i="10"/>
  <c r="S13" i="16"/>
  <c r="S15" i="16" s="1"/>
  <c r="D13" i="16"/>
  <c r="D15" i="16" s="1"/>
  <c r="P5" i="10"/>
  <c r="B79" i="9"/>
  <c r="BF48" i="9"/>
  <c r="Y13" i="16"/>
  <c r="Y15" i="16" s="1"/>
  <c r="P26" i="10"/>
  <c r="P13" i="16"/>
  <c r="P15" i="16" s="1"/>
  <c r="P17" i="10"/>
  <c r="W13" i="16"/>
  <c r="W15" i="16" s="1"/>
  <c r="P24" i="10"/>
  <c r="P10" i="10"/>
  <c r="I13" i="16"/>
  <c r="I15" i="16" s="1"/>
  <c r="V13" i="16"/>
  <c r="V15" i="16" s="1"/>
  <c r="P23" i="10"/>
  <c r="P6" i="10"/>
  <c r="E13" i="16"/>
  <c r="E15" i="16" s="1"/>
  <c r="C10" i="16"/>
  <c r="BF35" i="9"/>
  <c r="AA37" i="9" s="1"/>
  <c r="AA41" i="9" s="1"/>
  <c r="P27" i="10"/>
  <c r="Z13" i="16"/>
  <c r="Z15" i="16" s="1"/>
  <c r="HG146" i="1"/>
  <c r="DD141" i="2" s="1"/>
  <c r="AA13" i="16"/>
  <c r="AA15" i="16" s="1"/>
  <c r="P28" i="10"/>
  <c r="M13" i="16"/>
  <c r="M15" i="16" s="1"/>
  <c r="P14" i="10"/>
  <c r="HF182" i="1"/>
  <c r="M40" i="9" s="1"/>
  <c r="HG151" i="1"/>
  <c r="HG182" i="1" s="1"/>
  <c r="AB13" i="16"/>
  <c r="AB15" i="16" s="1"/>
  <c r="P29" i="10"/>
  <c r="P32" i="10"/>
  <c r="AE13" i="16"/>
  <c r="AE15" i="16" s="1"/>
  <c r="P18" i="10"/>
  <c r="Q13" i="16"/>
  <c r="Q15" i="16" s="1"/>
  <c r="P21" i="10"/>
  <c r="T13" i="16"/>
  <c r="T15" i="16" s="1"/>
  <c r="O13" i="16"/>
  <c r="O15" i="16" s="1"/>
  <c r="P16" i="10"/>
  <c r="L71" i="17"/>
  <c r="E71" i="17"/>
  <c r="K71" i="17"/>
  <c r="C71" i="17"/>
  <c r="J36" i="10"/>
  <c r="D36" i="10"/>
  <c r="I36" i="10"/>
  <c r="D71" i="17"/>
  <c r="F36" i="10"/>
  <c r="H71" i="17"/>
  <c r="V71" i="17"/>
  <c r="J71" i="17"/>
  <c r="C36" i="10"/>
  <c r="G71" i="17"/>
  <c r="B71" i="17"/>
  <c r="T71" i="17"/>
  <c r="E36" i="10"/>
  <c r="G36" i="10"/>
  <c r="H36" i="10"/>
  <c r="I71" i="17"/>
  <c r="P71" i="17"/>
  <c r="B36" i="10"/>
  <c r="V36" i="17"/>
  <c r="U36" i="17"/>
  <c r="L36" i="10"/>
  <c r="M71" i="17"/>
  <c r="F71" i="17"/>
  <c r="V15" i="10" l="1"/>
  <c r="P12" i="10"/>
  <c r="C13" i="16"/>
  <c r="BF79" i="9"/>
  <c r="AH10" i="16"/>
  <c r="AI10" i="16" s="1"/>
  <c r="C12" i="16"/>
  <c r="U32" i="10"/>
  <c r="U19" i="10"/>
  <c r="V25" i="10"/>
  <c r="U27" i="10"/>
  <c r="V14" i="10"/>
  <c r="U14" i="10"/>
  <c r="V21" i="10"/>
  <c r="U21" i="10"/>
  <c r="V9" i="10"/>
  <c r="U9" i="10"/>
  <c r="V13" i="10"/>
  <c r="U13" i="10"/>
  <c r="V33" i="10"/>
  <c r="U33" i="10"/>
  <c r="V5" i="10"/>
  <c r="U5" i="10"/>
  <c r="V29" i="10"/>
  <c r="U29" i="10"/>
  <c r="V8" i="10"/>
  <c r="U8" i="10"/>
  <c r="V30" i="10"/>
  <c r="U30" i="10"/>
  <c r="V22" i="10"/>
  <c r="U22" i="10"/>
  <c r="V20" i="10"/>
  <c r="U20" i="10"/>
  <c r="V18" i="10"/>
  <c r="U18" i="10"/>
  <c r="V7" i="10"/>
  <c r="U7" i="10"/>
  <c r="U12" i="10"/>
  <c r="V12" i="10"/>
  <c r="V34" i="10"/>
  <c r="U34" i="10"/>
  <c r="V24" i="10"/>
  <c r="U24" i="10"/>
  <c r="V31" i="10"/>
  <c r="U31" i="10"/>
  <c r="V28" i="10"/>
  <c r="U28" i="10"/>
  <c r="V10" i="10"/>
  <c r="U10" i="10"/>
  <c r="V23" i="10"/>
  <c r="U23" i="10"/>
  <c r="V26" i="10"/>
  <c r="U26" i="10"/>
  <c r="U16" i="10"/>
  <c r="V16" i="10"/>
  <c r="V11" i="10"/>
  <c r="U11" i="10"/>
  <c r="V6" i="10"/>
  <c r="U6" i="10"/>
  <c r="S36" i="10"/>
  <c r="V4" i="10"/>
  <c r="U4" i="10"/>
  <c r="V17" i="10"/>
  <c r="U17" i="10"/>
  <c r="P36" i="10" l="1"/>
  <c r="AH13" i="16"/>
  <c r="AI13" i="16" s="1"/>
  <c r="C15" i="16"/>
  <c r="C37" i="10"/>
  <c r="V36" i="10"/>
  <c r="U36" i="10"/>
</calcChain>
</file>

<file path=xl/sharedStrings.xml><?xml version="1.0" encoding="utf-8"?>
<sst xmlns="http://schemas.openxmlformats.org/spreadsheetml/2006/main" count="2908" uniqueCount="194">
  <si>
    <t>شهر</t>
  </si>
  <si>
    <t>matin</t>
  </si>
  <si>
    <t>JOUR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</si>
  <si>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</si>
  <si>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</si>
  <si>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</si>
  <si>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</si>
  <si>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</si>
  <si>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</si>
  <si>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</si>
  <si>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</si>
  <si>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</si>
  <si>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</si>
  <si>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</si>
  <si>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</si>
  <si>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</si>
  <si>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</si>
  <si>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</si>
  <si>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</si>
  <si>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</si>
  <si>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</si>
  <si>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</si>
  <si>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</si>
  <si>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</si>
  <si>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</si>
  <si>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</si>
  <si>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</si>
  <si>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</si>
  <si>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</si>
  <si>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</si>
  <si>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</si>
  <si>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</si>
  <si>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</si>
  <si>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</si>
  <si>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</si>
  <si>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</si>
  <si>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</si>
  <si>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</si>
  <si>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TOTAL PAR TARIF</t>
  </si>
  <si>
    <t>20DA</t>
  </si>
  <si>
    <t>25DA</t>
  </si>
  <si>
    <t>30DA</t>
  </si>
  <si>
    <t>soir</t>
  </si>
  <si>
    <t>NUIT</t>
  </si>
  <si>
    <t>TOTAL PASSAGER PAR TARIF</t>
  </si>
  <si>
    <t>LIGNE 1B</t>
  </si>
  <si>
    <t>LIGNE 16</t>
  </si>
  <si>
    <t>LIGNE 09</t>
  </si>
  <si>
    <t>LIGNE 11</t>
  </si>
  <si>
    <t>LIGNE 27</t>
  </si>
  <si>
    <t>LIGNE 26</t>
  </si>
  <si>
    <t>LIGNE 28</t>
  </si>
  <si>
    <t>LIGNE 03</t>
  </si>
  <si>
    <t>LIGNE 25</t>
  </si>
  <si>
    <t>LAC</t>
  </si>
  <si>
    <t>LIGNE4B</t>
  </si>
  <si>
    <t>TOTAL</t>
  </si>
  <si>
    <t>nuit</t>
  </si>
  <si>
    <t>MATIN</t>
  </si>
  <si>
    <t>T</t>
  </si>
  <si>
    <t xml:space="preserve">NOMBRE DE ROTATIONS </t>
  </si>
  <si>
    <t>NOMBRE DE PLACES OFFERTES</t>
  </si>
  <si>
    <t>SOIR</t>
  </si>
  <si>
    <t>LIGNE 03b</t>
  </si>
  <si>
    <t>LIGNE 4b</t>
  </si>
  <si>
    <t>LIGNE25</t>
  </si>
  <si>
    <t>lac</t>
  </si>
  <si>
    <t>LIGNE 4B</t>
  </si>
  <si>
    <t>TOTAL BUS</t>
  </si>
  <si>
    <t>TOTAL LIGNE</t>
  </si>
  <si>
    <t>ECART</t>
  </si>
  <si>
    <t>BUS 01</t>
  </si>
  <si>
    <t>BUS 02</t>
  </si>
  <si>
    <t>BUS 03</t>
  </si>
  <si>
    <t>BUS 04</t>
  </si>
  <si>
    <t>BUS 05</t>
  </si>
  <si>
    <t>BUS 06</t>
  </si>
  <si>
    <t>BUS05</t>
  </si>
  <si>
    <t xml:space="preserve">                                                                </t>
  </si>
  <si>
    <t>+</t>
  </si>
  <si>
    <t>Nbr Des Passagers  "15 DA"</t>
  </si>
  <si>
    <t>TOTAL RECETTE MOIS</t>
  </si>
  <si>
    <t>Nbr Des Passagers  "20 DA"</t>
  </si>
  <si>
    <t>Nbr Des Passagers  "25 DA"</t>
  </si>
  <si>
    <t>TAUX DE REMPLISSAGE</t>
  </si>
  <si>
    <t>Nbr Des Passagers  "30 DA"</t>
  </si>
  <si>
    <t>Nbr Des Passagers  "40 DA"</t>
  </si>
  <si>
    <t>Taux de Réalisation  / Mois</t>
  </si>
  <si>
    <t xml:space="preserve">Total Nbr Des Passagers  </t>
  </si>
  <si>
    <t>LIGNE 3B</t>
  </si>
  <si>
    <t>LIGNE LAC</t>
  </si>
  <si>
    <t>TOTAL DES RECETTES PAR TARIFS</t>
  </si>
  <si>
    <t>jour</t>
  </si>
  <si>
    <t>TOTAL DES PASSAGER PAR TARIFS</t>
  </si>
  <si>
    <t xml:space="preserve"> </t>
  </si>
  <si>
    <t>Jour</t>
  </si>
  <si>
    <t>Nbr Des Passagers</t>
  </si>
  <si>
    <t>Jours</t>
  </si>
  <si>
    <t>Recettes réel</t>
  </si>
  <si>
    <t xml:space="preserve">Recettes Prévision </t>
  </si>
  <si>
    <t>manque /Excédent</t>
  </si>
  <si>
    <t xml:space="preserve">Taux de Réalisation </t>
  </si>
  <si>
    <t>sam</t>
  </si>
  <si>
    <t>dim</t>
  </si>
  <si>
    <t>lun</t>
  </si>
  <si>
    <t>mar</t>
  </si>
  <si>
    <t>mer</t>
  </si>
  <si>
    <t>jeu.</t>
  </si>
  <si>
    <t>ven.</t>
  </si>
  <si>
    <t>sam.</t>
  </si>
  <si>
    <t>dim.</t>
  </si>
  <si>
    <t>lun.</t>
  </si>
  <si>
    <t>mar.</t>
  </si>
  <si>
    <t>mer.</t>
  </si>
  <si>
    <t>Total Recettes</t>
  </si>
  <si>
    <t>المجموع</t>
  </si>
  <si>
    <t>مداخيل تذاكر الدفع الالكتروني</t>
  </si>
  <si>
    <t>L28</t>
  </si>
  <si>
    <t>L26</t>
  </si>
  <si>
    <t>L27</t>
  </si>
  <si>
    <t>L25</t>
  </si>
  <si>
    <t>L11</t>
  </si>
  <si>
    <t>L16</t>
  </si>
  <si>
    <t>L09</t>
  </si>
  <si>
    <t>L03</t>
  </si>
  <si>
    <t>L01B</t>
  </si>
  <si>
    <t>25 DA</t>
  </si>
  <si>
    <t>20 DA</t>
  </si>
  <si>
    <t>15 DA</t>
  </si>
  <si>
    <t>30 DA</t>
  </si>
  <si>
    <t xml:space="preserve">20 DA </t>
  </si>
  <si>
    <t xml:space="preserve">عدد المسافرين المنقول في الدفع الالكتروني </t>
  </si>
  <si>
    <t>L03B</t>
  </si>
  <si>
    <t>handicape</t>
  </si>
  <si>
    <t>JOURS</t>
  </si>
  <si>
    <t>jours</t>
  </si>
  <si>
    <t>Toatal</t>
  </si>
  <si>
    <t xml:space="preserve">carte </t>
  </si>
  <si>
    <t>flexy</t>
  </si>
  <si>
    <t>cart_etud</t>
  </si>
  <si>
    <t>total</t>
  </si>
  <si>
    <t xml:space="preserve">الإجمالي </t>
  </si>
  <si>
    <t xml:space="preserve">مداخيل التذاكر الكلاسيكية </t>
  </si>
  <si>
    <t>مبيعات الدفع الالكتروني</t>
  </si>
  <si>
    <t>عدد المسافرين المنقول كلاسيكيا</t>
  </si>
  <si>
    <t>عدد المسافرين المنقول بدفع الالكتروني</t>
  </si>
  <si>
    <t>L04B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</si>
  <si>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</si>
  <si>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</si>
  <si>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</si>
  <si>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</si>
  <si>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</si>
  <si>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</si>
  <si>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</si>
  <si>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</si>
  <si>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</si>
  <si>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</si>
  <si>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</si>
  <si>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</si>
  <si>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</si>
  <si>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</si>
  <si>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</si>
  <si>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</si>
  <si>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</si>
  <si>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</si>
  <si>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</si>
  <si>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</si>
  <si>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</si>
  <si>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</si>
  <si>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</si>
  <si>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</si>
  <si>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</si>
  <si>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</si>
  <si>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</si>
  <si>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</si>
  <si>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</si>
  <si>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</si>
  <si>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</si>
  <si>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</si>
  <si>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</si>
  <si>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</si>
  <si>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</si>
  <si>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LIGNE5B</t>
  </si>
  <si>
    <t>LIGNE25B</t>
  </si>
  <si>
    <t>LIGNE23</t>
  </si>
  <si>
    <t>LIGNE 5B</t>
  </si>
  <si>
    <t>LIGNE 25B</t>
  </si>
  <si>
    <t>LIGNE 23B</t>
  </si>
  <si>
    <t>LIGNE 23</t>
  </si>
  <si>
    <t>L05B</t>
  </si>
  <si>
    <t>L25B</t>
  </si>
  <si>
    <t>L23</t>
  </si>
  <si>
    <t>LIGNE 5b</t>
  </si>
  <si>
    <t>LIGNE 25b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</si>
</sst>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1"/>
      <color theme="1"/>
      <name val="Calibri"/>
      <charset val="134"/>
      <scheme val="minor"/>
    </font>
    <font>
      <b/>
      <sz val="2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18"/>
      <color rgb="FFC00000"/>
      <name val="Goudy Stout"/>
      <family val="1"/>
    </font>
    <font>
      <b/>
      <sz val="10"/>
      <name val="Century Gothic"/>
      <family val="2"/>
    </font>
    <font>
      <b/>
      <sz val="9"/>
      <name val="Century Gothic"/>
      <family val="2"/>
    </font>
    <font>
      <b/>
      <sz val="10"/>
      <color theme="1"/>
      <name val="Century Gothic"/>
      <family val="2"/>
    </font>
    <font>
      <b/>
      <sz val="11"/>
      <name val="Century Gothic"/>
      <family val="2"/>
    </font>
    <font>
      <b/>
      <sz val="9"/>
      <color theme="1"/>
      <name val="Calibri"/>
      <family val="2"/>
      <scheme val="minor"/>
    </font>
    <font>
      <b/>
      <sz val="11"/>
      <color theme="1"/>
      <name val="Century Gothic"/>
      <family val="2"/>
    </font>
    <font>
      <sz val="10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8"/>
      <color theme="1"/>
      <name val="Century Gothic"/>
      <family val="2"/>
    </font>
    <font>
      <b/>
      <sz val="20"/>
      <color theme="1"/>
      <name val="Century Gothic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00B0F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EB9C"/>
        <bgColor indexed="64"/>
      </patternFill>
    </fill>
  </fills>
  <borders count="8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rgb="FFFF0000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</borders>
  <cellStyleXfs count="3">
    <xf numFmtId="0" fontId="0" fillId="0" borderId="0"/>
    <xf numFmtId="9" fontId="29" fillId="0" borderId="0" applyFont="0" applyFill="0" applyBorder="0" applyAlignment="0" applyProtection="0"/>
    <xf numFmtId="0" fontId="30" fillId="9" borderId="0" applyNumberFormat="0" applyBorder="0" applyAlignment="0" applyProtection="0"/>
  </cellStyleXfs>
  <cellXfs count="661">
    <xf numFmtId="0" fontId="0" fillId="0" borderId="0" xfId="0"/>
    <xf numFmtId="0" fontId="0" fillId="2" borderId="0" xfId="0" applyFill="1"/>
    <xf numFmtId="0" fontId="3" fillId="2" borderId="3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/>
    </xf>
    <xf numFmtId="0" fontId="3" fillId="0" borderId="16" xfId="0" applyFont="1" applyFill="1" applyBorder="1" applyAlignment="1">
      <alignment horizontal="center" vertical="center"/>
    </xf>
    <xf numFmtId="0" fontId="3" fillId="0" borderId="17" xfId="0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/>
    </xf>
    <xf numFmtId="0" fontId="3" fillId="0" borderId="18" xfId="0" applyFont="1" applyFill="1" applyBorder="1" applyAlignment="1">
      <alignment horizontal="center" vertical="center"/>
    </xf>
    <xf numFmtId="0" fontId="4" fillId="0" borderId="19" xfId="0" applyFont="1" applyFill="1" applyBorder="1" applyAlignment="1">
      <alignment horizontal="center" vertical="center"/>
    </xf>
    <xf numFmtId="0" fontId="4" fillId="0" borderId="20" xfId="0" applyFont="1" applyFill="1" applyBorder="1" applyAlignment="1">
      <alignment horizontal="center" vertical="center"/>
    </xf>
    <xf numFmtId="0" fontId="3" fillId="0" borderId="21" xfId="0" applyFont="1" applyFill="1" applyBorder="1" applyAlignment="1">
      <alignment horizontal="center" vertical="center"/>
    </xf>
    <xf numFmtId="0" fontId="3" fillId="0" borderId="22" xfId="0" applyFont="1" applyFill="1" applyBorder="1" applyAlignment="1">
      <alignment horizontal="center" vertical="center"/>
    </xf>
    <xf numFmtId="0" fontId="3" fillId="0" borderId="19" xfId="0" applyFont="1" applyFill="1" applyBorder="1" applyAlignment="1">
      <alignment horizontal="center" vertical="center"/>
    </xf>
    <xf numFmtId="0" fontId="3" fillId="0" borderId="20" xfId="0" applyFont="1" applyFill="1" applyBorder="1" applyAlignment="1">
      <alignment horizontal="center" vertical="center"/>
    </xf>
    <xf numFmtId="0" fontId="3" fillId="0" borderId="2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3" fillId="0" borderId="26" xfId="0" applyFont="1" applyFill="1" applyBorder="1" applyAlignment="1">
      <alignment horizontal="center" vertical="center"/>
    </xf>
    <xf numFmtId="0" fontId="3" fillId="0" borderId="27" xfId="0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3" fillId="0" borderId="28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31" xfId="0" applyFont="1" applyFill="1" applyBorder="1" applyAlignment="1">
      <alignment horizontal="center" vertical="center"/>
    </xf>
    <xf numFmtId="0" fontId="5" fillId="2" borderId="32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3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40" xfId="0" applyFont="1" applyFill="1" applyBorder="1" applyAlignment="1">
      <alignment horizontal="center" vertical="center"/>
    </xf>
    <xf numFmtId="0" fontId="3" fillId="0" borderId="41" xfId="0" applyFont="1" applyFill="1" applyBorder="1" applyAlignment="1">
      <alignment horizontal="center" vertical="center"/>
    </xf>
    <xf numFmtId="0" fontId="5" fillId="2" borderId="41" xfId="0" applyFont="1" applyFill="1" applyBorder="1" applyAlignment="1">
      <alignment horizontal="center" vertical="center"/>
    </xf>
    <xf numFmtId="0" fontId="3" fillId="0" borderId="42" xfId="0" applyFont="1" applyFill="1" applyBorder="1" applyAlignment="1">
      <alignment horizontal="center" vertical="center"/>
    </xf>
    <xf numFmtId="0" fontId="3" fillId="0" borderId="43" xfId="0" applyFont="1" applyFill="1" applyBorder="1" applyAlignment="1">
      <alignment horizontal="center" vertical="center"/>
    </xf>
    <xf numFmtId="0" fontId="5" fillId="2" borderId="43" xfId="0" applyFont="1" applyFill="1" applyBorder="1" applyAlignment="1">
      <alignment horizontal="center" vertical="center"/>
    </xf>
    <xf numFmtId="0" fontId="3" fillId="0" borderId="44" xfId="0" applyFont="1" applyFill="1" applyBorder="1" applyAlignment="1">
      <alignment horizontal="center" vertical="center"/>
    </xf>
    <xf numFmtId="0" fontId="3" fillId="0" borderId="45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/>
    </xf>
    <xf numFmtId="0" fontId="8" fillId="0" borderId="15" xfId="0" applyFont="1" applyFill="1" applyBorder="1" applyAlignment="1">
      <alignment vertical="center"/>
    </xf>
    <xf numFmtId="0" fontId="5" fillId="2" borderId="21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vertical="center"/>
    </xf>
    <xf numFmtId="0" fontId="10" fillId="4" borderId="6" xfId="0" applyFont="1" applyFill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3" fillId="2" borderId="7" xfId="0" applyFont="1" applyFill="1" applyBorder="1" applyAlignment="1">
      <alignment vertical="center"/>
    </xf>
    <xf numFmtId="0" fontId="10" fillId="4" borderId="29" xfId="0" applyFont="1" applyFill="1" applyBorder="1" applyAlignment="1">
      <alignment vertical="center"/>
    </xf>
    <xf numFmtId="0" fontId="5" fillId="0" borderId="9" xfId="0" applyFont="1" applyBorder="1" applyAlignment="1">
      <alignment horizontal="center"/>
    </xf>
    <xf numFmtId="0" fontId="5" fillId="0" borderId="34" xfId="0" applyFont="1" applyBorder="1" applyAlignment="1">
      <alignment horizontal="center"/>
    </xf>
    <xf numFmtId="0" fontId="5" fillId="0" borderId="6" xfId="0" applyFont="1" applyBorder="1" applyAlignment="1">
      <alignment horizontal="center" vertical="center" wrapText="1"/>
    </xf>
    <xf numFmtId="3" fontId="0" fillId="0" borderId="48" xfId="0" applyNumberFormat="1" applyBorder="1" applyAlignment="1">
      <alignment horizontal="center" vertical="center"/>
    </xf>
    <xf numFmtId="0" fontId="5" fillId="0" borderId="31" xfId="0" applyFont="1" applyBorder="1" applyAlignment="1">
      <alignment horizontal="center" vertical="center" wrapText="1"/>
    </xf>
    <xf numFmtId="3" fontId="0" fillId="0" borderId="49" xfId="0" applyNumberFormat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1" fontId="0" fillId="0" borderId="48" xfId="0" applyNumberFormat="1" applyBorder="1" applyAlignment="1">
      <alignment horizontal="center" vertical="center"/>
    </xf>
    <xf numFmtId="1" fontId="0" fillId="0" borderId="49" xfId="0" applyNumberFormat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1" fontId="0" fillId="0" borderId="51" xfId="0" applyNumberFormat="1" applyBorder="1" applyAlignment="1">
      <alignment horizontal="center" vertical="center"/>
    </xf>
    <xf numFmtId="0" fontId="5" fillId="2" borderId="9" xfId="0" applyFont="1" applyFill="1" applyBorder="1" applyAlignment="1">
      <alignment horizontal="center"/>
    </xf>
    <xf numFmtId="0" fontId="5" fillId="2" borderId="34" xfId="0" applyFont="1" applyFill="1" applyBorder="1" applyAlignment="1">
      <alignment horizontal="center"/>
    </xf>
    <xf numFmtId="3" fontId="0" fillId="2" borderId="48" xfId="0" applyNumberFormat="1" applyFill="1" applyBorder="1" applyAlignment="1">
      <alignment horizontal="center" vertical="center"/>
    </xf>
    <xf numFmtId="3" fontId="0" fillId="2" borderId="49" xfId="0" applyNumberFormat="1" applyFill="1" applyBorder="1" applyAlignment="1">
      <alignment horizontal="center" vertical="center"/>
    </xf>
    <xf numFmtId="1" fontId="0" fillId="2" borderId="49" xfId="0" applyNumberFormat="1" applyFill="1" applyBorder="1" applyAlignment="1">
      <alignment horizontal="center" vertical="center"/>
    </xf>
    <xf numFmtId="1" fontId="0" fillId="2" borderId="51" xfId="0" applyNumberFormat="1" applyFill="1" applyBorder="1" applyAlignment="1">
      <alignment horizontal="center" vertical="center"/>
    </xf>
    <xf numFmtId="1" fontId="0" fillId="2" borderId="48" xfId="0" applyNumberFormat="1" applyFill="1" applyBorder="1" applyAlignment="1">
      <alignment horizontal="center" vertical="center"/>
    </xf>
    <xf numFmtId="3" fontId="7" fillId="2" borderId="41" xfId="0" applyNumberFormat="1" applyFont="1" applyFill="1" applyBorder="1" applyAlignment="1">
      <alignment horizontal="center" vertical="center"/>
    </xf>
    <xf numFmtId="3" fontId="7" fillId="2" borderId="52" xfId="0" applyNumberFormat="1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1" fontId="5" fillId="2" borderId="52" xfId="0" applyNumberFormat="1" applyFont="1" applyFill="1" applyBorder="1" applyAlignment="1">
      <alignment horizontal="center" vertical="center"/>
    </xf>
    <xf numFmtId="1" fontId="5" fillId="2" borderId="53" xfId="0" applyNumberFormat="1" applyFont="1" applyFill="1" applyBorder="1" applyAlignment="1">
      <alignment horizontal="center" vertical="center"/>
    </xf>
    <xf numFmtId="0" fontId="9" fillId="2" borderId="52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3" fontId="0" fillId="0" borderId="14" xfId="0" applyNumberFormat="1" applyFill="1" applyBorder="1"/>
    <xf numFmtId="3" fontId="0" fillId="0" borderId="35" xfId="0" applyNumberFormat="1" applyFill="1" applyBorder="1"/>
    <xf numFmtId="3" fontId="0" fillId="0" borderId="19" xfId="0" applyNumberFormat="1" applyFill="1" applyBorder="1"/>
    <xf numFmtId="3" fontId="0" fillId="0" borderId="36" xfId="0" applyNumberFormat="1" applyFill="1" applyBorder="1"/>
    <xf numFmtId="0" fontId="0" fillId="0" borderId="36" xfId="0" applyFill="1" applyBorder="1"/>
    <xf numFmtId="0" fontId="6" fillId="2" borderId="6" xfId="0" applyFont="1" applyFill="1" applyBorder="1" applyAlignment="1">
      <alignment horizontal="center"/>
    </xf>
    <xf numFmtId="3" fontId="0" fillId="0" borderId="24" xfId="0" applyNumberFormat="1" applyFill="1" applyBorder="1"/>
    <xf numFmtId="0" fontId="0" fillId="0" borderId="35" xfId="0" applyFill="1" applyBorder="1"/>
    <xf numFmtId="0" fontId="0" fillId="5" borderId="29" xfId="0" applyFill="1" applyBorder="1" applyAlignment="1">
      <alignment horizontal="center" vertical="center"/>
    </xf>
    <xf numFmtId="3" fontId="0" fillId="0" borderId="15" xfId="0" applyNumberFormat="1" applyFill="1" applyBorder="1" applyAlignment="1">
      <alignment horizontal="center"/>
    </xf>
    <xf numFmtId="3" fontId="0" fillId="0" borderId="25" xfId="0" applyNumberFormat="1" applyFill="1" applyBorder="1" applyAlignment="1">
      <alignment horizontal="center" vertical="center"/>
    </xf>
    <xf numFmtId="0" fontId="3" fillId="2" borderId="48" xfId="0" applyFont="1" applyFill="1" applyBorder="1" applyAlignment="1">
      <alignment horizontal="center" vertical="center"/>
    </xf>
    <xf numFmtId="0" fontId="3" fillId="2" borderId="49" xfId="0" applyFont="1" applyFill="1" applyBorder="1" applyAlignment="1">
      <alignment horizontal="center" vertical="center"/>
    </xf>
    <xf numFmtId="0" fontId="3" fillId="2" borderId="52" xfId="0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5" fillId="2" borderId="48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0" fontId="3" fillId="2" borderId="54" xfId="0" applyFont="1" applyFill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5" fillId="0" borderId="55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5" fillId="0" borderId="58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2" borderId="59" xfId="0" applyFont="1" applyFill="1" applyBorder="1" applyAlignment="1">
      <alignment horizontal="center" vertical="center"/>
    </xf>
    <xf numFmtId="0" fontId="5" fillId="6" borderId="41" xfId="0" applyFont="1" applyFill="1" applyBorder="1" applyAlignment="1">
      <alignment horizontal="center" vertical="center"/>
    </xf>
    <xf numFmtId="0" fontId="5" fillId="6" borderId="43" xfId="0" applyFont="1" applyFill="1" applyBorder="1" applyAlignment="1">
      <alignment horizontal="center" vertical="center"/>
    </xf>
    <xf numFmtId="0" fontId="5" fillId="6" borderId="60" xfId="0" applyFont="1" applyFill="1" applyBorder="1" applyAlignment="1">
      <alignment horizontal="center" vertical="center"/>
    </xf>
    <xf numFmtId="0" fontId="5" fillId="0" borderId="61" xfId="0" applyFont="1" applyBorder="1" applyAlignment="1">
      <alignment horizontal="center" vertical="center"/>
    </xf>
    <xf numFmtId="0" fontId="9" fillId="0" borderId="61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5" fillId="0" borderId="54" xfId="0" applyFont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3" fontId="14" fillId="2" borderId="6" xfId="2" applyNumberFormat="1" applyFont="1" applyFill="1" applyBorder="1" applyAlignment="1">
      <alignment horizontal="center" vertical="center" textRotation="90"/>
    </xf>
    <xf numFmtId="0" fontId="5" fillId="2" borderId="29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3" fontId="14" fillId="6" borderId="29" xfId="0" applyNumberFormat="1" applyFont="1" applyFill="1" applyBorder="1" applyAlignment="1">
      <alignment horizontal="center" vertical="center"/>
    </xf>
    <xf numFmtId="0" fontId="5" fillId="2" borderId="62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3" fontId="14" fillId="6" borderId="31" xfId="0" applyNumberFormat="1" applyFont="1" applyFill="1" applyBorder="1" applyAlignment="1">
      <alignment horizontal="center" vertical="center"/>
    </xf>
    <xf numFmtId="3" fontId="15" fillId="2" borderId="32" xfId="2" applyNumberFormat="1" applyFont="1" applyFill="1" applyBorder="1" applyAlignment="1">
      <alignment horizontal="center" vertical="center"/>
    </xf>
    <xf numFmtId="0" fontId="0" fillId="2" borderId="31" xfId="0" applyFill="1" applyBorder="1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0" fontId="9" fillId="2" borderId="29" xfId="0" applyFont="1" applyFill="1" applyBorder="1" applyAlignment="1">
      <alignment horizontal="center" vertical="center" wrapText="1"/>
    </xf>
    <xf numFmtId="3" fontId="14" fillId="2" borderId="6" xfId="2" applyNumberFormat="1" applyFont="1" applyFill="1" applyBorder="1" applyAlignment="1">
      <alignment horizontal="center" vertical="center" wrapText="1"/>
    </xf>
    <xf numFmtId="3" fontId="15" fillId="2" borderId="48" xfId="2" applyNumberFormat="1" applyFont="1" applyFill="1" applyBorder="1" applyAlignment="1">
      <alignment horizontal="center" vertical="center" wrapText="1"/>
    </xf>
    <xf numFmtId="3" fontId="14" fillId="2" borderId="48" xfId="2" applyNumberFormat="1" applyFont="1" applyFill="1" applyBorder="1" applyAlignment="1">
      <alignment horizontal="center" vertical="center"/>
    </xf>
    <xf numFmtId="0" fontId="5" fillId="2" borderId="36" xfId="0" applyFont="1" applyFill="1" applyBorder="1" applyAlignment="1">
      <alignment horizontal="center" vertical="center"/>
    </xf>
    <xf numFmtId="3" fontId="15" fillId="0" borderId="62" xfId="2" applyNumberFormat="1" applyFont="1" applyFill="1" applyBorder="1" applyAlignment="1">
      <alignment horizontal="center" vertical="center"/>
    </xf>
    <xf numFmtId="3" fontId="15" fillId="6" borderId="14" xfId="2" applyNumberFormat="1" applyFont="1" applyFill="1" applyBorder="1" applyAlignment="1">
      <alignment horizontal="center" vertical="center"/>
    </xf>
    <xf numFmtId="3" fontId="15" fillId="0" borderId="23" xfId="2" applyNumberFormat="1" applyFont="1" applyFill="1" applyBorder="1" applyAlignment="1">
      <alignment horizontal="center" vertical="center"/>
    </xf>
    <xf numFmtId="3" fontId="15" fillId="2" borderId="23" xfId="2" applyNumberFormat="1" applyFont="1" applyFill="1" applyBorder="1" applyAlignment="1">
      <alignment horizontal="center" vertical="center"/>
    </xf>
    <xf numFmtId="3" fontId="14" fillId="2" borderId="9" xfId="2" applyNumberFormat="1" applyFont="1" applyFill="1" applyBorder="1" applyAlignment="1">
      <alignment horizontal="center" vertical="center"/>
    </xf>
    <xf numFmtId="3" fontId="15" fillId="6" borderId="63" xfId="2" applyNumberFormat="1" applyFont="1" applyFill="1" applyBorder="1" applyAlignment="1">
      <alignment horizontal="center" vertical="center"/>
    </xf>
    <xf numFmtId="3" fontId="16" fillId="2" borderId="33" xfId="0" applyNumberFormat="1" applyFont="1" applyFill="1" applyBorder="1" applyAlignment="1">
      <alignment horizontal="center" vertical="center"/>
    </xf>
    <xf numFmtId="3" fontId="15" fillId="2" borderId="49" xfId="2" applyNumberFormat="1" applyFont="1" applyFill="1" applyBorder="1" applyAlignment="1">
      <alignment horizontal="center" vertical="center" wrapText="1"/>
    </xf>
    <xf numFmtId="3" fontId="15" fillId="2" borderId="52" xfId="2" applyNumberFormat="1" applyFont="1" applyFill="1" applyBorder="1" applyAlignment="1">
      <alignment horizontal="center" vertical="center" wrapText="1"/>
    </xf>
    <xf numFmtId="3" fontId="15" fillId="2" borderId="1" xfId="2" applyNumberFormat="1" applyFont="1" applyFill="1" applyBorder="1" applyAlignment="1">
      <alignment horizontal="center" vertical="center" wrapText="1"/>
    </xf>
    <xf numFmtId="3" fontId="15" fillId="6" borderId="35" xfId="2" applyNumberFormat="1" applyFont="1" applyFill="1" applyBorder="1" applyAlignment="1">
      <alignment horizontal="center" vertical="center"/>
    </xf>
    <xf numFmtId="3" fontId="14" fillId="6" borderId="15" xfId="0" applyNumberFormat="1" applyFont="1" applyFill="1" applyBorder="1" applyAlignment="1">
      <alignment horizontal="center" vertical="center"/>
    </xf>
    <xf numFmtId="9" fontId="15" fillId="6" borderId="42" xfId="1" applyFont="1" applyFill="1" applyBorder="1" applyAlignment="1">
      <alignment horizontal="center" vertical="center"/>
    </xf>
    <xf numFmtId="3" fontId="0" fillId="0" borderId="0" xfId="0" applyNumberFormat="1"/>
    <xf numFmtId="3" fontId="14" fillId="6" borderId="20" xfId="0" applyNumberFormat="1" applyFont="1" applyFill="1" applyBorder="1" applyAlignment="1">
      <alignment horizontal="center" vertical="center"/>
    </xf>
    <xf numFmtId="3" fontId="15" fillId="0" borderId="35" xfId="2" applyNumberFormat="1" applyFont="1" applyFill="1" applyBorder="1" applyAlignment="1">
      <alignment horizontal="center" vertical="center"/>
    </xf>
    <xf numFmtId="3" fontId="14" fillId="0" borderId="20" xfId="0" applyNumberFormat="1" applyFont="1" applyBorder="1" applyAlignment="1">
      <alignment horizontal="center" vertical="center"/>
    </xf>
    <xf numFmtId="9" fontId="15" fillId="0" borderId="42" xfId="1" applyFont="1" applyFill="1" applyBorder="1" applyAlignment="1">
      <alignment horizontal="center" vertical="center"/>
    </xf>
    <xf numFmtId="3" fontId="15" fillId="0" borderId="36" xfId="2" applyNumberFormat="1" applyFont="1" applyFill="1" applyBorder="1" applyAlignment="1">
      <alignment horizontal="center" vertical="center"/>
    </xf>
    <xf numFmtId="3" fontId="15" fillId="0" borderId="56" xfId="2" applyNumberFormat="1" applyFont="1" applyFill="1" applyBorder="1" applyAlignment="1">
      <alignment horizontal="center" vertical="center"/>
    </xf>
    <xf numFmtId="3" fontId="14" fillId="0" borderId="57" xfId="0" applyNumberFormat="1" applyFont="1" applyBorder="1" applyAlignment="1">
      <alignment horizontal="center" vertical="center"/>
    </xf>
    <xf numFmtId="9" fontId="15" fillId="0" borderId="61" xfId="1" applyFont="1" applyFill="1" applyBorder="1" applyAlignment="1">
      <alignment horizontal="center" vertical="center"/>
    </xf>
    <xf numFmtId="0" fontId="5" fillId="2" borderId="59" xfId="0" applyFont="1" applyFill="1" applyBorder="1" applyAlignment="1">
      <alignment horizontal="center" vertical="center" wrapText="1"/>
    </xf>
    <xf numFmtId="0" fontId="5" fillId="2" borderId="47" xfId="0" applyFont="1" applyFill="1" applyBorder="1" applyAlignment="1">
      <alignment horizontal="center" vertical="center" wrapText="1"/>
    </xf>
    <xf numFmtId="0" fontId="5" fillId="7" borderId="29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 wrapText="1"/>
    </xf>
    <xf numFmtId="0" fontId="5" fillId="7" borderId="0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5" fillId="7" borderId="65" xfId="0" applyFont="1" applyFill="1" applyBorder="1" applyAlignment="1">
      <alignment horizontal="center" vertical="center" wrapText="1"/>
    </xf>
    <xf numFmtId="0" fontId="5" fillId="7" borderId="66" xfId="0" applyFont="1" applyFill="1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1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5" fillId="7" borderId="51" xfId="0" applyFont="1" applyFill="1" applyBorder="1" applyAlignment="1">
      <alignment horizontal="center" vertical="center"/>
    </xf>
    <xf numFmtId="0" fontId="5" fillId="0" borderId="63" xfId="0" applyFont="1" applyBorder="1" applyAlignment="1">
      <alignment horizontal="center" vertical="center"/>
    </xf>
    <xf numFmtId="1" fontId="0" fillId="0" borderId="14" xfId="0" applyNumberFormat="1" applyBorder="1" applyAlignment="1">
      <alignment horizontal="center" vertical="center" wrapText="1"/>
    </xf>
    <xf numFmtId="0" fontId="5" fillId="7" borderId="50" xfId="0" applyFont="1" applyFill="1" applyBorder="1" applyAlignment="1">
      <alignment horizontal="center" vertical="center"/>
    </xf>
    <xf numFmtId="0" fontId="5" fillId="7" borderId="53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5" fillId="7" borderId="48" xfId="0" applyFont="1" applyFill="1" applyBorder="1" applyAlignment="1">
      <alignment horizontal="center" vertical="center"/>
    </xf>
    <xf numFmtId="0" fontId="5" fillId="7" borderId="52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1" fontId="0" fillId="0" borderId="55" xfId="0" applyNumberFormat="1" applyBorder="1" applyAlignment="1">
      <alignment horizontal="center" vertical="center" wrapText="1"/>
    </xf>
    <xf numFmtId="1" fontId="0" fillId="0" borderId="55" xfId="0" applyNumberFormat="1" applyBorder="1" applyAlignment="1">
      <alignment horizontal="center" vertical="center"/>
    </xf>
    <xf numFmtId="0" fontId="5" fillId="2" borderId="49" xfId="0" applyFont="1" applyFill="1" applyBorder="1" applyAlignment="1">
      <alignment horizontal="center" vertical="center"/>
    </xf>
    <xf numFmtId="0" fontId="5" fillId="2" borderId="52" xfId="0" applyFont="1" applyFill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1" fontId="0" fillId="0" borderId="67" xfId="0" applyNumberFormat="1" applyBorder="1" applyAlignment="1">
      <alignment horizontal="center" vertical="center"/>
    </xf>
    <xf numFmtId="1" fontId="5" fillId="2" borderId="29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2" borderId="29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 vertical="center"/>
    </xf>
    <xf numFmtId="0" fontId="5" fillId="2" borderId="34" xfId="0" applyFont="1" applyFill="1" applyBorder="1" applyAlignment="1">
      <alignment horizontal="center" vertical="center"/>
    </xf>
    <xf numFmtId="0" fontId="5" fillId="2" borderId="68" xfId="0" applyFont="1" applyFill="1" applyBorder="1" applyAlignment="1">
      <alignment horizontal="center"/>
    </xf>
    <xf numFmtId="0" fontId="5" fillId="0" borderId="38" xfId="0" applyFont="1" applyBorder="1" applyAlignment="1">
      <alignment vertical="center"/>
    </xf>
    <xf numFmtId="1" fontId="5" fillId="0" borderId="19" xfId="0" applyNumberFormat="1" applyFont="1" applyBorder="1" applyAlignment="1">
      <alignment horizontal="center" vertical="center"/>
    </xf>
    <xf numFmtId="1" fontId="5" fillId="0" borderId="36" xfId="0" applyNumberFormat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61" xfId="0" applyFont="1" applyFill="1" applyBorder="1" applyAlignment="1">
      <alignment horizontal="center" vertical="center"/>
    </xf>
    <xf numFmtId="1" fontId="5" fillId="2" borderId="29" xfId="0" applyNumberFormat="1" applyFont="1" applyFill="1" applyBorder="1" applyAlignment="1">
      <alignment horizontal="center" vertical="center"/>
    </xf>
    <xf numFmtId="1" fontId="5" fillId="0" borderId="0" xfId="0" applyNumberFormat="1" applyFont="1"/>
    <xf numFmtId="1" fontId="5" fillId="2" borderId="30" xfId="0" applyNumberFormat="1" applyFont="1" applyFill="1" applyBorder="1" applyAlignment="1">
      <alignment horizontal="center" vertical="center"/>
    </xf>
    <xf numFmtId="1" fontId="5" fillId="2" borderId="64" xfId="0" applyNumberFormat="1" applyFont="1" applyFill="1" applyBorder="1" applyAlignment="1">
      <alignment horizontal="center" vertical="center"/>
    </xf>
    <xf numFmtId="1" fontId="5" fillId="2" borderId="70" xfId="0" applyNumberFormat="1" applyFont="1" applyFill="1" applyBorder="1" applyAlignment="1">
      <alignment horizontal="center" vertical="center"/>
    </xf>
    <xf numFmtId="0" fontId="20" fillId="0" borderId="0" xfId="0" applyFont="1"/>
    <xf numFmtId="0" fontId="22" fillId="7" borderId="2" xfId="0" applyFont="1" applyFill="1" applyBorder="1" applyAlignment="1">
      <alignment horizontal="center" vertical="center"/>
    </xf>
    <xf numFmtId="0" fontId="22" fillId="7" borderId="3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20" fillId="0" borderId="16" xfId="0" applyFont="1" applyBorder="1"/>
    <xf numFmtId="0" fontId="20" fillId="0" borderId="35" xfId="0" applyFont="1" applyBorder="1"/>
    <xf numFmtId="0" fontId="20" fillId="0" borderId="17" xfId="0" applyFont="1" applyBorder="1"/>
    <xf numFmtId="0" fontId="5" fillId="0" borderId="7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20" fillId="0" borderId="21" xfId="0" applyFont="1" applyBorder="1"/>
    <xf numFmtId="0" fontId="20" fillId="0" borderId="36" xfId="0" applyFont="1" applyBorder="1"/>
    <xf numFmtId="0" fontId="20" fillId="0" borderId="22" xfId="0" applyFont="1" applyBorder="1"/>
    <xf numFmtId="0" fontId="5" fillId="2" borderId="71" xfId="0" applyFont="1" applyFill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20" fillId="0" borderId="26" xfId="0" applyFont="1" applyBorder="1"/>
    <xf numFmtId="0" fontId="20" fillId="0" borderId="46" xfId="0" applyFont="1" applyBorder="1"/>
    <xf numFmtId="0" fontId="20" fillId="0" borderId="27" xfId="0" applyFont="1" applyBorder="1"/>
    <xf numFmtId="0" fontId="22" fillId="7" borderId="19" xfId="0" applyFont="1" applyFill="1" applyBorder="1" applyAlignment="1">
      <alignment horizontal="center" vertical="center"/>
    </xf>
    <xf numFmtId="0" fontId="22" fillId="7" borderId="36" xfId="0" applyFont="1" applyFill="1" applyBorder="1" applyAlignment="1">
      <alignment horizontal="center" vertical="center"/>
    </xf>
    <xf numFmtId="0" fontId="20" fillId="0" borderId="14" xfId="0" applyFont="1" applyBorder="1"/>
    <xf numFmtId="0" fontId="20" fillId="0" borderId="19" xfId="0" applyFont="1" applyBorder="1"/>
    <xf numFmtId="0" fontId="20" fillId="0" borderId="24" xfId="0" applyFont="1" applyBorder="1"/>
    <xf numFmtId="0" fontId="22" fillId="7" borderId="20" xfId="0" applyFont="1" applyFill="1" applyBorder="1" applyAlignment="1">
      <alignment horizontal="center" vertical="center"/>
    </xf>
    <xf numFmtId="0" fontId="20" fillId="0" borderId="20" xfId="0" applyFont="1" applyBorder="1"/>
    <xf numFmtId="0" fontId="20" fillId="0" borderId="25" xfId="0" applyFont="1" applyBorder="1"/>
    <xf numFmtId="0" fontId="20" fillId="0" borderId="15" xfId="0" applyFont="1" applyBorder="1"/>
    <xf numFmtId="0" fontId="22" fillId="7" borderId="37" xfId="0" applyFont="1" applyFill="1" applyBorder="1" applyAlignment="1">
      <alignment horizontal="center" vertical="center"/>
    </xf>
    <xf numFmtId="0" fontId="0" fillId="2" borderId="41" xfId="0" applyFill="1" applyBorder="1" applyAlignment="1">
      <alignment horizontal="center" vertical="center"/>
    </xf>
    <xf numFmtId="0" fontId="0" fillId="0" borderId="7" xfId="0" applyBorder="1"/>
    <xf numFmtId="0" fontId="21" fillId="2" borderId="33" xfId="0" applyFont="1" applyFill="1" applyBorder="1"/>
    <xf numFmtId="0" fontId="0" fillId="0" borderId="16" xfId="0" applyBorder="1"/>
    <xf numFmtId="0" fontId="0" fillId="0" borderId="35" xfId="0" applyBorder="1"/>
    <xf numFmtId="0" fontId="21" fillId="2" borderId="0" xfId="0" applyFont="1" applyFill="1"/>
    <xf numFmtId="0" fontId="22" fillId="7" borderId="72" xfId="0" applyFont="1" applyFill="1" applyBorder="1" applyAlignment="1">
      <alignment horizontal="center" vertical="center"/>
    </xf>
    <xf numFmtId="0" fontId="22" fillId="7" borderId="73" xfId="0" applyFont="1" applyFill="1" applyBorder="1" applyAlignment="1">
      <alignment horizontal="center" vertical="center"/>
    </xf>
    <xf numFmtId="0" fontId="22" fillId="7" borderId="74" xfId="0" applyFont="1" applyFill="1" applyBorder="1" applyAlignment="1">
      <alignment horizontal="center" vertical="center"/>
    </xf>
    <xf numFmtId="0" fontId="0" fillId="0" borderId="17" xfId="0" applyBorder="1"/>
    <xf numFmtId="0" fontId="0" fillId="0" borderId="14" xfId="0" applyBorder="1"/>
    <xf numFmtId="0" fontId="0" fillId="0" borderId="15" xfId="0" applyBorder="1"/>
    <xf numFmtId="0" fontId="20" fillId="0" borderId="43" xfId="0" applyFont="1" applyBorder="1"/>
    <xf numFmtId="0" fontId="0" fillId="0" borderId="29" xfId="0" applyBorder="1" applyAlignment="1">
      <alignment horizontal="center"/>
    </xf>
    <xf numFmtId="0" fontId="0" fillId="2" borderId="40" xfId="0" applyFill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2" borderId="42" xfId="0" applyFill="1" applyBorder="1" applyAlignment="1">
      <alignment horizontal="center" vertical="center"/>
    </xf>
    <xf numFmtId="0" fontId="0" fillId="2" borderId="44" xfId="0" applyFill="1" applyBorder="1" applyAlignment="1">
      <alignment horizontal="center" vertical="center"/>
    </xf>
    <xf numFmtId="0" fontId="5" fillId="2" borderId="56" xfId="0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73" xfId="0" applyFont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0" borderId="75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2" borderId="40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7" borderId="37" xfId="0" applyFont="1" applyFill="1" applyBorder="1" applyAlignment="1">
      <alignment horizontal="center" vertical="center"/>
    </xf>
    <xf numFmtId="0" fontId="0" fillId="0" borderId="21" xfId="0" applyBorder="1"/>
    <xf numFmtId="0" fontId="0" fillId="0" borderId="36" xfId="0" applyBorder="1"/>
    <xf numFmtId="0" fontId="0" fillId="0" borderId="22" xfId="0" applyBorder="1"/>
    <xf numFmtId="0" fontId="0" fillId="0" borderId="75" xfId="0" applyBorder="1"/>
    <xf numFmtId="0" fontId="5" fillId="2" borderId="7" xfId="0" applyFont="1" applyFill="1" applyBorder="1" applyAlignment="1">
      <alignment horizontal="center" vertical="center"/>
    </xf>
    <xf numFmtId="0" fontId="5" fillId="7" borderId="22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0" fillId="0" borderId="20" xfId="0" applyBorder="1"/>
    <xf numFmtId="0" fontId="0" fillId="0" borderId="19" xfId="0" applyBorder="1"/>
    <xf numFmtId="0" fontId="0" fillId="0" borderId="24" xfId="0" applyBorder="1"/>
    <xf numFmtId="0" fontId="0" fillId="0" borderId="46" xfId="0" applyBorder="1"/>
    <xf numFmtId="0" fontId="0" fillId="0" borderId="25" xfId="0" applyBorder="1"/>
    <xf numFmtId="0" fontId="5" fillId="2" borderId="6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0" fillId="0" borderId="27" xfId="0" applyBorder="1"/>
    <xf numFmtId="0" fontId="5" fillId="7" borderId="19" xfId="0" applyFont="1" applyFill="1" applyBorder="1" applyAlignment="1">
      <alignment horizontal="center" vertical="center"/>
    </xf>
    <xf numFmtId="0" fontId="5" fillId="7" borderId="36" xfId="0" applyFont="1" applyFill="1" applyBorder="1" applyAlignment="1">
      <alignment horizontal="center" vertical="center"/>
    </xf>
    <xf numFmtId="0" fontId="5" fillId="7" borderId="9" xfId="0" applyFont="1" applyFill="1" applyBorder="1" applyAlignment="1">
      <alignment horizontal="center" vertical="center"/>
    </xf>
    <xf numFmtId="0" fontId="5" fillId="7" borderId="34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0" fontId="5" fillId="7" borderId="20" xfId="0" applyFont="1" applyFill="1" applyBorder="1" applyAlignment="1">
      <alignment horizontal="center" vertical="center"/>
    </xf>
    <xf numFmtId="0" fontId="5" fillId="0" borderId="72" xfId="0" applyFont="1" applyBorder="1" applyAlignment="1">
      <alignment horizontal="center" vertical="center"/>
    </xf>
    <xf numFmtId="0" fontId="0" fillId="0" borderId="73" xfId="0" applyBorder="1"/>
    <xf numFmtId="0" fontId="0" fillId="0" borderId="76" xfId="0" applyBorder="1"/>
    <xf numFmtId="0" fontId="5" fillId="2" borderId="0" xfId="0" applyFont="1" applyFill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0" fillId="0" borderId="72" xfId="0" applyBorder="1"/>
    <xf numFmtId="0" fontId="5" fillId="0" borderId="23" xfId="0" applyFont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/>
    </xf>
    <xf numFmtId="0" fontId="0" fillId="0" borderId="74" xfId="0" applyBorder="1"/>
    <xf numFmtId="0" fontId="5" fillId="2" borderId="54" xfId="0" applyFont="1" applyFill="1" applyBorder="1" applyAlignment="1">
      <alignment horizontal="center" vertical="center"/>
    </xf>
    <xf numFmtId="0" fontId="24" fillId="0" borderId="20" xfId="0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0" fontId="5" fillId="2" borderId="64" xfId="0" applyFont="1" applyFill="1" applyBorder="1" applyAlignment="1">
      <alignment horizontal="center" vertical="center"/>
    </xf>
    <xf numFmtId="0" fontId="5" fillId="2" borderId="78" xfId="0" applyFont="1" applyFill="1" applyBorder="1" applyAlignment="1">
      <alignment horizontal="center" vertical="center"/>
    </xf>
    <xf numFmtId="0" fontId="24" fillId="2" borderId="21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5" fillId="2" borderId="46" xfId="0" applyFont="1" applyFill="1" applyBorder="1" applyAlignment="1">
      <alignment horizontal="center" vertical="center"/>
    </xf>
    <xf numFmtId="0" fontId="5" fillId="0" borderId="74" xfId="0" applyFont="1" applyBorder="1" applyAlignment="1">
      <alignment horizontal="center" vertical="center"/>
    </xf>
    <xf numFmtId="0" fontId="5" fillId="0" borderId="76" xfId="0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24" fillId="0" borderId="43" xfId="0" applyFont="1" applyBorder="1" applyAlignment="1">
      <alignment horizontal="center" vertical="center"/>
    </xf>
    <xf numFmtId="0" fontId="24" fillId="0" borderId="24" xfId="0" applyFont="1" applyBorder="1" applyAlignment="1">
      <alignment horizontal="center" vertical="center"/>
    </xf>
    <xf numFmtId="0" fontId="24" fillId="0" borderId="26" xfId="0" applyFont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46" xfId="0" applyFont="1" applyBorder="1" applyAlignment="1">
      <alignment horizontal="center" vertical="center"/>
    </xf>
    <xf numFmtId="0" fontId="5" fillId="2" borderId="63" xfId="0" applyFont="1" applyFill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0" fontId="24" fillId="0" borderId="27" xfId="0" applyFont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0" fontId="5" fillId="2" borderId="57" xfId="0" applyFont="1" applyFill="1" applyBorder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3" fontId="24" fillId="2" borderId="21" xfId="0" applyNumberFormat="1" applyFont="1" applyFill="1" applyBorder="1" applyAlignment="1">
      <alignment horizontal="center" vertical="center"/>
    </xf>
    <xf numFmtId="3" fontId="5" fillId="2" borderId="21" xfId="0" applyNumberFormat="1" applyFont="1" applyFill="1" applyBorder="1" applyAlignment="1">
      <alignment horizontal="center" vertical="center"/>
    </xf>
    <xf numFmtId="0" fontId="0" fillId="8" borderId="0" xfId="0" applyFill="1"/>
    <xf numFmtId="0" fontId="5" fillId="0" borderId="29" xfId="0" applyFont="1" applyBorder="1" applyAlignment="1">
      <alignment horizontal="center" vertical="center"/>
    </xf>
    <xf numFmtId="0" fontId="5" fillId="7" borderId="24" xfId="0" applyFont="1" applyFill="1" applyBorder="1" applyAlignment="1">
      <alignment horizontal="center" vertical="center"/>
    </xf>
    <xf numFmtId="0" fontId="5" fillId="7" borderId="46" xfId="0" applyFont="1" applyFill="1" applyBorder="1" applyAlignment="1">
      <alignment horizontal="center" vertical="center"/>
    </xf>
    <xf numFmtId="0" fontId="5" fillId="7" borderId="25" xfId="0" applyFont="1" applyFill="1" applyBorder="1" applyAlignment="1">
      <alignment horizontal="center" vertical="center"/>
    </xf>
    <xf numFmtId="0" fontId="5" fillId="7" borderId="26" xfId="0" applyFont="1" applyFill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77" xfId="0" applyFont="1" applyBorder="1" applyAlignment="1">
      <alignment horizontal="center" vertical="center"/>
    </xf>
    <xf numFmtId="0" fontId="0" fillId="0" borderId="55" xfId="0" applyBorder="1"/>
    <xf numFmtId="0" fontId="0" fillId="0" borderId="56" xfId="0" applyBorder="1"/>
    <xf numFmtId="0" fontId="0" fillId="0" borderId="58" xfId="0" applyBorder="1"/>
    <xf numFmtId="0" fontId="0" fillId="0" borderId="63" xfId="0" applyBorder="1"/>
    <xf numFmtId="0" fontId="5" fillId="2" borderId="77" xfId="0" applyFont="1" applyFill="1" applyBorder="1" applyAlignment="1">
      <alignment horizontal="center" vertical="center"/>
    </xf>
    <xf numFmtId="0" fontId="5" fillId="7" borderId="27" xfId="0" applyFont="1" applyFill="1" applyBorder="1" applyAlignment="1">
      <alignment horizontal="center" vertical="center"/>
    </xf>
    <xf numFmtId="0" fontId="0" fillId="0" borderId="57" xfId="0" applyBorder="1"/>
    <xf numFmtId="0" fontId="27" fillId="0" borderId="21" xfId="0" applyFont="1" applyBorder="1"/>
    <xf numFmtId="0" fontId="27" fillId="0" borderId="36" xfId="0" applyFont="1" applyBorder="1"/>
    <xf numFmtId="0" fontId="5" fillId="7" borderId="32" xfId="0" applyFont="1" applyFill="1" applyBorder="1" applyAlignment="1">
      <alignment horizontal="center" vertical="center"/>
    </xf>
    <xf numFmtId="0" fontId="5" fillId="7" borderId="64" xfId="0" applyFont="1" applyFill="1" applyBorder="1" applyAlignment="1">
      <alignment horizontal="center" vertical="center"/>
    </xf>
    <xf numFmtId="0" fontId="5" fillId="7" borderId="78" xfId="0" applyFont="1" applyFill="1" applyBorder="1" applyAlignment="1">
      <alignment horizontal="center" vertical="center"/>
    </xf>
    <xf numFmtId="0" fontId="5" fillId="7" borderId="75" xfId="0" applyFont="1" applyFill="1" applyBorder="1" applyAlignment="1">
      <alignment horizontal="center" vertical="center"/>
    </xf>
    <xf numFmtId="0" fontId="5" fillId="7" borderId="73" xfId="0" applyFont="1" applyFill="1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5" fillId="7" borderId="65" xfId="0" applyFont="1" applyFill="1" applyBorder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8" borderId="29" xfId="0" applyFont="1" applyFill="1" applyBorder="1" applyAlignment="1">
      <alignment horizontal="center" vertical="center"/>
    </xf>
    <xf numFmtId="0" fontId="5" fillId="8" borderId="31" xfId="0" applyFont="1" applyFill="1" applyBorder="1" applyAlignment="1">
      <alignment horizontal="center" vertical="center"/>
    </xf>
    <xf numFmtId="0" fontId="5" fillId="8" borderId="33" xfId="0" applyFont="1" applyFill="1" applyBorder="1" applyAlignment="1">
      <alignment horizontal="center" vertical="center"/>
    </xf>
    <xf numFmtId="0" fontId="5" fillId="8" borderId="39" xfId="0" applyFont="1" applyFill="1" applyBorder="1" applyAlignment="1">
      <alignment horizontal="center" vertical="center"/>
    </xf>
    <xf numFmtId="0" fontId="28" fillId="0" borderId="19" xfId="0" applyFont="1" applyBorder="1"/>
    <xf numFmtId="0" fontId="28" fillId="0" borderId="36" xfId="0" applyFont="1" applyBorder="1"/>
    <xf numFmtId="0" fontId="5" fillId="7" borderId="76" xfId="0" applyFont="1" applyFill="1" applyBorder="1" applyAlignment="1">
      <alignment horizontal="center" vertical="center"/>
    </xf>
    <xf numFmtId="0" fontId="5" fillId="7" borderId="72" xfId="0" applyFont="1" applyFill="1" applyBorder="1" applyAlignment="1">
      <alignment horizontal="center" vertical="center"/>
    </xf>
    <xf numFmtId="0" fontId="5" fillId="7" borderId="74" xfId="0" applyFont="1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7" borderId="49" xfId="0" applyFont="1" applyFill="1" applyBorder="1" applyAlignment="1">
      <alignment horizontal="center" vertical="center"/>
    </xf>
    <xf numFmtId="0" fontId="5" fillId="0" borderId="62" xfId="0" applyFont="1" applyBorder="1" applyAlignment="1">
      <alignment horizontal="center" vertical="center"/>
    </xf>
    <xf numFmtId="1" fontId="0" fillId="2" borderId="7" xfId="0" applyNumberFormat="1" applyFill="1" applyBorder="1" applyAlignment="1">
      <alignment horizontal="center" vertical="center"/>
    </xf>
    <xf numFmtId="1" fontId="0" fillId="2" borderId="29" xfId="0" applyNumberForma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7" borderId="22" xfId="0" applyFont="1" applyFill="1" applyBorder="1" applyAlignment="1">
      <alignment horizontal="center" vertical="center"/>
    </xf>
    <xf numFmtId="0" fontId="5" fillId="2" borderId="31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0" fillId="0" borderId="26" xfId="0" applyBorder="1"/>
    <xf numFmtId="0" fontId="5" fillId="2" borderId="39" xfId="0" applyFont="1" applyFill="1" applyBorder="1" applyAlignment="1">
      <alignment horizontal="center" vertical="center"/>
    </xf>
    <xf numFmtId="0" fontId="5" fillId="7" borderId="2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5" fillId="2" borderId="41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35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1" fontId="5" fillId="2" borderId="8" xfId="0" applyNumberFormat="1" applyFont="1" applyFill="1" applyBorder="1" applyAlignment="1">
      <alignment horizontal="center" vertical="center"/>
    </xf>
    <xf numFmtId="1" fontId="5" fillId="2" borderId="41" xfId="0" applyNumberFormat="1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7" borderId="36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7" borderId="37" xfId="0" applyFont="1" applyFill="1" applyBorder="1" applyAlignment="1">
      <alignment horizontal="center" vertical="center"/>
    </xf>
    <xf numFmtId="0" fontId="5" fillId="2" borderId="3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7" borderId="13" xfId="0" applyFont="1" applyFill="1" applyBorder="1" applyAlignment="1">
      <alignment horizontal="center" vertical="center"/>
    </xf>
    <xf numFmtId="0" fontId="5" fillId="7" borderId="18" xfId="0" applyFont="1" applyFill="1" applyBorder="1" applyAlignment="1">
      <alignment horizontal="center" vertical="center"/>
    </xf>
    <xf numFmtId="0" fontId="5" fillId="7" borderId="41" xfId="0" applyFont="1" applyFill="1" applyBorder="1" applyAlignment="1">
      <alignment horizontal="center" vertical="center"/>
    </xf>
    <xf numFmtId="0" fontId="5" fillId="7" borderId="14" xfId="0" applyFont="1" applyFill="1" applyBorder="1" applyAlignment="1">
      <alignment horizontal="center" vertical="center"/>
    </xf>
    <xf numFmtId="0" fontId="5" fillId="7" borderId="35" xfId="0" applyFont="1" applyFill="1" applyBorder="1" applyAlignment="1">
      <alignment horizontal="center" vertical="center"/>
    </xf>
    <xf numFmtId="0" fontId="5" fillId="7" borderId="17" xfId="0" applyFont="1" applyFill="1" applyBorder="1" applyAlignment="1">
      <alignment horizontal="center" vertical="center"/>
    </xf>
    <xf numFmtId="0" fontId="5" fillId="7" borderId="15" xfId="0" applyFont="1" applyFill="1" applyBorder="1" applyAlignment="1">
      <alignment horizontal="center" vertical="center"/>
    </xf>
    <xf numFmtId="0" fontId="5" fillId="7" borderId="16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/>
    </xf>
    <xf numFmtId="0" fontId="5" fillId="2" borderId="47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7" borderId="3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7" borderId="37" xfId="0" applyFont="1" applyFill="1" applyBorder="1" applyAlignment="1">
      <alignment horizontal="center" vertical="center"/>
    </xf>
    <xf numFmtId="0" fontId="5" fillId="7" borderId="79" xfId="0" applyFont="1" applyFill="1" applyBorder="1" applyAlignment="1">
      <alignment horizontal="center" vertical="center"/>
    </xf>
    <xf numFmtId="0" fontId="25" fillId="2" borderId="2" xfId="0" applyFont="1" applyFill="1" applyBorder="1" applyAlignment="1">
      <alignment horizontal="center" vertical="center"/>
    </xf>
    <xf numFmtId="0" fontId="25" fillId="2" borderId="3" xfId="0" applyFont="1" applyFill="1" applyBorder="1" applyAlignment="1">
      <alignment horizontal="center" vertical="center"/>
    </xf>
    <xf numFmtId="0" fontId="25" fillId="2" borderId="37" xfId="0" applyFont="1" applyFill="1" applyBorder="1" applyAlignment="1">
      <alignment horizontal="center" vertical="center"/>
    </xf>
    <xf numFmtId="0" fontId="25" fillId="2" borderId="31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5" fillId="2" borderId="39" xfId="0" applyFont="1" applyFill="1" applyBorder="1" applyAlignment="1">
      <alignment horizontal="center" vertical="center"/>
    </xf>
    <xf numFmtId="17" fontId="26" fillId="2" borderId="2" xfId="0" applyNumberFormat="1" applyFont="1" applyFill="1" applyBorder="1" applyAlignment="1">
      <alignment horizontal="center" vertical="center"/>
    </xf>
    <xf numFmtId="0" fontId="26" fillId="2" borderId="3" xfId="0" applyFont="1" applyFill="1" applyBorder="1" applyAlignment="1">
      <alignment horizontal="center" vertical="center"/>
    </xf>
    <xf numFmtId="0" fontId="26" fillId="2" borderId="37" xfId="0" applyFont="1" applyFill="1" applyBorder="1" applyAlignment="1">
      <alignment horizontal="center" vertical="center"/>
    </xf>
    <xf numFmtId="0" fontId="26" fillId="2" borderId="31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6" fillId="2" borderId="39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47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2" borderId="13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4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37" xfId="0" applyFont="1" applyBorder="1" applyAlignment="1">
      <alignment horizontal="center"/>
    </xf>
    <xf numFmtId="0" fontId="5" fillId="2" borderId="31" xfId="0" applyFont="1" applyFill="1" applyBorder="1" applyAlignment="1">
      <alignment horizontal="center" vertical="center"/>
    </xf>
    <xf numFmtId="0" fontId="5" fillId="2" borderId="39" xfId="0" applyFont="1" applyFill="1" applyBorder="1" applyAlignment="1">
      <alignment horizontal="center" vertical="center"/>
    </xf>
    <xf numFmtId="0" fontId="5" fillId="7" borderId="68" xfId="0" applyFont="1" applyFill="1" applyBorder="1" applyAlignment="1">
      <alignment horizontal="center" vertical="center"/>
    </xf>
    <xf numFmtId="0" fontId="5" fillId="7" borderId="22" xfId="0" applyFont="1" applyFill="1" applyBorder="1" applyAlignment="1">
      <alignment horizontal="center" vertical="center"/>
    </xf>
    <xf numFmtId="0" fontId="5" fillId="7" borderId="36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37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37" xfId="0" applyFont="1" applyBorder="1" applyAlignment="1">
      <alignment horizontal="center" vertical="center"/>
    </xf>
    <xf numFmtId="0" fontId="23" fillId="0" borderId="31" xfId="0" applyFont="1" applyBorder="1" applyAlignment="1">
      <alignment horizontal="center" vertical="center"/>
    </xf>
    <xf numFmtId="0" fontId="23" fillId="0" borderId="33" xfId="0" applyFont="1" applyBorder="1" applyAlignment="1">
      <alignment horizontal="center" vertical="center"/>
    </xf>
    <xf numFmtId="0" fontId="23" fillId="0" borderId="39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37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37" xfId="0" applyFont="1" applyFill="1" applyBorder="1" applyAlignment="1">
      <alignment horizontal="center"/>
    </xf>
    <xf numFmtId="1" fontId="23" fillId="0" borderId="2" xfId="0" applyNumberFormat="1" applyFont="1" applyBorder="1" applyAlignment="1">
      <alignment horizontal="center" vertical="center"/>
    </xf>
    <xf numFmtId="1" fontId="23" fillId="0" borderId="3" xfId="0" applyNumberFormat="1" applyFont="1" applyBorder="1" applyAlignment="1">
      <alignment horizontal="center" vertical="center"/>
    </xf>
    <xf numFmtId="1" fontId="23" fillId="0" borderId="37" xfId="0" applyNumberFormat="1" applyFont="1" applyBorder="1" applyAlignment="1">
      <alignment horizontal="center" vertical="center"/>
    </xf>
    <xf numFmtId="1" fontId="23" fillId="0" borderId="31" xfId="0" applyNumberFormat="1" applyFont="1" applyBorder="1" applyAlignment="1">
      <alignment horizontal="center" vertical="center"/>
    </xf>
    <xf numFmtId="1" fontId="23" fillId="0" borderId="33" xfId="0" applyNumberFormat="1" applyFont="1" applyBorder="1" applyAlignment="1">
      <alignment horizontal="center" vertical="center"/>
    </xf>
    <xf numFmtId="1" fontId="23" fillId="0" borderId="39" xfId="0" applyNumberFormat="1" applyFont="1" applyBorder="1" applyAlignment="1">
      <alignment horizontal="center" vertical="center"/>
    </xf>
    <xf numFmtId="0" fontId="20" fillId="0" borderId="6" xfId="0" applyFont="1" applyBorder="1" applyAlignment="1">
      <alignment horizontal="center"/>
    </xf>
    <xf numFmtId="0" fontId="20" fillId="0" borderId="47" xfId="0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22" fillId="2" borderId="6" xfId="0" applyFont="1" applyFill="1" applyBorder="1" applyAlignment="1">
      <alignment horizontal="center" vertical="center" wrapText="1"/>
    </xf>
    <xf numFmtId="0" fontId="22" fillId="2" borderId="47" xfId="0" applyFont="1" applyFill="1" applyBorder="1" applyAlignment="1">
      <alignment horizontal="center" vertical="center" wrapText="1"/>
    </xf>
    <xf numFmtId="0" fontId="22" fillId="2" borderId="7" xfId="0" applyFont="1" applyFill="1" applyBorder="1" applyAlignment="1">
      <alignment horizontal="center" vertical="center" wrapText="1"/>
    </xf>
    <xf numFmtId="0" fontId="5" fillId="2" borderId="38" xfId="0" applyFont="1" applyFill="1" applyBorder="1" applyAlignment="1">
      <alignment horizontal="center" vertical="center"/>
    </xf>
    <xf numFmtId="0" fontId="0" fillId="0" borderId="31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7" xfId="0" applyBorder="1" applyAlignment="1">
      <alignment horizontal="center"/>
    </xf>
    <xf numFmtId="0" fontId="21" fillId="2" borderId="6" xfId="0" applyFont="1" applyFill="1" applyBorder="1" applyAlignment="1">
      <alignment horizontal="center"/>
    </xf>
    <xf numFmtId="0" fontId="21" fillId="2" borderId="47" xfId="0" applyFont="1" applyFill="1" applyBorder="1" applyAlignment="1">
      <alignment horizontal="center"/>
    </xf>
    <xf numFmtId="0" fontId="21" fillId="2" borderId="7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textRotation="90"/>
    </xf>
    <xf numFmtId="0" fontId="5" fillId="2" borderId="8" xfId="0" applyFont="1" applyFill="1" applyBorder="1" applyAlignment="1">
      <alignment horizontal="center" textRotation="90"/>
    </xf>
    <xf numFmtId="0" fontId="22" fillId="2" borderId="14" xfId="0" applyFont="1" applyFill="1" applyBorder="1" applyAlignment="1">
      <alignment horizontal="center" vertical="center" wrapText="1"/>
    </xf>
    <xf numFmtId="0" fontId="22" fillId="2" borderId="35" xfId="0" applyFont="1" applyFill="1" applyBorder="1" applyAlignment="1">
      <alignment horizontal="center" vertical="center" wrapText="1"/>
    </xf>
    <xf numFmtId="0" fontId="22" fillId="2" borderId="15" xfId="0" applyFont="1" applyFill="1" applyBorder="1" applyAlignment="1">
      <alignment horizontal="center" vertical="center" wrapText="1"/>
    </xf>
    <xf numFmtId="0" fontId="22" fillId="2" borderId="59" xfId="0" applyFont="1" applyFill="1" applyBorder="1" applyAlignment="1">
      <alignment horizontal="center" vertical="center" wrapText="1"/>
    </xf>
    <xf numFmtId="0" fontId="22" fillId="2" borderId="49" xfId="0" applyFont="1" applyFill="1" applyBorder="1" applyAlignment="1">
      <alignment horizontal="center" vertical="center" wrapText="1"/>
    </xf>
    <xf numFmtId="0" fontId="22" fillId="2" borderId="54" xfId="0" applyFont="1" applyFill="1" applyBorder="1" applyAlignment="1">
      <alignment horizontal="center" vertical="center" wrapText="1"/>
    </xf>
    <xf numFmtId="0" fontId="22" fillId="2" borderId="52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18" fillId="2" borderId="47" xfId="0" applyFont="1" applyFill="1" applyBorder="1" applyAlignment="1">
      <alignment horizontal="center" vertical="center" wrapText="1"/>
    </xf>
    <xf numFmtId="0" fontId="18" fillId="2" borderId="7" xfId="0" applyFont="1" applyFill="1" applyBorder="1" applyAlignment="1">
      <alignment horizontal="center" vertical="center" wrapText="1"/>
    </xf>
    <xf numFmtId="0" fontId="22" fillId="2" borderId="48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textRotation="90"/>
    </xf>
    <xf numFmtId="0" fontId="5" fillId="2" borderId="31" xfId="0" applyFont="1" applyFill="1" applyBorder="1" applyAlignment="1">
      <alignment horizontal="center" textRotation="90"/>
    </xf>
    <xf numFmtId="0" fontId="5" fillId="2" borderId="1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37" xfId="0" applyFont="1" applyFill="1" applyBorder="1" applyAlignment="1">
      <alignment horizontal="center" vertical="center" wrapText="1"/>
    </xf>
    <xf numFmtId="0" fontId="5" fillId="2" borderId="38" xfId="0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/>
    </xf>
    <xf numFmtId="0" fontId="1" fillId="7" borderId="47" xfId="0" applyFont="1" applyFill="1" applyBorder="1" applyAlignment="1">
      <alignment horizontal="center"/>
    </xf>
    <xf numFmtId="0" fontId="1" fillId="7" borderId="7" xfId="0" applyFont="1" applyFill="1" applyBorder="1" applyAlignment="1">
      <alignment horizontal="center"/>
    </xf>
    <xf numFmtId="3" fontId="17" fillId="0" borderId="6" xfId="0" applyNumberFormat="1" applyFont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center"/>
    </xf>
    <xf numFmtId="3" fontId="17" fillId="0" borderId="7" xfId="0" applyNumberFormat="1" applyFont="1" applyBorder="1" applyAlignment="1">
      <alignment horizontal="center" vertical="center"/>
    </xf>
    <xf numFmtId="1" fontId="7" fillId="0" borderId="6" xfId="0" applyNumberFormat="1" applyFont="1" applyBorder="1" applyAlignment="1">
      <alignment horizontal="center" vertical="center"/>
    </xf>
    <xf numFmtId="1" fontId="7" fillId="0" borderId="47" xfId="0" applyNumberFormat="1" applyFont="1" applyBorder="1" applyAlignment="1">
      <alignment horizontal="center" vertical="center"/>
    </xf>
    <xf numFmtId="1" fontId="7" fillId="0" borderId="7" xfId="0" applyNumberFormat="1" applyFont="1" applyBorder="1" applyAlignment="1">
      <alignment horizontal="center" vertical="center"/>
    </xf>
    <xf numFmtId="3" fontId="14" fillId="0" borderId="2" xfId="2" applyNumberFormat="1" applyFont="1" applyFill="1" applyBorder="1" applyAlignment="1">
      <alignment horizontal="center" vertical="center" wrapText="1"/>
    </xf>
    <xf numFmtId="3" fontId="14" fillId="0" borderId="3" xfId="2" applyNumberFormat="1" applyFont="1" applyFill="1" applyBorder="1" applyAlignment="1">
      <alignment horizontal="center" vertical="center" wrapText="1"/>
    </xf>
    <xf numFmtId="3" fontId="14" fillId="0" borderId="37" xfId="2" applyNumberFormat="1" applyFont="1" applyFill="1" applyBorder="1" applyAlignment="1">
      <alignment horizontal="center" vertical="center" wrapText="1"/>
    </xf>
    <xf numFmtId="3" fontId="14" fillId="0" borderId="31" xfId="2" applyNumberFormat="1" applyFont="1" applyFill="1" applyBorder="1" applyAlignment="1">
      <alignment horizontal="center" vertical="center" wrapText="1"/>
    </xf>
    <xf numFmtId="3" fontId="14" fillId="0" borderId="33" xfId="2" applyNumberFormat="1" applyFont="1" applyFill="1" applyBorder="1" applyAlignment="1">
      <alignment horizontal="center" vertical="center" wrapText="1"/>
    </xf>
    <xf numFmtId="3" fontId="14" fillId="0" borderId="39" xfId="2" applyNumberFormat="1" applyFont="1" applyFill="1" applyBorder="1" applyAlignment="1">
      <alignment horizontal="center" vertical="center" wrapText="1"/>
    </xf>
    <xf numFmtId="3" fontId="17" fillId="2" borderId="69" xfId="2" applyNumberFormat="1" applyFont="1" applyFill="1" applyBorder="1" applyAlignment="1">
      <alignment horizontal="center" vertical="center"/>
    </xf>
    <xf numFmtId="3" fontId="17" fillId="2" borderId="47" xfId="2" applyNumberFormat="1" applyFont="1" applyFill="1" applyBorder="1" applyAlignment="1">
      <alignment horizontal="center" vertical="center"/>
    </xf>
    <xf numFmtId="3" fontId="17" fillId="2" borderId="7" xfId="2" applyNumberFormat="1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/>
    </xf>
    <xf numFmtId="3" fontId="7" fillId="0" borderId="2" xfId="0" applyNumberFormat="1" applyFont="1" applyBorder="1" applyAlignment="1">
      <alignment horizontal="center" vertical="center"/>
    </xf>
    <xf numFmtId="3" fontId="7" fillId="0" borderId="3" xfId="0" applyNumberFormat="1" applyFont="1" applyBorder="1" applyAlignment="1">
      <alignment horizontal="center" vertical="center"/>
    </xf>
    <xf numFmtId="3" fontId="7" fillId="0" borderId="37" xfId="0" applyNumberFormat="1" applyFont="1" applyBorder="1" applyAlignment="1">
      <alignment horizontal="center" vertical="center"/>
    </xf>
    <xf numFmtId="3" fontId="7" fillId="0" borderId="31" xfId="0" applyNumberFormat="1" applyFont="1" applyBorder="1" applyAlignment="1">
      <alignment horizontal="center" vertical="center"/>
    </xf>
    <xf numFmtId="3" fontId="7" fillId="0" borderId="33" xfId="0" applyNumberFormat="1" applyFont="1" applyBorder="1" applyAlignment="1">
      <alignment horizontal="center" vertical="center"/>
    </xf>
    <xf numFmtId="3" fontId="7" fillId="0" borderId="39" xfId="0" applyNumberFormat="1" applyFont="1" applyBorder="1" applyAlignment="1">
      <alignment horizontal="center" vertical="center"/>
    </xf>
    <xf numFmtId="10" fontId="7" fillId="0" borderId="2" xfId="1" applyNumberFormat="1" applyFont="1" applyFill="1" applyBorder="1" applyAlignment="1">
      <alignment horizontal="center" vertical="center"/>
    </xf>
    <xf numFmtId="10" fontId="7" fillId="0" borderId="3" xfId="1" applyNumberFormat="1" applyFont="1" applyFill="1" applyBorder="1" applyAlignment="1">
      <alignment horizontal="center" vertical="center"/>
    </xf>
    <xf numFmtId="10" fontId="7" fillId="0" borderId="37" xfId="1" applyNumberFormat="1" applyFont="1" applyFill="1" applyBorder="1" applyAlignment="1">
      <alignment horizontal="center" vertical="center"/>
    </xf>
    <xf numFmtId="10" fontId="7" fillId="0" borderId="31" xfId="1" applyNumberFormat="1" applyFont="1" applyFill="1" applyBorder="1" applyAlignment="1">
      <alignment horizontal="center" vertical="center"/>
    </xf>
    <xf numFmtId="10" fontId="7" fillId="0" borderId="33" xfId="1" applyNumberFormat="1" applyFont="1" applyFill="1" applyBorder="1" applyAlignment="1">
      <alignment horizontal="center" vertical="center"/>
    </xf>
    <xf numFmtId="10" fontId="7" fillId="0" borderId="39" xfId="1" applyNumberFormat="1" applyFont="1" applyFill="1" applyBorder="1" applyAlignment="1">
      <alignment horizontal="center" vertical="center"/>
    </xf>
    <xf numFmtId="3" fontId="17" fillId="0" borderId="2" xfId="2" applyNumberFormat="1" applyFont="1" applyFill="1" applyBorder="1" applyAlignment="1">
      <alignment horizontal="center" vertical="center"/>
    </xf>
    <xf numFmtId="3" fontId="17" fillId="0" borderId="3" xfId="2" applyNumberFormat="1" applyFont="1" applyFill="1" applyBorder="1" applyAlignment="1">
      <alignment horizontal="center" vertical="center"/>
    </xf>
    <xf numFmtId="3" fontId="17" fillId="0" borderId="37" xfId="2" applyNumberFormat="1" applyFont="1" applyFill="1" applyBorder="1" applyAlignment="1">
      <alignment horizontal="center" vertical="center"/>
    </xf>
    <xf numFmtId="3" fontId="17" fillId="0" borderId="31" xfId="2" applyNumberFormat="1" applyFont="1" applyFill="1" applyBorder="1" applyAlignment="1">
      <alignment horizontal="center" vertical="center"/>
    </xf>
    <xf numFmtId="3" fontId="17" fillId="0" borderId="33" xfId="2" applyNumberFormat="1" applyFont="1" applyFill="1" applyBorder="1" applyAlignment="1">
      <alignment horizontal="center" vertical="center"/>
    </xf>
    <xf numFmtId="3" fontId="17" fillId="0" borderId="39" xfId="2" applyNumberFormat="1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19" fillId="0" borderId="33" xfId="0" applyFont="1" applyBorder="1" applyAlignment="1">
      <alignment horizontal="center" vertical="center"/>
    </xf>
    <xf numFmtId="0" fontId="19" fillId="0" borderId="39" xfId="0" applyFont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 wrapText="1"/>
    </xf>
    <xf numFmtId="0" fontId="9" fillId="2" borderId="4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2" borderId="59" xfId="0" applyFont="1" applyFill="1" applyBorder="1" applyAlignment="1">
      <alignment horizontal="center" vertical="center" wrapText="1"/>
    </xf>
    <xf numFmtId="0" fontId="5" fillId="2" borderId="54" xfId="0" applyFont="1" applyFill="1" applyBorder="1" applyAlignment="1">
      <alignment horizontal="center" vertical="center" wrapText="1"/>
    </xf>
    <xf numFmtId="0" fontId="5" fillId="2" borderId="48" xfId="0" applyFont="1" applyFill="1" applyBorder="1" applyAlignment="1">
      <alignment horizontal="center" vertical="center" wrapText="1"/>
    </xf>
    <xf numFmtId="0" fontId="5" fillId="2" borderId="52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47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textRotation="90"/>
    </xf>
    <xf numFmtId="0" fontId="5" fillId="2" borderId="31" xfId="0" applyFont="1" applyFill="1" applyBorder="1" applyAlignment="1">
      <alignment horizontal="center" vertical="center" textRotation="90"/>
    </xf>
    <xf numFmtId="0" fontId="5" fillId="2" borderId="8" xfId="0" applyFont="1" applyFill="1" applyBorder="1" applyAlignment="1">
      <alignment horizontal="center" vertical="center" textRotation="90"/>
    </xf>
    <xf numFmtId="3" fontId="13" fillId="2" borderId="6" xfId="0" applyNumberFormat="1" applyFont="1" applyFill="1" applyBorder="1" applyAlignment="1">
      <alignment horizontal="center" vertical="center"/>
    </xf>
    <xf numFmtId="3" fontId="13" fillId="2" borderId="47" xfId="0" applyNumberFormat="1" applyFont="1" applyFill="1" applyBorder="1" applyAlignment="1">
      <alignment horizontal="center" vertical="center"/>
    </xf>
    <xf numFmtId="3" fontId="13" fillId="2" borderId="7" xfId="0" applyNumberFormat="1" applyFont="1" applyFill="1" applyBorder="1" applyAlignment="1">
      <alignment horizontal="center" vertical="center"/>
    </xf>
    <xf numFmtId="3" fontId="17" fillId="2" borderId="48" xfId="2" applyNumberFormat="1" applyFont="1" applyFill="1" applyBorder="1" applyAlignment="1">
      <alignment horizontal="center" vertical="center" wrapText="1"/>
    </xf>
    <xf numFmtId="3" fontId="17" fillId="2" borderId="52" xfId="2" applyNumberFormat="1" applyFont="1" applyFill="1" applyBorder="1" applyAlignment="1">
      <alignment horizontal="center" vertical="center" wrapText="1"/>
    </xf>
    <xf numFmtId="3" fontId="16" fillId="2" borderId="6" xfId="0" applyNumberFormat="1" applyFont="1" applyFill="1" applyBorder="1" applyAlignment="1">
      <alignment horizontal="center" vertical="center"/>
    </xf>
    <xf numFmtId="3" fontId="16" fillId="2" borderId="47" xfId="0" applyNumberFormat="1" applyFont="1" applyFill="1" applyBorder="1" applyAlignment="1">
      <alignment horizontal="center" vertical="center"/>
    </xf>
    <xf numFmtId="3" fontId="14" fillId="2" borderId="40" xfId="0" applyNumberFormat="1" applyFont="1" applyFill="1" applyBorder="1" applyAlignment="1">
      <alignment horizontal="center" vertical="center"/>
    </xf>
    <xf numFmtId="0" fontId="0" fillId="2" borderId="44" xfId="0" applyFill="1" applyBorder="1"/>
    <xf numFmtId="3" fontId="14" fillId="2" borderId="9" xfId="2" applyNumberFormat="1" applyFont="1" applyFill="1" applyBorder="1" applyAlignment="1">
      <alignment horizontal="center" vertical="center"/>
    </xf>
    <xf numFmtId="3" fontId="14" fillId="2" borderId="32" xfId="2" applyNumberFormat="1" applyFont="1" applyFill="1" applyBorder="1" applyAlignment="1">
      <alignment horizontal="center" vertical="center"/>
    </xf>
    <xf numFmtId="3" fontId="15" fillId="2" borderId="56" xfId="2" applyNumberFormat="1" applyFont="1" applyFill="1" applyBorder="1" applyAlignment="1">
      <alignment horizontal="center" vertical="center"/>
    </xf>
    <xf numFmtId="3" fontId="15" fillId="2" borderId="64" xfId="2" applyNumberFormat="1" applyFont="1" applyFill="1" applyBorder="1" applyAlignment="1">
      <alignment horizontal="center" vertical="center"/>
    </xf>
    <xf numFmtId="0" fontId="18" fillId="2" borderId="46" xfId="0" applyFont="1" applyFill="1" applyBorder="1" applyAlignment="1">
      <alignment horizontal="center"/>
    </xf>
    <xf numFmtId="10" fontId="15" fillId="2" borderId="58" xfId="1" applyNumberFormat="1" applyFont="1" applyFill="1" applyBorder="1" applyAlignment="1">
      <alignment horizontal="center" vertical="center"/>
    </xf>
    <xf numFmtId="10" fontId="15" fillId="2" borderId="25" xfId="1" applyNumberFormat="1" applyFont="1" applyFill="1" applyBorder="1" applyAlignment="1">
      <alignment horizontal="center" vertical="center"/>
    </xf>
    <xf numFmtId="3" fontId="15" fillId="2" borderId="36" xfId="2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textRotation="45"/>
    </xf>
    <xf numFmtId="0" fontId="1" fillId="2" borderId="4" xfId="0" applyFont="1" applyFill="1" applyBorder="1" applyAlignment="1">
      <alignment horizontal="center" vertical="center" textRotation="45"/>
    </xf>
    <xf numFmtId="0" fontId="1" fillId="2" borderId="8" xfId="0" applyFont="1" applyFill="1" applyBorder="1" applyAlignment="1">
      <alignment horizontal="center" vertical="center" textRotation="45"/>
    </xf>
    <xf numFmtId="0" fontId="12" fillId="2" borderId="6" xfId="0" applyFont="1" applyFill="1" applyBorder="1" applyAlignment="1">
      <alignment horizontal="center" vertical="center"/>
    </xf>
    <xf numFmtId="0" fontId="12" fillId="2" borderId="47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textRotation="45"/>
    </xf>
    <xf numFmtId="0" fontId="6" fillId="2" borderId="4" xfId="0" applyFont="1" applyFill="1" applyBorder="1" applyAlignment="1">
      <alignment horizontal="center" vertical="center" textRotation="45"/>
    </xf>
    <xf numFmtId="0" fontId="6" fillId="2" borderId="8" xfId="0" applyFont="1" applyFill="1" applyBorder="1" applyAlignment="1">
      <alignment horizontal="center" vertical="center" textRotation="45"/>
    </xf>
    <xf numFmtId="0" fontId="5" fillId="2" borderId="1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47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9" fillId="2" borderId="37" xfId="0" applyFont="1" applyFill="1" applyBorder="1" applyAlignment="1">
      <alignment horizontal="center" vertical="center"/>
    </xf>
    <xf numFmtId="0" fontId="9" fillId="2" borderId="39" xfId="0" applyFont="1" applyFill="1" applyBorder="1" applyAlignment="1">
      <alignment horizontal="center" vertical="center"/>
    </xf>
    <xf numFmtId="15" fontId="2" fillId="2" borderId="2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37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2" fillId="2" borderId="39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/>
    </xf>
    <xf numFmtId="0" fontId="1" fillId="2" borderId="47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37" xfId="0" applyFont="1" applyFill="1" applyBorder="1" applyAlignment="1">
      <alignment horizontal="center" vertical="center"/>
    </xf>
    <xf numFmtId="0" fontId="11" fillId="2" borderId="31" xfId="0" applyFont="1" applyFill="1" applyBorder="1" applyAlignment="1">
      <alignment horizontal="center" vertical="center"/>
    </xf>
    <xf numFmtId="0" fontId="11" fillId="2" borderId="33" xfId="0" applyFont="1" applyFill="1" applyBorder="1" applyAlignment="1">
      <alignment horizontal="center" vertical="center"/>
    </xf>
    <xf numFmtId="0" fontId="11" fillId="2" borderId="39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7" fillId="2" borderId="1" xfId="0" applyFont="1" applyFill="1" applyBorder="1" applyAlignment="1">
      <alignment horizontal="center" textRotation="45"/>
    </xf>
    <xf numFmtId="0" fontId="7" fillId="2" borderId="4" xfId="0" applyFont="1" applyFill="1" applyBorder="1" applyAlignment="1">
      <alignment horizontal="center" textRotation="45"/>
    </xf>
    <xf numFmtId="0" fontId="7" fillId="2" borderId="8" xfId="0" applyFont="1" applyFill="1" applyBorder="1" applyAlignment="1">
      <alignment horizontal="center" textRotation="45"/>
    </xf>
    <xf numFmtId="3" fontId="9" fillId="2" borderId="1" xfId="0" applyNumberFormat="1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1" fontId="9" fillId="2" borderId="1" xfId="0" applyNumberFormat="1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47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37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15" fontId="2" fillId="2" borderId="5" xfId="0" applyNumberFormat="1" applyFont="1" applyFill="1" applyBorder="1" applyAlignment="1">
      <alignment horizontal="center" vertical="center"/>
    </xf>
    <xf numFmtId="15" fontId="2" fillId="2" borderId="0" xfId="0" applyNumberFormat="1" applyFont="1" applyFill="1" applyBorder="1" applyAlignment="1">
      <alignment horizontal="center" vertical="center"/>
    </xf>
    <xf numFmtId="15" fontId="2" fillId="2" borderId="38" xfId="0" applyNumberFormat="1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 textRotation="45"/>
    </xf>
    <xf numFmtId="0" fontId="6" fillId="2" borderId="7" xfId="0" applyFont="1" applyFill="1" applyBorder="1" applyAlignment="1">
      <alignment horizontal="center" vertical="center" textRotation="45"/>
    </xf>
    <xf numFmtId="0" fontId="5" fillId="2" borderId="70" xfId="0" applyFont="1" applyFill="1" applyBorder="1" applyAlignment="1">
      <alignment horizontal="center" vertical="center"/>
    </xf>
  </cellXfs>
  <cellStyles count="3">
    <cellStyle name="Neutre" xfId="2" builtinId="28"/>
    <cellStyle name="Normal" xfId="0" builtinId="0"/>
    <cellStyle name="Pourcentag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11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G182"/>
  <sheetViews>
    <sheetView topLeftCell="FF1" zoomScale="77" zoomScaleNormal="77" workbookViewId="0">
      <selection activeCell="HC2" sqref="HC2"/>
    </sheetView>
  </sheetViews>
  <sheetFormatPr baseColWidth="10" defaultColWidth="11.42578125" defaultRowHeight="15"/>
  <cols>
    <col min="1" max="1" width="5.85546875" style="216" customWidth="1"/>
    <col min="2" max="2" width="9.28515625" style="216" customWidth="1"/>
    <col min="3" max="3" width="6.28515625" style="216" customWidth="1"/>
    <col min="4" max="4" width="6" style="216" customWidth="1"/>
    <col min="5" max="5" width="9.28515625" customWidth="1"/>
    <col min="6" max="7" width="7.85546875" customWidth="1"/>
    <col min="8" max="8" width="9.28515625" customWidth="1"/>
    <col min="9" max="10" width="6" customWidth="1"/>
    <col min="11" max="11" width="9.28515625" customWidth="1"/>
    <col min="12" max="12" width="6" customWidth="1"/>
    <col min="13" max="13" width="6.42578125" customWidth="1"/>
    <col min="14" max="14" width="9.28515625" customWidth="1"/>
    <col min="15" max="15" width="6" customWidth="1"/>
    <col min="16" max="16" width="7.85546875" customWidth="1"/>
    <col min="17" max="17" width="6.42578125" customWidth="1"/>
    <col min="18" max="18" width="7.85546875" customWidth="1"/>
    <col min="19" max="19" width="6" customWidth="1"/>
    <col min="20" max="20" width="7.85546875" customWidth="1"/>
    <col min="21" max="21" width="6.42578125" customWidth="1"/>
    <col min="22" max="23" width="5.85546875" customWidth="1"/>
    <col min="24" max="25" width="5.7109375" customWidth="1"/>
    <col min="26" max="26" width="6.28515625" customWidth="1"/>
    <col min="27" max="28" width="5.7109375" customWidth="1"/>
    <col min="29" max="29" width="6" customWidth="1"/>
    <col min="30" max="30" width="6.140625" customWidth="1"/>
    <col min="31" max="31" width="5.5703125" customWidth="1"/>
    <col min="32" max="32" width="5.7109375" customWidth="1"/>
    <col min="33" max="34" width="5.5703125" customWidth="1"/>
    <col min="35" max="35" width="6.85546875" customWidth="1"/>
    <col min="36" max="37" width="5.5703125" customWidth="1"/>
    <col min="38" max="38" width="5.85546875" customWidth="1"/>
    <col min="39" max="40" width="5.5703125" customWidth="1"/>
    <col min="41" max="41" width="6.140625" customWidth="1"/>
    <col min="42" max="43" width="5.5703125" customWidth="1"/>
    <col min="44" max="44" width="5.85546875" customWidth="1"/>
    <col min="45" max="45" width="5.5703125" customWidth="1"/>
    <col min="46" max="48" width="5.85546875" customWidth="1"/>
    <col min="49" max="49" width="5.5703125" customWidth="1"/>
    <col min="50" max="50" width="5.85546875" customWidth="1"/>
    <col min="51" max="52" width="5.5703125" customWidth="1"/>
    <col min="53" max="53" width="6" customWidth="1"/>
    <col min="54" max="55" width="5.5703125" customWidth="1"/>
    <col min="56" max="56" width="8" customWidth="1"/>
    <col min="57" max="57" width="5.7109375" customWidth="1"/>
    <col min="58" max="58" width="5.5703125" customWidth="1"/>
    <col min="59" max="60" width="5.85546875" customWidth="1"/>
    <col min="61" max="61" width="5.5703125" customWidth="1"/>
    <col min="62" max="62" width="5.85546875" customWidth="1"/>
    <col min="63" max="63" width="5.7109375" customWidth="1"/>
    <col min="64" max="64" width="6" customWidth="1"/>
    <col min="65" max="65" width="5.85546875" customWidth="1"/>
    <col min="66" max="67" width="5.5703125" customWidth="1"/>
    <col min="68" max="69" width="5.85546875" customWidth="1"/>
    <col min="70" max="70" width="5.5703125" customWidth="1"/>
    <col min="71" max="71" width="9.28515625" customWidth="1"/>
    <col min="72" max="72" width="5.5703125" customWidth="1"/>
    <col min="73" max="73" width="5.7109375" customWidth="1"/>
    <col min="74" max="74" width="5.85546875" customWidth="1"/>
    <col min="75" max="76" width="5.5703125" customWidth="1"/>
    <col min="77" max="77" width="7" customWidth="1"/>
    <col min="78" max="78" width="5.5703125" customWidth="1"/>
    <col min="79" max="79" width="5.85546875" customWidth="1"/>
    <col min="80" max="80" width="5.7109375" customWidth="1"/>
    <col min="81" max="82" width="5.5703125" customWidth="1"/>
    <col min="83" max="83" width="6" customWidth="1"/>
    <col min="84" max="84" width="5.85546875" customWidth="1"/>
    <col min="85" max="85" width="5.5703125" customWidth="1"/>
    <col min="86" max="95" width="5.85546875" customWidth="1"/>
    <col min="96" max="97" width="5.5703125" customWidth="1"/>
    <col min="98" max="98" width="5.85546875" customWidth="1"/>
    <col min="99" max="100" width="5.5703125" customWidth="1"/>
    <col min="101" max="101" width="5.85546875" customWidth="1"/>
    <col min="102" max="103" width="5.5703125" customWidth="1"/>
    <col min="104" max="104" width="5.85546875" customWidth="1"/>
    <col min="105" max="106" width="5.5703125" customWidth="1"/>
    <col min="107" max="107" width="9.28515625" style="216" customWidth="1"/>
    <col min="108" max="108" width="6.28515625" style="216" customWidth="1"/>
    <col min="109" max="109" width="6" style="216" customWidth="1"/>
    <col min="110" max="110" width="9.28515625" customWidth="1"/>
    <col min="111" max="112" width="7.85546875" customWidth="1"/>
    <col min="113" max="113" width="9.28515625" customWidth="1"/>
    <col min="114" max="115" width="6" customWidth="1"/>
    <col min="116" max="116" width="9.28515625" customWidth="1"/>
    <col min="117" max="117" width="6" customWidth="1"/>
    <col min="118" max="118" width="6.42578125" customWidth="1"/>
    <col min="119" max="119" width="9.28515625" customWidth="1"/>
    <col min="120" max="120" width="6" customWidth="1"/>
    <col min="121" max="121" width="7.85546875" customWidth="1"/>
    <col min="122" max="122" width="6.42578125" customWidth="1"/>
    <col min="123" max="123" width="7.85546875" customWidth="1"/>
    <col min="124" max="124" width="6" customWidth="1"/>
    <col min="125" max="125" width="7.85546875" customWidth="1"/>
    <col min="126" max="126" width="6.42578125" customWidth="1"/>
    <col min="127" max="128" width="5.85546875" customWidth="1"/>
    <col min="129" max="130" width="5.7109375" customWidth="1"/>
    <col min="131" max="131" width="6.28515625" customWidth="1"/>
    <col min="132" max="133" width="5.7109375" customWidth="1"/>
    <col min="134" max="134" width="6" customWidth="1"/>
    <col min="135" max="135" width="6.140625" customWidth="1"/>
    <col min="136" max="136" width="5.5703125" customWidth="1"/>
    <col min="137" max="137" width="5.7109375" customWidth="1"/>
    <col min="138" max="139" width="5.5703125" customWidth="1"/>
    <col min="140" max="140" width="6.85546875" customWidth="1"/>
    <col min="141" max="142" width="5.5703125" customWidth="1"/>
    <col min="143" max="143" width="5.85546875" customWidth="1"/>
    <col min="144" max="145" width="5.5703125" customWidth="1"/>
    <col min="146" max="146" width="6.140625" customWidth="1"/>
    <col min="147" max="148" width="5.5703125" customWidth="1"/>
    <col min="149" max="149" width="5.85546875" customWidth="1"/>
    <col min="150" max="150" width="5.5703125" customWidth="1"/>
    <col min="151" max="153" width="5.85546875" customWidth="1"/>
    <col min="154" max="154" width="5.5703125" customWidth="1"/>
    <col min="155" max="155" width="5.85546875" customWidth="1"/>
    <col min="156" max="157" width="5.5703125" customWidth="1"/>
    <col min="158" max="158" width="6" customWidth="1"/>
    <col min="159" max="160" width="5.5703125" customWidth="1"/>
    <col min="161" max="161" width="8" customWidth="1"/>
    <col min="162" max="162" width="5.7109375" customWidth="1"/>
    <col min="163" max="163" width="5.5703125" customWidth="1"/>
    <col min="164" max="165" width="5.85546875" customWidth="1"/>
    <col min="166" max="166" width="5.5703125" customWidth="1"/>
    <col min="167" max="167" width="5.85546875" customWidth="1"/>
    <col min="168" max="168" width="5.7109375" customWidth="1"/>
    <col min="169" max="169" width="6" customWidth="1"/>
    <col min="170" max="170" width="5.85546875" customWidth="1"/>
    <col min="171" max="172" width="5.5703125" customWidth="1"/>
    <col min="173" max="174" width="5.85546875" customWidth="1"/>
    <col min="175" max="175" width="5.5703125" customWidth="1"/>
    <col min="176" max="176" width="9.28515625" customWidth="1"/>
    <col min="177" max="177" width="5.5703125" customWidth="1"/>
    <col min="178" max="178" width="5.7109375" customWidth="1"/>
    <col min="179" max="179" width="5.85546875" customWidth="1"/>
    <col min="180" max="181" width="5.5703125" customWidth="1"/>
    <col min="182" max="182" width="7" customWidth="1"/>
    <col min="183" max="183" width="5.5703125" customWidth="1"/>
    <col min="184" max="184" width="5.85546875" customWidth="1"/>
    <col min="185" max="185" width="5.7109375" customWidth="1"/>
    <col min="186" max="187" width="5.5703125" customWidth="1"/>
    <col min="188" max="188" width="6" customWidth="1"/>
    <col min="189" max="189" width="5.85546875" customWidth="1"/>
    <col min="190" max="190" width="5.5703125" customWidth="1"/>
    <col min="191" max="200" width="5.85546875" customWidth="1"/>
    <col min="201" max="202" width="5.5703125" customWidth="1"/>
    <col min="203" max="203" width="5.85546875" customWidth="1"/>
    <col min="204" max="205" width="5.5703125" customWidth="1"/>
    <col min="206" max="206" width="5.85546875" customWidth="1"/>
    <col min="207" max="208" width="5.5703125" customWidth="1"/>
    <col min="209" max="209" width="5.85546875" customWidth="1"/>
    <col min="210" max="211" width="5.5703125" customWidth="1"/>
    <col min="212" max="212" width="13.5703125" customWidth="1"/>
    <col min="213" max="214" width="12.5703125" customWidth="1"/>
  </cols>
  <sheetData>
    <row r="1" spans="1:214" ht="15.75" customHeight="1" thickBot="1">
      <c r="A1"/>
      <c r="B1"/>
      <c r="C1"/>
      <c r="D1"/>
      <c r="DC1"/>
      <c r="DD1"/>
      <c r="DE1"/>
    </row>
    <row r="2" spans="1:214" ht="15.75" customHeight="1">
      <c r="A2"/>
      <c r="B2"/>
      <c r="C2"/>
      <c r="D2"/>
      <c r="T2" s="437"/>
      <c r="U2" s="438"/>
      <c r="V2" s="438"/>
      <c r="W2" s="439"/>
      <c r="X2" s="443" t="s">
        <v>0</v>
      </c>
      <c r="Y2" s="444"/>
      <c r="Z2" s="444"/>
      <c r="AA2" s="444"/>
      <c r="AB2" s="444"/>
      <c r="AC2" s="444"/>
      <c r="AD2" s="445"/>
      <c r="DC2"/>
      <c r="DD2"/>
      <c r="DE2"/>
      <c r="DU2" s="437"/>
      <c r="DV2" s="438"/>
      <c r="DW2" s="438"/>
      <c r="DX2" s="439"/>
      <c r="DY2" s="443" t="s">
        <v>0</v>
      </c>
      <c r="DZ2" s="444"/>
      <c r="EA2" s="444"/>
      <c r="EB2" s="444"/>
      <c r="EC2" s="444"/>
      <c r="ED2" s="444"/>
      <c r="EE2" s="445"/>
    </row>
    <row r="3" spans="1:214" ht="15.75" thickBot="1">
      <c r="A3"/>
      <c r="B3"/>
      <c r="C3"/>
      <c r="D3"/>
      <c r="T3" s="440"/>
      <c r="U3" s="441"/>
      <c r="V3" s="441"/>
      <c r="W3" s="442"/>
      <c r="X3" s="446"/>
      <c r="Y3" s="447"/>
      <c r="Z3" s="447"/>
      <c r="AA3" s="447"/>
      <c r="AB3" s="447"/>
      <c r="AC3" s="447"/>
      <c r="AD3" s="448"/>
      <c r="DC3"/>
      <c r="DD3"/>
      <c r="DE3"/>
      <c r="DU3" s="440"/>
      <c r="DV3" s="441"/>
      <c r="DW3" s="441"/>
      <c r="DX3" s="442"/>
      <c r="DY3" s="446"/>
      <c r="DZ3" s="447"/>
      <c r="EA3" s="447"/>
      <c r="EB3" s="447"/>
      <c r="EC3" s="447"/>
      <c r="ED3" s="447"/>
      <c r="EE3" s="448"/>
    </row>
    <row r="4" spans="1:214" ht="15.75" thickBot="1">
      <c r="A4"/>
      <c r="B4"/>
      <c r="C4"/>
      <c r="D4"/>
      <c r="DC4"/>
      <c r="DD4"/>
      <c r="DE4"/>
    </row>
    <row r="5" spans="1:214" ht="15.75" thickBot="1">
      <c r="D5" s="347" t="s">
        <v>1</v>
      </c>
      <c r="DE5"/>
    </row>
    <row r="6" spans="1:214" ht="15.75" thickBot="1">
      <c r="A6" s="422" t="s">
        <v>2</v>
      </c>
      <c r="B6" s="425" t="s">
        <v>3</v>
      </c>
      <c r="C6" s="426"/>
      <c r="D6" s="427"/>
      <c r="E6" s="425" t="s">
        <v>4</v>
      </c>
      <c r="F6" s="426"/>
      <c r="G6" s="428"/>
      <c r="H6" s="429" t="s">
        <v>5</v>
      </c>
      <c r="I6" s="426"/>
      <c r="J6" s="427"/>
      <c r="K6" s="425" t="s">
        <v>6</v>
      </c>
      <c r="L6" s="426"/>
      <c r="M6" s="428"/>
      <c r="N6" s="429" t="s">
        <v>7</v>
      </c>
      <c r="O6" s="426"/>
      <c r="P6" s="427"/>
      <c r="Q6" s="425" t="s">
        <v>8</v>
      </c>
      <c r="R6" s="426"/>
      <c r="S6" s="428"/>
      <c r="T6" s="429" t="s">
        <v>9</v>
      </c>
      <c r="U6" s="426"/>
      <c r="V6" s="427"/>
      <c r="W6" s="425" t="s">
        <v>10</v>
      </c>
      <c r="X6" s="426"/>
      <c r="Y6" s="428"/>
      <c r="Z6" s="429" t="s">
        <v>11</v>
      </c>
      <c r="AA6" s="426"/>
      <c r="AB6" s="427"/>
      <c r="AC6" s="425" t="s">
        <v>12</v>
      </c>
      <c r="AD6" s="426"/>
      <c r="AE6" s="428"/>
      <c r="AF6" s="429" t="s">
        <v>13</v>
      </c>
      <c r="AG6" s="426"/>
      <c r="AH6" s="427"/>
      <c r="AI6" s="425" t="s">
        <v>14</v>
      </c>
      <c r="AJ6" s="426"/>
      <c r="AK6" s="428"/>
      <c r="AL6" s="429" t="s">
        <v>15</v>
      </c>
      <c r="AM6" s="426"/>
      <c r="AN6" s="427"/>
      <c r="AO6" s="425" t="s">
        <v>16</v>
      </c>
      <c r="AP6" s="426"/>
      <c r="AQ6" s="428"/>
      <c r="AR6" s="429" t="s">
        <v>17</v>
      </c>
      <c r="AS6" s="426"/>
      <c r="AT6" s="427"/>
      <c r="AU6" s="422" t="s">
        <v>18</v>
      </c>
      <c r="AV6" s="423"/>
      <c r="AW6" s="424"/>
      <c r="AX6" s="423" t="s">
        <v>19</v>
      </c>
      <c r="AY6" s="423"/>
      <c r="AZ6" s="423"/>
      <c r="BA6" s="422" t="s">
        <v>20</v>
      </c>
      <c r="BB6" s="423"/>
      <c r="BC6" s="424"/>
      <c r="BD6" s="423" t="s">
        <v>21</v>
      </c>
      <c r="BE6" s="423"/>
      <c r="BF6" s="423"/>
      <c r="BG6" s="422" t="s">
        <v>22</v>
      </c>
      <c r="BH6" s="423"/>
      <c r="BI6" s="424"/>
      <c r="BJ6" s="423" t="s">
        <v>23</v>
      </c>
      <c r="BK6" s="423"/>
      <c r="BL6" s="423"/>
      <c r="BM6" s="422" t="s">
        <v>24</v>
      </c>
      <c r="BN6" s="423"/>
      <c r="BO6" s="424"/>
      <c r="BP6" s="423" t="s">
        <v>25</v>
      </c>
      <c r="BQ6" s="423"/>
      <c r="BR6" s="423"/>
      <c r="BS6" s="422" t="s">
        <v>26</v>
      </c>
      <c r="BT6" s="423"/>
      <c r="BU6" s="424"/>
      <c r="BV6" s="423" t="s">
        <v>27</v>
      </c>
      <c r="BW6" s="423"/>
      <c r="BX6" s="423"/>
      <c r="BY6" s="422" t="s">
        <v>28</v>
      </c>
      <c r="BZ6" s="423"/>
      <c r="CA6" s="424"/>
      <c r="CB6" s="423" t="s">
        <v>29</v>
      </c>
      <c r="CC6" s="423"/>
      <c r="CD6" s="423"/>
      <c r="CE6" s="422" t="s">
        <v>30</v>
      </c>
      <c r="CF6" s="423"/>
      <c r="CG6" s="424"/>
      <c r="CH6" s="423" t="s">
        <v>31</v>
      </c>
      <c r="CI6" s="423"/>
      <c r="CJ6" s="423"/>
      <c r="CK6" s="422" t="s">
        <v>32</v>
      </c>
      <c r="CL6" s="423"/>
      <c r="CM6" s="424"/>
      <c r="CN6" s="423" t="s">
        <v>33</v>
      </c>
      <c r="CO6" s="423"/>
      <c r="CP6" s="423"/>
      <c r="CQ6" s="422" t="s">
        <v>34</v>
      </c>
      <c r="CR6" s="423"/>
      <c r="CS6" s="424"/>
      <c r="CT6" s="422" t="s">
        <v>35</v>
      </c>
      <c r="CU6" s="423"/>
      <c r="CV6" s="424"/>
      <c r="CW6" s="422" t="s">
        <v>36</v>
      </c>
      <c r="CX6" s="423"/>
      <c r="CY6" s="424"/>
      <c r="CZ6" s="422" t="s">
        <v>37</v>
      </c>
      <c r="DA6" s="423"/>
      <c r="DB6" s="424"/>
      <c r="DC6" s="422" t="s">
        <v>147</v>
      </c>
      <c r="DD6" s="423"/>
      <c r="DE6" s="424"/>
      <c r="DF6" s="422" t="s">
        <v>148</v>
      </c>
      <c r="DG6" s="423"/>
      <c r="DH6" s="424"/>
      <c r="DI6" s="422" t="s">
        <v>149</v>
      </c>
      <c r="DJ6" s="423"/>
      <c r="DK6" s="424"/>
      <c r="DL6" s="422" t="s">
        <v>150</v>
      </c>
      <c r="DM6" s="423"/>
      <c r="DN6" s="424"/>
      <c r="DO6" s="422" t="s">
        <v>151</v>
      </c>
      <c r="DP6" s="423"/>
      <c r="DQ6" s="424"/>
      <c r="DR6" s="422" t="s">
        <v>152</v>
      </c>
      <c r="DS6" s="423"/>
      <c r="DT6" s="424"/>
      <c r="DU6" s="422" t="s">
        <v>153</v>
      </c>
      <c r="DV6" s="423"/>
      <c r="DW6" s="424"/>
      <c r="DX6" s="422" t="s">
        <v>154</v>
      </c>
      <c r="DY6" s="423"/>
      <c r="DZ6" s="424"/>
      <c r="EA6" s="422" t="s">
        <v>155</v>
      </c>
      <c r="EB6" s="423"/>
      <c r="EC6" s="424"/>
      <c r="ED6" s="422" t="s">
        <v>156</v>
      </c>
      <c r="EE6" s="423"/>
      <c r="EF6" s="424"/>
      <c r="EG6" s="422" t="s">
        <v>157</v>
      </c>
      <c r="EH6" s="423"/>
      <c r="EI6" s="424"/>
      <c r="EJ6" s="422" t="s">
        <v>158</v>
      </c>
      <c r="EK6" s="423"/>
      <c r="EL6" s="424"/>
      <c r="EM6" s="422" t="s">
        <v>159</v>
      </c>
      <c r="EN6" s="423"/>
      <c r="EO6" s="424"/>
      <c r="EP6" s="422" t="s">
        <v>160</v>
      </c>
      <c r="EQ6" s="423"/>
      <c r="ER6" s="424"/>
      <c r="ES6" s="422" t="s">
        <v>161</v>
      </c>
      <c r="ET6" s="423"/>
      <c r="EU6" s="424"/>
      <c r="EV6" s="422" t="s">
        <v>162</v>
      </c>
      <c r="EW6" s="423"/>
      <c r="EX6" s="424"/>
      <c r="EY6" s="422" t="s">
        <v>163</v>
      </c>
      <c r="EZ6" s="423"/>
      <c r="FA6" s="424"/>
      <c r="FB6" s="422" t="s">
        <v>164</v>
      </c>
      <c r="FC6" s="423"/>
      <c r="FD6" s="424"/>
      <c r="FE6" s="422" t="s">
        <v>165</v>
      </c>
      <c r="FF6" s="423"/>
      <c r="FG6" s="424"/>
      <c r="FH6" s="422" t="s">
        <v>166</v>
      </c>
      <c r="FI6" s="423"/>
      <c r="FJ6" s="424"/>
      <c r="FK6" s="422" t="s">
        <v>167</v>
      </c>
      <c r="FL6" s="423"/>
      <c r="FM6" s="424"/>
      <c r="FN6" s="422" t="s">
        <v>168</v>
      </c>
      <c r="FO6" s="423"/>
      <c r="FP6" s="424"/>
      <c r="FQ6" s="422" t="s">
        <v>169</v>
      </c>
      <c r="FR6" s="423"/>
      <c r="FS6" s="424"/>
      <c r="FT6" s="422" t="s">
        <v>170</v>
      </c>
      <c r="FU6" s="423"/>
      <c r="FV6" s="424"/>
      <c r="FW6" s="422" t="s">
        <v>171</v>
      </c>
      <c r="FX6" s="423"/>
      <c r="FY6" s="424"/>
      <c r="FZ6" s="422" t="s">
        <v>172</v>
      </c>
      <c r="GA6" s="423"/>
      <c r="GB6" s="424"/>
      <c r="GC6" s="422" t="s">
        <v>173</v>
      </c>
      <c r="GD6" s="423"/>
      <c r="GE6" s="424"/>
      <c r="GF6" s="422" t="s">
        <v>174</v>
      </c>
      <c r="GG6" s="423"/>
      <c r="GH6" s="424"/>
      <c r="GI6" s="422" t="s">
        <v>175</v>
      </c>
      <c r="GJ6" s="423"/>
      <c r="GK6" s="424"/>
      <c r="GL6" s="422" t="s">
        <v>176</v>
      </c>
      <c r="GM6" s="423"/>
      <c r="GN6" s="424"/>
      <c r="GO6" s="422" t="s">
        <v>177</v>
      </c>
      <c r="GP6" s="423"/>
      <c r="GQ6" s="424"/>
      <c r="GR6" s="422" t="s">
        <v>178</v>
      </c>
      <c r="GS6" s="423"/>
      <c r="GT6" s="424"/>
      <c r="GU6" s="422" t="s">
        <v>179</v>
      </c>
      <c r="GV6" s="423"/>
      <c r="GW6" s="424"/>
      <c r="GX6" s="422" t="s">
        <v>180</v>
      </c>
      <c r="GY6" s="423"/>
      <c r="GZ6" s="424"/>
      <c r="HA6" s="422" t="s">
        <v>181</v>
      </c>
      <c r="HB6" s="423"/>
      <c r="HC6" s="424"/>
      <c r="HD6" s="430" t="s">
        <v>38</v>
      </c>
      <c r="HE6" s="431"/>
      <c r="HF6" s="432"/>
    </row>
    <row r="7" spans="1:214" ht="15.75" thickBot="1">
      <c r="A7" s="436"/>
      <c r="B7" s="348" t="s">
        <v>39</v>
      </c>
      <c r="C7" s="349" t="s">
        <v>40</v>
      </c>
      <c r="D7" s="350" t="s">
        <v>41</v>
      </c>
      <c r="E7" s="348" t="s">
        <v>39</v>
      </c>
      <c r="F7" s="349" t="s">
        <v>40</v>
      </c>
      <c r="G7" s="350" t="s">
        <v>41</v>
      </c>
      <c r="H7" s="351" t="s">
        <v>39</v>
      </c>
      <c r="I7" s="349" t="s">
        <v>40</v>
      </c>
      <c r="J7" s="359" t="s">
        <v>41</v>
      </c>
      <c r="K7" s="348" t="s">
        <v>39</v>
      </c>
      <c r="L7" s="349" t="s">
        <v>40</v>
      </c>
      <c r="M7" s="350" t="s">
        <v>41</v>
      </c>
      <c r="N7" s="351" t="s">
        <v>39</v>
      </c>
      <c r="O7" s="349" t="s">
        <v>40</v>
      </c>
      <c r="P7" s="359" t="s">
        <v>41</v>
      </c>
      <c r="Q7" s="348" t="s">
        <v>39</v>
      </c>
      <c r="R7" s="349" t="s">
        <v>40</v>
      </c>
      <c r="S7" s="350" t="s">
        <v>41</v>
      </c>
      <c r="T7" s="351" t="s">
        <v>39</v>
      </c>
      <c r="U7" s="349" t="s">
        <v>40</v>
      </c>
      <c r="V7" s="359" t="s">
        <v>41</v>
      </c>
      <c r="W7" s="348" t="s">
        <v>39</v>
      </c>
      <c r="X7" s="349" t="s">
        <v>40</v>
      </c>
      <c r="Y7" s="350" t="s">
        <v>41</v>
      </c>
      <c r="Z7" s="351" t="s">
        <v>39</v>
      </c>
      <c r="AA7" s="349" t="s">
        <v>40</v>
      </c>
      <c r="AB7" s="359" t="s">
        <v>41</v>
      </c>
      <c r="AC7" s="348" t="s">
        <v>39</v>
      </c>
      <c r="AD7" s="349" t="s">
        <v>40</v>
      </c>
      <c r="AE7" s="350" t="s">
        <v>41</v>
      </c>
      <c r="AF7" s="351" t="s">
        <v>39</v>
      </c>
      <c r="AG7" s="349" t="s">
        <v>40</v>
      </c>
      <c r="AH7" s="359" t="s">
        <v>41</v>
      </c>
      <c r="AI7" s="348" t="s">
        <v>39</v>
      </c>
      <c r="AJ7" s="349" t="s">
        <v>40</v>
      </c>
      <c r="AK7" s="350" t="s">
        <v>41</v>
      </c>
      <c r="AL7" s="351" t="s">
        <v>39</v>
      </c>
      <c r="AM7" s="349" t="s">
        <v>40</v>
      </c>
      <c r="AN7" s="359" t="s">
        <v>41</v>
      </c>
      <c r="AO7" s="348" t="s">
        <v>39</v>
      </c>
      <c r="AP7" s="349" t="s">
        <v>40</v>
      </c>
      <c r="AQ7" s="350" t="s">
        <v>41</v>
      </c>
      <c r="AR7" s="351" t="s">
        <v>39</v>
      </c>
      <c r="AS7" s="349" t="s">
        <v>40</v>
      </c>
      <c r="AT7" s="359" t="s">
        <v>41</v>
      </c>
      <c r="AU7" s="348" t="s">
        <v>39</v>
      </c>
      <c r="AV7" s="349" t="s">
        <v>40</v>
      </c>
      <c r="AW7" s="350" t="s">
        <v>41</v>
      </c>
      <c r="AX7" s="351" t="s">
        <v>39</v>
      </c>
      <c r="AY7" s="349" t="s">
        <v>40</v>
      </c>
      <c r="AZ7" s="359" t="s">
        <v>41</v>
      </c>
      <c r="BA7" s="348" t="s">
        <v>39</v>
      </c>
      <c r="BB7" s="349" t="s">
        <v>40</v>
      </c>
      <c r="BC7" s="350" t="s">
        <v>41</v>
      </c>
      <c r="BD7" s="351" t="s">
        <v>39</v>
      </c>
      <c r="BE7" s="349" t="s">
        <v>40</v>
      </c>
      <c r="BF7" s="359" t="s">
        <v>41</v>
      </c>
      <c r="BG7" s="348" t="s">
        <v>39</v>
      </c>
      <c r="BH7" s="349" t="s">
        <v>40</v>
      </c>
      <c r="BI7" s="350" t="s">
        <v>41</v>
      </c>
      <c r="BJ7" s="351" t="s">
        <v>39</v>
      </c>
      <c r="BK7" s="349" t="s">
        <v>40</v>
      </c>
      <c r="BL7" s="359" t="s">
        <v>41</v>
      </c>
      <c r="BM7" s="348" t="s">
        <v>39</v>
      </c>
      <c r="BN7" s="349" t="s">
        <v>40</v>
      </c>
      <c r="BO7" s="350" t="s">
        <v>41</v>
      </c>
      <c r="BP7" s="351" t="s">
        <v>39</v>
      </c>
      <c r="BQ7" s="349" t="s">
        <v>40</v>
      </c>
      <c r="BR7" s="359" t="s">
        <v>41</v>
      </c>
      <c r="BS7" s="348" t="s">
        <v>39</v>
      </c>
      <c r="BT7" s="349" t="s">
        <v>40</v>
      </c>
      <c r="BU7" s="350" t="s">
        <v>41</v>
      </c>
      <c r="BV7" s="351" t="s">
        <v>39</v>
      </c>
      <c r="BW7" s="349" t="s">
        <v>40</v>
      </c>
      <c r="BX7" s="359" t="s">
        <v>41</v>
      </c>
      <c r="BY7" s="348" t="s">
        <v>39</v>
      </c>
      <c r="BZ7" s="349" t="s">
        <v>40</v>
      </c>
      <c r="CA7" s="350" t="s">
        <v>41</v>
      </c>
      <c r="CB7" s="351" t="s">
        <v>39</v>
      </c>
      <c r="CC7" s="349" t="s">
        <v>40</v>
      </c>
      <c r="CD7" s="359" t="s">
        <v>41</v>
      </c>
      <c r="CE7" s="348" t="s">
        <v>39</v>
      </c>
      <c r="CF7" s="349" t="s">
        <v>40</v>
      </c>
      <c r="CG7" s="350" t="s">
        <v>41</v>
      </c>
      <c r="CH7" s="351" t="s">
        <v>39</v>
      </c>
      <c r="CI7" s="349" t="s">
        <v>40</v>
      </c>
      <c r="CJ7" s="359" t="s">
        <v>41</v>
      </c>
      <c r="CK7" s="363" t="s">
        <v>39</v>
      </c>
      <c r="CL7" s="364" t="s">
        <v>40</v>
      </c>
      <c r="CM7" s="365" t="s">
        <v>41</v>
      </c>
      <c r="CN7" s="351" t="s">
        <v>39</v>
      </c>
      <c r="CO7" s="349" t="s">
        <v>40</v>
      </c>
      <c r="CP7" s="359" t="s">
        <v>41</v>
      </c>
      <c r="CQ7" s="348" t="s">
        <v>39</v>
      </c>
      <c r="CR7" s="349" t="s">
        <v>40</v>
      </c>
      <c r="CS7" s="350" t="s">
        <v>41</v>
      </c>
      <c r="CT7" s="348" t="s">
        <v>39</v>
      </c>
      <c r="CU7" s="349" t="s">
        <v>40</v>
      </c>
      <c r="CV7" s="350" t="s">
        <v>41</v>
      </c>
      <c r="CW7" s="348" t="s">
        <v>39</v>
      </c>
      <c r="CX7" s="349" t="s">
        <v>40</v>
      </c>
      <c r="CY7" s="350" t="s">
        <v>41</v>
      </c>
      <c r="CZ7" s="348" t="s">
        <v>39</v>
      </c>
      <c r="DA7" s="349" t="s">
        <v>40</v>
      </c>
      <c r="DB7" s="350" t="s">
        <v>41</v>
      </c>
      <c r="DC7" s="348" t="s">
        <v>39</v>
      </c>
      <c r="DD7" s="349" t="s">
        <v>40</v>
      </c>
      <c r="DE7" s="350" t="s">
        <v>41</v>
      </c>
      <c r="DF7" s="348" t="s">
        <v>39</v>
      </c>
      <c r="DG7" s="349" t="s">
        <v>40</v>
      </c>
      <c r="DH7" s="350" t="s">
        <v>41</v>
      </c>
      <c r="DI7" s="351" t="s">
        <v>39</v>
      </c>
      <c r="DJ7" s="349" t="s">
        <v>40</v>
      </c>
      <c r="DK7" s="359" t="s">
        <v>41</v>
      </c>
      <c r="DL7" s="348" t="s">
        <v>39</v>
      </c>
      <c r="DM7" s="349" t="s">
        <v>40</v>
      </c>
      <c r="DN7" s="350" t="s">
        <v>41</v>
      </c>
      <c r="DO7" s="351" t="s">
        <v>39</v>
      </c>
      <c r="DP7" s="349" t="s">
        <v>40</v>
      </c>
      <c r="DQ7" s="359" t="s">
        <v>41</v>
      </c>
      <c r="DR7" s="348" t="s">
        <v>39</v>
      </c>
      <c r="DS7" s="349" t="s">
        <v>40</v>
      </c>
      <c r="DT7" s="350" t="s">
        <v>41</v>
      </c>
      <c r="DU7" s="351" t="s">
        <v>39</v>
      </c>
      <c r="DV7" s="349" t="s">
        <v>40</v>
      </c>
      <c r="DW7" s="359" t="s">
        <v>41</v>
      </c>
      <c r="DX7" s="348" t="s">
        <v>39</v>
      </c>
      <c r="DY7" s="349" t="s">
        <v>40</v>
      </c>
      <c r="DZ7" s="350" t="s">
        <v>41</v>
      </c>
      <c r="EA7" s="351" t="s">
        <v>39</v>
      </c>
      <c r="EB7" s="349" t="s">
        <v>40</v>
      </c>
      <c r="EC7" s="359" t="s">
        <v>41</v>
      </c>
      <c r="ED7" s="348" t="s">
        <v>39</v>
      </c>
      <c r="EE7" s="349" t="s">
        <v>40</v>
      </c>
      <c r="EF7" s="350" t="s">
        <v>41</v>
      </c>
      <c r="EG7" s="351" t="s">
        <v>39</v>
      </c>
      <c r="EH7" s="349" t="s">
        <v>40</v>
      </c>
      <c r="EI7" s="359" t="s">
        <v>41</v>
      </c>
      <c r="EJ7" s="348" t="s">
        <v>39</v>
      </c>
      <c r="EK7" s="349" t="s">
        <v>40</v>
      </c>
      <c r="EL7" s="350" t="s">
        <v>41</v>
      </c>
      <c r="EM7" s="351" t="s">
        <v>39</v>
      </c>
      <c r="EN7" s="349" t="s">
        <v>40</v>
      </c>
      <c r="EO7" s="359" t="s">
        <v>41</v>
      </c>
      <c r="EP7" s="348" t="s">
        <v>39</v>
      </c>
      <c r="EQ7" s="349" t="s">
        <v>40</v>
      </c>
      <c r="ER7" s="350" t="s">
        <v>41</v>
      </c>
      <c r="ES7" s="351" t="s">
        <v>39</v>
      </c>
      <c r="ET7" s="349" t="s">
        <v>40</v>
      </c>
      <c r="EU7" s="359" t="s">
        <v>41</v>
      </c>
      <c r="EV7" s="348" t="s">
        <v>39</v>
      </c>
      <c r="EW7" s="349" t="s">
        <v>40</v>
      </c>
      <c r="EX7" s="350" t="s">
        <v>41</v>
      </c>
      <c r="EY7" s="351" t="s">
        <v>39</v>
      </c>
      <c r="EZ7" s="349" t="s">
        <v>40</v>
      </c>
      <c r="FA7" s="359" t="s">
        <v>41</v>
      </c>
      <c r="FB7" s="348" t="s">
        <v>39</v>
      </c>
      <c r="FC7" s="349" t="s">
        <v>40</v>
      </c>
      <c r="FD7" s="350" t="s">
        <v>41</v>
      </c>
      <c r="FE7" s="351" t="s">
        <v>39</v>
      </c>
      <c r="FF7" s="349" t="s">
        <v>40</v>
      </c>
      <c r="FG7" s="359" t="s">
        <v>41</v>
      </c>
      <c r="FH7" s="348" t="s">
        <v>39</v>
      </c>
      <c r="FI7" s="349" t="s">
        <v>40</v>
      </c>
      <c r="FJ7" s="350" t="s">
        <v>41</v>
      </c>
      <c r="FK7" s="351" t="s">
        <v>39</v>
      </c>
      <c r="FL7" s="349" t="s">
        <v>40</v>
      </c>
      <c r="FM7" s="359" t="s">
        <v>41</v>
      </c>
      <c r="FN7" s="348" t="s">
        <v>39</v>
      </c>
      <c r="FO7" s="349" t="s">
        <v>40</v>
      </c>
      <c r="FP7" s="350" t="s">
        <v>41</v>
      </c>
      <c r="FQ7" s="351" t="s">
        <v>39</v>
      </c>
      <c r="FR7" s="349" t="s">
        <v>40</v>
      </c>
      <c r="FS7" s="359" t="s">
        <v>41</v>
      </c>
      <c r="FT7" s="348" t="s">
        <v>39</v>
      </c>
      <c r="FU7" s="349" t="s">
        <v>40</v>
      </c>
      <c r="FV7" s="350" t="s">
        <v>41</v>
      </c>
      <c r="FW7" s="351" t="s">
        <v>39</v>
      </c>
      <c r="FX7" s="349" t="s">
        <v>40</v>
      </c>
      <c r="FY7" s="359" t="s">
        <v>41</v>
      </c>
      <c r="FZ7" s="348" t="s">
        <v>39</v>
      </c>
      <c r="GA7" s="349" t="s">
        <v>40</v>
      </c>
      <c r="GB7" s="350" t="s">
        <v>41</v>
      </c>
      <c r="GC7" s="351" t="s">
        <v>39</v>
      </c>
      <c r="GD7" s="349" t="s">
        <v>40</v>
      </c>
      <c r="GE7" s="359" t="s">
        <v>41</v>
      </c>
      <c r="GF7" s="348" t="s">
        <v>39</v>
      </c>
      <c r="GG7" s="349" t="s">
        <v>40</v>
      </c>
      <c r="GH7" s="350" t="s">
        <v>41</v>
      </c>
      <c r="GI7" s="351" t="s">
        <v>39</v>
      </c>
      <c r="GJ7" s="349" t="s">
        <v>40</v>
      </c>
      <c r="GK7" s="359" t="s">
        <v>41</v>
      </c>
      <c r="GL7" s="363" t="s">
        <v>39</v>
      </c>
      <c r="GM7" s="364" t="s">
        <v>40</v>
      </c>
      <c r="GN7" s="365" t="s">
        <v>41</v>
      </c>
      <c r="GO7" s="351" t="s">
        <v>39</v>
      </c>
      <c r="GP7" s="349" t="s">
        <v>40</v>
      </c>
      <c r="GQ7" s="359" t="s">
        <v>41</v>
      </c>
      <c r="GR7" s="348" t="s">
        <v>39</v>
      </c>
      <c r="GS7" s="349" t="s">
        <v>40</v>
      </c>
      <c r="GT7" s="350" t="s">
        <v>41</v>
      </c>
      <c r="GU7" s="348" t="s">
        <v>39</v>
      </c>
      <c r="GV7" s="349" t="s">
        <v>40</v>
      </c>
      <c r="GW7" s="350" t="s">
        <v>41</v>
      </c>
      <c r="GX7" s="348" t="s">
        <v>39</v>
      </c>
      <c r="GY7" s="349" t="s">
        <v>40</v>
      </c>
      <c r="GZ7" s="350" t="s">
        <v>41</v>
      </c>
      <c r="HA7" s="348" t="s">
        <v>39</v>
      </c>
      <c r="HB7" s="349" t="s">
        <v>40</v>
      </c>
      <c r="HC7" s="350" t="s">
        <v>41</v>
      </c>
      <c r="HD7" s="366" t="s">
        <v>39</v>
      </c>
      <c r="HE7" s="367" t="s">
        <v>40</v>
      </c>
      <c r="HF7" s="367" t="s">
        <v>41</v>
      </c>
    </row>
    <row r="8" spans="1:214" ht="15.75" thickBot="1">
      <c r="A8" s="238">
        <v>1</v>
      </c>
      <c r="B8" s="239"/>
      <c r="C8" s="43"/>
      <c r="D8" s="283"/>
      <c r="E8" s="295"/>
      <c r="F8" s="288"/>
      <c r="G8" s="294"/>
      <c r="H8" s="287"/>
      <c r="I8" s="288"/>
      <c r="J8" s="289"/>
      <c r="K8" s="295"/>
      <c r="L8" s="288"/>
      <c r="M8" s="294"/>
      <c r="N8" s="287"/>
      <c r="O8" s="288"/>
      <c r="P8" s="289"/>
      <c r="Q8" s="295"/>
      <c r="R8" s="288"/>
      <c r="S8" s="294"/>
      <c r="T8" s="287"/>
      <c r="U8" s="288"/>
      <c r="V8" s="289"/>
      <c r="W8" s="295"/>
      <c r="X8" s="288"/>
      <c r="Y8" s="294"/>
      <c r="Z8" s="287"/>
      <c r="AA8" s="288"/>
      <c r="AB8" s="289"/>
      <c r="AC8" s="295"/>
      <c r="AD8" s="288"/>
      <c r="AE8" s="294"/>
      <c r="AF8" s="287"/>
      <c r="AG8" s="288"/>
      <c r="AH8" s="289"/>
      <c r="AI8" s="295"/>
      <c r="AJ8" s="288"/>
      <c r="AK8" s="294"/>
      <c r="AL8" s="287"/>
      <c r="AM8" s="288"/>
      <c r="AN8" s="289"/>
      <c r="AO8" s="295"/>
      <c r="AP8" s="288"/>
      <c r="AQ8" s="294"/>
      <c r="AR8" s="287"/>
      <c r="AS8" s="288"/>
      <c r="AT8" s="289"/>
      <c r="AU8" s="295"/>
      <c r="AV8" s="288"/>
      <c r="AW8" s="294"/>
      <c r="AX8" s="287"/>
      <c r="AY8" s="288"/>
      <c r="AZ8" s="289"/>
      <c r="BA8" s="295"/>
      <c r="BB8" s="288"/>
      <c r="BC8" s="294"/>
      <c r="BD8" s="287"/>
      <c r="BE8" s="288"/>
      <c r="BF8" s="289"/>
      <c r="BG8" s="295"/>
      <c r="BH8" s="288"/>
      <c r="BI8" s="294"/>
      <c r="BJ8" s="287"/>
      <c r="BK8" s="288"/>
      <c r="BL8" s="289"/>
      <c r="BM8" s="295"/>
      <c r="BN8" s="288"/>
      <c r="BO8" s="294"/>
      <c r="BP8" s="287"/>
      <c r="BQ8" s="288"/>
      <c r="BR8" s="289"/>
      <c r="BS8" s="295"/>
      <c r="BT8" s="288"/>
      <c r="BU8" s="294"/>
      <c r="BV8" s="287"/>
      <c r="BW8" s="288"/>
      <c r="BX8" s="289"/>
      <c r="BY8" s="295"/>
      <c r="BZ8" s="288"/>
      <c r="CA8" s="294"/>
      <c r="CB8" s="287"/>
      <c r="CC8" s="288"/>
      <c r="CD8" s="289"/>
      <c r="CE8" s="295"/>
      <c r="CF8" s="288"/>
      <c r="CG8" s="294"/>
      <c r="CH8" s="287"/>
      <c r="CI8" s="288"/>
      <c r="CJ8" s="289"/>
      <c r="CK8" s="295"/>
      <c r="CL8" s="288"/>
      <c r="CM8" s="294"/>
      <c r="CN8" s="287"/>
      <c r="CO8" s="288"/>
      <c r="CP8" s="289"/>
      <c r="CQ8" s="295"/>
      <c r="CR8" s="288"/>
      <c r="CS8" s="294"/>
      <c r="CT8" s="295"/>
      <c r="CU8" s="288"/>
      <c r="CV8" s="294"/>
      <c r="CW8" s="295"/>
      <c r="CX8" s="288"/>
      <c r="CY8" s="294"/>
      <c r="CZ8" s="295"/>
      <c r="DA8" s="288"/>
      <c r="DB8" s="294"/>
      <c r="DC8" s="239"/>
      <c r="DD8" s="43"/>
      <c r="DE8" s="283"/>
      <c r="DF8" s="295"/>
      <c r="DG8" s="288"/>
      <c r="DH8" s="294"/>
      <c r="DI8" s="287"/>
      <c r="DJ8" s="288"/>
      <c r="DK8" s="289"/>
      <c r="DL8" s="295"/>
      <c r="DM8" s="288"/>
      <c r="DN8" s="294"/>
      <c r="DO8" s="287"/>
      <c r="DP8" s="288"/>
      <c r="DQ8" s="289"/>
      <c r="DR8" s="295"/>
      <c r="DS8" s="288"/>
      <c r="DT8" s="294"/>
      <c r="DU8" s="287"/>
      <c r="DV8" s="288"/>
      <c r="DW8" s="289"/>
      <c r="DX8" s="295"/>
      <c r="DY8" s="288"/>
      <c r="DZ8" s="294"/>
      <c r="EA8" s="287"/>
      <c r="EB8" s="288"/>
      <c r="EC8" s="289"/>
      <c r="ED8" s="295"/>
      <c r="EE8" s="288"/>
      <c r="EF8" s="294"/>
      <c r="EG8" s="287"/>
      <c r="EH8" s="288"/>
      <c r="EI8" s="289"/>
      <c r="EJ8" s="295"/>
      <c r="EK8" s="288"/>
      <c r="EL8" s="294"/>
      <c r="EM8" s="287"/>
      <c r="EN8" s="288"/>
      <c r="EO8" s="289"/>
      <c r="EP8" s="295"/>
      <c r="EQ8" s="288"/>
      <c r="ER8" s="294"/>
      <c r="ES8" s="287"/>
      <c r="ET8" s="288"/>
      <c r="EU8" s="289"/>
      <c r="EV8" s="295"/>
      <c r="EW8" s="288"/>
      <c r="EX8" s="294"/>
      <c r="EY8" s="287"/>
      <c r="EZ8" s="288"/>
      <c r="FA8" s="289"/>
      <c r="FB8" s="295"/>
      <c r="FC8" s="288"/>
      <c r="FD8" s="294"/>
      <c r="FE8" s="287"/>
      <c r="FF8" s="288"/>
      <c r="FG8" s="289"/>
      <c r="FH8" s="295"/>
      <c r="FI8" s="288"/>
      <c r="FJ8" s="294"/>
      <c r="FK8" s="287"/>
      <c r="FL8" s="288"/>
      <c r="FM8" s="289"/>
      <c r="FN8" s="295"/>
      <c r="FO8" s="288"/>
      <c r="FP8" s="294"/>
      <c r="FQ8" s="287"/>
      <c r="FR8" s="288"/>
      <c r="FS8" s="289"/>
      <c r="FT8" s="295"/>
      <c r="FU8" s="288"/>
      <c r="FV8" s="294"/>
      <c r="FW8" s="287"/>
      <c r="FX8" s="288"/>
      <c r="FY8" s="289"/>
      <c r="FZ8" s="295"/>
      <c r="GA8" s="288"/>
      <c r="GB8" s="294"/>
      <c r="GC8" s="287"/>
      <c r="GD8" s="288"/>
      <c r="GE8" s="289"/>
      <c r="GF8" s="295"/>
      <c r="GG8" s="288"/>
      <c r="GH8" s="294"/>
      <c r="GI8" s="287"/>
      <c r="GJ8" s="288"/>
      <c r="GK8" s="289"/>
      <c r="GL8" s="295"/>
      <c r="GM8" s="288"/>
      <c r="GN8" s="294"/>
      <c r="GO8" s="287"/>
      <c r="GP8" s="288"/>
      <c r="GQ8" s="289"/>
      <c r="GR8" s="295"/>
      <c r="GS8" s="288"/>
      <c r="GT8" s="294"/>
      <c r="GU8" s="295"/>
      <c r="GV8" s="288"/>
      <c r="GW8" s="294"/>
      <c r="GX8" s="295"/>
      <c r="GY8" s="288"/>
      <c r="GZ8" s="294"/>
      <c r="HA8" s="295"/>
      <c r="HB8" s="288"/>
      <c r="HC8" s="294"/>
      <c r="HD8" s="368">
        <f>+B8+E8+H8+K8+N8+Q8+T8+W8+Z8+AC8+AF8+AI8+AL8+AO8+AR8+AU8+AX8+BA8+BD8+BG8+BJ8+BM8+BP8+BS8+BV8+BY8+CB8+CE8+CH8+CK8+CN8+CZ8+CQ8+CT8+CW8+DC8+DF8+DI8+DL8+DO8+DR8+DU8+DX8+EA8+ED8+EG8+EJ8+EM8+EP8+ES8+EV8+EY8+FB8+FE8+FH8+FK8+FN8+FQ8+FT8+FW8+FZ8+GC8+GF8+GI8+GL8+GO8+GR8+GU8+GX8+HA8</f>
        <v>0</v>
      </c>
      <c r="HE8" s="369">
        <f>+C8+F8+I8+L8+O8+R8+U8+X8+AA8+AD8+AG8+AJ8+AM8+AP8+AS8+AV8+AY8+BB8+BE8+BH8+BK8+BN8+BQ8+BT8+BW8+BZ8+CC8+CF8+CI8+CL8+CO8+DA8+CR8+CU8+CX8+DD8+DG8+DJ8+DM8+DP8+DS8+DV8+DY8+EB8+EE8+EH8+EK8+EN8+EQ8+ET8+EW8+EZ8+FC8+FF8+FI8+FL8+FO8+FR8+FU8+FX8+GA8+GD8+GG8+GJ8+GM8+GP8+GS8+GV8+GY8+HB8</f>
        <v>0</v>
      </c>
      <c r="HF8" s="369">
        <f>+D8+G8+J8+M8+P8+S8+V8+Y8+AE8+AH8+AK8+AQ8+AT8+AW8+AZ8+BC8+BF8+BI8+BL8+BO8+BR8+BU8+BX8+CA8+CD8+CG8+CJ8+CM8+CP8+DB8+AB8+AN8+CS8+CV8+CY8+DE8+DH8+DK8+DN8+DQ8+DT8+DW8+DZ8+EC8+EF8+EI8+EL8+EO8+ER8+EU8+EX8+FA8+FD8+FG8+FJ8+FM8+FP8+FS8+FV8+FY8+GB8+GE8+GH8+GK8+GN8+GQ8+GT8+GW8+GZ8+HC8</f>
        <v>0</v>
      </c>
    </row>
    <row r="9" spans="1:214" ht="15.75" thickBot="1">
      <c r="A9" s="238">
        <v>2</v>
      </c>
      <c r="B9" s="239"/>
      <c r="C9" s="43"/>
      <c r="D9" s="283"/>
      <c r="E9" s="295"/>
      <c r="F9" s="288"/>
      <c r="G9" s="294"/>
      <c r="H9" s="287"/>
      <c r="I9" s="288"/>
      <c r="J9" s="289"/>
      <c r="K9" s="295"/>
      <c r="L9" s="288"/>
      <c r="M9" s="294"/>
      <c r="N9" s="287"/>
      <c r="O9" s="288"/>
      <c r="P9" s="289"/>
      <c r="Q9" s="295"/>
      <c r="R9" s="288"/>
      <c r="S9" s="294"/>
      <c r="T9" s="287"/>
      <c r="U9" s="288"/>
      <c r="V9" s="289"/>
      <c r="W9" s="295"/>
      <c r="X9" s="288"/>
      <c r="Y9" s="294"/>
      <c r="Z9" s="287"/>
      <c r="AA9" s="288"/>
      <c r="AB9" s="289"/>
      <c r="AC9" s="295"/>
      <c r="AD9" s="288"/>
      <c r="AE9" s="294"/>
      <c r="AF9" s="287"/>
      <c r="AG9" s="288"/>
      <c r="AH9" s="289"/>
      <c r="AI9" s="295"/>
      <c r="AJ9" s="288"/>
      <c r="AK9" s="294"/>
      <c r="AL9" s="287"/>
      <c r="AM9" s="288"/>
      <c r="AN9" s="289"/>
      <c r="AO9" s="295"/>
      <c r="AP9" s="288"/>
      <c r="AQ9" s="294"/>
      <c r="AR9" s="287"/>
      <c r="AS9" s="288"/>
      <c r="AT9" s="289"/>
      <c r="AU9" s="295"/>
      <c r="AV9" s="288"/>
      <c r="AW9" s="294"/>
      <c r="AX9" s="287"/>
      <c r="AY9" s="288"/>
      <c r="AZ9" s="289"/>
      <c r="BA9" s="295"/>
      <c r="BB9" s="288"/>
      <c r="BC9" s="294"/>
      <c r="BD9" s="287"/>
      <c r="BE9" s="288"/>
      <c r="BF9" s="289"/>
      <c r="BG9" s="295"/>
      <c r="BH9" s="288"/>
      <c r="BI9" s="294"/>
      <c r="BJ9" s="287"/>
      <c r="BK9" s="288"/>
      <c r="BL9" s="289"/>
      <c r="BM9" s="295"/>
      <c r="BN9" s="288"/>
      <c r="BO9" s="294"/>
      <c r="BP9" s="287"/>
      <c r="BQ9" s="288"/>
      <c r="BR9" s="289"/>
      <c r="BS9" s="295"/>
      <c r="BT9" s="288"/>
      <c r="BU9" s="294"/>
      <c r="BV9" s="287"/>
      <c r="BW9" s="288"/>
      <c r="BX9" s="289"/>
      <c r="BY9" s="295"/>
      <c r="BZ9" s="288"/>
      <c r="CA9" s="294"/>
      <c r="CB9" s="287"/>
      <c r="CC9" s="288"/>
      <c r="CD9" s="289"/>
      <c r="CE9" s="295"/>
      <c r="CF9" s="288"/>
      <c r="CG9" s="294"/>
      <c r="CH9" s="287"/>
      <c r="CI9" s="288"/>
      <c r="CJ9" s="289"/>
      <c r="CK9" s="295"/>
      <c r="CL9" s="288"/>
      <c r="CM9" s="294"/>
      <c r="CN9" s="287"/>
      <c r="CO9" s="288"/>
      <c r="CP9" s="289"/>
      <c r="CQ9" s="295"/>
      <c r="CR9" s="288"/>
      <c r="CS9" s="294"/>
      <c r="CT9" s="295"/>
      <c r="CU9" s="288"/>
      <c r="CV9" s="294"/>
      <c r="CW9" s="295"/>
      <c r="CX9" s="288"/>
      <c r="CY9" s="294"/>
      <c r="CZ9" s="295"/>
      <c r="DA9" s="288"/>
      <c r="DB9" s="294"/>
      <c r="DC9" s="239"/>
      <c r="DD9" s="43"/>
      <c r="DE9" s="283"/>
      <c r="DF9" s="295"/>
      <c r="DG9" s="288"/>
      <c r="DH9" s="294"/>
      <c r="DI9" s="287"/>
      <c r="DJ9" s="288"/>
      <c r="DK9" s="289"/>
      <c r="DL9" s="295"/>
      <c r="DM9" s="288"/>
      <c r="DN9" s="294"/>
      <c r="DO9" s="287"/>
      <c r="DP9" s="288"/>
      <c r="DQ9" s="289"/>
      <c r="DR9" s="295"/>
      <c r="DS9" s="288"/>
      <c r="DT9" s="294"/>
      <c r="DU9" s="287"/>
      <c r="DV9" s="288"/>
      <c r="DW9" s="289"/>
      <c r="DX9" s="295"/>
      <c r="DY9" s="288"/>
      <c r="DZ9" s="294"/>
      <c r="EA9" s="287"/>
      <c r="EB9" s="288"/>
      <c r="EC9" s="289"/>
      <c r="ED9" s="295"/>
      <c r="EE9" s="288"/>
      <c r="EF9" s="294"/>
      <c r="EG9" s="287"/>
      <c r="EH9" s="288"/>
      <c r="EI9" s="289"/>
      <c r="EJ9" s="295"/>
      <c r="EK9" s="288"/>
      <c r="EL9" s="294"/>
      <c r="EM9" s="287"/>
      <c r="EN9" s="288"/>
      <c r="EO9" s="289"/>
      <c r="EP9" s="295"/>
      <c r="EQ9" s="288"/>
      <c r="ER9" s="294"/>
      <c r="ES9" s="287"/>
      <c r="ET9" s="288"/>
      <c r="EU9" s="289"/>
      <c r="EV9" s="295"/>
      <c r="EW9" s="288"/>
      <c r="EX9" s="294"/>
      <c r="EY9" s="287"/>
      <c r="EZ9" s="288"/>
      <c r="FA9" s="289"/>
      <c r="FB9" s="295"/>
      <c r="FC9" s="288"/>
      <c r="FD9" s="294"/>
      <c r="FE9" s="287"/>
      <c r="FF9" s="288"/>
      <c r="FG9" s="289"/>
      <c r="FH9" s="295"/>
      <c r="FI9" s="288"/>
      <c r="FJ9" s="294"/>
      <c r="FK9" s="287"/>
      <c r="FL9" s="288"/>
      <c r="FM9" s="289"/>
      <c r="FN9" s="295"/>
      <c r="FO9" s="288"/>
      <c r="FP9" s="294"/>
      <c r="FQ9" s="287"/>
      <c r="FR9" s="288"/>
      <c r="FS9" s="289"/>
      <c r="FT9" s="295"/>
      <c r="FU9" s="288"/>
      <c r="FV9" s="294"/>
      <c r="FW9" s="287"/>
      <c r="FX9" s="288"/>
      <c r="FY9" s="289"/>
      <c r="FZ9" s="295"/>
      <c r="GA9" s="288"/>
      <c r="GB9" s="294"/>
      <c r="GC9" s="287"/>
      <c r="GD9" s="288"/>
      <c r="GE9" s="289"/>
      <c r="GF9" s="295"/>
      <c r="GG9" s="288"/>
      <c r="GH9" s="294"/>
      <c r="GI9" s="287"/>
      <c r="GJ9" s="288"/>
      <c r="GK9" s="289"/>
      <c r="GL9" s="295"/>
      <c r="GM9" s="288"/>
      <c r="GN9" s="294"/>
      <c r="GO9" s="287"/>
      <c r="GP9" s="288"/>
      <c r="GQ9" s="289"/>
      <c r="GR9" s="295"/>
      <c r="GS9" s="288"/>
      <c r="GT9" s="294"/>
      <c r="GU9" s="295"/>
      <c r="GV9" s="288"/>
      <c r="GW9" s="294"/>
      <c r="GX9" s="295"/>
      <c r="GY9" s="288"/>
      <c r="GZ9" s="294"/>
      <c r="HA9" s="295"/>
      <c r="HB9" s="288"/>
      <c r="HC9" s="294"/>
      <c r="HD9" s="368">
        <f t="shared" ref="HD9:HD38" si="0">+B9+E9+H9+K9+N9+Q9+T9+W9+Z9+AC9+AF9+AI9+AL9+AO9+AR9+AU9+AX9+BA9+BD9+BG9+BJ9+BM9+BP9+BS9+BV9+BY9+CB9+CE9+CH9+CK9+CN9+CZ9+CQ9+CT9+CW9+DC9+DF9+DI9+DL9+DO9+DR9+DU9+DX9+EA9+ED9+EG9+EJ9+EM9+EP9+ES9+EV9+EY9+FB9+FE9+FH9+FK9+FN9+FQ9+FT9+FW9+FZ9+GC9+GF9+GI9+GL9+GO9+GR9+GU9+GX9+HA9</f>
        <v>0</v>
      </c>
      <c r="HE9" s="369">
        <f t="shared" ref="HE9:HE38" si="1">+C9+F9+I9+L9+O9+R9+U9+X9+AA9+AD9+AG9+AJ9+AM9+AP9+AS9+AV9+AY9+BB9+BE9+BH9+BK9+BN9+BQ9+BT9+BW9+BZ9+CC9+CF9+CI9+CL9+CO9+DA9+CR9+CU9+CX9+DD9+DG9+DJ9+DM9+DP9+DS9+DV9+DY9+EB9+EE9+EH9+EK9+EN9+EQ9+ET9+EW9+EZ9+FC9+FF9+FI9+FL9+FO9+FR9+FU9+FX9+GA9+GD9+GG9+GJ9+GM9+GP9+GS9+GV9+GY9+HB9</f>
        <v>0</v>
      </c>
      <c r="HF9" s="369">
        <f t="shared" ref="HF9:HF38" si="2">+D9+G9+J9+M9+P9+S9+V9+Y9+AE9+AH9+AK9+AQ9+AT9+AW9+AZ9+BC9+BF9+BI9+BL9+BO9+BR9+BU9+BX9+CA9+CD9+CG9+CJ9+CM9+CP9+DB9+AB9+AN9+CS9+CV9+CY9+DE9+DH9+DK9+DN9+DQ9+DT9+DW9+DZ9+EC9+EF9+EI9+EL9+EO9+ER9+EU9+EX9+FA9+FD9+FG9+FJ9+FM9+FP9+FS9+FV9+FY9+GB9+GE9+GH9+GK9+GN9+GQ9+GT9+GW9+GZ9+HC9</f>
        <v>0</v>
      </c>
    </row>
    <row r="10" spans="1:214" ht="15.75" thickBot="1">
      <c r="A10" s="238">
        <v>3</v>
      </c>
      <c r="B10" s="239"/>
      <c r="C10" s="43"/>
      <c r="D10" s="283"/>
      <c r="E10" s="295"/>
      <c r="F10" s="288"/>
      <c r="G10" s="294"/>
      <c r="H10" s="287"/>
      <c r="I10" s="288"/>
      <c r="J10" s="289"/>
      <c r="K10" s="295"/>
      <c r="L10" s="288"/>
      <c r="M10" s="294"/>
      <c r="N10" s="287"/>
      <c r="O10" s="288"/>
      <c r="P10" s="289"/>
      <c r="Q10" s="295"/>
      <c r="R10" s="288"/>
      <c r="S10" s="294"/>
      <c r="T10" s="287"/>
      <c r="U10" s="288"/>
      <c r="V10" s="289"/>
      <c r="W10" s="295"/>
      <c r="X10" s="288"/>
      <c r="Y10" s="294"/>
      <c r="Z10" s="287"/>
      <c r="AA10" s="288"/>
      <c r="AB10" s="289"/>
      <c r="AC10" s="295"/>
      <c r="AD10" s="288"/>
      <c r="AE10" s="294"/>
      <c r="AF10" s="287"/>
      <c r="AG10" s="288"/>
      <c r="AH10" s="289"/>
      <c r="AI10" s="295"/>
      <c r="AJ10" s="288"/>
      <c r="AK10" s="294"/>
      <c r="AL10" s="287"/>
      <c r="AM10" s="288"/>
      <c r="AN10" s="289"/>
      <c r="AO10" s="295"/>
      <c r="AP10" s="288"/>
      <c r="AQ10" s="294"/>
      <c r="AR10" s="287"/>
      <c r="AS10" s="288"/>
      <c r="AT10" s="289"/>
      <c r="AU10" s="295"/>
      <c r="AV10" s="288"/>
      <c r="AW10" s="294"/>
      <c r="AX10" s="287"/>
      <c r="AY10" s="288"/>
      <c r="AZ10" s="289"/>
      <c r="BA10" s="295"/>
      <c r="BB10" s="288"/>
      <c r="BC10" s="294"/>
      <c r="BD10" s="287"/>
      <c r="BE10" s="288"/>
      <c r="BF10" s="289"/>
      <c r="BG10" s="295"/>
      <c r="BH10" s="288"/>
      <c r="BI10" s="294"/>
      <c r="BJ10" s="287"/>
      <c r="BK10" s="288"/>
      <c r="BL10" s="289"/>
      <c r="BM10" s="295"/>
      <c r="BN10" s="288"/>
      <c r="BO10" s="294"/>
      <c r="BP10" s="287"/>
      <c r="BQ10" s="288"/>
      <c r="BR10" s="289"/>
      <c r="BS10" s="295"/>
      <c r="BT10" s="288"/>
      <c r="BU10" s="294"/>
      <c r="BV10" s="287"/>
      <c r="BW10" s="288"/>
      <c r="BX10" s="289"/>
      <c r="BY10" s="295"/>
      <c r="BZ10" s="288"/>
      <c r="CA10" s="294"/>
      <c r="CB10" s="287"/>
      <c r="CC10" s="288"/>
      <c r="CD10" s="289"/>
      <c r="CE10" s="295"/>
      <c r="CF10" s="288"/>
      <c r="CG10" s="294"/>
      <c r="CH10" s="287"/>
      <c r="CI10" s="288"/>
      <c r="CJ10" s="289"/>
      <c r="CK10" s="295"/>
      <c r="CL10" s="288"/>
      <c r="CM10" s="294"/>
      <c r="CN10" s="287"/>
      <c r="CO10" s="288"/>
      <c r="CP10" s="289"/>
      <c r="CQ10" s="295"/>
      <c r="CR10" s="288"/>
      <c r="CS10" s="294"/>
      <c r="CT10" s="295"/>
      <c r="CU10" s="288"/>
      <c r="CV10" s="294"/>
      <c r="CW10" s="295"/>
      <c r="CX10" s="288"/>
      <c r="CY10" s="294"/>
      <c r="CZ10" s="295"/>
      <c r="DA10" s="288"/>
      <c r="DB10" s="294"/>
      <c r="DC10" s="239"/>
      <c r="DD10" s="43"/>
      <c r="DE10" s="283"/>
      <c r="DF10" s="295"/>
      <c r="DG10" s="288"/>
      <c r="DH10" s="294"/>
      <c r="DI10" s="287"/>
      <c r="DJ10" s="288"/>
      <c r="DK10" s="289"/>
      <c r="DL10" s="295"/>
      <c r="DM10" s="288"/>
      <c r="DN10" s="294"/>
      <c r="DO10" s="287"/>
      <c r="DP10" s="288"/>
      <c r="DQ10" s="289"/>
      <c r="DR10" s="295"/>
      <c r="DS10" s="288"/>
      <c r="DT10" s="294"/>
      <c r="DU10" s="287"/>
      <c r="DV10" s="288"/>
      <c r="DW10" s="289"/>
      <c r="DX10" s="295"/>
      <c r="DY10" s="288"/>
      <c r="DZ10" s="294"/>
      <c r="EA10" s="287"/>
      <c r="EB10" s="288"/>
      <c r="EC10" s="289"/>
      <c r="ED10" s="295"/>
      <c r="EE10" s="288"/>
      <c r="EF10" s="294"/>
      <c r="EG10" s="287"/>
      <c r="EH10" s="288"/>
      <c r="EI10" s="289"/>
      <c r="EJ10" s="295"/>
      <c r="EK10" s="288"/>
      <c r="EL10" s="294"/>
      <c r="EM10" s="287"/>
      <c r="EN10" s="288"/>
      <c r="EO10" s="289"/>
      <c r="EP10" s="295"/>
      <c r="EQ10" s="288"/>
      <c r="ER10" s="294"/>
      <c r="ES10" s="287"/>
      <c r="ET10" s="288"/>
      <c r="EU10" s="289"/>
      <c r="EV10" s="295"/>
      <c r="EW10" s="288"/>
      <c r="EX10" s="294"/>
      <c r="EY10" s="287"/>
      <c r="EZ10" s="288"/>
      <c r="FA10" s="289"/>
      <c r="FB10" s="295"/>
      <c r="FC10" s="288"/>
      <c r="FD10" s="294"/>
      <c r="FE10" s="287"/>
      <c r="FF10" s="288"/>
      <c r="FG10" s="289"/>
      <c r="FH10" s="295"/>
      <c r="FI10" s="288"/>
      <c r="FJ10" s="294"/>
      <c r="FK10" s="287"/>
      <c r="FL10" s="288"/>
      <c r="FM10" s="289"/>
      <c r="FN10" s="295"/>
      <c r="FO10" s="288"/>
      <c r="FP10" s="294"/>
      <c r="FQ10" s="287"/>
      <c r="FR10" s="288"/>
      <c r="FS10" s="289"/>
      <c r="FT10" s="295"/>
      <c r="FU10" s="288"/>
      <c r="FV10" s="294"/>
      <c r="FW10" s="287"/>
      <c r="FX10" s="288"/>
      <c r="FY10" s="289"/>
      <c r="FZ10" s="295"/>
      <c r="GA10" s="288"/>
      <c r="GB10" s="294"/>
      <c r="GC10" s="287"/>
      <c r="GD10" s="288"/>
      <c r="GE10" s="289"/>
      <c r="GF10" s="295"/>
      <c r="GG10" s="288"/>
      <c r="GH10" s="294"/>
      <c r="GI10" s="287"/>
      <c r="GJ10" s="288"/>
      <c r="GK10" s="289"/>
      <c r="GL10" s="295"/>
      <c r="GM10" s="288"/>
      <c r="GN10" s="294"/>
      <c r="GO10" s="287"/>
      <c r="GP10" s="288"/>
      <c r="GQ10" s="289"/>
      <c r="GR10" s="295"/>
      <c r="GS10" s="288"/>
      <c r="GT10" s="294"/>
      <c r="GU10" s="295"/>
      <c r="GV10" s="288"/>
      <c r="GW10" s="294"/>
      <c r="GX10" s="295"/>
      <c r="GY10" s="288"/>
      <c r="GZ10" s="294"/>
      <c r="HA10" s="295"/>
      <c r="HB10" s="288"/>
      <c r="HC10" s="294"/>
      <c r="HD10" s="368">
        <f t="shared" si="0"/>
        <v>0</v>
      </c>
      <c r="HE10" s="369">
        <f t="shared" si="1"/>
        <v>0</v>
      </c>
      <c r="HF10" s="369">
        <f t="shared" si="2"/>
        <v>0</v>
      </c>
    </row>
    <row r="11" spans="1:214" ht="15.75" thickBot="1">
      <c r="A11" s="238">
        <v>4</v>
      </c>
      <c r="B11" s="239"/>
      <c r="C11" s="43"/>
      <c r="D11" s="283"/>
      <c r="E11" s="295"/>
      <c r="F11" s="288"/>
      <c r="G11" s="294"/>
      <c r="H11" s="287"/>
      <c r="I11" s="288"/>
      <c r="J11" s="289"/>
      <c r="K11" s="295"/>
      <c r="L11" s="288"/>
      <c r="M11" s="294"/>
      <c r="N11" s="287"/>
      <c r="O11" s="288"/>
      <c r="P11" s="289"/>
      <c r="Q11" s="295"/>
      <c r="R11" s="288"/>
      <c r="S11" s="294"/>
      <c r="T11" s="287"/>
      <c r="U11" s="288"/>
      <c r="V11" s="289"/>
      <c r="W11" s="295"/>
      <c r="X11" s="288"/>
      <c r="Y11" s="294"/>
      <c r="Z11" s="287"/>
      <c r="AA11" s="288"/>
      <c r="AB11" s="289"/>
      <c r="AC11" s="295"/>
      <c r="AD11" s="288"/>
      <c r="AE11" s="294"/>
      <c r="AF11" s="287"/>
      <c r="AG11" s="288"/>
      <c r="AH11" s="289"/>
      <c r="AI11" s="295"/>
      <c r="AJ11" s="288"/>
      <c r="AK11" s="294"/>
      <c r="AL11" s="287"/>
      <c r="AM11" s="288"/>
      <c r="AN11" s="289"/>
      <c r="AO11" s="295"/>
      <c r="AP11" s="288"/>
      <c r="AQ11" s="294"/>
      <c r="AR11" s="287"/>
      <c r="AS11" s="288"/>
      <c r="AT11" s="289"/>
      <c r="AU11" s="295"/>
      <c r="AV11" s="288"/>
      <c r="AW11" s="294"/>
      <c r="AX11" s="287"/>
      <c r="AY11" s="288"/>
      <c r="AZ11" s="289"/>
      <c r="BA11" s="295"/>
      <c r="BB11" s="288"/>
      <c r="BC11" s="294"/>
      <c r="BD11" s="287"/>
      <c r="BE11" s="288"/>
      <c r="BF11" s="289"/>
      <c r="BG11" s="295"/>
      <c r="BH11" s="288"/>
      <c r="BI11" s="294"/>
      <c r="BJ11" s="287"/>
      <c r="BK11" s="288"/>
      <c r="BL11" s="289"/>
      <c r="BM11" s="295"/>
      <c r="BN11" s="288"/>
      <c r="BO11" s="294"/>
      <c r="BP11" s="287"/>
      <c r="BQ11" s="288"/>
      <c r="BR11" s="289"/>
      <c r="BS11" s="295"/>
      <c r="BT11" s="288"/>
      <c r="BU11" s="294"/>
      <c r="BV11" s="287"/>
      <c r="BW11" s="288"/>
      <c r="BX11" s="289"/>
      <c r="BY11" s="295"/>
      <c r="BZ11" s="288"/>
      <c r="CA11" s="294"/>
      <c r="CB11" s="287"/>
      <c r="CC11" s="288"/>
      <c r="CD11" s="289"/>
      <c r="CE11" s="295"/>
      <c r="CF11" s="288"/>
      <c r="CG11" s="294"/>
      <c r="CH11" s="287"/>
      <c r="CI11" s="288"/>
      <c r="CJ11" s="289"/>
      <c r="CK11" s="295"/>
      <c r="CL11" s="288"/>
      <c r="CM11" s="294"/>
      <c r="CN11" s="287"/>
      <c r="CO11" s="288"/>
      <c r="CP11" s="289"/>
      <c r="CQ11" s="295"/>
      <c r="CR11" s="288"/>
      <c r="CS11" s="294"/>
      <c r="CT11" s="295"/>
      <c r="CU11" s="288"/>
      <c r="CV11" s="294"/>
      <c r="CW11" s="295"/>
      <c r="CX11" s="288"/>
      <c r="CY11" s="294"/>
      <c r="CZ11" s="295"/>
      <c r="DA11" s="288"/>
      <c r="DB11" s="294"/>
      <c r="DC11" s="239"/>
      <c r="DD11" s="43"/>
      <c r="DE11" s="283"/>
      <c r="DF11" s="295"/>
      <c r="DG11" s="288"/>
      <c r="DH11" s="294"/>
      <c r="DI11" s="287"/>
      <c r="DJ11" s="288"/>
      <c r="DK11" s="289"/>
      <c r="DL11" s="295"/>
      <c r="DM11" s="288"/>
      <c r="DN11" s="294"/>
      <c r="DO11" s="287"/>
      <c r="DP11" s="288"/>
      <c r="DQ11" s="289"/>
      <c r="DR11" s="295"/>
      <c r="DS11" s="288"/>
      <c r="DT11" s="294"/>
      <c r="DU11" s="287"/>
      <c r="DV11" s="288"/>
      <c r="DW11" s="289"/>
      <c r="DX11" s="295"/>
      <c r="DY11" s="288"/>
      <c r="DZ11" s="294"/>
      <c r="EA11" s="287"/>
      <c r="EB11" s="288"/>
      <c r="EC11" s="289"/>
      <c r="ED11" s="295"/>
      <c r="EE11" s="288"/>
      <c r="EF11" s="294"/>
      <c r="EG11" s="287"/>
      <c r="EH11" s="288"/>
      <c r="EI11" s="289"/>
      <c r="EJ11" s="295"/>
      <c r="EK11" s="288"/>
      <c r="EL11" s="294"/>
      <c r="EM11" s="287"/>
      <c r="EN11" s="288"/>
      <c r="EO11" s="289"/>
      <c r="EP11" s="295"/>
      <c r="EQ11" s="288"/>
      <c r="ER11" s="294"/>
      <c r="ES11" s="287"/>
      <c r="ET11" s="288"/>
      <c r="EU11" s="289"/>
      <c r="EV11" s="295"/>
      <c r="EW11" s="288"/>
      <c r="EX11" s="294"/>
      <c r="EY11" s="287"/>
      <c r="EZ11" s="288"/>
      <c r="FA11" s="289"/>
      <c r="FB11" s="295"/>
      <c r="FC11" s="288"/>
      <c r="FD11" s="294"/>
      <c r="FE11" s="287"/>
      <c r="FF11" s="288"/>
      <c r="FG11" s="289"/>
      <c r="FH11" s="295"/>
      <c r="FI11" s="288"/>
      <c r="FJ11" s="294"/>
      <c r="FK11" s="287"/>
      <c r="FL11" s="288"/>
      <c r="FM11" s="289"/>
      <c r="FN11" s="295"/>
      <c r="FO11" s="288"/>
      <c r="FP11" s="294"/>
      <c r="FQ11" s="287"/>
      <c r="FR11" s="288"/>
      <c r="FS11" s="289"/>
      <c r="FT11" s="295"/>
      <c r="FU11" s="288"/>
      <c r="FV11" s="294"/>
      <c r="FW11" s="287"/>
      <c r="FX11" s="288"/>
      <c r="FY11" s="289"/>
      <c r="FZ11" s="295"/>
      <c r="GA11" s="288"/>
      <c r="GB11" s="294"/>
      <c r="GC11" s="287"/>
      <c r="GD11" s="288"/>
      <c r="GE11" s="289"/>
      <c r="GF11" s="295"/>
      <c r="GG11" s="288"/>
      <c r="GH11" s="294"/>
      <c r="GI11" s="287"/>
      <c r="GJ11" s="288"/>
      <c r="GK11" s="289"/>
      <c r="GL11" s="295"/>
      <c r="GM11" s="288"/>
      <c r="GN11" s="294"/>
      <c r="GO11" s="287"/>
      <c r="GP11" s="288"/>
      <c r="GQ11" s="289"/>
      <c r="GR11" s="295"/>
      <c r="GS11" s="288"/>
      <c r="GT11" s="294"/>
      <c r="GU11" s="295"/>
      <c r="GV11" s="288"/>
      <c r="GW11" s="294"/>
      <c r="GX11" s="295"/>
      <c r="GY11" s="288"/>
      <c r="GZ11" s="294"/>
      <c r="HA11" s="295"/>
      <c r="HB11" s="288"/>
      <c r="HC11" s="294"/>
      <c r="HD11" s="368">
        <f t="shared" si="0"/>
        <v>0</v>
      </c>
      <c r="HE11" s="369">
        <f t="shared" si="1"/>
        <v>0</v>
      </c>
      <c r="HF11" s="369">
        <f t="shared" si="2"/>
        <v>0</v>
      </c>
    </row>
    <row r="12" spans="1:214" ht="15.75" thickBot="1">
      <c r="A12" s="238">
        <v>5</v>
      </c>
      <c r="B12" s="239"/>
      <c r="C12" s="43"/>
      <c r="D12" s="283"/>
      <c r="E12" s="295"/>
      <c r="F12" s="288"/>
      <c r="G12" s="294"/>
      <c r="H12" s="287"/>
      <c r="I12" s="288"/>
      <c r="J12" s="289"/>
      <c r="K12" s="295"/>
      <c r="L12" s="288"/>
      <c r="M12" s="294"/>
      <c r="N12" s="287"/>
      <c r="O12" s="288"/>
      <c r="P12" s="289"/>
      <c r="Q12" s="295"/>
      <c r="R12" s="288"/>
      <c r="S12" s="294"/>
      <c r="T12" s="287"/>
      <c r="U12" s="288"/>
      <c r="V12" s="289"/>
      <c r="W12" s="295"/>
      <c r="X12" s="288"/>
      <c r="Y12" s="294"/>
      <c r="Z12" s="287"/>
      <c r="AA12" s="288"/>
      <c r="AB12" s="289"/>
      <c r="AC12" s="295"/>
      <c r="AD12" s="288"/>
      <c r="AE12" s="294"/>
      <c r="AF12" s="287"/>
      <c r="AG12" s="288"/>
      <c r="AH12" s="289"/>
      <c r="AI12" s="295"/>
      <c r="AJ12" s="288"/>
      <c r="AK12" s="294"/>
      <c r="AL12" s="287"/>
      <c r="AM12" s="288"/>
      <c r="AN12" s="289"/>
      <c r="AO12" s="295"/>
      <c r="AP12" s="288"/>
      <c r="AQ12" s="294"/>
      <c r="AR12" s="287"/>
      <c r="AS12" s="288"/>
      <c r="AT12" s="289"/>
      <c r="AU12" s="295"/>
      <c r="AV12" s="288"/>
      <c r="AW12" s="294"/>
      <c r="AX12" s="287"/>
      <c r="AY12" s="288"/>
      <c r="AZ12" s="289"/>
      <c r="BA12" s="295"/>
      <c r="BB12" s="288"/>
      <c r="BC12" s="294"/>
      <c r="BD12" s="287"/>
      <c r="BE12" s="288"/>
      <c r="BF12" s="289"/>
      <c r="BG12" s="295"/>
      <c r="BH12" s="288"/>
      <c r="BI12" s="294"/>
      <c r="BJ12" s="287"/>
      <c r="BK12" s="288"/>
      <c r="BL12" s="289"/>
      <c r="BM12" s="295"/>
      <c r="BN12" s="288"/>
      <c r="BO12" s="294"/>
      <c r="BP12" s="287"/>
      <c r="BQ12" s="288"/>
      <c r="BR12" s="289"/>
      <c r="BS12" s="295"/>
      <c r="BT12" s="288"/>
      <c r="BU12" s="294"/>
      <c r="BV12" s="287"/>
      <c r="BW12" s="288"/>
      <c r="BX12" s="289"/>
      <c r="BY12" s="295"/>
      <c r="BZ12" s="288"/>
      <c r="CA12" s="294"/>
      <c r="CB12" s="287"/>
      <c r="CC12" s="288"/>
      <c r="CD12" s="289"/>
      <c r="CE12" s="295"/>
      <c r="CF12" s="288"/>
      <c r="CG12" s="294"/>
      <c r="CH12" s="287"/>
      <c r="CI12" s="288"/>
      <c r="CJ12" s="289"/>
      <c r="CK12" s="295"/>
      <c r="CL12" s="288"/>
      <c r="CM12" s="294"/>
      <c r="CN12" s="287"/>
      <c r="CO12" s="288"/>
      <c r="CP12" s="289"/>
      <c r="CQ12" s="295"/>
      <c r="CR12" s="288"/>
      <c r="CS12" s="294"/>
      <c r="CT12" s="295"/>
      <c r="CU12" s="288"/>
      <c r="CV12" s="294"/>
      <c r="CW12" s="295"/>
      <c r="CX12" s="288"/>
      <c r="CY12" s="294"/>
      <c r="CZ12" s="295"/>
      <c r="DA12" s="288"/>
      <c r="DB12" s="294"/>
      <c r="DC12" s="239"/>
      <c r="DD12" s="43"/>
      <c r="DE12" s="283"/>
      <c r="DF12" s="295"/>
      <c r="DG12" s="288"/>
      <c r="DH12" s="294"/>
      <c r="DI12" s="287"/>
      <c r="DJ12" s="288"/>
      <c r="DK12" s="289"/>
      <c r="DL12" s="295"/>
      <c r="DM12" s="288"/>
      <c r="DN12" s="294"/>
      <c r="DO12" s="287"/>
      <c r="DP12" s="288"/>
      <c r="DQ12" s="289"/>
      <c r="DR12" s="295"/>
      <c r="DS12" s="288"/>
      <c r="DT12" s="294"/>
      <c r="DU12" s="287"/>
      <c r="DV12" s="288"/>
      <c r="DW12" s="289"/>
      <c r="DX12" s="295"/>
      <c r="DY12" s="288"/>
      <c r="DZ12" s="294"/>
      <c r="EA12" s="287"/>
      <c r="EB12" s="288"/>
      <c r="EC12" s="289"/>
      <c r="ED12" s="295"/>
      <c r="EE12" s="288"/>
      <c r="EF12" s="294"/>
      <c r="EG12" s="287"/>
      <c r="EH12" s="288"/>
      <c r="EI12" s="289"/>
      <c r="EJ12" s="295"/>
      <c r="EK12" s="288"/>
      <c r="EL12" s="294"/>
      <c r="EM12" s="287"/>
      <c r="EN12" s="288"/>
      <c r="EO12" s="289"/>
      <c r="EP12" s="295"/>
      <c r="EQ12" s="288"/>
      <c r="ER12" s="294"/>
      <c r="ES12" s="287"/>
      <c r="ET12" s="288"/>
      <c r="EU12" s="289"/>
      <c r="EV12" s="295"/>
      <c r="EW12" s="288"/>
      <c r="EX12" s="294"/>
      <c r="EY12" s="287"/>
      <c r="EZ12" s="288"/>
      <c r="FA12" s="289"/>
      <c r="FB12" s="295"/>
      <c r="FC12" s="288"/>
      <c r="FD12" s="294"/>
      <c r="FE12" s="287"/>
      <c r="FF12" s="288"/>
      <c r="FG12" s="289"/>
      <c r="FH12" s="295"/>
      <c r="FI12" s="288"/>
      <c r="FJ12" s="294"/>
      <c r="FK12" s="287"/>
      <c r="FL12" s="288"/>
      <c r="FM12" s="289"/>
      <c r="FN12" s="295"/>
      <c r="FO12" s="288"/>
      <c r="FP12" s="294"/>
      <c r="FQ12" s="287"/>
      <c r="FR12" s="288"/>
      <c r="FS12" s="289"/>
      <c r="FT12" s="295"/>
      <c r="FU12" s="288"/>
      <c r="FV12" s="294"/>
      <c r="FW12" s="287"/>
      <c r="FX12" s="288"/>
      <c r="FY12" s="289"/>
      <c r="FZ12" s="295"/>
      <c r="GA12" s="288"/>
      <c r="GB12" s="294"/>
      <c r="GC12" s="287"/>
      <c r="GD12" s="288"/>
      <c r="GE12" s="289"/>
      <c r="GF12" s="295"/>
      <c r="GG12" s="288"/>
      <c r="GH12" s="294"/>
      <c r="GI12" s="287"/>
      <c r="GJ12" s="288"/>
      <c r="GK12" s="289"/>
      <c r="GL12" s="295"/>
      <c r="GM12" s="288"/>
      <c r="GN12" s="294"/>
      <c r="GO12" s="287"/>
      <c r="GP12" s="288"/>
      <c r="GQ12" s="289"/>
      <c r="GR12" s="295"/>
      <c r="GS12" s="288"/>
      <c r="GT12" s="294"/>
      <c r="GU12" s="295"/>
      <c r="GV12" s="288"/>
      <c r="GW12" s="294"/>
      <c r="GX12" s="295"/>
      <c r="GY12" s="288"/>
      <c r="GZ12" s="294"/>
      <c r="HA12" s="295"/>
      <c r="HB12" s="288"/>
      <c r="HC12" s="294"/>
      <c r="HD12" s="368">
        <f t="shared" si="0"/>
        <v>0</v>
      </c>
      <c r="HE12" s="369">
        <f t="shared" si="1"/>
        <v>0</v>
      </c>
      <c r="HF12" s="369">
        <f t="shared" si="2"/>
        <v>0</v>
      </c>
    </row>
    <row r="13" spans="1:214" ht="15.75" thickBot="1">
      <c r="A13" s="238">
        <v>6</v>
      </c>
      <c r="B13" s="239"/>
      <c r="C13" s="43"/>
      <c r="D13" s="283"/>
      <c r="E13" s="295"/>
      <c r="F13" s="288"/>
      <c r="G13" s="294"/>
      <c r="H13" s="277"/>
      <c r="I13" s="43"/>
      <c r="J13" s="289"/>
      <c r="K13" s="295"/>
      <c r="L13" s="288"/>
      <c r="M13" s="294"/>
      <c r="N13" s="287"/>
      <c r="O13" s="288"/>
      <c r="P13" s="289"/>
      <c r="Q13" s="295"/>
      <c r="R13" s="288"/>
      <c r="S13" s="294"/>
      <c r="T13" s="287"/>
      <c r="U13" s="288"/>
      <c r="V13" s="289"/>
      <c r="W13" s="295"/>
      <c r="X13" s="288"/>
      <c r="Y13" s="294"/>
      <c r="Z13" s="287"/>
      <c r="AA13" s="288"/>
      <c r="AB13" s="289"/>
      <c r="AC13" s="295"/>
      <c r="AD13" s="288"/>
      <c r="AE13" s="294"/>
      <c r="AF13" s="287"/>
      <c r="AG13" s="288"/>
      <c r="AH13" s="289"/>
      <c r="AI13" s="295"/>
      <c r="AJ13" s="288"/>
      <c r="AK13" s="294"/>
      <c r="AL13" s="287"/>
      <c r="AM13" s="288"/>
      <c r="AN13" s="289"/>
      <c r="AO13" s="295"/>
      <c r="AP13" s="288"/>
      <c r="AQ13" s="294"/>
      <c r="AR13" s="287"/>
      <c r="AS13" s="288"/>
      <c r="AT13" s="289"/>
      <c r="AU13" s="295"/>
      <c r="AV13" s="288"/>
      <c r="AW13" s="294"/>
      <c r="AX13" s="287"/>
      <c r="AY13" s="288"/>
      <c r="AZ13" s="289"/>
      <c r="BA13" s="295"/>
      <c r="BB13" s="288"/>
      <c r="BC13" s="294"/>
      <c r="BD13" s="287"/>
      <c r="BE13" s="288"/>
      <c r="BF13" s="289"/>
      <c r="BG13" s="295"/>
      <c r="BH13" s="288"/>
      <c r="BI13" s="294"/>
      <c r="BJ13" s="287"/>
      <c r="BK13" s="288"/>
      <c r="BL13" s="289"/>
      <c r="BM13" s="295"/>
      <c r="BN13" s="288"/>
      <c r="BO13" s="294"/>
      <c r="BP13" s="287"/>
      <c r="BQ13" s="288"/>
      <c r="BR13" s="289"/>
      <c r="BS13" s="295"/>
      <c r="BT13" s="288"/>
      <c r="BU13" s="294"/>
      <c r="BV13" s="287"/>
      <c r="BW13" s="288"/>
      <c r="BX13" s="289"/>
      <c r="BY13" s="295"/>
      <c r="BZ13" s="288"/>
      <c r="CA13" s="294"/>
      <c r="CB13" s="287"/>
      <c r="CC13" s="288"/>
      <c r="CD13" s="289"/>
      <c r="CE13" s="295"/>
      <c r="CF13" s="288"/>
      <c r="CG13" s="294"/>
      <c r="CH13" s="287"/>
      <c r="CI13" s="288"/>
      <c r="CJ13" s="289"/>
      <c r="CK13" s="295"/>
      <c r="CL13" s="288"/>
      <c r="CM13" s="294"/>
      <c r="CN13" s="287"/>
      <c r="CO13" s="288"/>
      <c r="CP13" s="289"/>
      <c r="CQ13" s="295"/>
      <c r="CR13" s="288"/>
      <c r="CS13" s="294"/>
      <c r="CT13" s="295"/>
      <c r="CU13" s="288"/>
      <c r="CV13" s="294"/>
      <c r="CW13" s="295"/>
      <c r="CX13" s="288"/>
      <c r="CY13" s="294"/>
      <c r="CZ13" s="295"/>
      <c r="DA13" s="288"/>
      <c r="DB13" s="294"/>
      <c r="DC13" s="239"/>
      <c r="DD13" s="43"/>
      <c r="DE13" s="283"/>
      <c r="DF13" s="295"/>
      <c r="DG13" s="288"/>
      <c r="DH13" s="294"/>
      <c r="DI13" s="277"/>
      <c r="DJ13" s="43"/>
      <c r="DK13" s="289"/>
      <c r="DL13" s="295"/>
      <c r="DM13" s="288"/>
      <c r="DN13" s="294"/>
      <c r="DO13" s="287"/>
      <c r="DP13" s="288"/>
      <c r="DQ13" s="289"/>
      <c r="DR13" s="295"/>
      <c r="DS13" s="288"/>
      <c r="DT13" s="294"/>
      <c r="DU13" s="287"/>
      <c r="DV13" s="288"/>
      <c r="DW13" s="289"/>
      <c r="DX13" s="295"/>
      <c r="DY13" s="288"/>
      <c r="DZ13" s="294"/>
      <c r="EA13" s="287"/>
      <c r="EB13" s="288"/>
      <c r="EC13" s="289"/>
      <c r="ED13" s="295"/>
      <c r="EE13" s="288"/>
      <c r="EF13" s="294"/>
      <c r="EG13" s="287"/>
      <c r="EH13" s="288"/>
      <c r="EI13" s="289"/>
      <c r="EJ13" s="295"/>
      <c r="EK13" s="288"/>
      <c r="EL13" s="294"/>
      <c r="EM13" s="287"/>
      <c r="EN13" s="288"/>
      <c r="EO13" s="289"/>
      <c r="EP13" s="295"/>
      <c r="EQ13" s="288"/>
      <c r="ER13" s="294"/>
      <c r="ES13" s="287"/>
      <c r="ET13" s="288"/>
      <c r="EU13" s="289"/>
      <c r="EV13" s="295"/>
      <c r="EW13" s="288"/>
      <c r="EX13" s="294"/>
      <c r="EY13" s="287"/>
      <c r="EZ13" s="288"/>
      <c r="FA13" s="289"/>
      <c r="FB13" s="295"/>
      <c r="FC13" s="288"/>
      <c r="FD13" s="294"/>
      <c r="FE13" s="287"/>
      <c r="FF13" s="288"/>
      <c r="FG13" s="289"/>
      <c r="FH13" s="295"/>
      <c r="FI13" s="288"/>
      <c r="FJ13" s="294"/>
      <c r="FK13" s="287"/>
      <c r="FL13" s="288"/>
      <c r="FM13" s="289"/>
      <c r="FN13" s="295"/>
      <c r="FO13" s="288"/>
      <c r="FP13" s="294"/>
      <c r="FQ13" s="287"/>
      <c r="FR13" s="288"/>
      <c r="FS13" s="289"/>
      <c r="FT13" s="295"/>
      <c r="FU13" s="288"/>
      <c r="FV13" s="294"/>
      <c r="FW13" s="287"/>
      <c r="FX13" s="288"/>
      <c r="FY13" s="289"/>
      <c r="FZ13" s="295"/>
      <c r="GA13" s="288"/>
      <c r="GB13" s="294"/>
      <c r="GC13" s="287"/>
      <c r="GD13" s="288"/>
      <c r="GE13" s="289"/>
      <c r="GF13" s="295"/>
      <c r="GG13" s="288"/>
      <c r="GH13" s="294"/>
      <c r="GI13" s="287"/>
      <c r="GJ13" s="288"/>
      <c r="GK13" s="289"/>
      <c r="GL13" s="295"/>
      <c r="GM13" s="288"/>
      <c r="GN13" s="294"/>
      <c r="GO13" s="287"/>
      <c r="GP13" s="288"/>
      <c r="GQ13" s="289"/>
      <c r="GR13" s="295"/>
      <c r="GS13" s="288"/>
      <c r="GT13" s="294"/>
      <c r="GU13" s="295"/>
      <c r="GV13" s="288"/>
      <c r="GW13" s="294"/>
      <c r="GX13" s="295"/>
      <c r="GY13" s="288"/>
      <c r="GZ13" s="294"/>
      <c r="HA13" s="295"/>
      <c r="HB13" s="288"/>
      <c r="HC13" s="294"/>
      <c r="HD13" s="368">
        <f t="shared" si="0"/>
        <v>0</v>
      </c>
      <c r="HE13" s="369">
        <f t="shared" si="1"/>
        <v>0</v>
      </c>
      <c r="HF13" s="369">
        <f t="shared" si="2"/>
        <v>0</v>
      </c>
    </row>
    <row r="14" spans="1:214" s="1" customFormat="1" ht="15.75" thickBot="1">
      <c r="A14" s="243">
        <v>7</v>
      </c>
      <c r="B14" s="239"/>
      <c r="C14" s="43"/>
      <c r="D14" s="283"/>
      <c r="E14" s="295"/>
      <c r="F14" s="288"/>
      <c r="G14" s="294"/>
      <c r="H14" s="287"/>
      <c r="I14" s="288"/>
      <c r="J14" s="289"/>
      <c r="K14" s="295"/>
      <c r="L14" s="288"/>
      <c r="M14" s="294"/>
      <c r="N14" s="287"/>
      <c r="O14" s="288"/>
      <c r="P14" s="289"/>
      <c r="Q14" s="295"/>
      <c r="R14" s="288"/>
      <c r="S14" s="294"/>
      <c r="T14" s="287"/>
      <c r="U14" s="288"/>
      <c r="V14" s="289"/>
      <c r="W14" s="295"/>
      <c r="X14" s="288"/>
      <c r="Y14" s="294"/>
      <c r="Z14" s="287"/>
      <c r="AA14" s="288"/>
      <c r="AB14" s="289"/>
      <c r="AC14" s="295"/>
      <c r="AD14" s="288"/>
      <c r="AE14" s="294"/>
      <c r="AF14" s="287"/>
      <c r="AG14" s="288"/>
      <c r="AH14" s="289"/>
      <c r="AI14" s="295"/>
      <c r="AJ14" s="288"/>
      <c r="AK14" s="294"/>
      <c r="AL14" s="287"/>
      <c r="AM14" s="288"/>
      <c r="AN14" s="289"/>
      <c r="AO14" s="295"/>
      <c r="AP14" s="288"/>
      <c r="AQ14" s="294"/>
      <c r="AR14" s="287"/>
      <c r="AS14" s="288"/>
      <c r="AT14" s="289"/>
      <c r="AU14" s="295"/>
      <c r="AV14" s="288"/>
      <c r="AW14" s="294"/>
      <c r="AX14" s="287"/>
      <c r="AY14" s="288"/>
      <c r="AZ14" s="289"/>
      <c r="BA14" s="295"/>
      <c r="BB14" s="288"/>
      <c r="BC14" s="294"/>
      <c r="BD14" s="287"/>
      <c r="BE14" s="288"/>
      <c r="BF14" s="289"/>
      <c r="BG14" s="295"/>
      <c r="BH14" s="288"/>
      <c r="BI14" s="294"/>
      <c r="BJ14" s="287"/>
      <c r="BK14" s="288"/>
      <c r="BL14" s="289"/>
      <c r="BM14" s="295"/>
      <c r="BN14" s="288"/>
      <c r="BO14" s="294"/>
      <c r="BP14" s="287"/>
      <c r="BQ14" s="288"/>
      <c r="BR14" s="289"/>
      <c r="BS14" s="295"/>
      <c r="BT14" s="288"/>
      <c r="BU14" s="294"/>
      <c r="BV14" s="287"/>
      <c r="BW14" s="288"/>
      <c r="BX14" s="289"/>
      <c r="BY14" s="295"/>
      <c r="BZ14" s="288"/>
      <c r="CA14" s="294"/>
      <c r="CB14" s="287"/>
      <c r="CC14" s="288"/>
      <c r="CD14" s="289"/>
      <c r="CE14" s="295"/>
      <c r="CF14" s="288"/>
      <c r="CG14" s="294"/>
      <c r="CH14" s="287"/>
      <c r="CI14" s="288"/>
      <c r="CJ14" s="289"/>
      <c r="CK14" s="295"/>
      <c r="CL14" s="288"/>
      <c r="CM14" s="294"/>
      <c r="CN14" s="287"/>
      <c r="CO14" s="288"/>
      <c r="CP14" s="289"/>
      <c r="CQ14" s="295"/>
      <c r="CR14" s="288"/>
      <c r="CS14" s="294"/>
      <c r="CT14" s="295"/>
      <c r="CU14" s="288"/>
      <c r="CV14" s="294"/>
      <c r="CW14" s="295"/>
      <c r="CX14" s="288"/>
      <c r="CY14" s="294"/>
      <c r="CZ14" s="295"/>
      <c r="DA14" s="288"/>
      <c r="DB14" s="294"/>
      <c r="DC14" s="239"/>
      <c r="DD14" s="43"/>
      <c r="DE14" s="283"/>
      <c r="DF14" s="295"/>
      <c r="DG14" s="288"/>
      <c r="DH14" s="294"/>
      <c r="DI14" s="287"/>
      <c r="DJ14" s="288"/>
      <c r="DK14" s="289"/>
      <c r="DL14" s="295"/>
      <c r="DM14" s="288"/>
      <c r="DN14" s="294"/>
      <c r="DO14" s="287"/>
      <c r="DP14" s="288"/>
      <c r="DQ14" s="289"/>
      <c r="DR14" s="295"/>
      <c r="DS14" s="288"/>
      <c r="DT14" s="294"/>
      <c r="DU14" s="287"/>
      <c r="DV14" s="288"/>
      <c r="DW14" s="289"/>
      <c r="DX14" s="295"/>
      <c r="DY14" s="288"/>
      <c r="DZ14" s="294"/>
      <c r="EA14" s="287"/>
      <c r="EB14" s="288"/>
      <c r="EC14" s="289"/>
      <c r="ED14" s="295"/>
      <c r="EE14" s="288"/>
      <c r="EF14" s="294"/>
      <c r="EG14" s="287"/>
      <c r="EH14" s="288"/>
      <c r="EI14" s="289"/>
      <c r="EJ14" s="295"/>
      <c r="EK14" s="288"/>
      <c r="EL14" s="294"/>
      <c r="EM14" s="287"/>
      <c r="EN14" s="288"/>
      <c r="EO14" s="289"/>
      <c r="EP14" s="295"/>
      <c r="EQ14" s="288"/>
      <c r="ER14" s="294"/>
      <c r="ES14" s="287"/>
      <c r="ET14" s="288"/>
      <c r="EU14" s="289"/>
      <c r="EV14" s="295"/>
      <c r="EW14" s="288"/>
      <c r="EX14" s="294"/>
      <c r="EY14" s="287"/>
      <c r="EZ14" s="288"/>
      <c r="FA14" s="289"/>
      <c r="FB14" s="295"/>
      <c r="FC14" s="288"/>
      <c r="FD14" s="294"/>
      <c r="FE14" s="287"/>
      <c r="FF14" s="288"/>
      <c r="FG14" s="289"/>
      <c r="FH14" s="295"/>
      <c r="FI14" s="288"/>
      <c r="FJ14" s="294"/>
      <c r="FK14" s="287"/>
      <c r="FL14" s="288"/>
      <c r="FM14" s="289"/>
      <c r="FN14" s="295"/>
      <c r="FO14" s="288"/>
      <c r="FP14" s="294"/>
      <c r="FQ14" s="287"/>
      <c r="FR14" s="288"/>
      <c r="FS14" s="289"/>
      <c r="FT14" s="295"/>
      <c r="FU14" s="288"/>
      <c r="FV14" s="294"/>
      <c r="FW14" s="287"/>
      <c r="FX14" s="288"/>
      <c r="FY14" s="289"/>
      <c r="FZ14" s="295"/>
      <c r="GA14" s="288"/>
      <c r="GB14" s="294"/>
      <c r="GC14" s="287"/>
      <c r="GD14" s="288"/>
      <c r="GE14" s="289"/>
      <c r="GF14" s="295"/>
      <c r="GG14" s="288"/>
      <c r="GH14" s="294"/>
      <c r="GI14" s="287"/>
      <c r="GJ14" s="288"/>
      <c r="GK14" s="289"/>
      <c r="GL14" s="295"/>
      <c r="GM14" s="288"/>
      <c r="GN14" s="294"/>
      <c r="GO14" s="287"/>
      <c r="GP14" s="288"/>
      <c r="GQ14" s="289"/>
      <c r="GR14" s="295"/>
      <c r="GS14" s="288"/>
      <c r="GT14" s="294"/>
      <c r="GU14" s="295"/>
      <c r="GV14" s="288"/>
      <c r="GW14" s="294"/>
      <c r="GX14" s="295"/>
      <c r="GY14" s="288"/>
      <c r="GZ14" s="294"/>
      <c r="HA14" s="295"/>
      <c r="HB14" s="288"/>
      <c r="HC14" s="294"/>
      <c r="HD14" s="368">
        <f t="shared" si="0"/>
        <v>0</v>
      </c>
      <c r="HE14" s="369">
        <f t="shared" si="1"/>
        <v>0</v>
      </c>
      <c r="HF14" s="369">
        <f t="shared" si="2"/>
        <v>0</v>
      </c>
    </row>
    <row r="15" spans="1:214" ht="15.75" thickBot="1">
      <c r="A15" s="238">
        <v>8</v>
      </c>
      <c r="B15" s="239"/>
      <c r="C15" s="43"/>
      <c r="D15" s="283"/>
      <c r="E15" s="295"/>
      <c r="F15" s="288"/>
      <c r="G15" s="294"/>
      <c r="H15" s="287"/>
      <c r="I15" s="288"/>
      <c r="J15" s="289"/>
      <c r="K15" s="295"/>
      <c r="L15" s="288"/>
      <c r="M15" s="294"/>
      <c r="N15" s="287"/>
      <c r="O15" s="288"/>
      <c r="P15" s="289"/>
      <c r="Q15" s="295"/>
      <c r="R15" s="288"/>
      <c r="S15" s="294"/>
      <c r="T15" s="287"/>
      <c r="U15" s="288"/>
      <c r="V15" s="289"/>
      <c r="W15" s="295"/>
      <c r="X15" s="288"/>
      <c r="Y15" s="294"/>
      <c r="Z15" s="287"/>
      <c r="AA15" s="288"/>
      <c r="AB15" s="289"/>
      <c r="AC15" s="295"/>
      <c r="AD15" s="288"/>
      <c r="AE15" s="294"/>
      <c r="AF15" s="287"/>
      <c r="AG15" s="288"/>
      <c r="AH15" s="289"/>
      <c r="AI15" s="295"/>
      <c r="AJ15" s="288"/>
      <c r="AK15" s="294"/>
      <c r="AL15" s="287"/>
      <c r="AM15" s="288"/>
      <c r="AN15" s="289"/>
      <c r="AO15" s="295"/>
      <c r="AP15" s="288"/>
      <c r="AQ15" s="294"/>
      <c r="AR15" s="287"/>
      <c r="AS15" s="288"/>
      <c r="AT15" s="289"/>
      <c r="AU15" s="295"/>
      <c r="AV15" s="288"/>
      <c r="AW15" s="294"/>
      <c r="AX15" s="287"/>
      <c r="AY15" s="288"/>
      <c r="AZ15" s="289"/>
      <c r="BA15" s="295"/>
      <c r="BB15" s="288"/>
      <c r="BC15" s="294"/>
      <c r="BD15" s="287"/>
      <c r="BE15" s="288"/>
      <c r="BF15" s="289"/>
      <c r="BG15" s="295"/>
      <c r="BH15" s="288"/>
      <c r="BI15" s="294"/>
      <c r="BJ15" s="287"/>
      <c r="BK15" s="288"/>
      <c r="BL15" s="289"/>
      <c r="BM15" s="295"/>
      <c r="BN15" s="288"/>
      <c r="BO15" s="294"/>
      <c r="BP15" s="287"/>
      <c r="BQ15" s="288"/>
      <c r="BR15" s="289"/>
      <c r="BS15" s="295"/>
      <c r="BT15" s="288"/>
      <c r="BU15" s="294"/>
      <c r="BV15" s="287"/>
      <c r="BW15" s="288"/>
      <c r="BX15" s="289"/>
      <c r="BY15" s="295"/>
      <c r="BZ15" s="288"/>
      <c r="CA15" s="294"/>
      <c r="CB15" s="287"/>
      <c r="CC15" s="288"/>
      <c r="CD15" s="289"/>
      <c r="CE15" s="295"/>
      <c r="CF15" s="288"/>
      <c r="CG15" s="294"/>
      <c r="CH15" s="287"/>
      <c r="CI15" s="288"/>
      <c r="CJ15" s="289"/>
      <c r="CK15" s="295"/>
      <c r="CL15" s="288"/>
      <c r="CM15" s="294"/>
      <c r="CN15" s="287"/>
      <c r="CO15" s="288"/>
      <c r="CP15" s="289"/>
      <c r="CQ15" s="295"/>
      <c r="CR15" s="288"/>
      <c r="CS15" s="294"/>
      <c r="CT15" s="295"/>
      <c r="CU15" s="288"/>
      <c r="CV15" s="294"/>
      <c r="CW15" s="295"/>
      <c r="CX15" s="288"/>
      <c r="CY15" s="294"/>
      <c r="CZ15" s="295"/>
      <c r="DA15" s="288"/>
      <c r="DB15" s="294"/>
      <c r="DC15" s="239"/>
      <c r="DD15" s="43"/>
      <c r="DE15" s="283"/>
      <c r="DF15" s="295"/>
      <c r="DG15" s="288"/>
      <c r="DH15" s="294"/>
      <c r="DI15" s="287"/>
      <c r="DJ15" s="288"/>
      <c r="DK15" s="289"/>
      <c r="DL15" s="295"/>
      <c r="DM15" s="288"/>
      <c r="DN15" s="294"/>
      <c r="DO15" s="287"/>
      <c r="DP15" s="288"/>
      <c r="DQ15" s="289"/>
      <c r="DR15" s="295"/>
      <c r="DS15" s="288"/>
      <c r="DT15" s="294"/>
      <c r="DU15" s="287"/>
      <c r="DV15" s="288"/>
      <c r="DW15" s="289"/>
      <c r="DX15" s="295"/>
      <c r="DY15" s="288"/>
      <c r="DZ15" s="294"/>
      <c r="EA15" s="287"/>
      <c r="EB15" s="288"/>
      <c r="EC15" s="289"/>
      <c r="ED15" s="295"/>
      <c r="EE15" s="288"/>
      <c r="EF15" s="294"/>
      <c r="EG15" s="287"/>
      <c r="EH15" s="288"/>
      <c r="EI15" s="289"/>
      <c r="EJ15" s="295"/>
      <c r="EK15" s="288"/>
      <c r="EL15" s="294"/>
      <c r="EM15" s="287"/>
      <c r="EN15" s="288"/>
      <c r="EO15" s="289"/>
      <c r="EP15" s="295"/>
      <c r="EQ15" s="288"/>
      <c r="ER15" s="294"/>
      <c r="ES15" s="287"/>
      <c r="ET15" s="288"/>
      <c r="EU15" s="289"/>
      <c r="EV15" s="295"/>
      <c r="EW15" s="288"/>
      <c r="EX15" s="294"/>
      <c r="EY15" s="287"/>
      <c r="EZ15" s="288"/>
      <c r="FA15" s="289"/>
      <c r="FB15" s="295"/>
      <c r="FC15" s="288"/>
      <c r="FD15" s="294"/>
      <c r="FE15" s="287"/>
      <c r="FF15" s="288"/>
      <c r="FG15" s="289"/>
      <c r="FH15" s="295"/>
      <c r="FI15" s="288"/>
      <c r="FJ15" s="294"/>
      <c r="FK15" s="287"/>
      <c r="FL15" s="288"/>
      <c r="FM15" s="289"/>
      <c r="FN15" s="295"/>
      <c r="FO15" s="288"/>
      <c r="FP15" s="294"/>
      <c r="FQ15" s="287"/>
      <c r="FR15" s="288"/>
      <c r="FS15" s="289"/>
      <c r="FT15" s="295"/>
      <c r="FU15" s="288"/>
      <c r="FV15" s="294"/>
      <c r="FW15" s="287"/>
      <c r="FX15" s="288"/>
      <c r="FY15" s="289"/>
      <c r="FZ15" s="295"/>
      <c r="GA15" s="288"/>
      <c r="GB15" s="294"/>
      <c r="GC15" s="287"/>
      <c r="GD15" s="288"/>
      <c r="GE15" s="289"/>
      <c r="GF15" s="295"/>
      <c r="GG15" s="288"/>
      <c r="GH15" s="294"/>
      <c r="GI15" s="287"/>
      <c r="GJ15" s="288"/>
      <c r="GK15" s="289"/>
      <c r="GL15" s="295"/>
      <c r="GM15" s="288"/>
      <c r="GN15" s="294"/>
      <c r="GO15" s="287"/>
      <c r="GP15" s="288"/>
      <c r="GQ15" s="289"/>
      <c r="GR15" s="295"/>
      <c r="GS15" s="288"/>
      <c r="GT15" s="294"/>
      <c r="GU15" s="295"/>
      <c r="GV15" s="288"/>
      <c r="GW15" s="294"/>
      <c r="GX15" s="295"/>
      <c r="GY15" s="288"/>
      <c r="GZ15" s="294"/>
      <c r="HA15" s="295"/>
      <c r="HB15" s="288"/>
      <c r="HC15" s="294"/>
      <c r="HD15" s="368">
        <f t="shared" si="0"/>
        <v>0</v>
      </c>
      <c r="HE15" s="369">
        <f t="shared" si="1"/>
        <v>0</v>
      </c>
      <c r="HF15" s="369">
        <f t="shared" si="2"/>
        <v>0</v>
      </c>
    </row>
    <row r="16" spans="1:214" ht="15.75" thickBot="1">
      <c r="A16" s="238">
        <v>9</v>
      </c>
      <c r="B16" s="239"/>
      <c r="C16" s="43"/>
      <c r="D16" s="283"/>
      <c r="E16" s="295"/>
      <c r="F16" s="288"/>
      <c r="G16" s="294"/>
      <c r="H16" s="287"/>
      <c r="I16" s="288"/>
      <c r="J16" s="289"/>
      <c r="K16" s="295"/>
      <c r="L16" s="288"/>
      <c r="M16" s="294"/>
      <c r="N16" s="287"/>
      <c r="O16" s="288"/>
      <c r="P16" s="289"/>
      <c r="Q16" s="295"/>
      <c r="R16" s="288"/>
      <c r="S16" s="294"/>
      <c r="T16" s="287"/>
      <c r="U16" s="288"/>
      <c r="V16" s="289"/>
      <c r="W16" s="295"/>
      <c r="X16" s="288"/>
      <c r="Y16" s="294"/>
      <c r="Z16" s="287"/>
      <c r="AA16" s="288"/>
      <c r="AB16" s="289"/>
      <c r="AC16" s="295"/>
      <c r="AD16" s="288"/>
      <c r="AE16" s="294"/>
      <c r="AF16" s="287"/>
      <c r="AG16" s="288"/>
      <c r="AH16" s="289"/>
      <c r="AI16" s="295"/>
      <c r="AJ16" s="288"/>
      <c r="AK16" s="294"/>
      <c r="AL16" s="287"/>
      <c r="AM16" s="288"/>
      <c r="AN16" s="289"/>
      <c r="AO16" s="295"/>
      <c r="AP16" s="288"/>
      <c r="AQ16" s="294"/>
      <c r="AR16" s="287"/>
      <c r="AS16" s="288"/>
      <c r="AT16" s="289"/>
      <c r="AU16" s="295"/>
      <c r="AV16" s="288"/>
      <c r="AW16" s="294"/>
      <c r="AX16" s="287"/>
      <c r="AY16" s="288"/>
      <c r="AZ16" s="289"/>
      <c r="BA16" s="295"/>
      <c r="BB16" s="288"/>
      <c r="BC16" s="294"/>
      <c r="BD16" s="287"/>
      <c r="BE16" s="288"/>
      <c r="BF16" s="289"/>
      <c r="BG16" s="295"/>
      <c r="BH16" s="288"/>
      <c r="BI16" s="294"/>
      <c r="BJ16" s="287"/>
      <c r="BK16" s="288"/>
      <c r="BL16" s="289"/>
      <c r="BM16" s="295"/>
      <c r="BN16" s="288"/>
      <c r="BO16" s="294"/>
      <c r="BP16" s="287"/>
      <c r="BQ16" s="288"/>
      <c r="BR16" s="289"/>
      <c r="BS16" s="295"/>
      <c r="BT16" s="288"/>
      <c r="BU16" s="294"/>
      <c r="BV16" s="287"/>
      <c r="BW16" s="288"/>
      <c r="BX16" s="289"/>
      <c r="BY16" s="295"/>
      <c r="BZ16" s="288"/>
      <c r="CA16" s="294"/>
      <c r="CB16" s="287"/>
      <c r="CC16" s="288"/>
      <c r="CD16" s="289"/>
      <c r="CE16" s="295"/>
      <c r="CF16" s="288"/>
      <c r="CG16" s="294"/>
      <c r="CH16" s="287"/>
      <c r="CI16" s="288"/>
      <c r="CJ16" s="289"/>
      <c r="CK16" s="295"/>
      <c r="CL16" s="288"/>
      <c r="CM16" s="294"/>
      <c r="CN16" s="287"/>
      <c r="CO16" s="288"/>
      <c r="CP16" s="289"/>
      <c r="CQ16" s="295"/>
      <c r="CR16" s="288"/>
      <c r="CS16" s="294"/>
      <c r="CT16" s="295"/>
      <c r="CU16" s="288"/>
      <c r="CV16" s="294"/>
      <c r="CW16" s="295"/>
      <c r="CX16" s="288"/>
      <c r="CY16" s="294"/>
      <c r="CZ16" s="295"/>
      <c r="DA16" s="288"/>
      <c r="DB16" s="294"/>
      <c r="DC16" s="239"/>
      <c r="DD16" s="43"/>
      <c r="DE16" s="283"/>
      <c r="DF16" s="295"/>
      <c r="DG16" s="288"/>
      <c r="DH16" s="294"/>
      <c r="DI16" s="287"/>
      <c r="DJ16" s="288"/>
      <c r="DK16" s="289"/>
      <c r="DL16" s="295"/>
      <c r="DM16" s="288"/>
      <c r="DN16" s="294"/>
      <c r="DO16" s="287"/>
      <c r="DP16" s="288"/>
      <c r="DQ16" s="289"/>
      <c r="DR16" s="295"/>
      <c r="DS16" s="288"/>
      <c r="DT16" s="294"/>
      <c r="DU16" s="287"/>
      <c r="DV16" s="288"/>
      <c r="DW16" s="289"/>
      <c r="DX16" s="295"/>
      <c r="DY16" s="288"/>
      <c r="DZ16" s="294"/>
      <c r="EA16" s="287"/>
      <c r="EB16" s="288"/>
      <c r="EC16" s="289"/>
      <c r="ED16" s="295"/>
      <c r="EE16" s="288"/>
      <c r="EF16" s="294"/>
      <c r="EG16" s="287"/>
      <c r="EH16" s="288"/>
      <c r="EI16" s="289"/>
      <c r="EJ16" s="295"/>
      <c r="EK16" s="288"/>
      <c r="EL16" s="294"/>
      <c r="EM16" s="287"/>
      <c r="EN16" s="288"/>
      <c r="EO16" s="289"/>
      <c r="EP16" s="295"/>
      <c r="EQ16" s="288"/>
      <c r="ER16" s="294"/>
      <c r="ES16" s="287"/>
      <c r="ET16" s="288"/>
      <c r="EU16" s="289"/>
      <c r="EV16" s="295"/>
      <c r="EW16" s="288"/>
      <c r="EX16" s="294"/>
      <c r="EY16" s="287"/>
      <c r="EZ16" s="288"/>
      <c r="FA16" s="289"/>
      <c r="FB16" s="295"/>
      <c r="FC16" s="288"/>
      <c r="FD16" s="294"/>
      <c r="FE16" s="287"/>
      <c r="FF16" s="288"/>
      <c r="FG16" s="289"/>
      <c r="FH16" s="295"/>
      <c r="FI16" s="288"/>
      <c r="FJ16" s="294"/>
      <c r="FK16" s="287"/>
      <c r="FL16" s="288"/>
      <c r="FM16" s="289"/>
      <c r="FN16" s="295"/>
      <c r="FO16" s="288"/>
      <c r="FP16" s="294"/>
      <c r="FQ16" s="287"/>
      <c r="FR16" s="288"/>
      <c r="FS16" s="289"/>
      <c r="FT16" s="295"/>
      <c r="FU16" s="288"/>
      <c r="FV16" s="294"/>
      <c r="FW16" s="287"/>
      <c r="FX16" s="288"/>
      <c r="FY16" s="289"/>
      <c r="FZ16" s="295"/>
      <c r="GA16" s="288"/>
      <c r="GB16" s="294"/>
      <c r="GC16" s="287"/>
      <c r="GD16" s="288"/>
      <c r="GE16" s="289"/>
      <c r="GF16" s="295"/>
      <c r="GG16" s="288"/>
      <c r="GH16" s="294"/>
      <c r="GI16" s="287"/>
      <c r="GJ16" s="288"/>
      <c r="GK16" s="289"/>
      <c r="GL16" s="295"/>
      <c r="GM16" s="288"/>
      <c r="GN16" s="294"/>
      <c r="GO16" s="287"/>
      <c r="GP16" s="288"/>
      <c r="GQ16" s="289"/>
      <c r="GR16" s="295"/>
      <c r="GS16" s="288"/>
      <c r="GT16" s="294"/>
      <c r="GU16" s="295"/>
      <c r="GV16" s="288"/>
      <c r="GW16" s="294"/>
      <c r="GX16" s="295"/>
      <c r="GY16" s="288"/>
      <c r="GZ16" s="294"/>
      <c r="HA16" s="295"/>
      <c r="HB16" s="288"/>
      <c r="HC16" s="294"/>
      <c r="HD16" s="368">
        <f t="shared" si="0"/>
        <v>0</v>
      </c>
      <c r="HE16" s="369">
        <f t="shared" si="1"/>
        <v>0</v>
      </c>
      <c r="HF16" s="369">
        <f t="shared" si="2"/>
        <v>0</v>
      </c>
    </row>
    <row r="17" spans="1:214" ht="15.75" thickBot="1">
      <c r="A17" s="238">
        <v>10</v>
      </c>
      <c r="B17" s="239"/>
      <c r="C17" s="43"/>
      <c r="D17" s="283"/>
      <c r="E17" s="295"/>
      <c r="F17" s="288"/>
      <c r="G17" s="294"/>
      <c r="H17" s="287"/>
      <c r="I17" s="288"/>
      <c r="J17" s="289"/>
      <c r="K17" s="295"/>
      <c r="L17" s="288"/>
      <c r="M17" s="294"/>
      <c r="N17" s="287"/>
      <c r="O17" s="288"/>
      <c r="P17" s="289"/>
      <c r="Q17" s="295"/>
      <c r="R17" s="288"/>
      <c r="S17" s="294"/>
      <c r="T17" s="287"/>
      <c r="U17" s="288"/>
      <c r="V17" s="289"/>
      <c r="W17" s="295"/>
      <c r="X17" s="288"/>
      <c r="Y17" s="294"/>
      <c r="Z17" s="287"/>
      <c r="AA17" s="288"/>
      <c r="AB17" s="289"/>
      <c r="AC17" s="295"/>
      <c r="AD17" s="288"/>
      <c r="AE17" s="294"/>
      <c r="AF17" s="287"/>
      <c r="AG17" s="288"/>
      <c r="AH17" s="289"/>
      <c r="AI17" s="295"/>
      <c r="AJ17" s="288"/>
      <c r="AK17" s="294"/>
      <c r="AL17" s="287"/>
      <c r="AM17" s="288"/>
      <c r="AN17" s="289"/>
      <c r="AO17" s="295"/>
      <c r="AP17" s="288"/>
      <c r="AQ17" s="294"/>
      <c r="AR17" s="287"/>
      <c r="AS17" s="288"/>
      <c r="AT17" s="289"/>
      <c r="AU17" s="295"/>
      <c r="AV17" s="288"/>
      <c r="AW17" s="294"/>
      <c r="AX17" s="287"/>
      <c r="AY17" s="288"/>
      <c r="AZ17" s="289"/>
      <c r="BA17" s="295"/>
      <c r="BB17" s="288"/>
      <c r="BC17" s="294"/>
      <c r="BD17" s="287"/>
      <c r="BE17" s="288"/>
      <c r="BF17" s="289"/>
      <c r="BG17" s="295"/>
      <c r="BH17" s="288"/>
      <c r="BI17" s="294"/>
      <c r="BJ17" s="287"/>
      <c r="BK17" s="288"/>
      <c r="BL17" s="289"/>
      <c r="BM17" s="295"/>
      <c r="BN17" s="288"/>
      <c r="BO17" s="294"/>
      <c r="BP17" s="287"/>
      <c r="BQ17" s="288"/>
      <c r="BR17" s="289"/>
      <c r="BS17" s="295"/>
      <c r="BT17" s="288"/>
      <c r="BU17" s="294"/>
      <c r="BV17" s="287"/>
      <c r="BW17" s="288"/>
      <c r="BX17" s="289"/>
      <c r="BY17" s="295"/>
      <c r="BZ17" s="288"/>
      <c r="CA17" s="294"/>
      <c r="CB17" s="287"/>
      <c r="CC17" s="288"/>
      <c r="CD17" s="289"/>
      <c r="CE17" s="295"/>
      <c r="CF17" s="288"/>
      <c r="CG17" s="294"/>
      <c r="CH17" s="287"/>
      <c r="CI17" s="288"/>
      <c r="CJ17" s="289"/>
      <c r="CK17" s="295"/>
      <c r="CL17" s="288"/>
      <c r="CM17" s="294"/>
      <c r="CN17" s="287"/>
      <c r="CO17" s="288"/>
      <c r="CP17" s="289"/>
      <c r="CQ17" s="295"/>
      <c r="CR17" s="288"/>
      <c r="CS17" s="294"/>
      <c r="CT17" s="295"/>
      <c r="CU17" s="288"/>
      <c r="CV17" s="294"/>
      <c r="CW17" s="295"/>
      <c r="CX17" s="288"/>
      <c r="CY17" s="294"/>
      <c r="CZ17" s="295"/>
      <c r="DA17" s="288"/>
      <c r="DB17" s="294"/>
      <c r="DC17" s="239"/>
      <c r="DD17" s="43"/>
      <c r="DE17" s="283"/>
      <c r="DF17" s="295"/>
      <c r="DG17" s="288"/>
      <c r="DH17" s="294"/>
      <c r="DI17" s="287"/>
      <c r="DJ17" s="288"/>
      <c r="DK17" s="289"/>
      <c r="DL17" s="295"/>
      <c r="DM17" s="288"/>
      <c r="DN17" s="294"/>
      <c r="DO17" s="287"/>
      <c r="DP17" s="288"/>
      <c r="DQ17" s="289"/>
      <c r="DR17" s="295"/>
      <c r="DS17" s="288"/>
      <c r="DT17" s="294"/>
      <c r="DU17" s="287"/>
      <c r="DV17" s="288"/>
      <c r="DW17" s="289"/>
      <c r="DX17" s="295"/>
      <c r="DY17" s="288"/>
      <c r="DZ17" s="294"/>
      <c r="EA17" s="287"/>
      <c r="EB17" s="288"/>
      <c r="EC17" s="289"/>
      <c r="ED17" s="295"/>
      <c r="EE17" s="288"/>
      <c r="EF17" s="294"/>
      <c r="EG17" s="287"/>
      <c r="EH17" s="288"/>
      <c r="EI17" s="289"/>
      <c r="EJ17" s="295"/>
      <c r="EK17" s="288"/>
      <c r="EL17" s="294"/>
      <c r="EM17" s="287"/>
      <c r="EN17" s="288"/>
      <c r="EO17" s="289"/>
      <c r="EP17" s="295"/>
      <c r="EQ17" s="288"/>
      <c r="ER17" s="294"/>
      <c r="ES17" s="287"/>
      <c r="ET17" s="288"/>
      <c r="EU17" s="289"/>
      <c r="EV17" s="295"/>
      <c r="EW17" s="288"/>
      <c r="EX17" s="294"/>
      <c r="EY17" s="287"/>
      <c r="EZ17" s="288"/>
      <c r="FA17" s="289"/>
      <c r="FB17" s="295"/>
      <c r="FC17" s="288"/>
      <c r="FD17" s="294"/>
      <c r="FE17" s="287"/>
      <c r="FF17" s="288"/>
      <c r="FG17" s="289"/>
      <c r="FH17" s="295"/>
      <c r="FI17" s="288"/>
      <c r="FJ17" s="294"/>
      <c r="FK17" s="287"/>
      <c r="FL17" s="288"/>
      <c r="FM17" s="289"/>
      <c r="FN17" s="295"/>
      <c r="FO17" s="288"/>
      <c r="FP17" s="294"/>
      <c r="FQ17" s="287"/>
      <c r="FR17" s="288"/>
      <c r="FS17" s="289"/>
      <c r="FT17" s="295"/>
      <c r="FU17" s="288"/>
      <c r="FV17" s="294"/>
      <c r="FW17" s="287"/>
      <c r="FX17" s="288"/>
      <c r="FY17" s="289"/>
      <c r="FZ17" s="295"/>
      <c r="GA17" s="288"/>
      <c r="GB17" s="294"/>
      <c r="GC17" s="287"/>
      <c r="GD17" s="288"/>
      <c r="GE17" s="289"/>
      <c r="GF17" s="295"/>
      <c r="GG17" s="288"/>
      <c r="GH17" s="294"/>
      <c r="GI17" s="287"/>
      <c r="GJ17" s="288"/>
      <c r="GK17" s="289"/>
      <c r="GL17" s="295"/>
      <c r="GM17" s="288"/>
      <c r="GN17" s="294"/>
      <c r="GO17" s="287"/>
      <c r="GP17" s="288"/>
      <c r="GQ17" s="289"/>
      <c r="GR17" s="295"/>
      <c r="GS17" s="288"/>
      <c r="GT17" s="294"/>
      <c r="GU17" s="295"/>
      <c r="GV17" s="288"/>
      <c r="GW17" s="294"/>
      <c r="GX17" s="295"/>
      <c r="GY17" s="288"/>
      <c r="GZ17" s="294"/>
      <c r="HA17" s="295"/>
      <c r="HB17" s="288"/>
      <c r="HC17" s="294"/>
      <c r="HD17" s="368">
        <f t="shared" si="0"/>
        <v>0</v>
      </c>
      <c r="HE17" s="369">
        <f t="shared" si="1"/>
        <v>0</v>
      </c>
      <c r="HF17" s="369">
        <f t="shared" si="2"/>
        <v>0</v>
      </c>
    </row>
    <row r="18" spans="1:214" ht="15.75" thickBot="1">
      <c r="A18" s="238">
        <v>11</v>
      </c>
      <c r="B18" s="239"/>
      <c r="C18" s="43"/>
      <c r="D18" s="283"/>
      <c r="E18" s="295"/>
      <c r="F18" s="288"/>
      <c r="G18" s="294"/>
      <c r="H18" s="287"/>
      <c r="I18" s="288"/>
      <c r="J18" s="289"/>
      <c r="K18" s="295"/>
      <c r="L18" s="288"/>
      <c r="M18" s="294"/>
      <c r="N18" s="287"/>
      <c r="O18" s="288"/>
      <c r="P18" s="289"/>
      <c r="Q18" s="295"/>
      <c r="R18" s="288"/>
      <c r="S18" s="294"/>
      <c r="T18" s="287"/>
      <c r="U18" s="288"/>
      <c r="V18" s="289"/>
      <c r="W18" s="295"/>
      <c r="X18" s="288"/>
      <c r="Y18" s="294"/>
      <c r="Z18" s="287"/>
      <c r="AA18" s="288"/>
      <c r="AB18" s="289"/>
      <c r="AC18" s="295"/>
      <c r="AD18" s="288"/>
      <c r="AE18" s="294"/>
      <c r="AF18" s="287"/>
      <c r="AG18" s="288"/>
      <c r="AH18" s="289"/>
      <c r="AI18" s="295"/>
      <c r="AJ18" s="288"/>
      <c r="AK18" s="294"/>
      <c r="AL18" s="287"/>
      <c r="AM18" s="288"/>
      <c r="AN18" s="289"/>
      <c r="AO18" s="295"/>
      <c r="AP18" s="288"/>
      <c r="AQ18" s="294"/>
      <c r="AR18" s="287"/>
      <c r="AS18" s="288"/>
      <c r="AT18" s="289"/>
      <c r="AU18" s="295"/>
      <c r="AV18" s="288"/>
      <c r="AW18" s="294"/>
      <c r="AX18" s="287"/>
      <c r="AY18" s="288"/>
      <c r="AZ18" s="289"/>
      <c r="BA18" s="295"/>
      <c r="BB18" s="288"/>
      <c r="BC18" s="294"/>
      <c r="BD18" s="287"/>
      <c r="BE18" s="288"/>
      <c r="BF18" s="289"/>
      <c r="BG18" s="295"/>
      <c r="BH18" s="288"/>
      <c r="BI18" s="294"/>
      <c r="BJ18" s="287"/>
      <c r="BK18" s="288"/>
      <c r="BL18" s="289"/>
      <c r="BM18" s="295"/>
      <c r="BN18" s="288"/>
      <c r="BO18" s="294"/>
      <c r="BP18" s="287"/>
      <c r="BQ18" s="288"/>
      <c r="BR18" s="289"/>
      <c r="BS18" s="295"/>
      <c r="BT18" s="288"/>
      <c r="BU18" s="294"/>
      <c r="BV18" s="287"/>
      <c r="BW18" s="288"/>
      <c r="BX18" s="289"/>
      <c r="BY18" s="295"/>
      <c r="BZ18" s="288"/>
      <c r="CA18" s="294"/>
      <c r="CB18" s="287"/>
      <c r="CC18" s="288"/>
      <c r="CD18" s="289"/>
      <c r="CE18" s="295"/>
      <c r="CF18" s="288"/>
      <c r="CG18" s="294"/>
      <c r="CH18" s="287"/>
      <c r="CI18" s="288"/>
      <c r="CJ18" s="289"/>
      <c r="CK18" s="295"/>
      <c r="CL18" s="288"/>
      <c r="CM18" s="294"/>
      <c r="CN18" s="287"/>
      <c r="CO18" s="288"/>
      <c r="CP18" s="289"/>
      <c r="CQ18" s="295"/>
      <c r="CR18" s="288"/>
      <c r="CS18" s="294"/>
      <c r="CT18" s="295"/>
      <c r="CU18" s="288"/>
      <c r="CV18" s="294"/>
      <c r="CW18" s="295"/>
      <c r="CX18" s="288"/>
      <c r="CY18" s="294"/>
      <c r="CZ18" s="295"/>
      <c r="DA18" s="288"/>
      <c r="DB18" s="294"/>
      <c r="DC18" s="239"/>
      <c r="DD18" s="43"/>
      <c r="DE18" s="283"/>
      <c r="DF18" s="295"/>
      <c r="DG18" s="288"/>
      <c r="DH18" s="294"/>
      <c r="DI18" s="287"/>
      <c r="DJ18" s="288"/>
      <c r="DK18" s="289"/>
      <c r="DL18" s="295"/>
      <c r="DM18" s="288"/>
      <c r="DN18" s="294"/>
      <c r="DO18" s="287"/>
      <c r="DP18" s="288"/>
      <c r="DQ18" s="289"/>
      <c r="DR18" s="295"/>
      <c r="DS18" s="288"/>
      <c r="DT18" s="294"/>
      <c r="DU18" s="287"/>
      <c r="DV18" s="288"/>
      <c r="DW18" s="289"/>
      <c r="DX18" s="295"/>
      <c r="DY18" s="288"/>
      <c r="DZ18" s="294"/>
      <c r="EA18" s="287"/>
      <c r="EB18" s="288"/>
      <c r="EC18" s="289"/>
      <c r="ED18" s="295"/>
      <c r="EE18" s="288"/>
      <c r="EF18" s="294"/>
      <c r="EG18" s="287"/>
      <c r="EH18" s="288"/>
      <c r="EI18" s="289"/>
      <c r="EJ18" s="295"/>
      <c r="EK18" s="288"/>
      <c r="EL18" s="294"/>
      <c r="EM18" s="287"/>
      <c r="EN18" s="288"/>
      <c r="EO18" s="289"/>
      <c r="EP18" s="295"/>
      <c r="EQ18" s="288"/>
      <c r="ER18" s="294"/>
      <c r="ES18" s="287"/>
      <c r="ET18" s="288"/>
      <c r="EU18" s="289"/>
      <c r="EV18" s="295"/>
      <c r="EW18" s="288"/>
      <c r="EX18" s="294"/>
      <c r="EY18" s="287"/>
      <c r="EZ18" s="288"/>
      <c r="FA18" s="289"/>
      <c r="FB18" s="295"/>
      <c r="FC18" s="288"/>
      <c r="FD18" s="294"/>
      <c r="FE18" s="287"/>
      <c r="FF18" s="288"/>
      <c r="FG18" s="289"/>
      <c r="FH18" s="295"/>
      <c r="FI18" s="288"/>
      <c r="FJ18" s="294"/>
      <c r="FK18" s="287"/>
      <c r="FL18" s="288"/>
      <c r="FM18" s="289"/>
      <c r="FN18" s="295"/>
      <c r="FO18" s="288"/>
      <c r="FP18" s="294"/>
      <c r="FQ18" s="287"/>
      <c r="FR18" s="288"/>
      <c r="FS18" s="289"/>
      <c r="FT18" s="295"/>
      <c r="FU18" s="288"/>
      <c r="FV18" s="294"/>
      <c r="FW18" s="287"/>
      <c r="FX18" s="288"/>
      <c r="FY18" s="289"/>
      <c r="FZ18" s="295"/>
      <c r="GA18" s="288"/>
      <c r="GB18" s="294"/>
      <c r="GC18" s="287"/>
      <c r="GD18" s="288"/>
      <c r="GE18" s="289"/>
      <c r="GF18" s="295"/>
      <c r="GG18" s="288"/>
      <c r="GH18" s="294"/>
      <c r="GI18" s="287"/>
      <c r="GJ18" s="288"/>
      <c r="GK18" s="289"/>
      <c r="GL18" s="295"/>
      <c r="GM18" s="288"/>
      <c r="GN18" s="294"/>
      <c r="GO18" s="287"/>
      <c r="GP18" s="288"/>
      <c r="GQ18" s="289"/>
      <c r="GR18" s="295"/>
      <c r="GS18" s="288"/>
      <c r="GT18" s="294"/>
      <c r="GU18" s="295"/>
      <c r="GV18" s="288"/>
      <c r="GW18" s="294"/>
      <c r="GX18" s="295"/>
      <c r="GY18" s="288"/>
      <c r="GZ18" s="294"/>
      <c r="HA18" s="295"/>
      <c r="HB18" s="288"/>
      <c r="HC18" s="294"/>
      <c r="HD18" s="368">
        <f t="shared" si="0"/>
        <v>0</v>
      </c>
      <c r="HE18" s="369">
        <f t="shared" si="1"/>
        <v>0</v>
      </c>
      <c r="HF18" s="369">
        <f t="shared" si="2"/>
        <v>0</v>
      </c>
    </row>
    <row r="19" spans="1:214" ht="15.75" thickBot="1">
      <c r="A19" s="238">
        <v>12</v>
      </c>
      <c r="B19" s="239"/>
      <c r="C19" s="43"/>
      <c r="D19" s="283"/>
      <c r="E19" s="295"/>
      <c r="F19" s="288"/>
      <c r="G19" s="294"/>
      <c r="H19" s="287"/>
      <c r="I19" s="288"/>
      <c r="J19" s="289"/>
      <c r="K19" s="295"/>
      <c r="L19" s="288"/>
      <c r="M19" s="294"/>
      <c r="N19" s="287"/>
      <c r="O19" s="288"/>
      <c r="P19" s="289"/>
      <c r="Q19" s="295"/>
      <c r="R19" s="288"/>
      <c r="S19" s="294"/>
      <c r="T19" s="287"/>
      <c r="U19" s="288"/>
      <c r="V19" s="289"/>
      <c r="W19" s="295"/>
      <c r="X19" s="288"/>
      <c r="Y19" s="294"/>
      <c r="Z19" s="287"/>
      <c r="AA19" s="288"/>
      <c r="AB19" s="289"/>
      <c r="AC19" s="295"/>
      <c r="AD19" s="288"/>
      <c r="AE19" s="294"/>
      <c r="AF19" s="287"/>
      <c r="AG19" s="288"/>
      <c r="AH19" s="289"/>
      <c r="AI19" s="295"/>
      <c r="AJ19" s="288"/>
      <c r="AK19" s="294"/>
      <c r="AL19" s="287"/>
      <c r="AM19" s="288"/>
      <c r="AN19" s="289"/>
      <c r="AO19" s="295"/>
      <c r="AP19" s="288"/>
      <c r="AQ19" s="294"/>
      <c r="AR19" s="287"/>
      <c r="AS19" s="288"/>
      <c r="AT19" s="289"/>
      <c r="AU19" s="295"/>
      <c r="AV19" s="288"/>
      <c r="AW19" s="294"/>
      <c r="AX19" s="287"/>
      <c r="AY19" s="288"/>
      <c r="AZ19" s="289"/>
      <c r="BA19" s="295"/>
      <c r="BB19" s="288"/>
      <c r="BC19" s="294"/>
      <c r="BD19" s="287"/>
      <c r="BE19" s="288"/>
      <c r="BF19" s="289"/>
      <c r="BG19" s="295"/>
      <c r="BH19" s="288"/>
      <c r="BI19" s="294"/>
      <c r="BJ19" s="287"/>
      <c r="BK19" s="288"/>
      <c r="BL19" s="289"/>
      <c r="BM19" s="295"/>
      <c r="BN19" s="288"/>
      <c r="BO19" s="294"/>
      <c r="BP19" s="287"/>
      <c r="BQ19" s="288"/>
      <c r="BR19" s="289"/>
      <c r="BS19" s="295"/>
      <c r="BT19" s="288"/>
      <c r="BU19" s="294"/>
      <c r="BV19" s="287"/>
      <c r="BW19" s="288"/>
      <c r="BX19" s="289"/>
      <c r="BY19" s="295"/>
      <c r="BZ19" s="288"/>
      <c r="CA19" s="294"/>
      <c r="CB19" s="287"/>
      <c r="CC19" s="288"/>
      <c r="CD19" s="289"/>
      <c r="CE19" s="295"/>
      <c r="CF19" s="288"/>
      <c r="CG19" s="294"/>
      <c r="CH19" s="287"/>
      <c r="CI19" s="288"/>
      <c r="CJ19" s="289"/>
      <c r="CK19" s="295"/>
      <c r="CL19" s="288"/>
      <c r="CM19" s="294"/>
      <c r="CN19" s="287"/>
      <c r="CO19" s="288"/>
      <c r="CP19" s="289"/>
      <c r="CQ19" s="295"/>
      <c r="CR19" s="288"/>
      <c r="CS19" s="294"/>
      <c r="CT19" s="295"/>
      <c r="CU19" s="288"/>
      <c r="CV19" s="294"/>
      <c r="CW19" s="295"/>
      <c r="CX19" s="288"/>
      <c r="CY19" s="294"/>
      <c r="CZ19" s="295"/>
      <c r="DA19" s="288"/>
      <c r="DB19" s="294"/>
      <c r="DC19" s="239"/>
      <c r="DD19" s="43"/>
      <c r="DE19" s="283"/>
      <c r="DF19" s="295"/>
      <c r="DG19" s="288"/>
      <c r="DH19" s="294"/>
      <c r="DI19" s="287"/>
      <c r="DJ19" s="288"/>
      <c r="DK19" s="289"/>
      <c r="DL19" s="295"/>
      <c r="DM19" s="288"/>
      <c r="DN19" s="294"/>
      <c r="DO19" s="287"/>
      <c r="DP19" s="288"/>
      <c r="DQ19" s="289"/>
      <c r="DR19" s="295"/>
      <c r="DS19" s="288"/>
      <c r="DT19" s="294"/>
      <c r="DU19" s="287"/>
      <c r="DV19" s="288"/>
      <c r="DW19" s="289"/>
      <c r="DX19" s="295"/>
      <c r="DY19" s="288"/>
      <c r="DZ19" s="294"/>
      <c r="EA19" s="287"/>
      <c r="EB19" s="288"/>
      <c r="EC19" s="289"/>
      <c r="ED19" s="295"/>
      <c r="EE19" s="288"/>
      <c r="EF19" s="294"/>
      <c r="EG19" s="287"/>
      <c r="EH19" s="288"/>
      <c r="EI19" s="289"/>
      <c r="EJ19" s="295"/>
      <c r="EK19" s="288"/>
      <c r="EL19" s="294"/>
      <c r="EM19" s="287"/>
      <c r="EN19" s="288"/>
      <c r="EO19" s="289"/>
      <c r="EP19" s="295"/>
      <c r="EQ19" s="288"/>
      <c r="ER19" s="294"/>
      <c r="ES19" s="287"/>
      <c r="ET19" s="288"/>
      <c r="EU19" s="289"/>
      <c r="EV19" s="295"/>
      <c r="EW19" s="288"/>
      <c r="EX19" s="294"/>
      <c r="EY19" s="287"/>
      <c r="EZ19" s="288"/>
      <c r="FA19" s="289"/>
      <c r="FB19" s="295"/>
      <c r="FC19" s="288"/>
      <c r="FD19" s="294"/>
      <c r="FE19" s="287"/>
      <c r="FF19" s="288"/>
      <c r="FG19" s="289"/>
      <c r="FH19" s="295"/>
      <c r="FI19" s="288"/>
      <c r="FJ19" s="294"/>
      <c r="FK19" s="287"/>
      <c r="FL19" s="288"/>
      <c r="FM19" s="289"/>
      <c r="FN19" s="295"/>
      <c r="FO19" s="288"/>
      <c r="FP19" s="294"/>
      <c r="FQ19" s="287"/>
      <c r="FR19" s="288"/>
      <c r="FS19" s="289"/>
      <c r="FT19" s="295"/>
      <c r="FU19" s="288"/>
      <c r="FV19" s="294"/>
      <c r="FW19" s="287"/>
      <c r="FX19" s="288"/>
      <c r="FY19" s="289"/>
      <c r="FZ19" s="295"/>
      <c r="GA19" s="288"/>
      <c r="GB19" s="294"/>
      <c r="GC19" s="287"/>
      <c r="GD19" s="288"/>
      <c r="GE19" s="289"/>
      <c r="GF19" s="295"/>
      <c r="GG19" s="288"/>
      <c r="GH19" s="294"/>
      <c r="GI19" s="287"/>
      <c r="GJ19" s="288"/>
      <c r="GK19" s="289"/>
      <c r="GL19" s="295"/>
      <c r="GM19" s="288"/>
      <c r="GN19" s="294"/>
      <c r="GO19" s="287"/>
      <c r="GP19" s="288"/>
      <c r="GQ19" s="289"/>
      <c r="GR19" s="295"/>
      <c r="GS19" s="288"/>
      <c r="GT19" s="294"/>
      <c r="GU19" s="295"/>
      <c r="GV19" s="288"/>
      <c r="GW19" s="294"/>
      <c r="GX19" s="295"/>
      <c r="GY19" s="288"/>
      <c r="GZ19" s="294"/>
      <c r="HA19" s="295"/>
      <c r="HB19" s="288"/>
      <c r="HC19" s="294"/>
      <c r="HD19" s="368">
        <f t="shared" si="0"/>
        <v>0</v>
      </c>
      <c r="HE19" s="369">
        <f t="shared" si="1"/>
        <v>0</v>
      </c>
      <c r="HF19" s="369">
        <f t="shared" si="2"/>
        <v>0</v>
      </c>
    </row>
    <row r="20" spans="1:214" ht="15.75" thickBot="1">
      <c r="A20" s="238">
        <v>13</v>
      </c>
      <c r="B20" s="239"/>
      <c r="C20" s="43"/>
      <c r="D20" s="283"/>
      <c r="E20" s="295"/>
      <c r="F20" s="288"/>
      <c r="G20" s="294"/>
      <c r="H20" s="287"/>
      <c r="I20" s="288"/>
      <c r="J20" s="289"/>
      <c r="K20" s="295"/>
      <c r="L20" s="288"/>
      <c r="M20" s="294"/>
      <c r="N20" s="287"/>
      <c r="O20" s="288"/>
      <c r="P20" s="289"/>
      <c r="Q20" s="295"/>
      <c r="R20" s="288"/>
      <c r="S20" s="294"/>
      <c r="T20" s="287"/>
      <c r="U20" s="288"/>
      <c r="V20" s="289"/>
      <c r="W20" s="295"/>
      <c r="X20" s="288"/>
      <c r="Y20" s="294"/>
      <c r="Z20" s="287"/>
      <c r="AA20" s="288"/>
      <c r="AB20" s="289"/>
      <c r="AC20" s="295"/>
      <c r="AD20" s="288"/>
      <c r="AE20" s="294"/>
      <c r="AF20" s="287"/>
      <c r="AG20" s="288"/>
      <c r="AH20" s="289"/>
      <c r="AI20" s="295"/>
      <c r="AJ20" s="288"/>
      <c r="AK20" s="294"/>
      <c r="AL20" s="287"/>
      <c r="AM20" s="288"/>
      <c r="AN20" s="289"/>
      <c r="AO20" s="295"/>
      <c r="AP20" s="288"/>
      <c r="AQ20" s="294"/>
      <c r="AR20" s="287"/>
      <c r="AS20" s="288"/>
      <c r="AT20" s="289"/>
      <c r="AU20" s="295"/>
      <c r="AV20" s="288"/>
      <c r="AW20" s="294"/>
      <c r="AX20" s="287"/>
      <c r="AY20" s="288"/>
      <c r="AZ20" s="289"/>
      <c r="BA20" s="295"/>
      <c r="BB20" s="288"/>
      <c r="BC20" s="294"/>
      <c r="BD20" s="287"/>
      <c r="BE20" s="288"/>
      <c r="BF20" s="289"/>
      <c r="BG20" s="295"/>
      <c r="BH20" s="288"/>
      <c r="BI20" s="294"/>
      <c r="BJ20" s="287"/>
      <c r="BK20" s="288"/>
      <c r="BL20" s="289"/>
      <c r="BM20" s="295"/>
      <c r="BN20" s="288"/>
      <c r="BO20" s="294"/>
      <c r="BP20" s="287"/>
      <c r="BQ20" s="288"/>
      <c r="BR20" s="289"/>
      <c r="BS20" s="295"/>
      <c r="BT20" s="288"/>
      <c r="BU20" s="294"/>
      <c r="BV20" s="287"/>
      <c r="BW20" s="288"/>
      <c r="BX20" s="289"/>
      <c r="BY20" s="295"/>
      <c r="BZ20" s="288"/>
      <c r="CA20" s="294"/>
      <c r="CB20" s="287"/>
      <c r="CC20" s="288"/>
      <c r="CD20" s="289"/>
      <c r="CE20" s="295"/>
      <c r="CF20" s="288"/>
      <c r="CG20" s="294"/>
      <c r="CH20" s="287"/>
      <c r="CI20" s="288"/>
      <c r="CJ20" s="289"/>
      <c r="CK20" s="295"/>
      <c r="CL20" s="288"/>
      <c r="CM20" s="294"/>
      <c r="CN20" s="287"/>
      <c r="CO20" s="288"/>
      <c r="CP20" s="289"/>
      <c r="CQ20" s="295"/>
      <c r="CR20" s="288"/>
      <c r="CS20" s="294"/>
      <c r="CT20" s="295"/>
      <c r="CU20" s="288"/>
      <c r="CV20" s="294"/>
      <c r="CW20" s="295"/>
      <c r="CX20" s="288"/>
      <c r="CY20" s="294"/>
      <c r="CZ20" s="295"/>
      <c r="DA20" s="288"/>
      <c r="DB20" s="294"/>
      <c r="DC20" s="239"/>
      <c r="DD20" s="43"/>
      <c r="DE20" s="283"/>
      <c r="DF20" s="295"/>
      <c r="DG20" s="288"/>
      <c r="DH20" s="294"/>
      <c r="DI20" s="287"/>
      <c r="DJ20" s="288"/>
      <c r="DK20" s="289"/>
      <c r="DL20" s="295"/>
      <c r="DM20" s="288"/>
      <c r="DN20" s="294"/>
      <c r="DO20" s="287"/>
      <c r="DP20" s="288"/>
      <c r="DQ20" s="289"/>
      <c r="DR20" s="295"/>
      <c r="DS20" s="288"/>
      <c r="DT20" s="294"/>
      <c r="DU20" s="287"/>
      <c r="DV20" s="288"/>
      <c r="DW20" s="289"/>
      <c r="DX20" s="295"/>
      <c r="DY20" s="288"/>
      <c r="DZ20" s="294"/>
      <c r="EA20" s="287"/>
      <c r="EB20" s="288"/>
      <c r="EC20" s="289"/>
      <c r="ED20" s="295"/>
      <c r="EE20" s="288"/>
      <c r="EF20" s="294"/>
      <c r="EG20" s="287"/>
      <c r="EH20" s="288"/>
      <c r="EI20" s="289"/>
      <c r="EJ20" s="295"/>
      <c r="EK20" s="288"/>
      <c r="EL20" s="294"/>
      <c r="EM20" s="287"/>
      <c r="EN20" s="288"/>
      <c r="EO20" s="289"/>
      <c r="EP20" s="295"/>
      <c r="EQ20" s="288"/>
      <c r="ER20" s="294"/>
      <c r="ES20" s="287"/>
      <c r="ET20" s="288"/>
      <c r="EU20" s="289"/>
      <c r="EV20" s="295"/>
      <c r="EW20" s="288"/>
      <c r="EX20" s="294"/>
      <c r="EY20" s="287"/>
      <c r="EZ20" s="288"/>
      <c r="FA20" s="289"/>
      <c r="FB20" s="295"/>
      <c r="FC20" s="288"/>
      <c r="FD20" s="294"/>
      <c r="FE20" s="287"/>
      <c r="FF20" s="288"/>
      <c r="FG20" s="289"/>
      <c r="FH20" s="295"/>
      <c r="FI20" s="288"/>
      <c r="FJ20" s="294"/>
      <c r="FK20" s="287"/>
      <c r="FL20" s="288"/>
      <c r="FM20" s="289"/>
      <c r="FN20" s="295"/>
      <c r="FO20" s="288"/>
      <c r="FP20" s="294"/>
      <c r="FQ20" s="287"/>
      <c r="FR20" s="288"/>
      <c r="FS20" s="289"/>
      <c r="FT20" s="295"/>
      <c r="FU20" s="288"/>
      <c r="FV20" s="294"/>
      <c r="FW20" s="287"/>
      <c r="FX20" s="288"/>
      <c r="FY20" s="289"/>
      <c r="FZ20" s="295"/>
      <c r="GA20" s="288"/>
      <c r="GB20" s="294"/>
      <c r="GC20" s="287"/>
      <c r="GD20" s="288"/>
      <c r="GE20" s="289"/>
      <c r="GF20" s="295"/>
      <c r="GG20" s="288"/>
      <c r="GH20" s="294"/>
      <c r="GI20" s="287"/>
      <c r="GJ20" s="288"/>
      <c r="GK20" s="289"/>
      <c r="GL20" s="295"/>
      <c r="GM20" s="288"/>
      <c r="GN20" s="294"/>
      <c r="GO20" s="287"/>
      <c r="GP20" s="288"/>
      <c r="GQ20" s="289"/>
      <c r="GR20" s="295"/>
      <c r="GS20" s="288"/>
      <c r="GT20" s="294"/>
      <c r="GU20" s="295"/>
      <c r="GV20" s="288"/>
      <c r="GW20" s="294"/>
      <c r="GX20" s="295"/>
      <c r="GY20" s="288"/>
      <c r="GZ20" s="294"/>
      <c r="HA20" s="295"/>
      <c r="HB20" s="288"/>
      <c r="HC20" s="294"/>
      <c r="HD20" s="368">
        <f t="shared" si="0"/>
        <v>0</v>
      </c>
      <c r="HE20" s="369">
        <f t="shared" si="1"/>
        <v>0</v>
      </c>
      <c r="HF20" s="369">
        <f t="shared" si="2"/>
        <v>0</v>
      </c>
    </row>
    <row r="21" spans="1:214" s="1" customFormat="1" ht="15.75" thickBot="1">
      <c r="A21" s="243">
        <v>14</v>
      </c>
      <c r="B21" s="239"/>
      <c r="C21" s="43"/>
      <c r="D21" s="283"/>
      <c r="E21" s="295"/>
      <c r="F21" s="288"/>
      <c r="G21" s="294"/>
      <c r="H21" s="287"/>
      <c r="I21" s="288"/>
      <c r="J21" s="289"/>
      <c r="K21" s="295"/>
      <c r="L21" s="288"/>
      <c r="M21" s="294"/>
      <c r="N21" s="287"/>
      <c r="O21" s="288"/>
      <c r="P21" s="289"/>
      <c r="Q21" s="295"/>
      <c r="R21" s="288"/>
      <c r="S21" s="294"/>
      <c r="T21" s="287"/>
      <c r="U21" s="288"/>
      <c r="V21" s="289"/>
      <c r="W21" s="295"/>
      <c r="X21" s="288"/>
      <c r="Y21" s="294"/>
      <c r="Z21" s="287"/>
      <c r="AA21" s="288"/>
      <c r="AB21" s="289"/>
      <c r="AC21" s="295"/>
      <c r="AD21" s="288"/>
      <c r="AE21" s="294"/>
      <c r="AF21" s="287"/>
      <c r="AG21" s="288"/>
      <c r="AH21" s="289"/>
      <c r="AI21" s="295"/>
      <c r="AJ21" s="288"/>
      <c r="AK21" s="294"/>
      <c r="AL21" s="287"/>
      <c r="AM21" s="288"/>
      <c r="AN21" s="289"/>
      <c r="AO21" s="295"/>
      <c r="AP21" s="288"/>
      <c r="AQ21" s="294"/>
      <c r="AR21" s="287"/>
      <c r="AS21" s="288"/>
      <c r="AT21" s="289"/>
      <c r="AU21" s="295"/>
      <c r="AV21" s="288"/>
      <c r="AW21" s="294"/>
      <c r="AX21" s="287"/>
      <c r="AY21" s="288"/>
      <c r="AZ21" s="289"/>
      <c r="BA21" s="295"/>
      <c r="BB21" s="288"/>
      <c r="BC21" s="294"/>
      <c r="BD21" s="287"/>
      <c r="BE21" s="288"/>
      <c r="BF21" s="289"/>
      <c r="BG21" s="295"/>
      <c r="BH21" s="288"/>
      <c r="BI21" s="294"/>
      <c r="BJ21" s="287"/>
      <c r="BK21" s="288"/>
      <c r="BL21" s="289"/>
      <c r="BM21" s="295"/>
      <c r="BN21" s="288"/>
      <c r="BO21" s="294"/>
      <c r="BP21" s="287"/>
      <c r="BQ21" s="288"/>
      <c r="BR21" s="289"/>
      <c r="BS21" s="295"/>
      <c r="BT21" s="288"/>
      <c r="BU21" s="294"/>
      <c r="BV21" s="287"/>
      <c r="BW21" s="288"/>
      <c r="BX21" s="289"/>
      <c r="BY21" s="295"/>
      <c r="BZ21" s="288"/>
      <c r="CA21" s="294"/>
      <c r="CB21" s="287"/>
      <c r="CC21" s="288"/>
      <c r="CD21" s="289"/>
      <c r="CE21" s="295"/>
      <c r="CF21" s="288"/>
      <c r="CG21" s="294"/>
      <c r="CH21" s="287"/>
      <c r="CI21" s="288"/>
      <c r="CJ21" s="289"/>
      <c r="CK21" s="295"/>
      <c r="CL21" s="288"/>
      <c r="CM21" s="294"/>
      <c r="CN21" s="287"/>
      <c r="CO21" s="288"/>
      <c r="CP21" s="289"/>
      <c r="CQ21" s="295"/>
      <c r="CR21" s="288"/>
      <c r="CS21" s="294"/>
      <c r="CT21" s="295"/>
      <c r="CU21" s="288"/>
      <c r="CV21" s="294"/>
      <c r="CW21" s="295"/>
      <c r="CX21" s="288"/>
      <c r="CY21" s="294"/>
      <c r="CZ21" s="295"/>
      <c r="DA21" s="288"/>
      <c r="DB21" s="294"/>
      <c r="DC21" s="239"/>
      <c r="DD21" s="43"/>
      <c r="DE21" s="283"/>
      <c r="DF21" s="295"/>
      <c r="DG21" s="288"/>
      <c r="DH21" s="294"/>
      <c r="DI21" s="287"/>
      <c r="DJ21" s="288"/>
      <c r="DK21" s="289"/>
      <c r="DL21" s="295"/>
      <c r="DM21" s="288"/>
      <c r="DN21" s="294"/>
      <c r="DO21" s="287"/>
      <c r="DP21" s="288"/>
      <c r="DQ21" s="289"/>
      <c r="DR21" s="295"/>
      <c r="DS21" s="288"/>
      <c r="DT21" s="294"/>
      <c r="DU21" s="287"/>
      <c r="DV21" s="288"/>
      <c r="DW21" s="289"/>
      <c r="DX21" s="295"/>
      <c r="DY21" s="288"/>
      <c r="DZ21" s="294"/>
      <c r="EA21" s="287"/>
      <c r="EB21" s="288"/>
      <c r="EC21" s="289"/>
      <c r="ED21" s="295"/>
      <c r="EE21" s="288"/>
      <c r="EF21" s="294"/>
      <c r="EG21" s="287"/>
      <c r="EH21" s="288"/>
      <c r="EI21" s="289"/>
      <c r="EJ21" s="295"/>
      <c r="EK21" s="288"/>
      <c r="EL21" s="294"/>
      <c r="EM21" s="287"/>
      <c r="EN21" s="288"/>
      <c r="EO21" s="289"/>
      <c r="EP21" s="295"/>
      <c r="EQ21" s="288"/>
      <c r="ER21" s="294"/>
      <c r="ES21" s="287"/>
      <c r="ET21" s="288"/>
      <c r="EU21" s="289"/>
      <c r="EV21" s="295"/>
      <c r="EW21" s="288"/>
      <c r="EX21" s="294"/>
      <c r="EY21" s="287"/>
      <c r="EZ21" s="288"/>
      <c r="FA21" s="289"/>
      <c r="FB21" s="295"/>
      <c r="FC21" s="288"/>
      <c r="FD21" s="294"/>
      <c r="FE21" s="287"/>
      <c r="FF21" s="288"/>
      <c r="FG21" s="289"/>
      <c r="FH21" s="295"/>
      <c r="FI21" s="288"/>
      <c r="FJ21" s="294"/>
      <c r="FK21" s="287"/>
      <c r="FL21" s="288"/>
      <c r="FM21" s="289"/>
      <c r="FN21" s="295"/>
      <c r="FO21" s="288"/>
      <c r="FP21" s="294"/>
      <c r="FQ21" s="287"/>
      <c r="FR21" s="288"/>
      <c r="FS21" s="289"/>
      <c r="FT21" s="295"/>
      <c r="FU21" s="288"/>
      <c r="FV21" s="294"/>
      <c r="FW21" s="287"/>
      <c r="FX21" s="288"/>
      <c r="FY21" s="289"/>
      <c r="FZ21" s="295"/>
      <c r="GA21" s="288"/>
      <c r="GB21" s="294"/>
      <c r="GC21" s="287"/>
      <c r="GD21" s="288"/>
      <c r="GE21" s="289"/>
      <c r="GF21" s="295"/>
      <c r="GG21" s="288"/>
      <c r="GH21" s="294"/>
      <c r="GI21" s="287"/>
      <c r="GJ21" s="288"/>
      <c r="GK21" s="289"/>
      <c r="GL21" s="295"/>
      <c r="GM21" s="288"/>
      <c r="GN21" s="294"/>
      <c r="GO21" s="287"/>
      <c r="GP21" s="288"/>
      <c r="GQ21" s="289"/>
      <c r="GR21" s="295"/>
      <c r="GS21" s="288"/>
      <c r="GT21" s="294"/>
      <c r="GU21" s="295"/>
      <c r="GV21" s="288"/>
      <c r="GW21" s="294"/>
      <c r="GX21" s="295"/>
      <c r="GY21" s="288"/>
      <c r="GZ21" s="294"/>
      <c r="HA21" s="295"/>
      <c r="HB21" s="288"/>
      <c r="HC21" s="294"/>
      <c r="HD21" s="368">
        <f t="shared" si="0"/>
        <v>0</v>
      </c>
      <c r="HE21" s="369">
        <f t="shared" si="1"/>
        <v>0</v>
      </c>
      <c r="HF21" s="369">
        <f t="shared" si="2"/>
        <v>0</v>
      </c>
    </row>
    <row r="22" spans="1:214" ht="15.75" thickBot="1">
      <c r="A22" s="238">
        <v>15</v>
      </c>
      <c r="B22" s="239"/>
      <c r="C22" s="43"/>
      <c r="D22" s="283"/>
      <c r="E22" s="295"/>
      <c r="F22" s="288"/>
      <c r="G22" s="294"/>
      <c r="H22" s="287"/>
      <c r="I22" s="288"/>
      <c r="J22" s="289"/>
      <c r="K22" s="295"/>
      <c r="L22" s="288"/>
      <c r="M22" s="294"/>
      <c r="N22" s="287"/>
      <c r="O22" s="288"/>
      <c r="P22" s="289"/>
      <c r="Q22" s="295"/>
      <c r="R22" s="288"/>
      <c r="S22" s="294"/>
      <c r="T22" s="287"/>
      <c r="U22" s="288"/>
      <c r="V22" s="289"/>
      <c r="W22" s="295"/>
      <c r="X22" s="288"/>
      <c r="Y22" s="294"/>
      <c r="Z22" s="287"/>
      <c r="AA22" s="288"/>
      <c r="AB22" s="289"/>
      <c r="AC22" s="295"/>
      <c r="AD22" s="288"/>
      <c r="AE22" s="294"/>
      <c r="AF22" s="287"/>
      <c r="AG22" s="288"/>
      <c r="AH22" s="289"/>
      <c r="AI22" s="295"/>
      <c r="AJ22" s="288"/>
      <c r="AK22" s="294"/>
      <c r="AL22" s="287"/>
      <c r="AM22" s="288"/>
      <c r="AN22" s="289"/>
      <c r="AO22" s="295"/>
      <c r="AP22" s="288"/>
      <c r="AQ22" s="294"/>
      <c r="AR22" s="287"/>
      <c r="AS22" s="288"/>
      <c r="AT22" s="289"/>
      <c r="AU22" s="295"/>
      <c r="AV22" s="288"/>
      <c r="AW22" s="294"/>
      <c r="AX22" s="287"/>
      <c r="AY22" s="288"/>
      <c r="AZ22" s="289"/>
      <c r="BA22" s="295"/>
      <c r="BB22" s="288"/>
      <c r="BC22" s="294"/>
      <c r="BD22" s="287"/>
      <c r="BE22" s="288"/>
      <c r="BF22" s="289"/>
      <c r="BG22" s="295"/>
      <c r="BH22" s="288"/>
      <c r="BI22" s="294"/>
      <c r="BJ22" s="287"/>
      <c r="BK22" s="288"/>
      <c r="BL22" s="289"/>
      <c r="BM22" s="295"/>
      <c r="BN22" s="288"/>
      <c r="BO22" s="294"/>
      <c r="BP22" s="287"/>
      <c r="BQ22" s="288"/>
      <c r="BR22" s="289"/>
      <c r="BS22" s="295"/>
      <c r="BT22" s="288"/>
      <c r="BU22" s="294"/>
      <c r="BV22" s="287"/>
      <c r="BW22" s="288"/>
      <c r="BX22" s="289"/>
      <c r="BY22" s="295"/>
      <c r="BZ22" s="288"/>
      <c r="CA22" s="294"/>
      <c r="CB22" s="287"/>
      <c r="CC22" s="288"/>
      <c r="CD22" s="289"/>
      <c r="CE22" s="295"/>
      <c r="CF22" s="288"/>
      <c r="CG22" s="294"/>
      <c r="CH22" s="287"/>
      <c r="CI22" s="288"/>
      <c r="CJ22" s="289"/>
      <c r="CK22" s="295"/>
      <c r="CL22" s="288"/>
      <c r="CM22" s="294"/>
      <c r="CN22" s="287"/>
      <c r="CO22" s="288"/>
      <c r="CP22" s="289"/>
      <c r="CQ22" s="295"/>
      <c r="CR22" s="288"/>
      <c r="CS22" s="294"/>
      <c r="CT22" s="295"/>
      <c r="CU22" s="288"/>
      <c r="CV22" s="294"/>
      <c r="CW22" s="295"/>
      <c r="CX22" s="288"/>
      <c r="CY22" s="294"/>
      <c r="CZ22" s="295"/>
      <c r="DA22" s="288"/>
      <c r="DB22" s="294"/>
      <c r="DC22" s="239"/>
      <c r="DD22" s="43"/>
      <c r="DE22" s="283"/>
      <c r="DF22" s="295"/>
      <c r="DG22" s="288"/>
      <c r="DH22" s="294"/>
      <c r="DI22" s="287"/>
      <c r="DJ22" s="288"/>
      <c r="DK22" s="289"/>
      <c r="DL22" s="295"/>
      <c r="DM22" s="288"/>
      <c r="DN22" s="294"/>
      <c r="DO22" s="287"/>
      <c r="DP22" s="288"/>
      <c r="DQ22" s="289"/>
      <c r="DR22" s="295"/>
      <c r="DS22" s="288"/>
      <c r="DT22" s="294"/>
      <c r="DU22" s="287"/>
      <c r="DV22" s="288"/>
      <c r="DW22" s="289"/>
      <c r="DX22" s="295"/>
      <c r="DY22" s="288"/>
      <c r="DZ22" s="294"/>
      <c r="EA22" s="287"/>
      <c r="EB22" s="288"/>
      <c r="EC22" s="289"/>
      <c r="ED22" s="295"/>
      <c r="EE22" s="288"/>
      <c r="EF22" s="294"/>
      <c r="EG22" s="287"/>
      <c r="EH22" s="288"/>
      <c r="EI22" s="289"/>
      <c r="EJ22" s="295"/>
      <c r="EK22" s="288"/>
      <c r="EL22" s="294"/>
      <c r="EM22" s="287"/>
      <c r="EN22" s="288"/>
      <c r="EO22" s="289"/>
      <c r="EP22" s="295"/>
      <c r="EQ22" s="288"/>
      <c r="ER22" s="294"/>
      <c r="ES22" s="287"/>
      <c r="ET22" s="288"/>
      <c r="EU22" s="289"/>
      <c r="EV22" s="295"/>
      <c r="EW22" s="288"/>
      <c r="EX22" s="294"/>
      <c r="EY22" s="287"/>
      <c r="EZ22" s="288"/>
      <c r="FA22" s="289"/>
      <c r="FB22" s="295"/>
      <c r="FC22" s="288"/>
      <c r="FD22" s="294"/>
      <c r="FE22" s="287"/>
      <c r="FF22" s="288"/>
      <c r="FG22" s="289"/>
      <c r="FH22" s="295"/>
      <c r="FI22" s="288"/>
      <c r="FJ22" s="294"/>
      <c r="FK22" s="287"/>
      <c r="FL22" s="288"/>
      <c r="FM22" s="289"/>
      <c r="FN22" s="295"/>
      <c r="FO22" s="288"/>
      <c r="FP22" s="294"/>
      <c r="FQ22" s="287"/>
      <c r="FR22" s="288"/>
      <c r="FS22" s="289"/>
      <c r="FT22" s="295"/>
      <c r="FU22" s="288"/>
      <c r="FV22" s="294"/>
      <c r="FW22" s="287"/>
      <c r="FX22" s="288"/>
      <c r="FY22" s="289"/>
      <c r="FZ22" s="295"/>
      <c r="GA22" s="288"/>
      <c r="GB22" s="294"/>
      <c r="GC22" s="287"/>
      <c r="GD22" s="288"/>
      <c r="GE22" s="289"/>
      <c r="GF22" s="295"/>
      <c r="GG22" s="288"/>
      <c r="GH22" s="294"/>
      <c r="GI22" s="287"/>
      <c r="GJ22" s="288"/>
      <c r="GK22" s="289"/>
      <c r="GL22" s="295"/>
      <c r="GM22" s="288"/>
      <c r="GN22" s="294"/>
      <c r="GO22" s="287"/>
      <c r="GP22" s="288"/>
      <c r="GQ22" s="289"/>
      <c r="GR22" s="295"/>
      <c r="GS22" s="288"/>
      <c r="GT22" s="294"/>
      <c r="GU22" s="295"/>
      <c r="GV22" s="288"/>
      <c r="GW22" s="294"/>
      <c r="GX22" s="295"/>
      <c r="GY22" s="288"/>
      <c r="GZ22" s="294"/>
      <c r="HA22" s="295"/>
      <c r="HB22" s="288"/>
      <c r="HC22" s="294"/>
      <c r="HD22" s="368">
        <f t="shared" si="0"/>
        <v>0</v>
      </c>
      <c r="HE22" s="369">
        <f t="shared" si="1"/>
        <v>0</v>
      </c>
      <c r="HF22" s="369">
        <f t="shared" si="2"/>
        <v>0</v>
      </c>
    </row>
    <row r="23" spans="1:214" ht="15.75" thickBot="1">
      <c r="A23" s="238">
        <v>16</v>
      </c>
      <c r="B23" s="239"/>
      <c r="C23" s="43"/>
      <c r="D23" s="283"/>
      <c r="E23" s="295"/>
      <c r="F23" s="288"/>
      <c r="G23" s="294"/>
      <c r="H23" s="287"/>
      <c r="I23" s="288"/>
      <c r="J23" s="289"/>
      <c r="K23" s="295"/>
      <c r="L23" s="288"/>
      <c r="M23" s="294"/>
      <c r="N23" s="287"/>
      <c r="O23" s="288"/>
      <c r="P23" s="289"/>
      <c r="Q23" s="295"/>
      <c r="R23" s="288"/>
      <c r="S23" s="294"/>
      <c r="T23" s="287"/>
      <c r="U23" s="288"/>
      <c r="V23" s="289"/>
      <c r="W23" s="295"/>
      <c r="X23" s="288"/>
      <c r="Y23" s="294"/>
      <c r="Z23" s="287"/>
      <c r="AA23" s="288"/>
      <c r="AB23" s="289"/>
      <c r="AC23" s="295"/>
      <c r="AD23" s="288"/>
      <c r="AE23" s="294"/>
      <c r="AF23" s="287"/>
      <c r="AG23" s="288"/>
      <c r="AH23" s="289"/>
      <c r="AI23" s="295"/>
      <c r="AJ23" s="288"/>
      <c r="AK23" s="294"/>
      <c r="AL23" s="287"/>
      <c r="AM23" s="288"/>
      <c r="AN23" s="289"/>
      <c r="AO23" s="295"/>
      <c r="AP23" s="288"/>
      <c r="AQ23" s="294"/>
      <c r="AR23" s="287"/>
      <c r="AS23" s="288"/>
      <c r="AT23" s="289"/>
      <c r="AU23" s="295"/>
      <c r="AV23" s="288"/>
      <c r="AW23" s="294"/>
      <c r="AX23" s="287"/>
      <c r="AY23" s="288"/>
      <c r="AZ23" s="289"/>
      <c r="BA23" s="295"/>
      <c r="BB23" s="288"/>
      <c r="BC23" s="294"/>
      <c r="BD23" s="287"/>
      <c r="BE23" s="288"/>
      <c r="BF23" s="289"/>
      <c r="BG23" s="295"/>
      <c r="BH23" s="288"/>
      <c r="BI23" s="294"/>
      <c r="BJ23" s="287"/>
      <c r="BK23" s="288"/>
      <c r="BL23" s="289"/>
      <c r="BM23" s="295"/>
      <c r="BN23" s="288"/>
      <c r="BO23" s="294"/>
      <c r="BP23" s="287"/>
      <c r="BQ23" s="288"/>
      <c r="BR23" s="289"/>
      <c r="BS23" s="295"/>
      <c r="BT23" s="288"/>
      <c r="BU23" s="294"/>
      <c r="BV23" s="287"/>
      <c r="BW23" s="288"/>
      <c r="BX23" s="289"/>
      <c r="BY23" s="295"/>
      <c r="BZ23" s="288"/>
      <c r="CA23" s="294"/>
      <c r="CB23" s="287"/>
      <c r="CC23" s="288"/>
      <c r="CD23" s="289"/>
      <c r="CE23" s="295"/>
      <c r="CF23" s="288"/>
      <c r="CG23" s="294"/>
      <c r="CH23" s="287"/>
      <c r="CI23" s="288"/>
      <c r="CJ23" s="289"/>
      <c r="CK23" s="295"/>
      <c r="CL23" s="288"/>
      <c r="CM23" s="294"/>
      <c r="CN23" s="287"/>
      <c r="CO23" s="288"/>
      <c r="CP23" s="289"/>
      <c r="CQ23" s="295"/>
      <c r="CR23" s="288"/>
      <c r="CS23" s="294"/>
      <c r="CT23" s="295"/>
      <c r="CU23" s="288"/>
      <c r="CV23" s="294"/>
      <c r="CW23" s="295"/>
      <c r="CX23" s="288"/>
      <c r="CY23" s="294"/>
      <c r="CZ23" s="295"/>
      <c r="DA23" s="288"/>
      <c r="DB23" s="294"/>
      <c r="DC23" s="239"/>
      <c r="DD23" s="43"/>
      <c r="DE23" s="283"/>
      <c r="DF23" s="295"/>
      <c r="DG23" s="288"/>
      <c r="DH23" s="294"/>
      <c r="DI23" s="287"/>
      <c r="DJ23" s="288"/>
      <c r="DK23" s="289"/>
      <c r="DL23" s="295"/>
      <c r="DM23" s="288"/>
      <c r="DN23" s="294"/>
      <c r="DO23" s="287"/>
      <c r="DP23" s="288"/>
      <c r="DQ23" s="289"/>
      <c r="DR23" s="295"/>
      <c r="DS23" s="288"/>
      <c r="DT23" s="294"/>
      <c r="DU23" s="287"/>
      <c r="DV23" s="288"/>
      <c r="DW23" s="289"/>
      <c r="DX23" s="295"/>
      <c r="DY23" s="288"/>
      <c r="DZ23" s="294"/>
      <c r="EA23" s="287"/>
      <c r="EB23" s="288"/>
      <c r="EC23" s="289"/>
      <c r="ED23" s="295"/>
      <c r="EE23" s="288"/>
      <c r="EF23" s="294"/>
      <c r="EG23" s="287"/>
      <c r="EH23" s="288"/>
      <c r="EI23" s="289"/>
      <c r="EJ23" s="295"/>
      <c r="EK23" s="288"/>
      <c r="EL23" s="294"/>
      <c r="EM23" s="287"/>
      <c r="EN23" s="288"/>
      <c r="EO23" s="289"/>
      <c r="EP23" s="295"/>
      <c r="EQ23" s="288"/>
      <c r="ER23" s="294"/>
      <c r="ES23" s="287"/>
      <c r="ET23" s="288"/>
      <c r="EU23" s="289"/>
      <c r="EV23" s="295"/>
      <c r="EW23" s="288"/>
      <c r="EX23" s="294"/>
      <c r="EY23" s="287"/>
      <c r="EZ23" s="288"/>
      <c r="FA23" s="289"/>
      <c r="FB23" s="295"/>
      <c r="FC23" s="288"/>
      <c r="FD23" s="294"/>
      <c r="FE23" s="287"/>
      <c r="FF23" s="288"/>
      <c r="FG23" s="289"/>
      <c r="FH23" s="295"/>
      <c r="FI23" s="288"/>
      <c r="FJ23" s="294"/>
      <c r="FK23" s="287"/>
      <c r="FL23" s="288"/>
      <c r="FM23" s="289"/>
      <c r="FN23" s="295"/>
      <c r="FO23" s="288"/>
      <c r="FP23" s="294"/>
      <c r="FQ23" s="287"/>
      <c r="FR23" s="288"/>
      <c r="FS23" s="289"/>
      <c r="FT23" s="295"/>
      <c r="FU23" s="288"/>
      <c r="FV23" s="294"/>
      <c r="FW23" s="287"/>
      <c r="FX23" s="288"/>
      <c r="FY23" s="289"/>
      <c r="FZ23" s="295"/>
      <c r="GA23" s="288"/>
      <c r="GB23" s="294"/>
      <c r="GC23" s="287"/>
      <c r="GD23" s="288"/>
      <c r="GE23" s="289"/>
      <c r="GF23" s="295"/>
      <c r="GG23" s="288"/>
      <c r="GH23" s="294"/>
      <c r="GI23" s="287"/>
      <c r="GJ23" s="288"/>
      <c r="GK23" s="289"/>
      <c r="GL23" s="295"/>
      <c r="GM23" s="288"/>
      <c r="GN23" s="294"/>
      <c r="GO23" s="287"/>
      <c r="GP23" s="288"/>
      <c r="GQ23" s="289"/>
      <c r="GR23" s="295"/>
      <c r="GS23" s="288"/>
      <c r="GT23" s="294"/>
      <c r="GU23" s="295"/>
      <c r="GV23" s="288"/>
      <c r="GW23" s="294"/>
      <c r="GX23" s="295"/>
      <c r="GY23" s="288"/>
      <c r="GZ23" s="294"/>
      <c r="HA23" s="295"/>
      <c r="HB23" s="288"/>
      <c r="HC23" s="294"/>
      <c r="HD23" s="368">
        <f t="shared" si="0"/>
        <v>0</v>
      </c>
      <c r="HE23" s="369">
        <f t="shared" si="1"/>
        <v>0</v>
      </c>
      <c r="HF23" s="369">
        <f t="shared" si="2"/>
        <v>0</v>
      </c>
    </row>
    <row r="24" spans="1:214" ht="15.75" thickBot="1">
      <c r="A24" s="238">
        <v>17</v>
      </c>
      <c r="B24" s="239"/>
      <c r="C24" s="43"/>
      <c r="D24" s="283"/>
      <c r="E24" s="295"/>
      <c r="F24" s="288"/>
      <c r="G24" s="294"/>
      <c r="H24" s="287"/>
      <c r="I24" s="288"/>
      <c r="J24" s="289"/>
      <c r="K24" s="295"/>
      <c r="L24" s="288"/>
      <c r="M24" s="294"/>
      <c r="N24" s="287"/>
      <c r="O24" s="288"/>
      <c r="P24" s="289"/>
      <c r="Q24" s="295"/>
      <c r="R24" s="288"/>
      <c r="S24" s="294"/>
      <c r="T24" s="287"/>
      <c r="U24" s="288"/>
      <c r="V24" s="289"/>
      <c r="W24" s="295"/>
      <c r="X24" s="288"/>
      <c r="Y24" s="294"/>
      <c r="Z24" s="287"/>
      <c r="AA24" s="288"/>
      <c r="AB24" s="289"/>
      <c r="AC24" s="295"/>
      <c r="AD24" s="288"/>
      <c r="AE24" s="294"/>
      <c r="AF24" s="287"/>
      <c r="AG24" s="288"/>
      <c r="AH24" s="289"/>
      <c r="AI24" s="295"/>
      <c r="AJ24" s="288"/>
      <c r="AK24" s="294"/>
      <c r="AL24" s="287"/>
      <c r="AM24" s="288"/>
      <c r="AN24" s="289"/>
      <c r="AO24" s="295"/>
      <c r="AP24" s="288"/>
      <c r="AQ24" s="294"/>
      <c r="AR24" s="287"/>
      <c r="AS24" s="288"/>
      <c r="AT24" s="289"/>
      <c r="AU24" s="295"/>
      <c r="AV24" s="288"/>
      <c r="AW24" s="294"/>
      <c r="AX24" s="287"/>
      <c r="AY24" s="288"/>
      <c r="AZ24" s="289"/>
      <c r="BA24" s="295"/>
      <c r="BB24" s="288"/>
      <c r="BC24" s="294"/>
      <c r="BD24" s="287"/>
      <c r="BE24" s="288"/>
      <c r="BF24" s="289"/>
      <c r="BG24" s="295"/>
      <c r="BH24" s="288"/>
      <c r="BI24" s="294"/>
      <c r="BJ24" s="287"/>
      <c r="BK24" s="288"/>
      <c r="BL24" s="289"/>
      <c r="BM24" s="295"/>
      <c r="BN24" s="288"/>
      <c r="BO24" s="294"/>
      <c r="BP24" s="287"/>
      <c r="BQ24" s="288"/>
      <c r="BR24" s="289"/>
      <c r="BS24" s="295"/>
      <c r="BT24" s="288"/>
      <c r="BU24" s="294"/>
      <c r="BV24" s="287"/>
      <c r="BW24" s="288"/>
      <c r="BX24" s="289"/>
      <c r="BY24" s="295"/>
      <c r="BZ24" s="288"/>
      <c r="CA24" s="294"/>
      <c r="CB24" s="287"/>
      <c r="CC24" s="288"/>
      <c r="CD24" s="289"/>
      <c r="CE24" s="295"/>
      <c r="CF24" s="288"/>
      <c r="CG24" s="294"/>
      <c r="CH24" s="287"/>
      <c r="CI24" s="288"/>
      <c r="CJ24" s="289"/>
      <c r="CK24" s="295"/>
      <c r="CL24" s="288"/>
      <c r="CM24" s="294"/>
      <c r="CN24" s="287"/>
      <c r="CO24" s="288"/>
      <c r="CP24" s="289"/>
      <c r="CQ24" s="295"/>
      <c r="CR24" s="288"/>
      <c r="CS24" s="294"/>
      <c r="CT24" s="295"/>
      <c r="CU24" s="288"/>
      <c r="CV24" s="294"/>
      <c r="CW24" s="295"/>
      <c r="CX24" s="288"/>
      <c r="CY24" s="294"/>
      <c r="CZ24" s="295"/>
      <c r="DA24" s="288"/>
      <c r="DB24" s="294"/>
      <c r="DC24" s="239"/>
      <c r="DD24" s="43"/>
      <c r="DE24" s="283"/>
      <c r="DF24" s="295"/>
      <c r="DG24" s="288"/>
      <c r="DH24" s="294"/>
      <c r="DI24" s="287"/>
      <c r="DJ24" s="288"/>
      <c r="DK24" s="289"/>
      <c r="DL24" s="295"/>
      <c r="DM24" s="288"/>
      <c r="DN24" s="294"/>
      <c r="DO24" s="287"/>
      <c r="DP24" s="288"/>
      <c r="DQ24" s="289"/>
      <c r="DR24" s="295"/>
      <c r="DS24" s="288"/>
      <c r="DT24" s="294"/>
      <c r="DU24" s="287"/>
      <c r="DV24" s="288"/>
      <c r="DW24" s="289"/>
      <c r="DX24" s="295"/>
      <c r="DY24" s="288"/>
      <c r="DZ24" s="294"/>
      <c r="EA24" s="287"/>
      <c r="EB24" s="288"/>
      <c r="EC24" s="289"/>
      <c r="ED24" s="295"/>
      <c r="EE24" s="288"/>
      <c r="EF24" s="294"/>
      <c r="EG24" s="287"/>
      <c r="EH24" s="288"/>
      <c r="EI24" s="289"/>
      <c r="EJ24" s="295"/>
      <c r="EK24" s="288"/>
      <c r="EL24" s="294"/>
      <c r="EM24" s="287"/>
      <c r="EN24" s="288"/>
      <c r="EO24" s="289"/>
      <c r="EP24" s="295"/>
      <c r="EQ24" s="288"/>
      <c r="ER24" s="294"/>
      <c r="ES24" s="287"/>
      <c r="ET24" s="288"/>
      <c r="EU24" s="289"/>
      <c r="EV24" s="295"/>
      <c r="EW24" s="288"/>
      <c r="EX24" s="294"/>
      <c r="EY24" s="287"/>
      <c r="EZ24" s="288"/>
      <c r="FA24" s="289"/>
      <c r="FB24" s="295"/>
      <c r="FC24" s="288"/>
      <c r="FD24" s="294"/>
      <c r="FE24" s="287"/>
      <c r="FF24" s="288"/>
      <c r="FG24" s="289"/>
      <c r="FH24" s="295"/>
      <c r="FI24" s="288"/>
      <c r="FJ24" s="294"/>
      <c r="FK24" s="287"/>
      <c r="FL24" s="288"/>
      <c r="FM24" s="289"/>
      <c r="FN24" s="295"/>
      <c r="FO24" s="288"/>
      <c r="FP24" s="294"/>
      <c r="FQ24" s="287"/>
      <c r="FR24" s="288"/>
      <c r="FS24" s="289"/>
      <c r="FT24" s="295"/>
      <c r="FU24" s="288"/>
      <c r="FV24" s="294"/>
      <c r="FW24" s="287"/>
      <c r="FX24" s="288"/>
      <c r="FY24" s="289"/>
      <c r="FZ24" s="295"/>
      <c r="GA24" s="288"/>
      <c r="GB24" s="294"/>
      <c r="GC24" s="287"/>
      <c r="GD24" s="288"/>
      <c r="GE24" s="289"/>
      <c r="GF24" s="295"/>
      <c r="GG24" s="288"/>
      <c r="GH24" s="294"/>
      <c r="GI24" s="287"/>
      <c r="GJ24" s="288"/>
      <c r="GK24" s="289"/>
      <c r="GL24" s="295"/>
      <c r="GM24" s="288"/>
      <c r="GN24" s="294"/>
      <c r="GO24" s="287"/>
      <c r="GP24" s="288"/>
      <c r="GQ24" s="289"/>
      <c r="GR24" s="295"/>
      <c r="GS24" s="288"/>
      <c r="GT24" s="294"/>
      <c r="GU24" s="295"/>
      <c r="GV24" s="288"/>
      <c r="GW24" s="294"/>
      <c r="GX24" s="295"/>
      <c r="GY24" s="288"/>
      <c r="GZ24" s="294"/>
      <c r="HA24" s="295"/>
      <c r="HB24" s="288"/>
      <c r="HC24" s="294"/>
      <c r="HD24" s="368">
        <f t="shared" si="0"/>
        <v>0</v>
      </c>
      <c r="HE24" s="369">
        <f t="shared" si="1"/>
        <v>0</v>
      </c>
      <c r="HF24" s="369">
        <f t="shared" si="2"/>
        <v>0</v>
      </c>
    </row>
    <row r="25" spans="1:214" ht="15.75" thickBot="1">
      <c r="A25" s="238">
        <v>18</v>
      </c>
      <c r="B25" s="239"/>
      <c r="C25" s="43"/>
      <c r="D25" s="283"/>
      <c r="E25" s="295"/>
      <c r="F25" s="288"/>
      <c r="G25" s="294"/>
      <c r="H25" s="287"/>
      <c r="I25" s="288"/>
      <c r="J25" s="289"/>
      <c r="K25" s="295"/>
      <c r="L25" s="288"/>
      <c r="M25" s="294"/>
      <c r="N25" s="287"/>
      <c r="O25" s="288"/>
      <c r="P25" s="289"/>
      <c r="Q25" s="295"/>
      <c r="R25" s="288"/>
      <c r="S25" s="294"/>
      <c r="T25" s="287"/>
      <c r="U25" s="288"/>
      <c r="V25" s="289"/>
      <c r="W25" s="295"/>
      <c r="X25" s="288"/>
      <c r="Y25" s="294"/>
      <c r="Z25" s="287"/>
      <c r="AA25" s="288"/>
      <c r="AB25" s="289"/>
      <c r="AC25" s="295"/>
      <c r="AD25" s="288"/>
      <c r="AE25" s="294"/>
      <c r="AF25" s="287"/>
      <c r="AG25" s="288"/>
      <c r="AH25" s="289"/>
      <c r="AI25" s="295"/>
      <c r="AJ25" s="288"/>
      <c r="AK25" s="294"/>
      <c r="AL25" s="287"/>
      <c r="AM25" s="288"/>
      <c r="AN25" s="289"/>
      <c r="AO25" s="295"/>
      <c r="AP25" s="288"/>
      <c r="AQ25" s="294"/>
      <c r="AR25" s="287"/>
      <c r="AS25" s="288"/>
      <c r="AT25" s="289"/>
      <c r="AU25" s="295"/>
      <c r="AV25" s="288"/>
      <c r="AW25" s="294"/>
      <c r="AX25" s="287"/>
      <c r="AY25" s="288"/>
      <c r="AZ25" s="289"/>
      <c r="BA25" s="295"/>
      <c r="BB25" s="288"/>
      <c r="BC25" s="294"/>
      <c r="BD25" s="287"/>
      <c r="BE25" s="288"/>
      <c r="BF25" s="289"/>
      <c r="BG25" s="295"/>
      <c r="BH25" s="288"/>
      <c r="BI25" s="294"/>
      <c r="BJ25" s="287"/>
      <c r="BK25" s="288"/>
      <c r="BL25" s="289"/>
      <c r="BM25" s="295"/>
      <c r="BN25" s="288"/>
      <c r="BO25" s="294"/>
      <c r="BP25" s="287"/>
      <c r="BQ25" s="288"/>
      <c r="BR25" s="289"/>
      <c r="BS25" s="295"/>
      <c r="BT25" s="288"/>
      <c r="BU25" s="294"/>
      <c r="BV25" s="287"/>
      <c r="BW25" s="288"/>
      <c r="BX25" s="289"/>
      <c r="BY25" s="295"/>
      <c r="BZ25" s="288"/>
      <c r="CA25" s="294"/>
      <c r="CB25" s="287"/>
      <c r="CC25" s="288"/>
      <c r="CD25" s="289"/>
      <c r="CE25" s="295"/>
      <c r="CF25" s="288"/>
      <c r="CG25" s="294"/>
      <c r="CH25" s="287"/>
      <c r="CI25" s="288"/>
      <c r="CJ25" s="289"/>
      <c r="CK25" s="295"/>
      <c r="CL25" s="288"/>
      <c r="CM25" s="294"/>
      <c r="CN25" s="287"/>
      <c r="CO25" s="288"/>
      <c r="CP25" s="289"/>
      <c r="CQ25" s="295"/>
      <c r="CR25" s="288"/>
      <c r="CS25" s="294"/>
      <c r="CT25" s="295"/>
      <c r="CU25" s="288"/>
      <c r="CV25" s="294"/>
      <c r="CW25" s="295"/>
      <c r="CX25" s="288"/>
      <c r="CY25" s="294"/>
      <c r="CZ25" s="295"/>
      <c r="DA25" s="288"/>
      <c r="DB25" s="294"/>
      <c r="DC25" s="239"/>
      <c r="DD25" s="43"/>
      <c r="DE25" s="283"/>
      <c r="DF25" s="295"/>
      <c r="DG25" s="288"/>
      <c r="DH25" s="294"/>
      <c r="DI25" s="287"/>
      <c r="DJ25" s="288"/>
      <c r="DK25" s="289"/>
      <c r="DL25" s="295"/>
      <c r="DM25" s="288"/>
      <c r="DN25" s="294"/>
      <c r="DO25" s="287"/>
      <c r="DP25" s="288"/>
      <c r="DQ25" s="289"/>
      <c r="DR25" s="295"/>
      <c r="DS25" s="288"/>
      <c r="DT25" s="294"/>
      <c r="DU25" s="287"/>
      <c r="DV25" s="288"/>
      <c r="DW25" s="289"/>
      <c r="DX25" s="295"/>
      <c r="DY25" s="288"/>
      <c r="DZ25" s="294"/>
      <c r="EA25" s="287"/>
      <c r="EB25" s="288"/>
      <c r="EC25" s="289"/>
      <c r="ED25" s="295"/>
      <c r="EE25" s="288"/>
      <c r="EF25" s="294"/>
      <c r="EG25" s="287"/>
      <c r="EH25" s="288"/>
      <c r="EI25" s="289"/>
      <c r="EJ25" s="295"/>
      <c r="EK25" s="288"/>
      <c r="EL25" s="294"/>
      <c r="EM25" s="287"/>
      <c r="EN25" s="288"/>
      <c r="EO25" s="289"/>
      <c r="EP25" s="295"/>
      <c r="EQ25" s="288"/>
      <c r="ER25" s="294"/>
      <c r="ES25" s="287"/>
      <c r="ET25" s="288"/>
      <c r="EU25" s="289"/>
      <c r="EV25" s="295"/>
      <c r="EW25" s="288"/>
      <c r="EX25" s="294"/>
      <c r="EY25" s="287"/>
      <c r="EZ25" s="288"/>
      <c r="FA25" s="289"/>
      <c r="FB25" s="295"/>
      <c r="FC25" s="288"/>
      <c r="FD25" s="294"/>
      <c r="FE25" s="287"/>
      <c r="FF25" s="288"/>
      <c r="FG25" s="289"/>
      <c r="FH25" s="295"/>
      <c r="FI25" s="288"/>
      <c r="FJ25" s="294"/>
      <c r="FK25" s="287"/>
      <c r="FL25" s="288"/>
      <c r="FM25" s="289"/>
      <c r="FN25" s="295"/>
      <c r="FO25" s="288"/>
      <c r="FP25" s="294"/>
      <c r="FQ25" s="287"/>
      <c r="FR25" s="288"/>
      <c r="FS25" s="289"/>
      <c r="FT25" s="295"/>
      <c r="FU25" s="288"/>
      <c r="FV25" s="294"/>
      <c r="FW25" s="287"/>
      <c r="FX25" s="288"/>
      <c r="FY25" s="289"/>
      <c r="FZ25" s="295"/>
      <c r="GA25" s="288"/>
      <c r="GB25" s="294"/>
      <c r="GC25" s="287"/>
      <c r="GD25" s="288"/>
      <c r="GE25" s="289"/>
      <c r="GF25" s="295"/>
      <c r="GG25" s="288"/>
      <c r="GH25" s="294"/>
      <c r="GI25" s="287"/>
      <c r="GJ25" s="288"/>
      <c r="GK25" s="289"/>
      <c r="GL25" s="295"/>
      <c r="GM25" s="288"/>
      <c r="GN25" s="294"/>
      <c r="GO25" s="287"/>
      <c r="GP25" s="288"/>
      <c r="GQ25" s="289"/>
      <c r="GR25" s="295"/>
      <c r="GS25" s="288"/>
      <c r="GT25" s="294"/>
      <c r="GU25" s="295"/>
      <c r="GV25" s="288"/>
      <c r="GW25" s="294"/>
      <c r="GX25" s="295"/>
      <c r="GY25" s="288"/>
      <c r="GZ25" s="294"/>
      <c r="HA25" s="295"/>
      <c r="HB25" s="288"/>
      <c r="HC25" s="294"/>
      <c r="HD25" s="368">
        <f t="shared" si="0"/>
        <v>0</v>
      </c>
      <c r="HE25" s="369">
        <f t="shared" si="1"/>
        <v>0</v>
      </c>
      <c r="HF25" s="369">
        <f t="shared" si="2"/>
        <v>0</v>
      </c>
    </row>
    <row r="26" spans="1:214" ht="15.75" thickBot="1">
      <c r="A26" s="238">
        <v>19</v>
      </c>
      <c r="B26" s="239"/>
      <c r="C26" s="43"/>
      <c r="D26" s="283"/>
      <c r="E26" s="295"/>
      <c r="F26" s="288"/>
      <c r="G26" s="294"/>
      <c r="H26" s="287"/>
      <c r="I26" s="288"/>
      <c r="J26" s="289"/>
      <c r="K26" s="295"/>
      <c r="L26" s="288"/>
      <c r="M26" s="294"/>
      <c r="N26" s="287"/>
      <c r="O26" s="288"/>
      <c r="P26" s="289"/>
      <c r="Q26" s="295"/>
      <c r="R26" s="288"/>
      <c r="S26" s="294"/>
      <c r="T26" s="287"/>
      <c r="U26" s="288"/>
      <c r="V26" s="289"/>
      <c r="W26" s="295"/>
      <c r="X26" s="288"/>
      <c r="Y26" s="294"/>
      <c r="Z26" s="287"/>
      <c r="AA26" s="288"/>
      <c r="AB26" s="289"/>
      <c r="AC26" s="295"/>
      <c r="AD26" s="288"/>
      <c r="AE26" s="294"/>
      <c r="AF26" s="287"/>
      <c r="AG26" s="288"/>
      <c r="AH26" s="289"/>
      <c r="AI26" s="295"/>
      <c r="AJ26" s="288"/>
      <c r="AK26" s="294"/>
      <c r="AL26" s="287"/>
      <c r="AM26" s="288"/>
      <c r="AN26" s="289"/>
      <c r="AO26" s="295"/>
      <c r="AP26" s="288"/>
      <c r="AQ26" s="294"/>
      <c r="AR26" s="287"/>
      <c r="AS26" s="288"/>
      <c r="AT26" s="289"/>
      <c r="AU26" s="295"/>
      <c r="AV26" s="288"/>
      <c r="AW26" s="294"/>
      <c r="AX26" s="287"/>
      <c r="AY26" s="288"/>
      <c r="AZ26" s="289"/>
      <c r="BA26" s="295"/>
      <c r="BB26" s="288"/>
      <c r="BC26" s="294"/>
      <c r="BD26" s="287"/>
      <c r="BE26" s="288"/>
      <c r="BF26" s="289"/>
      <c r="BG26" s="295"/>
      <c r="BH26" s="288"/>
      <c r="BI26" s="294"/>
      <c r="BJ26" s="287"/>
      <c r="BK26" s="288"/>
      <c r="BL26" s="289"/>
      <c r="BM26" s="295"/>
      <c r="BN26" s="288"/>
      <c r="BO26" s="294"/>
      <c r="BP26" s="287"/>
      <c r="BQ26" s="288"/>
      <c r="BR26" s="289"/>
      <c r="BS26" s="295"/>
      <c r="BT26" s="288"/>
      <c r="BU26" s="294"/>
      <c r="BV26" s="287"/>
      <c r="BW26" s="288"/>
      <c r="BX26" s="289"/>
      <c r="BY26" s="295"/>
      <c r="BZ26" s="288"/>
      <c r="CA26" s="294"/>
      <c r="CB26" s="287"/>
      <c r="CC26" s="288"/>
      <c r="CD26" s="289"/>
      <c r="CE26" s="295"/>
      <c r="CF26" s="288"/>
      <c r="CG26" s="294"/>
      <c r="CH26" s="287"/>
      <c r="CI26" s="288"/>
      <c r="CJ26" s="289"/>
      <c r="CK26" s="295"/>
      <c r="CL26" s="288"/>
      <c r="CM26" s="294"/>
      <c r="CN26" s="287"/>
      <c r="CO26" s="288"/>
      <c r="CP26" s="289"/>
      <c r="CQ26" s="295"/>
      <c r="CR26" s="288"/>
      <c r="CS26" s="294"/>
      <c r="CT26" s="295"/>
      <c r="CU26" s="288"/>
      <c r="CV26" s="294"/>
      <c r="CW26" s="295"/>
      <c r="CX26" s="288"/>
      <c r="CY26" s="294"/>
      <c r="CZ26" s="295"/>
      <c r="DA26" s="288"/>
      <c r="DB26" s="294"/>
      <c r="DC26" s="239"/>
      <c r="DD26" s="43"/>
      <c r="DE26" s="283"/>
      <c r="DF26" s="295"/>
      <c r="DG26" s="288"/>
      <c r="DH26" s="294"/>
      <c r="DI26" s="287"/>
      <c r="DJ26" s="288"/>
      <c r="DK26" s="289"/>
      <c r="DL26" s="295"/>
      <c r="DM26" s="288"/>
      <c r="DN26" s="294"/>
      <c r="DO26" s="287"/>
      <c r="DP26" s="288"/>
      <c r="DQ26" s="289"/>
      <c r="DR26" s="295"/>
      <c r="DS26" s="288"/>
      <c r="DT26" s="294"/>
      <c r="DU26" s="287"/>
      <c r="DV26" s="288"/>
      <c r="DW26" s="289"/>
      <c r="DX26" s="295"/>
      <c r="DY26" s="288"/>
      <c r="DZ26" s="294"/>
      <c r="EA26" s="287"/>
      <c r="EB26" s="288"/>
      <c r="EC26" s="289"/>
      <c r="ED26" s="295"/>
      <c r="EE26" s="288"/>
      <c r="EF26" s="294"/>
      <c r="EG26" s="287"/>
      <c r="EH26" s="288"/>
      <c r="EI26" s="289"/>
      <c r="EJ26" s="295"/>
      <c r="EK26" s="288"/>
      <c r="EL26" s="294"/>
      <c r="EM26" s="287"/>
      <c r="EN26" s="288"/>
      <c r="EO26" s="289"/>
      <c r="EP26" s="295"/>
      <c r="EQ26" s="288"/>
      <c r="ER26" s="294"/>
      <c r="ES26" s="287"/>
      <c r="ET26" s="288"/>
      <c r="EU26" s="289"/>
      <c r="EV26" s="295"/>
      <c r="EW26" s="288"/>
      <c r="EX26" s="294"/>
      <c r="EY26" s="287"/>
      <c r="EZ26" s="288"/>
      <c r="FA26" s="289"/>
      <c r="FB26" s="295"/>
      <c r="FC26" s="288"/>
      <c r="FD26" s="294"/>
      <c r="FE26" s="287"/>
      <c r="FF26" s="288"/>
      <c r="FG26" s="289"/>
      <c r="FH26" s="295"/>
      <c r="FI26" s="288"/>
      <c r="FJ26" s="294"/>
      <c r="FK26" s="287"/>
      <c r="FL26" s="288"/>
      <c r="FM26" s="289"/>
      <c r="FN26" s="295"/>
      <c r="FO26" s="288"/>
      <c r="FP26" s="294"/>
      <c r="FQ26" s="287"/>
      <c r="FR26" s="288"/>
      <c r="FS26" s="289"/>
      <c r="FT26" s="295"/>
      <c r="FU26" s="288"/>
      <c r="FV26" s="294"/>
      <c r="FW26" s="287"/>
      <c r="FX26" s="288"/>
      <c r="FY26" s="289"/>
      <c r="FZ26" s="295"/>
      <c r="GA26" s="288"/>
      <c r="GB26" s="294"/>
      <c r="GC26" s="287"/>
      <c r="GD26" s="288"/>
      <c r="GE26" s="289"/>
      <c r="GF26" s="295"/>
      <c r="GG26" s="288"/>
      <c r="GH26" s="294"/>
      <c r="GI26" s="287"/>
      <c r="GJ26" s="288"/>
      <c r="GK26" s="289"/>
      <c r="GL26" s="295"/>
      <c r="GM26" s="288"/>
      <c r="GN26" s="294"/>
      <c r="GO26" s="287"/>
      <c r="GP26" s="288"/>
      <c r="GQ26" s="289"/>
      <c r="GR26" s="295"/>
      <c r="GS26" s="288"/>
      <c r="GT26" s="294"/>
      <c r="GU26" s="295"/>
      <c r="GV26" s="288"/>
      <c r="GW26" s="294"/>
      <c r="GX26" s="295"/>
      <c r="GY26" s="288"/>
      <c r="GZ26" s="294"/>
      <c r="HA26" s="295"/>
      <c r="HB26" s="288"/>
      <c r="HC26" s="294"/>
      <c r="HD26" s="368">
        <f t="shared" si="0"/>
        <v>0</v>
      </c>
      <c r="HE26" s="369">
        <f t="shared" si="1"/>
        <v>0</v>
      </c>
      <c r="HF26" s="369">
        <f t="shared" si="2"/>
        <v>0</v>
      </c>
    </row>
    <row r="27" spans="1:214" ht="15.75" thickBot="1">
      <c r="A27" s="238">
        <v>20</v>
      </c>
      <c r="B27" s="239"/>
      <c r="C27" s="43"/>
      <c r="D27" s="283"/>
      <c r="E27" s="295"/>
      <c r="F27" s="288"/>
      <c r="G27" s="294"/>
      <c r="H27" s="287"/>
      <c r="I27" s="288"/>
      <c r="J27" s="289"/>
      <c r="K27" s="295"/>
      <c r="L27" s="288"/>
      <c r="M27" s="294"/>
      <c r="N27" s="287"/>
      <c r="O27" s="288"/>
      <c r="P27" s="289"/>
      <c r="Q27" s="295"/>
      <c r="R27" s="288"/>
      <c r="S27" s="294"/>
      <c r="T27" s="287"/>
      <c r="U27" s="288"/>
      <c r="V27" s="289"/>
      <c r="W27" s="295"/>
      <c r="X27" s="288"/>
      <c r="Y27" s="294"/>
      <c r="Z27" s="287"/>
      <c r="AA27" s="288"/>
      <c r="AB27" s="289"/>
      <c r="AC27" s="295"/>
      <c r="AD27" s="288"/>
      <c r="AE27" s="294"/>
      <c r="AF27" s="287"/>
      <c r="AG27" s="288"/>
      <c r="AH27" s="289"/>
      <c r="AI27" s="295"/>
      <c r="AJ27" s="288"/>
      <c r="AK27" s="294"/>
      <c r="AL27" s="287"/>
      <c r="AM27" s="288"/>
      <c r="AN27" s="289"/>
      <c r="AO27" s="295"/>
      <c r="AP27" s="288"/>
      <c r="AQ27" s="294"/>
      <c r="AR27" s="287"/>
      <c r="AS27" s="288"/>
      <c r="AT27" s="289"/>
      <c r="AU27" s="295"/>
      <c r="AV27" s="288"/>
      <c r="AW27" s="294"/>
      <c r="AX27" s="287"/>
      <c r="AY27" s="288"/>
      <c r="AZ27" s="289"/>
      <c r="BA27" s="295"/>
      <c r="BB27" s="288"/>
      <c r="BC27" s="294"/>
      <c r="BD27" s="287"/>
      <c r="BE27" s="288"/>
      <c r="BF27" s="289"/>
      <c r="BG27" s="295"/>
      <c r="BH27" s="288"/>
      <c r="BI27" s="294"/>
      <c r="BJ27" s="287"/>
      <c r="BK27" s="288"/>
      <c r="BL27" s="289"/>
      <c r="BM27" s="295"/>
      <c r="BN27" s="288"/>
      <c r="BO27" s="294"/>
      <c r="BP27" s="287"/>
      <c r="BQ27" s="288"/>
      <c r="BR27" s="289"/>
      <c r="BS27" s="295"/>
      <c r="BT27" s="288"/>
      <c r="BU27" s="294"/>
      <c r="BV27" s="287"/>
      <c r="BW27" s="288"/>
      <c r="BX27" s="289"/>
      <c r="BY27" s="295"/>
      <c r="BZ27" s="288"/>
      <c r="CA27" s="294"/>
      <c r="CB27" s="287"/>
      <c r="CC27" s="288"/>
      <c r="CD27" s="289"/>
      <c r="CE27" s="295"/>
      <c r="CF27" s="288"/>
      <c r="CG27" s="294"/>
      <c r="CH27" s="287"/>
      <c r="CI27" s="288"/>
      <c r="CJ27" s="289"/>
      <c r="CK27" s="295"/>
      <c r="CL27" s="288"/>
      <c r="CM27" s="294"/>
      <c r="CN27" s="287"/>
      <c r="CO27" s="288"/>
      <c r="CP27" s="289"/>
      <c r="CQ27" s="295"/>
      <c r="CR27" s="288"/>
      <c r="CS27" s="294"/>
      <c r="CT27" s="295"/>
      <c r="CU27" s="288"/>
      <c r="CV27" s="294"/>
      <c r="CW27" s="295"/>
      <c r="CX27" s="288"/>
      <c r="CY27" s="294"/>
      <c r="CZ27" s="295"/>
      <c r="DA27" s="288"/>
      <c r="DB27" s="294"/>
      <c r="DC27" s="239"/>
      <c r="DD27" s="43"/>
      <c r="DE27" s="283"/>
      <c r="DF27" s="295"/>
      <c r="DG27" s="288"/>
      <c r="DH27" s="294"/>
      <c r="DI27" s="287"/>
      <c r="DJ27" s="288"/>
      <c r="DK27" s="289"/>
      <c r="DL27" s="295"/>
      <c r="DM27" s="288"/>
      <c r="DN27" s="294"/>
      <c r="DO27" s="287"/>
      <c r="DP27" s="288"/>
      <c r="DQ27" s="289"/>
      <c r="DR27" s="295"/>
      <c r="DS27" s="288"/>
      <c r="DT27" s="294"/>
      <c r="DU27" s="287"/>
      <c r="DV27" s="288"/>
      <c r="DW27" s="289"/>
      <c r="DX27" s="295"/>
      <c r="DY27" s="288"/>
      <c r="DZ27" s="294"/>
      <c r="EA27" s="287"/>
      <c r="EB27" s="288"/>
      <c r="EC27" s="289"/>
      <c r="ED27" s="295"/>
      <c r="EE27" s="288"/>
      <c r="EF27" s="294"/>
      <c r="EG27" s="287"/>
      <c r="EH27" s="288"/>
      <c r="EI27" s="289"/>
      <c r="EJ27" s="295"/>
      <c r="EK27" s="288"/>
      <c r="EL27" s="294"/>
      <c r="EM27" s="287"/>
      <c r="EN27" s="288"/>
      <c r="EO27" s="289"/>
      <c r="EP27" s="295"/>
      <c r="EQ27" s="288"/>
      <c r="ER27" s="294"/>
      <c r="ES27" s="287"/>
      <c r="ET27" s="288"/>
      <c r="EU27" s="289"/>
      <c r="EV27" s="295"/>
      <c r="EW27" s="288"/>
      <c r="EX27" s="294"/>
      <c r="EY27" s="287"/>
      <c r="EZ27" s="288"/>
      <c r="FA27" s="289"/>
      <c r="FB27" s="295"/>
      <c r="FC27" s="288"/>
      <c r="FD27" s="294"/>
      <c r="FE27" s="287"/>
      <c r="FF27" s="288"/>
      <c r="FG27" s="289"/>
      <c r="FH27" s="295"/>
      <c r="FI27" s="288"/>
      <c r="FJ27" s="294"/>
      <c r="FK27" s="287"/>
      <c r="FL27" s="288"/>
      <c r="FM27" s="289"/>
      <c r="FN27" s="295"/>
      <c r="FO27" s="288"/>
      <c r="FP27" s="294"/>
      <c r="FQ27" s="287"/>
      <c r="FR27" s="288"/>
      <c r="FS27" s="289"/>
      <c r="FT27" s="295"/>
      <c r="FU27" s="288"/>
      <c r="FV27" s="294"/>
      <c r="FW27" s="287"/>
      <c r="FX27" s="288"/>
      <c r="FY27" s="289"/>
      <c r="FZ27" s="295"/>
      <c r="GA27" s="288"/>
      <c r="GB27" s="294"/>
      <c r="GC27" s="287"/>
      <c r="GD27" s="288"/>
      <c r="GE27" s="289"/>
      <c r="GF27" s="295"/>
      <c r="GG27" s="288"/>
      <c r="GH27" s="294"/>
      <c r="GI27" s="287"/>
      <c r="GJ27" s="288"/>
      <c r="GK27" s="289"/>
      <c r="GL27" s="295"/>
      <c r="GM27" s="288"/>
      <c r="GN27" s="294"/>
      <c r="GO27" s="287"/>
      <c r="GP27" s="288"/>
      <c r="GQ27" s="289"/>
      <c r="GR27" s="295"/>
      <c r="GS27" s="288"/>
      <c r="GT27" s="294"/>
      <c r="GU27" s="295"/>
      <c r="GV27" s="288"/>
      <c r="GW27" s="294"/>
      <c r="GX27" s="295"/>
      <c r="GY27" s="288"/>
      <c r="GZ27" s="294"/>
      <c r="HA27" s="295"/>
      <c r="HB27" s="288"/>
      <c r="HC27" s="294"/>
      <c r="HD27" s="368">
        <f t="shared" si="0"/>
        <v>0</v>
      </c>
      <c r="HE27" s="369">
        <f t="shared" si="1"/>
        <v>0</v>
      </c>
      <c r="HF27" s="369">
        <f t="shared" si="2"/>
        <v>0</v>
      </c>
    </row>
    <row r="28" spans="1:214" ht="15.75" thickBot="1">
      <c r="A28" s="238">
        <v>21</v>
      </c>
      <c r="B28" s="239"/>
      <c r="C28" s="43"/>
      <c r="D28" s="283"/>
      <c r="E28" s="295"/>
      <c r="F28" s="288"/>
      <c r="G28" s="294"/>
      <c r="H28" s="287"/>
      <c r="I28" s="288"/>
      <c r="J28" s="289"/>
      <c r="K28" s="295"/>
      <c r="L28" s="288"/>
      <c r="M28" s="294"/>
      <c r="N28" s="287"/>
      <c r="O28" s="288"/>
      <c r="P28" s="289"/>
      <c r="Q28" s="295"/>
      <c r="R28" s="288"/>
      <c r="S28" s="294"/>
      <c r="T28" s="287"/>
      <c r="U28" s="288"/>
      <c r="V28" s="289"/>
      <c r="W28" s="295"/>
      <c r="X28" s="288"/>
      <c r="Y28" s="294"/>
      <c r="Z28" s="287"/>
      <c r="AA28" s="288"/>
      <c r="AB28" s="289"/>
      <c r="AC28" s="295"/>
      <c r="AD28" s="288"/>
      <c r="AE28" s="294"/>
      <c r="AF28" s="287"/>
      <c r="AG28" s="288"/>
      <c r="AH28" s="289"/>
      <c r="AI28" s="295"/>
      <c r="AJ28" s="288"/>
      <c r="AK28" s="294"/>
      <c r="AL28" s="287"/>
      <c r="AM28" s="288"/>
      <c r="AN28" s="289"/>
      <c r="AO28" s="295"/>
      <c r="AP28" s="288"/>
      <c r="AQ28" s="294"/>
      <c r="AR28" s="287"/>
      <c r="AS28" s="288"/>
      <c r="AT28" s="289"/>
      <c r="AU28" s="295"/>
      <c r="AV28" s="288"/>
      <c r="AW28" s="294"/>
      <c r="AX28" s="287"/>
      <c r="AY28" s="288"/>
      <c r="AZ28" s="289"/>
      <c r="BA28" s="295"/>
      <c r="BB28" s="288"/>
      <c r="BC28" s="294"/>
      <c r="BD28" s="287"/>
      <c r="BE28" s="288"/>
      <c r="BF28" s="289"/>
      <c r="BG28" s="295"/>
      <c r="BH28" s="288"/>
      <c r="BI28" s="294"/>
      <c r="BJ28" s="287"/>
      <c r="BK28" s="288"/>
      <c r="BL28" s="289"/>
      <c r="BM28" s="295"/>
      <c r="BN28" s="288"/>
      <c r="BO28" s="294"/>
      <c r="BP28" s="287"/>
      <c r="BQ28" s="288"/>
      <c r="BR28" s="289"/>
      <c r="BS28" s="295"/>
      <c r="BT28" s="288"/>
      <c r="BU28" s="294"/>
      <c r="BV28" s="287"/>
      <c r="BW28" s="288"/>
      <c r="BX28" s="289"/>
      <c r="BY28" s="295"/>
      <c r="BZ28" s="288"/>
      <c r="CA28" s="294"/>
      <c r="CB28" s="287"/>
      <c r="CC28" s="288"/>
      <c r="CD28" s="289"/>
      <c r="CE28" s="295"/>
      <c r="CF28" s="288"/>
      <c r="CG28" s="294"/>
      <c r="CH28" s="287"/>
      <c r="CI28" s="288"/>
      <c r="CJ28" s="289"/>
      <c r="CK28" s="295"/>
      <c r="CL28" s="288"/>
      <c r="CM28" s="294"/>
      <c r="CN28" s="287"/>
      <c r="CO28" s="288"/>
      <c r="CP28" s="289"/>
      <c r="CQ28" s="295"/>
      <c r="CR28" s="288"/>
      <c r="CS28" s="294"/>
      <c r="CT28" s="295"/>
      <c r="CU28" s="288"/>
      <c r="CV28" s="294"/>
      <c r="CW28" s="295"/>
      <c r="CX28" s="288"/>
      <c r="CY28" s="294"/>
      <c r="CZ28" s="295"/>
      <c r="DA28" s="288"/>
      <c r="DB28" s="294"/>
      <c r="DC28" s="239"/>
      <c r="DD28" s="43"/>
      <c r="DE28" s="283"/>
      <c r="DF28" s="295"/>
      <c r="DG28" s="288"/>
      <c r="DH28" s="294"/>
      <c r="DI28" s="287"/>
      <c r="DJ28" s="288"/>
      <c r="DK28" s="289"/>
      <c r="DL28" s="295"/>
      <c r="DM28" s="288"/>
      <c r="DN28" s="294"/>
      <c r="DO28" s="287"/>
      <c r="DP28" s="288"/>
      <c r="DQ28" s="289"/>
      <c r="DR28" s="295"/>
      <c r="DS28" s="288"/>
      <c r="DT28" s="294"/>
      <c r="DU28" s="287"/>
      <c r="DV28" s="288"/>
      <c r="DW28" s="289"/>
      <c r="DX28" s="295"/>
      <c r="DY28" s="288"/>
      <c r="DZ28" s="294"/>
      <c r="EA28" s="287"/>
      <c r="EB28" s="288"/>
      <c r="EC28" s="289"/>
      <c r="ED28" s="295"/>
      <c r="EE28" s="288"/>
      <c r="EF28" s="294"/>
      <c r="EG28" s="287"/>
      <c r="EH28" s="288"/>
      <c r="EI28" s="289"/>
      <c r="EJ28" s="295"/>
      <c r="EK28" s="288"/>
      <c r="EL28" s="294"/>
      <c r="EM28" s="287"/>
      <c r="EN28" s="288"/>
      <c r="EO28" s="289"/>
      <c r="EP28" s="295"/>
      <c r="EQ28" s="288"/>
      <c r="ER28" s="294"/>
      <c r="ES28" s="287"/>
      <c r="ET28" s="288"/>
      <c r="EU28" s="289"/>
      <c r="EV28" s="295"/>
      <c r="EW28" s="288"/>
      <c r="EX28" s="294"/>
      <c r="EY28" s="287"/>
      <c r="EZ28" s="288"/>
      <c r="FA28" s="289"/>
      <c r="FB28" s="295"/>
      <c r="FC28" s="288"/>
      <c r="FD28" s="294"/>
      <c r="FE28" s="287"/>
      <c r="FF28" s="288"/>
      <c r="FG28" s="289"/>
      <c r="FH28" s="295"/>
      <c r="FI28" s="288"/>
      <c r="FJ28" s="294"/>
      <c r="FK28" s="287"/>
      <c r="FL28" s="288"/>
      <c r="FM28" s="289"/>
      <c r="FN28" s="295"/>
      <c r="FO28" s="288"/>
      <c r="FP28" s="294"/>
      <c r="FQ28" s="287"/>
      <c r="FR28" s="288"/>
      <c r="FS28" s="289"/>
      <c r="FT28" s="295"/>
      <c r="FU28" s="288"/>
      <c r="FV28" s="294"/>
      <c r="FW28" s="287"/>
      <c r="FX28" s="288"/>
      <c r="FY28" s="289"/>
      <c r="FZ28" s="295"/>
      <c r="GA28" s="288"/>
      <c r="GB28" s="294"/>
      <c r="GC28" s="287"/>
      <c r="GD28" s="288"/>
      <c r="GE28" s="289"/>
      <c r="GF28" s="295"/>
      <c r="GG28" s="288"/>
      <c r="GH28" s="294"/>
      <c r="GI28" s="287"/>
      <c r="GJ28" s="288"/>
      <c r="GK28" s="289"/>
      <c r="GL28" s="295"/>
      <c r="GM28" s="288"/>
      <c r="GN28" s="294"/>
      <c r="GO28" s="287"/>
      <c r="GP28" s="288"/>
      <c r="GQ28" s="289"/>
      <c r="GR28" s="295"/>
      <c r="GS28" s="288"/>
      <c r="GT28" s="294"/>
      <c r="GU28" s="295"/>
      <c r="GV28" s="288"/>
      <c r="GW28" s="294"/>
      <c r="GX28" s="295"/>
      <c r="GY28" s="288"/>
      <c r="GZ28" s="294"/>
      <c r="HA28" s="295"/>
      <c r="HB28" s="288"/>
      <c r="HC28" s="294"/>
      <c r="HD28" s="368">
        <f t="shared" si="0"/>
        <v>0</v>
      </c>
      <c r="HE28" s="369">
        <f t="shared" si="1"/>
        <v>0</v>
      </c>
      <c r="HF28" s="369">
        <f t="shared" si="2"/>
        <v>0</v>
      </c>
    </row>
    <row r="29" spans="1:214" ht="15.75" thickBot="1">
      <c r="A29" s="238">
        <v>22</v>
      </c>
      <c r="B29" s="239"/>
      <c r="C29" s="43"/>
      <c r="D29" s="283"/>
      <c r="E29" s="295"/>
      <c r="F29" s="288"/>
      <c r="G29" s="294"/>
      <c r="H29" s="277"/>
      <c r="I29" s="43"/>
      <c r="J29" s="289"/>
      <c r="K29" s="295"/>
      <c r="L29" s="288"/>
      <c r="M29" s="294"/>
      <c r="N29" s="287"/>
      <c r="O29" s="288"/>
      <c r="P29" s="289"/>
      <c r="Q29" s="295"/>
      <c r="R29" s="288"/>
      <c r="S29" s="294"/>
      <c r="T29" s="287"/>
      <c r="U29" s="288"/>
      <c r="V29" s="289"/>
      <c r="W29" s="295"/>
      <c r="X29" s="288"/>
      <c r="Y29" s="294"/>
      <c r="Z29" s="287"/>
      <c r="AA29" s="288"/>
      <c r="AB29" s="289"/>
      <c r="AC29" s="295"/>
      <c r="AD29" s="288"/>
      <c r="AE29" s="294"/>
      <c r="AF29" s="287"/>
      <c r="AG29" s="288"/>
      <c r="AH29" s="289"/>
      <c r="AI29" s="295"/>
      <c r="AJ29" s="288"/>
      <c r="AK29" s="294"/>
      <c r="AL29" s="287"/>
      <c r="AM29" s="288"/>
      <c r="AN29" s="289"/>
      <c r="AO29" s="295"/>
      <c r="AP29" s="288"/>
      <c r="AQ29" s="294"/>
      <c r="AR29" s="287"/>
      <c r="AS29" s="288"/>
      <c r="AT29" s="289"/>
      <c r="AU29" s="295"/>
      <c r="AV29" s="288"/>
      <c r="AW29" s="294"/>
      <c r="AX29" s="287"/>
      <c r="AY29" s="288"/>
      <c r="AZ29" s="289"/>
      <c r="BA29" s="295"/>
      <c r="BB29" s="288"/>
      <c r="BC29" s="294"/>
      <c r="BD29" s="287"/>
      <c r="BE29" s="288"/>
      <c r="BF29" s="289"/>
      <c r="BG29" s="295"/>
      <c r="BH29" s="288"/>
      <c r="BI29" s="294"/>
      <c r="BJ29" s="287"/>
      <c r="BK29" s="288"/>
      <c r="BL29" s="289"/>
      <c r="BM29" s="295"/>
      <c r="BN29" s="288"/>
      <c r="BO29" s="294"/>
      <c r="BP29" s="287"/>
      <c r="BQ29" s="288"/>
      <c r="BR29" s="289"/>
      <c r="BS29" s="295"/>
      <c r="BT29" s="288"/>
      <c r="BU29" s="294"/>
      <c r="BV29" s="287"/>
      <c r="BW29" s="288"/>
      <c r="BX29" s="289"/>
      <c r="BY29" s="295"/>
      <c r="BZ29" s="288"/>
      <c r="CA29" s="294"/>
      <c r="CB29" s="287"/>
      <c r="CC29" s="288"/>
      <c r="CD29" s="289"/>
      <c r="CE29" s="295"/>
      <c r="CF29" s="288"/>
      <c r="CG29" s="294"/>
      <c r="CH29" s="287"/>
      <c r="CI29" s="288"/>
      <c r="CJ29" s="289"/>
      <c r="CK29" s="295"/>
      <c r="CL29" s="288"/>
      <c r="CM29" s="294"/>
      <c r="CN29" s="287"/>
      <c r="CO29" s="288"/>
      <c r="CP29" s="289"/>
      <c r="CQ29" s="295"/>
      <c r="CR29" s="288"/>
      <c r="CS29" s="294"/>
      <c r="CT29" s="295"/>
      <c r="CU29" s="288"/>
      <c r="CV29" s="294"/>
      <c r="CW29" s="295"/>
      <c r="CX29" s="288"/>
      <c r="CY29" s="294"/>
      <c r="CZ29" s="295"/>
      <c r="DA29" s="288"/>
      <c r="DB29" s="294"/>
      <c r="DC29" s="239"/>
      <c r="DD29" s="43"/>
      <c r="DE29" s="283"/>
      <c r="DF29" s="295"/>
      <c r="DG29" s="288"/>
      <c r="DH29" s="294"/>
      <c r="DI29" s="277"/>
      <c r="DJ29" s="43"/>
      <c r="DK29" s="289"/>
      <c r="DL29" s="295"/>
      <c r="DM29" s="288"/>
      <c r="DN29" s="294"/>
      <c r="DO29" s="287"/>
      <c r="DP29" s="288"/>
      <c r="DQ29" s="289"/>
      <c r="DR29" s="295"/>
      <c r="DS29" s="288"/>
      <c r="DT29" s="294"/>
      <c r="DU29" s="287"/>
      <c r="DV29" s="288"/>
      <c r="DW29" s="289"/>
      <c r="DX29" s="295"/>
      <c r="DY29" s="288"/>
      <c r="DZ29" s="294"/>
      <c r="EA29" s="287"/>
      <c r="EB29" s="288"/>
      <c r="EC29" s="289"/>
      <c r="ED29" s="295"/>
      <c r="EE29" s="288"/>
      <c r="EF29" s="294"/>
      <c r="EG29" s="287"/>
      <c r="EH29" s="288"/>
      <c r="EI29" s="289"/>
      <c r="EJ29" s="295"/>
      <c r="EK29" s="288"/>
      <c r="EL29" s="294"/>
      <c r="EM29" s="287"/>
      <c r="EN29" s="288"/>
      <c r="EO29" s="289"/>
      <c r="EP29" s="295"/>
      <c r="EQ29" s="288"/>
      <c r="ER29" s="294"/>
      <c r="ES29" s="287"/>
      <c r="ET29" s="288"/>
      <c r="EU29" s="289"/>
      <c r="EV29" s="295"/>
      <c r="EW29" s="288"/>
      <c r="EX29" s="294"/>
      <c r="EY29" s="287"/>
      <c r="EZ29" s="288"/>
      <c r="FA29" s="289"/>
      <c r="FB29" s="295"/>
      <c r="FC29" s="288"/>
      <c r="FD29" s="294"/>
      <c r="FE29" s="287"/>
      <c r="FF29" s="288"/>
      <c r="FG29" s="289"/>
      <c r="FH29" s="295"/>
      <c r="FI29" s="288"/>
      <c r="FJ29" s="294"/>
      <c r="FK29" s="287"/>
      <c r="FL29" s="288"/>
      <c r="FM29" s="289"/>
      <c r="FN29" s="295"/>
      <c r="FO29" s="288"/>
      <c r="FP29" s="294"/>
      <c r="FQ29" s="287"/>
      <c r="FR29" s="288"/>
      <c r="FS29" s="289"/>
      <c r="FT29" s="295"/>
      <c r="FU29" s="288"/>
      <c r="FV29" s="294"/>
      <c r="FW29" s="287"/>
      <c r="FX29" s="288"/>
      <c r="FY29" s="289"/>
      <c r="FZ29" s="295"/>
      <c r="GA29" s="288"/>
      <c r="GB29" s="294"/>
      <c r="GC29" s="287"/>
      <c r="GD29" s="288"/>
      <c r="GE29" s="289"/>
      <c r="GF29" s="295"/>
      <c r="GG29" s="288"/>
      <c r="GH29" s="294"/>
      <c r="GI29" s="287"/>
      <c r="GJ29" s="288"/>
      <c r="GK29" s="289"/>
      <c r="GL29" s="295"/>
      <c r="GM29" s="288"/>
      <c r="GN29" s="294"/>
      <c r="GO29" s="287"/>
      <c r="GP29" s="288"/>
      <c r="GQ29" s="289"/>
      <c r="GR29" s="295"/>
      <c r="GS29" s="288"/>
      <c r="GT29" s="294"/>
      <c r="GU29" s="295"/>
      <c r="GV29" s="288"/>
      <c r="GW29" s="294"/>
      <c r="GX29" s="295"/>
      <c r="GY29" s="288"/>
      <c r="GZ29" s="294"/>
      <c r="HA29" s="295"/>
      <c r="HB29" s="288"/>
      <c r="HC29" s="294"/>
      <c r="HD29" s="368">
        <f t="shared" si="0"/>
        <v>0</v>
      </c>
      <c r="HE29" s="369">
        <f t="shared" si="1"/>
        <v>0</v>
      </c>
      <c r="HF29" s="369">
        <f t="shared" si="2"/>
        <v>0</v>
      </c>
    </row>
    <row r="30" spans="1:214" ht="15.75" thickBot="1">
      <c r="A30" s="238">
        <v>23</v>
      </c>
      <c r="B30" s="239"/>
      <c r="C30" s="43"/>
      <c r="D30" s="283"/>
      <c r="E30" s="295"/>
      <c r="F30" s="288"/>
      <c r="G30" s="294"/>
      <c r="H30" s="277"/>
      <c r="I30" s="43"/>
      <c r="J30" s="289"/>
      <c r="K30" s="295"/>
      <c r="L30" s="288"/>
      <c r="M30" s="294"/>
      <c r="N30" s="287"/>
      <c r="O30" s="288"/>
      <c r="P30" s="289"/>
      <c r="Q30" s="295"/>
      <c r="R30" s="288"/>
      <c r="S30" s="294"/>
      <c r="T30" s="287"/>
      <c r="U30" s="288"/>
      <c r="V30" s="289"/>
      <c r="W30" s="295"/>
      <c r="X30" s="288"/>
      <c r="Y30" s="294"/>
      <c r="Z30" s="287"/>
      <c r="AA30" s="288"/>
      <c r="AB30" s="289"/>
      <c r="AC30" s="295"/>
      <c r="AD30" s="288"/>
      <c r="AE30" s="294"/>
      <c r="AF30" s="287"/>
      <c r="AG30" s="288"/>
      <c r="AH30" s="289"/>
      <c r="AI30" s="295"/>
      <c r="AJ30" s="288"/>
      <c r="AK30" s="294"/>
      <c r="AL30" s="287"/>
      <c r="AM30" s="288"/>
      <c r="AN30" s="289"/>
      <c r="AO30" s="295"/>
      <c r="AP30" s="288"/>
      <c r="AQ30" s="294"/>
      <c r="AR30" s="287"/>
      <c r="AS30" s="288"/>
      <c r="AT30" s="289"/>
      <c r="AU30" s="295"/>
      <c r="AV30" s="288"/>
      <c r="AW30" s="294"/>
      <c r="AX30" s="287"/>
      <c r="AY30" s="288"/>
      <c r="AZ30" s="289"/>
      <c r="BA30" s="295"/>
      <c r="BB30" s="288"/>
      <c r="BC30" s="294"/>
      <c r="BD30" s="287"/>
      <c r="BE30" s="288"/>
      <c r="BF30" s="289"/>
      <c r="BG30" s="295"/>
      <c r="BH30" s="288"/>
      <c r="BI30" s="294"/>
      <c r="BJ30" s="287"/>
      <c r="BK30" s="288"/>
      <c r="BL30" s="289"/>
      <c r="BM30" s="295"/>
      <c r="BN30" s="288"/>
      <c r="BO30" s="294"/>
      <c r="BP30" s="287"/>
      <c r="BQ30" s="288"/>
      <c r="BR30" s="289"/>
      <c r="BS30" s="295"/>
      <c r="BT30" s="288"/>
      <c r="BU30" s="294"/>
      <c r="BV30" s="287"/>
      <c r="BW30" s="288"/>
      <c r="BX30" s="289"/>
      <c r="BY30" s="295"/>
      <c r="BZ30" s="288"/>
      <c r="CA30" s="294"/>
      <c r="CB30" s="287"/>
      <c r="CC30" s="288"/>
      <c r="CD30" s="289"/>
      <c r="CE30" s="295"/>
      <c r="CF30" s="288"/>
      <c r="CG30" s="294"/>
      <c r="CH30" s="287"/>
      <c r="CI30" s="288"/>
      <c r="CJ30" s="289"/>
      <c r="CK30" s="295"/>
      <c r="CL30" s="288"/>
      <c r="CM30" s="294"/>
      <c r="CN30" s="287"/>
      <c r="CO30" s="288"/>
      <c r="CP30" s="289"/>
      <c r="CQ30" s="295"/>
      <c r="CR30" s="288"/>
      <c r="CS30" s="294"/>
      <c r="CT30" s="295"/>
      <c r="CU30" s="288"/>
      <c r="CV30" s="294"/>
      <c r="CW30" s="295"/>
      <c r="CX30" s="288"/>
      <c r="CY30" s="294"/>
      <c r="CZ30" s="295"/>
      <c r="DA30" s="288"/>
      <c r="DB30" s="294"/>
      <c r="DC30" s="239"/>
      <c r="DD30" s="43"/>
      <c r="DE30" s="283"/>
      <c r="DF30" s="295"/>
      <c r="DG30" s="288"/>
      <c r="DH30" s="294"/>
      <c r="DI30" s="277"/>
      <c r="DJ30" s="43"/>
      <c r="DK30" s="289"/>
      <c r="DL30" s="295"/>
      <c r="DM30" s="288"/>
      <c r="DN30" s="294"/>
      <c r="DO30" s="287"/>
      <c r="DP30" s="288"/>
      <c r="DQ30" s="289"/>
      <c r="DR30" s="295"/>
      <c r="DS30" s="288"/>
      <c r="DT30" s="294"/>
      <c r="DU30" s="287"/>
      <c r="DV30" s="288"/>
      <c r="DW30" s="289"/>
      <c r="DX30" s="295"/>
      <c r="DY30" s="288"/>
      <c r="DZ30" s="294"/>
      <c r="EA30" s="287"/>
      <c r="EB30" s="288"/>
      <c r="EC30" s="289"/>
      <c r="ED30" s="295"/>
      <c r="EE30" s="288"/>
      <c r="EF30" s="294"/>
      <c r="EG30" s="287"/>
      <c r="EH30" s="288"/>
      <c r="EI30" s="289"/>
      <c r="EJ30" s="295"/>
      <c r="EK30" s="288"/>
      <c r="EL30" s="294"/>
      <c r="EM30" s="287"/>
      <c r="EN30" s="288"/>
      <c r="EO30" s="289"/>
      <c r="EP30" s="295"/>
      <c r="EQ30" s="288"/>
      <c r="ER30" s="294"/>
      <c r="ES30" s="287"/>
      <c r="ET30" s="288"/>
      <c r="EU30" s="289"/>
      <c r="EV30" s="295"/>
      <c r="EW30" s="288"/>
      <c r="EX30" s="294"/>
      <c r="EY30" s="287"/>
      <c r="EZ30" s="288"/>
      <c r="FA30" s="289"/>
      <c r="FB30" s="295"/>
      <c r="FC30" s="288"/>
      <c r="FD30" s="294"/>
      <c r="FE30" s="287"/>
      <c r="FF30" s="288"/>
      <c r="FG30" s="289"/>
      <c r="FH30" s="295"/>
      <c r="FI30" s="288"/>
      <c r="FJ30" s="294"/>
      <c r="FK30" s="287"/>
      <c r="FL30" s="288"/>
      <c r="FM30" s="289"/>
      <c r="FN30" s="295"/>
      <c r="FO30" s="288"/>
      <c r="FP30" s="294"/>
      <c r="FQ30" s="287"/>
      <c r="FR30" s="288"/>
      <c r="FS30" s="289"/>
      <c r="FT30" s="295"/>
      <c r="FU30" s="288"/>
      <c r="FV30" s="294"/>
      <c r="FW30" s="287"/>
      <c r="FX30" s="288"/>
      <c r="FY30" s="289"/>
      <c r="FZ30" s="295"/>
      <c r="GA30" s="288"/>
      <c r="GB30" s="294"/>
      <c r="GC30" s="287"/>
      <c r="GD30" s="288"/>
      <c r="GE30" s="289"/>
      <c r="GF30" s="295"/>
      <c r="GG30" s="288"/>
      <c r="GH30" s="294"/>
      <c r="GI30" s="287"/>
      <c r="GJ30" s="288"/>
      <c r="GK30" s="289"/>
      <c r="GL30" s="295"/>
      <c r="GM30" s="288"/>
      <c r="GN30" s="294"/>
      <c r="GO30" s="287"/>
      <c r="GP30" s="288"/>
      <c r="GQ30" s="289"/>
      <c r="GR30" s="295"/>
      <c r="GS30" s="288"/>
      <c r="GT30" s="294"/>
      <c r="GU30" s="295"/>
      <c r="GV30" s="288"/>
      <c r="GW30" s="294"/>
      <c r="GX30" s="295"/>
      <c r="GY30" s="288"/>
      <c r="GZ30" s="294"/>
      <c r="HA30" s="295"/>
      <c r="HB30" s="288"/>
      <c r="HC30" s="294"/>
      <c r="HD30" s="368">
        <f t="shared" si="0"/>
        <v>0</v>
      </c>
      <c r="HE30" s="369">
        <f t="shared" si="1"/>
        <v>0</v>
      </c>
      <c r="HF30" s="369">
        <f t="shared" si="2"/>
        <v>0</v>
      </c>
    </row>
    <row r="31" spans="1:214" ht="15.75" thickBot="1">
      <c r="A31" s="238">
        <v>24</v>
      </c>
      <c r="B31" s="239"/>
      <c r="C31" s="43"/>
      <c r="D31" s="283"/>
      <c r="E31" s="295"/>
      <c r="F31" s="288"/>
      <c r="G31" s="294"/>
      <c r="H31" s="287"/>
      <c r="I31" s="288"/>
      <c r="J31" s="289"/>
      <c r="K31" s="295"/>
      <c r="L31" s="288"/>
      <c r="M31" s="294"/>
      <c r="N31" s="287"/>
      <c r="O31" s="288"/>
      <c r="P31" s="289"/>
      <c r="Q31" s="295"/>
      <c r="R31" s="288"/>
      <c r="S31" s="294"/>
      <c r="T31" s="287"/>
      <c r="U31" s="288"/>
      <c r="V31" s="289"/>
      <c r="W31" s="295"/>
      <c r="X31" s="288"/>
      <c r="Y31" s="294"/>
      <c r="Z31" s="287"/>
      <c r="AA31" s="288"/>
      <c r="AB31" s="289"/>
      <c r="AC31" s="295"/>
      <c r="AD31" s="288"/>
      <c r="AE31" s="294"/>
      <c r="AF31" s="287"/>
      <c r="AG31" s="288"/>
      <c r="AH31" s="289"/>
      <c r="AI31" s="295"/>
      <c r="AJ31" s="288"/>
      <c r="AK31" s="294"/>
      <c r="AL31" s="287"/>
      <c r="AM31" s="288"/>
      <c r="AN31" s="289"/>
      <c r="AO31" s="295"/>
      <c r="AP31" s="288"/>
      <c r="AQ31" s="294"/>
      <c r="AR31" s="287"/>
      <c r="AS31" s="288"/>
      <c r="AT31" s="289"/>
      <c r="AU31" s="295"/>
      <c r="AV31" s="288"/>
      <c r="AW31" s="294"/>
      <c r="AX31" s="287"/>
      <c r="AY31" s="288"/>
      <c r="AZ31" s="289"/>
      <c r="BA31" s="295"/>
      <c r="BB31" s="288"/>
      <c r="BC31" s="294"/>
      <c r="BD31" s="287"/>
      <c r="BE31" s="288"/>
      <c r="BF31" s="289"/>
      <c r="BG31" s="295"/>
      <c r="BH31" s="288"/>
      <c r="BI31" s="294"/>
      <c r="BJ31" s="287"/>
      <c r="BK31" s="288"/>
      <c r="BL31" s="289"/>
      <c r="BM31" s="295"/>
      <c r="BN31" s="288"/>
      <c r="BO31" s="294"/>
      <c r="BP31" s="287"/>
      <c r="BQ31" s="288"/>
      <c r="BR31" s="289"/>
      <c r="BS31" s="295"/>
      <c r="BT31" s="288"/>
      <c r="BU31" s="294"/>
      <c r="BV31" s="287"/>
      <c r="BW31" s="288"/>
      <c r="BX31" s="289"/>
      <c r="BY31" s="295"/>
      <c r="BZ31" s="288"/>
      <c r="CA31" s="294"/>
      <c r="CB31" s="287"/>
      <c r="CC31" s="288"/>
      <c r="CD31" s="289"/>
      <c r="CE31" s="295"/>
      <c r="CF31" s="288"/>
      <c r="CG31" s="294"/>
      <c r="CH31" s="287"/>
      <c r="CI31" s="288"/>
      <c r="CJ31" s="289"/>
      <c r="CK31" s="295"/>
      <c r="CL31" s="288"/>
      <c r="CM31" s="294"/>
      <c r="CN31" s="287"/>
      <c r="CO31" s="288"/>
      <c r="CP31" s="289"/>
      <c r="CQ31" s="295"/>
      <c r="CR31" s="288"/>
      <c r="CS31" s="294"/>
      <c r="CT31" s="295"/>
      <c r="CU31" s="288"/>
      <c r="CV31" s="294"/>
      <c r="CW31" s="295"/>
      <c r="CX31" s="288"/>
      <c r="CY31" s="294"/>
      <c r="CZ31" s="295"/>
      <c r="DA31" s="288"/>
      <c r="DB31" s="294"/>
      <c r="DC31" s="239"/>
      <c r="DD31" s="43"/>
      <c r="DE31" s="283"/>
      <c r="DF31" s="295"/>
      <c r="DG31" s="288"/>
      <c r="DH31" s="294"/>
      <c r="DI31" s="287"/>
      <c r="DJ31" s="288"/>
      <c r="DK31" s="289"/>
      <c r="DL31" s="295"/>
      <c r="DM31" s="288"/>
      <c r="DN31" s="294"/>
      <c r="DO31" s="287"/>
      <c r="DP31" s="288"/>
      <c r="DQ31" s="289"/>
      <c r="DR31" s="295"/>
      <c r="DS31" s="288"/>
      <c r="DT31" s="294"/>
      <c r="DU31" s="287"/>
      <c r="DV31" s="288"/>
      <c r="DW31" s="289"/>
      <c r="DX31" s="295"/>
      <c r="DY31" s="288"/>
      <c r="DZ31" s="294"/>
      <c r="EA31" s="287"/>
      <c r="EB31" s="288"/>
      <c r="EC31" s="289"/>
      <c r="ED31" s="295"/>
      <c r="EE31" s="288"/>
      <c r="EF31" s="294"/>
      <c r="EG31" s="287"/>
      <c r="EH31" s="288"/>
      <c r="EI31" s="289"/>
      <c r="EJ31" s="295"/>
      <c r="EK31" s="288"/>
      <c r="EL31" s="294"/>
      <c r="EM31" s="287"/>
      <c r="EN31" s="288"/>
      <c r="EO31" s="289"/>
      <c r="EP31" s="295"/>
      <c r="EQ31" s="288"/>
      <c r="ER31" s="294"/>
      <c r="ES31" s="287"/>
      <c r="ET31" s="288"/>
      <c r="EU31" s="289"/>
      <c r="EV31" s="295"/>
      <c r="EW31" s="288"/>
      <c r="EX31" s="294"/>
      <c r="EY31" s="287"/>
      <c r="EZ31" s="288"/>
      <c r="FA31" s="289"/>
      <c r="FB31" s="295"/>
      <c r="FC31" s="288"/>
      <c r="FD31" s="294"/>
      <c r="FE31" s="287"/>
      <c r="FF31" s="288"/>
      <c r="FG31" s="289"/>
      <c r="FH31" s="295"/>
      <c r="FI31" s="288"/>
      <c r="FJ31" s="294"/>
      <c r="FK31" s="287"/>
      <c r="FL31" s="288"/>
      <c r="FM31" s="289"/>
      <c r="FN31" s="295"/>
      <c r="FO31" s="288"/>
      <c r="FP31" s="294"/>
      <c r="FQ31" s="287"/>
      <c r="FR31" s="288"/>
      <c r="FS31" s="289"/>
      <c r="FT31" s="295"/>
      <c r="FU31" s="288"/>
      <c r="FV31" s="294"/>
      <c r="FW31" s="287"/>
      <c r="FX31" s="288"/>
      <c r="FY31" s="289"/>
      <c r="FZ31" s="295"/>
      <c r="GA31" s="288"/>
      <c r="GB31" s="294"/>
      <c r="GC31" s="287"/>
      <c r="GD31" s="288"/>
      <c r="GE31" s="289"/>
      <c r="GF31" s="295"/>
      <c r="GG31" s="288"/>
      <c r="GH31" s="294"/>
      <c r="GI31" s="287"/>
      <c r="GJ31" s="288"/>
      <c r="GK31" s="289"/>
      <c r="GL31" s="295"/>
      <c r="GM31" s="288"/>
      <c r="GN31" s="294"/>
      <c r="GO31" s="287"/>
      <c r="GP31" s="288"/>
      <c r="GQ31" s="289"/>
      <c r="GR31" s="295"/>
      <c r="GS31" s="288"/>
      <c r="GT31" s="294"/>
      <c r="GU31" s="295"/>
      <c r="GV31" s="288"/>
      <c r="GW31" s="294"/>
      <c r="GX31" s="295"/>
      <c r="GY31" s="288"/>
      <c r="GZ31" s="294"/>
      <c r="HA31" s="295"/>
      <c r="HB31" s="288"/>
      <c r="HC31" s="294"/>
      <c r="HD31" s="368">
        <f t="shared" si="0"/>
        <v>0</v>
      </c>
      <c r="HE31" s="369">
        <f t="shared" si="1"/>
        <v>0</v>
      </c>
      <c r="HF31" s="369">
        <f t="shared" si="2"/>
        <v>0</v>
      </c>
    </row>
    <row r="32" spans="1:214" ht="15.75" thickBot="1">
      <c r="A32" s="238">
        <v>25</v>
      </c>
      <c r="B32" s="239"/>
      <c r="C32" s="43"/>
      <c r="D32" s="283"/>
      <c r="E32" s="295"/>
      <c r="F32" s="288"/>
      <c r="G32" s="294"/>
      <c r="H32" s="287"/>
      <c r="I32" s="288"/>
      <c r="J32" s="289"/>
      <c r="K32" s="295"/>
      <c r="L32" s="288"/>
      <c r="M32" s="294"/>
      <c r="N32" s="287"/>
      <c r="O32" s="288"/>
      <c r="P32" s="289"/>
      <c r="Q32" s="295"/>
      <c r="R32" s="288"/>
      <c r="S32" s="294"/>
      <c r="T32" s="287"/>
      <c r="U32" s="288"/>
      <c r="V32" s="289"/>
      <c r="W32" s="295"/>
      <c r="X32" s="288"/>
      <c r="Y32" s="294"/>
      <c r="Z32" s="287"/>
      <c r="AA32" s="288"/>
      <c r="AB32" s="289"/>
      <c r="AC32" s="295"/>
      <c r="AD32" s="288"/>
      <c r="AE32" s="294"/>
      <c r="AF32" s="287"/>
      <c r="AG32" s="288"/>
      <c r="AH32" s="289"/>
      <c r="AI32" s="295"/>
      <c r="AJ32" s="288"/>
      <c r="AK32" s="294"/>
      <c r="AL32" s="287"/>
      <c r="AM32" s="288"/>
      <c r="AN32" s="289"/>
      <c r="AO32" s="295"/>
      <c r="AP32" s="288"/>
      <c r="AQ32" s="294"/>
      <c r="AR32" s="287"/>
      <c r="AS32" s="288"/>
      <c r="AT32" s="289"/>
      <c r="AU32" s="295"/>
      <c r="AV32" s="288"/>
      <c r="AW32" s="294"/>
      <c r="AX32" s="287"/>
      <c r="AY32" s="288"/>
      <c r="AZ32" s="289"/>
      <c r="BA32" s="295"/>
      <c r="BB32" s="288"/>
      <c r="BC32" s="294"/>
      <c r="BD32" s="287"/>
      <c r="BE32" s="288"/>
      <c r="BF32" s="289"/>
      <c r="BG32" s="295"/>
      <c r="BH32" s="288"/>
      <c r="BI32" s="294"/>
      <c r="BJ32" s="287"/>
      <c r="BK32" s="288"/>
      <c r="BL32" s="289"/>
      <c r="BM32" s="295"/>
      <c r="BN32" s="288"/>
      <c r="BO32" s="294"/>
      <c r="BP32" s="287"/>
      <c r="BQ32" s="288"/>
      <c r="BR32" s="289"/>
      <c r="BS32" s="295"/>
      <c r="BT32" s="288"/>
      <c r="BU32" s="294"/>
      <c r="BV32" s="287"/>
      <c r="BW32" s="288"/>
      <c r="BX32" s="289"/>
      <c r="BY32" s="295"/>
      <c r="BZ32" s="288"/>
      <c r="CA32" s="294"/>
      <c r="CB32" s="287"/>
      <c r="CC32" s="288"/>
      <c r="CD32" s="289"/>
      <c r="CE32" s="295"/>
      <c r="CF32" s="288"/>
      <c r="CG32" s="294"/>
      <c r="CH32" s="287"/>
      <c r="CI32" s="288"/>
      <c r="CJ32" s="289"/>
      <c r="CK32" s="295"/>
      <c r="CL32" s="288"/>
      <c r="CM32" s="294"/>
      <c r="CN32" s="287"/>
      <c r="CO32" s="288"/>
      <c r="CP32" s="289"/>
      <c r="CQ32" s="295"/>
      <c r="CR32" s="288"/>
      <c r="CS32" s="294"/>
      <c r="CT32" s="295"/>
      <c r="CU32" s="288"/>
      <c r="CV32" s="294"/>
      <c r="CW32" s="295"/>
      <c r="CX32" s="288"/>
      <c r="CY32" s="294"/>
      <c r="CZ32" s="295"/>
      <c r="DA32" s="288"/>
      <c r="DB32" s="294"/>
      <c r="DC32" s="239"/>
      <c r="DD32" s="43"/>
      <c r="DE32" s="283"/>
      <c r="DF32" s="295"/>
      <c r="DG32" s="288"/>
      <c r="DH32" s="294"/>
      <c r="DI32" s="287"/>
      <c r="DJ32" s="288"/>
      <c r="DK32" s="289"/>
      <c r="DL32" s="295"/>
      <c r="DM32" s="288"/>
      <c r="DN32" s="294"/>
      <c r="DO32" s="287"/>
      <c r="DP32" s="288"/>
      <c r="DQ32" s="289"/>
      <c r="DR32" s="295"/>
      <c r="DS32" s="288"/>
      <c r="DT32" s="294"/>
      <c r="DU32" s="287"/>
      <c r="DV32" s="288"/>
      <c r="DW32" s="289"/>
      <c r="DX32" s="295"/>
      <c r="DY32" s="288"/>
      <c r="DZ32" s="294"/>
      <c r="EA32" s="287"/>
      <c r="EB32" s="288"/>
      <c r="EC32" s="289"/>
      <c r="ED32" s="295"/>
      <c r="EE32" s="288"/>
      <c r="EF32" s="294"/>
      <c r="EG32" s="287"/>
      <c r="EH32" s="288"/>
      <c r="EI32" s="289"/>
      <c r="EJ32" s="295"/>
      <c r="EK32" s="288"/>
      <c r="EL32" s="294"/>
      <c r="EM32" s="287"/>
      <c r="EN32" s="288"/>
      <c r="EO32" s="289"/>
      <c r="EP32" s="295"/>
      <c r="EQ32" s="288"/>
      <c r="ER32" s="294"/>
      <c r="ES32" s="287"/>
      <c r="ET32" s="288"/>
      <c r="EU32" s="289"/>
      <c r="EV32" s="295"/>
      <c r="EW32" s="288"/>
      <c r="EX32" s="294"/>
      <c r="EY32" s="287"/>
      <c r="EZ32" s="288"/>
      <c r="FA32" s="289"/>
      <c r="FB32" s="295"/>
      <c r="FC32" s="288"/>
      <c r="FD32" s="294"/>
      <c r="FE32" s="287"/>
      <c r="FF32" s="288"/>
      <c r="FG32" s="289"/>
      <c r="FH32" s="295"/>
      <c r="FI32" s="288"/>
      <c r="FJ32" s="294"/>
      <c r="FK32" s="287"/>
      <c r="FL32" s="288"/>
      <c r="FM32" s="289"/>
      <c r="FN32" s="295"/>
      <c r="FO32" s="288"/>
      <c r="FP32" s="294"/>
      <c r="FQ32" s="287"/>
      <c r="FR32" s="288"/>
      <c r="FS32" s="289"/>
      <c r="FT32" s="295"/>
      <c r="FU32" s="288"/>
      <c r="FV32" s="294"/>
      <c r="FW32" s="287"/>
      <c r="FX32" s="288"/>
      <c r="FY32" s="289"/>
      <c r="FZ32" s="295"/>
      <c r="GA32" s="288"/>
      <c r="GB32" s="294"/>
      <c r="GC32" s="287"/>
      <c r="GD32" s="288"/>
      <c r="GE32" s="289"/>
      <c r="GF32" s="295"/>
      <c r="GG32" s="288"/>
      <c r="GH32" s="294"/>
      <c r="GI32" s="287"/>
      <c r="GJ32" s="288"/>
      <c r="GK32" s="289"/>
      <c r="GL32" s="295"/>
      <c r="GM32" s="288"/>
      <c r="GN32" s="294"/>
      <c r="GO32" s="287"/>
      <c r="GP32" s="288"/>
      <c r="GQ32" s="289"/>
      <c r="GR32" s="295"/>
      <c r="GS32" s="288"/>
      <c r="GT32" s="294"/>
      <c r="GU32" s="295"/>
      <c r="GV32" s="288"/>
      <c r="GW32" s="294"/>
      <c r="GX32" s="295"/>
      <c r="GY32" s="288"/>
      <c r="GZ32" s="294"/>
      <c r="HA32" s="295"/>
      <c r="HB32" s="288"/>
      <c r="HC32" s="294"/>
      <c r="HD32" s="368">
        <f t="shared" si="0"/>
        <v>0</v>
      </c>
      <c r="HE32" s="369">
        <f t="shared" si="1"/>
        <v>0</v>
      </c>
      <c r="HF32" s="369">
        <f t="shared" si="2"/>
        <v>0</v>
      </c>
    </row>
    <row r="33" spans="1:215" ht="15.75" thickBot="1">
      <c r="A33" s="238">
        <v>26</v>
      </c>
      <c r="B33" s="239"/>
      <c r="C33" s="43"/>
      <c r="D33" s="283"/>
      <c r="E33" s="295"/>
      <c r="F33" s="288"/>
      <c r="G33" s="294"/>
      <c r="H33" s="277"/>
      <c r="I33" s="288"/>
      <c r="J33" s="289"/>
      <c r="K33" s="295"/>
      <c r="L33" s="288"/>
      <c r="M33" s="294"/>
      <c r="N33" s="287"/>
      <c r="O33" s="288"/>
      <c r="P33" s="289"/>
      <c r="Q33" s="295"/>
      <c r="R33" s="288"/>
      <c r="S33" s="294"/>
      <c r="T33" s="287"/>
      <c r="U33" s="288"/>
      <c r="V33" s="289"/>
      <c r="W33" s="295"/>
      <c r="X33" s="288"/>
      <c r="Y33" s="294"/>
      <c r="Z33" s="287"/>
      <c r="AA33" s="288"/>
      <c r="AB33" s="289"/>
      <c r="AC33" s="295"/>
      <c r="AD33" s="288"/>
      <c r="AE33" s="294"/>
      <c r="AF33" s="287"/>
      <c r="AG33" s="288"/>
      <c r="AH33" s="289"/>
      <c r="AI33" s="295"/>
      <c r="AJ33" s="288"/>
      <c r="AK33" s="294"/>
      <c r="AL33" s="287"/>
      <c r="AM33" s="288"/>
      <c r="AN33" s="289"/>
      <c r="AO33" s="295"/>
      <c r="AP33" s="288"/>
      <c r="AQ33" s="294"/>
      <c r="AR33" s="287"/>
      <c r="AS33" s="288"/>
      <c r="AT33" s="289"/>
      <c r="AU33" s="295"/>
      <c r="AV33" s="288"/>
      <c r="AW33" s="294"/>
      <c r="AX33" s="287"/>
      <c r="AY33" s="288"/>
      <c r="AZ33" s="289"/>
      <c r="BA33" s="295"/>
      <c r="BB33" s="288"/>
      <c r="BC33" s="294"/>
      <c r="BD33" s="287"/>
      <c r="BE33" s="288"/>
      <c r="BF33" s="289"/>
      <c r="BG33" s="295"/>
      <c r="BH33" s="288"/>
      <c r="BI33" s="294"/>
      <c r="BJ33" s="287"/>
      <c r="BK33" s="288"/>
      <c r="BL33" s="289"/>
      <c r="BM33" s="295"/>
      <c r="BN33" s="288"/>
      <c r="BO33" s="294"/>
      <c r="BP33" s="287"/>
      <c r="BQ33" s="288"/>
      <c r="BR33" s="289"/>
      <c r="BS33" s="295"/>
      <c r="BT33" s="288"/>
      <c r="BU33" s="294"/>
      <c r="BV33" s="287"/>
      <c r="BW33" s="288"/>
      <c r="BX33" s="289"/>
      <c r="BY33" s="295"/>
      <c r="BZ33" s="288"/>
      <c r="CA33" s="294"/>
      <c r="CB33" s="287"/>
      <c r="CC33" s="288"/>
      <c r="CD33" s="289"/>
      <c r="CE33" s="295"/>
      <c r="CF33" s="288"/>
      <c r="CG33" s="294"/>
      <c r="CH33" s="287"/>
      <c r="CI33" s="288"/>
      <c r="CJ33" s="289"/>
      <c r="CK33" s="295"/>
      <c r="CL33" s="288"/>
      <c r="CM33" s="294"/>
      <c r="CN33" s="287"/>
      <c r="CO33" s="288"/>
      <c r="CP33" s="289"/>
      <c r="CQ33" s="295"/>
      <c r="CR33" s="288"/>
      <c r="CS33" s="294"/>
      <c r="CT33" s="295"/>
      <c r="CU33" s="288"/>
      <c r="CV33" s="294"/>
      <c r="CW33" s="295"/>
      <c r="CX33" s="288"/>
      <c r="CY33" s="294"/>
      <c r="CZ33" s="295"/>
      <c r="DA33" s="288"/>
      <c r="DB33" s="294"/>
      <c r="DC33" s="239"/>
      <c r="DD33" s="43"/>
      <c r="DE33" s="283"/>
      <c r="DF33" s="295"/>
      <c r="DG33" s="288"/>
      <c r="DH33" s="294"/>
      <c r="DI33" s="277"/>
      <c r="DJ33" s="288"/>
      <c r="DK33" s="289"/>
      <c r="DL33" s="295"/>
      <c r="DM33" s="288"/>
      <c r="DN33" s="294"/>
      <c r="DO33" s="287"/>
      <c r="DP33" s="288"/>
      <c r="DQ33" s="289"/>
      <c r="DR33" s="295"/>
      <c r="DS33" s="288"/>
      <c r="DT33" s="294"/>
      <c r="DU33" s="287"/>
      <c r="DV33" s="288"/>
      <c r="DW33" s="289"/>
      <c r="DX33" s="295"/>
      <c r="DY33" s="288"/>
      <c r="DZ33" s="294"/>
      <c r="EA33" s="287"/>
      <c r="EB33" s="288"/>
      <c r="EC33" s="289"/>
      <c r="ED33" s="295"/>
      <c r="EE33" s="288"/>
      <c r="EF33" s="294"/>
      <c r="EG33" s="287"/>
      <c r="EH33" s="288"/>
      <c r="EI33" s="289"/>
      <c r="EJ33" s="295"/>
      <c r="EK33" s="288"/>
      <c r="EL33" s="294"/>
      <c r="EM33" s="287"/>
      <c r="EN33" s="288"/>
      <c r="EO33" s="289"/>
      <c r="EP33" s="295"/>
      <c r="EQ33" s="288"/>
      <c r="ER33" s="294"/>
      <c r="ES33" s="287"/>
      <c r="ET33" s="288"/>
      <c r="EU33" s="289"/>
      <c r="EV33" s="295"/>
      <c r="EW33" s="288"/>
      <c r="EX33" s="294"/>
      <c r="EY33" s="287"/>
      <c r="EZ33" s="288"/>
      <c r="FA33" s="289"/>
      <c r="FB33" s="295"/>
      <c r="FC33" s="288"/>
      <c r="FD33" s="294"/>
      <c r="FE33" s="287"/>
      <c r="FF33" s="288"/>
      <c r="FG33" s="289"/>
      <c r="FH33" s="295"/>
      <c r="FI33" s="288"/>
      <c r="FJ33" s="294"/>
      <c r="FK33" s="287"/>
      <c r="FL33" s="288"/>
      <c r="FM33" s="289"/>
      <c r="FN33" s="295"/>
      <c r="FO33" s="288"/>
      <c r="FP33" s="294"/>
      <c r="FQ33" s="287"/>
      <c r="FR33" s="288"/>
      <c r="FS33" s="289"/>
      <c r="FT33" s="295"/>
      <c r="FU33" s="288"/>
      <c r="FV33" s="294"/>
      <c r="FW33" s="287"/>
      <c r="FX33" s="288"/>
      <c r="FY33" s="289"/>
      <c r="FZ33" s="295"/>
      <c r="GA33" s="288"/>
      <c r="GB33" s="294"/>
      <c r="GC33" s="287"/>
      <c r="GD33" s="288"/>
      <c r="GE33" s="289"/>
      <c r="GF33" s="295"/>
      <c r="GG33" s="288"/>
      <c r="GH33" s="294"/>
      <c r="GI33" s="287"/>
      <c r="GJ33" s="288"/>
      <c r="GK33" s="289"/>
      <c r="GL33" s="295"/>
      <c r="GM33" s="288"/>
      <c r="GN33" s="294"/>
      <c r="GO33" s="287"/>
      <c r="GP33" s="288"/>
      <c r="GQ33" s="289"/>
      <c r="GR33" s="295"/>
      <c r="GS33" s="288"/>
      <c r="GT33" s="294"/>
      <c r="GU33" s="295"/>
      <c r="GV33" s="288"/>
      <c r="GW33" s="294"/>
      <c r="GX33" s="295"/>
      <c r="GY33" s="288"/>
      <c r="GZ33" s="294"/>
      <c r="HA33" s="295"/>
      <c r="HB33" s="288"/>
      <c r="HC33" s="294"/>
      <c r="HD33" s="368">
        <f t="shared" si="0"/>
        <v>0</v>
      </c>
      <c r="HE33" s="369">
        <f t="shared" si="1"/>
        <v>0</v>
      </c>
      <c r="HF33" s="369">
        <f t="shared" si="2"/>
        <v>0</v>
      </c>
    </row>
    <row r="34" spans="1:215" ht="15.75" thickBot="1">
      <c r="A34" s="238">
        <v>27</v>
      </c>
      <c r="B34" s="239"/>
      <c r="C34" s="43"/>
      <c r="D34" s="283"/>
      <c r="E34" s="295"/>
      <c r="F34" s="288"/>
      <c r="G34" s="294"/>
      <c r="H34" s="287"/>
      <c r="I34" s="288"/>
      <c r="J34" s="289"/>
      <c r="K34" s="295"/>
      <c r="L34" s="288"/>
      <c r="M34" s="294"/>
      <c r="N34" s="287"/>
      <c r="O34" s="288"/>
      <c r="P34" s="289"/>
      <c r="Q34" s="295"/>
      <c r="R34" s="288"/>
      <c r="S34" s="294"/>
      <c r="T34" s="287"/>
      <c r="U34" s="288"/>
      <c r="V34" s="289"/>
      <c r="W34" s="295"/>
      <c r="X34" s="288"/>
      <c r="Y34" s="294"/>
      <c r="Z34" s="287"/>
      <c r="AA34" s="288"/>
      <c r="AB34" s="289"/>
      <c r="AC34" s="295"/>
      <c r="AD34" s="288"/>
      <c r="AE34" s="294"/>
      <c r="AF34" s="287"/>
      <c r="AG34" s="288"/>
      <c r="AH34" s="289"/>
      <c r="AI34" s="295"/>
      <c r="AJ34" s="288"/>
      <c r="AK34" s="294"/>
      <c r="AL34" s="287"/>
      <c r="AM34" s="288"/>
      <c r="AN34" s="289"/>
      <c r="AO34" s="295"/>
      <c r="AP34" s="288"/>
      <c r="AQ34" s="294"/>
      <c r="AR34" s="287"/>
      <c r="AS34" s="288"/>
      <c r="AT34" s="289"/>
      <c r="AU34" s="295"/>
      <c r="AV34" s="288"/>
      <c r="AW34" s="294"/>
      <c r="AX34" s="287"/>
      <c r="AY34" s="288"/>
      <c r="AZ34" s="289"/>
      <c r="BA34" s="295"/>
      <c r="BB34" s="288"/>
      <c r="BC34" s="294"/>
      <c r="BD34" s="287"/>
      <c r="BE34" s="288"/>
      <c r="BF34" s="289"/>
      <c r="BG34" s="295"/>
      <c r="BH34" s="288"/>
      <c r="BI34" s="294"/>
      <c r="BJ34" s="287"/>
      <c r="BK34" s="288"/>
      <c r="BL34" s="289"/>
      <c r="BM34" s="295"/>
      <c r="BN34" s="288"/>
      <c r="BO34" s="294"/>
      <c r="BP34" s="287"/>
      <c r="BQ34" s="288"/>
      <c r="BR34" s="289"/>
      <c r="BS34" s="295"/>
      <c r="BT34" s="288"/>
      <c r="BU34" s="294"/>
      <c r="BV34" s="287"/>
      <c r="BW34" s="288"/>
      <c r="BX34" s="289"/>
      <c r="BY34" s="295"/>
      <c r="BZ34" s="288"/>
      <c r="CA34" s="294"/>
      <c r="CB34" s="287"/>
      <c r="CC34" s="288"/>
      <c r="CD34" s="289"/>
      <c r="CE34" s="295"/>
      <c r="CF34" s="288"/>
      <c r="CG34" s="294"/>
      <c r="CH34" s="287"/>
      <c r="CI34" s="288"/>
      <c r="CJ34" s="289"/>
      <c r="CK34" s="295"/>
      <c r="CL34" s="288"/>
      <c r="CM34" s="294"/>
      <c r="CN34" s="287"/>
      <c r="CO34" s="288"/>
      <c r="CP34" s="289"/>
      <c r="CQ34" s="295"/>
      <c r="CR34" s="288"/>
      <c r="CS34" s="294"/>
      <c r="CT34" s="295"/>
      <c r="CU34" s="288"/>
      <c r="CV34" s="294"/>
      <c r="CW34" s="295"/>
      <c r="CX34" s="288"/>
      <c r="CY34" s="294"/>
      <c r="CZ34" s="295"/>
      <c r="DA34" s="288"/>
      <c r="DB34" s="294"/>
      <c r="DC34" s="239"/>
      <c r="DD34" s="43"/>
      <c r="DE34" s="283"/>
      <c r="DF34" s="295"/>
      <c r="DG34" s="288"/>
      <c r="DH34" s="294"/>
      <c r="DI34" s="287"/>
      <c r="DJ34" s="288"/>
      <c r="DK34" s="289"/>
      <c r="DL34" s="295"/>
      <c r="DM34" s="288"/>
      <c r="DN34" s="294"/>
      <c r="DO34" s="287"/>
      <c r="DP34" s="288"/>
      <c r="DQ34" s="289"/>
      <c r="DR34" s="295"/>
      <c r="DS34" s="288"/>
      <c r="DT34" s="294"/>
      <c r="DU34" s="287"/>
      <c r="DV34" s="288"/>
      <c r="DW34" s="289"/>
      <c r="DX34" s="295"/>
      <c r="DY34" s="288"/>
      <c r="DZ34" s="294"/>
      <c r="EA34" s="287"/>
      <c r="EB34" s="288"/>
      <c r="EC34" s="289"/>
      <c r="ED34" s="295"/>
      <c r="EE34" s="288"/>
      <c r="EF34" s="294"/>
      <c r="EG34" s="287"/>
      <c r="EH34" s="288"/>
      <c r="EI34" s="289"/>
      <c r="EJ34" s="295"/>
      <c r="EK34" s="288"/>
      <c r="EL34" s="294"/>
      <c r="EM34" s="287"/>
      <c r="EN34" s="288"/>
      <c r="EO34" s="289"/>
      <c r="EP34" s="295"/>
      <c r="EQ34" s="288"/>
      <c r="ER34" s="294"/>
      <c r="ES34" s="287"/>
      <c r="ET34" s="288"/>
      <c r="EU34" s="289"/>
      <c r="EV34" s="295"/>
      <c r="EW34" s="288"/>
      <c r="EX34" s="294"/>
      <c r="EY34" s="287"/>
      <c r="EZ34" s="288"/>
      <c r="FA34" s="289"/>
      <c r="FB34" s="295"/>
      <c r="FC34" s="288"/>
      <c r="FD34" s="294"/>
      <c r="FE34" s="287"/>
      <c r="FF34" s="288"/>
      <c r="FG34" s="289"/>
      <c r="FH34" s="295"/>
      <c r="FI34" s="288"/>
      <c r="FJ34" s="294"/>
      <c r="FK34" s="287"/>
      <c r="FL34" s="288"/>
      <c r="FM34" s="289"/>
      <c r="FN34" s="295"/>
      <c r="FO34" s="288"/>
      <c r="FP34" s="294"/>
      <c r="FQ34" s="287"/>
      <c r="FR34" s="288"/>
      <c r="FS34" s="289"/>
      <c r="FT34" s="295"/>
      <c r="FU34" s="288"/>
      <c r="FV34" s="294"/>
      <c r="FW34" s="287"/>
      <c r="FX34" s="288"/>
      <c r="FY34" s="289"/>
      <c r="FZ34" s="295"/>
      <c r="GA34" s="288"/>
      <c r="GB34" s="294"/>
      <c r="GC34" s="287"/>
      <c r="GD34" s="288"/>
      <c r="GE34" s="289"/>
      <c r="GF34" s="295"/>
      <c r="GG34" s="288"/>
      <c r="GH34" s="294"/>
      <c r="GI34" s="287"/>
      <c r="GJ34" s="288"/>
      <c r="GK34" s="289"/>
      <c r="GL34" s="295"/>
      <c r="GM34" s="288"/>
      <c r="GN34" s="294"/>
      <c r="GO34" s="287"/>
      <c r="GP34" s="288"/>
      <c r="GQ34" s="289"/>
      <c r="GR34" s="295"/>
      <c r="GS34" s="288"/>
      <c r="GT34" s="294"/>
      <c r="GU34" s="295"/>
      <c r="GV34" s="288"/>
      <c r="GW34" s="294"/>
      <c r="GX34" s="295"/>
      <c r="GY34" s="288"/>
      <c r="GZ34" s="294"/>
      <c r="HA34" s="295"/>
      <c r="HB34" s="288"/>
      <c r="HC34" s="294"/>
      <c r="HD34" s="368">
        <f t="shared" si="0"/>
        <v>0</v>
      </c>
      <c r="HE34" s="369">
        <f t="shared" si="1"/>
        <v>0</v>
      </c>
      <c r="HF34" s="369">
        <f t="shared" si="2"/>
        <v>0</v>
      </c>
      <c r="HG34" s="145">
        <f>SUM(B34:DB34)</f>
        <v>0</v>
      </c>
    </row>
    <row r="35" spans="1:215" ht="15.75" thickBot="1">
      <c r="A35" s="238">
        <v>28</v>
      </c>
      <c r="B35" s="239"/>
      <c r="C35" s="43"/>
      <c r="D35" s="283"/>
      <c r="E35" s="295"/>
      <c r="F35" s="288"/>
      <c r="G35" s="294"/>
      <c r="H35" s="287"/>
      <c r="I35" s="288"/>
      <c r="J35" s="289"/>
      <c r="K35" s="295"/>
      <c r="L35" s="288"/>
      <c r="M35" s="294"/>
      <c r="N35" s="287"/>
      <c r="O35" s="288"/>
      <c r="P35" s="289"/>
      <c r="Q35" s="295"/>
      <c r="R35" s="288"/>
      <c r="S35" s="294"/>
      <c r="T35" s="287"/>
      <c r="U35" s="288"/>
      <c r="V35" s="289"/>
      <c r="W35" s="295"/>
      <c r="X35" s="288"/>
      <c r="Y35" s="294"/>
      <c r="Z35" s="287"/>
      <c r="AA35" s="288"/>
      <c r="AB35" s="289"/>
      <c r="AC35" s="295"/>
      <c r="AD35" s="288"/>
      <c r="AE35" s="294"/>
      <c r="AF35" s="287"/>
      <c r="AG35" s="288"/>
      <c r="AH35" s="289"/>
      <c r="AI35" s="295"/>
      <c r="AJ35" s="288"/>
      <c r="AK35" s="294"/>
      <c r="AL35" s="287"/>
      <c r="AM35" s="288"/>
      <c r="AN35" s="289"/>
      <c r="AO35" s="295"/>
      <c r="AP35" s="288"/>
      <c r="AQ35" s="294"/>
      <c r="AR35" s="287"/>
      <c r="AS35" s="288"/>
      <c r="AT35" s="289"/>
      <c r="AU35" s="295"/>
      <c r="AV35" s="288"/>
      <c r="AW35" s="294"/>
      <c r="AX35" s="287"/>
      <c r="AY35" s="288"/>
      <c r="AZ35" s="289"/>
      <c r="BA35" s="295"/>
      <c r="BB35" s="288"/>
      <c r="BC35" s="294"/>
      <c r="BD35" s="287"/>
      <c r="BE35" s="288"/>
      <c r="BF35" s="289"/>
      <c r="BG35" s="295"/>
      <c r="BH35" s="288"/>
      <c r="BI35" s="294"/>
      <c r="BJ35" s="287"/>
      <c r="BK35" s="288"/>
      <c r="BL35" s="289"/>
      <c r="BM35" s="295"/>
      <c r="BN35" s="288"/>
      <c r="BO35" s="294"/>
      <c r="BP35" s="287"/>
      <c r="BQ35" s="288"/>
      <c r="BR35" s="289"/>
      <c r="BS35" s="295"/>
      <c r="BT35" s="288"/>
      <c r="BU35" s="294"/>
      <c r="BV35" s="287"/>
      <c r="BW35" s="288"/>
      <c r="BX35" s="289"/>
      <c r="BY35" s="295"/>
      <c r="BZ35" s="288"/>
      <c r="CA35" s="294"/>
      <c r="CB35" s="287"/>
      <c r="CC35" s="288"/>
      <c r="CD35" s="289"/>
      <c r="CE35" s="295"/>
      <c r="CF35" s="288"/>
      <c r="CG35" s="294"/>
      <c r="CH35" s="287"/>
      <c r="CI35" s="288"/>
      <c r="CJ35" s="289"/>
      <c r="CK35" s="295"/>
      <c r="CL35" s="288"/>
      <c r="CM35" s="294"/>
      <c r="CN35" s="287"/>
      <c r="CO35" s="288"/>
      <c r="CP35" s="289"/>
      <c r="CQ35" s="295"/>
      <c r="CR35" s="288"/>
      <c r="CS35" s="294"/>
      <c r="CT35" s="295"/>
      <c r="CU35" s="288"/>
      <c r="CV35" s="294"/>
      <c r="CW35" s="295"/>
      <c r="CX35" s="288"/>
      <c r="CY35" s="294"/>
      <c r="CZ35" s="295"/>
      <c r="DA35" s="288"/>
      <c r="DB35" s="294"/>
      <c r="DC35" s="239"/>
      <c r="DD35" s="43"/>
      <c r="DE35" s="283"/>
      <c r="DF35" s="295"/>
      <c r="DG35" s="288"/>
      <c r="DH35" s="294"/>
      <c r="DI35" s="287"/>
      <c r="DJ35" s="288"/>
      <c r="DK35" s="289"/>
      <c r="DL35" s="295"/>
      <c r="DM35" s="288"/>
      <c r="DN35" s="294"/>
      <c r="DO35" s="287"/>
      <c r="DP35" s="288"/>
      <c r="DQ35" s="289"/>
      <c r="DR35" s="295"/>
      <c r="DS35" s="288"/>
      <c r="DT35" s="294"/>
      <c r="DU35" s="287"/>
      <c r="DV35" s="288"/>
      <c r="DW35" s="289"/>
      <c r="DX35" s="295"/>
      <c r="DY35" s="288"/>
      <c r="DZ35" s="294"/>
      <c r="EA35" s="287"/>
      <c r="EB35" s="288"/>
      <c r="EC35" s="289"/>
      <c r="ED35" s="295"/>
      <c r="EE35" s="288"/>
      <c r="EF35" s="294"/>
      <c r="EG35" s="287"/>
      <c r="EH35" s="288"/>
      <c r="EI35" s="289"/>
      <c r="EJ35" s="295"/>
      <c r="EK35" s="288"/>
      <c r="EL35" s="294"/>
      <c r="EM35" s="287"/>
      <c r="EN35" s="288"/>
      <c r="EO35" s="289"/>
      <c r="EP35" s="295"/>
      <c r="EQ35" s="288"/>
      <c r="ER35" s="294"/>
      <c r="ES35" s="287"/>
      <c r="ET35" s="288"/>
      <c r="EU35" s="289"/>
      <c r="EV35" s="295"/>
      <c r="EW35" s="288"/>
      <c r="EX35" s="294"/>
      <c r="EY35" s="287"/>
      <c r="EZ35" s="288"/>
      <c r="FA35" s="289"/>
      <c r="FB35" s="295"/>
      <c r="FC35" s="288"/>
      <c r="FD35" s="294"/>
      <c r="FE35" s="287"/>
      <c r="FF35" s="288"/>
      <c r="FG35" s="289"/>
      <c r="FH35" s="295"/>
      <c r="FI35" s="288"/>
      <c r="FJ35" s="294"/>
      <c r="FK35" s="287"/>
      <c r="FL35" s="288"/>
      <c r="FM35" s="289"/>
      <c r="FN35" s="295"/>
      <c r="FO35" s="288"/>
      <c r="FP35" s="294"/>
      <c r="FQ35" s="287"/>
      <c r="FR35" s="288"/>
      <c r="FS35" s="289"/>
      <c r="FT35" s="295"/>
      <c r="FU35" s="288"/>
      <c r="FV35" s="294"/>
      <c r="FW35" s="287"/>
      <c r="FX35" s="288"/>
      <c r="FY35" s="289"/>
      <c r="FZ35" s="295"/>
      <c r="GA35" s="288"/>
      <c r="GB35" s="294"/>
      <c r="GC35" s="287"/>
      <c r="GD35" s="288"/>
      <c r="GE35" s="289"/>
      <c r="GF35" s="295"/>
      <c r="GG35" s="288"/>
      <c r="GH35" s="294"/>
      <c r="GI35" s="287"/>
      <c r="GJ35" s="288"/>
      <c r="GK35" s="289"/>
      <c r="GL35" s="295"/>
      <c r="GM35" s="288"/>
      <c r="GN35" s="294"/>
      <c r="GO35" s="287"/>
      <c r="GP35" s="288"/>
      <c r="GQ35" s="289"/>
      <c r="GR35" s="295"/>
      <c r="GS35" s="288"/>
      <c r="GT35" s="294"/>
      <c r="GU35" s="295"/>
      <c r="GV35" s="288"/>
      <c r="GW35" s="294"/>
      <c r="GX35" s="295"/>
      <c r="GY35" s="288"/>
      <c r="GZ35" s="294"/>
      <c r="HA35" s="295"/>
      <c r="HB35" s="288"/>
      <c r="HC35" s="294"/>
      <c r="HD35" s="368">
        <f t="shared" si="0"/>
        <v>0</v>
      </c>
      <c r="HE35" s="369">
        <f t="shared" si="1"/>
        <v>0</v>
      </c>
      <c r="HF35" s="369">
        <f t="shared" si="2"/>
        <v>0</v>
      </c>
      <c r="HG35" s="145">
        <f>SUM(B35:DB35)</f>
        <v>0</v>
      </c>
    </row>
    <row r="36" spans="1:215" ht="15.75" thickBot="1">
      <c r="A36" s="238">
        <v>29</v>
      </c>
      <c r="B36" s="239"/>
      <c r="C36" s="43"/>
      <c r="D36" s="283"/>
      <c r="E36" s="295"/>
      <c r="F36" s="288"/>
      <c r="G36" s="294"/>
      <c r="H36" s="287"/>
      <c r="I36" s="288"/>
      <c r="J36" s="289"/>
      <c r="K36" s="295"/>
      <c r="L36" s="288"/>
      <c r="M36" s="294"/>
      <c r="N36" s="287"/>
      <c r="O36" s="288"/>
      <c r="P36" s="289"/>
      <c r="Q36" s="295"/>
      <c r="R36" s="288"/>
      <c r="S36" s="294"/>
      <c r="T36" s="287"/>
      <c r="U36" s="288"/>
      <c r="V36" s="289"/>
      <c r="W36" s="295"/>
      <c r="X36" s="288"/>
      <c r="Y36" s="294"/>
      <c r="Z36" s="287"/>
      <c r="AA36" s="288"/>
      <c r="AB36" s="289"/>
      <c r="AC36" s="295"/>
      <c r="AD36" s="288"/>
      <c r="AE36" s="294"/>
      <c r="AF36" s="287"/>
      <c r="AG36" s="288"/>
      <c r="AH36" s="289"/>
      <c r="AI36" s="295"/>
      <c r="AJ36" s="288"/>
      <c r="AK36" s="294"/>
      <c r="AL36" s="287"/>
      <c r="AM36" s="288"/>
      <c r="AN36" s="289"/>
      <c r="AO36" s="295"/>
      <c r="AP36" s="288"/>
      <c r="AQ36" s="294"/>
      <c r="AR36" s="287"/>
      <c r="AS36" s="288"/>
      <c r="AT36" s="289"/>
      <c r="AU36" s="295"/>
      <c r="AV36" s="288"/>
      <c r="AW36" s="294"/>
      <c r="AX36" s="287"/>
      <c r="AY36" s="288"/>
      <c r="AZ36" s="289"/>
      <c r="BA36" s="295"/>
      <c r="BB36" s="288"/>
      <c r="BC36" s="294"/>
      <c r="BD36" s="287"/>
      <c r="BE36" s="288"/>
      <c r="BF36" s="289"/>
      <c r="BG36" s="295"/>
      <c r="BH36" s="288"/>
      <c r="BI36" s="294"/>
      <c r="BJ36" s="287"/>
      <c r="BK36" s="288"/>
      <c r="BL36" s="289"/>
      <c r="BM36" s="295"/>
      <c r="BN36" s="288"/>
      <c r="BO36" s="294"/>
      <c r="BP36" s="287"/>
      <c r="BQ36" s="288"/>
      <c r="BR36" s="289"/>
      <c r="BS36" s="295"/>
      <c r="BT36" s="288"/>
      <c r="BU36" s="294"/>
      <c r="BV36" s="287"/>
      <c r="BW36" s="288"/>
      <c r="BX36" s="289"/>
      <c r="BY36" s="295"/>
      <c r="BZ36" s="288"/>
      <c r="CA36" s="294"/>
      <c r="CB36" s="287"/>
      <c r="CC36" s="288"/>
      <c r="CD36" s="289"/>
      <c r="CE36" s="295"/>
      <c r="CF36" s="288"/>
      <c r="CG36" s="294"/>
      <c r="CH36" s="287"/>
      <c r="CI36" s="288"/>
      <c r="CJ36" s="289"/>
      <c r="CK36" s="295"/>
      <c r="CL36" s="288"/>
      <c r="CM36" s="294"/>
      <c r="CN36" s="287"/>
      <c r="CO36" s="288"/>
      <c r="CP36" s="289"/>
      <c r="CQ36" s="295"/>
      <c r="CR36" s="288"/>
      <c r="CS36" s="294"/>
      <c r="CT36" s="295"/>
      <c r="CU36" s="288"/>
      <c r="CV36" s="294"/>
      <c r="CW36" s="295"/>
      <c r="CX36" s="288"/>
      <c r="CY36" s="294"/>
      <c r="CZ36" s="295"/>
      <c r="DA36" s="288"/>
      <c r="DB36" s="294"/>
      <c r="DC36" s="239"/>
      <c r="DD36" s="43"/>
      <c r="DE36" s="283"/>
      <c r="DF36" s="295"/>
      <c r="DG36" s="288"/>
      <c r="DH36" s="294"/>
      <c r="DI36" s="287"/>
      <c r="DJ36" s="288"/>
      <c r="DK36" s="289"/>
      <c r="DL36" s="295"/>
      <c r="DM36" s="288"/>
      <c r="DN36" s="294"/>
      <c r="DO36" s="287"/>
      <c r="DP36" s="288"/>
      <c r="DQ36" s="289"/>
      <c r="DR36" s="295"/>
      <c r="DS36" s="288"/>
      <c r="DT36" s="294"/>
      <c r="DU36" s="287"/>
      <c r="DV36" s="288"/>
      <c r="DW36" s="289"/>
      <c r="DX36" s="295"/>
      <c r="DY36" s="288"/>
      <c r="DZ36" s="294"/>
      <c r="EA36" s="287"/>
      <c r="EB36" s="288"/>
      <c r="EC36" s="289"/>
      <c r="ED36" s="295"/>
      <c r="EE36" s="288"/>
      <c r="EF36" s="294"/>
      <c r="EG36" s="287"/>
      <c r="EH36" s="288"/>
      <c r="EI36" s="289"/>
      <c r="EJ36" s="295"/>
      <c r="EK36" s="288"/>
      <c r="EL36" s="294"/>
      <c r="EM36" s="287"/>
      <c r="EN36" s="288"/>
      <c r="EO36" s="289"/>
      <c r="EP36" s="295"/>
      <c r="EQ36" s="288"/>
      <c r="ER36" s="294"/>
      <c r="ES36" s="287"/>
      <c r="ET36" s="288"/>
      <c r="EU36" s="289"/>
      <c r="EV36" s="295"/>
      <c r="EW36" s="288"/>
      <c r="EX36" s="294"/>
      <c r="EY36" s="287"/>
      <c r="EZ36" s="288"/>
      <c r="FA36" s="289"/>
      <c r="FB36" s="295"/>
      <c r="FC36" s="288"/>
      <c r="FD36" s="294"/>
      <c r="FE36" s="287"/>
      <c r="FF36" s="288"/>
      <c r="FG36" s="289"/>
      <c r="FH36" s="295"/>
      <c r="FI36" s="288"/>
      <c r="FJ36" s="294"/>
      <c r="FK36" s="287"/>
      <c r="FL36" s="288"/>
      <c r="FM36" s="289"/>
      <c r="FN36" s="295"/>
      <c r="FO36" s="288"/>
      <c r="FP36" s="294"/>
      <c r="FQ36" s="287"/>
      <c r="FR36" s="288"/>
      <c r="FS36" s="289"/>
      <c r="FT36" s="295"/>
      <c r="FU36" s="288"/>
      <c r="FV36" s="294"/>
      <c r="FW36" s="287"/>
      <c r="FX36" s="288"/>
      <c r="FY36" s="289"/>
      <c r="FZ36" s="295"/>
      <c r="GA36" s="288"/>
      <c r="GB36" s="294"/>
      <c r="GC36" s="287"/>
      <c r="GD36" s="288"/>
      <c r="GE36" s="289"/>
      <c r="GF36" s="295"/>
      <c r="GG36" s="288"/>
      <c r="GH36" s="294"/>
      <c r="GI36" s="287"/>
      <c r="GJ36" s="288"/>
      <c r="GK36" s="289"/>
      <c r="GL36" s="295"/>
      <c r="GM36" s="288"/>
      <c r="GN36" s="294"/>
      <c r="GO36" s="287"/>
      <c r="GP36" s="288"/>
      <c r="GQ36" s="289"/>
      <c r="GR36" s="295"/>
      <c r="GS36" s="288"/>
      <c r="GT36" s="294"/>
      <c r="GU36" s="295"/>
      <c r="GV36" s="288"/>
      <c r="GW36" s="294"/>
      <c r="GX36" s="295"/>
      <c r="GY36" s="288"/>
      <c r="GZ36" s="294"/>
      <c r="HA36" s="295"/>
      <c r="HB36" s="288"/>
      <c r="HC36" s="294"/>
      <c r="HD36" s="368">
        <f t="shared" si="0"/>
        <v>0</v>
      </c>
      <c r="HE36" s="369">
        <f t="shared" si="1"/>
        <v>0</v>
      </c>
      <c r="HF36" s="369">
        <f t="shared" si="2"/>
        <v>0</v>
      </c>
      <c r="HG36" s="145">
        <f>SUM(B36:DB36)</f>
        <v>0</v>
      </c>
    </row>
    <row r="37" spans="1:215" ht="15.75" thickBot="1">
      <c r="A37" s="238">
        <v>30</v>
      </c>
      <c r="B37" s="239"/>
      <c r="C37" s="43"/>
      <c r="D37" s="283"/>
      <c r="E37" s="295"/>
      <c r="F37" s="288"/>
      <c r="G37" s="294"/>
      <c r="H37" s="287"/>
      <c r="I37" s="288"/>
      <c r="J37" s="289"/>
      <c r="K37" s="295"/>
      <c r="L37" s="288"/>
      <c r="M37" s="294"/>
      <c r="N37" s="287"/>
      <c r="O37" s="288"/>
      <c r="P37" s="289"/>
      <c r="Q37" s="295"/>
      <c r="R37" s="288"/>
      <c r="S37" s="294"/>
      <c r="T37" s="287"/>
      <c r="U37" s="288"/>
      <c r="V37" s="289"/>
      <c r="W37" s="295"/>
      <c r="X37" s="288"/>
      <c r="Y37" s="294"/>
      <c r="Z37" s="287"/>
      <c r="AA37" s="288"/>
      <c r="AB37" s="289"/>
      <c r="AC37" s="295"/>
      <c r="AD37" s="288"/>
      <c r="AE37" s="294"/>
      <c r="AF37" s="287"/>
      <c r="AG37" s="288"/>
      <c r="AH37" s="289"/>
      <c r="AI37" s="295"/>
      <c r="AJ37" s="288"/>
      <c r="AK37" s="294"/>
      <c r="AL37" s="287"/>
      <c r="AM37" s="288"/>
      <c r="AN37" s="289"/>
      <c r="AO37" s="295"/>
      <c r="AP37" s="288"/>
      <c r="AQ37" s="294"/>
      <c r="AR37" s="287"/>
      <c r="AS37" s="288"/>
      <c r="AT37" s="289"/>
      <c r="AU37" s="295"/>
      <c r="AV37" s="288"/>
      <c r="AW37" s="294"/>
      <c r="AX37" s="287"/>
      <c r="AY37" s="288"/>
      <c r="AZ37" s="289"/>
      <c r="BA37" s="295"/>
      <c r="BB37" s="288"/>
      <c r="BC37" s="294"/>
      <c r="BD37" s="287"/>
      <c r="BE37" s="288"/>
      <c r="BF37" s="289"/>
      <c r="BG37" s="295"/>
      <c r="BH37" s="288"/>
      <c r="BI37" s="294"/>
      <c r="BJ37" s="287"/>
      <c r="BK37" s="288"/>
      <c r="BL37" s="289"/>
      <c r="BM37" s="295"/>
      <c r="BN37" s="288"/>
      <c r="BO37" s="294"/>
      <c r="BP37" s="287"/>
      <c r="BQ37" s="288"/>
      <c r="BR37" s="289"/>
      <c r="BS37" s="295"/>
      <c r="BT37" s="288"/>
      <c r="BU37" s="294"/>
      <c r="BV37" s="287"/>
      <c r="BW37" s="288"/>
      <c r="BX37" s="289"/>
      <c r="BY37" s="295"/>
      <c r="BZ37" s="288"/>
      <c r="CA37" s="294"/>
      <c r="CB37" s="287"/>
      <c r="CC37" s="288"/>
      <c r="CD37" s="289"/>
      <c r="CE37" s="295"/>
      <c r="CF37" s="288"/>
      <c r="CG37" s="294"/>
      <c r="CH37" s="287"/>
      <c r="CI37" s="288"/>
      <c r="CJ37" s="289"/>
      <c r="CK37" s="295"/>
      <c r="CL37" s="288"/>
      <c r="CM37" s="294"/>
      <c r="CN37" s="287"/>
      <c r="CO37" s="288"/>
      <c r="CP37" s="289"/>
      <c r="CQ37" s="295"/>
      <c r="CR37" s="288"/>
      <c r="CS37" s="294"/>
      <c r="CT37" s="295"/>
      <c r="CU37" s="288"/>
      <c r="CV37" s="294"/>
      <c r="CW37" s="295"/>
      <c r="CX37" s="288"/>
      <c r="CY37" s="294"/>
      <c r="CZ37" s="295"/>
      <c r="DA37" s="288"/>
      <c r="DB37" s="294"/>
      <c r="DC37" s="239"/>
      <c r="DD37" s="43"/>
      <c r="DE37" s="283"/>
      <c r="DF37" s="295"/>
      <c r="DG37" s="288"/>
      <c r="DH37" s="294"/>
      <c r="DI37" s="287"/>
      <c r="DJ37" s="288"/>
      <c r="DK37" s="289"/>
      <c r="DL37" s="295"/>
      <c r="DM37" s="288"/>
      <c r="DN37" s="294"/>
      <c r="DO37" s="287"/>
      <c r="DP37" s="288"/>
      <c r="DQ37" s="289"/>
      <c r="DR37" s="295"/>
      <c r="DS37" s="288"/>
      <c r="DT37" s="294"/>
      <c r="DU37" s="287"/>
      <c r="DV37" s="288"/>
      <c r="DW37" s="289"/>
      <c r="DX37" s="295"/>
      <c r="DY37" s="288"/>
      <c r="DZ37" s="294"/>
      <c r="EA37" s="287"/>
      <c r="EB37" s="288"/>
      <c r="EC37" s="289"/>
      <c r="ED37" s="295"/>
      <c r="EE37" s="288"/>
      <c r="EF37" s="294"/>
      <c r="EG37" s="287"/>
      <c r="EH37" s="288"/>
      <c r="EI37" s="289"/>
      <c r="EJ37" s="295"/>
      <c r="EK37" s="288"/>
      <c r="EL37" s="294"/>
      <c r="EM37" s="287"/>
      <c r="EN37" s="288"/>
      <c r="EO37" s="289"/>
      <c r="EP37" s="295"/>
      <c r="EQ37" s="288"/>
      <c r="ER37" s="294"/>
      <c r="ES37" s="287"/>
      <c r="ET37" s="288"/>
      <c r="EU37" s="289"/>
      <c r="EV37" s="295"/>
      <c r="EW37" s="288"/>
      <c r="EX37" s="294"/>
      <c r="EY37" s="287"/>
      <c r="EZ37" s="288"/>
      <c r="FA37" s="289"/>
      <c r="FB37" s="295"/>
      <c r="FC37" s="288"/>
      <c r="FD37" s="294"/>
      <c r="FE37" s="287"/>
      <c r="FF37" s="288"/>
      <c r="FG37" s="289"/>
      <c r="FH37" s="295"/>
      <c r="FI37" s="288"/>
      <c r="FJ37" s="294"/>
      <c r="FK37" s="287"/>
      <c r="FL37" s="288"/>
      <c r="FM37" s="289"/>
      <c r="FN37" s="295"/>
      <c r="FO37" s="288"/>
      <c r="FP37" s="294"/>
      <c r="FQ37" s="287"/>
      <c r="FR37" s="288"/>
      <c r="FS37" s="289"/>
      <c r="FT37" s="295"/>
      <c r="FU37" s="288"/>
      <c r="FV37" s="294"/>
      <c r="FW37" s="287"/>
      <c r="FX37" s="288"/>
      <c r="FY37" s="289"/>
      <c r="FZ37" s="295"/>
      <c r="GA37" s="288"/>
      <c r="GB37" s="294"/>
      <c r="GC37" s="287"/>
      <c r="GD37" s="288"/>
      <c r="GE37" s="289"/>
      <c r="GF37" s="295"/>
      <c r="GG37" s="288"/>
      <c r="GH37" s="294"/>
      <c r="GI37" s="287"/>
      <c r="GJ37" s="288"/>
      <c r="GK37" s="289"/>
      <c r="GL37" s="295"/>
      <c r="GM37" s="288"/>
      <c r="GN37" s="294"/>
      <c r="GO37" s="287"/>
      <c r="GP37" s="288"/>
      <c r="GQ37" s="289"/>
      <c r="GR37" s="295"/>
      <c r="GS37" s="288"/>
      <c r="GT37" s="294"/>
      <c r="GU37" s="295"/>
      <c r="GV37" s="288"/>
      <c r="GW37" s="294"/>
      <c r="GX37" s="295"/>
      <c r="GY37" s="288"/>
      <c r="GZ37" s="294"/>
      <c r="HA37" s="295"/>
      <c r="HB37" s="288"/>
      <c r="HC37" s="294"/>
      <c r="HD37" s="368">
        <f t="shared" si="0"/>
        <v>0</v>
      </c>
      <c r="HE37" s="369">
        <f t="shared" si="1"/>
        <v>0</v>
      </c>
      <c r="HF37" s="369">
        <f t="shared" si="2"/>
        <v>0</v>
      </c>
      <c r="HG37" s="145">
        <f>SUM(B37:DB37)</f>
        <v>0</v>
      </c>
    </row>
    <row r="38" spans="1:215" ht="15.75" thickBot="1">
      <c r="A38" s="238">
        <v>31</v>
      </c>
      <c r="B38" s="308"/>
      <c r="C38" s="43"/>
      <c r="D38" s="283"/>
      <c r="E38" s="295"/>
      <c r="F38" s="288"/>
      <c r="G38" s="294"/>
      <c r="H38" s="287"/>
      <c r="I38" s="288"/>
      <c r="J38" s="289"/>
      <c r="K38" s="295"/>
      <c r="L38" s="288"/>
      <c r="M38" s="294"/>
      <c r="N38" s="287"/>
      <c r="O38" s="288"/>
      <c r="P38" s="289"/>
      <c r="Q38" s="295"/>
      <c r="R38" s="288"/>
      <c r="S38" s="294"/>
      <c r="T38" s="287"/>
      <c r="U38" s="288"/>
      <c r="V38" s="289"/>
      <c r="W38" s="295"/>
      <c r="X38" s="288"/>
      <c r="Y38" s="294"/>
      <c r="Z38" s="287"/>
      <c r="AA38" s="288"/>
      <c r="AB38" s="289"/>
      <c r="AC38" s="295"/>
      <c r="AD38" s="288"/>
      <c r="AE38" s="294"/>
      <c r="AF38" s="287"/>
      <c r="AG38" s="288"/>
      <c r="AH38" s="289"/>
      <c r="AI38" s="295"/>
      <c r="AJ38" s="288"/>
      <c r="AK38" s="294"/>
      <c r="AL38" s="287"/>
      <c r="AM38" s="288"/>
      <c r="AN38" s="289"/>
      <c r="AO38" s="295"/>
      <c r="AP38" s="288"/>
      <c r="AQ38" s="294"/>
      <c r="AR38" s="287"/>
      <c r="AS38" s="288"/>
      <c r="AT38" s="289"/>
      <c r="AU38" s="295"/>
      <c r="AV38" s="288"/>
      <c r="AW38" s="294"/>
      <c r="AX38" s="287"/>
      <c r="AY38" s="288"/>
      <c r="AZ38" s="289"/>
      <c r="BA38" s="295"/>
      <c r="BB38" s="288"/>
      <c r="BC38" s="294"/>
      <c r="BD38" s="287"/>
      <c r="BE38" s="288"/>
      <c r="BF38" s="289"/>
      <c r="BG38" s="295"/>
      <c r="BH38" s="288"/>
      <c r="BI38" s="294"/>
      <c r="BJ38" s="287"/>
      <c r="BK38" s="288"/>
      <c r="BL38" s="289"/>
      <c r="BM38" s="295"/>
      <c r="BN38" s="288"/>
      <c r="BO38" s="294"/>
      <c r="BP38" s="287"/>
      <c r="BQ38" s="288"/>
      <c r="BR38" s="289"/>
      <c r="BS38" s="295"/>
      <c r="BT38" s="288"/>
      <c r="BU38" s="294"/>
      <c r="BV38" s="287"/>
      <c r="BW38" s="288"/>
      <c r="BX38" s="289"/>
      <c r="BY38" s="295"/>
      <c r="BZ38" s="288"/>
      <c r="CA38" s="294"/>
      <c r="CB38" s="287"/>
      <c r="CC38" s="288"/>
      <c r="CD38" s="289"/>
      <c r="CE38" s="295"/>
      <c r="CF38" s="288"/>
      <c r="CG38" s="294"/>
      <c r="CH38" s="287"/>
      <c r="CI38" s="288"/>
      <c r="CJ38" s="289"/>
      <c r="CK38" s="295"/>
      <c r="CL38" s="288"/>
      <c r="CM38" s="294"/>
      <c r="CN38" s="287"/>
      <c r="CO38" s="288"/>
      <c r="CP38" s="289"/>
      <c r="CQ38" s="295"/>
      <c r="CR38" s="288"/>
      <c r="CS38" s="294"/>
      <c r="CT38" s="295"/>
      <c r="CU38" s="288"/>
      <c r="CV38" s="294"/>
      <c r="CW38" s="295"/>
      <c r="CX38" s="288"/>
      <c r="CY38" s="294"/>
      <c r="CZ38" s="295"/>
      <c r="DA38" s="288"/>
      <c r="DB38" s="294"/>
      <c r="DC38" s="308"/>
      <c r="DD38" s="43"/>
      <c r="DE38" s="283"/>
      <c r="DF38" s="295"/>
      <c r="DG38" s="288"/>
      <c r="DH38" s="294"/>
      <c r="DI38" s="287"/>
      <c r="DJ38" s="288"/>
      <c r="DK38" s="289"/>
      <c r="DL38" s="295"/>
      <c r="DM38" s="288"/>
      <c r="DN38" s="294"/>
      <c r="DO38" s="287"/>
      <c r="DP38" s="288"/>
      <c r="DQ38" s="289"/>
      <c r="DR38" s="295"/>
      <c r="DS38" s="288"/>
      <c r="DT38" s="294"/>
      <c r="DU38" s="287"/>
      <c r="DV38" s="288"/>
      <c r="DW38" s="289"/>
      <c r="DX38" s="295"/>
      <c r="DY38" s="288"/>
      <c r="DZ38" s="294"/>
      <c r="EA38" s="287"/>
      <c r="EB38" s="288"/>
      <c r="EC38" s="289"/>
      <c r="ED38" s="295"/>
      <c r="EE38" s="288"/>
      <c r="EF38" s="294"/>
      <c r="EG38" s="287"/>
      <c r="EH38" s="288"/>
      <c r="EI38" s="289"/>
      <c r="EJ38" s="295"/>
      <c r="EK38" s="288"/>
      <c r="EL38" s="294"/>
      <c r="EM38" s="287"/>
      <c r="EN38" s="288"/>
      <c r="EO38" s="289"/>
      <c r="EP38" s="295"/>
      <c r="EQ38" s="288"/>
      <c r="ER38" s="294"/>
      <c r="ES38" s="287"/>
      <c r="ET38" s="288"/>
      <c r="EU38" s="289"/>
      <c r="EV38" s="295"/>
      <c r="EW38" s="288"/>
      <c r="EX38" s="294"/>
      <c r="EY38" s="287"/>
      <c r="EZ38" s="288"/>
      <c r="FA38" s="289"/>
      <c r="FB38" s="295"/>
      <c r="FC38" s="288"/>
      <c r="FD38" s="294"/>
      <c r="FE38" s="287"/>
      <c r="FF38" s="288"/>
      <c r="FG38" s="289"/>
      <c r="FH38" s="295"/>
      <c r="FI38" s="288"/>
      <c r="FJ38" s="294"/>
      <c r="FK38" s="287"/>
      <c r="FL38" s="288"/>
      <c r="FM38" s="289"/>
      <c r="FN38" s="295"/>
      <c r="FO38" s="288"/>
      <c r="FP38" s="294"/>
      <c r="FQ38" s="287"/>
      <c r="FR38" s="288"/>
      <c r="FS38" s="289"/>
      <c r="FT38" s="295"/>
      <c r="FU38" s="288"/>
      <c r="FV38" s="294"/>
      <c r="FW38" s="287"/>
      <c r="FX38" s="288"/>
      <c r="FY38" s="289"/>
      <c r="FZ38" s="295"/>
      <c r="GA38" s="288"/>
      <c r="GB38" s="294"/>
      <c r="GC38" s="287"/>
      <c r="GD38" s="288"/>
      <c r="GE38" s="289"/>
      <c r="GF38" s="295"/>
      <c r="GG38" s="288"/>
      <c r="GH38" s="294"/>
      <c r="GI38" s="287"/>
      <c r="GJ38" s="288"/>
      <c r="GK38" s="289"/>
      <c r="GL38" s="295"/>
      <c r="GM38" s="288"/>
      <c r="GN38" s="294"/>
      <c r="GO38" s="287"/>
      <c r="GP38" s="288"/>
      <c r="GQ38" s="289"/>
      <c r="GR38" s="295"/>
      <c r="GS38" s="288"/>
      <c r="GT38" s="294"/>
      <c r="GU38" s="295"/>
      <c r="GV38" s="288"/>
      <c r="GW38" s="294"/>
      <c r="GX38" s="295"/>
      <c r="GY38" s="288"/>
      <c r="GZ38" s="294"/>
      <c r="HA38" s="295"/>
      <c r="HB38" s="288"/>
      <c r="HC38" s="294"/>
      <c r="HD38" s="368">
        <f t="shared" si="0"/>
        <v>0</v>
      </c>
      <c r="HE38" s="369">
        <f t="shared" si="1"/>
        <v>0</v>
      </c>
      <c r="HF38" s="369">
        <f t="shared" si="2"/>
        <v>0</v>
      </c>
    </row>
    <row r="39" spans="1:215" ht="15.75" thickBot="1">
      <c r="A39" s="352"/>
      <c r="B39" s="113">
        <f>SUM(B8:B38)</f>
        <v>0</v>
      </c>
      <c r="C39" s="113">
        <f t="shared" ref="C39:D39" si="3">SUM(C8:C38)</f>
        <v>0</v>
      </c>
      <c r="D39" s="113">
        <f t="shared" si="3"/>
        <v>0</v>
      </c>
      <c r="E39" s="113">
        <f t="shared" ref="E39:BN39" si="4">SUM(E8:E38)</f>
        <v>0</v>
      </c>
      <c r="F39" s="113">
        <f t="shared" si="4"/>
        <v>0</v>
      </c>
      <c r="G39" s="113">
        <f t="shared" si="4"/>
        <v>0</v>
      </c>
      <c r="H39" s="113">
        <f t="shared" si="4"/>
        <v>0</v>
      </c>
      <c r="I39" s="113">
        <f t="shared" si="4"/>
        <v>0</v>
      </c>
      <c r="J39" s="113">
        <f t="shared" si="4"/>
        <v>0</v>
      </c>
      <c r="K39" s="113">
        <f t="shared" si="4"/>
        <v>0</v>
      </c>
      <c r="L39" s="113">
        <f t="shared" si="4"/>
        <v>0</v>
      </c>
      <c r="M39" s="113">
        <f t="shared" si="4"/>
        <v>0</v>
      </c>
      <c r="N39" s="113">
        <f t="shared" si="4"/>
        <v>0</v>
      </c>
      <c r="O39" s="113">
        <f t="shared" si="4"/>
        <v>0</v>
      </c>
      <c r="P39" s="113">
        <f t="shared" si="4"/>
        <v>0</v>
      </c>
      <c r="Q39" s="113">
        <f t="shared" si="4"/>
        <v>0</v>
      </c>
      <c r="R39" s="113">
        <f t="shared" si="4"/>
        <v>0</v>
      </c>
      <c r="S39" s="113">
        <f t="shared" si="4"/>
        <v>0</v>
      </c>
      <c r="T39" s="113">
        <f t="shared" si="4"/>
        <v>0</v>
      </c>
      <c r="U39" s="113">
        <f t="shared" si="4"/>
        <v>0</v>
      </c>
      <c r="V39" s="113">
        <f t="shared" si="4"/>
        <v>0</v>
      </c>
      <c r="W39" s="113">
        <f t="shared" si="4"/>
        <v>0</v>
      </c>
      <c r="X39" s="113">
        <f t="shared" si="4"/>
        <v>0</v>
      </c>
      <c r="Y39" s="113">
        <f t="shared" si="4"/>
        <v>0</v>
      </c>
      <c r="Z39" s="113">
        <f t="shared" si="4"/>
        <v>0</v>
      </c>
      <c r="AA39" s="113">
        <f t="shared" si="4"/>
        <v>0</v>
      </c>
      <c r="AB39" s="113">
        <f t="shared" si="4"/>
        <v>0</v>
      </c>
      <c r="AC39" s="113">
        <f t="shared" si="4"/>
        <v>0</v>
      </c>
      <c r="AD39" s="113">
        <f t="shared" si="4"/>
        <v>0</v>
      </c>
      <c r="AE39" s="113">
        <f t="shared" si="4"/>
        <v>0</v>
      </c>
      <c r="AF39" s="113">
        <f t="shared" si="4"/>
        <v>0</v>
      </c>
      <c r="AG39" s="113">
        <f t="shared" si="4"/>
        <v>0</v>
      </c>
      <c r="AH39" s="113">
        <f t="shared" si="4"/>
        <v>0</v>
      </c>
      <c r="AI39" s="113">
        <f t="shared" si="4"/>
        <v>0</v>
      </c>
      <c r="AJ39" s="113">
        <f t="shared" si="4"/>
        <v>0</v>
      </c>
      <c r="AK39" s="113">
        <f t="shared" si="4"/>
        <v>0</v>
      </c>
      <c r="AL39" s="113">
        <f t="shared" si="4"/>
        <v>0</v>
      </c>
      <c r="AM39" s="113">
        <f t="shared" si="4"/>
        <v>0</v>
      </c>
      <c r="AN39" s="113">
        <f t="shared" si="4"/>
        <v>0</v>
      </c>
      <c r="AO39" s="113">
        <f t="shared" si="4"/>
        <v>0</v>
      </c>
      <c r="AP39" s="113">
        <f t="shared" si="4"/>
        <v>0</v>
      </c>
      <c r="AQ39" s="113">
        <f t="shared" si="4"/>
        <v>0</v>
      </c>
      <c r="AR39" s="113">
        <f t="shared" si="4"/>
        <v>0</v>
      </c>
      <c r="AS39" s="113">
        <f t="shared" si="4"/>
        <v>0</v>
      </c>
      <c r="AT39" s="113">
        <f t="shared" si="4"/>
        <v>0</v>
      </c>
      <c r="AU39" s="113">
        <f t="shared" si="4"/>
        <v>0</v>
      </c>
      <c r="AV39" s="113">
        <f t="shared" si="4"/>
        <v>0</v>
      </c>
      <c r="AW39" s="113">
        <f t="shared" si="4"/>
        <v>0</v>
      </c>
      <c r="AX39" s="113">
        <f t="shared" si="4"/>
        <v>0</v>
      </c>
      <c r="AY39" s="113">
        <f t="shared" si="4"/>
        <v>0</v>
      </c>
      <c r="AZ39" s="113">
        <f t="shared" si="4"/>
        <v>0</v>
      </c>
      <c r="BA39" s="113">
        <f t="shared" si="4"/>
        <v>0</v>
      </c>
      <c r="BB39" s="113">
        <f t="shared" si="4"/>
        <v>0</v>
      </c>
      <c r="BC39" s="113">
        <f t="shared" si="4"/>
        <v>0</v>
      </c>
      <c r="BD39" s="113">
        <f t="shared" si="4"/>
        <v>0</v>
      </c>
      <c r="BE39" s="113">
        <f t="shared" si="4"/>
        <v>0</v>
      </c>
      <c r="BF39" s="113">
        <f t="shared" si="4"/>
        <v>0</v>
      </c>
      <c r="BG39" s="113">
        <f t="shared" si="4"/>
        <v>0</v>
      </c>
      <c r="BH39" s="113">
        <f t="shared" si="4"/>
        <v>0</v>
      </c>
      <c r="BI39" s="113">
        <f t="shared" si="4"/>
        <v>0</v>
      </c>
      <c r="BJ39" s="113">
        <f t="shared" si="4"/>
        <v>0</v>
      </c>
      <c r="BK39" s="113">
        <f t="shared" si="4"/>
        <v>0</v>
      </c>
      <c r="BL39" s="113">
        <f t="shared" si="4"/>
        <v>0</v>
      </c>
      <c r="BM39" s="113">
        <f t="shared" si="4"/>
        <v>0</v>
      </c>
      <c r="BN39" s="113">
        <f t="shared" si="4"/>
        <v>0</v>
      </c>
      <c r="BO39" s="113">
        <f t="shared" ref="BO39:HF39" si="5">SUM(BO8:BO38)</f>
        <v>0</v>
      </c>
      <c r="BP39" s="113">
        <f t="shared" si="5"/>
        <v>0</v>
      </c>
      <c r="BQ39" s="113">
        <f t="shared" si="5"/>
        <v>0</v>
      </c>
      <c r="BR39" s="113">
        <f t="shared" si="5"/>
        <v>0</v>
      </c>
      <c r="BS39" s="113">
        <f t="shared" si="5"/>
        <v>0</v>
      </c>
      <c r="BT39" s="113">
        <f t="shared" si="5"/>
        <v>0</v>
      </c>
      <c r="BU39" s="113">
        <f t="shared" si="5"/>
        <v>0</v>
      </c>
      <c r="BV39" s="113">
        <f t="shared" si="5"/>
        <v>0</v>
      </c>
      <c r="BW39" s="113">
        <f t="shared" si="5"/>
        <v>0</v>
      </c>
      <c r="BX39" s="113">
        <f t="shared" si="5"/>
        <v>0</v>
      </c>
      <c r="BY39" s="113">
        <f t="shared" si="5"/>
        <v>0</v>
      </c>
      <c r="BZ39" s="113">
        <f t="shared" si="5"/>
        <v>0</v>
      </c>
      <c r="CA39" s="113">
        <f t="shared" si="5"/>
        <v>0</v>
      </c>
      <c r="CB39" s="113">
        <f t="shared" si="5"/>
        <v>0</v>
      </c>
      <c r="CC39" s="113">
        <f t="shared" si="5"/>
        <v>0</v>
      </c>
      <c r="CD39" s="113">
        <f t="shared" si="5"/>
        <v>0</v>
      </c>
      <c r="CE39" s="113">
        <f t="shared" si="5"/>
        <v>0</v>
      </c>
      <c r="CF39" s="113">
        <f t="shared" si="5"/>
        <v>0</v>
      </c>
      <c r="CG39" s="113">
        <f t="shared" si="5"/>
        <v>0</v>
      </c>
      <c r="CH39" s="113">
        <f t="shared" si="5"/>
        <v>0</v>
      </c>
      <c r="CI39" s="113">
        <f t="shared" si="5"/>
        <v>0</v>
      </c>
      <c r="CJ39" s="113">
        <f t="shared" si="5"/>
        <v>0</v>
      </c>
      <c r="CK39" s="113">
        <f t="shared" si="5"/>
        <v>0</v>
      </c>
      <c r="CL39" s="113">
        <f t="shared" si="5"/>
        <v>0</v>
      </c>
      <c r="CM39" s="113">
        <f t="shared" si="5"/>
        <v>0</v>
      </c>
      <c r="CN39" s="113">
        <f t="shared" si="5"/>
        <v>0</v>
      </c>
      <c r="CO39" s="113">
        <f t="shared" si="5"/>
        <v>0</v>
      </c>
      <c r="CP39" s="113">
        <f t="shared" si="5"/>
        <v>0</v>
      </c>
      <c r="CQ39" s="113">
        <f t="shared" ref="CQ39:CY39" si="6">SUM(CQ8:CQ38)</f>
        <v>0</v>
      </c>
      <c r="CR39" s="113">
        <f t="shared" si="6"/>
        <v>0</v>
      </c>
      <c r="CS39" s="113">
        <f t="shared" si="6"/>
        <v>0</v>
      </c>
      <c r="CT39" s="113">
        <f t="shared" si="6"/>
        <v>0</v>
      </c>
      <c r="CU39" s="113">
        <f t="shared" si="6"/>
        <v>0</v>
      </c>
      <c r="CV39" s="113">
        <f t="shared" si="6"/>
        <v>0</v>
      </c>
      <c r="CW39" s="113">
        <f t="shared" si="6"/>
        <v>0</v>
      </c>
      <c r="CX39" s="113">
        <f t="shared" si="6"/>
        <v>0</v>
      </c>
      <c r="CY39" s="113">
        <f t="shared" si="6"/>
        <v>0</v>
      </c>
      <c r="CZ39" s="113">
        <f t="shared" si="5"/>
        <v>0</v>
      </c>
      <c r="DA39" s="113">
        <f t="shared" si="5"/>
        <v>0</v>
      </c>
      <c r="DB39" s="113">
        <f t="shared" si="5"/>
        <v>0</v>
      </c>
      <c r="DC39" s="113">
        <f>SUM(DC8:DC38)</f>
        <v>0</v>
      </c>
      <c r="DD39" s="113">
        <f t="shared" ref="DD39:FO39" si="7">SUM(DD8:DD38)</f>
        <v>0</v>
      </c>
      <c r="DE39" s="113">
        <f t="shared" si="7"/>
        <v>0</v>
      </c>
      <c r="DF39" s="113">
        <f t="shared" si="7"/>
        <v>0</v>
      </c>
      <c r="DG39" s="113">
        <f t="shared" si="7"/>
        <v>0</v>
      </c>
      <c r="DH39" s="113">
        <f t="shared" si="7"/>
        <v>0</v>
      </c>
      <c r="DI39" s="113">
        <f t="shared" si="7"/>
        <v>0</v>
      </c>
      <c r="DJ39" s="113">
        <f t="shared" si="7"/>
        <v>0</v>
      </c>
      <c r="DK39" s="113">
        <f t="shared" si="7"/>
        <v>0</v>
      </c>
      <c r="DL39" s="113">
        <f t="shared" si="7"/>
        <v>0</v>
      </c>
      <c r="DM39" s="113">
        <f t="shared" si="7"/>
        <v>0</v>
      </c>
      <c r="DN39" s="113">
        <f t="shared" si="7"/>
        <v>0</v>
      </c>
      <c r="DO39" s="113">
        <f t="shared" si="7"/>
        <v>0</v>
      </c>
      <c r="DP39" s="113">
        <f t="shared" si="7"/>
        <v>0</v>
      </c>
      <c r="DQ39" s="113">
        <f t="shared" si="7"/>
        <v>0</v>
      </c>
      <c r="DR39" s="113">
        <f t="shared" si="7"/>
        <v>0</v>
      </c>
      <c r="DS39" s="113">
        <f t="shared" si="7"/>
        <v>0</v>
      </c>
      <c r="DT39" s="113">
        <f t="shared" si="7"/>
        <v>0</v>
      </c>
      <c r="DU39" s="113">
        <f t="shared" si="7"/>
        <v>0</v>
      </c>
      <c r="DV39" s="113">
        <f t="shared" si="7"/>
        <v>0</v>
      </c>
      <c r="DW39" s="113">
        <f t="shared" si="7"/>
        <v>0</v>
      </c>
      <c r="DX39" s="113">
        <f t="shared" si="7"/>
        <v>0</v>
      </c>
      <c r="DY39" s="113">
        <f t="shared" si="7"/>
        <v>0</v>
      </c>
      <c r="DZ39" s="113">
        <f t="shared" si="7"/>
        <v>0</v>
      </c>
      <c r="EA39" s="113">
        <f t="shared" si="7"/>
        <v>0</v>
      </c>
      <c r="EB39" s="113">
        <f t="shared" si="7"/>
        <v>0</v>
      </c>
      <c r="EC39" s="113">
        <f t="shared" si="7"/>
        <v>0</v>
      </c>
      <c r="ED39" s="113">
        <f t="shared" si="7"/>
        <v>0</v>
      </c>
      <c r="EE39" s="113">
        <f t="shared" si="7"/>
        <v>0</v>
      </c>
      <c r="EF39" s="113">
        <f t="shared" si="7"/>
        <v>0</v>
      </c>
      <c r="EG39" s="113">
        <f t="shared" si="7"/>
        <v>0</v>
      </c>
      <c r="EH39" s="113">
        <f t="shared" si="7"/>
        <v>0</v>
      </c>
      <c r="EI39" s="113">
        <f t="shared" si="7"/>
        <v>0</v>
      </c>
      <c r="EJ39" s="113">
        <f t="shared" si="7"/>
        <v>0</v>
      </c>
      <c r="EK39" s="113">
        <f t="shared" si="7"/>
        <v>0</v>
      </c>
      <c r="EL39" s="113">
        <f t="shared" si="7"/>
        <v>0</v>
      </c>
      <c r="EM39" s="113">
        <f t="shared" si="7"/>
        <v>0</v>
      </c>
      <c r="EN39" s="113">
        <f t="shared" si="7"/>
        <v>0</v>
      </c>
      <c r="EO39" s="113">
        <f t="shared" si="7"/>
        <v>0</v>
      </c>
      <c r="EP39" s="113">
        <f t="shared" si="7"/>
        <v>0</v>
      </c>
      <c r="EQ39" s="113">
        <f t="shared" si="7"/>
        <v>0</v>
      </c>
      <c r="ER39" s="113">
        <f t="shared" si="7"/>
        <v>0</v>
      </c>
      <c r="ES39" s="113">
        <f t="shared" si="7"/>
        <v>0</v>
      </c>
      <c r="ET39" s="113">
        <f t="shared" si="7"/>
        <v>0</v>
      </c>
      <c r="EU39" s="113">
        <f t="shared" si="7"/>
        <v>0</v>
      </c>
      <c r="EV39" s="113">
        <f t="shared" si="7"/>
        <v>0</v>
      </c>
      <c r="EW39" s="113">
        <f t="shared" si="7"/>
        <v>0</v>
      </c>
      <c r="EX39" s="113">
        <f t="shared" si="7"/>
        <v>0</v>
      </c>
      <c r="EY39" s="113">
        <f t="shared" si="7"/>
        <v>0</v>
      </c>
      <c r="EZ39" s="113">
        <f t="shared" si="7"/>
        <v>0</v>
      </c>
      <c r="FA39" s="113">
        <f t="shared" si="7"/>
        <v>0</v>
      </c>
      <c r="FB39" s="113">
        <f t="shared" si="7"/>
        <v>0</v>
      </c>
      <c r="FC39" s="113">
        <f t="shared" si="7"/>
        <v>0</v>
      </c>
      <c r="FD39" s="113">
        <f t="shared" si="7"/>
        <v>0</v>
      </c>
      <c r="FE39" s="113">
        <f t="shared" si="7"/>
        <v>0</v>
      </c>
      <c r="FF39" s="113">
        <f t="shared" si="7"/>
        <v>0</v>
      </c>
      <c r="FG39" s="113">
        <f t="shared" si="7"/>
        <v>0</v>
      </c>
      <c r="FH39" s="113">
        <f t="shared" si="7"/>
        <v>0</v>
      </c>
      <c r="FI39" s="113">
        <f t="shared" si="7"/>
        <v>0</v>
      </c>
      <c r="FJ39" s="113">
        <f t="shared" si="7"/>
        <v>0</v>
      </c>
      <c r="FK39" s="113">
        <f t="shared" si="7"/>
        <v>0</v>
      </c>
      <c r="FL39" s="113">
        <f t="shared" si="7"/>
        <v>0</v>
      </c>
      <c r="FM39" s="113">
        <f t="shared" si="7"/>
        <v>0</v>
      </c>
      <c r="FN39" s="113">
        <f t="shared" si="7"/>
        <v>0</v>
      </c>
      <c r="FO39" s="113">
        <f t="shared" si="7"/>
        <v>0</v>
      </c>
      <c r="FP39" s="113">
        <f t="shared" ref="FP39:HC39" si="8">SUM(FP8:FP38)</f>
        <v>0</v>
      </c>
      <c r="FQ39" s="113">
        <f t="shared" si="8"/>
        <v>0</v>
      </c>
      <c r="FR39" s="113">
        <f t="shared" si="8"/>
        <v>0</v>
      </c>
      <c r="FS39" s="113">
        <f t="shared" si="8"/>
        <v>0</v>
      </c>
      <c r="FT39" s="113">
        <f t="shared" si="8"/>
        <v>0</v>
      </c>
      <c r="FU39" s="113">
        <f t="shared" si="8"/>
        <v>0</v>
      </c>
      <c r="FV39" s="113">
        <f t="shared" si="8"/>
        <v>0</v>
      </c>
      <c r="FW39" s="113">
        <f t="shared" si="8"/>
        <v>0</v>
      </c>
      <c r="FX39" s="113">
        <f t="shared" si="8"/>
        <v>0</v>
      </c>
      <c r="FY39" s="113">
        <f t="shared" si="8"/>
        <v>0</v>
      </c>
      <c r="FZ39" s="113">
        <f t="shared" si="8"/>
        <v>0</v>
      </c>
      <c r="GA39" s="113">
        <f t="shared" si="8"/>
        <v>0</v>
      </c>
      <c r="GB39" s="113">
        <f t="shared" si="8"/>
        <v>0</v>
      </c>
      <c r="GC39" s="113">
        <f t="shared" si="8"/>
        <v>0</v>
      </c>
      <c r="GD39" s="113">
        <f t="shared" si="8"/>
        <v>0</v>
      </c>
      <c r="GE39" s="113">
        <f t="shared" si="8"/>
        <v>0</v>
      </c>
      <c r="GF39" s="113">
        <f t="shared" si="8"/>
        <v>0</v>
      </c>
      <c r="GG39" s="113">
        <f t="shared" si="8"/>
        <v>0</v>
      </c>
      <c r="GH39" s="113">
        <f t="shared" si="8"/>
        <v>0</v>
      </c>
      <c r="GI39" s="113">
        <f t="shared" si="8"/>
        <v>0</v>
      </c>
      <c r="GJ39" s="113">
        <f t="shared" si="8"/>
        <v>0</v>
      </c>
      <c r="GK39" s="113">
        <f t="shared" si="8"/>
        <v>0</v>
      </c>
      <c r="GL39" s="113">
        <f t="shared" si="8"/>
        <v>0</v>
      </c>
      <c r="GM39" s="113">
        <f t="shared" si="8"/>
        <v>0</v>
      </c>
      <c r="GN39" s="113">
        <f t="shared" si="8"/>
        <v>0</v>
      </c>
      <c r="GO39" s="113">
        <f t="shared" si="8"/>
        <v>0</v>
      </c>
      <c r="GP39" s="113">
        <f t="shared" si="8"/>
        <v>0</v>
      </c>
      <c r="GQ39" s="113">
        <f t="shared" si="8"/>
        <v>0</v>
      </c>
      <c r="GR39" s="113">
        <f t="shared" si="8"/>
        <v>0</v>
      </c>
      <c r="GS39" s="113">
        <f t="shared" si="8"/>
        <v>0</v>
      </c>
      <c r="GT39" s="113">
        <f t="shared" si="8"/>
        <v>0</v>
      </c>
      <c r="GU39" s="113">
        <f t="shared" si="8"/>
        <v>0</v>
      </c>
      <c r="GV39" s="113">
        <f t="shared" si="8"/>
        <v>0</v>
      </c>
      <c r="GW39" s="113">
        <f t="shared" si="8"/>
        <v>0</v>
      </c>
      <c r="GX39" s="113">
        <f t="shared" si="8"/>
        <v>0</v>
      </c>
      <c r="GY39" s="113">
        <f t="shared" si="8"/>
        <v>0</v>
      </c>
      <c r="GZ39" s="113">
        <f t="shared" si="8"/>
        <v>0</v>
      </c>
      <c r="HA39" s="113">
        <f t="shared" si="8"/>
        <v>0</v>
      </c>
      <c r="HB39" s="113">
        <f t="shared" si="8"/>
        <v>0</v>
      </c>
      <c r="HC39" s="113">
        <f t="shared" si="8"/>
        <v>0</v>
      </c>
      <c r="HD39" s="370">
        <f t="shared" si="5"/>
        <v>0</v>
      </c>
      <c r="HE39" s="370">
        <f t="shared" si="5"/>
        <v>0</v>
      </c>
      <c r="HF39" s="370">
        <f t="shared" si="5"/>
        <v>0</v>
      </c>
    </row>
    <row r="40" spans="1:215" ht="15.75" thickBot="1"/>
    <row r="41" spans="1:215" ht="15.75" thickBot="1">
      <c r="D41" s="347" t="s">
        <v>42</v>
      </c>
    </row>
    <row r="42" spans="1:215" ht="15.75" thickBot="1">
      <c r="A42" s="422" t="s">
        <v>2</v>
      </c>
      <c r="B42" s="425" t="s">
        <v>3</v>
      </c>
      <c r="C42" s="426"/>
      <c r="D42" s="428"/>
      <c r="E42" s="425" t="s">
        <v>4</v>
      </c>
      <c r="F42" s="426"/>
      <c r="G42" s="428"/>
      <c r="H42" s="429" t="s">
        <v>5</v>
      </c>
      <c r="I42" s="426"/>
      <c r="J42" s="427"/>
      <c r="K42" s="425" t="s">
        <v>6</v>
      </c>
      <c r="L42" s="426"/>
      <c r="M42" s="428"/>
      <c r="N42" s="429" t="s">
        <v>7</v>
      </c>
      <c r="O42" s="426"/>
      <c r="P42" s="427"/>
      <c r="Q42" s="425" t="s">
        <v>8</v>
      </c>
      <c r="R42" s="426"/>
      <c r="S42" s="428"/>
      <c r="T42" s="429" t="s">
        <v>9</v>
      </c>
      <c r="U42" s="426"/>
      <c r="V42" s="427"/>
      <c r="W42" s="425" t="s">
        <v>10</v>
      </c>
      <c r="X42" s="426"/>
      <c r="Y42" s="428"/>
      <c r="Z42" s="429" t="s">
        <v>11</v>
      </c>
      <c r="AA42" s="426"/>
      <c r="AB42" s="427"/>
      <c r="AC42" s="425" t="s">
        <v>12</v>
      </c>
      <c r="AD42" s="426"/>
      <c r="AE42" s="428"/>
      <c r="AF42" s="429" t="s">
        <v>13</v>
      </c>
      <c r="AG42" s="426"/>
      <c r="AH42" s="427"/>
      <c r="AI42" s="425" t="s">
        <v>14</v>
      </c>
      <c r="AJ42" s="426"/>
      <c r="AK42" s="428"/>
      <c r="AL42" s="429" t="s">
        <v>15</v>
      </c>
      <c r="AM42" s="426"/>
      <c r="AN42" s="427"/>
      <c r="AO42" s="425" t="s">
        <v>16</v>
      </c>
      <c r="AP42" s="426"/>
      <c r="AQ42" s="428"/>
      <c r="AR42" s="429" t="s">
        <v>17</v>
      </c>
      <c r="AS42" s="426"/>
      <c r="AT42" s="427"/>
      <c r="AU42" s="422" t="s">
        <v>18</v>
      </c>
      <c r="AV42" s="423"/>
      <c r="AW42" s="424"/>
      <c r="AX42" s="423" t="s">
        <v>19</v>
      </c>
      <c r="AY42" s="423"/>
      <c r="AZ42" s="423"/>
      <c r="BA42" s="422" t="s">
        <v>20</v>
      </c>
      <c r="BB42" s="423"/>
      <c r="BC42" s="424"/>
      <c r="BD42" s="423" t="s">
        <v>21</v>
      </c>
      <c r="BE42" s="423"/>
      <c r="BF42" s="423"/>
      <c r="BG42" s="422" t="s">
        <v>22</v>
      </c>
      <c r="BH42" s="423"/>
      <c r="BI42" s="424"/>
      <c r="BJ42" s="423" t="s">
        <v>23</v>
      </c>
      <c r="BK42" s="423"/>
      <c r="BL42" s="423"/>
      <c r="BM42" s="422" t="s">
        <v>24</v>
      </c>
      <c r="BN42" s="423"/>
      <c r="BO42" s="424"/>
      <c r="BP42" s="423" t="s">
        <v>25</v>
      </c>
      <c r="BQ42" s="423"/>
      <c r="BR42" s="423"/>
      <c r="BS42" s="422" t="s">
        <v>26</v>
      </c>
      <c r="BT42" s="423"/>
      <c r="BU42" s="424"/>
      <c r="BV42" s="423" t="s">
        <v>27</v>
      </c>
      <c r="BW42" s="423"/>
      <c r="BX42" s="423"/>
      <c r="BY42" s="422" t="s">
        <v>28</v>
      </c>
      <c r="BZ42" s="423"/>
      <c r="CA42" s="424"/>
      <c r="CB42" s="423" t="s">
        <v>29</v>
      </c>
      <c r="CC42" s="423"/>
      <c r="CD42" s="423"/>
      <c r="CE42" s="422" t="s">
        <v>30</v>
      </c>
      <c r="CF42" s="423"/>
      <c r="CG42" s="424"/>
      <c r="CH42" s="423" t="s">
        <v>31</v>
      </c>
      <c r="CI42" s="423"/>
      <c r="CJ42" s="423"/>
      <c r="CK42" s="422" t="s">
        <v>32</v>
      </c>
      <c r="CL42" s="423"/>
      <c r="CM42" s="424"/>
      <c r="CN42" s="423" t="s">
        <v>33</v>
      </c>
      <c r="CO42" s="423"/>
      <c r="CP42" s="423"/>
      <c r="CQ42" s="422" t="s">
        <v>34</v>
      </c>
      <c r="CR42" s="423"/>
      <c r="CS42" s="424"/>
      <c r="CT42" s="422" t="s">
        <v>35</v>
      </c>
      <c r="CU42" s="423"/>
      <c r="CV42" s="424"/>
      <c r="CW42" s="422" t="s">
        <v>36</v>
      </c>
      <c r="CX42" s="423"/>
      <c r="CY42" s="424"/>
      <c r="CZ42" s="422" t="s">
        <v>37</v>
      </c>
      <c r="DA42" s="423"/>
      <c r="DB42" s="424"/>
      <c r="DC42" s="422" t="s">
        <v>147</v>
      </c>
      <c r="DD42" s="423"/>
      <c r="DE42" s="424"/>
      <c r="DF42" s="422" t="s">
        <v>148</v>
      </c>
      <c r="DG42" s="423"/>
      <c r="DH42" s="424"/>
      <c r="DI42" s="422" t="s">
        <v>149</v>
      </c>
      <c r="DJ42" s="423"/>
      <c r="DK42" s="424"/>
      <c r="DL42" s="422" t="s">
        <v>150</v>
      </c>
      <c r="DM42" s="423"/>
      <c r="DN42" s="424"/>
      <c r="DO42" s="422" t="s">
        <v>151</v>
      </c>
      <c r="DP42" s="423"/>
      <c r="DQ42" s="424"/>
      <c r="DR42" s="422" t="s">
        <v>152</v>
      </c>
      <c r="DS42" s="423"/>
      <c r="DT42" s="424"/>
      <c r="DU42" s="422" t="s">
        <v>153</v>
      </c>
      <c r="DV42" s="423"/>
      <c r="DW42" s="424"/>
      <c r="DX42" s="422" t="s">
        <v>154</v>
      </c>
      <c r="DY42" s="423"/>
      <c r="DZ42" s="424"/>
      <c r="EA42" s="422" t="s">
        <v>155</v>
      </c>
      <c r="EB42" s="423"/>
      <c r="EC42" s="424"/>
      <c r="ED42" s="422" t="s">
        <v>156</v>
      </c>
      <c r="EE42" s="423"/>
      <c r="EF42" s="424"/>
      <c r="EG42" s="422" t="s">
        <v>157</v>
      </c>
      <c r="EH42" s="423"/>
      <c r="EI42" s="424"/>
      <c r="EJ42" s="422" t="s">
        <v>158</v>
      </c>
      <c r="EK42" s="423"/>
      <c r="EL42" s="424"/>
      <c r="EM42" s="422" t="s">
        <v>159</v>
      </c>
      <c r="EN42" s="423"/>
      <c r="EO42" s="424"/>
      <c r="EP42" s="422" t="s">
        <v>160</v>
      </c>
      <c r="EQ42" s="423"/>
      <c r="ER42" s="424"/>
      <c r="ES42" s="422" t="s">
        <v>161</v>
      </c>
      <c r="ET42" s="423"/>
      <c r="EU42" s="424"/>
      <c r="EV42" s="422" t="s">
        <v>162</v>
      </c>
      <c r="EW42" s="423"/>
      <c r="EX42" s="424"/>
      <c r="EY42" s="422" t="s">
        <v>163</v>
      </c>
      <c r="EZ42" s="423"/>
      <c r="FA42" s="424"/>
      <c r="FB42" s="422" t="s">
        <v>164</v>
      </c>
      <c r="FC42" s="423"/>
      <c r="FD42" s="424"/>
      <c r="FE42" s="422" t="s">
        <v>165</v>
      </c>
      <c r="FF42" s="423"/>
      <c r="FG42" s="424"/>
      <c r="FH42" s="422" t="s">
        <v>166</v>
      </c>
      <c r="FI42" s="423"/>
      <c r="FJ42" s="424"/>
      <c r="FK42" s="422" t="s">
        <v>167</v>
      </c>
      <c r="FL42" s="423"/>
      <c r="FM42" s="424"/>
      <c r="FN42" s="422" t="s">
        <v>168</v>
      </c>
      <c r="FO42" s="423"/>
      <c r="FP42" s="424"/>
      <c r="FQ42" s="422" t="s">
        <v>169</v>
      </c>
      <c r="FR42" s="423"/>
      <c r="FS42" s="424"/>
      <c r="FT42" s="422" t="s">
        <v>170</v>
      </c>
      <c r="FU42" s="423"/>
      <c r="FV42" s="424"/>
      <c r="FW42" s="422" t="s">
        <v>171</v>
      </c>
      <c r="FX42" s="423"/>
      <c r="FY42" s="424"/>
      <c r="FZ42" s="422" t="s">
        <v>172</v>
      </c>
      <c r="GA42" s="423"/>
      <c r="GB42" s="424"/>
      <c r="GC42" s="422" t="s">
        <v>173</v>
      </c>
      <c r="GD42" s="423"/>
      <c r="GE42" s="424"/>
      <c r="GF42" s="422" t="s">
        <v>174</v>
      </c>
      <c r="GG42" s="423"/>
      <c r="GH42" s="424"/>
      <c r="GI42" s="422" t="s">
        <v>175</v>
      </c>
      <c r="GJ42" s="423"/>
      <c r="GK42" s="424"/>
      <c r="GL42" s="422" t="s">
        <v>176</v>
      </c>
      <c r="GM42" s="423"/>
      <c r="GN42" s="424"/>
      <c r="GO42" s="422" t="s">
        <v>177</v>
      </c>
      <c r="GP42" s="423"/>
      <c r="GQ42" s="424"/>
      <c r="GR42" s="422" t="s">
        <v>178</v>
      </c>
      <c r="GS42" s="423"/>
      <c r="GT42" s="424"/>
      <c r="GU42" s="422" t="s">
        <v>179</v>
      </c>
      <c r="GV42" s="423"/>
      <c r="GW42" s="424"/>
      <c r="GX42" s="422" t="s">
        <v>180</v>
      </c>
      <c r="GY42" s="423"/>
      <c r="GZ42" s="424"/>
      <c r="HA42" s="422" t="s">
        <v>181</v>
      </c>
      <c r="HB42" s="423"/>
      <c r="HC42" s="424"/>
      <c r="HD42" s="430" t="s">
        <v>38</v>
      </c>
      <c r="HE42" s="431"/>
      <c r="HF42" s="432"/>
    </row>
    <row r="43" spans="1:215" ht="15.75" thickBot="1">
      <c r="A43" s="436"/>
      <c r="B43" s="348" t="s">
        <v>39</v>
      </c>
      <c r="C43" s="349" t="s">
        <v>40</v>
      </c>
      <c r="D43" s="350" t="s">
        <v>41</v>
      </c>
      <c r="E43" s="348" t="s">
        <v>39</v>
      </c>
      <c r="F43" s="349" t="s">
        <v>40</v>
      </c>
      <c r="G43" s="350" t="s">
        <v>41</v>
      </c>
      <c r="H43" s="351" t="s">
        <v>39</v>
      </c>
      <c r="I43" s="349" t="s">
        <v>40</v>
      </c>
      <c r="J43" s="359" t="s">
        <v>41</v>
      </c>
      <c r="K43" s="348" t="s">
        <v>39</v>
      </c>
      <c r="L43" s="349" t="s">
        <v>40</v>
      </c>
      <c r="M43" s="350" t="s">
        <v>41</v>
      </c>
      <c r="N43" s="351" t="s">
        <v>39</v>
      </c>
      <c r="O43" s="349" t="s">
        <v>40</v>
      </c>
      <c r="P43" s="359" t="s">
        <v>41</v>
      </c>
      <c r="Q43" s="348" t="s">
        <v>39</v>
      </c>
      <c r="R43" s="349" t="s">
        <v>40</v>
      </c>
      <c r="S43" s="350" t="s">
        <v>41</v>
      </c>
      <c r="T43" s="351" t="s">
        <v>39</v>
      </c>
      <c r="U43" s="349" t="s">
        <v>40</v>
      </c>
      <c r="V43" s="359" t="s">
        <v>41</v>
      </c>
      <c r="W43" s="348" t="s">
        <v>39</v>
      </c>
      <c r="X43" s="349" t="s">
        <v>40</v>
      </c>
      <c r="Y43" s="350" t="s">
        <v>41</v>
      </c>
      <c r="Z43" s="351" t="s">
        <v>39</v>
      </c>
      <c r="AA43" s="349" t="s">
        <v>40</v>
      </c>
      <c r="AB43" s="359" t="s">
        <v>41</v>
      </c>
      <c r="AC43" s="348" t="s">
        <v>39</v>
      </c>
      <c r="AD43" s="349" t="s">
        <v>40</v>
      </c>
      <c r="AE43" s="350" t="s">
        <v>41</v>
      </c>
      <c r="AF43" s="351" t="s">
        <v>39</v>
      </c>
      <c r="AG43" s="349" t="s">
        <v>40</v>
      </c>
      <c r="AH43" s="359" t="s">
        <v>41</v>
      </c>
      <c r="AI43" s="348" t="s">
        <v>39</v>
      </c>
      <c r="AJ43" s="349" t="s">
        <v>40</v>
      </c>
      <c r="AK43" s="350" t="s">
        <v>41</v>
      </c>
      <c r="AL43" s="351" t="s">
        <v>39</v>
      </c>
      <c r="AM43" s="349" t="s">
        <v>40</v>
      </c>
      <c r="AN43" s="359" t="s">
        <v>41</v>
      </c>
      <c r="AO43" s="348" t="s">
        <v>39</v>
      </c>
      <c r="AP43" s="349" t="s">
        <v>40</v>
      </c>
      <c r="AQ43" s="350" t="s">
        <v>41</v>
      </c>
      <c r="AR43" s="351" t="s">
        <v>39</v>
      </c>
      <c r="AS43" s="349" t="s">
        <v>40</v>
      </c>
      <c r="AT43" s="359" t="s">
        <v>41</v>
      </c>
      <c r="AU43" s="348" t="s">
        <v>39</v>
      </c>
      <c r="AV43" s="349" t="s">
        <v>40</v>
      </c>
      <c r="AW43" s="350" t="s">
        <v>41</v>
      </c>
      <c r="AX43" s="351" t="s">
        <v>39</v>
      </c>
      <c r="AY43" s="349" t="s">
        <v>40</v>
      </c>
      <c r="AZ43" s="359" t="s">
        <v>41</v>
      </c>
      <c r="BA43" s="348" t="s">
        <v>39</v>
      </c>
      <c r="BB43" s="349" t="s">
        <v>40</v>
      </c>
      <c r="BC43" s="350" t="s">
        <v>41</v>
      </c>
      <c r="BD43" s="351" t="s">
        <v>39</v>
      </c>
      <c r="BE43" s="349" t="s">
        <v>40</v>
      </c>
      <c r="BF43" s="359" t="s">
        <v>41</v>
      </c>
      <c r="BG43" s="348" t="s">
        <v>39</v>
      </c>
      <c r="BH43" s="349" t="s">
        <v>40</v>
      </c>
      <c r="BI43" s="350" t="s">
        <v>41</v>
      </c>
      <c r="BJ43" s="351" t="s">
        <v>39</v>
      </c>
      <c r="BK43" s="349" t="s">
        <v>40</v>
      </c>
      <c r="BL43" s="359" t="s">
        <v>41</v>
      </c>
      <c r="BM43" s="348" t="s">
        <v>39</v>
      </c>
      <c r="BN43" s="349" t="s">
        <v>40</v>
      </c>
      <c r="BO43" s="350" t="s">
        <v>41</v>
      </c>
      <c r="BP43" s="351" t="s">
        <v>39</v>
      </c>
      <c r="BQ43" s="349" t="s">
        <v>40</v>
      </c>
      <c r="BR43" s="359" t="s">
        <v>41</v>
      </c>
      <c r="BS43" s="348" t="s">
        <v>39</v>
      </c>
      <c r="BT43" s="349" t="s">
        <v>40</v>
      </c>
      <c r="BU43" s="350" t="s">
        <v>41</v>
      </c>
      <c r="BV43" s="351" t="s">
        <v>39</v>
      </c>
      <c r="BW43" s="349" t="s">
        <v>40</v>
      </c>
      <c r="BX43" s="359" t="s">
        <v>41</v>
      </c>
      <c r="BY43" s="348" t="s">
        <v>39</v>
      </c>
      <c r="BZ43" s="349" t="s">
        <v>40</v>
      </c>
      <c r="CA43" s="350" t="s">
        <v>41</v>
      </c>
      <c r="CB43" s="351" t="s">
        <v>39</v>
      </c>
      <c r="CC43" s="349" t="s">
        <v>40</v>
      </c>
      <c r="CD43" s="359" t="s">
        <v>41</v>
      </c>
      <c r="CE43" s="348" t="s">
        <v>39</v>
      </c>
      <c r="CF43" s="349" t="s">
        <v>40</v>
      </c>
      <c r="CG43" s="350" t="s">
        <v>41</v>
      </c>
      <c r="CH43" s="351" t="s">
        <v>39</v>
      </c>
      <c r="CI43" s="349" t="s">
        <v>40</v>
      </c>
      <c r="CJ43" s="359" t="s">
        <v>41</v>
      </c>
      <c r="CK43" s="348" t="s">
        <v>39</v>
      </c>
      <c r="CL43" s="349" t="s">
        <v>40</v>
      </c>
      <c r="CM43" s="350" t="s">
        <v>41</v>
      </c>
      <c r="CN43" s="351" t="s">
        <v>39</v>
      </c>
      <c r="CO43" s="349" t="s">
        <v>40</v>
      </c>
      <c r="CP43" s="359" t="s">
        <v>41</v>
      </c>
      <c r="CQ43" s="363" t="s">
        <v>39</v>
      </c>
      <c r="CR43" s="364" t="s">
        <v>40</v>
      </c>
      <c r="CS43" s="365" t="s">
        <v>41</v>
      </c>
      <c r="CT43" s="363" t="s">
        <v>39</v>
      </c>
      <c r="CU43" s="364" t="s">
        <v>40</v>
      </c>
      <c r="CV43" s="365" t="s">
        <v>41</v>
      </c>
      <c r="CW43" s="363" t="s">
        <v>39</v>
      </c>
      <c r="CX43" s="364" t="s">
        <v>40</v>
      </c>
      <c r="CY43" s="365" t="s">
        <v>41</v>
      </c>
      <c r="CZ43" s="363" t="s">
        <v>39</v>
      </c>
      <c r="DA43" s="364" t="s">
        <v>40</v>
      </c>
      <c r="DB43" s="365" t="s">
        <v>41</v>
      </c>
      <c r="DC43" s="348" t="s">
        <v>39</v>
      </c>
      <c r="DD43" s="349" t="s">
        <v>40</v>
      </c>
      <c r="DE43" s="350" t="s">
        <v>41</v>
      </c>
      <c r="DF43" s="348" t="s">
        <v>39</v>
      </c>
      <c r="DG43" s="349" t="s">
        <v>40</v>
      </c>
      <c r="DH43" s="350" t="s">
        <v>41</v>
      </c>
      <c r="DI43" s="351" t="s">
        <v>39</v>
      </c>
      <c r="DJ43" s="349" t="s">
        <v>40</v>
      </c>
      <c r="DK43" s="359" t="s">
        <v>41</v>
      </c>
      <c r="DL43" s="348" t="s">
        <v>39</v>
      </c>
      <c r="DM43" s="349" t="s">
        <v>40</v>
      </c>
      <c r="DN43" s="350" t="s">
        <v>41</v>
      </c>
      <c r="DO43" s="351" t="s">
        <v>39</v>
      </c>
      <c r="DP43" s="349" t="s">
        <v>40</v>
      </c>
      <c r="DQ43" s="359" t="s">
        <v>41</v>
      </c>
      <c r="DR43" s="348" t="s">
        <v>39</v>
      </c>
      <c r="DS43" s="349" t="s">
        <v>40</v>
      </c>
      <c r="DT43" s="350" t="s">
        <v>41</v>
      </c>
      <c r="DU43" s="351" t="s">
        <v>39</v>
      </c>
      <c r="DV43" s="349" t="s">
        <v>40</v>
      </c>
      <c r="DW43" s="359" t="s">
        <v>41</v>
      </c>
      <c r="DX43" s="348" t="s">
        <v>39</v>
      </c>
      <c r="DY43" s="349" t="s">
        <v>40</v>
      </c>
      <c r="DZ43" s="350" t="s">
        <v>41</v>
      </c>
      <c r="EA43" s="351" t="s">
        <v>39</v>
      </c>
      <c r="EB43" s="349" t="s">
        <v>40</v>
      </c>
      <c r="EC43" s="359" t="s">
        <v>41</v>
      </c>
      <c r="ED43" s="348" t="s">
        <v>39</v>
      </c>
      <c r="EE43" s="349" t="s">
        <v>40</v>
      </c>
      <c r="EF43" s="350" t="s">
        <v>41</v>
      </c>
      <c r="EG43" s="351" t="s">
        <v>39</v>
      </c>
      <c r="EH43" s="349" t="s">
        <v>40</v>
      </c>
      <c r="EI43" s="359" t="s">
        <v>41</v>
      </c>
      <c r="EJ43" s="348" t="s">
        <v>39</v>
      </c>
      <c r="EK43" s="349" t="s">
        <v>40</v>
      </c>
      <c r="EL43" s="350" t="s">
        <v>41</v>
      </c>
      <c r="EM43" s="351" t="s">
        <v>39</v>
      </c>
      <c r="EN43" s="349" t="s">
        <v>40</v>
      </c>
      <c r="EO43" s="359" t="s">
        <v>41</v>
      </c>
      <c r="EP43" s="348" t="s">
        <v>39</v>
      </c>
      <c r="EQ43" s="349" t="s">
        <v>40</v>
      </c>
      <c r="ER43" s="350" t="s">
        <v>41</v>
      </c>
      <c r="ES43" s="351" t="s">
        <v>39</v>
      </c>
      <c r="ET43" s="349" t="s">
        <v>40</v>
      </c>
      <c r="EU43" s="359" t="s">
        <v>41</v>
      </c>
      <c r="EV43" s="348" t="s">
        <v>39</v>
      </c>
      <c r="EW43" s="349" t="s">
        <v>40</v>
      </c>
      <c r="EX43" s="350" t="s">
        <v>41</v>
      </c>
      <c r="EY43" s="351" t="s">
        <v>39</v>
      </c>
      <c r="EZ43" s="349" t="s">
        <v>40</v>
      </c>
      <c r="FA43" s="359" t="s">
        <v>41</v>
      </c>
      <c r="FB43" s="348" t="s">
        <v>39</v>
      </c>
      <c r="FC43" s="349" t="s">
        <v>40</v>
      </c>
      <c r="FD43" s="350" t="s">
        <v>41</v>
      </c>
      <c r="FE43" s="351" t="s">
        <v>39</v>
      </c>
      <c r="FF43" s="349" t="s">
        <v>40</v>
      </c>
      <c r="FG43" s="359" t="s">
        <v>41</v>
      </c>
      <c r="FH43" s="348" t="s">
        <v>39</v>
      </c>
      <c r="FI43" s="349" t="s">
        <v>40</v>
      </c>
      <c r="FJ43" s="350" t="s">
        <v>41</v>
      </c>
      <c r="FK43" s="351" t="s">
        <v>39</v>
      </c>
      <c r="FL43" s="349" t="s">
        <v>40</v>
      </c>
      <c r="FM43" s="359" t="s">
        <v>41</v>
      </c>
      <c r="FN43" s="348" t="s">
        <v>39</v>
      </c>
      <c r="FO43" s="349" t="s">
        <v>40</v>
      </c>
      <c r="FP43" s="350" t="s">
        <v>41</v>
      </c>
      <c r="FQ43" s="351" t="s">
        <v>39</v>
      </c>
      <c r="FR43" s="349" t="s">
        <v>40</v>
      </c>
      <c r="FS43" s="359" t="s">
        <v>41</v>
      </c>
      <c r="FT43" s="348" t="s">
        <v>39</v>
      </c>
      <c r="FU43" s="349" t="s">
        <v>40</v>
      </c>
      <c r="FV43" s="350" t="s">
        <v>41</v>
      </c>
      <c r="FW43" s="351" t="s">
        <v>39</v>
      </c>
      <c r="FX43" s="349" t="s">
        <v>40</v>
      </c>
      <c r="FY43" s="359" t="s">
        <v>41</v>
      </c>
      <c r="FZ43" s="348" t="s">
        <v>39</v>
      </c>
      <c r="GA43" s="349" t="s">
        <v>40</v>
      </c>
      <c r="GB43" s="350" t="s">
        <v>41</v>
      </c>
      <c r="GC43" s="351" t="s">
        <v>39</v>
      </c>
      <c r="GD43" s="349" t="s">
        <v>40</v>
      </c>
      <c r="GE43" s="359" t="s">
        <v>41</v>
      </c>
      <c r="GF43" s="348" t="s">
        <v>39</v>
      </c>
      <c r="GG43" s="349" t="s">
        <v>40</v>
      </c>
      <c r="GH43" s="350" t="s">
        <v>41</v>
      </c>
      <c r="GI43" s="351" t="s">
        <v>39</v>
      </c>
      <c r="GJ43" s="349" t="s">
        <v>40</v>
      </c>
      <c r="GK43" s="359" t="s">
        <v>41</v>
      </c>
      <c r="GL43" s="348" t="s">
        <v>39</v>
      </c>
      <c r="GM43" s="349" t="s">
        <v>40</v>
      </c>
      <c r="GN43" s="350" t="s">
        <v>41</v>
      </c>
      <c r="GO43" s="351" t="s">
        <v>39</v>
      </c>
      <c r="GP43" s="349" t="s">
        <v>40</v>
      </c>
      <c r="GQ43" s="359" t="s">
        <v>41</v>
      </c>
      <c r="GR43" s="363" t="s">
        <v>39</v>
      </c>
      <c r="GS43" s="364" t="s">
        <v>40</v>
      </c>
      <c r="GT43" s="365" t="s">
        <v>41</v>
      </c>
      <c r="GU43" s="363" t="s">
        <v>39</v>
      </c>
      <c r="GV43" s="364" t="s">
        <v>40</v>
      </c>
      <c r="GW43" s="365" t="s">
        <v>41</v>
      </c>
      <c r="GX43" s="363" t="s">
        <v>39</v>
      </c>
      <c r="GY43" s="364" t="s">
        <v>40</v>
      </c>
      <c r="GZ43" s="365" t="s">
        <v>41</v>
      </c>
      <c r="HA43" s="363" t="s">
        <v>39</v>
      </c>
      <c r="HB43" s="364" t="s">
        <v>40</v>
      </c>
      <c r="HC43" s="365" t="s">
        <v>41</v>
      </c>
      <c r="HD43" s="371" t="s">
        <v>39</v>
      </c>
      <c r="HE43" s="193" t="s">
        <v>40</v>
      </c>
      <c r="HF43" s="193" t="s">
        <v>41</v>
      </c>
    </row>
    <row r="44" spans="1:215" ht="15.75" thickBot="1">
      <c r="A44" s="353">
        <v>1</v>
      </c>
      <c r="B44" s="116"/>
      <c r="C44" s="117"/>
      <c r="D44" s="119"/>
      <c r="E44" s="354"/>
      <c r="F44" s="355"/>
      <c r="G44" s="356"/>
      <c r="H44" s="357"/>
      <c r="I44" s="355"/>
      <c r="J44" s="360"/>
      <c r="K44" s="354"/>
      <c r="L44" s="355"/>
      <c r="M44" s="356"/>
      <c r="N44" s="357"/>
      <c r="O44" s="355"/>
      <c r="P44" s="360"/>
      <c r="Q44" s="354"/>
      <c r="R44" s="355"/>
      <c r="S44" s="356"/>
      <c r="T44" s="357"/>
      <c r="U44" s="355"/>
      <c r="V44" s="360"/>
      <c r="W44" s="354"/>
      <c r="X44" s="355"/>
      <c r="Y44" s="356"/>
      <c r="Z44" s="357"/>
      <c r="AA44" s="355"/>
      <c r="AB44" s="360"/>
      <c r="AC44" s="354"/>
      <c r="AD44" s="355"/>
      <c r="AE44" s="356"/>
      <c r="AF44" s="357"/>
      <c r="AG44" s="355"/>
      <c r="AH44" s="360"/>
      <c r="AI44" s="354"/>
      <c r="AJ44" s="355"/>
      <c r="AK44" s="356"/>
      <c r="AL44" s="357"/>
      <c r="AM44" s="355"/>
      <c r="AN44" s="360"/>
      <c r="AO44" s="354"/>
      <c r="AP44" s="355"/>
      <c r="AQ44" s="356"/>
      <c r="AR44" s="357"/>
      <c r="AS44" s="355"/>
      <c r="AT44" s="360"/>
      <c r="AU44" s="354"/>
      <c r="AV44" s="355"/>
      <c r="AW44" s="356"/>
      <c r="AX44" s="357"/>
      <c r="AY44" s="355"/>
      <c r="AZ44" s="360"/>
      <c r="BA44" s="354"/>
      <c r="BB44" s="355"/>
      <c r="BC44" s="356"/>
      <c r="BD44" s="357"/>
      <c r="BE44" s="355"/>
      <c r="BF44" s="360"/>
      <c r="BG44" s="354"/>
      <c r="BH44" s="355"/>
      <c r="BI44" s="356"/>
      <c r="BJ44" s="357"/>
      <c r="BK44" s="355"/>
      <c r="BL44" s="360"/>
      <c r="BM44" s="354"/>
      <c r="BN44" s="355"/>
      <c r="BO44" s="356"/>
      <c r="BP44" s="357"/>
      <c r="BQ44" s="355"/>
      <c r="BR44" s="360"/>
      <c r="BS44" s="354"/>
      <c r="BT44" s="355"/>
      <c r="BU44" s="356"/>
      <c r="BV44" s="357"/>
      <c r="BW44" s="355"/>
      <c r="BX44" s="360"/>
      <c r="BY44" s="354"/>
      <c r="BZ44" s="355"/>
      <c r="CA44" s="356"/>
      <c r="CB44" s="357"/>
      <c r="CC44" s="355"/>
      <c r="CD44" s="360"/>
      <c r="CE44" s="354"/>
      <c r="CF44" s="355"/>
      <c r="CG44" s="356"/>
      <c r="CH44" s="357"/>
      <c r="CI44" s="355"/>
      <c r="CJ44" s="360"/>
      <c r="CK44" s="354"/>
      <c r="CL44" s="355"/>
      <c r="CM44" s="356"/>
      <c r="CN44" s="357"/>
      <c r="CO44" s="355"/>
      <c r="CP44" s="360"/>
      <c r="CQ44" s="354"/>
      <c r="CR44" s="355"/>
      <c r="CS44" s="356"/>
      <c r="CT44" s="354"/>
      <c r="CU44" s="355"/>
      <c r="CV44" s="356"/>
      <c r="CW44" s="354"/>
      <c r="CX44" s="355"/>
      <c r="CY44" s="356"/>
      <c r="CZ44" s="354"/>
      <c r="DA44" s="355"/>
      <c r="DB44" s="356"/>
      <c r="DC44" s="116"/>
      <c r="DD44" s="117"/>
      <c r="DE44" s="119"/>
      <c r="DF44" s="354"/>
      <c r="DG44" s="355"/>
      <c r="DH44" s="356"/>
      <c r="DI44" s="357"/>
      <c r="DJ44" s="355"/>
      <c r="DK44" s="360"/>
      <c r="DL44" s="354"/>
      <c r="DM44" s="355"/>
      <c r="DN44" s="356"/>
      <c r="DO44" s="357"/>
      <c r="DP44" s="355"/>
      <c r="DQ44" s="360"/>
      <c r="DR44" s="354"/>
      <c r="DS44" s="355"/>
      <c r="DT44" s="356"/>
      <c r="DU44" s="357"/>
      <c r="DV44" s="355"/>
      <c r="DW44" s="360"/>
      <c r="DX44" s="354"/>
      <c r="DY44" s="355"/>
      <c r="DZ44" s="356"/>
      <c r="EA44" s="357"/>
      <c r="EB44" s="355"/>
      <c r="EC44" s="360"/>
      <c r="ED44" s="354"/>
      <c r="EE44" s="355"/>
      <c r="EF44" s="356"/>
      <c r="EG44" s="357"/>
      <c r="EH44" s="355"/>
      <c r="EI44" s="360"/>
      <c r="EJ44" s="354"/>
      <c r="EK44" s="355"/>
      <c r="EL44" s="356"/>
      <c r="EM44" s="357"/>
      <c r="EN44" s="355"/>
      <c r="EO44" s="360"/>
      <c r="EP44" s="354"/>
      <c r="EQ44" s="355"/>
      <c r="ER44" s="356"/>
      <c r="ES44" s="357"/>
      <c r="ET44" s="355"/>
      <c r="EU44" s="360"/>
      <c r="EV44" s="354"/>
      <c r="EW44" s="355"/>
      <c r="EX44" s="356"/>
      <c r="EY44" s="357"/>
      <c r="EZ44" s="355"/>
      <c r="FA44" s="360"/>
      <c r="FB44" s="354"/>
      <c r="FC44" s="355"/>
      <c r="FD44" s="356"/>
      <c r="FE44" s="357"/>
      <c r="FF44" s="355"/>
      <c r="FG44" s="360"/>
      <c r="FH44" s="354"/>
      <c r="FI44" s="355"/>
      <c r="FJ44" s="356"/>
      <c r="FK44" s="357"/>
      <c r="FL44" s="355"/>
      <c r="FM44" s="360"/>
      <c r="FN44" s="354"/>
      <c r="FO44" s="355"/>
      <c r="FP44" s="356"/>
      <c r="FQ44" s="357"/>
      <c r="FR44" s="355"/>
      <c r="FS44" s="360"/>
      <c r="FT44" s="354"/>
      <c r="FU44" s="355"/>
      <c r="FV44" s="356"/>
      <c r="FW44" s="357"/>
      <c r="FX44" s="355"/>
      <c r="FY44" s="360"/>
      <c r="FZ44" s="354"/>
      <c r="GA44" s="355"/>
      <c r="GB44" s="356"/>
      <c r="GC44" s="357"/>
      <c r="GD44" s="355"/>
      <c r="GE44" s="360"/>
      <c r="GF44" s="354"/>
      <c r="GG44" s="355"/>
      <c r="GH44" s="356"/>
      <c r="GI44" s="357"/>
      <c r="GJ44" s="355"/>
      <c r="GK44" s="360"/>
      <c r="GL44" s="354"/>
      <c r="GM44" s="355"/>
      <c r="GN44" s="356"/>
      <c r="GO44" s="357"/>
      <c r="GP44" s="355"/>
      <c r="GQ44" s="360"/>
      <c r="GR44" s="354"/>
      <c r="GS44" s="355"/>
      <c r="GT44" s="356"/>
      <c r="GU44" s="354"/>
      <c r="GV44" s="355"/>
      <c r="GW44" s="356"/>
      <c r="GX44" s="354"/>
      <c r="GY44" s="355"/>
      <c r="GZ44" s="356"/>
      <c r="HA44" s="354"/>
      <c r="HB44" s="355"/>
      <c r="HC44" s="356"/>
      <c r="HD44" s="368">
        <f t="shared" ref="HD44" si="9">+B44+E44+H44+K44+N44+Q44+T44+W44+Z44+AC44+AF44+AI44+AL44+AO44+AR44+AU44+AX44+BA44+BD44+BG44+BJ44+BM44+BP44+BS44+BV44+BY44+CB44+CE44+CH44+CK44+CN44+CZ44+CQ44+CT44+CW44+DC44+DF44+DI44+DL44+DO44+DR44+DU44+DX44+EA44+ED44+EG44+EJ44+EM44+EP44+ES44+EV44+EY44+FB44+FE44+FH44+FK44+FN44+FQ44+FT44+FW44+FZ44+GC44+GF44+GI44+GL44+GO44+GR44+GU44+GX44+HA44</f>
        <v>0</v>
      </c>
      <c r="HE44" s="369">
        <f t="shared" ref="HE44" si="10">+C44+F44+I44+L44+O44+R44+U44+X44+AA44+AD44+AG44+AJ44+AM44+AP44+AS44+AV44+AY44+BB44+BE44+BH44+BK44+BN44+BQ44+BT44+BW44+BZ44+CC44+CF44+CI44+CL44+CO44+DA44+CR44+CU44+CX44+DD44+DG44+DJ44+DM44+DP44+DS44+DV44+DY44+EB44+EE44+EH44+EK44+EN44+EQ44+ET44+EW44+EZ44+FC44+FF44+FI44+FL44+FO44+FR44+FU44+FX44+GA44+GD44+GG44+GJ44+GM44+GP44+GS44+GV44+GY44+HB44</f>
        <v>0</v>
      </c>
      <c r="HF44" s="369">
        <f t="shared" ref="HF44" si="11">+D44+G44+J44+M44+P44+S44+V44+Y44+AE44+AH44+AK44+AQ44+AT44+AW44+AZ44+BC44+BF44+BI44+BL44+BO44+BR44+BU44+BX44+CA44+CD44+CG44+CJ44+CM44+CP44+DB44+AB44+AN44+CS44+CV44+CY44+DE44+DH44+DK44+DN44+DQ44+DT44+DW44+DZ44+EC44+EF44+EI44+EL44+EO44+ER44+EU44+EX44+FA44+FD44+FG44+FJ44+FM44+FP44+FS44+FV44+FY44+GB44+GE44+GH44+GK44+GN44+GQ44+GT44+GW44+GZ44+HC44</f>
        <v>0</v>
      </c>
    </row>
    <row r="45" spans="1:215" ht="15.75" thickBot="1">
      <c r="A45" s="238">
        <v>2</v>
      </c>
      <c r="B45" s="239"/>
      <c r="C45" s="43"/>
      <c r="D45" s="57"/>
      <c r="E45" s="295"/>
      <c r="F45" s="288"/>
      <c r="G45" s="294"/>
      <c r="H45" s="287"/>
      <c r="I45" s="288"/>
      <c r="J45" s="289"/>
      <c r="K45" s="295"/>
      <c r="L45" s="288"/>
      <c r="M45" s="294"/>
      <c r="N45" s="287"/>
      <c r="O45" s="288"/>
      <c r="P45" s="289"/>
      <c r="Q45" s="295"/>
      <c r="R45" s="288"/>
      <c r="S45" s="294"/>
      <c r="T45" s="287"/>
      <c r="U45" s="288"/>
      <c r="V45" s="289"/>
      <c r="W45" s="295"/>
      <c r="X45" s="288"/>
      <c r="Y45" s="294"/>
      <c r="Z45" s="287"/>
      <c r="AA45" s="288"/>
      <c r="AB45" s="289"/>
      <c r="AC45" s="295"/>
      <c r="AD45" s="288"/>
      <c r="AE45" s="294"/>
      <c r="AF45" s="287"/>
      <c r="AG45" s="288"/>
      <c r="AH45" s="289"/>
      <c r="AI45" s="295"/>
      <c r="AJ45" s="288"/>
      <c r="AK45" s="294"/>
      <c r="AL45" s="287"/>
      <c r="AM45" s="288"/>
      <c r="AN45" s="289"/>
      <c r="AO45" s="295"/>
      <c r="AP45" s="288"/>
      <c r="AQ45" s="294"/>
      <c r="AR45" s="287"/>
      <c r="AS45" s="288"/>
      <c r="AT45" s="289"/>
      <c r="AU45" s="295"/>
      <c r="AV45" s="288"/>
      <c r="AW45" s="294"/>
      <c r="AX45" s="287"/>
      <c r="AY45" s="288"/>
      <c r="AZ45" s="289"/>
      <c r="BA45" s="295"/>
      <c r="BB45" s="288"/>
      <c r="BC45" s="294"/>
      <c r="BD45" s="287"/>
      <c r="BE45" s="288"/>
      <c r="BF45" s="289"/>
      <c r="BG45" s="295"/>
      <c r="BH45" s="288"/>
      <c r="BI45" s="294"/>
      <c r="BJ45" s="287"/>
      <c r="BK45" s="288"/>
      <c r="BL45" s="289"/>
      <c r="BM45" s="295"/>
      <c r="BN45" s="288"/>
      <c r="BO45" s="294"/>
      <c r="BP45" s="287"/>
      <c r="BQ45" s="288"/>
      <c r="BR45" s="289"/>
      <c r="BS45" s="295"/>
      <c r="BT45" s="288"/>
      <c r="BU45" s="294"/>
      <c r="BV45" s="287"/>
      <c r="BW45" s="288"/>
      <c r="BX45" s="289"/>
      <c r="BY45" s="295"/>
      <c r="BZ45" s="288"/>
      <c r="CA45" s="294"/>
      <c r="CB45" s="287"/>
      <c r="CC45" s="288"/>
      <c r="CD45" s="289"/>
      <c r="CE45" s="295"/>
      <c r="CF45" s="288"/>
      <c r="CG45" s="294"/>
      <c r="CH45" s="287"/>
      <c r="CI45" s="288"/>
      <c r="CJ45" s="289"/>
      <c r="CK45" s="295"/>
      <c r="CL45" s="288"/>
      <c r="CM45" s="294"/>
      <c r="CN45" s="287"/>
      <c r="CO45" s="288"/>
      <c r="CP45" s="289"/>
      <c r="CQ45" s="295"/>
      <c r="CR45" s="288"/>
      <c r="CS45" s="294"/>
      <c r="CT45" s="295"/>
      <c r="CU45" s="288"/>
      <c r="CV45" s="294"/>
      <c r="CW45" s="295"/>
      <c r="CX45" s="288"/>
      <c r="CY45" s="294"/>
      <c r="CZ45" s="295"/>
      <c r="DA45" s="288"/>
      <c r="DB45" s="294"/>
      <c r="DC45" s="239"/>
      <c r="DD45" s="43"/>
      <c r="DE45" s="57"/>
      <c r="DF45" s="295"/>
      <c r="DG45" s="288"/>
      <c r="DH45" s="294"/>
      <c r="DI45" s="287"/>
      <c r="DJ45" s="288"/>
      <c r="DK45" s="289"/>
      <c r="DL45" s="295"/>
      <c r="DM45" s="288"/>
      <c r="DN45" s="294"/>
      <c r="DO45" s="287"/>
      <c r="DP45" s="288"/>
      <c r="DQ45" s="289"/>
      <c r="DR45" s="295"/>
      <c r="DS45" s="288"/>
      <c r="DT45" s="294"/>
      <c r="DU45" s="287"/>
      <c r="DV45" s="288"/>
      <c r="DW45" s="289"/>
      <c r="DX45" s="295"/>
      <c r="DY45" s="288"/>
      <c r="DZ45" s="294"/>
      <c r="EA45" s="287"/>
      <c r="EB45" s="288"/>
      <c r="EC45" s="289"/>
      <c r="ED45" s="295"/>
      <c r="EE45" s="288"/>
      <c r="EF45" s="294"/>
      <c r="EG45" s="287"/>
      <c r="EH45" s="288"/>
      <c r="EI45" s="289"/>
      <c r="EJ45" s="295"/>
      <c r="EK45" s="288"/>
      <c r="EL45" s="294"/>
      <c r="EM45" s="287"/>
      <c r="EN45" s="288"/>
      <c r="EO45" s="289"/>
      <c r="EP45" s="295"/>
      <c r="EQ45" s="288"/>
      <c r="ER45" s="294"/>
      <c r="ES45" s="287"/>
      <c r="ET45" s="288"/>
      <c r="EU45" s="289"/>
      <c r="EV45" s="295"/>
      <c r="EW45" s="288"/>
      <c r="EX45" s="294"/>
      <c r="EY45" s="287"/>
      <c r="EZ45" s="288"/>
      <c r="FA45" s="289"/>
      <c r="FB45" s="295"/>
      <c r="FC45" s="288"/>
      <c r="FD45" s="294"/>
      <c r="FE45" s="287"/>
      <c r="FF45" s="288"/>
      <c r="FG45" s="289"/>
      <c r="FH45" s="295"/>
      <c r="FI45" s="288"/>
      <c r="FJ45" s="294"/>
      <c r="FK45" s="287"/>
      <c r="FL45" s="288"/>
      <c r="FM45" s="289"/>
      <c r="FN45" s="295"/>
      <c r="FO45" s="288"/>
      <c r="FP45" s="294"/>
      <c r="FQ45" s="287"/>
      <c r="FR45" s="288"/>
      <c r="FS45" s="289"/>
      <c r="FT45" s="295"/>
      <c r="FU45" s="288"/>
      <c r="FV45" s="294"/>
      <c r="FW45" s="287"/>
      <c r="FX45" s="288"/>
      <c r="FY45" s="289"/>
      <c r="FZ45" s="295"/>
      <c r="GA45" s="288"/>
      <c r="GB45" s="294"/>
      <c r="GC45" s="287"/>
      <c r="GD45" s="288"/>
      <c r="GE45" s="289"/>
      <c r="GF45" s="295"/>
      <c r="GG45" s="288"/>
      <c r="GH45" s="294"/>
      <c r="GI45" s="287"/>
      <c r="GJ45" s="288"/>
      <c r="GK45" s="289"/>
      <c r="GL45" s="295"/>
      <c r="GM45" s="288"/>
      <c r="GN45" s="294"/>
      <c r="GO45" s="287"/>
      <c r="GP45" s="288"/>
      <c r="GQ45" s="289"/>
      <c r="GR45" s="295"/>
      <c r="GS45" s="288"/>
      <c r="GT45" s="294"/>
      <c r="GU45" s="295"/>
      <c r="GV45" s="288"/>
      <c r="GW45" s="294"/>
      <c r="GX45" s="295"/>
      <c r="GY45" s="288"/>
      <c r="GZ45" s="294"/>
      <c r="HA45" s="295"/>
      <c r="HB45" s="288"/>
      <c r="HC45" s="294"/>
      <c r="HD45" s="368">
        <f t="shared" ref="HD45:HD74" si="12">+B45+E45+H45+K45+N45+Q45+T45+W45+Z45+AC45+AF45+AI45+AL45+AO45+AR45+AU45+AX45+BA45+BD45+BG45+BJ45+BM45+BP45+BS45+BV45+BY45+CB45+CE45+CH45+CK45+CN45+CZ45+CQ45+CT45+CW45+DC45+DF45+DI45+DL45+DO45+DR45+DU45+DX45+EA45+ED45+EG45+EJ45+EM45+EP45+ES45+EV45+EY45+FB45+FE45+FH45+FK45+FN45+FQ45+FT45+FW45+FZ45+GC45+GF45+GI45+GL45+GO45+GR45+GU45+GX45+HA45</f>
        <v>0</v>
      </c>
      <c r="HE45" s="369">
        <f t="shared" ref="HE45:HE74" si="13">+C45+F45+I45+L45+O45+R45+U45+X45+AA45+AD45+AG45+AJ45+AM45+AP45+AS45+AV45+AY45+BB45+BE45+BH45+BK45+BN45+BQ45+BT45+BW45+BZ45+CC45+CF45+CI45+CL45+CO45+DA45+CR45+CU45+CX45+DD45+DG45+DJ45+DM45+DP45+DS45+DV45+DY45+EB45+EE45+EH45+EK45+EN45+EQ45+ET45+EW45+EZ45+FC45+FF45+FI45+FL45+FO45+FR45+FU45+FX45+GA45+GD45+GG45+GJ45+GM45+GP45+GS45+GV45+GY45+HB45</f>
        <v>0</v>
      </c>
      <c r="HF45" s="369">
        <f t="shared" ref="HF45:HF74" si="14">+D45+G45+J45+M45+P45+S45+V45+Y45+AE45+AH45+AK45+AQ45+AT45+AW45+AZ45+BC45+BF45+BI45+BL45+BO45+BR45+BU45+BX45+CA45+CD45+CG45+CJ45+CM45+CP45+DB45+AB45+AN45+CS45+CV45+CY45+DE45+DH45+DK45+DN45+DQ45+DT45+DW45+DZ45+EC45+EF45+EI45+EL45+EO45+ER45+EU45+EX45+FA45+FD45+FG45+FJ45+FM45+FP45+FS45+FV45+FY45+GB45+GE45+GH45+GK45+GN45+GQ45+GT45+GW45+GZ45+HC45</f>
        <v>0</v>
      </c>
    </row>
    <row r="46" spans="1:215" ht="15.75" thickBot="1">
      <c r="A46" s="238">
        <v>3</v>
      </c>
      <c r="B46" s="239"/>
      <c r="C46" s="43"/>
      <c r="D46" s="57"/>
      <c r="E46" s="295"/>
      <c r="F46" s="288"/>
      <c r="G46" s="294"/>
      <c r="H46" s="287"/>
      <c r="I46" s="288"/>
      <c r="J46" s="289"/>
      <c r="K46" s="295"/>
      <c r="L46" s="288"/>
      <c r="M46" s="294"/>
      <c r="N46" s="287"/>
      <c r="O46" s="288"/>
      <c r="P46" s="289"/>
      <c r="Q46" s="295"/>
      <c r="R46" s="288"/>
      <c r="S46" s="294"/>
      <c r="T46" s="287"/>
      <c r="U46" s="288"/>
      <c r="V46" s="289"/>
      <c r="W46" s="295"/>
      <c r="X46" s="288"/>
      <c r="Y46" s="294"/>
      <c r="Z46" s="287"/>
      <c r="AA46" s="288"/>
      <c r="AB46" s="289"/>
      <c r="AC46" s="295"/>
      <c r="AD46" s="288"/>
      <c r="AE46" s="294"/>
      <c r="AF46" s="287"/>
      <c r="AG46" s="288"/>
      <c r="AH46" s="289"/>
      <c r="AI46" s="295"/>
      <c r="AJ46" s="288"/>
      <c r="AK46" s="294"/>
      <c r="AL46" s="287"/>
      <c r="AM46" s="288"/>
      <c r="AN46" s="289"/>
      <c r="AO46" s="295"/>
      <c r="AP46" s="288"/>
      <c r="AQ46" s="294"/>
      <c r="AR46" s="287"/>
      <c r="AS46" s="288"/>
      <c r="AT46" s="289"/>
      <c r="AU46" s="295"/>
      <c r="AV46" s="288"/>
      <c r="AW46" s="294"/>
      <c r="AX46" s="287"/>
      <c r="AY46" s="288"/>
      <c r="AZ46" s="289"/>
      <c r="BA46" s="295"/>
      <c r="BB46" s="288"/>
      <c r="BC46" s="294"/>
      <c r="BD46" s="287"/>
      <c r="BE46" s="288"/>
      <c r="BF46" s="289"/>
      <c r="BG46" s="295"/>
      <c r="BH46" s="288"/>
      <c r="BI46" s="294"/>
      <c r="BJ46" s="287"/>
      <c r="BK46" s="288"/>
      <c r="BL46" s="289"/>
      <c r="BM46" s="295"/>
      <c r="BN46" s="288"/>
      <c r="BO46" s="294"/>
      <c r="BP46" s="361"/>
      <c r="BQ46" s="362"/>
      <c r="BR46" s="289"/>
      <c r="BS46" s="295"/>
      <c r="BT46" s="288"/>
      <c r="BU46" s="294"/>
      <c r="BV46" s="287"/>
      <c r="BW46" s="288"/>
      <c r="BX46" s="289"/>
      <c r="BY46" s="295"/>
      <c r="BZ46" s="288"/>
      <c r="CA46" s="294"/>
      <c r="CB46" s="287"/>
      <c r="CC46" s="288"/>
      <c r="CD46" s="289"/>
      <c r="CE46" s="295"/>
      <c r="CF46" s="288"/>
      <c r="CG46" s="294"/>
      <c r="CH46" s="287"/>
      <c r="CI46" s="288"/>
      <c r="CJ46" s="289"/>
      <c r="CK46" s="295"/>
      <c r="CL46" s="288"/>
      <c r="CM46" s="294"/>
      <c r="CN46" s="287"/>
      <c r="CO46" s="288"/>
      <c r="CP46" s="289"/>
      <c r="CQ46" s="295"/>
      <c r="CR46" s="288"/>
      <c r="CS46" s="294"/>
      <c r="CT46" s="295"/>
      <c r="CU46" s="288"/>
      <c r="CV46" s="294"/>
      <c r="CW46" s="295"/>
      <c r="CX46" s="288"/>
      <c r="CY46" s="294"/>
      <c r="CZ46" s="295"/>
      <c r="DA46" s="288"/>
      <c r="DB46" s="294"/>
      <c r="DC46" s="239"/>
      <c r="DD46" s="43"/>
      <c r="DE46" s="57"/>
      <c r="DF46" s="295"/>
      <c r="DG46" s="288"/>
      <c r="DH46" s="294"/>
      <c r="DI46" s="287"/>
      <c r="DJ46" s="288"/>
      <c r="DK46" s="289"/>
      <c r="DL46" s="295"/>
      <c r="DM46" s="288"/>
      <c r="DN46" s="294"/>
      <c r="DO46" s="287"/>
      <c r="DP46" s="288"/>
      <c r="DQ46" s="289"/>
      <c r="DR46" s="295"/>
      <c r="DS46" s="288"/>
      <c r="DT46" s="294"/>
      <c r="DU46" s="287"/>
      <c r="DV46" s="288"/>
      <c r="DW46" s="289"/>
      <c r="DX46" s="295"/>
      <c r="DY46" s="288"/>
      <c r="DZ46" s="294"/>
      <c r="EA46" s="287"/>
      <c r="EB46" s="288"/>
      <c r="EC46" s="289"/>
      <c r="ED46" s="295"/>
      <c r="EE46" s="288"/>
      <c r="EF46" s="294"/>
      <c r="EG46" s="287"/>
      <c r="EH46" s="288"/>
      <c r="EI46" s="289"/>
      <c r="EJ46" s="295"/>
      <c r="EK46" s="288"/>
      <c r="EL46" s="294"/>
      <c r="EM46" s="287"/>
      <c r="EN46" s="288"/>
      <c r="EO46" s="289"/>
      <c r="EP46" s="295"/>
      <c r="EQ46" s="288"/>
      <c r="ER46" s="294"/>
      <c r="ES46" s="287"/>
      <c r="ET46" s="288"/>
      <c r="EU46" s="289"/>
      <c r="EV46" s="295"/>
      <c r="EW46" s="288"/>
      <c r="EX46" s="294"/>
      <c r="EY46" s="287"/>
      <c r="EZ46" s="288"/>
      <c r="FA46" s="289"/>
      <c r="FB46" s="295"/>
      <c r="FC46" s="288"/>
      <c r="FD46" s="294"/>
      <c r="FE46" s="287"/>
      <c r="FF46" s="288"/>
      <c r="FG46" s="289"/>
      <c r="FH46" s="295"/>
      <c r="FI46" s="288"/>
      <c r="FJ46" s="294"/>
      <c r="FK46" s="287"/>
      <c r="FL46" s="288"/>
      <c r="FM46" s="289"/>
      <c r="FN46" s="295"/>
      <c r="FO46" s="288"/>
      <c r="FP46" s="294"/>
      <c r="FQ46" s="361"/>
      <c r="FR46" s="362"/>
      <c r="FS46" s="289"/>
      <c r="FT46" s="295"/>
      <c r="FU46" s="288"/>
      <c r="FV46" s="294"/>
      <c r="FW46" s="287"/>
      <c r="FX46" s="288"/>
      <c r="FY46" s="289"/>
      <c r="FZ46" s="295"/>
      <c r="GA46" s="288"/>
      <c r="GB46" s="294"/>
      <c r="GC46" s="287"/>
      <c r="GD46" s="288"/>
      <c r="GE46" s="289"/>
      <c r="GF46" s="295"/>
      <c r="GG46" s="288"/>
      <c r="GH46" s="294"/>
      <c r="GI46" s="287"/>
      <c r="GJ46" s="288"/>
      <c r="GK46" s="289"/>
      <c r="GL46" s="295"/>
      <c r="GM46" s="288"/>
      <c r="GN46" s="294"/>
      <c r="GO46" s="287"/>
      <c r="GP46" s="288"/>
      <c r="GQ46" s="289"/>
      <c r="GR46" s="295"/>
      <c r="GS46" s="288"/>
      <c r="GT46" s="294"/>
      <c r="GU46" s="295"/>
      <c r="GV46" s="288"/>
      <c r="GW46" s="294"/>
      <c r="GX46" s="295"/>
      <c r="GY46" s="288"/>
      <c r="GZ46" s="294"/>
      <c r="HA46" s="295"/>
      <c r="HB46" s="288"/>
      <c r="HC46" s="294"/>
      <c r="HD46" s="368">
        <f t="shared" si="12"/>
        <v>0</v>
      </c>
      <c r="HE46" s="369">
        <f t="shared" si="13"/>
        <v>0</v>
      </c>
      <c r="HF46" s="369">
        <f t="shared" si="14"/>
        <v>0</v>
      </c>
    </row>
    <row r="47" spans="1:215" ht="15.75" thickBot="1">
      <c r="A47" s="353">
        <v>4</v>
      </c>
      <c r="B47" s="239"/>
      <c r="C47" s="43"/>
      <c r="D47" s="57"/>
      <c r="E47" s="295"/>
      <c r="F47" s="288"/>
      <c r="G47" s="294"/>
      <c r="H47" s="287"/>
      <c r="I47" s="288"/>
      <c r="J47" s="289"/>
      <c r="K47" s="295"/>
      <c r="L47" s="288"/>
      <c r="M47" s="294"/>
      <c r="N47" s="287"/>
      <c r="O47" s="288"/>
      <c r="P47" s="289"/>
      <c r="Q47" s="295"/>
      <c r="R47" s="288"/>
      <c r="S47" s="294"/>
      <c r="T47" s="287"/>
      <c r="U47" s="288"/>
      <c r="V47" s="289"/>
      <c r="W47" s="295"/>
      <c r="X47" s="288"/>
      <c r="Y47" s="294"/>
      <c r="Z47" s="287"/>
      <c r="AA47" s="288"/>
      <c r="AB47" s="289"/>
      <c r="AC47" s="295"/>
      <c r="AD47" s="288"/>
      <c r="AE47" s="294"/>
      <c r="AF47" s="287"/>
      <c r="AG47" s="288"/>
      <c r="AH47" s="289"/>
      <c r="AI47" s="295"/>
      <c r="AJ47" s="288"/>
      <c r="AK47" s="294"/>
      <c r="AL47" s="287"/>
      <c r="AM47" s="288"/>
      <c r="AN47" s="289"/>
      <c r="AO47" s="295"/>
      <c r="AP47" s="288"/>
      <c r="AQ47" s="294"/>
      <c r="AR47" s="287"/>
      <c r="AS47" s="288"/>
      <c r="AT47" s="289"/>
      <c r="AU47" s="295"/>
      <c r="AV47" s="288"/>
      <c r="AW47" s="294"/>
      <c r="AX47" s="287"/>
      <c r="AY47" s="288"/>
      <c r="AZ47" s="289"/>
      <c r="BA47" s="295"/>
      <c r="BB47" s="288"/>
      <c r="BC47" s="294"/>
      <c r="BD47" s="287"/>
      <c r="BE47" s="288"/>
      <c r="BF47" s="289"/>
      <c r="BG47" s="295"/>
      <c r="BH47" s="288"/>
      <c r="BI47" s="294"/>
      <c r="BJ47" s="287"/>
      <c r="BK47" s="288"/>
      <c r="BL47" s="289"/>
      <c r="BM47" s="295"/>
      <c r="BN47" s="288"/>
      <c r="BO47" s="294"/>
      <c r="BP47" s="287"/>
      <c r="BQ47" s="288"/>
      <c r="BR47" s="289"/>
      <c r="BS47" s="295"/>
      <c r="BT47" s="288"/>
      <c r="BU47" s="294"/>
      <c r="BV47" s="287"/>
      <c r="BW47" s="288"/>
      <c r="BX47" s="289"/>
      <c r="BY47" s="295"/>
      <c r="BZ47" s="288"/>
      <c r="CA47" s="294"/>
      <c r="CB47" s="287"/>
      <c r="CC47" s="288"/>
      <c r="CD47" s="289"/>
      <c r="CE47" s="295"/>
      <c r="CF47" s="288"/>
      <c r="CG47" s="294"/>
      <c r="CH47" s="287"/>
      <c r="CI47" s="288"/>
      <c r="CJ47" s="289"/>
      <c r="CK47" s="295"/>
      <c r="CL47" s="288"/>
      <c r="CM47" s="294"/>
      <c r="CN47" s="287"/>
      <c r="CO47" s="288"/>
      <c r="CP47" s="289"/>
      <c r="CQ47" s="295"/>
      <c r="CR47" s="288"/>
      <c r="CS47" s="294"/>
      <c r="CT47" s="295"/>
      <c r="CU47" s="288"/>
      <c r="CV47" s="294"/>
      <c r="CW47" s="295"/>
      <c r="CX47" s="288"/>
      <c r="CY47" s="294"/>
      <c r="CZ47" s="295"/>
      <c r="DA47" s="288"/>
      <c r="DB47" s="294"/>
      <c r="DC47" s="239"/>
      <c r="DD47" s="43"/>
      <c r="DE47" s="57"/>
      <c r="DF47" s="295"/>
      <c r="DG47" s="288"/>
      <c r="DH47" s="294"/>
      <c r="DI47" s="287"/>
      <c r="DJ47" s="288"/>
      <c r="DK47" s="289"/>
      <c r="DL47" s="295"/>
      <c r="DM47" s="288"/>
      <c r="DN47" s="294"/>
      <c r="DO47" s="287"/>
      <c r="DP47" s="288"/>
      <c r="DQ47" s="289"/>
      <c r="DR47" s="295"/>
      <c r="DS47" s="288"/>
      <c r="DT47" s="294"/>
      <c r="DU47" s="287"/>
      <c r="DV47" s="288"/>
      <c r="DW47" s="289"/>
      <c r="DX47" s="295"/>
      <c r="DY47" s="288"/>
      <c r="DZ47" s="294"/>
      <c r="EA47" s="287"/>
      <c r="EB47" s="288"/>
      <c r="EC47" s="289"/>
      <c r="ED47" s="295"/>
      <c r="EE47" s="288"/>
      <c r="EF47" s="294"/>
      <c r="EG47" s="287"/>
      <c r="EH47" s="288"/>
      <c r="EI47" s="289"/>
      <c r="EJ47" s="295"/>
      <c r="EK47" s="288"/>
      <c r="EL47" s="294"/>
      <c r="EM47" s="287"/>
      <c r="EN47" s="288"/>
      <c r="EO47" s="289"/>
      <c r="EP47" s="295"/>
      <c r="EQ47" s="288"/>
      <c r="ER47" s="294"/>
      <c r="ES47" s="287"/>
      <c r="ET47" s="288"/>
      <c r="EU47" s="289"/>
      <c r="EV47" s="295"/>
      <c r="EW47" s="288"/>
      <c r="EX47" s="294"/>
      <c r="EY47" s="287"/>
      <c r="EZ47" s="288"/>
      <c r="FA47" s="289"/>
      <c r="FB47" s="295"/>
      <c r="FC47" s="288"/>
      <c r="FD47" s="294"/>
      <c r="FE47" s="287"/>
      <c r="FF47" s="288"/>
      <c r="FG47" s="289"/>
      <c r="FH47" s="295"/>
      <c r="FI47" s="288"/>
      <c r="FJ47" s="294"/>
      <c r="FK47" s="287"/>
      <c r="FL47" s="288"/>
      <c r="FM47" s="289"/>
      <c r="FN47" s="295"/>
      <c r="FO47" s="288"/>
      <c r="FP47" s="294"/>
      <c r="FQ47" s="287"/>
      <c r="FR47" s="288"/>
      <c r="FS47" s="289"/>
      <c r="FT47" s="295"/>
      <c r="FU47" s="288"/>
      <c r="FV47" s="294"/>
      <c r="FW47" s="287"/>
      <c r="FX47" s="288"/>
      <c r="FY47" s="289"/>
      <c r="FZ47" s="295"/>
      <c r="GA47" s="288"/>
      <c r="GB47" s="294"/>
      <c r="GC47" s="287"/>
      <c r="GD47" s="288"/>
      <c r="GE47" s="289"/>
      <c r="GF47" s="295"/>
      <c r="GG47" s="288"/>
      <c r="GH47" s="294"/>
      <c r="GI47" s="287"/>
      <c r="GJ47" s="288"/>
      <c r="GK47" s="289"/>
      <c r="GL47" s="295"/>
      <c r="GM47" s="288"/>
      <c r="GN47" s="294"/>
      <c r="GO47" s="287"/>
      <c r="GP47" s="288"/>
      <c r="GQ47" s="289"/>
      <c r="GR47" s="295"/>
      <c r="GS47" s="288"/>
      <c r="GT47" s="294"/>
      <c r="GU47" s="295"/>
      <c r="GV47" s="288"/>
      <c r="GW47" s="294"/>
      <c r="GX47" s="295"/>
      <c r="GY47" s="288"/>
      <c r="GZ47" s="294"/>
      <c r="HA47" s="295"/>
      <c r="HB47" s="288"/>
      <c r="HC47" s="294"/>
      <c r="HD47" s="368">
        <f t="shared" si="12"/>
        <v>0</v>
      </c>
      <c r="HE47" s="369">
        <f t="shared" si="13"/>
        <v>0</v>
      </c>
      <c r="HF47" s="369">
        <f t="shared" si="14"/>
        <v>0</v>
      </c>
    </row>
    <row r="48" spans="1:215" ht="15.75" thickBot="1">
      <c r="A48" s="238">
        <v>5</v>
      </c>
      <c r="B48" s="239"/>
      <c r="C48" s="43"/>
      <c r="D48" s="57"/>
      <c r="E48" s="295"/>
      <c r="F48" s="288"/>
      <c r="G48" s="294"/>
      <c r="H48" s="287"/>
      <c r="I48" s="288"/>
      <c r="J48" s="289"/>
      <c r="K48" s="295"/>
      <c r="L48" s="288"/>
      <c r="M48" s="294"/>
      <c r="N48" s="287"/>
      <c r="O48" s="288"/>
      <c r="P48" s="289"/>
      <c r="Q48" s="295"/>
      <c r="R48" s="288"/>
      <c r="S48" s="294"/>
      <c r="T48" s="287"/>
      <c r="U48" s="288"/>
      <c r="V48" s="289"/>
      <c r="W48" s="295"/>
      <c r="X48" s="288"/>
      <c r="Y48" s="294"/>
      <c r="Z48" s="287"/>
      <c r="AA48" s="288"/>
      <c r="AB48" s="289"/>
      <c r="AC48" s="295"/>
      <c r="AD48" s="288"/>
      <c r="AE48" s="294"/>
      <c r="AF48" s="287"/>
      <c r="AG48" s="288"/>
      <c r="AH48" s="289"/>
      <c r="AI48" s="295"/>
      <c r="AJ48" s="288"/>
      <c r="AK48" s="294"/>
      <c r="AL48" s="287"/>
      <c r="AM48" s="288"/>
      <c r="AN48" s="289"/>
      <c r="AO48" s="295"/>
      <c r="AP48" s="288"/>
      <c r="AQ48" s="294"/>
      <c r="AR48" s="287"/>
      <c r="AS48" s="288"/>
      <c r="AT48" s="289"/>
      <c r="AU48" s="295"/>
      <c r="AV48" s="288"/>
      <c r="AW48" s="294"/>
      <c r="AX48" s="287"/>
      <c r="AY48" s="288"/>
      <c r="AZ48" s="289"/>
      <c r="BA48" s="295"/>
      <c r="BB48" s="288"/>
      <c r="BC48" s="294"/>
      <c r="BD48" s="287"/>
      <c r="BE48" s="288"/>
      <c r="BF48" s="289"/>
      <c r="BG48" s="295"/>
      <c r="BH48" s="288"/>
      <c r="BI48" s="294"/>
      <c r="BJ48" s="287"/>
      <c r="BK48" s="288"/>
      <c r="BL48" s="289"/>
      <c r="BM48" s="295"/>
      <c r="BN48" s="288"/>
      <c r="BO48" s="294"/>
      <c r="BP48" s="287"/>
      <c r="BQ48" s="288"/>
      <c r="BR48" s="289"/>
      <c r="BS48" s="295"/>
      <c r="BT48" s="288"/>
      <c r="BU48" s="294"/>
      <c r="BV48" s="287"/>
      <c r="BW48" s="288"/>
      <c r="BX48" s="289"/>
      <c r="BY48" s="295"/>
      <c r="BZ48" s="288"/>
      <c r="CA48" s="294"/>
      <c r="CB48" s="287"/>
      <c r="CC48" s="288"/>
      <c r="CD48" s="289"/>
      <c r="CE48" s="295"/>
      <c r="CF48" s="288"/>
      <c r="CG48" s="294"/>
      <c r="CH48" s="287"/>
      <c r="CI48" s="288"/>
      <c r="CJ48" s="289"/>
      <c r="CK48" s="295"/>
      <c r="CL48" s="288"/>
      <c r="CM48" s="294"/>
      <c r="CN48" s="287"/>
      <c r="CO48" s="288"/>
      <c r="CP48" s="289"/>
      <c r="CQ48" s="295"/>
      <c r="CR48" s="288"/>
      <c r="CS48" s="294"/>
      <c r="CT48" s="295"/>
      <c r="CU48" s="288"/>
      <c r="CV48" s="294"/>
      <c r="CW48" s="295"/>
      <c r="CX48" s="288"/>
      <c r="CY48" s="294"/>
      <c r="CZ48" s="295"/>
      <c r="DA48" s="288"/>
      <c r="DB48" s="294"/>
      <c r="DC48" s="239"/>
      <c r="DD48" s="43"/>
      <c r="DE48" s="57"/>
      <c r="DF48" s="295"/>
      <c r="DG48" s="288"/>
      <c r="DH48" s="294"/>
      <c r="DI48" s="287"/>
      <c r="DJ48" s="288"/>
      <c r="DK48" s="289"/>
      <c r="DL48" s="295"/>
      <c r="DM48" s="288"/>
      <c r="DN48" s="294"/>
      <c r="DO48" s="287"/>
      <c r="DP48" s="288"/>
      <c r="DQ48" s="289"/>
      <c r="DR48" s="295"/>
      <c r="DS48" s="288"/>
      <c r="DT48" s="294"/>
      <c r="DU48" s="287"/>
      <c r="DV48" s="288"/>
      <c r="DW48" s="289"/>
      <c r="DX48" s="295"/>
      <c r="DY48" s="288"/>
      <c r="DZ48" s="294"/>
      <c r="EA48" s="287"/>
      <c r="EB48" s="288"/>
      <c r="EC48" s="289"/>
      <c r="ED48" s="295"/>
      <c r="EE48" s="288"/>
      <c r="EF48" s="294"/>
      <c r="EG48" s="287"/>
      <c r="EH48" s="288"/>
      <c r="EI48" s="289"/>
      <c r="EJ48" s="295"/>
      <c r="EK48" s="288"/>
      <c r="EL48" s="294"/>
      <c r="EM48" s="287"/>
      <c r="EN48" s="288"/>
      <c r="EO48" s="289"/>
      <c r="EP48" s="295"/>
      <c r="EQ48" s="288"/>
      <c r="ER48" s="294"/>
      <c r="ES48" s="287"/>
      <c r="ET48" s="288"/>
      <c r="EU48" s="289"/>
      <c r="EV48" s="295"/>
      <c r="EW48" s="288"/>
      <c r="EX48" s="294"/>
      <c r="EY48" s="287"/>
      <c r="EZ48" s="288"/>
      <c r="FA48" s="289"/>
      <c r="FB48" s="295"/>
      <c r="FC48" s="288"/>
      <c r="FD48" s="294"/>
      <c r="FE48" s="287"/>
      <c r="FF48" s="288"/>
      <c r="FG48" s="289"/>
      <c r="FH48" s="295"/>
      <c r="FI48" s="288"/>
      <c r="FJ48" s="294"/>
      <c r="FK48" s="287"/>
      <c r="FL48" s="288"/>
      <c r="FM48" s="289"/>
      <c r="FN48" s="295"/>
      <c r="FO48" s="288"/>
      <c r="FP48" s="294"/>
      <c r="FQ48" s="287"/>
      <c r="FR48" s="288"/>
      <c r="FS48" s="289"/>
      <c r="FT48" s="295"/>
      <c r="FU48" s="288"/>
      <c r="FV48" s="294"/>
      <c r="FW48" s="287"/>
      <c r="FX48" s="288"/>
      <c r="FY48" s="289"/>
      <c r="FZ48" s="295"/>
      <c r="GA48" s="288"/>
      <c r="GB48" s="294"/>
      <c r="GC48" s="287"/>
      <c r="GD48" s="288"/>
      <c r="GE48" s="289"/>
      <c r="GF48" s="295"/>
      <c r="GG48" s="288"/>
      <c r="GH48" s="294"/>
      <c r="GI48" s="287"/>
      <c r="GJ48" s="288"/>
      <c r="GK48" s="289"/>
      <c r="GL48" s="295"/>
      <c r="GM48" s="288"/>
      <c r="GN48" s="294"/>
      <c r="GO48" s="287"/>
      <c r="GP48" s="288"/>
      <c r="GQ48" s="289"/>
      <c r="GR48" s="295"/>
      <c r="GS48" s="288"/>
      <c r="GT48" s="294"/>
      <c r="GU48" s="295"/>
      <c r="GV48" s="288"/>
      <c r="GW48" s="294"/>
      <c r="GX48" s="295"/>
      <c r="GY48" s="288"/>
      <c r="GZ48" s="294"/>
      <c r="HA48" s="295"/>
      <c r="HB48" s="288"/>
      <c r="HC48" s="294"/>
      <c r="HD48" s="368">
        <f t="shared" si="12"/>
        <v>0</v>
      </c>
      <c r="HE48" s="369">
        <f t="shared" si="13"/>
        <v>0</v>
      </c>
      <c r="HF48" s="369">
        <f t="shared" si="14"/>
        <v>0</v>
      </c>
    </row>
    <row r="49" spans="1:214" ht="15.75" thickBot="1">
      <c r="A49" s="238">
        <v>6</v>
      </c>
      <c r="B49" s="239"/>
      <c r="C49" s="43"/>
      <c r="D49" s="57"/>
      <c r="E49" s="295"/>
      <c r="F49" s="288"/>
      <c r="G49" s="294"/>
      <c r="H49" s="287"/>
      <c r="I49" s="288"/>
      <c r="J49" s="289"/>
      <c r="K49" s="295"/>
      <c r="L49" s="288"/>
      <c r="M49" s="294"/>
      <c r="N49" s="287"/>
      <c r="O49" s="288"/>
      <c r="P49" s="289"/>
      <c r="Q49" s="295"/>
      <c r="R49" s="288"/>
      <c r="S49" s="294"/>
      <c r="T49" s="287"/>
      <c r="U49" s="288"/>
      <c r="V49" s="289"/>
      <c r="W49" s="295"/>
      <c r="X49" s="288"/>
      <c r="Y49" s="294"/>
      <c r="Z49" s="287"/>
      <c r="AA49" s="288"/>
      <c r="AB49" s="289"/>
      <c r="AC49" s="295"/>
      <c r="AD49" s="288"/>
      <c r="AE49" s="294"/>
      <c r="AF49" s="287"/>
      <c r="AG49" s="288"/>
      <c r="AH49" s="289"/>
      <c r="AI49" s="295"/>
      <c r="AJ49" s="288"/>
      <c r="AK49" s="294"/>
      <c r="AL49" s="287"/>
      <c r="AM49" s="288"/>
      <c r="AN49" s="289"/>
      <c r="AO49" s="295"/>
      <c r="AP49" s="288"/>
      <c r="AQ49" s="294"/>
      <c r="AR49" s="287"/>
      <c r="AS49" s="288"/>
      <c r="AT49" s="289"/>
      <c r="AU49" s="295"/>
      <c r="AV49" s="288"/>
      <c r="AW49" s="294"/>
      <c r="AX49" s="287"/>
      <c r="AY49" s="288"/>
      <c r="AZ49" s="289"/>
      <c r="BA49" s="295"/>
      <c r="BB49" s="288"/>
      <c r="BC49" s="294"/>
      <c r="BD49" s="287"/>
      <c r="BE49" s="288"/>
      <c r="BF49" s="289"/>
      <c r="BG49" s="295"/>
      <c r="BH49" s="288"/>
      <c r="BI49" s="294"/>
      <c r="BJ49" s="287"/>
      <c r="BK49" s="288"/>
      <c r="BL49" s="289"/>
      <c r="BM49" s="295"/>
      <c r="BN49" s="288"/>
      <c r="BO49" s="294"/>
      <c r="BP49" s="287"/>
      <c r="BQ49" s="288"/>
      <c r="BR49" s="289"/>
      <c r="BS49" s="295"/>
      <c r="BT49" s="288"/>
      <c r="BU49" s="294"/>
      <c r="BV49" s="287"/>
      <c r="BW49" s="288"/>
      <c r="BX49" s="289"/>
      <c r="BY49" s="295"/>
      <c r="BZ49" s="288"/>
      <c r="CA49" s="294"/>
      <c r="CB49" s="287"/>
      <c r="CC49" s="288"/>
      <c r="CD49" s="289"/>
      <c r="CE49" s="295"/>
      <c r="CF49" s="288"/>
      <c r="CG49" s="294"/>
      <c r="CH49" s="287"/>
      <c r="CI49" s="288"/>
      <c r="CJ49" s="289"/>
      <c r="CK49" s="295"/>
      <c r="CL49" s="288"/>
      <c r="CM49" s="294"/>
      <c r="CN49" s="287"/>
      <c r="CO49" s="288"/>
      <c r="CP49" s="289"/>
      <c r="CQ49" s="295"/>
      <c r="CR49" s="288"/>
      <c r="CS49" s="294"/>
      <c r="CT49" s="295"/>
      <c r="CU49" s="288"/>
      <c r="CV49" s="294"/>
      <c r="CW49" s="295"/>
      <c r="CX49" s="288"/>
      <c r="CY49" s="294"/>
      <c r="CZ49" s="295"/>
      <c r="DA49" s="288"/>
      <c r="DB49" s="294"/>
      <c r="DC49" s="239"/>
      <c r="DD49" s="43"/>
      <c r="DE49" s="57"/>
      <c r="DF49" s="295"/>
      <c r="DG49" s="288"/>
      <c r="DH49" s="294"/>
      <c r="DI49" s="287"/>
      <c r="DJ49" s="288"/>
      <c r="DK49" s="289"/>
      <c r="DL49" s="295"/>
      <c r="DM49" s="288"/>
      <c r="DN49" s="294"/>
      <c r="DO49" s="287"/>
      <c r="DP49" s="288"/>
      <c r="DQ49" s="289"/>
      <c r="DR49" s="295"/>
      <c r="DS49" s="288"/>
      <c r="DT49" s="294"/>
      <c r="DU49" s="287"/>
      <c r="DV49" s="288"/>
      <c r="DW49" s="289"/>
      <c r="DX49" s="295"/>
      <c r="DY49" s="288"/>
      <c r="DZ49" s="294"/>
      <c r="EA49" s="287"/>
      <c r="EB49" s="288"/>
      <c r="EC49" s="289"/>
      <c r="ED49" s="295"/>
      <c r="EE49" s="288"/>
      <c r="EF49" s="294"/>
      <c r="EG49" s="287"/>
      <c r="EH49" s="288"/>
      <c r="EI49" s="289"/>
      <c r="EJ49" s="295"/>
      <c r="EK49" s="288"/>
      <c r="EL49" s="294"/>
      <c r="EM49" s="287"/>
      <c r="EN49" s="288"/>
      <c r="EO49" s="289"/>
      <c r="EP49" s="295"/>
      <c r="EQ49" s="288"/>
      <c r="ER49" s="294"/>
      <c r="ES49" s="287"/>
      <c r="ET49" s="288"/>
      <c r="EU49" s="289"/>
      <c r="EV49" s="295"/>
      <c r="EW49" s="288"/>
      <c r="EX49" s="294"/>
      <c r="EY49" s="287"/>
      <c r="EZ49" s="288"/>
      <c r="FA49" s="289"/>
      <c r="FB49" s="295"/>
      <c r="FC49" s="288"/>
      <c r="FD49" s="294"/>
      <c r="FE49" s="287"/>
      <c r="FF49" s="288"/>
      <c r="FG49" s="289"/>
      <c r="FH49" s="295"/>
      <c r="FI49" s="288"/>
      <c r="FJ49" s="294"/>
      <c r="FK49" s="287"/>
      <c r="FL49" s="288"/>
      <c r="FM49" s="289"/>
      <c r="FN49" s="295"/>
      <c r="FO49" s="288"/>
      <c r="FP49" s="294"/>
      <c r="FQ49" s="287"/>
      <c r="FR49" s="288"/>
      <c r="FS49" s="289"/>
      <c r="FT49" s="295"/>
      <c r="FU49" s="288"/>
      <c r="FV49" s="294"/>
      <c r="FW49" s="287"/>
      <c r="FX49" s="288"/>
      <c r="FY49" s="289"/>
      <c r="FZ49" s="295"/>
      <c r="GA49" s="288"/>
      <c r="GB49" s="294"/>
      <c r="GC49" s="287"/>
      <c r="GD49" s="288"/>
      <c r="GE49" s="289"/>
      <c r="GF49" s="295"/>
      <c r="GG49" s="288"/>
      <c r="GH49" s="294"/>
      <c r="GI49" s="287"/>
      <c r="GJ49" s="288"/>
      <c r="GK49" s="289"/>
      <c r="GL49" s="295"/>
      <c r="GM49" s="288"/>
      <c r="GN49" s="294"/>
      <c r="GO49" s="287"/>
      <c r="GP49" s="288"/>
      <c r="GQ49" s="289"/>
      <c r="GR49" s="295"/>
      <c r="GS49" s="288"/>
      <c r="GT49" s="294"/>
      <c r="GU49" s="295"/>
      <c r="GV49" s="288"/>
      <c r="GW49" s="294"/>
      <c r="GX49" s="295"/>
      <c r="GY49" s="288"/>
      <c r="GZ49" s="294"/>
      <c r="HA49" s="295"/>
      <c r="HB49" s="288"/>
      <c r="HC49" s="294"/>
      <c r="HD49" s="368">
        <f t="shared" si="12"/>
        <v>0</v>
      </c>
      <c r="HE49" s="369">
        <f t="shared" si="13"/>
        <v>0</v>
      </c>
      <c r="HF49" s="369">
        <f t="shared" si="14"/>
        <v>0</v>
      </c>
    </row>
    <row r="50" spans="1:214" s="1" customFormat="1" ht="15.75" thickBot="1">
      <c r="A50" s="358">
        <v>7</v>
      </c>
      <c r="B50" s="239"/>
      <c r="C50" s="43"/>
      <c r="D50" s="57"/>
      <c r="E50" s="295"/>
      <c r="F50" s="288"/>
      <c r="G50" s="294"/>
      <c r="H50" s="287"/>
      <c r="I50" s="288"/>
      <c r="J50" s="289"/>
      <c r="K50" s="295"/>
      <c r="L50" s="288"/>
      <c r="M50" s="294"/>
      <c r="N50" s="287"/>
      <c r="O50" s="288"/>
      <c r="P50" s="289"/>
      <c r="Q50" s="295"/>
      <c r="R50" s="288"/>
      <c r="S50" s="294"/>
      <c r="T50" s="287"/>
      <c r="U50" s="288"/>
      <c r="V50" s="289"/>
      <c r="W50" s="295"/>
      <c r="X50" s="288"/>
      <c r="Y50" s="294"/>
      <c r="Z50" s="287"/>
      <c r="AA50" s="288"/>
      <c r="AB50" s="289"/>
      <c r="AC50" s="295"/>
      <c r="AD50" s="288"/>
      <c r="AE50" s="294"/>
      <c r="AF50" s="287"/>
      <c r="AG50" s="288"/>
      <c r="AH50" s="289"/>
      <c r="AI50" s="295"/>
      <c r="AJ50" s="288"/>
      <c r="AK50" s="294"/>
      <c r="AL50" s="287"/>
      <c r="AM50" s="288"/>
      <c r="AN50" s="289"/>
      <c r="AO50" s="295"/>
      <c r="AP50" s="288"/>
      <c r="AQ50" s="294"/>
      <c r="AR50" s="287"/>
      <c r="AS50" s="288"/>
      <c r="AT50" s="289"/>
      <c r="AU50" s="295"/>
      <c r="AV50" s="288"/>
      <c r="AW50" s="294"/>
      <c r="AX50" s="287"/>
      <c r="AY50" s="288"/>
      <c r="AZ50" s="289"/>
      <c r="BA50" s="295"/>
      <c r="BB50" s="288"/>
      <c r="BC50" s="294"/>
      <c r="BD50" s="287"/>
      <c r="BE50" s="288"/>
      <c r="BF50" s="289"/>
      <c r="BG50" s="295"/>
      <c r="BH50" s="288"/>
      <c r="BI50" s="294"/>
      <c r="BJ50" s="287"/>
      <c r="BK50" s="288"/>
      <c r="BL50" s="289"/>
      <c r="BM50" s="295"/>
      <c r="BN50" s="288"/>
      <c r="BO50" s="294"/>
      <c r="BP50" s="287"/>
      <c r="BQ50" s="288"/>
      <c r="BR50" s="289"/>
      <c r="BS50" s="295"/>
      <c r="BT50" s="288"/>
      <c r="BU50" s="294"/>
      <c r="BV50" s="287"/>
      <c r="BW50" s="288"/>
      <c r="BX50" s="289"/>
      <c r="BY50" s="295"/>
      <c r="BZ50" s="288"/>
      <c r="CA50" s="294"/>
      <c r="CB50" s="287"/>
      <c r="CC50" s="288"/>
      <c r="CD50" s="289"/>
      <c r="CE50" s="295"/>
      <c r="CF50" s="288"/>
      <c r="CG50" s="294"/>
      <c r="CH50" s="287"/>
      <c r="CI50" s="288"/>
      <c r="CJ50" s="289"/>
      <c r="CK50" s="295"/>
      <c r="CL50" s="288"/>
      <c r="CM50" s="294"/>
      <c r="CN50" s="287"/>
      <c r="CO50" s="288"/>
      <c r="CP50" s="289"/>
      <c r="CQ50" s="295"/>
      <c r="CR50" s="288"/>
      <c r="CS50" s="294"/>
      <c r="CT50" s="295"/>
      <c r="CU50" s="288"/>
      <c r="CV50" s="294"/>
      <c r="CW50" s="295"/>
      <c r="CX50" s="288"/>
      <c r="CY50" s="294"/>
      <c r="CZ50" s="295"/>
      <c r="DA50" s="288"/>
      <c r="DB50" s="294"/>
      <c r="DC50" s="239"/>
      <c r="DD50" s="43"/>
      <c r="DE50" s="57"/>
      <c r="DF50" s="295"/>
      <c r="DG50" s="288"/>
      <c r="DH50" s="294"/>
      <c r="DI50" s="287"/>
      <c r="DJ50" s="288"/>
      <c r="DK50" s="289"/>
      <c r="DL50" s="295"/>
      <c r="DM50" s="288"/>
      <c r="DN50" s="294"/>
      <c r="DO50" s="287"/>
      <c r="DP50" s="288"/>
      <c r="DQ50" s="289"/>
      <c r="DR50" s="295"/>
      <c r="DS50" s="288"/>
      <c r="DT50" s="294"/>
      <c r="DU50" s="287"/>
      <c r="DV50" s="288"/>
      <c r="DW50" s="289"/>
      <c r="DX50" s="295"/>
      <c r="DY50" s="288"/>
      <c r="DZ50" s="294"/>
      <c r="EA50" s="287"/>
      <c r="EB50" s="288"/>
      <c r="EC50" s="289"/>
      <c r="ED50" s="295"/>
      <c r="EE50" s="288"/>
      <c r="EF50" s="294"/>
      <c r="EG50" s="287"/>
      <c r="EH50" s="288"/>
      <c r="EI50" s="289"/>
      <c r="EJ50" s="295"/>
      <c r="EK50" s="288"/>
      <c r="EL50" s="294"/>
      <c r="EM50" s="287"/>
      <c r="EN50" s="288"/>
      <c r="EO50" s="289"/>
      <c r="EP50" s="295"/>
      <c r="EQ50" s="288"/>
      <c r="ER50" s="294"/>
      <c r="ES50" s="287"/>
      <c r="ET50" s="288"/>
      <c r="EU50" s="289"/>
      <c r="EV50" s="295"/>
      <c r="EW50" s="288"/>
      <c r="EX50" s="294"/>
      <c r="EY50" s="287"/>
      <c r="EZ50" s="288"/>
      <c r="FA50" s="289"/>
      <c r="FB50" s="295"/>
      <c r="FC50" s="288"/>
      <c r="FD50" s="294"/>
      <c r="FE50" s="287"/>
      <c r="FF50" s="288"/>
      <c r="FG50" s="289"/>
      <c r="FH50" s="295"/>
      <c r="FI50" s="288"/>
      <c r="FJ50" s="294"/>
      <c r="FK50" s="287"/>
      <c r="FL50" s="288"/>
      <c r="FM50" s="289"/>
      <c r="FN50" s="295"/>
      <c r="FO50" s="288"/>
      <c r="FP50" s="294"/>
      <c r="FQ50" s="287"/>
      <c r="FR50" s="288"/>
      <c r="FS50" s="289"/>
      <c r="FT50" s="295"/>
      <c r="FU50" s="288"/>
      <c r="FV50" s="294"/>
      <c r="FW50" s="287"/>
      <c r="FX50" s="288"/>
      <c r="FY50" s="289"/>
      <c r="FZ50" s="295"/>
      <c r="GA50" s="288"/>
      <c r="GB50" s="294"/>
      <c r="GC50" s="287"/>
      <c r="GD50" s="288"/>
      <c r="GE50" s="289"/>
      <c r="GF50" s="295"/>
      <c r="GG50" s="288"/>
      <c r="GH50" s="294"/>
      <c r="GI50" s="287"/>
      <c r="GJ50" s="288"/>
      <c r="GK50" s="289"/>
      <c r="GL50" s="295"/>
      <c r="GM50" s="288"/>
      <c r="GN50" s="294"/>
      <c r="GO50" s="287"/>
      <c r="GP50" s="288"/>
      <c r="GQ50" s="289"/>
      <c r="GR50" s="295"/>
      <c r="GS50" s="288"/>
      <c r="GT50" s="294"/>
      <c r="GU50" s="295"/>
      <c r="GV50" s="288"/>
      <c r="GW50" s="294"/>
      <c r="GX50" s="295"/>
      <c r="GY50" s="288"/>
      <c r="GZ50" s="294"/>
      <c r="HA50" s="295"/>
      <c r="HB50" s="288"/>
      <c r="HC50" s="294"/>
      <c r="HD50" s="368">
        <f t="shared" si="12"/>
        <v>0</v>
      </c>
      <c r="HE50" s="369">
        <f t="shared" si="13"/>
        <v>0</v>
      </c>
      <c r="HF50" s="369">
        <f t="shared" si="14"/>
        <v>0</v>
      </c>
    </row>
    <row r="51" spans="1:214" ht="15.75" thickBot="1">
      <c r="A51" s="238">
        <v>8</v>
      </c>
      <c r="B51" s="239"/>
      <c r="C51" s="43"/>
      <c r="D51" s="57"/>
      <c r="E51" s="295"/>
      <c r="F51" s="288"/>
      <c r="G51" s="294"/>
      <c r="H51" s="277"/>
      <c r="I51" s="43"/>
      <c r="J51" s="289"/>
      <c r="K51" s="295"/>
      <c r="L51" s="288"/>
      <c r="M51" s="294"/>
      <c r="N51" s="287"/>
      <c r="O51" s="288"/>
      <c r="P51" s="289"/>
      <c r="Q51" s="295"/>
      <c r="R51" s="288"/>
      <c r="S51" s="294"/>
      <c r="T51" s="287"/>
      <c r="U51" s="288"/>
      <c r="V51" s="289"/>
      <c r="W51" s="295"/>
      <c r="X51" s="288"/>
      <c r="Y51" s="294"/>
      <c r="Z51" s="287"/>
      <c r="AA51" s="288"/>
      <c r="AB51" s="289"/>
      <c r="AC51" s="295"/>
      <c r="AD51" s="288"/>
      <c r="AE51" s="294"/>
      <c r="AF51" s="287"/>
      <c r="AG51" s="288"/>
      <c r="AH51" s="289"/>
      <c r="AI51" s="295"/>
      <c r="AJ51" s="288"/>
      <c r="AK51" s="294"/>
      <c r="AL51" s="287"/>
      <c r="AM51" s="288"/>
      <c r="AN51" s="289"/>
      <c r="AO51" s="295"/>
      <c r="AP51" s="288"/>
      <c r="AQ51" s="294"/>
      <c r="AR51" s="287"/>
      <c r="AS51" s="288"/>
      <c r="AT51" s="289"/>
      <c r="AU51" s="295"/>
      <c r="AV51" s="288"/>
      <c r="AW51" s="294"/>
      <c r="AX51" s="287"/>
      <c r="AY51" s="288"/>
      <c r="AZ51" s="289"/>
      <c r="BA51" s="295"/>
      <c r="BB51" s="288"/>
      <c r="BC51" s="294"/>
      <c r="BD51" s="287"/>
      <c r="BE51" s="288"/>
      <c r="BF51" s="289"/>
      <c r="BG51" s="295"/>
      <c r="BH51" s="288"/>
      <c r="BI51" s="294"/>
      <c r="BJ51" s="287"/>
      <c r="BK51" s="288"/>
      <c r="BL51" s="289"/>
      <c r="BM51" s="295"/>
      <c r="BN51" s="288"/>
      <c r="BO51" s="294"/>
      <c r="BP51" s="287"/>
      <c r="BQ51" s="288"/>
      <c r="BR51" s="289"/>
      <c r="BS51" s="295"/>
      <c r="BT51" s="288"/>
      <c r="BU51" s="294"/>
      <c r="BV51" s="287"/>
      <c r="BW51" s="288"/>
      <c r="BX51" s="289"/>
      <c r="BY51" s="295"/>
      <c r="BZ51" s="288"/>
      <c r="CA51" s="294"/>
      <c r="CB51" s="287"/>
      <c r="CC51" s="288"/>
      <c r="CD51" s="289"/>
      <c r="CE51" s="295"/>
      <c r="CF51" s="288"/>
      <c r="CG51" s="294"/>
      <c r="CH51" s="287"/>
      <c r="CI51" s="288"/>
      <c r="CJ51" s="289"/>
      <c r="CK51" s="295"/>
      <c r="CL51" s="288"/>
      <c r="CM51" s="294"/>
      <c r="CN51" s="287"/>
      <c r="CO51" s="288"/>
      <c r="CP51" s="289"/>
      <c r="CQ51" s="295"/>
      <c r="CR51" s="288"/>
      <c r="CS51" s="294"/>
      <c r="CT51" s="295"/>
      <c r="CU51" s="288"/>
      <c r="CV51" s="294"/>
      <c r="CW51" s="295"/>
      <c r="CX51" s="288"/>
      <c r="CY51" s="294"/>
      <c r="CZ51" s="295"/>
      <c r="DA51" s="288"/>
      <c r="DB51" s="294"/>
      <c r="DC51" s="239"/>
      <c r="DD51" s="43"/>
      <c r="DE51" s="57"/>
      <c r="DF51" s="295"/>
      <c r="DG51" s="288"/>
      <c r="DH51" s="294"/>
      <c r="DI51" s="277"/>
      <c r="DJ51" s="43"/>
      <c r="DK51" s="289"/>
      <c r="DL51" s="295"/>
      <c r="DM51" s="288"/>
      <c r="DN51" s="294"/>
      <c r="DO51" s="287"/>
      <c r="DP51" s="288"/>
      <c r="DQ51" s="289"/>
      <c r="DR51" s="295"/>
      <c r="DS51" s="288"/>
      <c r="DT51" s="294"/>
      <c r="DU51" s="287"/>
      <c r="DV51" s="288"/>
      <c r="DW51" s="289"/>
      <c r="DX51" s="295"/>
      <c r="DY51" s="288"/>
      <c r="DZ51" s="294"/>
      <c r="EA51" s="287"/>
      <c r="EB51" s="288"/>
      <c r="EC51" s="289"/>
      <c r="ED51" s="295"/>
      <c r="EE51" s="288"/>
      <c r="EF51" s="294"/>
      <c r="EG51" s="287"/>
      <c r="EH51" s="288"/>
      <c r="EI51" s="289"/>
      <c r="EJ51" s="295"/>
      <c r="EK51" s="288"/>
      <c r="EL51" s="294"/>
      <c r="EM51" s="287"/>
      <c r="EN51" s="288"/>
      <c r="EO51" s="289"/>
      <c r="EP51" s="295"/>
      <c r="EQ51" s="288"/>
      <c r="ER51" s="294"/>
      <c r="ES51" s="287"/>
      <c r="ET51" s="288"/>
      <c r="EU51" s="289"/>
      <c r="EV51" s="295"/>
      <c r="EW51" s="288"/>
      <c r="EX51" s="294"/>
      <c r="EY51" s="287"/>
      <c r="EZ51" s="288"/>
      <c r="FA51" s="289"/>
      <c r="FB51" s="295"/>
      <c r="FC51" s="288"/>
      <c r="FD51" s="294"/>
      <c r="FE51" s="287"/>
      <c r="FF51" s="288"/>
      <c r="FG51" s="289"/>
      <c r="FH51" s="295"/>
      <c r="FI51" s="288"/>
      <c r="FJ51" s="294"/>
      <c r="FK51" s="287"/>
      <c r="FL51" s="288"/>
      <c r="FM51" s="289"/>
      <c r="FN51" s="295"/>
      <c r="FO51" s="288"/>
      <c r="FP51" s="294"/>
      <c r="FQ51" s="287"/>
      <c r="FR51" s="288"/>
      <c r="FS51" s="289"/>
      <c r="FT51" s="295"/>
      <c r="FU51" s="288"/>
      <c r="FV51" s="294"/>
      <c r="FW51" s="287"/>
      <c r="FX51" s="288"/>
      <c r="FY51" s="289"/>
      <c r="FZ51" s="295"/>
      <c r="GA51" s="288"/>
      <c r="GB51" s="294"/>
      <c r="GC51" s="287"/>
      <c r="GD51" s="288"/>
      <c r="GE51" s="289"/>
      <c r="GF51" s="295"/>
      <c r="GG51" s="288"/>
      <c r="GH51" s="294"/>
      <c r="GI51" s="287"/>
      <c r="GJ51" s="288"/>
      <c r="GK51" s="289"/>
      <c r="GL51" s="295"/>
      <c r="GM51" s="288"/>
      <c r="GN51" s="294"/>
      <c r="GO51" s="287"/>
      <c r="GP51" s="288"/>
      <c r="GQ51" s="289"/>
      <c r="GR51" s="295"/>
      <c r="GS51" s="288"/>
      <c r="GT51" s="294"/>
      <c r="GU51" s="295"/>
      <c r="GV51" s="288"/>
      <c r="GW51" s="294"/>
      <c r="GX51" s="295"/>
      <c r="GY51" s="288"/>
      <c r="GZ51" s="294"/>
      <c r="HA51" s="295"/>
      <c r="HB51" s="288"/>
      <c r="HC51" s="294"/>
      <c r="HD51" s="368">
        <f t="shared" si="12"/>
        <v>0</v>
      </c>
      <c r="HE51" s="369">
        <f t="shared" si="13"/>
        <v>0</v>
      </c>
      <c r="HF51" s="369">
        <f t="shared" si="14"/>
        <v>0</v>
      </c>
    </row>
    <row r="52" spans="1:214" ht="15.75" thickBot="1">
      <c r="A52" s="238">
        <v>9</v>
      </c>
      <c r="B52" s="239"/>
      <c r="C52" s="43"/>
      <c r="D52" s="57"/>
      <c r="E52" s="295"/>
      <c r="F52" s="288"/>
      <c r="G52" s="294"/>
      <c r="H52" s="287"/>
      <c r="I52" s="288"/>
      <c r="J52" s="289"/>
      <c r="K52" s="295"/>
      <c r="L52" s="288"/>
      <c r="M52" s="294"/>
      <c r="N52" s="287"/>
      <c r="O52" s="288"/>
      <c r="P52" s="289"/>
      <c r="Q52" s="295"/>
      <c r="R52" s="288"/>
      <c r="S52" s="294"/>
      <c r="T52" s="287"/>
      <c r="U52" s="288"/>
      <c r="V52" s="289"/>
      <c r="W52" s="295"/>
      <c r="X52" s="288"/>
      <c r="Y52" s="294"/>
      <c r="Z52" s="287"/>
      <c r="AA52" s="288"/>
      <c r="AB52" s="289"/>
      <c r="AC52" s="295"/>
      <c r="AD52" s="288"/>
      <c r="AE52" s="294"/>
      <c r="AF52" s="287"/>
      <c r="AG52" s="288"/>
      <c r="AH52" s="289"/>
      <c r="AI52" s="295"/>
      <c r="AJ52" s="288"/>
      <c r="AK52" s="294"/>
      <c r="AL52" s="287"/>
      <c r="AM52" s="288"/>
      <c r="AN52" s="289"/>
      <c r="AO52" s="295"/>
      <c r="AP52" s="288"/>
      <c r="AQ52" s="294"/>
      <c r="AR52" s="287"/>
      <c r="AS52" s="288"/>
      <c r="AT52" s="289"/>
      <c r="AU52" s="295"/>
      <c r="AV52" s="288"/>
      <c r="AW52" s="294"/>
      <c r="AX52" s="287"/>
      <c r="AY52" s="288"/>
      <c r="AZ52" s="289"/>
      <c r="BA52" s="295"/>
      <c r="BB52" s="288"/>
      <c r="BC52" s="294"/>
      <c r="BD52" s="287"/>
      <c r="BE52" s="288"/>
      <c r="BF52" s="289"/>
      <c r="BG52" s="295"/>
      <c r="BH52" s="288"/>
      <c r="BI52" s="294"/>
      <c r="BJ52" s="287"/>
      <c r="BK52" s="288"/>
      <c r="BL52" s="289"/>
      <c r="BM52" s="295"/>
      <c r="BN52" s="288"/>
      <c r="BO52" s="294"/>
      <c r="BP52" s="287"/>
      <c r="BQ52" s="288"/>
      <c r="BR52" s="289"/>
      <c r="BS52" s="295"/>
      <c r="BT52" s="288"/>
      <c r="BU52" s="294"/>
      <c r="BV52" s="287"/>
      <c r="BW52" s="288"/>
      <c r="BX52" s="289"/>
      <c r="BY52" s="295"/>
      <c r="BZ52" s="288"/>
      <c r="CA52" s="294"/>
      <c r="CB52" s="287"/>
      <c r="CC52" s="288"/>
      <c r="CD52" s="289"/>
      <c r="CE52" s="295"/>
      <c r="CF52" s="288"/>
      <c r="CG52" s="294"/>
      <c r="CH52" s="287"/>
      <c r="CI52" s="288"/>
      <c r="CJ52" s="289"/>
      <c r="CK52" s="295"/>
      <c r="CL52" s="288"/>
      <c r="CM52" s="294"/>
      <c r="CN52" s="287"/>
      <c r="CO52" s="288"/>
      <c r="CP52" s="289"/>
      <c r="CQ52" s="295"/>
      <c r="CR52" s="288"/>
      <c r="CS52" s="294"/>
      <c r="CT52" s="295"/>
      <c r="CU52" s="288"/>
      <c r="CV52" s="294"/>
      <c r="CW52" s="295"/>
      <c r="CX52" s="288"/>
      <c r="CY52" s="294"/>
      <c r="CZ52" s="295"/>
      <c r="DA52" s="288"/>
      <c r="DB52" s="294"/>
      <c r="DC52" s="239"/>
      <c r="DD52" s="43"/>
      <c r="DE52" s="57"/>
      <c r="DF52" s="295"/>
      <c r="DG52" s="288"/>
      <c r="DH52" s="294"/>
      <c r="DI52" s="287"/>
      <c r="DJ52" s="288"/>
      <c r="DK52" s="289"/>
      <c r="DL52" s="295"/>
      <c r="DM52" s="288"/>
      <c r="DN52" s="294"/>
      <c r="DO52" s="287"/>
      <c r="DP52" s="288"/>
      <c r="DQ52" s="289"/>
      <c r="DR52" s="295"/>
      <c r="DS52" s="288"/>
      <c r="DT52" s="294"/>
      <c r="DU52" s="287"/>
      <c r="DV52" s="288"/>
      <c r="DW52" s="289"/>
      <c r="DX52" s="295"/>
      <c r="DY52" s="288"/>
      <c r="DZ52" s="294"/>
      <c r="EA52" s="287"/>
      <c r="EB52" s="288"/>
      <c r="EC52" s="289"/>
      <c r="ED52" s="295"/>
      <c r="EE52" s="288"/>
      <c r="EF52" s="294"/>
      <c r="EG52" s="287"/>
      <c r="EH52" s="288"/>
      <c r="EI52" s="289"/>
      <c r="EJ52" s="295"/>
      <c r="EK52" s="288"/>
      <c r="EL52" s="294"/>
      <c r="EM52" s="287"/>
      <c r="EN52" s="288"/>
      <c r="EO52" s="289"/>
      <c r="EP52" s="295"/>
      <c r="EQ52" s="288"/>
      <c r="ER52" s="294"/>
      <c r="ES52" s="287"/>
      <c r="ET52" s="288"/>
      <c r="EU52" s="289"/>
      <c r="EV52" s="295"/>
      <c r="EW52" s="288"/>
      <c r="EX52" s="294"/>
      <c r="EY52" s="287"/>
      <c r="EZ52" s="288"/>
      <c r="FA52" s="289"/>
      <c r="FB52" s="295"/>
      <c r="FC52" s="288"/>
      <c r="FD52" s="294"/>
      <c r="FE52" s="287"/>
      <c r="FF52" s="288"/>
      <c r="FG52" s="289"/>
      <c r="FH52" s="295"/>
      <c r="FI52" s="288"/>
      <c r="FJ52" s="294"/>
      <c r="FK52" s="287"/>
      <c r="FL52" s="288"/>
      <c r="FM52" s="289"/>
      <c r="FN52" s="295"/>
      <c r="FO52" s="288"/>
      <c r="FP52" s="294"/>
      <c r="FQ52" s="287"/>
      <c r="FR52" s="288"/>
      <c r="FS52" s="289"/>
      <c r="FT52" s="295"/>
      <c r="FU52" s="288"/>
      <c r="FV52" s="294"/>
      <c r="FW52" s="287"/>
      <c r="FX52" s="288"/>
      <c r="FY52" s="289"/>
      <c r="FZ52" s="295"/>
      <c r="GA52" s="288"/>
      <c r="GB52" s="294"/>
      <c r="GC52" s="287"/>
      <c r="GD52" s="288"/>
      <c r="GE52" s="289"/>
      <c r="GF52" s="295"/>
      <c r="GG52" s="288"/>
      <c r="GH52" s="294"/>
      <c r="GI52" s="287"/>
      <c r="GJ52" s="288"/>
      <c r="GK52" s="289"/>
      <c r="GL52" s="295"/>
      <c r="GM52" s="288"/>
      <c r="GN52" s="294"/>
      <c r="GO52" s="287"/>
      <c r="GP52" s="288"/>
      <c r="GQ52" s="289"/>
      <c r="GR52" s="295"/>
      <c r="GS52" s="288"/>
      <c r="GT52" s="294"/>
      <c r="GU52" s="295"/>
      <c r="GV52" s="288"/>
      <c r="GW52" s="294"/>
      <c r="GX52" s="295"/>
      <c r="GY52" s="288"/>
      <c r="GZ52" s="294"/>
      <c r="HA52" s="295"/>
      <c r="HB52" s="288"/>
      <c r="HC52" s="294"/>
      <c r="HD52" s="368">
        <f t="shared" si="12"/>
        <v>0</v>
      </c>
      <c r="HE52" s="369">
        <f t="shared" si="13"/>
        <v>0</v>
      </c>
      <c r="HF52" s="369">
        <f t="shared" si="14"/>
        <v>0</v>
      </c>
    </row>
    <row r="53" spans="1:214" ht="15.75" thickBot="1">
      <c r="A53" s="353">
        <v>10</v>
      </c>
      <c r="B53" s="239"/>
      <c r="C53" s="43"/>
      <c r="D53" s="57"/>
      <c r="E53" s="295"/>
      <c r="F53" s="288"/>
      <c r="G53" s="294"/>
      <c r="H53" s="287"/>
      <c r="I53" s="288"/>
      <c r="J53" s="289"/>
      <c r="K53" s="295"/>
      <c r="L53" s="288"/>
      <c r="M53" s="294"/>
      <c r="N53" s="287"/>
      <c r="O53" s="288"/>
      <c r="P53" s="289"/>
      <c r="Q53" s="295"/>
      <c r="R53" s="288"/>
      <c r="S53" s="294"/>
      <c r="T53" s="287"/>
      <c r="U53" s="288"/>
      <c r="V53" s="289"/>
      <c r="W53" s="295"/>
      <c r="X53" s="288"/>
      <c r="Y53" s="294"/>
      <c r="Z53" s="287"/>
      <c r="AA53" s="288"/>
      <c r="AB53" s="289"/>
      <c r="AC53" s="295"/>
      <c r="AD53" s="288"/>
      <c r="AE53" s="294"/>
      <c r="AF53" s="287"/>
      <c r="AG53" s="288"/>
      <c r="AH53" s="289"/>
      <c r="AI53" s="295"/>
      <c r="AJ53" s="288"/>
      <c r="AK53" s="294"/>
      <c r="AL53" s="287"/>
      <c r="AM53" s="288"/>
      <c r="AN53" s="289"/>
      <c r="AO53" s="295"/>
      <c r="AP53" s="288"/>
      <c r="AQ53" s="294"/>
      <c r="AR53" s="287"/>
      <c r="AS53" s="288"/>
      <c r="AT53" s="289"/>
      <c r="AU53" s="295"/>
      <c r="AV53" s="288"/>
      <c r="AW53" s="294"/>
      <c r="AX53" s="287"/>
      <c r="AY53" s="288"/>
      <c r="AZ53" s="289"/>
      <c r="BA53" s="295"/>
      <c r="BB53" s="288"/>
      <c r="BC53" s="294"/>
      <c r="BD53" s="287"/>
      <c r="BE53" s="288"/>
      <c r="BF53" s="289"/>
      <c r="BG53" s="295"/>
      <c r="BH53" s="288"/>
      <c r="BI53" s="294"/>
      <c r="BJ53" s="287"/>
      <c r="BK53" s="288"/>
      <c r="BL53" s="289"/>
      <c r="BM53" s="295"/>
      <c r="BN53" s="288"/>
      <c r="BO53" s="294"/>
      <c r="BP53" s="287"/>
      <c r="BQ53" s="288"/>
      <c r="BR53" s="289"/>
      <c r="BS53" s="295"/>
      <c r="BT53" s="288"/>
      <c r="BU53" s="294"/>
      <c r="BV53" s="287"/>
      <c r="BW53" s="288"/>
      <c r="BX53" s="289"/>
      <c r="BY53" s="295"/>
      <c r="BZ53" s="288"/>
      <c r="CA53" s="294"/>
      <c r="CB53" s="287"/>
      <c r="CC53" s="288"/>
      <c r="CD53" s="289"/>
      <c r="CE53" s="295"/>
      <c r="CF53" s="288"/>
      <c r="CG53" s="294"/>
      <c r="CH53" s="287"/>
      <c r="CI53" s="288"/>
      <c r="CJ53" s="289"/>
      <c r="CK53" s="295"/>
      <c r="CL53" s="288"/>
      <c r="CM53" s="294"/>
      <c r="CN53" s="287"/>
      <c r="CO53" s="288"/>
      <c r="CP53" s="289"/>
      <c r="CQ53" s="295"/>
      <c r="CR53" s="288"/>
      <c r="CS53" s="294"/>
      <c r="CT53" s="295"/>
      <c r="CU53" s="288"/>
      <c r="CV53" s="294"/>
      <c r="CW53" s="295"/>
      <c r="CX53" s="288"/>
      <c r="CY53" s="294"/>
      <c r="CZ53" s="295"/>
      <c r="DA53" s="288"/>
      <c r="DB53" s="294"/>
      <c r="DC53" s="239"/>
      <c r="DD53" s="43"/>
      <c r="DE53" s="57"/>
      <c r="DF53" s="295"/>
      <c r="DG53" s="288"/>
      <c r="DH53" s="294"/>
      <c r="DI53" s="287"/>
      <c r="DJ53" s="288"/>
      <c r="DK53" s="289"/>
      <c r="DL53" s="295"/>
      <c r="DM53" s="288"/>
      <c r="DN53" s="294"/>
      <c r="DO53" s="287"/>
      <c r="DP53" s="288"/>
      <c r="DQ53" s="289"/>
      <c r="DR53" s="295"/>
      <c r="DS53" s="288"/>
      <c r="DT53" s="294"/>
      <c r="DU53" s="287"/>
      <c r="DV53" s="288"/>
      <c r="DW53" s="289"/>
      <c r="DX53" s="295"/>
      <c r="DY53" s="288"/>
      <c r="DZ53" s="294"/>
      <c r="EA53" s="287"/>
      <c r="EB53" s="288"/>
      <c r="EC53" s="289"/>
      <c r="ED53" s="295"/>
      <c r="EE53" s="288"/>
      <c r="EF53" s="294"/>
      <c r="EG53" s="287"/>
      <c r="EH53" s="288"/>
      <c r="EI53" s="289"/>
      <c r="EJ53" s="295"/>
      <c r="EK53" s="288"/>
      <c r="EL53" s="294"/>
      <c r="EM53" s="287"/>
      <c r="EN53" s="288"/>
      <c r="EO53" s="289"/>
      <c r="EP53" s="295"/>
      <c r="EQ53" s="288"/>
      <c r="ER53" s="294"/>
      <c r="ES53" s="287"/>
      <c r="ET53" s="288"/>
      <c r="EU53" s="289"/>
      <c r="EV53" s="295"/>
      <c r="EW53" s="288"/>
      <c r="EX53" s="294"/>
      <c r="EY53" s="287"/>
      <c r="EZ53" s="288"/>
      <c r="FA53" s="289"/>
      <c r="FB53" s="295"/>
      <c r="FC53" s="288"/>
      <c r="FD53" s="294"/>
      <c r="FE53" s="287"/>
      <c r="FF53" s="288"/>
      <c r="FG53" s="289"/>
      <c r="FH53" s="295"/>
      <c r="FI53" s="288"/>
      <c r="FJ53" s="294"/>
      <c r="FK53" s="287"/>
      <c r="FL53" s="288"/>
      <c r="FM53" s="289"/>
      <c r="FN53" s="295"/>
      <c r="FO53" s="288"/>
      <c r="FP53" s="294"/>
      <c r="FQ53" s="287"/>
      <c r="FR53" s="288"/>
      <c r="FS53" s="289"/>
      <c r="FT53" s="295"/>
      <c r="FU53" s="288"/>
      <c r="FV53" s="294"/>
      <c r="FW53" s="287"/>
      <c r="FX53" s="288"/>
      <c r="FY53" s="289"/>
      <c r="FZ53" s="295"/>
      <c r="GA53" s="288"/>
      <c r="GB53" s="294"/>
      <c r="GC53" s="287"/>
      <c r="GD53" s="288"/>
      <c r="GE53" s="289"/>
      <c r="GF53" s="295"/>
      <c r="GG53" s="288"/>
      <c r="GH53" s="294"/>
      <c r="GI53" s="287"/>
      <c r="GJ53" s="288"/>
      <c r="GK53" s="289"/>
      <c r="GL53" s="295"/>
      <c r="GM53" s="288"/>
      <c r="GN53" s="294"/>
      <c r="GO53" s="287"/>
      <c r="GP53" s="288"/>
      <c r="GQ53" s="289"/>
      <c r="GR53" s="295"/>
      <c r="GS53" s="288"/>
      <c r="GT53" s="294"/>
      <c r="GU53" s="295"/>
      <c r="GV53" s="288"/>
      <c r="GW53" s="294"/>
      <c r="GX53" s="295"/>
      <c r="GY53" s="288"/>
      <c r="GZ53" s="294"/>
      <c r="HA53" s="295"/>
      <c r="HB53" s="288"/>
      <c r="HC53" s="294"/>
      <c r="HD53" s="368">
        <f t="shared" si="12"/>
        <v>0</v>
      </c>
      <c r="HE53" s="369">
        <f t="shared" si="13"/>
        <v>0</v>
      </c>
      <c r="HF53" s="369">
        <f t="shared" si="14"/>
        <v>0</v>
      </c>
    </row>
    <row r="54" spans="1:214" ht="15.75" thickBot="1">
      <c r="A54" s="238">
        <v>11</v>
      </c>
      <c r="B54" s="239"/>
      <c r="C54" s="43"/>
      <c r="D54" s="57"/>
      <c r="E54" s="295"/>
      <c r="F54" s="288"/>
      <c r="G54" s="294"/>
      <c r="H54" s="287"/>
      <c r="I54" s="288"/>
      <c r="J54" s="289"/>
      <c r="K54" s="295"/>
      <c r="L54" s="288"/>
      <c r="M54" s="294"/>
      <c r="N54" s="287"/>
      <c r="O54" s="288"/>
      <c r="P54" s="289"/>
      <c r="Q54" s="295"/>
      <c r="R54" s="288"/>
      <c r="S54" s="294"/>
      <c r="T54" s="287"/>
      <c r="U54" s="288"/>
      <c r="V54" s="289"/>
      <c r="W54" s="295"/>
      <c r="X54" s="288"/>
      <c r="Y54" s="294"/>
      <c r="Z54" s="287"/>
      <c r="AA54" s="288"/>
      <c r="AB54" s="289"/>
      <c r="AC54" s="295"/>
      <c r="AD54" s="288"/>
      <c r="AE54" s="294"/>
      <c r="AF54" s="287"/>
      <c r="AG54" s="288"/>
      <c r="AH54" s="289"/>
      <c r="AI54" s="295"/>
      <c r="AJ54" s="288"/>
      <c r="AK54" s="294"/>
      <c r="AL54" s="287"/>
      <c r="AM54" s="288"/>
      <c r="AN54" s="289"/>
      <c r="AO54" s="295"/>
      <c r="AP54" s="288"/>
      <c r="AQ54" s="294"/>
      <c r="AR54" s="287"/>
      <c r="AS54" s="288"/>
      <c r="AT54" s="289"/>
      <c r="AU54" s="295"/>
      <c r="AV54" s="288"/>
      <c r="AW54" s="294"/>
      <c r="AX54" s="287"/>
      <c r="AY54" s="288"/>
      <c r="AZ54" s="289"/>
      <c r="BA54" s="295"/>
      <c r="BB54" s="288"/>
      <c r="BC54" s="294"/>
      <c r="BD54" s="287"/>
      <c r="BE54" s="288"/>
      <c r="BF54" s="289"/>
      <c r="BG54" s="295"/>
      <c r="BH54" s="288"/>
      <c r="BI54" s="294"/>
      <c r="BJ54" s="287"/>
      <c r="BK54" s="288"/>
      <c r="BL54" s="289"/>
      <c r="BM54" s="295"/>
      <c r="BN54" s="288"/>
      <c r="BO54" s="294"/>
      <c r="BP54" s="287"/>
      <c r="BQ54" s="288"/>
      <c r="BR54" s="289"/>
      <c r="BS54" s="295"/>
      <c r="BT54" s="288"/>
      <c r="BU54" s="294"/>
      <c r="BV54" s="287"/>
      <c r="BW54" s="288"/>
      <c r="BX54" s="289"/>
      <c r="BY54" s="295"/>
      <c r="BZ54" s="288"/>
      <c r="CA54" s="294"/>
      <c r="CB54" s="287"/>
      <c r="CC54" s="288"/>
      <c r="CD54" s="289"/>
      <c r="CE54" s="295"/>
      <c r="CF54" s="288"/>
      <c r="CG54" s="294"/>
      <c r="CH54" s="287"/>
      <c r="CI54" s="288"/>
      <c r="CJ54" s="289"/>
      <c r="CK54" s="295"/>
      <c r="CL54" s="288"/>
      <c r="CM54" s="294"/>
      <c r="CN54" s="287"/>
      <c r="CO54" s="288"/>
      <c r="CP54" s="289"/>
      <c r="CQ54" s="295"/>
      <c r="CR54" s="288"/>
      <c r="CS54" s="294"/>
      <c r="CT54" s="295"/>
      <c r="CU54" s="288"/>
      <c r="CV54" s="294"/>
      <c r="CW54" s="295"/>
      <c r="CX54" s="288"/>
      <c r="CY54" s="294"/>
      <c r="CZ54" s="295"/>
      <c r="DA54" s="288"/>
      <c r="DB54" s="294"/>
      <c r="DC54" s="239"/>
      <c r="DD54" s="43"/>
      <c r="DE54" s="57"/>
      <c r="DF54" s="295"/>
      <c r="DG54" s="288"/>
      <c r="DH54" s="294"/>
      <c r="DI54" s="287"/>
      <c r="DJ54" s="288"/>
      <c r="DK54" s="289"/>
      <c r="DL54" s="295"/>
      <c r="DM54" s="288"/>
      <c r="DN54" s="294"/>
      <c r="DO54" s="287"/>
      <c r="DP54" s="288"/>
      <c r="DQ54" s="289"/>
      <c r="DR54" s="295"/>
      <c r="DS54" s="288"/>
      <c r="DT54" s="294"/>
      <c r="DU54" s="287"/>
      <c r="DV54" s="288"/>
      <c r="DW54" s="289"/>
      <c r="DX54" s="295"/>
      <c r="DY54" s="288"/>
      <c r="DZ54" s="294"/>
      <c r="EA54" s="287"/>
      <c r="EB54" s="288"/>
      <c r="EC54" s="289"/>
      <c r="ED54" s="295"/>
      <c r="EE54" s="288"/>
      <c r="EF54" s="294"/>
      <c r="EG54" s="287"/>
      <c r="EH54" s="288"/>
      <c r="EI54" s="289"/>
      <c r="EJ54" s="295"/>
      <c r="EK54" s="288"/>
      <c r="EL54" s="294"/>
      <c r="EM54" s="287"/>
      <c r="EN54" s="288"/>
      <c r="EO54" s="289"/>
      <c r="EP54" s="295"/>
      <c r="EQ54" s="288"/>
      <c r="ER54" s="294"/>
      <c r="ES54" s="287"/>
      <c r="ET54" s="288"/>
      <c r="EU54" s="289"/>
      <c r="EV54" s="295"/>
      <c r="EW54" s="288"/>
      <c r="EX54" s="294"/>
      <c r="EY54" s="287"/>
      <c r="EZ54" s="288"/>
      <c r="FA54" s="289"/>
      <c r="FB54" s="295"/>
      <c r="FC54" s="288"/>
      <c r="FD54" s="294"/>
      <c r="FE54" s="287"/>
      <c r="FF54" s="288"/>
      <c r="FG54" s="289"/>
      <c r="FH54" s="295"/>
      <c r="FI54" s="288"/>
      <c r="FJ54" s="294"/>
      <c r="FK54" s="287"/>
      <c r="FL54" s="288"/>
      <c r="FM54" s="289"/>
      <c r="FN54" s="295"/>
      <c r="FO54" s="288"/>
      <c r="FP54" s="294"/>
      <c r="FQ54" s="287"/>
      <c r="FR54" s="288"/>
      <c r="FS54" s="289"/>
      <c r="FT54" s="295"/>
      <c r="FU54" s="288"/>
      <c r="FV54" s="294"/>
      <c r="FW54" s="287"/>
      <c r="FX54" s="288"/>
      <c r="FY54" s="289"/>
      <c r="FZ54" s="295"/>
      <c r="GA54" s="288"/>
      <c r="GB54" s="294"/>
      <c r="GC54" s="287"/>
      <c r="GD54" s="288"/>
      <c r="GE54" s="289"/>
      <c r="GF54" s="295"/>
      <c r="GG54" s="288"/>
      <c r="GH54" s="294"/>
      <c r="GI54" s="287"/>
      <c r="GJ54" s="288"/>
      <c r="GK54" s="289"/>
      <c r="GL54" s="295"/>
      <c r="GM54" s="288"/>
      <c r="GN54" s="294"/>
      <c r="GO54" s="287"/>
      <c r="GP54" s="288"/>
      <c r="GQ54" s="289"/>
      <c r="GR54" s="295"/>
      <c r="GS54" s="288"/>
      <c r="GT54" s="294"/>
      <c r="GU54" s="295"/>
      <c r="GV54" s="288"/>
      <c r="GW54" s="294"/>
      <c r="GX54" s="295"/>
      <c r="GY54" s="288"/>
      <c r="GZ54" s="294"/>
      <c r="HA54" s="295"/>
      <c r="HB54" s="288"/>
      <c r="HC54" s="294"/>
      <c r="HD54" s="368">
        <f t="shared" si="12"/>
        <v>0</v>
      </c>
      <c r="HE54" s="369">
        <f t="shared" si="13"/>
        <v>0</v>
      </c>
      <c r="HF54" s="369">
        <f t="shared" si="14"/>
        <v>0</v>
      </c>
    </row>
    <row r="55" spans="1:214" ht="15.75" thickBot="1">
      <c r="A55" s="238">
        <v>12</v>
      </c>
      <c r="B55" s="239"/>
      <c r="C55" s="43"/>
      <c r="D55" s="57"/>
      <c r="E55" s="295"/>
      <c r="F55" s="288"/>
      <c r="G55" s="294"/>
      <c r="H55" s="287"/>
      <c r="I55" s="288"/>
      <c r="J55" s="289"/>
      <c r="K55" s="295"/>
      <c r="L55" s="288"/>
      <c r="M55" s="294"/>
      <c r="N55" s="287"/>
      <c r="O55" s="288"/>
      <c r="P55" s="289"/>
      <c r="Q55" s="295"/>
      <c r="R55" s="288"/>
      <c r="S55" s="294"/>
      <c r="T55" s="287"/>
      <c r="U55" s="288"/>
      <c r="V55" s="289"/>
      <c r="W55" s="295"/>
      <c r="X55" s="288"/>
      <c r="Y55" s="294"/>
      <c r="Z55" s="287"/>
      <c r="AA55" s="288"/>
      <c r="AB55" s="289"/>
      <c r="AC55" s="295"/>
      <c r="AD55" s="288"/>
      <c r="AE55" s="294"/>
      <c r="AF55" s="287"/>
      <c r="AG55" s="288"/>
      <c r="AH55" s="289"/>
      <c r="AI55" s="295"/>
      <c r="AJ55" s="288"/>
      <c r="AK55" s="294"/>
      <c r="AL55" s="287"/>
      <c r="AM55" s="288"/>
      <c r="AN55" s="289"/>
      <c r="AO55" s="295"/>
      <c r="AP55" s="288"/>
      <c r="AQ55" s="294"/>
      <c r="AR55" s="287"/>
      <c r="AS55" s="288"/>
      <c r="AT55" s="289"/>
      <c r="AU55" s="295"/>
      <c r="AV55" s="288"/>
      <c r="AW55" s="294"/>
      <c r="AX55" s="287"/>
      <c r="AY55" s="288"/>
      <c r="AZ55" s="289"/>
      <c r="BA55" s="295"/>
      <c r="BB55" s="288"/>
      <c r="BC55" s="294"/>
      <c r="BD55" s="287"/>
      <c r="BE55" s="288"/>
      <c r="BF55" s="289"/>
      <c r="BG55" s="295"/>
      <c r="BH55" s="288"/>
      <c r="BI55" s="294"/>
      <c r="BJ55" s="287"/>
      <c r="BK55" s="288"/>
      <c r="BL55" s="289"/>
      <c r="BM55" s="295"/>
      <c r="BN55" s="288"/>
      <c r="BO55" s="294"/>
      <c r="BP55" s="287"/>
      <c r="BQ55" s="288"/>
      <c r="BR55" s="289"/>
      <c r="BS55" s="295"/>
      <c r="BT55" s="288"/>
      <c r="BU55" s="294"/>
      <c r="BV55" s="287"/>
      <c r="BW55" s="288"/>
      <c r="BX55" s="289"/>
      <c r="BY55" s="295"/>
      <c r="BZ55" s="288"/>
      <c r="CA55" s="294"/>
      <c r="CB55" s="287"/>
      <c r="CC55" s="288"/>
      <c r="CD55" s="289"/>
      <c r="CE55" s="295"/>
      <c r="CF55" s="288"/>
      <c r="CG55" s="294"/>
      <c r="CH55" s="287"/>
      <c r="CI55" s="288"/>
      <c r="CJ55" s="289"/>
      <c r="CK55" s="295"/>
      <c r="CL55" s="288"/>
      <c r="CM55" s="294"/>
      <c r="CN55" s="287"/>
      <c r="CO55" s="288"/>
      <c r="CP55" s="289"/>
      <c r="CQ55" s="295"/>
      <c r="CR55" s="288"/>
      <c r="CS55" s="294"/>
      <c r="CT55" s="295"/>
      <c r="CU55" s="288"/>
      <c r="CV55" s="294"/>
      <c r="CW55" s="295"/>
      <c r="CX55" s="288"/>
      <c r="CY55" s="294"/>
      <c r="CZ55" s="295"/>
      <c r="DA55" s="288"/>
      <c r="DB55" s="294"/>
      <c r="DC55" s="239"/>
      <c r="DD55" s="43"/>
      <c r="DE55" s="57"/>
      <c r="DF55" s="295"/>
      <c r="DG55" s="288"/>
      <c r="DH55" s="294"/>
      <c r="DI55" s="287"/>
      <c r="DJ55" s="288"/>
      <c r="DK55" s="289"/>
      <c r="DL55" s="295"/>
      <c r="DM55" s="288"/>
      <c r="DN55" s="294"/>
      <c r="DO55" s="287"/>
      <c r="DP55" s="288"/>
      <c r="DQ55" s="289"/>
      <c r="DR55" s="295"/>
      <c r="DS55" s="288"/>
      <c r="DT55" s="294"/>
      <c r="DU55" s="287"/>
      <c r="DV55" s="288"/>
      <c r="DW55" s="289"/>
      <c r="DX55" s="295"/>
      <c r="DY55" s="288"/>
      <c r="DZ55" s="294"/>
      <c r="EA55" s="287"/>
      <c r="EB55" s="288"/>
      <c r="EC55" s="289"/>
      <c r="ED55" s="295"/>
      <c r="EE55" s="288"/>
      <c r="EF55" s="294"/>
      <c r="EG55" s="287"/>
      <c r="EH55" s="288"/>
      <c r="EI55" s="289"/>
      <c r="EJ55" s="295"/>
      <c r="EK55" s="288"/>
      <c r="EL55" s="294"/>
      <c r="EM55" s="287"/>
      <c r="EN55" s="288"/>
      <c r="EO55" s="289"/>
      <c r="EP55" s="295"/>
      <c r="EQ55" s="288"/>
      <c r="ER55" s="294"/>
      <c r="ES55" s="287"/>
      <c r="ET55" s="288"/>
      <c r="EU55" s="289"/>
      <c r="EV55" s="295"/>
      <c r="EW55" s="288"/>
      <c r="EX55" s="294"/>
      <c r="EY55" s="287"/>
      <c r="EZ55" s="288"/>
      <c r="FA55" s="289"/>
      <c r="FB55" s="295"/>
      <c r="FC55" s="288"/>
      <c r="FD55" s="294"/>
      <c r="FE55" s="287"/>
      <c r="FF55" s="288"/>
      <c r="FG55" s="289"/>
      <c r="FH55" s="295"/>
      <c r="FI55" s="288"/>
      <c r="FJ55" s="294"/>
      <c r="FK55" s="287"/>
      <c r="FL55" s="288"/>
      <c r="FM55" s="289"/>
      <c r="FN55" s="295"/>
      <c r="FO55" s="288"/>
      <c r="FP55" s="294"/>
      <c r="FQ55" s="287"/>
      <c r="FR55" s="288"/>
      <c r="FS55" s="289"/>
      <c r="FT55" s="295"/>
      <c r="FU55" s="288"/>
      <c r="FV55" s="294"/>
      <c r="FW55" s="287"/>
      <c r="FX55" s="288"/>
      <c r="FY55" s="289"/>
      <c r="FZ55" s="295"/>
      <c r="GA55" s="288"/>
      <c r="GB55" s="294"/>
      <c r="GC55" s="287"/>
      <c r="GD55" s="288"/>
      <c r="GE55" s="289"/>
      <c r="GF55" s="295"/>
      <c r="GG55" s="288"/>
      <c r="GH55" s="294"/>
      <c r="GI55" s="287"/>
      <c r="GJ55" s="288"/>
      <c r="GK55" s="289"/>
      <c r="GL55" s="295"/>
      <c r="GM55" s="288"/>
      <c r="GN55" s="294"/>
      <c r="GO55" s="287"/>
      <c r="GP55" s="288"/>
      <c r="GQ55" s="289"/>
      <c r="GR55" s="295"/>
      <c r="GS55" s="288"/>
      <c r="GT55" s="294"/>
      <c r="GU55" s="295"/>
      <c r="GV55" s="288"/>
      <c r="GW55" s="294"/>
      <c r="GX55" s="295"/>
      <c r="GY55" s="288"/>
      <c r="GZ55" s="294"/>
      <c r="HA55" s="295"/>
      <c r="HB55" s="288"/>
      <c r="HC55" s="294"/>
      <c r="HD55" s="368">
        <f t="shared" si="12"/>
        <v>0</v>
      </c>
      <c r="HE55" s="369">
        <f t="shared" si="13"/>
        <v>0</v>
      </c>
      <c r="HF55" s="369">
        <f t="shared" si="14"/>
        <v>0</v>
      </c>
    </row>
    <row r="56" spans="1:214" ht="15.75" thickBot="1">
      <c r="A56" s="353">
        <v>13</v>
      </c>
      <c r="B56" s="239"/>
      <c r="C56" s="43"/>
      <c r="D56" s="57"/>
      <c r="E56" s="295"/>
      <c r="F56" s="288"/>
      <c r="G56" s="294"/>
      <c r="H56" s="287"/>
      <c r="I56" s="288"/>
      <c r="J56" s="289"/>
      <c r="K56" s="295"/>
      <c r="L56" s="288"/>
      <c r="M56" s="294"/>
      <c r="N56" s="287"/>
      <c r="O56" s="288"/>
      <c r="P56" s="289"/>
      <c r="Q56" s="295"/>
      <c r="R56" s="288"/>
      <c r="S56" s="294"/>
      <c r="T56" s="287"/>
      <c r="U56" s="288"/>
      <c r="V56" s="289"/>
      <c r="W56" s="295"/>
      <c r="X56" s="288"/>
      <c r="Y56" s="294"/>
      <c r="Z56" s="287"/>
      <c r="AA56" s="288"/>
      <c r="AB56" s="289"/>
      <c r="AC56" s="295"/>
      <c r="AD56" s="288"/>
      <c r="AE56" s="294"/>
      <c r="AF56" s="287"/>
      <c r="AG56" s="288"/>
      <c r="AH56" s="289"/>
      <c r="AI56" s="295"/>
      <c r="AJ56" s="288"/>
      <c r="AK56" s="294"/>
      <c r="AL56" s="287"/>
      <c r="AM56" s="288"/>
      <c r="AN56" s="289"/>
      <c r="AO56" s="295"/>
      <c r="AP56" s="288"/>
      <c r="AQ56" s="294"/>
      <c r="AR56" s="287"/>
      <c r="AS56" s="288"/>
      <c r="AT56" s="289"/>
      <c r="AU56" s="295"/>
      <c r="AV56" s="288"/>
      <c r="AW56" s="294"/>
      <c r="AX56" s="287"/>
      <c r="AY56" s="288"/>
      <c r="AZ56" s="289"/>
      <c r="BA56" s="295"/>
      <c r="BB56" s="288"/>
      <c r="BC56" s="294"/>
      <c r="BD56" s="287"/>
      <c r="BE56" s="288"/>
      <c r="BF56" s="289"/>
      <c r="BG56" s="295"/>
      <c r="BH56" s="288"/>
      <c r="BI56" s="294"/>
      <c r="BJ56" s="287"/>
      <c r="BK56" s="288"/>
      <c r="BL56" s="289"/>
      <c r="BM56" s="295"/>
      <c r="BN56" s="288"/>
      <c r="BO56" s="294"/>
      <c r="BP56" s="287"/>
      <c r="BQ56" s="288"/>
      <c r="BR56" s="289"/>
      <c r="BS56" s="295"/>
      <c r="BT56" s="288"/>
      <c r="BU56" s="294"/>
      <c r="BV56" s="287"/>
      <c r="BW56" s="288"/>
      <c r="BX56" s="289"/>
      <c r="BY56" s="295"/>
      <c r="BZ56" s="288"/>
      <c r="CA56" s="294"/>
      <c r="CB56" s="287"/>
      <c r="CC56" s="288"/>
      <c r="CD56" s="289"/>
      <c r="CE56" s="295"/>
      <c r="CF56" s="288"/>
      <c r="CG56" s="294"/>
      <c r="CH56" s="287"/>
      <c r="CI56" s="288"/>
      <c r="CJ56" s="289"/>
      <c r="CK56" s="295"/>
      <c r="CL56" s="288"/>
      <c r="CM56" s="294"/>
      <c r="CN56" s="287"/>
      <c r="CO56" s="288"/>
      <c r="CP56" s="289"/>
      <c r="CQ56" s="295"/>
      <c r="CR56" s="288"/>
      <c r="CS56" s="294"/>
      <c r="CT56" s="295"/>
      <c r="CU56" s="288"/>
      <c r="CV56" s="294"/>
      <c r="CW56" s="295"/>
      <c r="CX56" s="288"/>
      <c r="CY56" s="294"/>
      <c r="CZ56" s="295"/>
      <c r="DA56" s="288"/>
      <c r="DB56" s="294"/>
      <c r="DC56" s="239"/>
      <c r="DD56" s="43"/>
      <c r="DE56" s="57"/>
      <c r="DF56" s="295"/>
      <c r="DG56" s="288"/>
      <c r="DH56" s="294"/>
      <c r="DI56" s="287"/>
      <c r="DJ56" s="288"/>
      <c r="DK56" s="289"/>
      <c r="DL56" s="295"/>
      <c r="DM56" s="288"/>
      <c r="DN56" s="294"/>
      <c r="DO56" s="287"/>
      <c r="DP56" s="288"/>
      <c r="DQ56" s="289"/>
      <c r="DR56" s="295"/>
      <c r="DS56" s="288"/>
      <c r="DT56" s="294"/>
      <c r="DU56" s="287"/>
      <c r="DV56" s="288"/>
      <c r="DW56" s="289"/>
      <c r="DX56" s="295"/>
      <c r="DY56" s="288"/>
      <c r="DZ56" s="294"/>
      <c r="EA56" s="287"/>
      <c r="EB56" s="288"/>
      <c r="EC56" s="289"/>
      <c r="ED56" s="295"/>
      <c r="EE56" s="288"/>
      <c r="EF56" s="294"/>
      <c r="EG56" s="287"/>
      <c r="EH56" s="288"/>
      <c r="EI56" s="289"/>
      <c r="EJ56" s="295"/>
      <c r="EK56" s="288"/>
      <c r="EL56" s="294"/>
      <c r="EM56" s="287"/>
      <c r="EN56" s="288"/>
      <c r="EO56" s="289"/>
      <c r="EP56" s="295"/>
      <c r="EQ56" s="288"/>
      <c r="ER56" s="294"/>
      <c r="ES56" s="287"/>
      <c r="ET56" s="288"/>
      <c r="EU56" s="289"/>
      <c r="EV56" s="295"/>
      <c r="EW56" s="288"/>
      <c r="EX56" s="294"/>
      <c r="EY56" s="287"/>
      <c r="EZ56" s="288"/>
      <c r="FA56" s="289"/>
      <c r="FB56" s="295"/>
      <c r="FC56" s="288"/>
      <c r="FD56" s="294"/>
      <c r="FE56" s="287"/>
      <c r="FF56" s="288"/>
      <c r="FG56" s="289"/>
      <c r="FH56" s="295"/>
      <c r="FI56" s="288"/>
      <c r="FJ56" s="294"/>
      <c r="FK56" s="287"/>
      <c r="FL56" s="288"/>
      <c r="FM56" s="289"/>
      <c r="FN56" s="295"/>
      <c r="FO56" s="288"/>
      <c r="FP56" s="294"/>
      <c r="FQ56" s="287"/>
      <c r="FR56" s="288"/>
      <c r="FS56" s="289"/>
      <c r="FT56" s="295"/>
      <c r="FU56" s="288"/>
      <c r="FV56" s="294"/>
      <c r="FW56" s="287"/>
      <c r="FX56" s="288"/>
      <c r="FY56" s="289"/>
      <c r="FZ56" s="295"/>
      <c r="GA56" s="288"/>
      <c r="GB56" s="294"/>
      <c r="GC56" s="287"/>
      <c r="GD56" s="288"/>
      <c r="GE56" s="289"/>
      <c r="GF56" s="295"/>
      <c r="GG56" s="288"/>
      <c r="GH56" s="294"/>
      <c r="GI56" s="287"/>
      <c r="GJ56" s="288"/>
      <c r="GK56" s="289"/>
      <c r="GL56" s="295"/>
      <c r="GM56" s="288"/>
      <c r="GN56" s="294"/>
      <c r="GO56" s="287"/>
      <c r="GP56" s="288"/>
      <c r="GQ56" s="289"/>
      <c r="GR56" s="295"/>
      <c r="GS56" s="288"/>
      <c r="GT56" s="294"/>
      <c r="GU56" s="295"/>
      <c r="GV56" s="288"/>
      <c r="GW56" s="294"/>
      <c r="GX56" s="295"/>
      <c r="GY56" s="288"/>
      <c r="GZ56" s="294"/>
      <c r="HA56" s="295"/>
      <c r="HB56" s="288"/>
      <c r="HC56" s="294"/>
      <c r="HD56" s="368">
        <f t="shared" si="12"/>
        <v>0</v>
      </c>
      <c r="HE56" s="369">
        <f t="shared" si="13"/>
        <v>0</v>
      </c>
      <c r="HF56" s="369">
        <f t="shared" si="14"/>
        <v>0</v>
      </c>
    </row>
    <row r="57" spans="1:214" s="1" customFormat="1" ht="15.75" thickBot="1">
      <c r="A57" s="243">
        <v>14</v>
      </c>
      <c r="B57" s="239"/>
      <c r="C57" s="43"/>
      <c r="D57" s="57"/>
      <c r="E57" s="295"/>
      <c r="F57" s="288"/>
      <c r="G57" s="294"/>
      <c r="H57" s="287"/>
      <c r="I57" s="288"/>
      <c r="J57" s="289"/>
      <c r="K57" s="295"/>
      <c r="L57" s="288"/>
      <c r="M57" s="294"/>
      <c r="N57" s="287"/>
      <c r="O57" s="288"/>
      <c r="P57" s="289"/>
      <c r="Q57" s="295"/>
      <c r="R57" s="288"/>
      <c r="S57" s="294"/>
      <c r="T57" s="287"/>
      <c r="U57" s="288"/>
      <c r="V57" s="289"/>
      <c r="W57" s="295"/>
      <c r="X57" s="288"/>
      <c r="Y57" s="294"/>
      <c r="Z57" s="287"/>
      <c r="AA57" s="288"/>
      <c r="AB57" s="289"/>
      <c r="AC57" s="295"/>
      <c r="AD57" s="288"/>
      <c r="AE57" s="294"/>
      <c r="AF57" s="287"/>
      <c r="AG57" s="288"/>
      <c r="AH57" s="289"/>
      <c r="AI57" s="295"/>
      <c r="AJ57" s="288"/>
      <c r="AK57" s="294"/>
      <c r="AL57" s="287"/>
      <c r="AM57" s="288"/>
      <c r="AN57" s="289"/>
      <c r="AO57" s="295"/>
      <c r="AP57" s="288"/>
      <c r="AQ57" s="294"/>
      <c r="AR57" s="287"/>
      <c r="AS57" s="288"/>
      <c r="AT57" s="289"/>
      <c r="AU57" s="295"/>
      <c r="AV57" s="288"/>
      <c r="AW57" s="294"/>
      <c r="AX57" s="287"/>
      <c r="AY57" s="288"/>
      <c r="AZ57" s="289"/>
      <c r="BA57" s="295"/>
      <c r="BB57" s="288"/>
      <c r="BC57" s="294"/>
      <c r="BD57" s="287"/>
      <c r="BE57" s="288"/>
      <c r="BF57" s="289"/>
      <c r="BG57" s="295"/>
      <c r="BH57" s="288"/>
      <c r="BI57" s="294"/>
      <c r="BJ57" s="287"/>
      <c r="BK57" s="288"/>
      <c r="BL57" s="289"/>
      <c r="BM57" s="295"/>
      <c r="BN57" s="288"/>
      <c r="BO57" s="294"/>
      <c r="BP57" s="287"/>
      <c r="BQ57" s="288"/>
      <c r="BR57" s="289"/>
      <c r="BS57" s="295"/>
      <c r="BT57" s="288"/>
      <c r="BU57" s="294"/>
      <c r="BV57" s="287"/>
      <c r="BW57" s="288"/>
      <c r="BX57" s="289"/>
      <c r="BY57" s="295"/>
      <c r="BZ57" s="288"/>
      <c r="CA57" s="294"/>
      <c r="CB57" s="287"/>
      <c r="CC57" s="288"/>
      <c r="CD57" s="289"/>
      <c r="CE57" s="295"/>
      <c r="CF57" s="288"/>
      <c r="CG57" s="294"/>
      <c r="CH57" s="287"/>
      <c r="CI57" s="288"/>
      <c r="CJ57" s="289"/>
      <c r="CK57" s="295"/>
      <c r="CL57" s="288"/>
      <c r="CM57" s="294"/>
      <c r="CN57" s="287"/>
      <c r="CO57" s="288"/>
      <c r="CP57" s="289"/>
      <c r="CQ57" s="295"/>
      <c r="CR57" s="288"/>
      <c r="CS57" s="294"/>
      <c r="CT57" s="295"/>
      <c r="CU57" s="288"/>
      <c r="CV57" s="294"/>
      <c r="CW57" s="295"/>
      <c r="CX57" s="288"/>
      <c r="CY57" s="294"/>
      <c r="CZ57" s="295"/>
      <c r="DA57" s="288"/>
      <c r="DB57" s="294"/>
      <c r="DC57" s="239"/>
      <c r="DD57" s="43"/>
      <c r="DE57" s="57"/>
      <c r="DF57" s="295"/>
      <c r="DG57" s="288"/>
      <c r="DH57" s="294"/>
      <c r="DI57" s="287"/>
      <c r="DJ57" s="288"/>
      <c r="DK57" s="289"/>
      <c r="DL57" s="295"/>
      <c r="DM57" s="288"/>
      <c r="DN57" s="294"/>
      <c r="DO57" s="287"/>
      <c r="DP57" s="288"/>
      <c r="DQ57" s="289"/>
      <c r="DR57" s="295"/>
      <c r="DS57" s="288"/>
      <c r="DT57" s="294"/>
      <c r="DU57" s="287"/>
      <c r="DV57" s="288"/>
      <c r="DW57" s="289"/>
      <c r="DX57" s="295"/>
      <c r="DY57" s="288"/>
      <c r="DZ57" s="294"/>
      <c r="EA57" s="287"/>
      <c r="EB57" s="288"/>
      <c r="EC57" s="289"/>
      <c r="ED57" s="295"/>
      <c r="EE57" s="288"/>
      <c r="EF57" s="294"/>
      <c r="EG57" s="287"/>
      <c r="EH57" s="288"/>
      <c r="EI57" s="289"/>
      <c r="EJ57" s="295"/>
      <c r="EK57" s="288"/>
      <c r="EL57" s="294"/>
      <c r="EM57" s="287"/>
      <c r="EN57" s="288"/>
      <c r="EO57" s="289"/>
      <c r="EP57" s="295"/>
      <c r="EQ57" s="288"/>
      <c r="ER57" s="294"/>
      <c r="ES57" s="287"/>
      <c r="ET57" s="288"/>
      <c r="EU57" s="289"/>
      <c r="EV57" s="295"/>
      <c r="EW57" s="288"/>
      <c r="EX57" s="294"/>
      <c r="EY57" s="287"/>
      <c r="EZ57" s="288"/>
      <c r="FA57" s="289"/>
      <c r="FB57" s="295"/>
      <c r="FC57" s="288"/>
      <c r="FD57" s="294"/>
      <c r="FE57" s="287"/>
      <c r="FF57" s="288"/>
      <c r="FG57" s="289"/>
      <c r="FH57" s="295"/>
      <c r="FI57" s="288"/>
      <c r="FJ57" s="294"/>
      <c r="FK57" s="287"/>
      <c r="FL57" s="288"/>
      <c r="FM57" s="289"/>
      <c r="FN57" s="295"/>
      <c r="FO57" s="288"/>
      <c r="FP57" s="294"/>
      <c r="FQ57" s="287"/>
      <c r="FR57" s="288"/>
      <c r="FS57" s="289"/>
      <c r="FT57" s="295"/>
      <c r="FU57" s="288"/>
      <c r="FV57" s="294"/>
      <c r="FW57" s="287"/>
      <c r="FX57" s="288"/>
      <c r="FY57" s="289"/>
      <c r="FZ57" s="295"/>
      <c r="GA57" s="288"/>
      <c r="GB57" s="294"/>
      <c r="GC57" s="287"/>
      <c r="GD57" s="288"/>
      <c r="GE57" s="289"/>
      <c r="GF57" s="295"/>
      <c r="GG57" s="288"/>
      <c r="GH57" s="294"/>
      <c r="GI57" s="287"/>
      <c r="GJ57" s="288"/>
      <c r="GK57" s="289"/>
      <c r="GL57" s="295"/>
      <c r="GM57" s="288"/>
      <c r="GN57" s="294"/>
      <c r="GO57" s="287"/>
      <c r="GP57" s="288"/>
      <c r="GQ57" s="289"/>
      <c r="GR57" s="295"/>
      <c r="GS57" s="288"/>
      <c r="GT57" s="294"/>
      <c r="GU57" s="295"/>
      <c r="GV57" s="288"/>
      <c r="GW57" s="294"/>
      <c r="GX57" s="295"/>
      <c r="GY57" s="288"/>
      <c r="GZ57" s="294"/>
      <c r="HA57" s="295"/>
      <c r="HB57" s="288"/>
      <c r="HC57" s="294"/>
      <c r="HD57" s="368">
        <f t="shared" si="12"/>
        <v>0</v>
      </c>
      <c r="HE57" s="369">
        <f t="shared" si="13"/>
        <v>0</v>
      </c>
      <c r="HF57" s="369">
        <f t="shared" si="14"/>
        <v>0</v>
      </c>
    </row>
    <row r="58" spans="1:214" ht="15.75" thickBot="1">
      <c r="A58" s="238">
        <v>15</v>
      </c>
      <c r="B58" s="239"/>
      <c r="C58" s="43"/>
      <c r="D58" s="57"/>
      <c r="E58" s="295"/>
      <c r="F58" s="288"/>
      <c r="G58" s="294"/>
      <c r="H58" s="287"/>
      <c r="I58" s="288"/>
      <c r="J58" s="289"/>
      <c r="K58" s="295"/>
      <c r="L58" s="288"/>
      <c r="M58" s="294"/>
      <c r="N58" s="287"/>
      <c r="O58" s="288"/>
      <c r="P58" s="289"/>
      <c r="Q58" s="295"/>
      <c r="R58" s="288"/>
      <c r="S58" s="294"/>
      <c r="T58" s="287"/>
      <c r="U58" s="288"/>
      <c r="V58" s="289"/>
      <c r="W58" s="295"/>
      <c r="X58" s="288"/>
      <c r="Y58" s="294"/>
      <c r="Z58" s="287"/>
      <c r="AA58" s="288"/>
      <c r="AB58" s="289"/>
      <c r="AC58" s="295"/>
      <c r="AD58" s="288"/>
      <c r="AE58" s="294"/>
      <c r="AF58" s="287"/>
      <c r="AG58" s="288"/>
      <c r="AH58" s="289"/>
      <c r="AI58" s="295"/>
      <c r="AJ58" s="288"/>
      <c r="AK58" s="294"/>
      <c r="AL58" s="287"/>
      <c r="AM58" s="288"/>
      <c r="AN58" s="289"/>
      <c r="AO58" s="295"/>
      <c r="AP58" s="288"/>
      <c r="AQ58" s="294"/>
      <c r="AR58" s="287"/>
      <c r="AS58" s="288"/>
      <c r="AT58" s="289"/>
      <c r="AU58" s="295"/>
      <c r="AV58" s="288"/>
      <c r="AW58" s="294"/>
      <c r="AX58" s="287"/>
      <c r="AY58" s="288"/>
      <c r="AZ58" s="289"/>
      <c r="BA58" s="295"/>
      <c r="BB58" s="288"/>
      <c r="BC58" s="294"/>
      <c r="BD58" s="287"/>
      <c r="BE58" s="288"/>
      <c r="BF58" s="289"/>
      <c r="BG58" s="295"/>
      <c r="BH58" s="288"/>
      <c r="BI58" s="294"/>
      <c r="BJ58" s="287"/>
      <c r="BK58" s="288"/>
      <c r="BL58" s="289"/>
      <c r="BM58" s="295"/>
      <c r="BN58" s="288"/>
      <c r="BO58" s="294"/>
      <c r="BP58" s="287"/>
      <c r="BQ58" s="288"/>
      <c r="BR58" s="289"/>
      <c r="BS58" s="295"/>
      <c r="BT58" s="288"/>
      <c r="BU58" s="294"/>
      <c r="BV58" s="287"/>
      <c r="BW58" s="288"/>
      <c r="BX58" s="289"/>
      <c r="BY58" s="295"/>
      <c r="BZ58" s="288"/>
      <c r="CA58" s="294"/>
      <c r="CB58" s="287"/>
      <c r="CC58" s="288"/>
      <c r="CD58" s="289"/>
      <c r="CE58" s="295"/>
      <c r="CF58" s="288"/>
      <c r="CG58" s="294"/>
      <c r="CH58" s="287"/>
      <c r="CI58" s="288"/>
      <c r="CJ58" s="289"/>
      <c r="CK58" s="295"/>
      <c r="CL58" s="288"/>
      <c r="CM58" s="294"/>
      <c r="CN58" s="287"/>
      <c r="CO58" s="288"/>
      <c r="CP58" s="289"/>
      <c r="CQ58" s="295"/>
      <c r="CR58" s="288"/>
      <c r="CS58" s="294"/>
      <c r="CT58" s="295"/>
      <c r="CU58" s="288"/>
      <c r="CV58" s="294"/>
      <c r="CW58" s="295"/>
      <c r="CX58" s="288"/>
      <c r="CY58" s="294"/>
      <c r="CZ58" s="295"/>
      <c r="DA58" s="288"/>
      <c r="DB58" s="294"/>
      <c r="DC58" s="239"/>
      <c r="DD58" s="43"/>
      <c r="DE58" s="57"/>
      <c r="DF58" s="295"/>
      <c r="DG58" s="288"/>
      <c r="DH58" s="294"/>
      <c r="DI58" s="287"/>
      <c r="DJ58" s="288"/>
      <c r="DK58" s="289"/>
      <c r="DL58" s="295"/>
      <c r="DM58" s="288"/>
      <c r="DN58" s="294"/>
      <c r="DO58" s="287"/>
      <c r="DP58" s="288"/>
      <c r="DQ58" s="289"/>
      <c r="DR58" s="295"/>
      <c r="DS58" s="288"/>
      <c r="DT58" s="294"/>
      <c r="DU58" s="287"/>
      <c r="DV58" s="288"/>
      <c r="DW58" s="289"/>
      <c r="DX58" s="295"/>
      <c r="DY58" s="288"/>
      <c r="DZ58" s="294"/>
      <c r="EA58" s="287"/>
      <c r="EB58" s="288"/>
      <c r="EC58" s="289"/>
      <c r="ED58" s="295"/>
      <c r="EE58" s="288"/>
      <c r="EF58" s="294"/>
      <c r="EG58" s="287"/>
      <c r="EH58" s="288"/>
      <c r="EI58" s="289"/>
      <c r="EJ58" s="295"/>
      <c r="EK58" s="288"/>
      <c r="EL58" s="294"/>
      <c r="EM58" s="287"/>
      <c r="EN58" s="288"/>
      <c r="EO58" s="289"/>
      <c r="EP58" s="295"/>
      <c r="EQ58" s="288"/>
      <c r="ER58" s="294"/>
      <c r="ES58" s="287"/>
      <c r="ET58" s="288"/>
      <c r="EU58" s="289"/>
      <c r="EV58" s="295"/>
      <c r="EW58" s="288"/>
      <c r="EX58" s="294"/>
      <c r="EY58" s="287"/>
      <c r="EZ58" s="288"/>
      <c r="FA58" s="289"/>
      <c r="FB58" s="295"/>
      <c r="FC58" s="288"/>
      <c r="FD58" s="294"/>
      <c r="FE58" s="287"/>
      <c r="FF58" s="288"/>
      <c r="FG58" s="289"/>
      <c r="FH58" s="295"/>
      <c r="FI58" s="288"/>
      <c r="FJ58" s="294"/>
      <c r="FK58" s="287"/>
      <c r="FL58" s="288"/>
      <c r="FM58" s="289"/>
      <c r="FN58" s="295"/>
      <c r="FO58" s="288"/>
      <c r="FP58" s="294"/>
      <c r="FQ58" s="287"/>
      <c r="FR58" s="288"/>
      <c r="FS58" s="289"/>
      <c r="FT58" s="295"/>
      <c r="FU58" s="288"/>
      <c r="FV58" s="294"/>
      <c r="FW58" s="287"/>
      <c r="FX58" s="288"/>
      <c r="FY58" s="289"/>
      <c r="FZ58" s="295"/>
      <c r="GA58" s="288"/>
      <c r="GB58" s="294"/>
      <c r="GC58" s="287"/>
      <c r="GD58" s="288"/>
      <c r="GE58" s="289"/>
      <c r="GF58" s="295"/>
      <c r="GG58" s="288"/>
      <c r="GH58" s="294"/>
      <c r="GI58" s="287"/>
      <c r="GJ58" s="288"/>
      <c r="GK58" s="289"/>
      <c r="GL58" s="295"/>
      <c r="GM58" s="288"/>
      <c r="GN58" s="294"/>
      <c r="GO58" s="287"/>
      <c r="GP58" s="288"/>
      <c r="GQ58" s="289"/>
      <c r="GR58" s="295"/>
      <c r="GS58" s="288"/>
      <c r="GT58" s="294"/>
      <c r="GU58" s="295"/>
      <c r="GV58" s="288"/>
      <c r="GW58" s="294"/>
      <c r="GX58" s="295"/>
      <c r="GY58" s="288"/>
      <c r="GZ58" s="294"/>
      <c r="HA58" s="295"/>
      <c r="HB58" s="288"/>
      <c r="HC58" s="294"/>
      <c r="HD58" s="368">
        <f t="shared" si="12"/>
        <v>0</v>
      </c>
      <c r="HE58" s="369">
        <f t="shared" si="13"/>
        <v>0</v>
      </c>
      <c r="HF58" s="369">
        <f t="shared" si="14"/>
        <v>0</v>
      </c>
    </row>
    <row r="59" spans="1:214" ht="15.75" thickBot="1">
      <c r="A59" s="353">
        <v>16</v>
      </c>
      <c r="B59" s="239"/>
      <c r="C59" s="43"/>
      <c r="D59" s="57"/>
      <c r="E59" s="295"/>
      <c r="F59" s="288"/>
      <c r="G59" s="294"/>
      <c r="H59" s="287"/>
      <c r="I59" s="288"/>
      <c r="J59" s="289"/>
      <c r="K59" s="295"/>
      <c r="L59" s="288"/>
      <c r="M59" s="294"/>
      <c r="N59" s="287"/>
      <c r="O59" s="288"/>
      <c r="P59" s="289"/>
      <c r="Q59" s="295"/>
      <c r="R59" s="288"/>
      <c r="S59" s="294"/>
      <c r="T59" s="287"/>
      <c r="U59" s="288"/>
      <c r="V59" s="289"/>
      <c r="W59" s="295"/>
      <c r="X59" s="288"/>
      <c r="Y59" s="294"/>
      <c r="Z59" s="287"/>
      <c r="AA59" s="288"/>
      <c r="AB59" s="289"/>
      <c r="AC59" s="295"/>
      <c r="AD59" s="288"/>
      <c r="AE59" s="294"/>
      <c r="AF59" s="287"/>
      <c r="AG59" s="288"/>
      <c r="AH59" s="289"/>
      <c r="AI59" s="295"/>
      <c r="AJ59" s="288"/>
      <c r="AK59" s="294"/>
      <c r="AL59" s="287"/>
      <c r="AM59" s="288"/>
      <c r="AN59" s="289"/>
      <c r="AO59" s="295"/>
      <c r="AP59" s="288"/>
      <c r="AQ59" s="294"/>
      <c r="AR59" s="287"/>
      <c r="AS59" s="288"/>
      <c r="AT59" s="289"/>
      <c r="AU59" s="295"/>
      <c r="AV59" s="288"/>
      <c r="AW59" s="294"/>
      <c r="AX59" s="287"/>
      <c r="AY59" s="288"/>
      <c r="AZ59" s="289"/>
      <c r="BA59" s="295"/>
      <c r="BB59" s="288"/>
      <c r="BC59" s="294"/>
      <c r="BD59" s="287"/>
      <c r="BE59" s="288"/>
      <c r="BF59" s="289"/>
      <c r="BG59" s="295"/>
      <c r="BH59" s="288"/>
      <c r="BI59" s="294"/>
      <c r="BJ59" s="287"/>
      <c r="BK59" s="288"/>
      <c r="BL59" s="289"/>
      <c r="BM59" s="295"/>
      <c r="BN59" s="288"/>
      <c r="BO59" s="294"/>
      <c r="BP59" s="287"/>
      <c r="BQ59" s="288"/>
      <c r="BR59" s="289"/>
      <c r="BS59" s="295"/>
      <c r="BT59" s="288"/>
      <c r="BU59" s="294"/>
      <c r="BV59" s="287"/>
      <c r="BW59" s="288"/>
      <c r="BX59" s="289"/>
      <c r="BY59" s="295"/>
      <c r="BZ59" s="288"/>
      <c r="CA59" s="294"/>
      <c r="CB59" s="287"/>
      <c r="CC59" s="288"/>
      <c r="CD59" s="289"/>
      <c r="CE59" s="295"/>
      <c r="CF59" s="288"/>
      <c r="CG59" s="294"/>
      <c r="CH59" s="287"/>
      <c r="CI59" s="288"/>
      <c r="CJ59" s="289"/>
      <c r="CK59" s="295"/>
      <c r="CL59" s="288"/>
      <c r="CM59" s="294"/>
      <c r="CN59" s="287"/>
      <c r="CO59" s="288"/>
      <c r="CP59" s="289"/>
      <c r="CQ59" s="295"/>
      <c r="CR59" s="288"/>
      <c r="CS59" s="294"/>
      <c r="CT59" s="295"/>
      <c r="CU59" s="288"/>
      <c r="CV59" s="294"/>
      <c r="CW59" s="295"/>
      <c r="CX59" s="288"/>
      <c r="CY59" s="294"/>
      <c r="CZ59" s="295"/>
      <c r="DA59" s="288"/>
      <c r="DB59" s="294"/>
      <c r="DC59" s="239"/>
      <c r="DD59" s="43"/>
      <c r="DE59" s="57"/>
      <c r="DF59" s="295"/>
      <c r="DG59" s="288"/>
      <c r="DH59" s="294"/>
      <c r="DI59" s="287"/>
      <c r="DJ59" s="288"/>
      <c r="DK59" s="289"/>
      <c r="DL59" s="295"/>
      <c r="DM59" s="288"/>
      <c r="DN59" s="294"/>
      <c r="DO59" s="287"/>
      <c r="DP59" s="288"/>
      <c r="DQ59" s="289"/>
      <c r="DR59" s="295"/>
      <c r="DS59" s="288"/>
      <c r="DT59" s="294"/>
      <c r="DU59" s="287"/>
      <c r="DV59" s="288"/>
      <c r="DW59" s="289"/>
      <c r="DX59" s="295"/>
      <c r="DY59" s="288"/>
      <c r="DZ59" s="294"/>
      <c r="EA59" s="287"/>
      <c r="EB59" s="288"/>
      <c r="EC59" s="289"/>
      <c r="ED59" s="295"/>
      <c r="EE59" s="288"/>
      <c r="EF59" s="294"/>
      <c r="EG59" s="287"/>
      <c r="EH59" s="288"/>
      <c r="EI59" s="289"/>
      <c r="EJ59" s="295"/>
      <c r="EK59" s="288"/>
      <c r="EL59" s="294"/>
      <c r="EM59" s="287"/>
      <c r="EN59" s="288"/>
      <c r="EO59" s="289"/>
      <c r="EP59" s="295"/>
      <c r="EQ59" s="288"/>
      <c r="ER59" s="294"/>
      <c r="ES59" s="287"/>
      <c r="ET59" s="288"/>
      <c r="EU59" s="289"/>
      <c r="EV59" s="295"/>
      <c r="EW59" s="288"/>
      <c r="EX59" s="294"/>
      <c r="EY59" s="287"/>
      <c r="EZ59" s="288"/>
      <c r="FA59" s="289"/>
      <c r="FB59" s="295"/>
      <c r="FC59" s="288"/>
      <c r="FD59" s="294"/>
      <c r="FE59" s="287"/>
      <c r="FF59" s="288"/>
      <c r="FG59" s="289"/>
      <c r="FH59" s="295"/>
      <c r="FI59" s="288"/>
      <c r="FJ59" s="294"/>
      <c r="FK59" s="287"/>
      <c r="FL59" s="288"/>
      <c r="FM59" s="289"/>
      <c r="FN59" s="295"/>
      <c r="FO59" s="288"/>
      <c r="FP59" s="294"/>
      <c r="FQ59" s="287"/>
      <c r="FR59" s="288"/>
      <c r="FS59" s="289"/>
      <c r="FT59" s="295"/>
      <c r="FU59" s="288"/>
      <c r="FV59" s="294"/>
      <c r="FW59" s="287"/>
      <c r="FX59" s="288"/>
      <c r="FY59" s="289"/>
      <c r="FZ59" s="295"/>
      <c r="GA59" s="288"/>
      <c r="GB59" s="294"/>
      <c r="GC59" s="287"/>
      <c r="GD59" s="288"/>
      <c r="GE59" s="289"/>
      <c r="GF59" s="295"/>
      <c r="GG59" s="288"/>
      <c r="GH59" s="294"/>
      <c r="GI59" s="287"/>
      <c r="GJ59" s="288"/>
      <c r="GK59" s="289"/>
      <c r="GL59" s="295"/>
      <c r="GM59" s="288"/>
      <c r="GN59" s="294"/>
      <c r="GO59" s="287"/>
      <c r="GP59" s="288"/>
      <c r="GQ59" s="289"/>
      <c r="GR59" s="295"/>
      <c r="GS59" s="288"/>
      <c r="GT59" s="294"/>
      <c r="GU59" s="295"/>
      <c r="GV59" s="288"/>
      <c r="GW59" s="294"/>
      <c r="GX59" s="295"/>
      <c r="GY59" s="288"/>
      <c r="GZ59" s="294"/>
      <c r="HA59" s="295"/>
      <c r="HB59" s="288"/>
      <c r="HC59" s="294"/>
      <c r="HD59" s="368">
        <f t="shared" si="12"/>
        <v>0</v>
      </c>
      <c r="HE59" s="369">
        <f t="shared" si="13"/>
        <v>0</v>
      </c>
      <c r="HF59" s="369">
        <f t="shared" si="14"/>
        <v>0</v>
      </c>
    </row>
    <row r="60" spans="1:214" ht="15.75" thickBot="1">
      <c r="A60" s="238">
        <v>17</v>
      </c>
      <c r="B60" s="239"/>
      <c r="C60" s="43"/>
      <c r="D60" s="57"/>
      <c r="E60" s="295"/>
      <c r="F60" s="288"/>
      <c r="G60" s="294"/>
      <c r="H60" s="287"/>
      <c r="I60" s="288"/>
      <c r="J60" s="289"/>
      <c r="K60" s="295"/>
      <c r="L60" s="288"/>
      <c r="M60" s="294"/>
      <c r="N60" s="287"/>
      <c r="O60" s="288"/>
      <c r="P60" s="289"/>
      <c r="Q60" s="295"/>
      <c r="R60" s="288"/>
      <c r="S60" s="294"/>
      <c r="T60" s="287"/>
      <c r="U60" s="288"/>
      <c r="V60" s="289"/>
      <c r="W60" s="295"/>
      <c r="X60" s="288"/>
      <c r="Y60" s="294"/>
      <c r="Z60" s="287"/>
      <c r="AA60" s="288"/>
      <c r="AB60" s="289"/>
      <c r="AC60" s="295"/>
      <c r="AD60" s="288"/>
      <c r="AE60" s="294"/>
      <c r="AF60" s="287"/>
      <c r="AG60" s="288"/>
      <c r="AH60" s="289"/>
      <c r="AI60" s="295"/>
      <c r="AJ60" s="288"/>
      <c r="AK60" s="294"/>
      <c r="AL60" s="287"/>
      <c r="AM60" s="288"/>
      <c r="AN60" s="289"/>
      <c r="AO60" s="295"/>
      <c r="AP60" s="288"/>
      <c r="AQ60" s="294"/>
      <c r="AR60" s="287"/>
      <c r="AS60" s="288"/>
      <c r="AT60" s="289"/>
      <c r="AU60" s="295"/>
      <c r="AV60" s="288"/>
      <c r="AW60" s="294"/>
      <c r="AX60" s="287"/>
      <c r="AY60" s="288"/>
      <c r="AZ60" s="289"/>
      <c r="BA60" s="295"/>
      <c r="BB60" s="288"/>
      <c r="BC60" s="294"/>
      <c r="BD60" s="287"/>
      <c r="BE60" s="288"/>
      <c r="BF60" s="289"/>
      <c r="BG60" s="295"/>
      <c r="BH60" s="288"/>
      <c r="BI60" s="294"/>
      <c r="BJ60" s="287"/>
      <c r="BK60" s="288"/>
      <c r="BL60" s="289"/>
      <c r="BM60" s="295"/>
      <c r="BN60" s="288"/>
      <c r="BO60" s="294"/>
      <c r="BP60" s="287"/>
      <c r="BQ60" s="288"/>
      <c r="BR60" s="289"/>
      <c r="BS60" s="295"/>
      <c r="BT60" s="288"/>
      <c r="BU60" s="294"/>
      <c r="BV60" s="287"/>
      <c r="BW60" s="288"/>
      <c r="BX60" s="289"/>
      <c r="BY60" s="295"/>
      <c r="BZ60" s="288"/>
      <c r="CA60" s="294"/>
      <c r="CB60" s="287"/>
      <c r="CC60" s="288"/>
      <c r="CD60" s="289"/>
      <c r="CE60" s="295"/>
      <c r="CF60" s="288"/>
      <c r="CG60" s="294"/>
      <c r="CH60" s="287"/>
      <c r="CI60" s="288"/>
      <c r="CJ60" s="289"/>
      <c r="CK60" s="295"/>
      <c r="CL60" s="288"/>
      <c r="CM60" s="294"/>
      <c r="CN60" s="287"/>
      <c r="CO60" s="288"/>
      <c r="CP60" s="289"/>
      <c r="CQ60" s="295"/>
      <c r="CR60" s="288"/>
      <c r="CS60" s="294"/>
      <c r="CT60" s="295"/>
      <c r="CU60" s="288"/>
      <c r="CV60" s="294"/>
      <c r="CW60" s="295"/>
      <c r="CX60" s="288"/>
      <c r="CY60" s="294"/>
      <c r="CZ60" s="295"/>
      <c r="DA60" s="288"/>
      <c r="DB60" s="294"/>
      <c r="DC60" s="239"/>
      <c r="DD60" s="43"/>
      <c r="DE60" s="57"/>
      <c r="DF60" s="295"/>
      <c r="DG60" s="288"/>
      <c r="DH60" s="294"/>
      <c r="DI60" s="287"/>
      <c r="DJ60" s="288"/>
      <c r="DK60" s="289"/>
      <c r="DL60" s="295"/>
      <c r="DM60" s="288"/>
      <c r="DN60" s="294"/>
      <c r="DO60" s="287"/>
      <c r="DP60" s="288"/>
      <c r="DQ60" s="289"/>
      <c r="DR60" s="295"/>
      <c r="DS60" s="288"/>
      <c r="DT60" s="294"/>
      <c r="DU60" s="287"/>
      <c r="DV60" s="288"/>
      <c r="DW60" s="289"/>
      <c r="DX60" s="295"/>
      <c r="DY60" s="288"/>
      <c r="DZ60" s="294"/>
      <c r="EA60" s="287"/>
      <c r="EB60" s="288"/>
      <c r="EC60" s="289"/>
      <c r="ED60" s="295"/>
      <c r="EE60" s="288"/>
      <c r="EF60" s="294"/>
      <c r="EG60" s="287"/>
      <c r="EH60" s="288"/>
      <c r="EI60" s="289"/>
      <c r="EJ60" s="295"/>
      <c r="EK60" s="288"/>
      <c r="EL60" s="294"/>
      <c r="EM60" s="287"/>
      <c r="EN60" s="288"/>
      <c r="EO60" s="289"/>
      <c r="EP60" s="295"/>
      <c r="EQ60" s="288"/>
      <c r="ER60" s="294"/>
      <c r="ES60" s="287"/>
      <c r="ET60" s="288"/>
      <c r="EU60" s="289"/>
      <c r="EV60" s="295"/>
      <c r="EW60" s="288"/>
      <c r="EX60" s="294"/>
      <c r="EY60" s="287"/>
      <c r="EZ60" s="288"/>
      <c r="FA60" s="289"/>
      <c r="FB60" s="295"/>
      <c r="FC60" s="288"/>
      <c r="FD60" s="294"/>
      <c r="FE60" s="287"/>
      <c r="FF60" s="288"/>
      <c r="FG60" s="289"/>
      <c r="FH60" s="295"/>
      <c r="FI60" s="288"/>
      <c r="FJ60" s="294"/>
      <c r="FK60" s="287"/>
      <c r="FL60" s="288"/>
      <c r="FM60" s="289"/>
      <c r="FN60" s="295"/>
      <c r="FO60" s="288"/>
      <c r="FP60" s="294"/>
      <c r="FQ60" s="287"/>
      <c r="FR60" s="288"/>
      <c r="FS60" s="289"/>
      <c r="FT60" s="295"/>
      <c r="FU60" s="288"/>
      <c r="FV60" s="294"/>
      <c r="FW60" s="287"/>
      <c r="FX60" s="288"/>
      <c r="FY60" s="289"/>
      <c r="FZ60" s="295"/>
      <c r="GA60" s="288"/>
      <c r="GB60" s="294"/>
      <c r="GC60" s="287"/>
      <c r="GD60" s="288"/>
      <c r="GE60" s="289"/>
      <c r="GF60" s="295"/>
      <c r="GG60" s="288"/>
      <c r="GH60" s="294"/>
      <c r="GI60" s="287"/>
      <c r="GJ60" s="288"/>
      <c r="GK60" s="289"/>
      <c r="GL60" s="295"/>
      <c r="GM60" s="288"/>
      <c r="GN60" s="294"/>
      <c r="GO60" s="287"/>
      <c r="GP60" s="288"/>
      <c r="GQ60" s="289"/>
      <c r="GR60" s="295"/>
      <c r="GS60" s="288"/>
      <c r="GT60" s="294"/>
      <c r="GU60" s="295"/>
      <c r="GV60" s="288"/>
      <c r="GW60" s="294"/>
      <c r="GX60" s="295"/>
      <c r="GY60" s="288"/>
      <c r="GZ60" s="294"/>
      <c r="HA60" s="295"/>
      <c r="HB60" s="288"/>
      <c r="HC60" s="294"/>
      <c r="HD60" s="368">
        <f t="shared" si="12"/>
        <v>0</v>
      </c>
      <c r="HE60" s="369">
        <f t="shared" si="13"/>
        <v>0</v>
      </c>
      <c r="HF60" s="369">
        <f t="shared" si="14"/>
        <v>0</v>
      </c>
    </row>
    <row r="61" spans="1:214" ht="15.75" thickBot="1">
      <c r="A61" s="238">
        <v>18</v>
      </c>
      <c r="B61" s="239"/>
      <c r="C61" s="43"/>
      <c r="D61" s="57"/>
      <c r="E61" s="295"/>
      <c r="F61" s="288"/>
      <c r="G61" s="294"/>
      <c r="H61" s="287"/>
      <c r="I61" s="288"/>
      <c r="J61" s="289"/>
      <c r="K61" s="295"/>
      <c r="L61" s="288"/>
      <c r="M61" s="294"/>
      <c r="N61" s="287"/>
      <c r="O61" s="288"/>
      <c r="P61" s="289"/>
      <c r="Q61" s="295"/>
      <c r="R61" s="288"/>
      <c r="S61" s="294"/>
      <c r="T61" s="287"/>
      <c r="U61" s="288"/>
      <c r="V61" s="289"/>
      <c r="W61" s="295"/>
      <c r="X61" s="288"/>
      <c r="Y61" s="294"/>
      <c r="Z61" s="287"/>
      <c r="AA61" s="288"/>
      <c r="AB61" s="289"/>
      <c r="AC61" s="295"/>
      <c r="AD61" s="288"/>
      <c r="AE61" s="294"/>
      <c r="AF61" s="287"/>
      <c r="AG61" s="288"/>
      <c r="AH61" s="289"/>
      <c r="AI61" s="295"/>
      <c r="AJ61" s="288"/>
      <c r="AK61" s="294"/>
      <c r="AL61" s="287"/>
      <c r="AM61" s="288"/>
      <c r="AN61" s="289"/>
      <c r="AO61" s="295"/>
      <c r="AP61" s="288"/>
      <c r="AQ61" s="294"/>
      <c r="AR61" s="287"/>
      <c r="AS61" s="288"/>
      <c r="AT61" s="289"/>
      <c r="AU61" s="295"/>
      <c r="AV61" s="288"/>
      <c r="AW61" s="294"/>
      <c r="AX61" s="287"/>
      <c r="AY61" s="288"/>
      <c r="AZ61" s="289"/>
      <c r="BA61" s="295"/>
      <c r="BB61" s="288"/>
      <c r="BC61" s="294"/>
      <c r="BD61" s="287"/>
      <c r="BE61" s="288"/>
      <c r="BF61" s="289"/>
      <c r="BG61" s="295"/>
      <c r="BH61" s="288"/>
      <c r="BI61" s="294"/>
      <c r="BJ61" s="287"/>
      <c r="BK61" s="288"/>
      <c r="BL61" s="289"/>
      <c r="BM61" s="295"/>
      <c r="BN61" s="288"/>
      <c r="BO61" s="294"/>
      <c r="BP61" s="287"/>
      <c r="BQ61" s="288"/>
      <c r="BR61" s="289"/>
      <c r="BS61" s="295"/>
      <c r="BT61" s="288"/>
      <c r="BU61" s="294"/>
      <c r="BV61" s="287"/>
      <c r="BW61" s="288"/>
      <c r="BX61" s="289"/>
      <c r="BY61" s="295"/>
      <c r="BZ61" s="288"/>
      <c r="CA61" s="294"/>
      <c r="CB61" s="287"/>
      <c r="CC61" s="288"/>
      <c r="CD61" s="289"/>
      <c r="CE61" s="295"/>
      <c r="CF61" s="288"/>
      <c r="CG61" s="294"/>
      <c r="CH61" s="287"/>
      <c r="CI61" s="288"/>
      <c r="CJ61" s="289"/>
      <c r="CK61" s="295"/>
      <c r="CL61" s="288"/>
      <c r="CM61" s="294"/>
      <c r="CN61" s="287"/>
      <c r="CO61" s="288"/>
      <c r="CP61" s="289"/>
      <c r="CQ61" s="295"/>
      <c r="CR61" s="288"/>
      <c r="CS61" s="294"/>
      <c r="CT61" s="295"/>
      <c r="CU61" s="288"/>
      <c r="CV61" s="294"/>
      <c r="CW61" s="295"/>
      <c r="CX61" s="288"/>
      <c r="CY61" s="294"/>
      <c r="CZ61" s="295"/>
      <c r="DA61" s="288"/>
      <c r="DB61" s="294"/>
      <c r="DC61" s="239"/>
      <c r="DD61" s="43"/>
      <c r="DE61" s="57"/>
      <c r="DF61" s="295"/>
      <c r="DG61" s="288"/>
      <c r="DH61" s="294"/>
      <c r="DI61" s="287"/>
      <c r="DJ61" s="288"/>
      <c r="DK61" s="289"/>
      <c r="DL61" s="295"/>
      <c r="DM61" s="288"/>
      <c r="DN61" s="294"/>
      <c r="DO61" s="287"/>
      <c r="DP61" s="288"/>
      <c r="DQ61" s="289"/>
      <c r="DR61" s="295"/>
      <c r="DS61" s="288"/>
      <c r="DT61" s="294"/>
      <c r="DU61" s="287"/>
      <c r="DV61" s="288"/>
      <c r="DW61" s="289"/>
      <c r="DX61" s="295"/>
      <c r="DY61" s="288"/>
      <c r="DZ61" s="294"/>
      <c r="EA61" s="287"/>
      <c r="EB61" s="288"/>
      <c r="EC61" s="289"/>
      <c r="ED61" s="295"/>
      <c r="EE61" s="288"/>
      <c r="EF61" s="294"/>
      <c r="EG61" s="287"/>
      <c r="EH61" s="288"/>
      <c r="EI61" s="289"/>
      <c r="EJ61" s="295"/>
      <c r="EK61" s="288"/>
      <c r="EL61" s="294"/>
      <c r="EM61" s="287"/>
      <c r="EN61" s="288"/>
      <c r="EO61" s="289"/>
      <c r="EP61" s="295"/>
      <c r="EQ61" s="288"/>
      <c r="ER61" s="294"/>
      <c r="ES61" s="287"/>
      <c r="ET61" s="288"/>
      <c r="EU61" s="289"/>
      <c r="EV61" s="295"/>
      <c r="EW61" s="288"/>
      <c r="EX61" s="294"/>
      <c r="EY61" s="287"/>
      <c r="EZ61" s="288"/>
      <c r="FA61" s="289"/>
      <c r="FB61" s="295"/>
      <c r="FC61" s="288"/>
      <c r="FD61" s="294"/>
      <c r="FE61" s="287"/>
      <c r="FF61" s="288"/>
      <c r="FG61" s="289"/>
      <c r="FH61" s="295"/>
      <c r="FI61" s="288"/>
      <c r="FJ61" s="294"/>
      <c r="FK61" s="287"/>
      <c r="FL61" s="288"/>
      <c r="FM61" s="289"/>
      <c r="FN61" s="295"/>
      <c r="FO61" s="288"/>
      <c r="FP61" s="294"/>
      <c r="FQ61" s="287"/>
      <c r="FR61" s="288"/>
      <c r="FS61" s="289"/>
      <c r="FT61" s="295"/>
      <c r="FU61" s="288"/>
      <c r="FV61" s="294"/>
      <c r="FW61" s="287"/>
      <c r="FX61" s="288"/>
      <c r="FY61" s="289"/>
      <c r="FZ61" s="295"/>
      <c r="GA61" s="288"/>
      <c r="GB61" s="294"/>
      <c r="GC61" s="287"/>
      <c r="GD61" s="288"/>
      <c r="GE61" s="289"/>
      <c r="GF61" s="295"/>
      <c r="GG61" s="288"/>
      <c r="GH61" s="294"/>
      <c r="GI61" s="287"/>
      <c r="GJ61" s="288"/>
      <c r="GK61" s="289"/>
      <c r="GL61" s="295"/>
      <c r="GM61" s="288"/>
      <c r="GN61" s="294"/>
      <c r="GO61" s="287"/>
      <c r="GP61" s="288"/>
      <c r="GQ61" s="289"/>
      <c r="GR61" s="295"/>
      <c r="GS61" s="288"/>
      <c r="GT61" s="294"/>
      <c r="GU61" s="295"/>
      <c r="GV61" s="288"/>
      <c r="GW61" s="294"/>
      <c r="GX61" s="295"/>
      <c r="GY61" s="288"/>
      <c r="GZ61" s="294"/>
      <c r="HA61" s="295"/>
      <c r="HB61" s="288"/>
      <c r="HC61" s="294"/>
      <c r="HD61" s="368">
        <f t="shared" si="12"/>
        <v>0</v>
      </c>
      <c r="HE61" s="369">
        <f t="shared" si="13"/>
        <v>0</v>
      </c>
      <c r="HF61" s="369">
        <f t="shared" si="14"/>
        <v>0</v>
      </c>
    </row>
    <row r="62" spans="1:214" ht="15.75" thickBot="1">
      <c r="A62" s="353">
        <v>19</v>
      </c>
      <c r="B62" s="239"/>
      <c r="C62" s="43"/>
      <c r="D62" s="57"/>
      <c r="E62" s="295"/>
      <c r="F62" s="288"/>
      <c r="G62" s="294"/>
      <c r="H62" s="287"/>
      <c r="I62" s="288"/>
      <c r="J62" s="289"/>
      <c r="K62" s="295"/>
      <c r="L62" s="288"/>
      <c r="M62" s="294"/>
      <c r="N62" s="287"/>
      <c r="O62" s="288"/>
      <c r="P62" s="289"/>
      <c r="Q62" s="295"/>
      <c r="R62" s="288"/>
      <c r="S62" s="294"/>
      <c r="T62" s="287"/>
      <c r="U62" s="288"/>
      <c r="V62" s="289"/>
      <c r="W62" s="295"/>
      <c r="X62" s="288"/>
      <c r="Y62" s="294"/>
      <c r="Z62" s="287"/>
      <c r="AA62" s="288"/>
      <c r="AB62" s="289"/>
      <c r="AC62" s="295"/>
      <c r="AD62" s="288"/>
      <c r="AE62" s="294"/>
      <c r="AF62" s="287"/>
      <c r="AG62" s="288"/>
      <c r="AH62" s="289"/>
      <c r="AI62" s="295"/>
      <c r="AJ62" s="288"/>
      <c r="AK62" s="294"/>
      <c r="AL62" s="287"/>
      <c r="AM62" s="288"/>
      <c r="AN62" s="289"/>
      <c r="AO62" s="295"/>
      <c r="AP62" s="288"/>
      <c r="AQ62" s="294"/>
      <c r="AR62" s="287"/>
      <c r="AS62" s="288"/>
      <c r="AT62" s="289"/>
      <c r="AU62" s="295"/>
      <c r="AV62" s="288"/>
      <c r="AW62" s="294"/>
      <c r="AX62" s="287"/>
      <c r="AY62" s="288"/>
      <c r="AZ62" s="289"/>
      <c r="BA62" s="295"/>
      <c r="BB62" s="288"/>
      <c r="BC62" s="294"/>
      <c r="BD62" s="287"/>
      <c r="BE62" s="288"/>
      <c r="BF62" s="289"/>
      <c r="BG62" s="295"/>
      <c r="BH62" s="288"/>
      <c r="BI62" s="294"/>
      <c r="BJ62" s="287"/>
      <c r="BK62" s="288"/>
      <c r="BL62" s="289"/>
      <c r="BM62" s="295"/>
      <c r="BN62" s="288"/>
      <c r="BO62" s="294"/>
      <c r="BP62" s="287"/>
      <c r="BQ62" s="288"/>
      <c r="BR62" s="289"/>
      <c r="BS62" s="295"/>
      <c r="BT62" s="288"/>
      <c r="BU62" s="294"/>
      <c r="BV62" s="287"/>
      <c r="BW62" s="288"/>
      <c r="BX62" s="289"/>
      <c r="BY62" s="295"/>
      <c r="BZ62" s="288"/>
      <c r="CA62" s="294"/>
      <c r="CB62" s="287"/>
      <c r="CC62" s="288"/>
      <c r="CD62" s="289"/>
      <c r="CE62" s="295"/>
      <c r="CF62" s="288"/>
      <c r="CG62" s="294"/>
      <c r="CH62" s="287"/>
      <c r="CI62" s="288"/>
      <c r="CJ62" s="289"/>
      <c r="CK62" s="295"/>
      <c r="CL62" s="288"/>
      <c r="CM62" s="294"/>
      <c r="CN62" s="287"/>
      <c r="CO62" s="288"/>
      <c r="CP62" s="289"/>
      <c r="CQ62" s="295"/>
      <c r="CR62" s="288"/>
      <c r="CS62" s="294"/>
      <c r="CT62" s="295"/>
      <c r="CU62" s="288"/>
      <c r="CV62" s="294"/>
      <c r="CW62" s="295"/>
      <c r="CX62" s="288"/>
      <c r="CY62" s="294"/>
      <c r="CZ62" s="295"/>
      <c r="DA62" s="288"/>
      <c r="DB62" s="294"/>
      <c r="DC62" s="239"/>
      <c r="DD62" s="43"/>
      <c r="DE62" s="57"/>
      <c r="DF62" s="295"/>
      <c r="DG62" s="288"/>
      <c r="DH62" s="294"/>
      <c r="DI62" s="287"/>
      <c r="DJ62" s="288"/>
      <c r="DK62" s="289"/>
      <c r="DL62" s="295"/>
      <c r="DM62" s="288"/>
      <c r="DN62" s="294"/>
      <c r="DO62" s="287"/>
      <c r="DP62" s="288"/>
      <c r="DQ62" s="289"/>
      <c r="DR62" s="295"/>
      <c r="DS62" s="288"/>
      <c r="DT62" s="294"/>
      <c r="DU62" s="287"/>
      <c r="DV62" s="288"/>
      <c r="DW62" s="289"/>
      <c r="DX62" s="295"/>
      <c r="DY62" s="288"/>
      <c r="DZ62" s="294"/>
      <c r="EA62" s="287"/>
      <c r="EB62" s="288"/>
      <c r="EC62" s="289"/>
      <c r="ED62" s="295"/>
      <c r="EE62" s="288"/>
      <c r="EF62" s="294"/>
      <c r="EG62" s="287"/>
      <c r="EH62" s="288"/>
      <c r="EI62" s="289"/>
      <c r="EJ62" s="295"/>
      <c r="EK62" s="288"/>
      <c r="EL62" s="294"/>
      <c r="EM62" s="287"/>
      <c r="EN62" s="288"/>
      <c r="EO62" s="289"/>
      <c r="EP62" s="295"/>
      <c r="EQ62" s="288"/>
      <c r="ER62" s="294"/>
      <c r="ES62" s="287"/>
      <c r="ET62" s="288"/>
      <c r="EU62" s="289"/>
      <c r="EV62" s="295"/>
      <c r="EW62" s="288"/>
      <c r="EX62" s="294"/>
      <c r="EY62" s="287"/>
      <c r="EZ62" s="288"/>
      <c r="FA62" s="289"/>
      <c r="FB62" s="295"/>
      <c r="FC62" s="288"/>
      <c r="FD62" s="294"/>
      <c r="FE62" s="287"/>
      <c r="FF62" s="288"/>
      <c r="FG62" s="289"/>
      <c r="FH62" s="295"/>
      <c r="FI62" s="288"/>
      <c r="FJ62" s="294"/>
      <c r="FK62" s="287"/>
      <c r="FL62" s="288"/>
      <c r="FM62" s="289"/>
      <c r="FN62" s="295"/>
      <c r="FO62" s="288"/>
      <c r="FP62" s="294"/>
      <c r="FQ62" s="287"/>
      <c r="FR62" s="288"/>
      <c r="FS62" s="289"/>
      <c r="FT62" s="295"/>
      <c r="FU62" s="288"/>
      <c r="FV62" s="294"/>
      <c r="FW62" s="287"/>
      <c r="FX62" s="288"/>
      <c r="FY62" s="289"/>
      <c r="FZ62" s="295"/>
      <c r="GA62" s="288"/>
      <c r="GB62" s="294"/>
      <c r="GC62" s="287"/>
      <c r="GD62" s="288"/>
      <c r="GE62" s="289"/>
      <c r="GF62" s="295"/>
      <c r="GG62" s="288"/>
      <c r="GH62" s="294"/>
      <c r="GI62" s="287"/>
      <c r="GJ62" s="288"/>
      <c r="GK62" s="289"/>
      <c r="GL62" s="295"/>
      <c r="GM62" s="288"/>
      <c r="GN62" s="294"/>
      <c r="GO62" s="287"/>
      <c r="GP62" s="288"/>
      <c r="GQ62" s="289"/>
      <c r="GR62" s="295"/>
      <c r="GS62" s="288"/>
      <c r="GT62" s="294"/>
      <c r="GU62" s="295"/>
      <c r="GV62" s="288"/>
      <c r="GW62" s="294"/>
      <c r="GX62" s="295"/>
      <c r="GY62" s="288"/>
      <c r="GZ62" s="294"/>
      <c r="HA62" s="295"/>
      <c r="HB62" s="288"/>
      <c r="HC62" s="294"/>
      <c r="HD62" s="368">
        <f t="shared" si="12"/>
        <v>0</v>
      </c>
      <c r="HE62" s="369">
        <f t="shared" si="13"/>
        <v>0</v>
      </c>
      <c r="HF62" s="369">
        <f t="shared" si="14"/>
        <v>0</v>
      </c>
    </row>
    <row r="63" spans="1:214" ht="15.75" thickBot="1">
      <c r="A63" s="238">
        <v>20</v>
      </c>
      <c r="B63" s="239"/>
      <c r="C63" s="43"/>
      <c r="D63" s="57"/>
      <c r="E63" s="295"/>
      <c r="F63" s="288"/>
      <c r="G63" s="294"/>
      <c r="H63" s="287"/>
      <c r="I63" s="288"/>
      <c r="J63" s="289"/>
      <c r="K63" s="295"/>
      <c r="L63" s="288"/>
      <c r="M63" s="294"/>
      <c r="N63" s="287"/>
      <c r="O63" s="288"/>
      <c r="P63" s="289"/>
      <c r="Q63" s="295"/>
      <c r="R63" s="288"/>
      <c r="S63" s="294"/>
      <c r="T63" s="287"/>
      <c r="U63" s="288"/>
      <c r="V63" s="289"/>
      <c r="W63" s="295"/>
      <c r="X63" s="288"/>
      <c r="Y63" s="294"/>
      <c r="Z63" s="287"/>
      <c r="AA63" s="288"/>
      <c r="AB63" s="289"/>
      <c r="AC63" s="295"/>
      <c r="AD63" s="288"/>
      <c r="AE63" s="294"/>
      <c r="AF63" s="287"/>
      <c r="AG63" s="288"/>
      <c r="AH63" s="289"/>
      <c r="AI63" s="295"/>
      <c r="AJ63" s="288"/>
      <c r="AK63" s="294"/>
      <c r="AL63" s="287"/>
      <c r="AM63" s="288"/>
      <c r="AN63" s="289"/>
      <c r="AO63" s="295"/>
      <c r="AP63" s="288"/>
      <c r="AQ63" s="294"/>
      <c r="AR63" s="287"/>
      <c r="AS63" s="288"/>
      <c r="AT63" s="289"/>
      <c r="AU63" s="295"/>
      <c r="AV63" s="288"/>
      <c r="AW63" s="294"/>
      <c r="AX63" s="287"/>
      <c r="AY63" s="288"/>
      <c r="AZ63" s="289"/>
      <c r="BA63" s="295"/>
      <c r="BB63" s="288"/>
      <c r="BC63" s="294"/>
      <c r="BD63" s="287"/>
      <c r="BE63" s="288"/>
      <c r="BF63" s="289"/>
      <c r="BG63" s="295"/>
      <c r="BH63" s="288"/>
      <c r="BI63" s="294"/>
      <c r="BJ63" s="287"/>
      <c r="BK63" s="288"/>
      <c r="BL63" s="289"/>
      <c r="BM63" s="295"/>
      <c r="BN63" s="288"/>
      <c r="BO63" s="294"/>
      <c r="BP63" s="287"/>
      <c r="BQ63" s="288"/>
      <c r="BR63" s="289"/>
      <c r="BS63" s="295"/>
      <c r="BT63" s="288"/>
      <c r="BU63" s="294"/>
      <c r="BV63" s="287"/>
      <c r="BW63" s="288"/>
      <c r="BX63" s="289"/>
      <c r="BY63" s="295"/>
      <c r="BZ63" s="288"/>
      <c r="CA63" s="294"/>
      <c r="CB63" s="287"/>
      <c r="CC63" s="288"/>
      <c r="CD63" s="289"/>
      <c r="CE63" s="295"/>
      <c r="CF63" s="288"/>
      <c r="CG63" s="294"/>
      <c r="CH63" s="287"/>
      <c r="CI63" s="288"/>
      <c r="CJ63" s="289"/>
      <c r="CK63" s="295"/>
      <c r="CL63" s="288"/>
      <c r="CM63" s="294"/>
      <c r="CN63" s="287"/>
      <c r="CO63" s="288"/>
      <c r="CP63" s="289"/>
      <c r="CQ63" s="295"/>
      <c r="CR63" s="288"/>
      <c r="CS63" s="294"/>
      <c r="CT63" s="295"/>
      <c r="CU63" s="288"/>
      <c r="CV63" s="294"/>
      <c r="CW63" s="295"/>
      <c r="CX63" s="288"/>
      <c r="CY63" s="294"/>
      <c r="CZ63" s="295"/>
      <c r="DA63" s="288"/>
      <c r="DB63" s="294"/>
      <c r="DC63" s="239"/>
      <c r="DD63" s="43"/>
      <c r="DE63" s="57"/>
      <c r="DF63" s="295"/>
      <c r="DG63" s="288"/>
      <c r="DH63" s="294"/>
      <c r="DI63" s="287"/>
      <c r="DJ63" s="288"/>
      <c r="DK63" s="289"/>
      <c r="DL63" s="295"/>
      <c r="DM63" s="288"/>
      <c r="DN63" s="294"/>
      <c r="DO63" s="287"/>
      <c r="DP63" s="288"/>
      <c r="DQ63" s="289"/>
      <c r="DR63" s="295"/>
      <c r="DS63" s="288"/>
      <c r="DT63" s="294"/>
      <c r="DU63" s="287"/>
      <c r="DV63" s="288"/>
      <c r="DW63" s="289"/>
      <c r="DX63" s="295"/>
      <c r="DY63" s="288"/>
      <c r="DZ63" s="294"/>
      <c r="EA63" s="287"/>
      <c r="EB63" s="288"/>
      <c r="EC63" s="289"/>
      <c r="ED63" s="295"/>
      <c r="EE63" s="288"/>
      <c r="EF63" s="294"/>
      <c r="EG63" s="287"/>
      <c r="EH63" s="288"/>
      <c r="EI63" s="289"/>
      <c r="EJ63" s="295"/>
      <c r="EK63" s="288"/>
      <c r="EL63" s="294"/>
      <c r="EM63" s="287"/>
      <c r="EN63" s="288"/>
      <c r="EO63" s="289"/>
      <c r="EP63" s="295"/>
      <c r="EQ63" s="288"/>
      <c r="ER63" s="294"/>
      <c r="ES63" s="287"/>
      <c r="ET63" s="288"/>
      <c r="EU63" s="289"/>
      <c r="EV63" s="295"/>
      <c r="EW63" s="288"/>
      <c r="EX63" s="294"/>
      <c r="EY63" s="287"/>
      <c r="EZ63" s="288"/>
      <c r="FA63" s="289"/>
      <c r="FB63" s="295"/>
      <c r="FC63" s="288"/>
      <c r="FD63" s="294"/>
      <c r="FE63" s="287"/>
      <c r="FF63" s="288"/>
      <c r="FG63" s="289"/>
      <c r="FH63" s="295"/>
      <c r="FI63" s="288"/>
      <c r="FJ63" s="294"/>
      <c r="FK63" s="287"/>
      <c r="FL63" s="288"/>
      <c r="FM63" s="289"/>
      <c r="FN63" s="295"/>
      <c r="FO63" s="288"/>
      <c r="FP63" s="294"/>
      <c r="FQ63" s="287"/>
      <c r="FR63" s="288"/>
      <c r="FS63" s="289"/>
      <c r="FT63" s="295"/>
      <c r="FU63" s="288"/>
      <c r="FV63" s="294"/>
      <c r="FW63" s="287"/>
      <c r="FX63" s="288"/>
      <c r="FY63" s="289"/>
      <c r="FZ63" s="295"/>
      <c r="GA63" s="288"/>
      <c r="GB63" s="294"/>
      <c r="GC63" s="287"/>
      <c r="GD63" s="288"/>
      <c r="GE63" s="289"/>
      <c r="GF63" s="295"/>
      <c r="GG63" s="288"/>
      <c r="GH63" s="294"/>
      <c r="GI63" s="287"/>
      <c r="GJ63" s="288"/>
      <c r="GK63" s="289"/>
      <c r="GL63" s="295"/>
      <c r="GM63" s="288"/>
      <c r="GN63" s="294"/>
      <c r="GO63" s="287"/>
      <c r="GP63" s="288"/>
      <c r="GQ63" s="289"/>
      <c r="GR63" s="295"/>
      <c r="GS63" s="288"/>
      <c r="GT63" s="294"/>
      <c r="GU63" s="295"/>
      <c r="GV63" s="288"/>
      <c r="GW63" s="294"/>
      <c r="GX63" s="295"/>
      <c r="GY63" s="288"/>
      <c r="GZ63" s="294"/>
      <c r="HA63" s="295"/>
      <c r="HB63" s="288"/>
      <c r="HC63" s="294"/>
      <c r="HD63" s="368">
        <f t="shared" si="12"/>
        <v>0</v>
      </c>
      <c r="HE63" s="369">
        <f t="shared" si="13"/>
        <v>0</v>
      </c>
      <c r="HF63" s="369">
        <f t="shared" si="14"/>
        <v>0</v>
      </c>
    </row>
    <row r="64" spans="1:214" ht="15.75" thickBot="1">
      <c r="A64" s="238">
        <v>21</v>
      </c>
      <c r="B64" s="239"/>
      <c r="C64" s="43"/>
      <c r="D64" s="57"/>
      <c r="E64" s="295"/>
      <c r="F64" s="288"/>
      <c r="G64" s="294"/>
      <c r="H64" s="287"/>
      <c r="I64" s="288"/>
      <c r="J64" s="289"/>
      <c r="K64" s="295"/>
      <c r="L64" s="288"/>
      <c r="M64" s="294"/>
      <c r="N64" s="287"/>
      <c r="O64" s="288"/>
      <c r="P64" s="289"/>
      <c r="Q64" s="295"/>
      <c r="R64" s="288"/>
      <c r="S64" s="294"/>
      <c r="T64" s="287"/>
      <c r="U64" s="288"/>
      <c r="V64" s="289"/>
      <c r="W64" s="295"/>
      <c r="X64" s="288"/>
      <c r="Y64" s="294"/>
      <c r="Z64" s="287"/>
      <c r="AA64" s="288"/>
      <c r="AB64" s="289"/>
      <c r="AC64" s="295"/>
      <c r="AD64" s="288"/>
      <c r="AE64" s="294"/>
      <c r="AF64" s="287"/>
      <c r="AG64" s="288"/>
      <c r="AH64" s="289"/>
      <c r="AI64" s="295"/>
      <c r="AJ64" s="288"/>
      <c r="AK64" s="294"/>
      <c r="AL64" s="287"/>
      <c r="AM64" s="288"/>
      <c r="AN64" s="289"/>
      <c r="AO64" s="295"/>
      <c r="AP64" s="288"/>
      <c r="AQ64" s="294"/>
      <c r="AR64" s="287"/>
      <c r="AS64" s="288"/>
      <c r="AT64" s="289"/>
      <c r="AU64" s="295"/>
      <c r="AV64" s="288"/>
      <c r="AW64" s="294"/>
      <c r="AX64" s="287"/>
      <c r="AY64" s="288"/>
      <c r="AZ64" s="289"/>
      <c r="BA64" s="295"/>
      <c r="BB64" s="288"/>
      <c r="BC64" s="294"/>
      <c r="BD64" s="287"/>
      <c r="BE64" s="288"/>
      <c r="BF64" s="289"/>
      <c r="BG64" s="295"/>
      <c r="BH64" s="288"/>
      <c r="BI64" s="294"/>
      <c r="BJ64" s="287"/>
      <c r="BK64" s="288"/>
      <c r="BL64" s="289"/>
      <c r="BM64" s="295"/>
      <c r="BN64" s="288"/>
      <c r="BO64" s="294"/>
      <c r="BP64" s="287"/>
      <c r="BQ64" s="288"/>
      <c r="BR64" s="289"/>
      <c r="BS64" s="295"/>
      <c r="BT64" s="288"/>
      <c r="BU64" s="294"/>
      <c r="BV64" s="287"/>
      <c r="BW64" s="288"/>
      <c r="BX64" s="289"/>
      <c r="BY64" s="295"/>
      <c r="BZ64" s="288"/>
      <c r="CA64" s="294"/>
      <c r="CB64" s="287"/>
      <c r="CC64" s="288"/>
      <c r="CD64" s="289"/>
      <c r="CE64" s="295"/>
      <c r="CF64" s="288"/>
      <c r="CG64" s="294"/>
      <c r="CH64" s="287"/>
      <c r="CI64" s="288"/>
      <c r="CJ64" s="289"/>
      <c r="CK64" s="295"/>
      <c r="CL64" s="288"/>
      <c r="CM64" s="294"/>
      <c r="CN64" s="287"/>
      <c r="CO64" s="288"/>
      <c r="CP64" s="289"/>
      <c r="CQ64" s="295"/>
      <c r="CR64" s="288"/>
      <c r="CS64" s="294"/>
      <c r="CT64" s="295"/>
      <c r="CU64" s="288"/>
      <c r="CV64" s="294"/>
      <c r="CW64" s="295"/>
      <c r="CX64" s="288"/>
      <c r="CY64" s="294"/>
      <c r="CZ64" s="295"/>
      <c r="DA64" s="288"/>
      <c r="DB64" s="294"/>
      <c r="DC64" s="239"/>
      <c r="DD64" s="43"/>
      <c r="DE64" s="57"/>
      <c r="DF64" s="295"/>
      <c r="DG64" s="288"/>
      <c r="DH64" s="294"/>
      <c r="DI64" s="287"/>
      <c r="DJ64" s="288"/>
      <c r="DK64" s="289"/>
      <c r="DL64" s="295"/>
      <c r="DM64" s="288"/>
      <c r="DN64" s="294"/>
      <c r="DO64" s="287"/>
      <c r="DP64" s="288"/>
      <c r="DQ64" s="289"/>
      <c r="DR64" s="295"/>
      <c r="DS64" s="288"/>
      <c r="DT64" s="294"/>
      <c r="DU64" s="287"/>
      <c r="DV64" s="288"/>
      <c r="DW64" s="289"/>
      <c r="DX64" s="295"/>
      <c r="DY64" s="288"/>
      <c r="DZ64" s="294"/>
      <c r="EA64" s="287"/>
      <c r="EB64" s="288"/>
      <c r="EC64" s="289"/>
      <c r="ED64" s="295"/>
      <c r="EE64" s="288"/>
      <c r="EF64" s="294"/>
      <c r="EG64" s="287"/>
      <c r="EH64" s="288"/>
      <c r="EI64" s="289"/>
      <c r="EJ64" s="295"/>
      <c r="EK64" s="288"/>
      <c r="EL64" s="294"/>
      <c r="EM64" s="287"/>
      <c r="EN64" s="288"/>
      <c r="EO64" s="289"/>
      <c r="EP64" s="295"/>
      <c r="EQ64" s="288"/>
      <c r="ER64" s="294"/>
      <c r="ES64" s="287"/>
      <c r="ET64" s="288"/>
      <c r="EU64" s="289"/>
      <c r="EV64" s="295"/>
      <c r="EW64" s="288"/>
      <c r="EX64" s="294"/>
      <c r="EY64" s="287"/>
      <c r="EZ64" s="288"/>
      <c r="FA64" s="289"/>
      <c r="FB64" s="295"/>
      <c r="FC64" s="288"/>
      <c r="FD64" s="294"/>
      <c r="FE64" s="287"/>
      <c r="FF64" s="288"/>
      <c r="FG64" s="289"/>
      <c r="FH64" s="295"/>
      <c r="FI64" s="288"/>
      <c r="FJ64" s="294"/>
      <c r="FK64" s="287"/>
      <c r="FL64" s="288"/>
      <c r="FM64" s="289"/>
      <c r="FN64" s="295"/>
      <c r="FO64" s="288"/>
      <c r="FP64" s="294"/>
      <c r="FQ64" s="287"/>
      <c r="FR64" s="288"/>
      <c r="FS64" s="289"/>
      <c r="FT64" s="295"/>
      <c r="FU64" s="288"/>
      <c r="FV64" s="294"/>
      <c r="FW64" s="287"/>
      <c r="FX64" s="288"/>
      <c r="FY64" s="289"/>
      <c r="FZ64" s="295"/>
      <c r="GA64" s="288"/>
      <c r="GB64" s="294"/>
      <c r="GC64" s="287"/>
      <c r="GD64" s="288"/>
      <c r="GE64" s="289"/>
      <c r="GF64" s="295"/>
      <c r="GG64" s="288"/>
      <c r="GH64" s="294"/>
      <c r="GI64" s="287"/>
      <c r="GJ64" s="288"/>
      <c r="GK64" s="289"/>
      <c r="GL64" s="295"/>
      <c r="GM64" s="288"/>
      <c r="GN64" s="294"/>
      <c r="GO64" s="287"/>
      <c r="GP64" s="288"/>
      <c r="GQ64" s="289"/>
      <c r="GR64" s="295"/>
      <c r="GS64" s="288"/>
      <c r="GT64" s="294"/>
      <c r="GU64" s="295"/>
      <c r="GV64" s="288"/>
      <c r="GW64" s="294"/>
      <c r="GX64" s="295"/>
      <c r="GY64" s="288"/>
      <c r="GZ64" s="294"/>
      <c r="HA64" s="295"/>
      <c r="HB64" s="288"/>
      <c r="HC64" s="294"/>
      <c r="HD64" s="368">
        <f t="shared" si="12"/>
        <v>0</v>
      </c>
      <c r="HE64" s="369">
        <f t="shared" si="13"/>
        <v>0</v>
      </c>
      <c r="HF64" s="369">
        <f t="shared" si="14"/>
        <v>0</v>
      </c>
    </row>
    <row r="65" spans="1:215" ht="15.75" thickBot="1">
      <c r="A65" s="353">
        <v>22</v>
      </c>
      <c r="B65" s="239"/>
      <c r="C65" s="43"/>
      <c r="D65" s="57"/>
      <c r="E65" s="295"/>
      <c r="F65" s="288"/>
      <c r="G65" s="294"/>
      <c r="H65" s="287"/>
      <c r="I65" s="288"/>
      <c r="J65" s="289"/>
      <c r="K65" s="295"/>
      <c r="L65" s="288"/>
      <c r="M65" s="294"/>
      <c r="N65" s="287"/>
      <c r="O65" s="288"/>
      <c r="P65" s="289"/>
      <c r="Q65" s="295"/>
      <c r="R65" s="288"/>
      <c r="S65" s="294"/>
      <c r="T65" s="287"/>
      <c r="U65" s="288"/>
      <c r="V65" s="289"/>
      <c r="W65" s="295"/>
      <c r="X65" s="288"/>
      <c r="Y65" s="294"/>
      <c r="Z65" s="287"/>
      <c r="AA65" s="288"/>
      <c r="AB65" s="289"/>
      <c r="AC65" s="295"/>
      <c r="AD65" s="288"/>
      <c r="AE65" s="294"/>
      <c r="AF65" s="287"/>
      <c r="AG65" s="288"/>
      <c r="AH65" s="289"/>
      <c r="AI65" s="295"/>
      <c r="AJ65" s="288"/>
      <c r="AK65" s="294"/>
      <c r="AL65" s="287"/>
      <c r="AM65" s="288"/>
      <c r="AN65" s="289"/>
      <c r="AO65" s="295"/>
      <c r="AP65" s="288"/>
      <c r="AQ65" s="294"/>
      <c r="AR65" s="287"/>
      <c r="AS65" s="288"/>
      <c r="AT65" s="289"/>
      <c r="AU65" s="295"/>
      <c r="AV65" s="288"/>
      <c r="AW65" s="294"/>
      <c r="AX65" s="287"/>
      <c r="AY65" s="288"/>
      <c r="AZ65" s="289"/>
      <c r="BA65" s="295"/>
      <c r="BB65" s="288"/>
      <c r="BC65" s="294"/>
      <c r="BD65" s="287"/>
      <c r="BE65" s="288"/>
      <c r="BF65" s="289"/>
      <c r="BG65" s="295"/>
      <c r="BH65" s="288"/>
      <c r="BI65" s="294"/>
      <c r="BJ65" s="287"/>
      <c r="BK65" s="288"/>
      <c r="BL65" s="289"/>
      <c r="BM65" s="295"/>
      <c r="BN65" s="288"/>
      <c r="BO65" s="294"/>
      <c r="BP65" s="287"/>
      <c r="BQ65" s="288"/>
      <c r="BR65" s="289"/>
      <c r="BS65" s="295"/>
      <c r="BT65" s="288"/>
      <c r="BU65" s="294"/>
      <c r="BV65" s="287"/>
      <c r="BW65" s="288"/>
      <c r="BX65" s="289"/>
      <c r="BY65" s="295"/>
      <c r="BZ65" s="288"/>
      <c r="CA65" s="294"/>
      <c r="CB65" s="287"/>
      <c r="CC65" s="288"/>
      <c r="CD65" s="289"/>
      <c r="CE65" s="295"/>
      <c r="CF65" s="288"/>
      <c r="CG65" s="294"/>
      <c r="CH65" s="287"/>
      <c r="CI65" s="288"/>
      <c r="CJ65" s="289"/>
      <c r="CK65" s="295"/>
      <c r="CL65" s="288"/>
      <c r="CM65" s="294"/>
      <c r="CN65" s="287"/>
      <c r="CO65" s="288"/>
      <c r="CP65" s="289"/>
      <c r="CQ65" s="295"/>
      <c r="CR65" s="288"/>
      <c r="CS65" s="294"/>
      <c r="CT65" s="295"/>
      <c r="CU65" s="288"/>
      <c r="CV65" s="294"/>
      <c r="CW65" s="295"/>
      <c r="CX65" s="288"/>
      <c r="CY65" s="294"/>
      <c r="CZ65" s="295"/>
      <c r="DA65" s="288"/>
      <c r="DB65" s="294"/>
      <c r="DC65" s="239"/>
      <c r="DD65" s="43"/>
      <c r="DE65" s="57"/>
      <c r="DF65" s="295"/>
      <c r="DG65" s="288"/>
      <c r="DH65" s="294"/>
      <c r="DI65" s="287"/>
      <c r="DJ65" s="288"/>
      <c r="DK65" s="289"/>
      <c r="DL65" s="295"/>
      <c r="DM65" s="288"/>
      <c r="DN65" s="294"/>
      <c r="DO65" s="287"/>
      <c r="DP65" s="288"/>
      <c r="DQ65" s="289"/>
      <c r="DR65" s="295"/>
      <c r="DS65" s="288"/>
      <c r="DT65" s="294"/>
      <c r="DU65" s="287"/>
      <c r="DV65" s="288"/>
      <c r="DW65" s="289"/>
      <c r="DX65" s="295"/>
      <c r="DY65" s="288"/>
      <c r="DZ65" s="294"/>
      <c r="EA65" s="287"/>
      <c r="EB65" s="288"/>
      <c r="EC65" s="289"/>
      <c r="ED65" s="295"/>
      <c r="EE65" s="288"/>
      <c r="EF65" s="294"/>
      <c r="EG65" s="287"/>
      <c r="EH65" s="288"/>
      <c r="EI65" s="289"/>
      <c r="EJ65" s="295"/>
      <c r="EK65" s="288"/>
      <c r="EL65" s="294"/>
      <c r="EM65" s="287"/>
      <c r="EN65" s="288"/>
      <c r="EO65" s="289"/>
      <c r="EP65" s="295"/>
      <c r="EQ65" s="288"/>
      <c r="ER65" s="294"/>
      <c r="ES65" s="287"/>
      <c r="ET65" s="288"/>
      <c r="EU65" s="289"/>
      <c r="EV65" s="295"/>
      <c r="EW65" s="288"/>
      <c r="EX65" s="294"/>
      <c r="EY65" s="287"/>
      <c r="EZ65" s="288"/>
      <c r="FA65" s="289"/>
      <c r="FB65" s="295"/>
      <c r="FC65" s="288"/>
      <c r="FD65" s="294"/>
      <c r="FE65" s="287"/>
      <c r="FF65" s="288"/>
      <c r="FG65" s="289"/>
      <c r="FH65" s="295"/>
      <c r="FI65" s="288"/>
      <c r="FJ65" s="294"/>
      <c r="FK65" s="287"/>
      <c r="FL65" s="288"/>
      <c r="FM65" s="289"/>
      <c r="FN65" s="295"/>
      <c r="FO65" s="288"/>
      <c r="FP65" s="294"/>
      <c r="FQ65" s="287"/>
      <c r="FR65" s="288"/>
      <c r="FS65" s="289"/>
      <c r="FT65" s="295"/>
      <c r="FU65" s="288"/>
      <c r="FV65" s="294"/>
      <c r="FW65" s="287"/>
      <c r="FX65" s="288"/>
      <c r="FY65" s="289"/>
      <c r="FZ65" s="295"/>
      <c r="GA65" s="288"/>
      <c r="GB65" s="294"/>
      <c r="GC65" s="287"/>
      <c r="GD65" s="288"/>
      <c r="GE65" s="289"/>
      <c r="GF65" s="295"/>
      <c r="GG65" s="288"/>
      <c r="GH65" s="294"/>
      <c r="GI65" s="287"/>
      <c r="GJ65" s="288"/>
      <c r="GK65" s="289"/>
      <c r="GL65" s="295"/>
      <c r="GM65" s="288"/>
      <c r="GN65" s="294"/>
      <c r="GO65" s="287"/>
      <c r="GP65" s="288"/>
      <c r="GQ65" s="289"/>
      <c r="GR65" s="295"/>
      <c r="GS65" s="288"/>
      <c r="GT65" s="294"/>
      <c r="GU65" s="295"/>
      <c r="GV65" s="288"/>
      <c r="GW65" s="294"/>
      <c r="GX65" s="295"/>
      <c r="GY65" s="288"/>
      <c r="GZ65" s="294"/>
      <c r="HA65" s="295"/>
      <c r="HB65" s="288"/>
      <c r="HC65" s="294"/>
      <c r="HD65" s="368">
        <f t="shared" si="12"/>
        <v>0</v>
      </c>
      <c r="HE65" s="369">
        <f t="shared" si="13"/>
        <v>0</v>
      </c>
      <c r="HF65" s="369">
        <f t="shared" si="14"/>
        <v>0</v>
      </c>
    </row>
    <row r="66" spans="1:215" ht="15.75" thickBot="1">
      <c r="A66" s="238">
        <v>23</v>
      </c>
      <c r="B66" s="239"/>
      <c r="C66" s="43"/>
      <c r="D66" s="57"/>
      <c r="E66" s="295"/>
      <c r="F66" s="288"/>
      <c r="G66" s="294"/>
      <c r="H66" s="287"/>
      <c r="I66" s="288"/>
      <c r="J66" s="289"/>
      <c r="K66" s="295"/>
      <c r="L66" s="288"/>
      <c r="M66" s="294"/>
      <c r="N66" s="287"/>
      <c r="O66" s="288"/>
      <c r="P66" s="289"/>
      <c r="Q66" s="295"/>
      <c r="R66" s="288"/>
      <c r="S66" s="294"/>
      <c r="T66" s="287"/>
      <c r="U66" s="288"/>
      <c r="V66" s="289"/>
      <c r="W66" s="295"/>
      <c r="X66" s="288"/>
      <c r="Y66" s="294"/>
      <c r="Z66" s="287"/>
      <c r="AA66" s="288"/>
      <c r="AB66" s="289"/>
      <c r="AC66" s="295"/>
      <c r="AD66" s="288"/>
      <c r="AE66" s="294"/>
      <c r="AF66" s="287"/>
      <c r="AG66" s="288"/>
      <c r="AH66" s="289"/>
      <c r="AI66" s="295"/>
      <c r="AJ66" s="288"/>
      <c r="AK66" s="294"/>
      <c r="AL66" s="287"/>
      <c r="AM66" s="288"/>
      <c r="AN66" s="289"/>
      <c r="AO66" s="295"/>
      <c r="AP66" s="288"/>
      <c r="AQ66" s="294"/>
      <c r="AR66" s="287"/>
      <c r="AS66" s="288"/>
      <c r="AT66" s="289"/>
      <c r="AU66" s="295"/>
      <c r="AV66" s="288"/>
      <c r="AW66" s="294"/>
      <c r="AX66" s="287"/>
      <c r="AY66" s="288"/>
      <c r="AZ66" s="289"/>
      <c r="BA66" s="295"/>
      <c r="BB66" s="288"/>
      <c r="BC66" s="294"/>
      <c r="BD66" s="287"/>
      <c r="BE66" s="288"/>
      <c r="BF66" s="289"/>
      <c r="BG66" s="295"/>
      <c r="BH66" s="288"/>
      <c r="BI66" s="294"/>
      <c r="BJ66" s="287"/>
      <c r="BK66" s="288"/>
      <c r="BL66" s="289"/>
      <c r="BM66" s="295"/>
      <c r="BN66" s="288"/>
      <c r="BO66" s="294"/>
      <c r="BP66" s="287"/>
      <c r="BQ66" s="288"/>
      <c r="BR66" s="289"/>
      <c r="BS66" s="295"/>
      <c r="BT66" s="288"/>
      <c r="BU66" s="294"/>
      <c r="BV66" s="287"/>
      <c r="BW66" s="288"/>
      <c r="BX66" s="289"/>
      <c r="BY66" s="295"/>
      <c r="BZ66" s="288"/>
      <c r="CA66" s="294"/>
      <c r="CB66" s="287"/>
      <c r="CC66" s="288"/>
      <c r="CD66" s="289"/>
      <c r="CE66" s="295"/>
      <c r="CF66" s="288"/>
      <c r="CG66" s="294"/>
      <c r="CH66" s="287"/>
      <c r="CI66" s="288"/>
      <c r="CJ66" s="289"/>
      <c r="CK66" s="295"/>
      <c r="CL66" s="288"/>
      <c r="CM66" s="294"/>
      <c r="CN66" s="287"/>
      <c r="CO66" s="288"/>
      <c r="CP66" s="289"/>
      <c r="CQ66" s="295"/>
      <c r="CR66" s="288"/>
      <c r="CS66" s="294"/>
      <c r="CT66" s="295"/>
      <c r="CU66" s="288"/>
      <c r="CV66" s="294"/>
      <c r="CW66" s="295"/>
      <c r="CX66" s="288"/>
      <c r="CY66" s="294"/>
      <c r="CZ66" s="295"/>
      <c r="DA66" s="288"/>
      <c r="DB66" s="294"/>
      <c r="DC66" s="239"/>
      <c r="DD66" s="43"/>
      <c r="DE66" s="57"/>
      <c r="DF66" s="295"/>
      <c r="DG66" s="288"/>
      <c r="DH66" s="294"/>
      <c r="DI66" s="287"/>
      <c r="DJ66" s="288"/>
      <c r="DK66" s="289"/>
      <c r="DL66" s="295"/>
      <c r="DM66" s="288"/>
      <c r="DN66" s="294"/>
      <c r="DO66" s="287"/>
      <c r="DP66" s="288"/>
      <c r="DQ66" s="289"/>
      <c r="DR66" s="295"/>
      <c r="DS66" s="288"/>
      <c r="DT66" s="294"/>
      <c r="DU66" s="287"/>
      <c r="DV66" s="288"/>
      <c r="DW66" s="289"/>
      <c r="DX66" s="295"/>
      <c r="DY66" s="288"/>
      <c r="DZ66" s="294"/>
      <c r="EA66" s="287"/>
      <c r="EB66" s="288"/>
      <c r="EC66" s="289"/>
      <c r="ED66" s="295"/>
      <c r="EE66" s="288"/>
      <c r="EF66" s="294"/>
      <c r="EG66" s="287"/>
      <c r="EH66" s="288"/>
      <c r="EI66" s="289"/>
      <c r="EJ66" s="295"/>
      <c r="EK66" s="288"/>
      <c r="EL66" s="294"/>
      <c r="EM66" s="287"/>
      <c r="EN66" s="288"/>
      <c r="EO66" s="289"/>
      <c r="EP66" s="295"/>
      <c r="EQ66" s="288"/>
      <c r="ER66" s="294"/>
      <c r="ES66" s="287"/>
      <c r="ET66" s="288"/>
      <c r="EU66" s="289"/>
      <c r="EV66" s="295"/>
      <c r="EW66" s="288"/>
      <c r="EX66" s="294"/>
      <c r="EY66" s="287"/>
      <c r="EZ66" s="288"/>
      <c r="FA66" s="289"/>
      <c r="FB66" s="295"/>
      <c r="FC66" s="288"/>
      <c r="FD66" s="294"/>
      <c r="FE66" s="287"/>
      <c r="FF66" s="288"/>
      <c r="FG66" s="289"/>
      <c r="FH66" s="295"/>
      <c r="FI66" s="288"/>
      <c r="FJ66" s="294"/>
      <c r="FK66" s="287"/>
      <c r="FL66" s="288"/>
      <c r="FM66" s="289"/>
      <c r="FN66" s="295"/>
      <c r="FO66" s="288"/>
      <c r="FP66" s="294"/>
      <c r="FQ66" s="287"/>
      <c r="FR66" s="288"/>
      <c r="FS66" s="289"/>
      <c r="FT66" s="295"/>
      <c r="FU66" s="288"/>
      <c r="FV66" s="294"/>
      <c r="FW66" s="287"/>
      <c r="FX66" s="288"/>
      <c r="FY66" s="289"/>
      <c r="FZ66" s="295"/>
      <c r="GA66" s="288"/>
      <c r="GB66" s="294"/>
      <c r="GC66" s="287"/>
      <c r="GD66" s="288"/>
      <c r="GE66" s="289"/>
      <c r="GF66" s="295"/>
      <c r="GG66" s="288"/>
      <c r="GH66" s="294"/>
      <c r="GI66" s="287"/>
      <c r="GJ66" s="288"/>
      <c r="GK66" s="289"/>
      <c r="GL66" s="295"/>
      <c r="GM66" s="288"/>
      <c r="GN66" s="294"/>
      <c r="GO66" s="287"/>
      <c r="GP66" s="288"/>
      <c r="GQ66" s="289"/>
      <c r="GR66" s="295"/>
      <c r="GS66" s="288"/>
      <c r="GT66" s="294"/>
      <c r="GU66" s="295"/>
      <c r="GV66" s="288"/>
      <c r="GW66" s="294"/>
      <c r="GX66" s="295"/>
      <c r="GY66" s="288"/>
      <c r="GZ66" s="294"/>
      <c r="HA66" s="295"/>
      <c r="HB66" s="288"/>
      <c r="HC66" s="294"/>
      <c r="HD66" s="368">
        <f t="shared" si="12"/>
        <v>0</v>
      </c>
      <c r="HE66" s="369">
        <f t="shared" si="13"/>
        <v>0</v>
      </c>
      <c r="HF66" s="369">
        <f t="shared" si="14"/>
        <v>0</v>
      </c>
    </row>
    <row r="67" spans="1:215" ht="15.75" thickBot="1">
      <c r="A67" s="238">
        <v>24</v>
      </c>
      <c r="B67" s="239"/>
      <c r="C67" s="43"/>
      <c r="D67" s="57"/>
      <c r="E67" s="295"/>
      <c r="F67" s="288"/>
      <c r="G67" s="294"/>
      <c r="H67" s="287"/>
      <c r="I67" s="288"/>
      <c r="J67" s="289"/>
      <c r="K67" s="295"/>
      <c r="L67" s="288"/>
      <c r="M67" s="294"/>
      <c r="N67" s="287"/>
      <c r="O67" s="288"/>
      <c r="P67" s="289"/>
      <c r="Q67" s="295"/>
      <c r="R67" s="288"/>
      <c r="S67" s="294"/>
      <c r="T67" s="287"/>
      <c r="U67" s="288"/>
      <c r="V67" s="289"/>
      <c r="W67" s="295"/>
      <c r="X67" s="288"/>
      <c r="Y67" s="294"/>
      <c r="Z67" s="287"/>
      <c r="AA67" s="288"/>
      <c r="AB67" s="289"/>
      <c r="AC67" s="295"/>
      <c r="AD67" s="288"/>
      <c r="AE67" s="294"/>
      <c r="AF67" s="287"/>
      <c r="AG67" s="288"/>
      <c r="AH67" s="289"/>
      <c r="AI67" s="295"/>
      <c r="AJ67" s="288"/>
      <c r="AK67" s="294"/>
      <c r="AL67" s="287"/>
      <c r="AM67" s="288"/>
      <c r="AN67" s="289"/>
      <c r="AO67" s="295"/>
      <c r="AP67" s="288"/>
      <c r="AQ67" s="294"/>
      <c r="AR67" s="287"/>
      <c r="AS67" s="288"/>
      <c r="AT67" s="289"/>
      <c r="AU67" s="295"/>
      <c r="AV67" s="288"/>
      <c r="AW67" s="294"/>
      <c r="AX67" s="287"/>
      <c r="AY67" s="288"/>
      <c r="AZ67" s="289"/>
      <c r="BA67" s="295"/>
      <c r="BB67" s="288"/>
      <c r="BC67" s="294"/>
      <c r="BD67" s="287"/>
      <c r="BE67" s="288"/>
      <c r="BF67" s="289"/>
      <c r="BG67" s="295"/>
      <c r="BH67" s="288"/>
      <c r="BI67" s="294"/>
      <c r="BJ67" s="287"/>
      <c r="BK67" s="288"/>
      <c r="BL67" s="289"/>
      <c r="BM67" s="295"/>
      <c r="BN67" s="288"/>
      <c r="BO67" s="294"/>
      <c r="BP67" s="287"/>
      <c r="BQ67" s="288"/>
      <c r="BR67" s="289"/>
      <c r="BS67" s="295"/>
      <c r="BT67" s="288"/>
      <c r="BU67" s="294"/>
      <c r="BV67" s="287"/>
      <c r="BW67" s="288"/>
      <c r="BX67" s="289"/>
      <c r="BY67" s="295"/>
      <c r="BZ67" s="288"/>
      <c r="CA67" s="294"/>
      <c r="CB67" s="287"/>
      <c r="CC67" s="288"/>
      <c r="CD67" s="289"/>
      <c r="CE67" s="295"/>
      <c r="CF67" s="288"/>
      <c r="CG67" s="294"/>
      <c r="CH67" s="287"/>
      <c r="CI67" s="288"/>
      <c r="CJ67" s="289"/>
      <c r="CK67" s="295"/>
      <c r="CL67" s="288"/>
      <c r="CM67" s="294"/>
      <c r="CN67" s="287"/>
      <c r="CO67" s="288"/>
      <c r="CP67" s="289"/>
      <c r="CQ67" s="295"/>
      <c r="CR67" s="288"/>
      <c r="CS67" s="294"/>
      <c r="CT67" s="295"/>
      <c r="CU67" s="288"/>
      <c r="CV67" s="294"/>
      <c r="CW67" s="295"/>
      <c r="CX67" s="288"/>
      <c r="CY67" s="294"/>
      <c r="CZ67" s="295"/>
      <c r="DA67" s="288"/>
      <c r="DB67" s="294"/>
      <c r="DC67" s="239"/>
      <c r="DD67" s="43"/>
      <c r="DE67" s="57"/>
      <c r="DF67" s="295"/>
      <c r="DG67" s="288"/>
      <c r="DH67" s="294"/>
      <c r="DI67" s="287"/>
      <c r="DJ67" s="288"/>
      <c r="DK67" s="289"/>
      <c r="DL67" s="295"/>
      <c r="DM67" s="288"/>
      <c r="DN67" s="294"/>
      <c r="DO67" s="287"/>
      <c r="DP67" s="288"/>
      <c r="DQ67" s="289"/>
      <c r="DR67" s="295"/>
      <c r="DS67" s="288"/>
      <c r="DT67" s="294"/>
      <c r="DU67" s="287"/>
      <c r="DV67" s="288"/>
      <c r="DW67" s="289"/>
      <c r="DX67" s="295"/>
      <c r="DY67" s="288"/>
      <c r="DZ67" s="294"/>
      <c r="EA67" s="287"/>
      <c r="EB67" s="288"/>
      <c r="EC67" s="289"/>
      <c r="ED67" s="295"/>
      <c r="EE67" s="288"/>
      <c r="EF67" s="294"/>
      <c r="EG67" s="287"/>
      <c r="EH67" s="288"/>
      <c r="EI67" s="289"/>
      <c r="EJ67" s="295"/>
      <c r="EK67" s="288"/>
      <c r="EL67" s="294"/>
      <c r="EM67" s="287"/>
      <c r="EN67" s="288"/>
      <c r="EO67" s="289"/>
      <c r="EP67" s="295"/>
      <c r="EQ67" s="288"/>
      <c r="ER67" s="294"/>
      <c r="ES67" s="287"/>
      <c r="ET67" s="288"/>
      <c r="EU67" s="289"/>
      <c r="EV67" s="295"/>
      <c r="EW67" s="288"/>
      <c r="EX67" s="294"/>
      <c r="EY67" s="287"/>
      <c r="EZ67" s="288"/>
      <c r="FA67" s="289"/>
      <c r="FB67" s="295"/>
      <c r="FC67" s="288"/>
      <c r="FD67" s="294"/>
      <c r="FE67" s="287"/>
      <c r="FF67" s="288"/>
      <c r="FG67" s="289"/>
      <c r="FH67" s="295"/>
      <c r="FI67" s="288"/>
      <c r="FJ67" s="294"/>
      <c r="FK67" s="287"/>
      <c r="FL67" s="288"/>
      <c r="FM67" s="289"/>
      <c r="FN67" s="295"/>
      <c r="FO67" s="288"/>
      <c r="FP67" s="294"/>
      <c r="FQ67" s="287"/>
      <c r="FR67" s="288"/>
      <c r="FS67" s="289"/>
      <c r="FT67" s="295"/>
      <c r="FU67" s="288"/>
      <c r="FV67" s="294"/>
      <c r="FW67" s="287"/>
      <c r="FX67" s="288"/>
      <c r="FY67" s="289"/>
      <c r="FZ67" s="295"/>
      <c r="GA67" s="288"/>
      <c r="GB67" s="294"/>
      <c r="GC67" s="287"/>
      <c r="GD67" s="288"/>
      <c r="GE67" s="289"/>
      <c r="GF67" s="295"/>
      <c r="GG67" s="288"/>
      <c r="GH67" s="294"/>
      <c r="GI67" s="287"/>
      <c r="GJ67" s="288"/>
      <c r="GK67" s="289"/>
      <c r="GL67" s="295"/>
      <c r="GM67" s="288"/>
      <c r="GN67" s="294"/>
      <c r="GO67" s="287"/>
      <c r="GP67" s="288"/>
      <c r="GQ67" s="289"/>
      <c r="GR67" s="295"/>
      <c r="GS67" s="288"/>
      <c r="GT67" s="294"/>
      <c r="GU67" s="295"/>
      <c r="GV67" s="288"/>
      <c r="GW67" s="294"/>
      <c r="GX67" s="295"/>
      <c r="GY67" s="288"/>
      <c r="GZ67" s="294"/>
      <c r="HA67" s="295"/>
      <c r="HB67" s="288"/>
      <c r="HC67" s="294"/>
      <c r="HD67" s="368">
        <f t="shared" si="12"/>
        <v>0</v>
      </c>
      <c r="HE67" s="369">
        <f t="shared" si="13"/>
        <v>0</v>
      </c>
      <c r="HF67" s="369">
        <f t="shared" si="14"/>
        <v>0</v>
      </c>
    </row>
    <row r="68" spans="1:215" ht="15.75" thickBot="1">
      <c r="A68" s="353">
        <v>25</v>
      </c>
      <c r="B68" s="239"/>
      <c r="C68" s="43"/>
      <c r="D68" s="57"/>
      <c r="E68" s="295"/>
      <c r="F68" s="288"/>
      <c r="G68" s="294"/>
      <c r="H68" s="287"/>
      <c r="I68" s="288"/>
      <c r="J68" s="289"/>
      <c r="K68" s="295"/>
      <c r="L68" s="288"/>
      <c r="M68" s="294"/>
      <c r="N68" s="287"/>
      <c r="O68" s="288"/>
      <c r="P68" s="289"/>
      <c r="Q68" s="295"/>
      <c r="R68" s="288"/>
      <c r="S68" s="294"/>
      <c r="T68" s="287"/>
      <c r="U68" s="288"/>
      <c r="V68" s="289"/>
      <c r="W68" s="295"/>
      <c r="X68" s="288"/>
      <c r="Y68" s="294"/>
      <c r="Z68" s="287"/>
      <c r="AA68" s="288"/>
      <c r="AB68" s="289"/>
      <c r="AC68" s="295"/>
      <c r="AD68" s="288"/>
      <c r="AE68" s="294"/>
      <c r="AF68" s="287"/>
      <c r="AG68" s="288"/>
      <c r="AH68" s="289"/>
      <c r="AI68" s="295"/>
      <c r="AJ68" s="288"/>
      <c r="AK68" s="294"/>
      <c r="AL68" s="287"/>
      <c r="AM68" s="288"/>
      <c r="AN68" s="289"/>
      <c r="AO68" s="295"/>
      <c r="AP68" s="288"/>
      <c r="AQ68" s="294"/>
      <c r="AR68" s="287"/>
      <c r="AS68" s="288"/>
      <c r="AT68" s="289"/>
      <c r="AU68" s="295"/>
      <c r="AV68" s="288"/>
      <c r="AW68" s="294"/>
      <c r="AX68" s="287"/>
      <c r="AY68" s="288"/>
      <c r="AZ68" s="289"/>
      <c r="BA68" s="295"/>
      <c r="BB68" s="288"/>
      <c r="BC68" s="294"/>
      <c r="BD68" s="287"/>
      <c r="BE68" s="288"/>
      <c r="BF68" s="289"/>
      <c r="BG68" s="295"/>
      <c r="BH68" s="288"/>
      <c r="BI68" s="294"/>
      <c r="BJ68" s="287"/>
      <c r="BK68" s="288"/>
      <c r="BL68" s="289"/>
      <c r="BM68" s="295"/>
      <c r="BN68" s="288"/>
      <c r="BO68" s="294"/>
      <c r="BP68" s="287"/>
      <c r="BQ68" s="288"/>
      <c r="BR68" s="289"/>
      <c r="BS68" s="295"/>
      <c r="BT68" s="288"/>
      <c r="BU68" s="294"/>
      <c r="BV68" s="287"/>
      <c r="BW68" s="288"/>
      <c r="BX68" s="289"/>
      <c r="BY68" s="295"/>
      <c r="BZ68" s="288"/>
      <c r="CA68" s="294"/>
      <c r="CB68" s="287"/>
      <c r="CC68" s="288"/>
      <c r="CD68" s="289"/>
      <c r="CE68" s="295"/>
      <c r="CF68" s="288"/>
      <c r="CG68" s="294"/>
      <c r="CH68" s="287"/>
      <c r="CI68" s="288"/>
      <c r="CJ68" s="289"/>
      <c r="CK68" s="295"/>
      <c r="CL68" s="288"/>
      <c r="CM68" s="294"/>
      <c r="CN68" s="287"/>
      <c r="CO68" s="288"/>
      <c r="CP68" s="289"/>
      <c r="CQ68" s="295"/>
      <c r="CR68" s="288"/>
      <c r="CS68" s="294"/>
      <c r="CT68" s="295"/>
      <c r="CU68" s="288"/>
      <c r="CV68" s="294"/>
      <c r="CW68" s="295"/>
      <c r="CX68" s="288"/>
      <c r="CY68" s="294"/>
      <c r="CZ68" s="295"/>
      <c r="DA68" s="288"/>
      <c r="DB68" s="294"/>
      <c r="DC68" s="239"/>
      <c r="DD68" s="43"/>
      <c r="DE68" s="57"/>
      <c r="DF68" s="295"/>
      <c r="DG68" s="288"/>
      <c r="DH68" s="294"/>
      <c r="DI68" s="287"/>
      <c r="DJ68" s="288"/>
      <c r="DK68" s="289"/>
      <c r="DL68" s="295"/>
      <c r="DM68" s="288"/>
      <c r="DN68" s="294"/>
      <c r="DO68" s="287"/>
      <c r="DP68" s="288"/>
      <c r="DQ68" s="289"/>
      <c r="DR68" s="295"/>
      <c r="DS68" s="288"/>
      <c r="DT68" s="294"/>
      <c r="DU68" s="287"/>
      <c r="DV68" s="288"/>
      <c r="DW68" s="289"/>
      <c r="DX68" s="295"/>
      <c r="DY68" s="288"/>
      <c r="DZ68" s="294"/>
      <c r="EA68" s="287"/>
      <c r="EB68" s="288"/>
      <c r="EC68" s="289"/>
      <c r="ED68" s="295"/>
      <c r="EE68" s="288"/>
      <c r="EF68" s="294"/>
      <c r="EG68" s="287"/>
      <c r="EH68" s="288"/>
      <c r="EI68" s="289"/>
      <c r="EJ68" s="295"/>
      <c r="EK68" s="288"/>
      <c r="EL68" s="294"/>
      <c r="EM68" s="287"/>
      <c r="EN68" s="288"/>
      <c r="EO68" s="289"/>
      <c r="EP68" s="295"/>
      <c r="EQ68" s="288"/>
      <c r="ER68" s="294"/>
      <c r="ES68" s="287"/>
      <c r="ET68" s="288"/>
      <c r="EU68" s="289"/>
      <c r="EV68" s="295"/>
      <c r="EW68" s="288"/>
      <c r="EX68" s="294"/>
      <c r="EY68" s="287"/>
      <c r="EZ68" s="288"/>
      <c r="FA68" s="289"/>
      <c r="FB68" s="295"/>
      <c r="FC68" s="288"/>
      <c r="FD68" s="294"/>
      <c r="FE68" s="287"/>
      <c r="FF68" s="288"/>
      <c r="FG68" s="289"/>
      <c r="FH68" s="295"/>
      <c r="FI68" s="288"/>
      <c r="FJ68" s="294"/>
      <c r="FK68" s="287"/>
      <c r="FL68" s="288"/>
      <c r="FM68" s="289"/>
      <c r="FN68" s="295"/>
      <c r="FO68" s="288"/>
      <c r="FP68" s="294"/>
      <c r="FQ68" s="287"/>
      <c r="FR68" s="288"/>
      <c r="FS68" s="289"/>
      <c r="FT68" s="295"/>
      <c r="FU68" s="288"/>
      <c r="FV68" s="294"/>
      <c r="FW68" s="287"/>
      <c r="FX68" s="288"/>
      <c r="FY68" s="289"/>
      <c r="FZ68" s="295"/>
      <c r="GA68" s="288"/>
      <c r="GB68" s="294"/>
      <c r="GC68" s="287"/>
      <c r="GD68" s="288"/>
      <c r="GE68" s="289"/>
      <c r="GF68" s="295"/>
      <c r="GG68" s="288"/>
      <c r="GH68" s="294"/>
      <c r="GI68" s="287"/>
      <c r="GJ68" s="288"/>
      <c r="GK68" s="289"/>
      <c r="GL68" s="295"/>
      <c r="GM68" s="288"/>
      <c r="GN68" s="294"/>
      <c r="GO68" s="287"/>
      <c r="GP68" s="288"/>
      <c r="GQ68" s="289"/>
      <c r="GR68" s="295"/>
      <c r="GS68" s="288"/>
      <c r="GT68" s="294"/>
      <c r="GU68" s="295"/>
      <c r="GV68" s="288"/>
      <c r="GW68" s="294"/>
      <c r="GX68" s="295"/>
      <c r="GY68" s="288"/>
      <c r="GZ68" s="294"/>
      <c r="HA68" s="295"/>
      <c r="HB68" s="288"/>
      <c r="HC68" s="294"/>
      <c r="HD68" s="368">
        <f t="shared" si="12"/>
        <v>0</v>
      </c>
      <c r="HE68" s="369">
        <f t="shared" si="13"/>
        <v>0</v>
      </c>
      <c r="HF68" s="369">
        <f t="shared" si="14"/>
        <v>0</v>
      </c>
    </row>
    <row r="69" spans="1:215" ht="15.75" thickBot="1">
      <c r="A69" s="238">
        <v>26</v>
      </c>
      <c r="B69" s="239"/>
      <c r="C69" s="43"/>
      <c r="D69" s="57"/>
      <c r="E69" s="295"/>
      <c r="F69" s="288"/>
      <c r="G69" s="294"/>
      <c r="H69" s="287"/>
      <c r="I69" s="288"/>
      <c r="J69" s="289"/>
      <c r="K69" s="295"/>
      <c r="L69" s="288"/>
      <c r="M69" s="294"/>
      <c r="N69" s="287"/>
      <c r="O69" s="288"/>
      <c r="P69" s="289"/>
      <c r="Q69" s="295"/>
      <c r="R69" s="288"/>
      <c r="S69" s="294"/>
      <c r="T69" s="287"/>
      <c r="U69" s="288"/>
      <c r="V69" s="289"/>
      <c r="W69" s="295"/>
      <c r="X69" s="288"/>
      <c r="Y69" s="294"/>
      <c r="Z69" s="287"/>
      <c r="AA69" s="288"/>
      <c r="AB69" s="289"/>
      <c r="AC69" s="295"/>
      <c r="AD69" s="288"/>
      <c r="AE69" s="294"/>
      <c r="AF69" s="287"/>
      <c r="AG69" s="288"/>
      <c r="AH69" s="289"/>
      <c r="AI69" s="295"/>
      <c r="AJ69" s="288"/>
      <c r="AK69" s="294"/>
      <c r="AL69" s="287"/>
      <c r="AM69" s="288"/>
      <c r="AN69" s="289"/>
      <c r="AO69" s="295"/>
      <c r="AP69" s="288"/>
      <c r="AQ69" s="294"/>
      <c r="AR69" s="287"/>
      <c r="AS69" s="288"/>
      <c r="AT69" s="289"/>
      <c r="AU69" s="295"/>
      <c r="AV69" s="288"/>
      <c r="AW69" s="294"/>
      <c r="AX69" s="287"/>
      <c r="AY69" s="288"/>
      <c r="AZ69" s="289"/>
      <c r="BA69" s="295"/>
      <c r="BB69" s="288"/>
      <c r="BC69" s="294"/>
      <c r="BD69" s="287"/>
      <c r="BE69" s="288"/>
      <c r="BF69" s="289"/>
      <c r="BG69" s="295"/>
      <c r="BH69" s="288"/>
      <c r="BI69" s="294"/>
      <c r="BJ69" s="287"/>
      <c r="BK69" s="288"/>
      <c r="BL69" s="289"/>
      <c r="BM69" s="295"/>
      <c r="BN69" s="288"/>
      <c r="BO69" s="294"/>
      <c r="BP69" s="287"/>
      <c r="BQ69" s="288"/>
      <c r="BR69" s="289"/>
      <c r="BS69" s="295"/>
      <c r="BT69" s="288"/>
      <c r="BU69" s="294"/>
      <c r="BV69" s="287"/>
      <c r="BW69" s="288"/>
      <c r="BX69" s="289"/>
      <c r="BY69" s="295"/>
      <c r="BZ69" s="288"/>
      <c r="CA69" s="294"/>
      <c r="CB69" s="287"/>
      <c r="CC69" s="288"/>
      <c r="CD69" s="289"/>
      <c r="CE69" s="295"/>
      <c r="CF69" s="288"/>
      <c r="CG69" s="294"/>
      <c r="CH69" s="287"/>
      <c r="CI69" s="288"/>
      <c r="CJ69" s="289"/>
      <c r="CK69" s="295"/>
      <c r="CL69" s="288"/>
      <c r="CM69" s="294"/>
      <c r="CN69" s="287"/>
      <c r="CO69" s="288"/>
      <c r="CP69" s="289"/>
      <c r="CQ69" s="295"/>
      <c r="CR69" s="288"/>
      <c r="CS69" s="294"/>
      <c r="CT69" s="295"/>
      <c r="CU69" s="288"/>
      <c r="CV69" s="294"/>
      <c r="CW69" s="295"/>
      <c r="CX69" s="288"/>
      <c r="CY69" s="294"/>
      <c r="CZ69" s="295"/>
      <c r="DA69" s="288"/>
      <c r="DB69" s="294"/>
      <c r="DC69" s="239"/>
      <c r="DD69" s="43"/>
      <c r="DE69" s="57"/>
      <c r="DF69" s="295"/>
      <c r="DG69" s="288"/>
      <c r="DH69" s="294"/>
      <c r="DI69" s="287"/>
      <c r="DJ69" s="288"/>
      <c r="DK69" s="289"/>
      <c r="DL69" s="295"/>
      <c r="DM69" s="288"/>
      <c r="DN69" s="294"/>
      <c r="DO69" s="287"/>
      <c r="DP69" s="288"/>
      <c r="DQ69" s="289"/>
      <c r="DR69" s="295"/>
      <c r="DS69" s="288"/>
      <c r="DT69" s="294"/>
      <c r="DU69" s="287"/>
      <c r="DV69" s="288"/>
      <c r="DW69" s="289"/>
      <c r="DX69" s="295"/>
      <c r="DY69" s="288"/>
      <c r="DZ69" s="294"/>
      <c r="EA69" s="287"/>
      <c r="EB69" s="288"/>
      <c r="EC69" s="289"/>
      <c r="ED69" s="295"/>
      <c r="EE69" s="288"/>
      <c r="EF69" s="294"/>
      <c r="EG69" s="287"/>
      <c r="EH69" s="288"/>
      <c r="EI69" s="289"/>
      <c r="EJ69" s="295"/>
      <c r="EK69" s="288"/>
      <c r="EL69" s="294"/>
      <c r="EM69" s="287"/>
      <c r="EN69" s="288"/>
      <c r="EO69" s="289"/>
      <c r="EP69" s="295"/>
      <c r="EQ69" s="288"/>
      <c r="ER69" s="294"/>
      <c r="ES69" s="287"/>
      <c r="ET69" s="288"/>
      <c r="EU69" s="289"/>
      <c r="EV69" s="295"/>
      <c r="EW69" s="288"/>
      <c r="EX69" s="294"/>
      <c r="EY69" s="287"/>
      <c r="EZ69" s="288"/>
      <c r="FA69" s="289"/>
      <c r="FB69" s="295"/>
      <c r="FC69" s="288"/>
      <c r="FD69" s="294"/>
      <c r="FE69" s="287"/>
      <c r="FF69" s="288"/>
      <c r="FG69" s="289"/>
      <c r="FH69" s="295"/>
      <c r="FI69" s="288"/>
      <c r="FJ69" s="294"/>
      <c r="FK69" s="287"/>
      <c r="FL69" s="288"/>
      <c r="FM69" s="289"/>
      <c r="FN69" s="295"/>
      <c r="FO69" s="288"/>
      <c r="FP69" s="294"/>
      <c r="FQ69" s="287"/>
      <c r="FR69" s="288"/>
      <c r="FS69" s="289"/>
      <c r="FT69" s="295"/>
      <c r="FU69" s="288"/>
      <c r="FV69" s="294"/>
      <c r="FW69" s="287"/>
      <c r="FX69" s="288"/>
      <c r="FY69" s="289"/>
      <c r="FZ69" s="295"/>
      <c r="GA69" s="288"/>
      <c r="GB69" s="294"/>
      <c r="GC69" s="287"/>
      <c r="GD69" s="288"/>
      <c r="GE69" s="289"/>
      <c r="GF69" s="295"/>
      <c r="GG69" s="288"/>
      <c r="GH69" s="294"/>
      <c r="GI69" s="287"/>
      <c r="GJ69" s="288"/>
      <c r="GK69" s="289"/>
      <c r="GL69" s="295"/>
      <c r="GM69" s="288"/>
      <c r="GN69" s="294"/>
      <c r="GO69" s="287"/>
      <c r="GP69" s="288"/>
      <c r="GQ69" s="289"/>
      <c r="GR69" s="295"/>
      <c r="GS69" s="288"/>
      <c r="GT69" s="294"/>
      <c r="GU69" s="295"/>
      <c r="GV69" s="288"/>
      <c r="GW69" s="294"/>
      <c r="GX69" s="295"/>
      <c r="GY69" s="288"/>
      <c r="GZ69" s="294"/>
      <c r="HA69" s="295"/>
      <c r="HB69" s="288"/>
      <c r="HC69" s="294"/>
      <c r="HD69" s="368">
        <f t="shared" si="12"/>
        <v>0</v>
      </c>
      <c r="HE69" s="369">
        <f t="shared" si="13"/>
        <v>0</v>
      </c>
      <c r="HF69" s="369">
        <f t="shared" si="14"/>
        <v>0</v>
      </c>
    </row>
    <row r="70" spans="1:215" ht="15.75" thickBot="1">
      <c r="A70" s="238">
        <v>27</v>
      </c>
      <c r="B70" s="239"/>
      <c r="C70" s="43"/>
      <c r="D70" s="57"/>
      <c r="E70" s="295"/>
      <c r="F70" s="288"/>
      <c r="G70" s="294"/>
      <c r="H70" s="287"/>
      <c r="I70" s="288"/>
      <c r="J70" s="289"/>
      <c r="K70" s="295"/>
      <c r="L70" s="288"/>
      <c r="M70" s="294"/>
      <c r="N70" s="287"/>
      <c r="O70" s="288"/>
      <c r="P70" s="289"/>
      <c r="Q70" s="295"/>
      <c r="R70" s="288"/>
      <c r="S70" s="294"/>
      <c r="T70" s="287"/>
      <c r="U70" s="288"/>
      <c r="V70" s="289"/>
      <c r="W70" s="295"/>
      <c r="X70" s="288"/>
      <c r="Y70" s="294"/>
      <c r="Z70" s="287"/>
      <c r="AA70" s="288"/>
      <c r="AB70" s="289"/>
      <c r="AC70" s="295"/>
      <c r="AD70" s="288"/>
      <c r="AE70" s="294"/>
      <c r="AF70" s="287"/>
      <c r="AG70" s="288"/>
      <c r="AH70" s="289"/>
      <c r="AI70" s="295"/>
      <c r="AJ70" s="288"/>
      <c r="AK70" s="294"/>
      <c r="AL70" s="287"/>
      <c r="AM70" s="288"/>
      <c r="AN70" s="289"/>
      <c r="AO70" s="295"/>
      <c r="AP70" s="288"/>
      <c r="AQ70" s="294"/>
      <c r="AR70" s="287"/>
      <c r="AS70" s="288"/>
      <c r="AT70" s="289"/>
      <c r="AU70" s="295"/>
      <c r="AV70" s="288"/>
      <c r="AW70" s="294"/>
      <c r="AX70" s="287"/>
      <c r="AY70" s="288"/>
      <c r="AZ70" s="289"/>
      <c r="BA70" s="295"/>
      <c r="BB70" s="288"/>
      <c r="BC70" s="294"/>
      <c r="BD70" s="287"/>
      <c r="BE70" s="288"/>
      <c r="BF70" s="289"/>
      <c r="BG70" s="295"/>
      <c r="BH70" s="288"/>
      <c r="BI70" s="294"/>
      <c r="BJ70" s="287"/>
      <c r="BK70" s="288"/>
      <c r="BL70" s="289"/>
      <c r="BM70" s="295"/>
      <c r="BN70" s="288"/>
      <c r="BO70" s="294"/>
      <c r="BP70" s="287"/>
      <c r="BQ70" s="288"/>
      <c r="BR70" s="289"/>
      <c r="BS70" s="295"/>
      <c r="BT70" s="288"/>
      <c r="BU70" s="294"/>
      <c r="BV70" s="287"/>
      <c r="BW70" s="288"/>
      <c r="BX70" s="289"/>
      <c r="BY70" s="295"/>
      <c r="BZ70" s="288"/>
      <c r="CA70" s="294"/>
      <c r="CB70" s="287"/>
      <c r="CC70" s="288"/>
      <c r="CD70" s="289"/>
      <c r="CE70" s="295"/>
      <c r="CF70" s="288"/>
      <c r="CG70" s="294"/>
      <c r="CH70" s="287"/>
      <c r="CI70" s="288"/>
      <c r="CJ70" s="289"/>
      <c r="CK70" s="295"/>
      <c r="CL70" s="288"/>
      <c r="CM70" s="294"/>
      <c r="CN70" s="287"/>
      <c r="CO70" s="288"/>
      <c r="CP70" s="289"/>
      <c r="CQ70" s="295"/>
      <c r="CR70" s="288"/>
      <c r="CS70" s="294"/>
      <c r="CT70" s="295"/>
      <c r="CU70" s="288"/>
      <c r="CV70" s="294"/>
      <c r="CW70" s="295"/>
      <c r="CX70" s="288"/>
      <c r="CY70" s="294"/>
      <c r="CZ70" s="295"/>
      <c r="DA70" s="288"/>
      <c r="DB70" s="294"/>
      <c r="DC70" s="239"/>
      <c r="DD70" s="43"/>
      <c r="DE70" s="57"/>
      <c r="DF70" s="295"/>
      <c r="DG70" s="288"/>
      <c r="DH70" s="294"/>
      <c r="DI70" s="287"/>
      <c r="DJ70" s="288"/>
      <c r="DK70" s="289"/>
      <c r="DL70" s="295"/>
      <c r="DM70" s="288"/>
      <c r="DN70" s="294"/>
      <c r="DO70" s="287"/>
      <c r="DP70" s="288"/>
      <c r="DQ70" s="289"/>
      <c r="DR70" s="295"/>
      <c r="DS70" s="288"/>
      <c r="DT70" s="294"/>
      <c r="DU70" s="287"/>
      <c r="DV70" s="288"/>
      <c r="DW70" s="289"/>
      <c r="DX70" s="295"/>
      <c r="DY70" s="288"/>
      <c r="DZ70" s="294"/>
      <c r="EA70" s="287"/>
      <c r="EB70" s="288"/>
      <c r="EC70" s="289"/>
      <c r="ED70" s="295"/>
      <c r="EE70" s="288"/>
      <c r="EF70" s="294"/>
      <c r="EG70" s="287"/>
      <c r="EH70" s="288"/>
      <c r="EI70" s="289"/>
      <c r="EJ70" s="295"/>
      <c r="EK70" s="288"/>
      <c r="EL70" s="294"/>
      <c r="EM70" s="287"/>
      <c r="EN70" s="288"/>
      <c r="EO70" s="289"/>
      <c r="EP70" s="295"/>
      <c r="EQ70" s="288"/>
      <c r="ER70" s="294"/>
      <c r="ES70" s="287"/>
      <c r="ET70" s="288"/>
      <c r="EU70" s="289"/>
      <c r="EV70" s="295"/>
      <c r="EW70" s="288"/>
      <c r="EX70" s="294"/>
      <c r="EY70" s="287"/>
      <c r="EZ70" s="288"/>
      <c r="FA70" s="289"/>
      <c r="FB70" s="295"/>
      <c r="FC70" s="288"/>
      <c r="FD70" s="294"/>
      <c r="FE70" s="287"/>
      <c r="FF70" s="288"/>
      <c r="FG70" s="289"/>
      <c r="FH70" s="295"/>
      <c r="FI70" s="288"/>
      <c r="FJ70" s="294"/>
      <c r="FK70" s="287"/>
      <c r="FL70" s="288"/>
      <c r="FM70" s="289"/>
      <c r="FN70" s="295"/>
      <c r="FO70" s="288"/>
      <c r="FP70" s="294"/>
      <c r="FQ70" s="287"/>
      <c r="FR70" s="288"/>
      <c r="FS70" s="289"/>
      <c r="FT70" s="295"/>
      <c r="FU70" s="288"/>
      <c r="FV70" s="294"/>
      <c r="FW70" s="287"/>
      <c r="FX70" s="288"/>
      <c r="FY70" s="289"/>
      <c r="FZ70" s="295"/>
      <c r="GA70" s="288"/>
      <c r="GB70" s="294"/>
      <c r="GC70" s="287"/>
      <c r="GD70" s="288"/>
      <c r="GE70" s="289"/>
      <c r="GF70" s="295"/>
      <c r="GG70" s="288"/>
      <c r="GH70" s="294"/>
      <c r="GI70" s="287"/>
      <c r="GJ70" s="288"/>
      <c r="GK70" s="289"/>
      <c r="GL70" s="295"/>
      <c r="GM70" s="288"/>
      <c r="GN70" s="294"/>
      <c r="GO70" s="287"/>
      <c r="GP70" s="288"/>
      <c r="GQ70" s="289"/>
      <c r="GR70" s="295"/>
      <c r="GS70" s="288"/>
      <c r="GT70" s="294"/>
      <c r="GU70" s="295"/>
      <c r="GV70" s="288"/>
      <c r="GW70" s="294"/>
      <c r="GX70" s="295"/>
      <c r="GY70" s="288"/>
      <c r="GZ70" s="294"/>
      <c r="HA70" s="295"/>
      <c r="HB70" s="288"/>
      <c r="HC70" s="294"/>
      <c r="HD70" s="368">
        <f t="shared" si="12"/>
        <v>0</v>
      </c>
      <c r="HE70" s="369">
        <f t="shared" si="13"/>
        <v>0</v>
      </c>
      <c r="HF70" s="369">
        <f t="shared" si="14"/>
        <v>0</v>
      </c>
      <c r="HG70" s="145">
        <f t="shared" ref="HG70:HG111" si="15">SUM(B70:DA70)</f>
        <v>0</v>
      </c>
    </row>
    <row r="71" spans="1:215" ht="15.75" thickBot="1">
      <c r="A71" s="353">
        <v>28</v>
      </c>
      <c r="B71" s="239"/>
      <c r="C71" s="43"/>
      <c r="D71" s="57"/>
      <c r="E71" s="295"/>
      <c r="F71" s="288"/>
      <c r="G71" s="294"/>
      <c r="H71" s="287"/>
      <c r="I71" s="288"/>
      <c r="J71" s="289"/>
      <c r="K71" s="295"/>
      <c r="L71" s="288"/>
      <c r="M71" s="294"/>
      <c r="N71" s="287"/>
      <c r="O71" s="288"/>
      <c r="P71" s="289"/>
      <c r="Q71" s="295"/>
      <c r="R71" s="288"/>
      <c r="S71" s="294"/>
      <c r="T71" s="287"/>
      <c r="U71" s="288"/>
      <c r="V71" s="289"/>
      <c r="W71" s="295"/>
      <c r="X71" s="288"/>
      <c r="Y71" s="294"/>
      <c r="Z71" s="287"/>
      <c r="AA71" s="288"/>
      <c r="AB71" s="289"/>
      <c r="AC71" s="295"/>
      <c r="AD71" s="288"/>
      <c r="AE71" s="294"/>
      <c r="AF71" s="287"/>
      <c r="AG71" s="288"/>
      <c r="AH71" s="289"/>
      <c r="AI71" s="295"/>
      <c r="AJ71" s="288"/>
      <c r="AK71" s="294"/>
      <c r="AL71" s="287"/>
      <c r="AM71" s="288"/>
      <c r="AN71" s="289"/>
      <c r="AO71" s="295"/>
      <c r="AP71" s="288"/>
      <c r="AQ71" s="294"/>
      <c r="AR71" s="287"/>
      <c r="AS71" s="288"/>
      <c r="AT71" s="289"/>
      <c r="AU71" s="295"/>
      <c r="AV71" s="288"/>
      <c r="AW71" s="294"/>
      <c r="AX71" s="287"/>
      <c r="AY71" s="288"/>
      <c r="AZ71" s="289"/>
      <c r="BA71" s="295"/>
      <c r="BB71" s="288"/>
      <c r="BC71" s="294"/>
      <c r="BD71" s="287"/>
      <c r="BE71" s="288"/>
      <c r="BF71" s="289"/>
      <c r="BG71" s="295"/>
      <c r="BH71" s="288"/>
      <c r="BI71" s="294"/>
      <c r="BJ71" s="287"/>
      <c r="BK71" s="288"/>
      <c r="BL71" s="289"/>
      <c r="BM71" s="295"/>
      <c r="BN71" s="288"/>
      <c r="BO71" s="294"/>
      <c r="BP71" s="287"/>
      <c r="BQ71" s="288"/>
      <c r="BR71" s="289"/>
      <c r="BS71" s="295"/>
      <c r="BT71" s="288"/>
      <c r="BU71" s="294"/>
      <c r="BV71" s="287"/>
      <c r="BW71" s="288"/>
      <c r="BX71" s="289"/>
      <c r="BY71" s="295"/>
      <c r="BZ71" s="288"/>
      <c r="CA71" s="294"/>
      <c r="CB71" s="287"/>
      <c r="CC71" s="288"/>
      <c r="CD71" s="289"/>
      <c r="CE71" s="295"/>
      <c r="CF71" s="288"/>
      <c r="CG71" s="294"/>
      <c r="CH71" s="287"/>
      <c r="CI71" s="288"/>
      <c r="CJ71" s="289"/>
      <c r="CK71" s="295"/>
      <c r="CL71" s="288"/>
      <c r="CM71" s="294"/>
      <c r="CN71" s="287"/>
      <c r="CO71" s="288"/>
      <c r="CP71" s="289"/>
      <c r="CQ71" s="295"/>
      <c r="CR71" s="288"/>
      <c r="CS71" s="294"/>
      <c r="CT71" s="295"/>
      <c r="CU71" s="288"/>
      <c r="CV71" s="294"/>
      <c r="CW71" s="295"/>
      <c r="CX71" s="288"/>
      <c r="CY71" s="294"/>
      <c r="CZ71" s="295"/>
      <c r="DA71" s="288"/>
      <c r="DB71" s="294"/>
      <c r="DC71" s="239"/>
      <c r="DD71" s="43"/>
      <c r="DE71" s="57"/>
      <c r="DF71" s="295"/>
      <c r="DG71" s="288"/>
      <c r="DH71" s="294"/>
      <c r="DI71" s="287"/>
      <c r="DJ71" s="288"/>
      <c r="DK71" s="289"/>
      <c r="DL71" s="295"/>
      <c r="DM71" s="288"/>
      <c r="DN71" s="294"/>
      <c r="DO71" s="287"/>
      <c r="DP71" s="288"/>
      <c r="DQ71" s="289"/>
      <c r="DR71" s="295"/>
      <c r="DS71" s="288"/>
      <c r="DT71" s="294"/>
      <c r="DU71" s="287"/>
      <c r="DV71" s="288"/>
      <c r="DW71" s="289"/>
      <c r="DX71" s="295"/>
      <c r="DY71" s="288"/>
      <c r="DZ71" s="294"/>
      <c r="EA71" s="287"/>
      <c r="EB71" s="288"/>
      <c r="EC71" s="289"/>
      <c r="ED71" s="295"/>
      <c r="EE71" s="288"/>
      <c r="EF71" s="294"/>
      <c r="EG71" s="287"/>
      <c r="EH71" s="288"/>
      <c r="EI71" s="289"/>
      <c r="EJ71" s="295"/>
      <c r="EK71" s="288"/>
      <c r="EL71" s="294"/>
      <c r="EM71" s="287"/>
      <c r="EN71" s="288"/>
      <c r="EO71" s="289"/>
      <c r="EP71" s="295"/>
      <c r="EQ71" s="288"/>
      <c r="ER71" s="294"/>
      <c r="ES71" s="287"/>
      <c r="ET71" s="288"/>
      <c r="EU71" s="289"/>
      <c r="EV71" s="295"/>
      <c r="EW71" s="288"/>
      <c r="EX71" s="294"/>
      <c r="EY71" s="287"/>
      <c r="EZ71" s="288"/>
      <c r="FA71" s="289"/>
      <c r="FB71" s="295"/>
      <c r="FC71" s="288"/>
      <c r="FD71" s="294"/>
      <c r="FE71" s="287"/>
      <c r="FF71" s="288"/>
      <c r="FG71" s="289"/>
      <c r="FH71" s="295"/>
      <c r="FI71" s="288"/>
      <c r="FJ71" s="294"/>
      <c r="FK71" s="287"/>
      <c r="FL71" s="288"/>
      <c r="FM71" s="289"/>
      <c r="FN71" s="295"/>
      <c r="FO71" s="288"/>
      <c r="FP71" s="294"/>
      <c r="FQ71" s="287"/>
      <c r="FR71" s="288"/>
      <c r="FS71" s="289"/>
      <c r="FT71" s="295"/>
      <c r="FU71" s="288"/>
      <c r="FV71" s="294"/>
      <c r="FW71" s="287"/>
      <c r="FX71" s="288"/>
      <c r="FY71" s="289"/>
      <c r="FZ71" s="295"/>
      <c r="GA71" s="288"/>
      <c r="GB71" s="294"/>
      <c r="GC71" s="287"/>
      <c r="GD71" s="288"/>
      <c r="GE71" s="289"/>
      <c r="GF71" s="295"/>
      <c r="GG71" s="288"/>
      <c r="GH71" s="294"/>
      <c r="GI71" s="287"/>
      <c r="GJ71" s="288"/>
      <c r="GK71" s="289"/>
      <c r="GL71" s="295"/>
      <c r="GM71" s="288"/>
      <c r="GN71" s="294"/>
      <c r="GO71" s="287"/>
      <c r="GP71" s="288"/>
      <c r="GQ71" s="289"/>
      <c r="GR71" s="295"/>
      <c r="GS71" s="288"/>
      <c r="GT71" s="294"/>
      <c r="GU71" s="295"/>
      <c r="GV71" s="288"/>
      <c r="GW71" s="294"/>
      <c r="GX71" s="295"/>
      <c r="GY71" s="288"/>
      <c r="GZ71" s="294"/>
      <c r="HA71" s="295"/>
      <c r="HB71" s="288"/>
      <c r="HC71" s="294"/>
      <c r="HD71" s="368">
        <f t="shared" si="12"/>
        <v>0</v>
      </c>
      <c r="HE71" s="369">
        <f t="shared" si="13"/>
        <v>0</v>
      </c>
      <c r="HF71" s="369">
        <f t="shared" si="14"/>
        <v>0</v>
      </c>
      <c r="HG71" s="145">
        <f t="shared" si="15"/>
        <v>0</v>
      </c>
    </row>
    <row r="72" spans="1:215" ht="15.75" thickBot="1">
      <c r="A72" s="238">
        <v>29</v>
      </c>
      <c r="B72" s="239"/>
      <c r="C72" s="43"/>
      <c r="D72" s="57"/>
      <c r="E72" s="295"/>
      <c r="F72" s="288"/>
      <c r="G72" s="294"/>
      <c r="H72" s="287"/>
      <c r="I72" s="288"/>
      <c r="J72" s="289"/>
      <c r="K72" s="295"/>
      <c r="L72" s="288"/>
      <c r="M72" s="294"/>
      <c r="N72" s="287"/>
      <c r="O72" s="288"/>
      <c r="P72" s="289"/>
      <c r="Q72" s="295"/>
      <c r="R72" s="288"/>
      <c r="S72" s="294"/>
      <c r="T72" s="287"/>
      <c r="U72" s="288"/>
      <c r="V72" s="289"/>
      <c r="W72" s="295"/>
      <c r="X72" s="288"/>
      <c r="Y72" s="294"/>
      <c r="Z72" s="287"/>
      <c r="AA72" s="288"/>
      <c r="AB72" s="289"/>
      <c r="AC72" s="295"/>
      <c r="AD72" s="288"/>
      <c r="AE72" s="294"/>
      <c r="AF72" s="287"/>
      <c r="AG72" s="288"/>
      <c r="AH72" s="289"/>
      <c r="AI72" s="295"/>
      <c r="AJ72" s="288"/>
      <c r="AK72" s="294"/>
      <c r="AL72" s="287"/>
      <c r="AM72" s="288"/>
      <c r="AN72" s="289"/>
      <c r="AO72" s="295"/>
      <c r="AP72" s="288"/>
      <c r="AQ72" s="294"/>
      <c r="AR72" s="287"/>
      <c r="AS72" s="288"/>
      <c r="AT72" s="289"/>
      <c r="AU72" s="295"/>
      <c r="AV72" s="288"/>
      <c r="AW72" s="294"/>
      <c r="AX72" s="287"/>
      <c r="AY72" s="288"/>
      <c r="AZ72" s="289"/>
      <c r="BA72" s="295"/>
      <c r="BB72" s="288"/>
      <c r="BC72" s="294"/>
      <c r="BD72" s="287"/>
      <c r="BE72" s="288"/>
      <c r="BF72" s="289"/>
      <c r="BG72" s="295"/>
      <c r="BH72" s="288"/>
      <c r="BI72" s="294"/>
      <c r="BJ72" s="287"/>
      <c r="BK72" s="288"/>
      <c r="BL72" s="289"/>
      <c r="BM72" s="295"/>
      <c r="BN72" s="288"/>
      <c r="BO72" s="294"/>
      <c r="BP72" s="287"/>
      <c r="BQ72" s="288"/>
      <c r="BR72" s="289"/>
      <c r="BS72" s="295"/>
      <c r="BT72" s="288"/>
      <c r="BU72" s="294"/>
      <c r="BV72" s="287"/>
      <c r="BW72" s="288"/>
      <c r="BX72" s="289"/>
      <c r="BY72" s="295"/>
      <c r="BZ72" s="288"/>
      <c r="CA72" s="294"/>
      <c r="CB72" s="287"/>
      <c r="CC72" s="288"/>
      <c r="CD72" s="289"/>
      <c r="CE72" s="295"/>
      <c r="CF72" s="288"/>
      <c r="CG72" s="294"/>
      <c r="CH72" s="287"/>
      <c r="CI72" s="288"/>
      <c r="CJ72" s="289"/>
      <c r="CK72" s="295"/>
      <c r="CL72" s="288"/>
      <c r="CM72" s="294"/>
      <c r="CN72" s="287"/>
      <c r="CO72" s="288"/>
      <c r="CP72" s="289"/>
      <c r="CQ72" s="295"/>
      <c r="CR72" s="288"/>
      <c r="CS72" s="294"/>
      <c r="CT72" s="295"/>
      <c r="CU72" s="288"/>
      <c r="CV72" s="294"/>
      <c r="CW72" s="295"/>
      <c r="CX72" s="288"/>
      <c r="CY72" s="294"/>
      <c r="CZ72" s="295"/>
      <c r="DA72" s="288"/>
      <c r="DB72" s="294"/>
      <c r="DC72" s="239"/>
      <c r="DD72" s="43"/>
      <c r="DE72" s="57"/>
      <c r="DF72" s="295"/>
      <c r="DG72" s="288"/>
      <c r="DH72" s="294"/>
      <c r="DI72" s="287"/>
      <c r="DJ72" s="288"/>
      <c r="DK72" s="289"/>
      <c r="DL72" s="295"/>
      <c r="DM72" s="288"/>
      <c r="DN72" s="294"/>
      <c r="DO72" s="287"/>
      <c r="DP72" s="288"/>
      <c r="DQ72" s="289"/>
      <c r="DR72" s="295"/>
      <c r="DS72" s="288"/>
      <c r="DT72" s="294"/>
      <c r="DU72" s="287"/>
      <c r="DV72" s="288"/>
      <c r="DW72" s="289"/>
      <c r="DX72" s="295"/>
      <c r="DY72" s="288"/>
      <c r="DZ72" s="294"/>
      <c r="EA72" s="287"/>
      <c r="EB72" s="288"/>
      <c r="EC72" s="289"/>
      <c r="ED72" s="295"/>
      <c r="EE72" s="288"/>
      <c r="EF72" s="294"/>
      <c r="EG72" s="287"/>
      <c r="EH72" s="288"/>
      <c r="EI72" s="289"/>
      <c r="EJ72" s="295"/>
      <c r="EK72" s="288"/>
      <c r="EL72" s="294"/>
      <c r="EM72" s="287"/>
      <c r="EN72" s="288"/>
      <c r="EO72" s="289"/>
      <c r="EP72" s="295"/>
      <c r="EQ72" s="288"/>
      <c r="ER72" s="294"/>
      <c r="ES72" s="287"/>
      <c r="ET72" s="288"/>
      <c r="EU72" s="289"/>
      <c r="EV72" s="295"/>
      <c r="EW72" s="288"/>
      <c r="EX72" s="294"/>
      <c r="EY72" s="287"/>
      <c r="EZ72" s="288"/>
      <c r="FA72" s="289"/>
      <c r="FB72" s="295"/>
      <c r="FC72" s="288"/>
      <c r="FD72" s="294"/>
      <c r="FE72" s="287"/>
      <c r="FF72" s="288"/>
      <c r="FG72" s="289"/>
      <c r="FH72" s="295"/>
      <c r="FI72" s="288"/>
      <c r="FJ72" s="294"/>
      <c r="FK72" s="287"/>
      <c r="FL72" s="288"/>
      <c r="FM72" s="289"/>
      <c r="FN72" s="295"/>
      <c r="FO72" s="288"/>
      <c r="FP72" s="294"/>
      <c r="FQ72" s="287"/>
      <c r="FR72" s="288"/>
      <c r="FS72" s="289"/>
      <c r="FT72" s="295"/>
      <c r="FU72" s="288"/>
      <c r="FV72" s="294"/>
      <c r="FW72" s="287"/>
      <c r="FX72" s="288"/>
      <c r="FY72" s="289"/>
      <c r="FZ72" s="295"/>
      <c r="GA72" s="288"/>
      <c r="GB72" s="294"/>
      <c r="GC72" s="287"/>
      <c r="GD72" s="288"/>
      <c r="GE72" s="289"/>
      <c r="GF72" s="295"/>
      <c r="GG72" s="288"/>
      <c r="GH72" s="294"/>
      <c r="GI72" s="287"/>
      <c r="GJ72" s="288"/>
      <c r="GK72" s="289"/>
      <c r="GL72" s="295"/>
      <c r="GM72" s="288"/>
      <c r="GN72" s="294"/>
      <c r="GO72" s="287"/>
      <c r="GP72" s="288"/>
      <c r="GQ72" s="289"/>
      <c r="GR72" s="295"/>
      <c r="GS72" s="288"/>
      <c r="GT72" s="294"/>
      <c r="GU72" s="295"/>
      <c r="GV72" s="288"/>
      <c r="GW72" s="294"/>
      <c r="GX72" s="295"/>
      <c r="GY72" s="288"/>
      <c r="GZ72" s="294"/>
      <c r="HA72" s="295"/>
      <c r="HB72" s="288"/>
      <c r="HC72" s="294"/>
      <c r="HD72" s="368">
        <f t="shared" si="12"/>
        <v>0</v>
      </c>
      <c r="HE72" s="369">
        <f t="shared" si="13"/>
        <v>0</v>
      </c>
      <c r="HF72" s="369">
        <f t="shared" si="14"/>
        <v>0</v>
      </c>
      <c r="HG72" s="145">
        <f t="shared" si="15"/>
        <v>0</v>
      </c>
    </row>
    <row r="73" spans="1:215" ht="15.75" thickBot="1">
      <c r="A73" s="238">
        <v>30</v>
      </c>
      <c r="B73" s="239"/>
      <c r="C73" s="43"/>
      <c r="D73" s="57"/>
      <c r="E73" s="295"/>
      <c r="F73" s="288"/>
      <c r="G73" s="294"/>
      <c r="H73" s="287"/>
      <c r="I73" s="288"/>
      <c r="J73" s="289"/>
      <c r="K73" s="295"/>
      <c r="L73" s="288"/>
      <c r="M73" s="294"/>
      <c r="N73" s="287"/>
      <c r="O73" s="288"/>
      <c r="P73" s="289"/>
      <c r="Q73" s="295"/>
      <c r="R73" s="288"/>
      <c r="S73" s="294"/>
      <c r="T73" s="287"/>
      <c r="U73" s="288"/>
      <c r="V73" s="289"/>
      <c r="W73" s="295"/>
      <c r="X73" s="288"/>
      <c r="Y73" s="294"/>
      <c r="Z73" s="287"/>
      <c r="AA73" s="288"/>
      <c r="AB73" s="289"/>
      <c r="AC73" s="295"/>
      <c r="AD73" s="288"/>
      <c r="AE73" s="294"/>
      <c r="AF73" s="287"/>
      <c r="AG73" s="288"/>
      <c r="AH73" s="289"/>
      <c r="AI73" s="295"/>
      <c r="AJ73" s="288"/>
      <c r="AK73" s="294"/>
      <c r="AL73" s="287"/>
      <c r="AM73" s="288"/>
      <c r="AN73" s="289"/>
      <c r="AO73" s="295"/>
      <c r="AP73" s="288"/>
      <c r="AQ73" s="294"/>
      <c r="AR73" s="287"/>
      <c r="AS73" s="288"/>
      <c r="AT73" s="289"/>
      <c r="AU73" s="295"/>
      <c r="AV73" s="288"/>
      <c r="AW73" s="294"/>
      <c r="AX73" s="287"/>
      <c r="AY73" s="288"/>
      <c r="AZ73" s="289"/>
      <c r="BA73" s="295"/>
      <c r="BB73" s="288"/>
      <c r="BC73" s="294"/>
      <c r="BD73" s="287"/>
      <c r="BE73" s="288"/>
      <c r="BF73" s="289"/>
      <c r="BG73" s="295"/>
      <c r="BH73" s="288"/>
      <c r="BI73" s="294"/>
      <c r="BJ73" s="287"/>
      <c r="BK73" s="288"/>
      <c r="BL73" s="289"/>
      <c r="BM73" s="295"/>
      <c r="BN73" s="288"/>
      <c r="BO73" s="294"/>
      <c r="BP73" s="287"/>
      <c r="BQ73" s="288"/>
      <c r="BR73" s="289"/>
      <c r="BS73" s="295"/>
      <c r="BT73" s="288"/>
      <c r="BU73" s="294"/>
      <c r="BV73" s="287"/>
      <c r="BW73" s="288"/>
      <c r="BX73" s="289"/>
      <c r="BY73" s="295"/>
      <c r="BZ73" s="288"/>
      <c r="CA73" s="294"/>
      <c r="CB73" s="287"/>
      <c r="CC73" s="288"/>
      <c r="CD73" s="289"/>
      <c r="CE73" s="295"/>
      <c r="CF73" s="288"/>
      <c r="CG73" s="294"/>
      <c r="CH73" s="287"/>
      <c r="CI73" s="288"/>
      <c r="CJ73" s="289"/>
      <c r="CK73" s="295"/>
      <c r="CL73" s="288"/>
      <c r="CM73" s="294"/>
      <c r="CN73" s="287"/>
      <c r="CO73" s="288"/>
      <c r="CP73" s="289"/>
      <c r="CQ73" s="295"/>
      <c r="CR73" s="288"/>
      <c r="CS73" s="294"/>
      <c r="CT73" s="295"/>
      <c r="CU73" s="288"/>
      <c r="CV73" s="294"/>
      <c r="CW73" s="295"/>
      <c r="CX73" s="288"/>
      <c r="CY73" s="294"/>
      <c r="CZ73" s="295"/>
      <c r="DA73" s="288"/>
      <c r="DB73" s="294"/>
      <c r="DC73" s="239"/>
      <c r="DD73" s="43"/>
      <c r="DE73" s="57"/>
      <c r="DF73" s="295"/>
      <c r="DG73" s="288"/>
      <c r="DH73" s="294"/>
      <c r="DI73" s="287"/>
      <c r="DJ73" s="288"/>
      <c r="DK73" s="289"/>
      <c r="DL73" s="295"/>
      <c r="DM73" s="288"/>
      <c r="DN73" s="294"/>
      <c r="DO73" s="287"/>
      <c r="DP73" s="288"/>
      <c r="DQ73" s="289"/>
      <c r="DR73" s="295"/>
      <c r="DS73" s="288"/>
      <c r="DT73" s="294"/>
      <c r="DU73" s="287"/>
      <c r="DV73" s="288"/>
      <c r="DW73" s="289"/>
      <c r="DX73" s="295"/>
      <c r="DY73" s="288"/>
      <c r="DZ73" s="294"/>
      <c r="EA73" s="287"/>
      <c r="EB73" s="288"/>
      <c r="EC73" s="289"/>
      <c r="ED73" s="295"/>
      <c r="EE73" s="288"/>
      <c r="EF73" s="294"/>
      <c r="EG73" s="287"/>
      <c r="EH73" s="288"/>
      <c r="EI73" s="289"/>
      <c r="EJ73" s="295"/>
      <c r="EK73" s="288"/>
      <c r="EL73" s="294"/>
      <c r="EM73" s="287"/>
      <c r="EN73" s="288"/>
      <c r="EO73" s="289"/>
      <c r="EP73" s="295"/>
      <c r="EQ73" s="288"/>
      <c r="ER73" s="294"/>
      <c r="ES73" s="287"/>
      <c r="ET73" s="288"/>
      <c r="EU73" s="289"/>
      <c r="EV73" s="295"/>
      <c r="EW73" s="288"/>
      <c r="EX73" s="294"/>
      <c r="EY73" s="287"/>
      <c r="EZ73" s="288"/>
      <c r="FA73" s="289"/>
      <c r="FB73" s="295"/>
      <c r="FC73" s="288"/>
      <c r="FD73" s="294"/>
      <c r="FE73" s="287"/>
      <c r="FF73" s="288"/>
      <c r="FG73" s="289"/>
      <c r="FH73" s="295"/>
      <c r="FI73" s="288"/>
      <c r="FJ73" s="294"/>
      <c r="FK73" s="287"/>
      <c r="FL73" s="288"/>
      <c r="FM73" s="289"/>
      <c r="FN73" s="295"/>
      <c r="FO73" s="288"/>
      <c r="FP73" s="294"/>
      <c r="FQ73" s="287"/>
      <c r="FR73" s="288"/>
      <c r="FS73" s="289"/>
      <c r="FT73" s="295"/>
      <c r="FU73" s="288"/>
      <c r="FV73" s="294"/>
      <c r="FW73" s="287"/>
      <c r="FX73" s="288"/>
      <c r="FY73" s="289"/>
      <c r="FZ73" s="295"/>
      <c r="GA73" s="288"/>
      <c r="GB73" s="294"/>
      <c r="GC73" s="287"/>
      <c r="GD73" s="288"/>
      <c r="GE73" s="289"/>
      <c r="GF73" s="295"/>
      <c r="GG73" s="288"/>
      <c r="GH73" s="294"/>
      <c r="GI73" s="287"/>
      <c r="GJ73" s="288"/>
      <c r="GK73" s="289"/>
      <c r="GL73" s="295"/>
      <c r="GM73" s="288"/>
      <c r="GN73" s="294"/>
      <c r="GO73" s="287"/>
      <c r="GP73" s="288"/>
      <c r="GQ73" s="289"/>
      <c r="GR73" s="295"/>
      <c r="GS73" s="288"/>
      <c r="GT73" s="294"/>
      <c r="GU73" s="295"/>
      <c r="GV73" s="288"/>
      <c r="GW73" s="294"/>
      <c r="GX73" s="295"/>
      <c r="GY73" s="288"/>
      <c r="GZ73" s="294"/>
      <c r="HA73" s="295"/>
      <c r="HB73" s="288"/>
      <c r="HC73" s="294"/>
      <c r="HD73" s="368">
        <f t="shared" si="12"/>
        <v>0</v>
      </c>
      <c r="HE73" s="369">
        <f t="shared" si="13"/>
        <v>0</v>
      </c>
      <c r="HF73" s="369">
        <f t="shared" si="14"/>
        <v>0</v>
      </c>
      <c r="HG73" s="145">
        <f t="shared" si="15"/>
        <v>0</v>
      </c>
    </row>
    <row r="74" spans="1:215" ht="15.75" thickBot="1">
      <c r="A74" s="353">
        <v>31</v>
      </c>
      <c r="B74" s="239"/>
      <c r="C74" s="43"/>
      <c r="D74" s="57"/>
      <c r="E74" s="295"/>
      <c r="F74" s="288"/>
      <c r="G74" s="294"/>
      <c r="H74" s="287"/>
      <c r="I74" s="288"/>
      <c r="J74" s="289"/>
      <c r="K74" s="295"/>
      <c r="L74" s="288"/>
      <c r="M74" s="294"/>
      <c r="N74" s="287"/>
      <c r="O74" s="288"/>
      <c r="P74" s="289"/>
      <c r="Q74" s="295"/>
      <c r="R74" s="288"/>
      <c r="S74" s="294"/>
      <c r="T74" s="287"/>
      <c r="U74" s="288"/>
      <c r="V74" s="289"/>
      <c r="W74" s="295"/>
      <c r="X74" s="288"/>
      <c r="Y74" s="294"/>
      <c r="Z74" s="287"/>
      <c r="AA74" s="288"/>
      <c r="AB74" s="289"/>
      <c r="AC74" s="295"/>
      <c r="AD74" s="288"/>
      <c r="AE74" s="294"/>
      <c r="AF74" s="287"/>
      <c r="AG74" s="288"/>
      <c r="AH74" s="289"/>
      <c r="AI74" s="295"/>
      <c r="AJ74" s="288"/>
      <c r="AK74" s="294"/>
      <c r="AL74" s="287"/>
      <c r="AM74" s="288"/>
      <c r="AN74" s="289"/>
      <c r="AO74" s="295"/>
      <c r="AP74" s="288"/>
      <c r="AQ74" s="294"/>
      <c r="AR74" s="287"/>
      <c r="AS74" s="288"/>
      <c r="AT74" s="289"/>
      <c r="AU74" s="295"/>
      <c r="AV74" s="288"/>
      <c r="AW74" s="294"/>
      <c r="AX74" s="287"/>
      <c r="AY74" s="288"/>
      <c r="AZ74" s="289"/>
      <c r="BA74" s="295"/>
      <c r="BB74" s="288"/>
      <c r="BC74" s="294"/>
      <c r="BD74" s="287"/>
      <c r="BE74" s="288"/>
      <c r="BF74" s="289"/>
      <c r="BG74" s="295"/>
      <c r="BH74" s="288"/>
      <c r="BI74" s="294"/>
      <c r="BJ74" s="287"/>
      <c r="BK74" s="288"/>
      <c r="BL74" s="289"/>
      <c r="BM74" s="295"/>
      <c r="BN74" s="288"/>
      <c r="BO74" s="294"/>
      <c r="BP74" s="287"/>
      <c r="BQ74" s="288"/>
      <c r="BR74" s="289"/>
      <c r="BS74" s="295"/>
      <c r="BT74" s="288"/>
      <c r="BU74" s="294"/>
      <c r="BV74" s="287"/>
      <c r="BW74" s="288"/>
      <c r="BX74" s="289"/>
      <c r="BY74" s="295"/>
      <c r="BZ74" s="288"/>
      <c r="CA74" s="294"/>
      <c r="CB74" s="287"/>
      <c r="CC74" s="288"/>
      <c r="CD74" s="289"/>
      <c r="CE74" s="295"/>
      <c r="CF74" s="288"/>
      <c r="CG74" s="294"/>
      <c r="CH74" s="287"/>
      <c r="CI74" s="288"/>
      <c r="CJ74" s="289"/>
      <c r="CK74" s="296"/>
      <c r="CL74" s="297"/>
      <c r="CM74" s="298"/>
      <c r="CN74" s="287"/>
      <c r="CO74" s="288"/>
      <c r="CP74" s="289"/>
      <c r="CQ74" s="295"/>
      <c r="CR74" s="288"/>
      <c r="CS74" s="294"/>
      <c r="CT74" s="295"/>
      <c r="CU74" s="288"/>
      <c r="CV74" s="294"/>
      <c r="CW74" s="295"/>
      <c r="CX74" s="288"/>
      <c r="CY74" s="294"/>
      <c r="CZ74" s="295"/>
      <c r="DA74" s="288"/>
      <c r="DB74" s="294"/>
      <c r="DC74" s="239"/>
      <c r="DD74" s="43"/>
      <c r="DE74" s="57"/>
      <c r="DF74" s="295"/>
      <c r="DG74" s="288"/>
      <c r="DH74" s="294"/>
      <c r="DI74" s="287"/>
      <c r="DJ74" s="288"/>
      <c r="DK74" s="289"/>
      <c r="DL74" s="295"/>
      <c r="DM74" s="288"/>
      <c r="DN74" s="294"/>
      <c r="DO74" s="287"/>
      <c r="DP74" s="288"/>
      <c r="DQ74" s="289"/>
      <c r="DR74" s="295"/>
      <c r="DS74" s="288"/>
      <c r="DT74" s="294"/>
      <c r="DU74" s="287"/>
      <c r="DV74" s="288"/>
      <c r="DW74" s="289"/>
      <c r="DX74" s="295"/>
      <c r="DY74" s="288"/>
      <c r="DZ74" s="294"/>
      <c r="EA74" s="287"/>
      <c r="EB74" s="288"/>
      <c r="EC74" s="289"/>
      <c r="ED74" s="295"/>
      <c r="EE74" s="288"/>
      <c r="EF74" s="294"/>
      <c r="EG74" s="287"/>
      <c r="EH74" s="288"/>
      <c r="EI74" s="289"/>
      <c r="EJ74" s="295"/>
      <c r="EK74" s="288"/>
      <c r="EL74" s="294"/>
      <c r="EM74" s="287"/>
      <c r="EN74" s="288"/>
      <c r="EO74" s="289"/>
      <c r="EP74" s="295"/>
      <c r="EQ74" s="288"/>
      <c r="ER74" s="294"/>
      <c r="ES74" s="287"/>
      <c r="ET74" s="288"/>
      <c r="EU74" s="289"/>
      <c r="EV74" s="295"/>
      <c r="EW74" s="288"/>
      <c r="EX74" s="294"/>
      <c r="EY74" s="287"/>
      <c r="EZ74" s="288"/>
      <c r="FA74" s="289"/>
      <c r="FB74" s="295"/>
      <c r="FC74" s="288"/>
      <c r="FD74" s="294"/>
      <c r="FE74" s="287"/>
      <c r="FF74" s="288"/>
      <c r="FG74" s="289"/>
      <c r="FH74" s="295"/>
      <c r="FI74" s="288"/>
      <c r="FJ74" s="294"/>
      <c r="FK74" s="287"/>
      <c r="FL74" s="288"/>
      <c r="FM74" s="289"/>
      <c r="FN74" s="295"/>
      <c r="FO74" s="288"/>
      <c r="FP74" s="294"/>
      <c r="FQ74" s="287"/>
      <c r="FR74" s="288"/>
      <c r="FS74" s="289"/>
      <c r="FT74" s="295"/>
      <c r="FU74" s="288"/>
      <c r="FV74" s="294"/>
      <c r="FW74" s="287"/>
      <c r="FX74" s="288"/>
      <c r="FY74" s="289"/>
      <c r="FZ74" s="295"/>
      <c r="GA74" s="288"/>
      <c r="GB74" s="294"/>
      <c r="GC74" s="287"/>
      <c r="GD74" s="288"/>
      <c r="GE74" s="289"/>
      <c r="GF74" s="295"/>
      <c r="GG74" s="288"/>
      <c r="GH74" s="294"/>
      <c r="GI74" s="287"/>
      <c r="GJ74" s="288"/>
      <c r="GK74" s="289"/>
      <c r="GL74" s="296"/>
      <c r="GM74" s="297"/>
      <c r="GN74" s="298"/>
      <c r="GO74" s="287"/>
      <c r="GP74" s="288"/>
      <c r="GQ74" s="289"/>
      <c r="GR74" s="295"/>
      <c r="GS74" s="288"/>
      <c r="GT74" s="294"/>
      <c r="GU74" s="295"/>
      <c r="GV74" s="288"/>
      <c r="GW74" s="294"/>
      <c r="GX74" s="295"/>
      <c r="GY74" s="288"/>
      <c r="GZ74" s="294"/>
      <c r="HA74" s="295"/>
      <c r="HB74" s="288"/>
      <c r="HC74" s="294"/>
      <c r="HD74" s="368">
        <f t="shared" si="12"/>
        <v>0</v>
      </c>
      <c r="HE74" s="369">
        <f t="shared" si="13"/>
        <v>0</v>
      </c>
      <c r="HF74" s="369">
        <f t="shared" si="14"/>
        <v>0</v>
      </c>
      <c r="HG74" s="145">
        <f t="shared" si="15"/>
        <v>0</v>
      </c>
    </row>
    <row r="75" spans="1:215" ht="15.75" thickBot="1">
      <c r="A75" s="352"/>
      <c r="B75" s="113">
        <f>SUM(B44:B74)</f>
        <v>0</v>
      </c>
      <c r="C75" s="113">
        <f t="shared" ref="C75" si="16">SUM(C44:C74)</f>
        <v>0</v>
      </c>
      <c r="D75" s="113">
        <f t="shared" ref="D75" si="17">SUM(D44:D74)</f>
        <v>0</v>
      </c>
      <c r="E75" s="113">
        <f t="shared" ref="E75" si="18">SUM(E44:E74)</f>
        <v>0</v>
      </c>
      <c r="F75" s="113">
        <f t="shared" ref="F75" si="19">SUM(F44:F74)</f>
        <v>0</v>
      </c>
      <c r="G75" s="113">
        <f t="shared" ref="G75" si="20">SUM(G44:G74)</f>
        <v>0</v>
      </c>
      <c r="H75" s="291">
        <f t="shared" ref="H75" si="21">SUM(H44:H74)</f>
        <v>0</v>
      </c>
      <c r="I75" s="113">
        <f t="shared" ref="I75" si="22">SUM(I44:I74)</f>
        <v>0</v>
      </c>
      <c r="J75" s="299">
        <f t="shared" ref="J75" si="23">SUM(J44:J74)</f>
        <v>0</v>
      </c>
      <c r="K75" s="113">
        <f t="shared" ref="K75" si="24">SUM(K44:K74)</f>
        <v>0</v>
      </c>
      <c r="L75" s="113">
        <f t="shared" ref="L75" si="25">SUM(L44:L74)</f>
        <v>0</v>
      </c>
      <c r="M75" s="113">
        <f t="shared" ref="M75" si="26">SUM(M44:M74)</f>
        <v>0</v>
      </c>
      <c r="N75" s="291">
        <f t="shared" ref="N75" si="27">SUM(N44:N74)</f>
        <v>0</v>
      </c>
      <c r="O75" s="113">
        <f t="shared" ref="O75" si="28">SUM(O44:O74)</f>
        <v>0</v>
      </c>
      <c r="P75" s="299">
        <f t="shared" ref="P75" si="29">SUM(P44:P74)</f>
        <v>0</v>
      </c>
      <c r="Q75" s="113">
        <f t="shared" ref="Q75" si="30">SUM(Q44:Q74)</f>
        <v>0</v>
      </c>
      <c r="R75" s="113">
        <f t="shared" ref="R75" si="31">SUM(R44:R74)</f>
        <v>0</v>
      </c>
      <c r="S75" s="113">
        <f t="shared" ref="S75" si="32">SUM(S44:S74)</f>
        <v>0</v>
      </c>
      <c r="T75" s="291">
        <f t="shared" ref="T75" si="33">SUM(T44:T74)</f>
        <v>0</v>
      </c>
      <c r="U75" s="113">
        <f t="shared" ref="U75" si="34">SUM(U44:U74)</f>
        <v>0</v>
      </c>
      <c r="V75" s="299">
        <f t="shared" ref="V75" si="35">SUM(V44:V74)</f>
        <v>0</v>
      </c>
      <c r="W75" s="113">
        <f t="shared" ref="W75" si="36">SUM(W44:W74)</f>
        <v>0</v>
      </c>
      <c r="X75" s="113">
        <f t="shared" ref="X75" si="37">SUM(X44:X74)</f>
        <v>0</v>
      </c>
      <c r="Y75" s="113">
        <f t="shared" ref="Y75" si="38">SUM(Y44:Y74)</f>
        <v>0</v>
      </c>
      <c r="Z75" s="291">
        <f t="shared" ref="Z75" si="39">SUM(Z44:Z74)</f>
        <v>0</v>
      </c>
      <c r="AA75" s="113">
        <f t="shared" ref="AA75" si="40">SUM(AA44:AA74)</f>
        <v>0</v>
      </c>
      <c r="AB75" s="299">
        <f t="shared" ref="AB75" si="41">SUM(AB44:AB74)</f>
        <v>0</v>
      </c>
      <c r="AC75" s="113">
        <f t="shared" ref="AC75" si="42">SUM(AC44:AC74)</f>
        <v>0</v>
      </c>
      <c r="AD75" s="113">
        <f t="shared" ref="AD75" si="43">SUM(AD44:AD74)</f>
        <v>0</v>
      </c>
      <c r="AE75" s="113">
        <f t="shared" ref="AE75" si="44">SUM(AE44:AE74)</f>
        <v>0</v>
      </c>
      <c r="AF75" s="291">
        <f t="shared" ref="AF75" si="45">SUM(AF44:AF74)</f>
        <v>0</v>
      </c>
      <c r="AG75" s="113">
        <f t="shared" ref="AG75" si="46">SUM(AG44:AG74)</f>
        <v>0</v>
      </c>
      <c r="AH75" s="299">
        <f t="shared" ref="AH75" si="47">SUM(AH44:AH74)</f>
        <v>0</v>
      </c>
      <c r="AI75" s="113">
        <f t="shared" ref="AI75" si="48">SUM(AI44:AI74)</f>
        <v>0</v>
      </c>
      <c r="AJ75" s="113">
        <f t="shared" ref="AJ75" si="49">SUM(AJ44:AJ74)</f>
        <v>0</v>
      </c>
      <c r="AK75" s="113">
        <f t="shared" ref="AK75" si="50">SUM(AK44:AK74)</f>
        <v>0</v>
      </c>
      <c r="AL75" s="291">
        <f t="shared" ref="AL75" si="51">SUM(AL44:AL74)</f>
        <v>0</v>
      </c>
      <c r="AM75" s="113">
        <f t="shared" ref="AM75" si="52">SUM(AM44:AM74)</f>
        <v>0</v>
      </c>
      <c r="AN75" s="299">
        <f t="shared" ref="AN75" si="53">SUM(AN44:AN74)</f>
        <v>0</v>
      </c>
      <c r="AO75" s="113">
        <f t="shared" ref="AO75" si="54">SUM(AO44:AO74)</f>
        <v>0</v>
      </c>
      <c r="AP75" s="113">
        <f t="shared" ref="AP75" si="55">SUM(AP44:AP74)</f>
        <v>0</v>
      </c>
      <c r="AQ75" s="113">
        <f t="shared" ref="AQ75" si="56">SUM(AQ44:AQ74)</f>
        <v>0</v>
      </c>
      <c r="AR75" s="291">
        <f t="shared" ref="AR75" si="57">SUM(AR44:AR74)</f>
        <v>0</v>
      </c>
      <c r="AS75" s="113">
        <f t="shared" ref="AS75" si="58">SUM(AS44:AS74)</f>
        <v>0</v>
      </c>
      <c r="AT75" s="299">
        <f t="shared" ref="AT75" si="59">SUM(AT44:AT74)</f>
        <v>0</v>
      </c>
      <c r="AU75" s="113">
        <f t="shared" ref="AU75" si="60">SUM(AU44:AU74)</f>
        <v>0</v>
      </c>
      <c r="AV75" s="113">
        <f t="shared" ref="AV75" si="61">SUM(AV44:AV74)</f>
        <v>0</v>
      </c>
      <c r="AW75" s="113">
        <f t="shared" ref="AW75" si="62">SUM(AW44:AW74)</f>
        <v>0</v>
      </c>
      <c r="AX75" s="291">
        <f t="shared" ref="AX75" si="63">SUM(AX44:AX74)</f>
        <v>0</v>
      </c>
      <c r="AY75" s="113">
        <f t="shared" ref="AY75" si="64">SUM(AY44:AY74)</f>
        <v>0</v>
      </c>
      <c r="AZ75" s="299">
        <f t="shared" ref="AZ75" si="65">SUM(AZ44:AZ74)</f>
        <v>0</v>
      </c>
      <c r="BA75" s="113">
        <f t="shared" ref="BA75" si="66">SUM(BA44:BA74)</f>
        <v>0</v>
      </c>
      <c r="BB75" s="113">
        <f t="shared" ref="BB75" si="67">SUM(BB44:BB74)</f>
        <v>0</v>
      </c>
      <c r="BC75" s="113">
        <f t="shared" ref="BC75" si="68">SUM(BC44:BC74)</f>
        <v>0</v>
      </c>
      <c r="BD75" s="291">
        <f t="shared" ref="BD75" si="69">SUM(BD44:BD74)</f>
        <v>0</v>
      </c>
      <c r="BE75" s="113">
        <f t="shared" ref="BE75" si="70">SUM(BE44:BE74)</f>
        <v>0</v>
      </c>
      <c r="BF75" s="299">
        <f t="shared" ref="BF75" si="71">SUM(BF44:BF74)</f>
        <v>0</v>
      </c>
      <c r="BG75" s="113">
        <f t="shared" ref="BG75" si="72">SUM(BG44:BG74)</f>
        <v>0</v>
      </c>
      <c r="BH75" s="113">
        <f t="shared" ref="BH75" si="73">SUM(BH44:BH74)</f>
        <v>0</v>
      </c>
      <c r="BI75" s="113">
        <f t="shared" ref="BI75" si="74">SUM(BI44:BI74)</f>
        <v>0</v>
      </c>
      <c r="BJ75" s="291">
        <f t="shared" ref="BJ75" si="75">SUM(BJ44:BJ74)</f>
        <v>0</v>
      </c>
      <c r="BK75" s="113">
        <f t="shared" ref="BK75" si="76">SUM(BK44:BK74)</f>
        <v>0</v>
      </c>
      <c r="BL75" s="299">
        <f t="shared" ref="BL75" si="77">SUM(BL44:BL74)</f>
        <v>0</v>
      </c>
      <c r="BM75" s="113">
        <f t="shared" ref="BM75" si="78">SUM(BM44:BM74)</f>
        <v>0</v>
      </c>
      <c r="BN75" s="113">
        <f t="shared" ref="BN75" si="79">SUM(BN44:BN74)</f>
        <v>0</v>
      </c>
      <c r="BO75" s="113">
        <f t="shared" ref="BO75" si="80">SUM(BO44:BO74)</f>
        <v>0</v>
      </c>
      <c r="BP75" s="291">
        <f t="shared" ref="BP75" si="81">SUM(BP44:BP74)</f>
        <v>0</v>
      </c>
      <c r="BQ75" s="113">
        <f t="shared" ref="BQ75" si="82">SUM(BQ44:BQ74)</f>
        <v>0</v>
      </c>
      <c r="BR75" s="299">
        <f t="shared" ref="BR75" si="83">SUM(BR44:BR74)</f>
        <v>0</v>
      </c>
      <c r="BS75" s="113">
        <f t="shared" ref="BS75" si="84">SUM(BS44:BS74)</f>
        <v>0</v>
      </c>
      <c r="BT75" s="113">
        <f t="shared" ref="BT75" si="85">SUM(BT44:BT74)</f>
        <v>0</v>
      </c>
      <c r="BU75" s="113">
        <f t="shared" ref="BU75" si="86">SUM(BU44:BU74)</f>
        <v>0</v>
      </c>
      <c r="BV75" s="291">
        <f t="shared" ref="BV75" si="87">SUM(BV44:BV74)</f>
        <v>0</v>
      </c>
      <c r="BW75" s="113">
        <f t="shared" ref="BW75" si="88">SUM(BW44:BW74)</f>
        <v>0</v>
      </c>
      <c r="BX75" s="299">
        <f t="shared" ref="BX75" si="89">SUM(BX44:BX74)</f>
        <v>0</v>
      </c>
      <c r="BY75" s="113">
        <f t="shared" ref="BY75" si="90">SUM(BY44:BY74)</f>
        <v>0</v>
      </c>
      <c r="BZ75" s="113">
        <f t="shared" ref="BZ75" si="91">SUM(BZ44:BZ74)</f>
        <v>0</v>
      </c>
      <c r="CA75" s="113">
        <f t="shared" ref="CA75" si="92">SUM(CA44:CA74)</f>
        <v>0</v>
      </c>
      <c r="CB75" s="291">
        <f t="shared" ref="CB75" si="93">SUM(CB44:CB74)</f>
        <v>0</v>
      </c>
      <c r="CC75" s="113">
        <f t="shared" ref="CC75" si="94">SUM(CC44:CC74)</f>
        <v>0</v>
      </c>
      <c r="CD75" s="299">
        <f t="shared" ref="CD75" si="95">SUM(CD44:CD74)</f>
        <v>0</v>
      </c>
      <c r="CE75" s="113">
        <f t="shared" ref="CE75" si="96">SUM(CE44:CE74)</f>
        <v>0</v>
      </c>
      <c r="CF75" s="113">
        <f t="shared" ref="CF75" si="97">SUM(CF44:CF74)</f>
        <v>0</v>
      </c>
      <c r="CG75" s="113">
        <f t="shared" ref="CG75" si="98">SUM(CG44:CG74)</f>
        <v>0</v>
      </c>
      <c r="CH75" s="291">
        <f t="shared" ref="CH75" si="99">SUM(CH44:CH74)</f>
        <v>0</v>
      </c>
      <c r="CI75" s="113">
        <f t="shared" ref="CI75" si="100">SUM(CI44:CI74)</f>
        <v>0</v>
      </c>
      <c r="CJ75" s="299">
        <f t="shared" ref="CJ75:DB75" si="101">SUM(CJ44:CJ74)</f>
        <v>0</v>
      </c>
      <c r="CK75" s="299">
        <f t="shared" si="101"/>
        <v>0</v>
      </c>
      <c r="CL75" s="299">
        <f t="shared" si="101"/>
        <v>0</v>
      </c>
      <c r="CM75" s="299">
        <f t="shared" si="101"/>
        <v>0</v>
      </c>
      <c r="CN75" s="299">
        <f t="shared" si="101"/>
        <v>0</v>
      </c>
      <c r="CO75" s="299">
        <f t="shared" si="101"/>
        <v>0</v>
      </c>
      <c r="CP75" s="299">
        <f t="shared" si="101"/>
        <v>0</v>
      </c>
      <c r="CQ75" s="299">
        <f t="shared" ref="CQ75:CY75" si="102">SUM(CQ44:CQ74)</f>
        <v>0</v>
      </c>
      <c r="CR75" s="299">
        <f t="shared" si="102"/>
        <v>0</v>
      </c>
      <c r="CS75" s="299">
        <f t="shared" si="102"/>
        <v>0</v>
      </c>
      <c r="CT75" s="299">
        <f t="shared" si="102"/>
        <v>0</v>
      </c>
      <c r="CU75" s="299">
        <f t="shared" si="102"/>
        <v>0</v>
      </c>
      <c r="CV75" s="299">
        <f t="shared" si="102"/>
        <v>0</v>
      </c>
      <c r="CW75" s="299">
        <f t="shared" si="102"/>
        <v>0</v>
      </c>
      <c r="CX75" s="299">
        <f t="shared" si="102"/>
        <v>0</v>
      </c>
      <c r="CY75" s="299">
        <f t="shared" si="102"/>
        <v>0</v>
      </c>
      <c r="CZ75" s="299">
        <f t="shared" si="101"/>
        <v>0</v>
      </c>
      <c r="DA75" s="299">
        <f t="shared" si="101"/>
        <v>0</v>
      </c>
      <c r="DB75" s="299">
        <f t="shared" si="101"/>
        <v>0</v>
      </c>
      <c r="DC75" s="113">
        <f>SUM(DC44:DC74)</f>
        <v>0</v>
      </c>
      <c r="DD75" s="113">
        <f t="shared" ref="DD75:FO75" si="103">SUM(DD44:DD74)</f>
        <v>0</v>
      </c>
      <c r="DE75" s="113">
        <f t="shared" si="103"/>
        <v>0</v>
      </c>
      <c r="DF75" s="113">
        <f t="shared" si="103"/>
        <v>0</v>
      </c>
      <c r="DG75" s="113">
        <f t="shared" si="103"/>
        <v>0</v>
      </c>
      <c r="DH75" s="113">
        <f t="shared" si="103"/>
        <v>0</v>
      </c>
      <c r="DI75" s="397">
        <f t="shared" si="103"/>
        <v>0</v>
      </c>
      <c r="DJ75" s="113">
        <f t="shared" si="103"/>
        <v>0</v>
      </c>
      <c r="DK75" s="396">
        <f t="shared" si="103"/>
        <v>0</v>
      </c>
      <c r="DL75" s="113">
        <f t="shared" si="103"/>
        <v>0</v>
      </c>
      <c r="DM75" s="113">
        <f t="shared" si="103"/>
        <v>0</v>
      </c>
      <c r="DN75" s="113">
        <f t="shared" si="103"/>
        <v>0</v>
      </c>
      <c r="DO75" s="397">
        <f t="shared" si="103"/>
        <v>0</v>
      </c>
      <c r="DP75" s="113">
        <f t="shared" si="103"/>
        <v>0</v>
      </c>
      <c r="DQ75" s="396">
        <f t="shared" si="103"/>
        <v>0</v>
      </c>
      <c r="DR75" s="113">
        <f t="shared" si="103"/>
        <v>0</v>
      </c>
      <c r="DS75" s="113">
        <f t="shared" si="103"/>
        <v>0</v>
      </c>
      <c r="DT75" s="113">
        <f t="shared" si="103"/>
        <v>0</v>
      </c>
      <c r="DU75" s="397">
        <f t="shared" si="103"/>
        <v>0</v>
      </c>
      <c r="DV75" s="113">
        <f t="shared" si="103"/>
        <v>0</v>
      </c>
      <c r="DW75" s="396">
        <f t="shared" si="103"/>
        <v>0</v>
      </c>
      <c r="DX75" s="113">
        <f t="shared" si="103"/>
        <v>0</v>
      </c>
      <c r="DY75" s="113">
        <f t="shared" si="103"/>
        <v>0</v>
      </c>
      <c r="DZ75" s="113">
        <f t="shared" si="103"/>
        <v>0</v>
      </c>
      <c r="EA75" s="397">
        <f t="shared" si="103"/>
        <v>0</v>
      </c>
      <c r="EB75" s="113">
        <f t="shared" si="103"/>
        <v>0</v>
      </c>
      <c r="EC75" s="396">
        <f t="shared" si="103"/>
        <v>0</v>
      </c>
      <c r="ED75" s="113">
        <f t="shared" si="103"/>
        <v>0</v>
      </c>
      <c r="EE75" s="113">
        <f t="shared" si="103"/>
        <v>0</v>
      </c>
      <c r="EF75" s="113">
        <f t="shared" si="103"/>
        <v>0</v>
      </c>
      <c r="EG75" s="397">
        <f t="shared" si="103"/>
        <v>0</v>
      </c>
      <c r="EH75" s="113">
        <f t="shared" si="103"/>
        <v>0</v>
      </c>
      <c r="EI75" s="396">
        <f t="shared" si="103"/>
        <v>0</v>
      </c>
      <c r="EJ75" s="113">
        <f t="shared" si="103"/>
        <v>0</v>
      </c>
      <c r="EK75" s="113">
        <f t="shared" si="103"/>
        <v>0</v>
      </c>
      <c r="EL75" s="113">
        <f t="shared" si="103"/>
        <v>0</v>
      </c>
      <c r="EM75" s="397">
        <f t="shared" si="103"/>
        <v>0</v>
      </c>
      <c r="EN75" s="113">
        <f t="shared" si="103"/>
        <v>0</v>
      </c>
      <c r="EO75" s="396">
        <f t="shared" si="103"/>
        <v>0</v>
      </c>
      <c r="EP75" s="113">
        <f t="shared" si="103"/>
        <v>0</v>
      </c>
      <c r="EQ75" s="113">
        <f t="shared" si="103"/>
        <v>0</v>
      </c>
      <c r="ER75" s="113">
        <f t="shared" si="103"/>
        <v>0</v>
      </c>
      <c r="ES75" s="397">
        <f t="shared" si="103"/>
        <v>0</v>
      </c>
      <c r="ET75" s="113">
        <f t="shared" si="103"/>
        <v>0</v>
      </c>
      <c r="EU75" s="396">
        <f t="shared" si="103"/>
        <v>0</v>
      </c>
      <c r="EV75" s="113">
        <f t="shared" si="103"/>
        <v>0</v>
      </c>
      <c r="EW75" s="113">
        <f t="shared" si="103"/>
        <v>0</v>
      </c>
      <c r="EX75" s="113">
        <f t="shared" si="103"/>
        <v>0</v>
      </c>
      <c r="EY75" s="397">
        <f t="shared" si="103"/>
        <v>0</v>
      </c>
      <c r="EZ75" s="113">
        <f t="shared" si="103"/>
        <v>0</v>
      </c>
      <c r="FA75" s="396">
        <f t="shared" si="103"/>
        <v>0</v>
      </c>
      <c r="FB75" s="113">
        <f t="shared" si="103"/>
        <v>0</v>
      </c>
      <c r="FC75" s="113">
        <f t="shared" si="103"/>
        <v>0</v>
      </c>
      <c r="FD75" s="113">
        <f t="shared" si="103"/>
        <v>0</v>
      </c>
      <c r="FE75" s="397">
        <f t="shared" si="103"/>
        <v>0</v>
      </c>
      <c r="FF75" s="113">
        <f t="shared" si="103"/>
        <v>0</v>
      </c>
      <c r="FG75" s="396">
        <f t="shared" si="103"/>
        <v>0</v>
      </c>
      <c r="FH75" s="113">
        <f t="shared" si="103"/>
        <v>0</v>
      </c>
      <c r="FI75" s="113">
        <f t="shared" si="103"/>
        <v>0</v>
      </c>
      <c r="FJ75" s="113">
        <f t="shared" si="103"/>
        <v>0</v>
      </c>
      <c r="FK75" s="397">
        <f t="shared" si="103"/>
        <v>0</v>
      </c>
      <c r="FL75" s="113">
        <f t="shared" si="103"/>
        <v>0</v>
      </c>
      <c r="FM75" s="396">
        <f t="shared" si="103"/>
        <v>0</v>
      </c>
      <c r="FN75" s="113">
        <f t="shared" si="103"/>
        <v>0</v>
      </c>
      <c r="FO75" s="113">
        <f t="shared" si="103"/>
        <v>0</v>
      </c>
      <c r="FP75" s="113">
        <f t="shared" ref="FP75:HC75" si="104">SUM(FP44:FP74)</f>
        <v>0</v>
      </c>
      <c r="FQ75" s="397">
        <f t="shared" si="104"/>
        <v>0</v>
      </c>
      <c r="FR75" s="113">
        <f t="shared" si="104"/>
        <v>0</v>
      </c>
      <c r="FS75" s="396">
        <f t="shared" si="104"/>
        <v>0</v>
      </c>
      <c r="FT75" s="113">
        <f t="shared" si="104"/>
        <v>0</v>
      </c>
      <c r="FU75" s="113">
        <f t="shared" si="104"/>
        <v>0</v>
      </c>
      <c r="FV75" s="113">
        <f t="shared" si="104"/>
        <v>0</v>
      </c>
      <c r="FW75" s="397">
        <f t="shared" si="104"/>
        <v>0</v>
      </c>
      <c r="FX75" s="113">
        <f t="shared" si="104"/>
        <v>0</v>
      </c>
      <c r="FY75" s="396">
        <f t="shared" si="104"/>
        <v>0</v>
      </c>
      <c r="FZ75" s="113">
        <f t="shared" si="104"/>
        <v>0</v>
      </c>
      <c r="GA75" s="113">
        <f t="shared" si="104"/>
        <v>0</v>
      </c>
      <c r="GB75" s="113">
        <f t="shared" si="104"/>
        <v>0</v>
      </c>
      <c r="GC75" s="397">
        <f t="shared" si="104"/>
        <v>0</v>
      </c>
      <c r="GD75" s="113">
        <f t="shared" si="104"/>
        <v>0</v>
      </c>
      <c r="GE75" s="396">
        <f t="shared" si="104"/>
        <v>0</v>
      </c>
      <c r="GF75" s="113">
        <f t="shared" si="104"/>
        <v>0</v>
      </c>
      <c r="GG75" s="113">
        <f t="shared" si="104"/>
        <v>0</v>
      </c>
      <c r="GH75" s="113">
        <f t="shared" si="104"/>
        <v>0</v>
      </c>
      <c r="GI75" s="397">
        <f t="shared" si="104"/>
        <v>0</v>
      </c>
      <c r="GJ75" s="113">
        <f t="shared" si="104"/>
        <v>0</v>
      </c>
      <c r="GK75" s="396">
        <f t="shared" si="104"/>
        <v>0</v>
      </c>
      <c r="GL75" s="396">
        <f t="shared" si="104"/>
        <v>0</v>
      </c>
      <c r="GM75" s="396">
        <f t="shared" si="104"/>
        <v>0</v>
      </c>
      <c r="GN75" s="396">
        <f t="shared" si="104"/>
        <v>0</v>
      </c>
      <c r="GO75" s="396">
        <f t="shared" si="104"/>
        <v>0</v>
      </c>
      <c r="GP75" s="396">
        <f t="shared" si="104"/>
        <v>0</v>
      </c>
      <c r="GQ75" s="396">
        <f t="shared" si="104"/>
        <v>0</v>
      </c>
      <c r="GR75" s="396">
        <f t="shared" si="104"/>
        <v>0</v>
      </c>
      <c r="GS75" s="396">
        <f t="shared" si="104"/>
        <v>0</v>
      </c>
      <c r="GT75" s="396">
        <f t="shared" si="104"/>
        <v>0</v>
      </c>
      <c r="GU75" s="396">
        <f t="shared" si="104"/>
        <v>0</v>
      </c>
      <c r="GV75" s="396">
        <f t="shared" si="104"/>
        <v>0</v>
      </c>
      <c r="GW75" s="396">
        <f t="shared" si="104"/>
        <v>0</v>
      </c>
      <c r="GX75" s="396">
        <f t="shared" si="104"/>
        <v>0</v>
      </c>
      <c r="GY75" s="396">
        <f t="shared" si="104"/>
        <v>0</v>
      </c>
      <c r="GZ75" s="396">
        <f t="shared" si="104"/>
        <v>0</v>
      </c>
      <c r="HA75" s="396">
        <f t="shared" si="104"/>
        <v>0</v>
      </c>
      <c r="HB75" s="396">
        <f t="shared" si="104"/>
        <v>0</v>
      </c>
      <c r="HC75" s="396">
        <f t="shared" si="104"/>
        <v>0</v>
      </c>
      <c r="HD75" s="382">
        <f t="shared" ref="HD75" si="105">SUM(HD44:HD74)</f>
        <v>0</v>
      </c>
      <c r="HE75" s="382">
        <f t="shared" ref="HE75" si="106">SUM(HE44:HE74)</f>
        <v>0</v>
      </c>
      <c r="HF75" s="382">
        <f t="shared" ref="HF75" si="107">SUM(HF44:HF74)</f>
        <v>0</v>
      </c>
      <c r="HG75" s="145">
        <f t="shared" si="15"/>
        <v>0</v>
      </c>
    </row>
    <row r="76" spans="1:215" s="346" customFormat="1" ht="15.75" thickBot="1">
      <c r="A76" s="372"/>
      <c r="B76" s="372"/>
      <c r="C76" s="372"/>
      <c r="D76" s="372"/>
      <c r="E76" s="372"/>
      <c r="F76" s="372"/>
      <c r="G76" s="372"/>
      <c r="H76" s="372"/>
      <c r="I76" s="372"/>
      <c r="J76" s="372"/>
      <c r="K76" s="374"/>
      <c r="L76" s="375"/>
      <c r="M76" s="376"/>
      <c r="N76" s="372"/>
      <c r="O76" s="372"/>
      <c r="P76" s="372"/>
      <c r="Q76" s="372"/>
      <c r="R76" s="372"/>
      <c r="S76" s="372"/>
      <c r="T76" s="372"/>
      <c r="U76" s="372"/>
      <c r="V76" s="372"/>
      <c r="W76" s="372"/>
      <c r="X76" s="372"/>
      <c r="Y76" s="372"/>
      <c r="Z76" s="372"/>
      <c r="AA76" s="372"/>
      <c r="AB76" s="372"/>
      <c r="AC76" s="372"/>
      <c r="AD76" s="372"/>
      <c r="AE76" s="372"/>
      <c r="AF76" s="372"/>
      <c r="AG76" s="372"/>
      <c r="AH76" s="372"/>
      <c r="AI76" s="372"/>
      <c r="AJ76" s="372"/>
      <c r="AK76" s="372"/>
      <c r="AL76" s="372"/>
      <c r="AM76" s="372"/>
      <c r="AN76" s="372"/>
      <c r="AO76" s="372"/>
      <c r="AP76" s="372"/>
      <c r="AQ76" s="372"/>
      <c r="AR76" s="372"/>
      <c r="AS76" s="372"/>
      <c r="AT76" s="372"/>
      <c r="AU76" s="372"/>
      <c r="AV76" s="372"/>
      <c r="AW76" s="372"/>
      <c r="AX76" s="372"/>
      <c r="AY76" s="372"/>
      <c r="AZ76" s="372"/>
      <c r="BA76" s="372"/>
      <c r="BB76" s="372"/>
      <c r="BC76" s="372"/>
      <c r="BD76" s="372"/>
      <c r="BE76" s="372"/>
      <c r="BF76" s="372"/>
      <c r="BG76" s="372"/>
      <c r="BH76" s="372"/>
      <c r="BI76" s="372"/>
      <c r="BJ76" s="372"/>
      <c r="BK76" s="372"/>
      <c r="BL76" s="372"/>
      <c r="BM76" s="372"/>
      <c r="BN76" s="372"/>
      <c r="BO76" s="372"/>
      <c r="BP76" s="372"/>
      <c r="BQ76" s="372"/>
      <c r="BR76" s="372"/>
      <c r="BS76" s="372"/>
      <c r="BT76" s="372"/>
      <c r="BU76" s="372"/>
      <c r="BV76" s="372"/>
      <c r="BW76" s="372"/>
      <c r="BX76" s="372"/>
      <c r="BY76" s="372"/>
      <c r="BZ76" s="372"/>
      <c r="CA76" s="372"/>
      <c r="CB76" s="372"/>
      <c r="CC76" s="372"/>
      <c r="CD76" s="372"/>
      <c r="CE76" s="372"/>
      <c r="CF76" s="372"/>
      <c r="CG76" s="372"/>
      <c r="CH76" s="372"/>
      <c r="CI76" s="372"/>
      <c r="CJ76" s="372"/>
      <c r="CK76" s="372"/>
      <c r="CL76" s="372"/>
      <c r="CM76" s="372"/>
      <c r="CN76" s="372"/>
      <c r="CO76" s="372"/>
      <c r="CP76" s="372"/>
      <c r="CQ76" s="372"/>
      <c r="CR76" s="372"/>
      <c r="CS76" s="372"/>
      <c r="CT76" s="372"/>
      <c r="CU76" s="372"/>
      <c r="CV76" s="372"/>
      <c r="CW76" s="372"/>
      <c r="CX76" s="372"/>
      <c r="CY76" s="372"/>
      <c r="CZ76" s="372"/>
      <c r="DA76" s="372"/>
      <c r="DB76" s="372"/>
      <c r="DC76" s="372"/>
      <c r="DD76" s="372"/>
      <c r="DE76" s="372"/>
      <c r="DF76" s="372"/>
      <c r="DG76" s="372"/>
      <c r="DH76" s="372"/>
      <c r="DI76" s="372"/>
      <c r="DJ76" s="372"/>
      <c r="DK76" s="372"/>
      <c r="DL76" s="374"/>
      <c r="DM76" s="375"/>
      <c r="DN76" s="376"/>
      <c r="DO76" s="372"/>
      <c r="DP76" s="372"/>
      <c r="DQ76" s="372"/>
      <c r="DR76" s="372"/>
      <c r="DS76" s="372"/>
      <c r="DT76" s="372"/>
      <c r="DU76" s="372"/>
      <c r="DV76" s="372"/>
      <c r="DW76" s="372"/>
      <c r="DX76" s="372"/>
      <c r="DY76" s="372"/>
      <c r="DZ76" s="372"/>
      <c r="EA76" s="372"/>
      <c r="EB76" s="372"/>
      <c r="EC76" s="372"/>
      <c r="ED76" s="372"/>
      <c r="EE76" s="372"/>
      <c r="EF76" s="372"/>
      <c r="EG76" s="372"/>
      <c r="EH76" s="372"/>
      <c r="EI76" s="372"/>
      <c r="EJ76" s="372"/>
      <c r="EK76" s="372"/>
      <c r="EL76" s="372"/>
      <c r="EM76" s="372"/>
      <c r="EN76" s="372"/>
      <c r="EO76" s="372"/>
      <c r="EP76" s="372"/>
      <c r="EQ76" s="372"/>
      <c r="ER76" s="372"/>
      <c r="ES76" s="372"/>
      <c r="ET76" s="372"/>
      <c r="EU76" s="372"/>
      <c r="EV76" s="372"/>
      <c r="EW76" s="372"/>
      <c r="EX76" s="372"/>
      <c r="EY76" s="372"/>
      <c r="EZ76" s="372"/>
      <c r="FA76" s="372"/>
      <c r="FB76" s="372"/>
      <c r="FC76" s="372"/>
      <c r="FD76" s="372"/>
      <c r="FE76" s="372"/>
      <c r="FF76" s="372"/>
      <c r="FG76" s="372"/>
      <c r="FH76" s="372"/>
      <c r="FI76" s="372"/>
      <c r="FJ76" s="372"/>
      <c r="FK76" s="372"/>
      <c r="FL76" s="372"/>
      <c r="FM76" s="372"/>
      <c r="FN76" s="372"/>
      <c r="FO76" s="372"/>
      <c r="FP76" s="372"/>
      <c r="FQ76" s="372"/>
      <c r="FR76" s="372"/>
      <c r="FS76" s="372"/>
      <c r="FT76" s="372"/>
      <c r="FU76" s="372"/>
      <c r="FV76" s="372"/>
      <c r="FW76" s="372"/>
      <c r="FX76" s="372"/>
      <c r="FY76" s="372"/>
      <c r="FZ76" s="372"/>
      <c r="GA76" s="372"/>
      <c r="GB76" s="372"/>
      <c r="GC76" s="372"/>
      <c r="GD76" s="372"/>
      <c r="GE76" s="372"/>
      <c r="GF76" s="372"/>
      <c r="GG76" s="372"/>
      <c r="GH76" s="372"/>
      <c r="GI76" s="372"/>
      <c r="GJ76" s="372"/>
      <c r="GK76" s="372"/>
      <c r="GL76" s="372"/>
      <c r="GM76" s="372"/>
      <c r="GN76" s="372"/>
      <c r="GO76" s="372"/>
      <c r="GP76" s="372"/>
      <c r="GQ76" s="372"/>
      <c r="GR76" s="372"/>
      <c r="GS76" s="372"/>
      <c r="GT76" s="372"/>
      <c r="GU76" s="372"/>
      <c r="GV76" s="372"/>
      <c r="GW76" s="372"/>
      <c r="GX76" s="372"/>
      <c r="GY76" s="372"/>
      <c r="GZ76" s="372"/>
      <c r="HA76" s="372"/>
      <c r="HB76" s="372"/>
      <c r="HC76" s="372"/>
      <c r="HD76" s="383"/>
      <c r="HE76" s="383"/>
      <c r="HF76" s="383"/>
      <c r="HG76" s="145">
        <f t="shared" si="15"/>
        <v>0</v>
      </c>
    </row>
    <row r="77" spans="1:215" s="346" customFormat="1" ht="15.75" thickBot="1">
      <c r="A77" s="372"/>
      <c r="B77" s="372"/>
      <c r="C77" s="372"/>
      <c r="D77" s="373" t="s">
        <v>43</v>
      </c>
      <c r="E77" s="372"/>
      <c r="F77" s="372"/>
      <c r="G77" s="372"/>
      <c r="H77" s="372"/>
      <c r="I77" s="372"/>
      <c r="J77" s="372"/>
      <c r="K77" s="372"/>
      <c r="L77" s="372"/>
      <c r="M77" s="372"/>
      <c r="N77" s="372"/>
      <c r="O77" s="372"/>
      <c r="P77" s="372"/>
      <c r="Q77" s="372"/>
      <c r="R77" s="372"/>
      <c r="S77" s="372"/>
      <c r="T77" s="372"/>
      <c r="U77" s="372"/>
      <c r="V77" s="372"/>
      <c r="W77" s="372"/>
      <c r="X77" s="372"/>
      <c r="Y77" s="372"/>
      <c r="Z77" s="372"/>
      <c r="AA77" s="372"/>
      <c r="AB77" s="372"/>
      <c r="AC77" s="372"/>
      <c r="AD77" s="372"/>
      <c r="AE77" s="372"/>
      <c r="AF77" s="372"/>
      <c r="AG77" s="372"/>
      <c r="AH77" s="372"/>
      <c r="AI77" s="372"/>
      <c r="AJ77" s="372"/>
      <c r="AK77" s="372"/>
      <c r="AL77" s="372"/>
      <c r="AM77" s="372"/>
      <c r="AN77" s="372"/>
      <c r="AO77" s="372"/>
      <c r="AP77" s="372"/>
      <c r="AQ77" s="372"/>
      <c r="AR77" s="372"/>
      <c r="AS77" s="372"/>
      <c r="AT77" s="372"/>
      <c r="AU77" s="372"/>
      <c r="AV77" s="372"/>
      <c r="AW77" s="372"/>
      <c r="AX77" s="372"/>
      <c r="AY77" s="372"/>
      <c r="AZ77" s="372"/>
      <c r="BA77" s="372"/>
      <c r="BB77" s="372"/>
      <c r="BC77" s="372"/>
      <c r="BD77" s="372"/>
      <c r="BE77" s="372"/>
      <c r="BF77" s="372"/>
      <c r="BG77" s="372"/>
      <c r="BH77" s="372"/>
      <c r="BI77" s="372"/>
      <c r="BJ77" s="372"/>
      <c r="BK77" s="372"/>
      <c r="BL77" s="372"/>
      <c r="BM77" s="372"/>
      <c r="BN77" s="372"/>
      <c r="BO77" s="372"/>
      <c r="BP77" s="372"/>
      <c r="BQ77" s="372"/>
      <c r="BR77" s="372"/>
      <c r="BS77" s="372"/>
      <c r="BT77" s="372"/>
      <c r="BU77" s="372"/>
      <c r="BV77" s="372"/>
      <c r="BW77" s="372"/>
      <c r="BX77" s="372"/>
      <c r="BY77" s="372"/>
      <c r="BZ77" s="372"/>
      <c r="CA77" s="372"/>
      <c r="CB77" s="372"/>
      <c r="CC77" s="372"/>
      <c r="CD77" s="372"/>
      <c r="CE77" s="372"/>
      <c r="CF77" s="372"/>
      <c r="CG77" s="372"/>
      <c r="CH77" s="372"/>
      <c r="CI77" s="372"/>
      <c r="CJ77" s="372"/>
      <c r="CK77" s="372"/>
      <c r="CL77" s="372"/>
      <c r="CM77" s="372"/>
      <c r="CN77" s="372"/>
      <c r="CO77" s="372"/>
      <c r="CP77" s="372"/>
      <c r="CQ77" s="372"/>
      <c r="CR77" s="372"/>
      <c r="CS77" s="372"/>
      <c r="CT77" s="372"/>
      <c r="CU77" s="372"/>
      <c r="CV77" s="372"/>
      <c r="CW77" s="372"/>
      <c r="CX77" s="372"/>
      <c r="CY77" s="372"/>
      <c r="CZ77" s="372"/>
      <c r="DA77" s="372"/>
      <c r="DB77" s="372"/>
      <c r="DC77" s="372"/>
      <c r="DD77" s="372"/>
      <c r="DE77" s="372"/>
      <c r="DF77" s="372"/>
      <c r="DG77" s="372"/>
      <c r="DH77" s="372"/>
      <c r="DI77" s="372"/>
      <c r="DJ77" s="372"/>
      <c r="DK77" s="372"/>
      <c r="DL77" s="372"/>
      <c r="DM77" s="372"/>
      <c r="DN77" s="372"/>
      <c r="DO77" s="372"/>
      <c r="DP77" s="372"/>
      <c r="DQ77" s="372"/>
      <c r="DR77" s="372"/>
      <c r="DS77" s="372"/>
      <c r="DT77" s="372"/>
      <c r="DU77" s="372"/>
      <c r="DV77" s="372"/>
      <c r="DW77" s="372"/>
      <c r="DX77" s="372"/>
      <c r="DY77" s="372"/>
      <c r="DZ77" s="372"/>
      <c r="EA77" s="372"/>
      <c r="EB77" s="372"/>
      <c r="EC77" s="372"/>
      <c r="ED77" s="372"/>
      <c r="EE77" s="372"/>
      <c r="EF77" s="372"/>
      <c r="EG77" s="372"/>
      <c r="EH77" s="372"/>
      <c r="EI77" s="372"/>
      <c r="EJ77" s="372"/>
      <c r="EK77" s="372"/>
      <c r="EL77" s="372"/>
      <c r="EM77" s="372"/>
      <c r="EN77" s="372"/>
      <c r="EO77" s="372"/>
      <c r="EP77" s="372"/>
      <c r="EQ77" s="372"/>
      <c r="ER77" s="372"/>
      <c r="ES77" s="372"/>
      <c r="ET77" s="372"/>
      <c r="EU77" s="372"/>
      <c r="EV77" s="372"/>
      <c r="EW77" s="372"/>
      <c r="EX77" s="372"/>
      <c r="EY77" s="372"/>
      <c r="EZ77" s="372"/>
      <c r="FA77" s="372"/>
      <c r="FB77" s="372"/>
      <c r="FC77" s="372"/>
      <c r="FD77" s="372"/>
      <c r="FE77" s="372"/>
      <c r="FF77" s="372"/>
      <c r="FG77" s="372"/>
      <c r="FH77" s="372"/>
      <c r="FI77" s="372"/>
      <c r="FJ77" s="372"/>
      <c r="FK77" s="372"/>
      <c r="FL77" s="372"/>
      <c r="FM77" s="372"/>
      <c r="FN77" s="372"/>
      <c r="FO77" s="372"/>
      <c r="FP77" s="372"/>
      <c r="FQ77" s="372"/>
      <c r="FR77" s="372"/>
      <c r="FS77" s="372"/>
      <c r="FT77" s="372"/>
      <c r="FU77" s="372"/>
      <c r="FV77" s="372"/>
      <c r="FW77" s="372"/>
      <c r="FX77" s="372"/>
      <c r="FY77" s="372"/>
      <c r="FZ77" s="372"/>
      <c r="GA77" s="372"/>
      <c r="GB77" s="372"/>
      <c r="GC77" s="372"/>
      <c r="GD77" s="372"/>
      <c r="GE77" s="372"/>
      <c r="GF77" s="372"/>
      <c r="GG77" s="372"/>
      <c r="GH77" s="372"/>
      <c r="GI77" s="372"/>
      <c r="GJ77" s="372"/>
      <c r="GK77" s="372"/>
      <c r="GL77" s="372"/>
      <c r="GM77" s="372"/>
      <c r="GN77" s="372"/>
      <c r="GO77" s="372"/>
      <c r="GP77" s="372"/>
      <c r="GQ77" s="372"/>
      <c r="GR77" s="372"/>
      <c r="GS77" s="372"/>
      <c r="GT77" s="372"/>
      <c r="GU77" s="372"/>
      <c r="GV77" s="372"/>
      <c r="GW77" s="372"/>
      <c r="GX77" s="372"/>
      <c r="GY77" s="372"/>
      <c r="GZ77" s="372"/>
      <c r="HA77" s="372"/>
      <c r="HB77" s="372"/>
      <c r="HC77" s="372"/>
      <c r="HD77" s="383"/>
      <c r="HE77" s="383"/>
      <c r="HF77" s="383"/>
      <c r="HG77" s="145">
        <f t="shared" si="15"/>
        <v>0</v>
      </c>
    </row>
    <row r="78" spans="1:215" ht="15.75" thickBot="1">
      <c r="A78" s="422" t="s">
        <v>2</v>
      </c>
      <c r="B78" s="425" t="s">
        <v>3</v>
      </c>
      <c r="C78" s="426"/>
      <c r="D78" s="428"/>
      <c r="E78" s="429" t="s">
        <v>4</v>
      </c>
      <c r="F78" s="426"/>
      <c r="G78" s="427"/>
      <c r="H78" s="425" t="s">
        <v>5</v>
      </c>
      <c r="I78" s="426"/>
      <c r="J78" s="428"/>
      <c r="K78" s="429" t="s">
        <v>6</v>
      </c>
      <c r="L78" s="426"/>
      <c r="M78" s="427"/>
      <c r="N78" s="425" t="s">
        <v>7</v>
      </c>
      <c r="O78" s="426"/>
      <c r="P78" s="428"/>
      <c r="Q78" s="429" t="s">
        <v>8</v>
      </c>
      <c r="R78" s="426"/>
      <c r="S78" s="427"/>
      <c r="T78" s="425" t="s">
        <v>9</v>
      </c>
      <c r="U78" s="426"/>
      <c r="V78" s="428"/>
      <c r="W78" s="429" t="s">
        <v>10</v>
      </c>
      <c r="X78" s="426"/>
      <c r="Y78" s="427"/>
      <c r="Z78" s="425" t="s">
        <v>11</v>
      </c>
      <c r="AA78" s="426"/>
      <c r="AB78" s="428"/>
      <c r="AC78" s="429" t="s">
        <v>12</v>
      </c>
      <c r="AD78" s="426"/>
      <c r="AE78" s="427"/>
      <c r="AF78" s="425" t="s">
        <v>13</v>
      </c>
      <c r="AG78" s="426"/>
      <c r="AH78" s="428"/>
      <c r="AI78" s="429" t="s">
        <v>14</v>
      </c>
      <c r="AJ78" s="426"/>
      <c r="AK78" s="427"/>
      <c r="AL78" s="425" t="s">
        <v>15</v>
      </c>
      <c r="AM78" s="426"/>
      <c r="AN78" s="428"/>
      <c r="AO78" s="429" t="s">
        <v>16</v>
      </c>
      <c r="AP78" s="426"/>
      <c r="AQ78" s="427"/>
      <c r="AR78" s="425" t="s">
        <v>17</v>
      </c>
      <c r="AS78" s="426"/>
      <c r="AT78" s="428"/>
      <c r="AU78" s="423" t="s">
        <v>18</v>
      </c>
      <c r="AV78" s="423"/>
      <c r="AW78" s="423"/>
      <c r="AX78" s="422" t="s">
        <v>19</v>
      </c>
      <c r="AY78" s="423"/>
      <c r="AZ78" s="424"/>
      <c r="BA78" s="423" t="s">
        <v>20</v>
      </c>
      <c r="BB78" s="423"/>
      <c r="BC78" s="423"/>
      <c r="BD78" s="422" t="s">
        <v>21</v>
      </c>
      <c r="BE78" s="423"/>
      <c r="BF78" s="424"/>
      <c r="BG78" s="423" t="s">
        <v>22</v>
      </c>
      <c r="BH78" s="423"/>
      <c r="BI78" s="423"/>
      <c r="BJ78" s="422" t="s">
        <v>23</v>
      </c>
      <c r="BK78" s="423"/>
      <c r="BL78" s="424"/>
      <c r="BM78" s="423" t="s">
        <v>24</v>
      </c>
      <c r="BN78" s="423"/>
      <c r="BO78" s="423"/>
      <c r="BP78" s="422" t="s">
        <v>25</v>
      </c>
      <c r="BQ78" s="423"/>
      <c r="BR78" s="424"/>
      <c r="BS78" s="423" t="s">
        <v>26</v>
      </c>
      <c r="BT78" s="423"/>
      <c r="BU78" s="423"/>
      <c r="BV78" s="422" t="s">
        <v>27</v>
      </c>
      <c r="BW78" s="423"/>
      <c r="BX78" s="424"/>
      <c r="BY78" s="423" t="s">
        <v>28</v>
      </c>
      <c r="BZ78" s="423"/>
      <c r="CA78" s="423"/>
      <c r="CB78" s="422" t="s">
        <v>29</v>
      </c>
      <c r="CC78" s="423"/>
      <c r="CD78" s="424"/>
      <c r="CE78" s="423" t="s">
        <v>30</v>
      </c>
      <c r="CF78" s="423"/>
      <c r="CG78" s="423"/>
      <c r="CH78" s="422" t="s">
        <v>31</v>
      </c>
      <c r="CI78" s="423"/>
      <c r="CJ78" s="424"/>
      <c r="CK78" s="423" t="s">
        <v>32</v>
      </c>
      <c r="CL78" s="423"/>
      <c r="CM78" s="423"/>
      <c r="CN78" s="422" t="s">
        <v>33</v>
      </c>
      <c r="CO78" s="423"/>
      <c r="CP78" s="424"/>
      <c r="CQ78" s="422" t="s">
        <v>34</v>
      </c>
      <c r="CR78" s="423"/>
      <c r="CS78" s="424"/>
      <c r="CT78" s="422" t="s">
        <v>35</v>
      </c>
      <c r="CU78" s="423"/>
      <c r="CV78" s="424"/>
      <c r="CW78" s="422" t="s">
        <v>36</v>
      </c>
      <c r="CX78" s="423"/>
      <c r="CY78" s="424"/>
      <c r="CZ78" s="422" t="s">
        <v>37</v>
      </c>
      <c r="DA78" s="423"/>
      <c r="DB78" s="424"/>
      <c r="DC78" s="422" t="s">
        <v>147</v>
      </c>
      <c r="DD78" s="423"/>
      <c r="DE78" s="424"/>
      <c r="DF78" s="422" t="s">
        <v>148</v>
      </c>
      <c r="DG78" s="423"/>
      <c r="DH78" s="424"/>
      <c r="DI78" s="422" t="s">
        <v>149</v>
      </c>
      <c r="DJ78" s="423"/>
      <c r="DK78" s="424"/>
      <c r="DL78" s="422" t="s">
        <v>150</v>
      </c>
      <c r="DM78" s="423"/>
      <c r="DN78" s="424"/>
      <c r="DO78" s="422" t="s">
        <v>151</v>
      </c>
      <c r="DP78" s="423"/>
      <c r="DQ78" s="424"/>
      <c r="DR78" s="422" t="s">
        <v>152</v>
      </c>
      <c r="DS78" s="423"/>
      <c r="DT78" s="424"/>
      <c r="DU78" s="422" t="s">
        <v>153</v>
      </c>
      <c r="DV78" s="423"/>
      <c r="DW78" s="424"/>
      <c r="DX78" s="422" t="s">
        <v>154</v>
      </c>
      <c r="DY78" s="423"/>
      <c r="DZ78" s="424"/>
      <c r="EA78" s="422" t="s">
        <v>155</v>
      </c>
      <c r="EB78" s="423"/>
      <c r="EC78" s="424"/>
      <c r="ED78" s="422" t="s">
        <v>156</v>
      </c>
      <c r="EE78" s="423"/>
      <c r="EF78" s="424"/>
      <c r="EG78" s="422" t="s">
        <v>157</v>
      </c>
      <c r="EH78" s="423"/>
      <c r="EI78" s="424"/>
      <c r="EJ78" s="422" t="s">
        <v>158</v>
      </c>
      <c r="EK78" s="423"/>
      <c r="EL78" s="424"/>
      <c r="EM78" s="422" t="s">
        <v>159</v>
      </c>
      <c r="EN78" s="423"/>
      <c r="EO78" s="424"/>
      <c r="EP78" s="422" t="s">
        <v>160</v>
      </c>
      <c r="EQ78" s="423"/>
      <c r="ER78" s="424"/>
      <c r="ES78" s="422" t="s">
        <v>161</v>
      </c>
      <c r="ET78" s="423"/>
      <c r="EU78" s="424"/>
      <c r="EV78" s="422" t="s">
        <v>162</v>
      </c>
      <c r="EW78" s="423"/>
      <c r="EX78" s="424"/>
      <c r="EY78" s="422" t="s">
        <v>163</v>
      </c>
      <c r="EZ78" s="423"/>
      <c r="FA78" s="424"/>
      <c r="FB78" s="422" t="s">
        <v>164</v>
      </c>
      <c r="FC78" s="423"/>
      <c r="FD78" s="424"/>
      <c r="FE78" s="422" t="s">
        <v>165</v>
      </c>
      <c r="FF78" s="423"/>
      <c r="FG78" s="424"/>
      <c r="FH78" s="422" t="s">
        <v>166</v>
      </c>
      <c r="FI78" s="423"/>
      <c r="FJ78" s="424"/>
      <c r="FK78" s="422" t="s">
        <v>167</v>
      </c>
      <c r="FL78" s="423"/>
      <c r="FM78" s="424"/>
      <c r="FN78" s="422" t="s">
        <v>168</v>
      </c>
      <c r="FO78" s="423"/>
      <c r="FP78" s="424"/>
      <c r="FQ78" s="422" t="s">
        <v>169</v>
      </c>
      <c r="FR78" s="423"/>
      <c r="FS78" s="424"/>
      <c r="FT78" s="422" t="s">
        <v>170</v>
      </c>
      <c r="FU78" s="423"/>
      <c r="FV78" s="424"/>
      <c r="FW78" s="422" t="s">
        <v>171</v>
      </c>
      <c r="FX78" s="423"/>
      <c r="FY78" s="424"/>
      <c r="FZ78" s="422" t="s">
        <v>172</v>
      </c>
      <c r="GA78" s="423"/>
      <c r="GB78" s="424"/>
      <c r="GC78" s="422" t="s">
        <v>173</v>
      </c>
      <c r="GD78" s="423"/>
      <c r="GE78" s="424"/>
      <c r="GF78" s="422" t="s">
        <v>174</v>
      </c>
      <c r="GG78" s="423"/>
      <c r="GH78" s="424"/>
      <c r="GI78" s="422" t="s">
        <v>175</v>
      </c>
      <c r="GJ78" s="423"/>
      <c r="GK78" s="424"/>
      <c r="GL78" s="422" t="s">
        <v>176</v>
      </c>
      <c r="GM78" s="423"/>
      <c r="GN78" s="424"/>
      <c r="GO78" s="422" t="s">
        <v>177</v>
      </c>
      <c r="GP78" s="423"/>
      <c r="GQ78" s="424"/>
      <c r="GR78" s="422" t="s">
        <v>178</v>
      </c>
      <c r="GS78" s="423"/>
      <c r="GT78" s="424"/>
      <c r="GU78" s="422" t="s">
        <v>179</v>
      </c>
      <c r="GV78" s="423"/>
      <c r="GW78" s="424"/>
      <c r="GX78" s="422" t="s">
        <v>180</v>
      </c>
      <c r="GY78" s="423"/>
      <c r="GZ78" s="424"/>
      <c r="HA78" s="422" t="s">
        <v>181</v>
      </c>
      <c r="HB78" s="423"/>
      <c r="HC78" s="424"/>
      <c r="HD78" s="430" t="s">
        <v>38</v>
      </c>
      <c r="HE78" s="431"/>
      <c r="HF78" s="432"/>
      <c r="HG78" s="145">
        <f t="shared" si="15"/>
        <v>0</v>
      </c>
    </row>
    <row r="79" spans="1:215" ht="15.75" thickBot="1">
      <c r="A79" s="436"/>
      <c r="B79" s="348" t="s">
        <v>39</v>
      </c>
      <c r="C79" s="349" t="s">
        <v>40</v>
      </c>
      <c r="D79" s="350" t="s">
        <v>41</v>
      </c>
      <c r="E79" s="351" t="s">
        <v>39</v>
      </c>
      <c r="F79" s="349" t="s">
        <v>40</v>
      </c>
      <c r="G79" s="359" t="s">
        <v>41</v>
      </c>
      <c r="H79" s="348" t="s">
        <v>39</v>
      </c>
      <c r="I79" s="349" t="s">
        <v>40</v>
      </c>
      <c r="J79" s="350" t="s">
        <v>41</v>
      </c>
      <c r="K79" s="351" t="s">
        <v>39</v>
      </c>
      <c r="L79" s="349" t="s">
        <v>40</v>
      </c>
      <c r="M79" s="359" t="s">
        <v>41</v>
      </c>
      <c r="N79" s="348" t="s">
        <v>39</v>
      </c>
      <c r="O79" s="349" t="s">
        <v>40</v>
      </c>
      <c r="P79" s="350" t="s">
        <v>41</v>
      </c>
      <c r="Q79" s="351" t="s">
        <v>39</v>
      </c>
      <c r="R79" s="349" t="s">
        <v>40</v>
      </c>
      <c r="S79" s="359" t="s">
        <v>41</v>
      </c>
      <c r="T79" s="348" t="s">
        <v>39</v>
      </c>
      <c r="U79" s="349" t="s">
        <v>40</v>
      </c>
      <c r="V79" s="350" t="s">
        <v>41</v>
      </c>
      <c r="W79" s="351" t="s">
        <v>39</v>
      </c>
      <c r="X79" s="349" t="s">
        <v>40</v>
      </c>
      <c r="Y79" s="359" t="s">
        <v>41</v>
      </c>
      <c r="Z79" s="348" t="s">
        <v>39</v>
      </c>
      <c r="AA79" s="349" t="s">
        <v>40</v>
      </c>
      <c r="AB79" s="350" t="s">
        <v>41</v>
      </c>
      <c r="AC79" s="351" t="s">
        <v>39</v>
      </c>
      <c r="AD79" s="349" t="s">
        <v>40</v>
      </c>
      <c r="AE79" s="359" t="s">
        <v>41</v>
      </c>
      <c r="AF79" s="348" t="s">
        <v>39</v>
      </c>
      <c r="AG79" s="349" t="s">
        <v>40</v>
      </c>
      <c r="AH79" s="350" t="s">
        <v>41</v>
      </c>
      <c r="AI79" s="351" t="s">
        <v>39</v>
      </c>
      <c r="AJ79" s="349" t="s">
        <v>40</v>
      </c>
      <c r="AK79" s="359" t="s">
        <v>41</v>
      </c>
      <c r="AL79" s="348" t="s">
        <v>39</v>
      </c>
      <c r="AM79" s="349" t="s">
        <v>40</v>
      </c>
      <c r="AN79" s="350" t="s">
        <v>41</v>
      </c>
      <c r="AO79" s="351" t="s">
        <v>39</v>
      </c>
      <c r="AP79" s="349" t="s">
        <v>40</v>
      </c>
      <c r="AQ79" s="359" t="s">
        <v>41</v>
      </c>
      <c r="AR79" s="348" t="s">
        <v>39</v>
      </c>
      <c r="AS79" s="349" t="s">
        <v>40</v>
      </c>
      <c r="AT79" s="350" t="s">
        <v>41</v>
      </c>
      <c r="AU79" s="351" t="s">
        <v>39</v>
      </c>
      <c r="AV79" s="349" t="s">
        <v>40</v>
      </c>
      <c r="AW79" s="359" t="s">
        <v>41</v>
      </c>
      <c r="AX79" s="348" t="s">
        <v>39</v>
      </c>
      <c r="AY79" s="349" t="s">
        <v>40</v>
      </c>
      <c r="AZ79" s="350" t="s">
        <v>41</v>
      </c>
      <c r="BA79" s="351" t="s">
        <v>39</v>
      </c>
      <c r="BB79" s="349" t="s">
        <v>40</v>
      </c>
      <c r="BC79" s="359" t="s">
        <v>41</v>
      </c>
      <c r="BD79" s="348" t="s">
        <v>39</v>
      </c>
      <c r="BE79" s="349" t="s">
        <v>40</v>
      </c>
      <c r="BF79" s="350" t="s">
        <v>41</v>
      </c>
      <c r="BG79" s="351" t="s">
        <v>39</v>
      </c>
      <c r="BH79" s="349" t="s">
        <v>40</v>
      </c>
      <c r="BI79" s="359" t="s">
        <v>41</v>
      </c>
      <c r="BJ79" s="348" t="s">
        <v>39</v>
      </c>
      <c r="BK79" s="349" t="s">
        <v>40</v>
      </c>
      <c r="BL79" s="350" t="s">
        <v>41</v>
      </c>
      <c r="BM79" s="351" t="s">
        <v>39</v>
      </c>
      <c r="BN79" s="349" t="s">
        <v>40</v>
      </c>
      <c r="BO79" s="359" t="s">
        <v>41</v>
      </c>
      <c r="BP79" s="348" t="s">
        <v>39</v>
      </c>
      <c r="BQ79" s="349" t="s">
        <v>40</v>
      </c>
      <c r="BR79" s="350" t="s">
        <v>41</v>
      </c>
      <c r="BS79" s="351" t="s">
        <v>39</v>
      </c>
      <c r="BT79" s="349" t="s">
        <v>40</v>
      </c>
      <c r="BU79" s="359" t="s">
        <v>41</v>
      </c>
      <c r="BV79" s="348" t="s">
        <v>39</v>
      </c>
      <c r="BW79" s="349" t="s">
        <v>40</v>
      </c>
      <c r="BX79" s="350" t="s">
        <v>41</v>
      </c>
      <c r="BY79" s="351" t="s">
        <v>39</v>
      </c>
      <c r="BZ79" s="349" t="s">
        <v>40</v>
      </c>
      <c r="CA79" s="359" t="s">
        <v>41</v>
      </c>
      <c r="CB79" s="348" t="s">
        <v>39</v>
      </c>
      <c r="CC79" s="349" t="s">
        <v>40</v>
      </c>
      <c r="CD79" s="350" t="s">
        <v>41</v>
      </c>
      <c r="CE79" s="351" t="s">
        <v>39</v>
      </c>
      <c r="CF79" s="349" t="s">
        <v>40</v>
      </c>
      <c r="CG79" s="359" t="s">
        <v>41</v>
      </c>
      <c r="CH79" s="348" t="s">
        <v>39</v>
      </c>
      <c r="CI79" s="349" t="s">
        <v>40</v>
      </c>
      <c r="CJ79" s="350" t="s">
        <v>41</v>
      </c>
      <c r="CK79" s="351" t="s">
        <v>39</v>
      </c>
      <c r="CL79" s="349" t="s">
        <v>40</v>
      </c>
      <c r="CM79" s="359" t="s">
        <v>41</v>
      </c>
      <c r="CN79" s="348" t="s">
        <v>39</v>
      </c>
      <c r="CO79" s="349" t="s">
        <v>40</v>
      </c>
      <c r="CP79" s="350" t="s">
        <v>41</v>
      </c>
      <c r="CQ79" s="363" t="s">
        <v>39</v>
      </c>
      <c r="CR79" s="364" t="s">
        <v>40</v>
      </c>
      <c r="CS79" s="365" t="s">
        <v>41</v>
      </c>
      <c r="CT79" s="363" t="s">
        <v>39</v>
      </c>
      <c r="CU79" s="364" t="s">
        <v>40</v>
      </c>
      <c r="CV79" s="365" t="s">
        <v>41</v>
      </c>
      <c r="CW79" s="363" t="s">
        <v>39</v>
      </c>
      <c r="CX79" s="364" t="s">
        <v>40</v>
      </c>
      <c r="CY79" s="365" t="s">
        <v>41</v>
      </c>
      <c r="CZ79" s="363" t="s">
        <v>39</v>
      </c>
      <c r="DA79" s="364" t="s">
        <v>40</v>
      </c>
      <c r="DB79" s="365" t="s">
        <v>41</v>
      </c>
      <c r="DC79" s="348" t="s">
        <v>39</v>
      </c>
      <c r="DD79" s="349" t="s">
        <v>40</v>
      </c>
      <c r="DE79" s="350" t="s">
        <v>41</v>
      </c>
      <c r="DF79" s="351" t="s">
        <v>39</v>
      </c>
      <c r="DG79" s="349" t="s">
        <v>40</v>
      </c>
      <c r="DH79" s="359" t="s">
        <v>41</v>
      </c>
      <c r="DI79" s="348" t="s">
        <v>39</v>
      </c>
      <c r="DJ79" s="349" t="s">
        <v>40</v>
      </c>
      <c r="DK79" s="350" t="s">
        <v>41</v>
      </c>
      <c r="DL79" s="351" t="s">
        <v>39</v>
      </c>
      <c r="DM79" s="349" t="s">
        <v>40</v>
      </c>
      <c r="DN79" s="359" t="s">
        <v>41</v>
      </c>
      <c r="DO79" s="348" t="s">
        <v>39</v>
      </c>
      <c r="DP79" s="349" t="s">
        <v>40</v>
      </c>
      <c r="DQ79" s="350" t="s">
        <v>41</v>
      </c>
      <c r="DR79" s="351" t="s">
        <v>39</v>
      </c>
      <c r="DS79" s="349" t="s">
        <v>40</v>
      </c>
      <c r="DT79" s="359" t="s">
        <v>41</v>
      </c>
      <c r="DU79" s="348" t="s">
        <v>39</v>
      </c>
      <c r="DV79" s="349" t="s">
        <v>40</v>
      </c>
      <c r="DW79" s="350" t="s">
        <v>41</v>
      </c>
      <c r="DX79" s="351" t="s">
        <v>39</v>
      </c>
      <c r="DY79" s="349" t="s">
        <v>40</v>
      </c>
      <c r="DZ79" s="359" t="s">
        <v>41</v>
      </c>
      <c r="EA79" s="348" t="s">
        <v>39</v>
      </c>
      <c r="EB79" s="349" t="s">
        <v>40</v>
      </c>
      <c r="EC79" s="350" t="s">
        <v>41</v>
      </c>
      <c r="ED79" s="351" t="s">
        <v>39</v>
      </c>
      <c r="EE79" s="349" t="s">
        <v>40</v>
      </c>
      <c r="EF79" s="359" t="s">
        <v>41</v>
      </c>
      <c r="EG79" s="348" t="s">
        <v>39</v>
      </c>
      <c r="EH79" s="349" t="s">
        <v>40</v>
      </c>
      <c r="EI79" s="350" t="s">
        <v>41</v>
      </c>
      <c r="EJ79" s="351" t="s">
        <v>39</v>
      </c>
      <c r="EK79" s="349" t="s">
        <v>40</v>
      </c>
      <c r="EL79" s="359" t="s">
        <v>41</v>
      </c>
      <c r="EM79" s="348" t="s">
        <v>39</v>
      </c>
      <c r="EN79" s="349" t="s">
        <v>40</v>
      </c>
      <c r="EO79" s="350" t="s">
        <v>41</v>
      </c>
      <c r="EP79" s="351" t="s">
        <v>39</v>
      </c>
      <c r="EQ79" s="349" t="s">
        <v>40</v>
      </c>
      <c r="ER79" s="359" t="s">
        <v>41</v>
      </c>
      <c r="ES79" s="348" t="s">
        <v>39</v>
      </c>
      <c r="ET79" s="349" t="s">
        <v>40</v>
      </c>
      <c r="EU79" s="350" t="s">
        <v>41</v>
      </c>
      <c r="EV79" s="351" t="s">
        <v>39</v>
      </c>
      <c r="EW79" s="349" t="s">
        <v>40</v>
      </c>
      <c r="EX79" s="359" t="s">
        <v>41</v>
      </c>
      <c r="EY79" s="348" t="s">
        <v>39</v>
      </c>
      <c r="EZ79" s="349" t="s">
        <v>40</v>
      </c>
      <c r="FA79" s="350" t="s">
        <v>41</v>
      </c>
      <c r="FB79" s="351" t="s">
        <v>39</v>
      </c>
      <c r="FC79" s="349" t="s">
        <v>40</v>
      </c>
      <c r="FD79" s="359" t="s">
        <v>41</v>
      </c>
      <c r="FE79" s="348" t="s">
        <v>39</v>
      </c>
      <c r="FF79" s="349" t="s">
        <v>40</v>
      </c>
      <c r="FG79" s="350" t="s">
        <v>41</v>
      </c>
      <c r="FH79" s="351" t="s">
        <v>39</v>
      </c>
      <c r="FI79" s="349" t="s">
        <v>40</v>
      </c>
      <c r="FJ79" s="359" t="s">
        <v>41</v>
      </c>
      <c r="FK79" s="348" t="s">
        <v>39</v>
      </c>
      <c r="FL79" s="349" t="s">
        <v>40</v>
      </c>
      <c r="FM79" s="350" t="s">
        <v>41</v>
      </c>
      <c r="FN79" s="351" t="s">
        <v>39</v>
      </c>
      <c r="FO79" s="349" t="s">
        <v>40</v>
      </c>
      <c r="FP79" s="359" t="s">
        <v>41</v>
      </c>
      <c r="FQ79" s="348" t="s">
        <v>39</v>
      </c>
      <c r="FR79" s="349" t="s">
        <v>40</v>
      </c>
      <c r="FS79" s="350" t="s">
        <v>41</v>
      </c>
      <c r="FT79" s="351" t="s">
        <v>39</v>
      </c>
      <c r="FU79" s="349" t="s">
        <v>40</v>
      </c>
      <c r="FV79" s="359" t="s">
        <v>41</v>
      </c>
      <c r="FW79" s="348" t="s">
        <v>39</v>
      </c>
      <c r="FX79" s="349" t="s">
        <v>40</v>
      </c>
      <c r="FY79" s="350" t="s">
        <v>41</v>
      </c>
      <c r="FZ79" s="351" t="s">
        <v>39</v>
      </c>
      <c r="GA79" s="349" t="s">
        <v>40</v>
      </c>
      <c r="GB79" s="359" t="s">
        <v>41</v>
      </c>
      <c r="GC79" s="348" t="s">
        <v>39</v>
      </c>
      <c r="GD79" s="349" t="s">
        <v>40</v>
      </c>
      <c r="GE79" s="350" t="s">
        <v>41</v>
      </c>
      <c r="GF79" s="351" t="s">
        <v>39</v>
      </c>
      <c r="GG79" s="349" t="s">
        <v>40</v>
      </c>
      <c r="GH79" s="359" t="s">
        <v>41</v>
      </c>
      <c r="GI79" s="348" t="s">
        <v>39</v>
      </c>
      <c r="GJ79" s="349" t="s">
        <v>40</v>
      </c>
      <c r="GK79" s="350" t="s">
        <v>41</v>
      </c>
      <c r="GL79" s="351" t="s">
        <v>39</v>
      </c>
      <c r="GM79" s="349" t="s">
        <v>40</v>
      </c>
      <c r="GN79" s="359" t="s">
        <v>41</v>
      </c>
      <c r="GO79" s="348" t="s">
        <v>39</v>
      </c>
      <c r="GP79" s="349" t="s">
        <v>40</v>
      </c>
      <c r="GQ79" s="350" t="s">
        <v>41</v>
      </c>
      <c r="GR79" s="363" t="s">
        <v>39</v>
      </c>
      <c r="GS79" s="364" t="s">
        <v>40</v>
      </c>
      <c r="GT79" s="365" t="s">
        <v>41</v>
      </c>
      <c r="GU79" s="363" t="s">
        <v>39</v>
      </c>
      <c r="GV79" s="364" t="s">
        <v>40</v>
      </c>
      <c r="GW79" s="365" t="s">
        <v>41</v>
      </c>
      <c r="GX79" s="363" t="s">
        <v>39</v>
      </c>
      <c r="GY79" s="364" t="s">
        <v>40</v>
      </c>
      <c r="GZ79" s="365" t="s">
        <v>41</v>
      </c>
      <c r="HA79" s="363" t="s">
        <v>39</v>
      </c>
      <c r="HB79" s="364" t="s">
        <v>40</v>
      </c>
      <c r="HC79" s="365" t="s">
        <v>41</v>
      </c>
      <c r="HD79" s="371" t="s">
        <v>39</v>
      </c>
      <c r="HE79" s="193" t="s">
        <v>40</v>
      </c>
      <c r="HF79" s="193" t="s">
        <v>41</v>
      </c>
      <c r="HG79" s="145">
        <f t="shared" si="15"/>
        <v>0</v>
      </c>
    </row>
    <row r="80" spans="1:215" ht="15.75" thickBot="1">
      <c r="A80" s="353">
        <v>1</v>
      </c>
      <c r="B80" s="116"/>
      <c r="C80" s="117"/>
      <c r="D80" s="119"/>
      <c r="E80" s="357"/>
      <c r="F80" s="355"/>
      <c r="G80" s="360"/>
      <c r="H80" s="354"/>
      <c r="I80" s="355"/>
      <c r="J80" s="356"/>
      <c r="K80" s="357"/>
      <c r="L80" s="355"/>
      <c r="M80" s="360"/>
      <c r="N80" s="354"/>
      <c r="O80" s="355"/>
      <c r="P80" s="356"/>
      <c r="Q80" s="357"/>
      <c r="R80" s="355"/>
      <c r="S80" s="360"/>
      <c r="T80" s="354"/>
      <c r="U80" s="355"/>
      <c r="V80" s="356"/>
      <c r="W80" s="357"/>
      <c r="X80" s="355"/>
      <c r="Y80" s="360"/>
      <c r="Z80" s="354"/>
      <c r="AA80" s="355"/>
      <c r="AB80" s="356"/>
      <c r="AC80" s="357"/>
      <c r="AD80" s="355"/>
      <c r="AE80" s="360"/>
      <c r="AF80" s="354"/>
      <c r="AG80" s="355"/>
      <c r="AH80" s="356"/>
      <c r="AI80" s="357"/>
      <c r="AJ80" s="355"/>
      <c r="AK80" s="360"/>
      <c r="AL80" s="354"/>
      <c r="AM80" s="355"/>
      <c r="AN80" s="356"/>
      <c r="AO80" s="357"/>
      <c r="AP80" s="355"/>
      <c r="AQ80" s="360"/>
      <c r="AR80" s="354"/>
      <c r="AS80" s="355"/>
      <c r="AT80" s="356"/>
      <c r="AU80" s="357"/>
      <c r="AV80" s="355"/>
      <c r="AW80" s="360"/>
      <c r="AX80" s="354"/>
      <c r="AY80" s="355"/>
      <c r="AZ80" s="356"/>
      <c r="BA80" s="357"/>
      <c r="BB80" s="355"/>
      <c r="BC80" s="360"/>
      <c r="BD80" s="354"/>
      <c r="BE80" s="355"/>
      <c r="BF80" s="356"/>
      <c r="BG80" s="357"/>
      <c r="BH80" s="355"/>
      <c r="BI80" s="360"/>
      <c r="BJ80" s="354"/>
      <c r="BK80" s="355"/>
      <c r="BL80" s="356"/>
      <c r="BM80" s="357"/>
      <c r="BN80" s="355"/>
      <c r="BO80" s="360"/>
      <c r="BP80" s="354"/>
      <c r="BQ80" s="355"/>
      <c r="BR80" s="356"/>
      <c r="BS80" s="357"/>
      <c r="BT80" s="355"/>
      <c r="BU80" s="360"/>
      <c r="BV80" s="354"/>
      <c r="BW80" s="355"/>
      <c r="BX80" s="356"/>
      <c r="BY80" s="357"/>
      <c r="BZ80" s="355"/>
      <c r="CA80" s="360"/>
      <c r="CB80" s="354"/>
      <c r="CC80" s="355"/>
      <c r="CD80" s="356"/>
      <c r="CE80" s="357"/>
      <c r="CF80" s="355"/>
      <c r="CG80" s="360"/>
      <c r="CH80" s="354"/>
      <c r="CI80" s="355"/>
      <c r="CJ80" s="356"/>
      <c r="CK80" s="357"/>
      <c r="CL80" s="355"/>
      <c r="CM80" s="360"/>
      <c r="CN80" s="354"/>
      <c r="CO80" s="355"/>
      <c r="CP80" s="356"/>
      <c r="CQ80" s="354"/>
      <c r="CR80" s="355"/>
      <c r="CS80" s="356"/>
      <c r="CT80" s="354"/>
      <c r="CU80" s="355"/>
      <c r="CV80" s="356"/>
      <c r="CW80" s="354"/>
      <c r="CX80" s="355"/>
      <c r="CY80" s="356"/>
      <c r="CZ80" s="354"/>
      <c r="DA80" s="355"/>
      <c r="DB80" s="356"/>
      <c r="DC80" s="116"/>
      <c r="DD80" s="117"/>
      <c r="DE80" s="119"/>
      <c r="DF80" s="357"/>
      <c r="DG80" s="355"/>
      <c r="DH80" s="360"/>
      <c r="DI80" s="354"/>
      <c r="DJ80" s="355"/>
      <c r="DK80" s="356"/>
      <c r="DL80" s="357"/>
      <c r="DM80" s="355"/>
      <c r="DN80" s="360"/>
      <c r="DO80" s="354"/>
      <c r="DP80" s="355"/>
      <c r="DQ80" s="356"/>
      <c r="DR80" s="357"/>
      <c r="DS80" s="355"/>
      <c r="DT80" s="360"/>
      <c r="DU80" s="354"/>
      <c r="DV80" s="355"/>
      <c r="DW80" s="356"/>
      <c r="DX80" s="357"/>
      <c r="DY80" s="355"/>
      <c r="DZ80" s="360"/>
      <c r="EA80" s="354"/>
      <c r="EB80" s="355"/>
      <c r="EC80" s="356"/>
      <c r="ED80" s="357"/>
      <c r="EE80" s="355"/>
      <c r="EF80" s="360"/>
      <c r="EG80" s="354"/>
      <c r="EH80" s="355"/>
      <c r="EI80" s="356"/>
      <c r="EJ80" s="357"/>
      <c r="EK80" s="355"/>
      <c r="EL80" s="360"/>
      <c r="EM80" s="354"/>
      <c r="EN80" s="355"/>
      <c r="EO80" s="356"/>
      <c r="EP80" s="357"/>
      <c r="EQ80" s="355"/>
      <c r="ER80" s="360"/>
      <c r="ES80" s="354"/>
      <c r="ET80" s="355"/>
      <c r="EU80" s="356"/>
      <c r="EV80" s="357"/>
      <c r="EW80" s="355"/>
      <c r="EX80" s="360"/>
      <c r="EY80" s="354"/>
      <c r="EZ80" s="355"/>
      <c r="FA80" s="356"/>
      <c r="FB80" s="357"/>
      <c r="FC80" s="355"/>
      <c r="FD80" s="360"/>
      <c r="FE80" s="354"/>
      <c r="FF80" s="355"/>
      <c r="FG80" s="356"/>
      <c r="FH80" s="357"/>
      <c r="FI80" s="355"/>
      <c r="FJ80" s="360"/>
      <c r="FK80" s="354"/>
      <c r="FL80" s="355"/>
      <c r="FM80" s="356"/>
      <c r="FN80" s="357"/>
      <c r="FO80" s="355"/>
      <c r="FP80" s="360"/>
      <c r="FQ80" s="354"/>
      <c r="FR80" s="355"/>
      <c r="FS80" s="356"/>
      <c r="FT80" s="357"/>
      <c r="FU80" s="355"/>
      <c r="FV80" s="360"/>
      <c r="FW80" s="354"/>
      <c r="FX80" s="355"/>
      <c r="FY80" s="356"/>
      <c r="FZ80" s="357"/>
      <c r="GA80" s="355"/>
      <c r="GB80" s="360"/>
      <c r="GC80" s="354"/>
      <c r="GD80" s="355"/>
      <c r="GE80" s="356"/>
      <c r="GF80" s="357"/>
      <c r="GG80" s="355"/>
      <c r="GH80" s="360"/>
      <c r="GI80" s="354"/>
      <c r="GJ80" s="355"/>
      <c r="GK80" s="356"/>
      <c r="GL80" s="357"/>
      <c r="GM80" s="355"/>
      <c r="GN80" s="360"/>
      <c r="GO80" s="354"/>
      <c r="GP80" s="355"/>
      <c r="GQ80" s="356"/>
      <c r="GR80" s="354"/>
      <c r="GS80" s="355"/>
      <c r="GT80" s="356"/>
      <c r="GU80" s="354"/>
      <c r="GV80" s="355"/>
      <c r="GW80" s="356"/>
      <c r="GX80" s="354"/>
      <c r="GY80" s="355"/>
      <c r="GZ80" s="356"/>
      <c r="HA80" s="354"/>
      <c r="HB80" s="355"/>
      <c r="HC80" s="356"/>
      <c r="HD80" s="368">
        <f t="shared" ref="HD80" si="108">+B80+E80+H80+K80+N80+Q80+T80+W80+Z80+AC80+AF80+AI80+AL80+AO80+AR80+AU80+AX80+BA80+BD80+BG80+BJ80+BM80+BP80+BS80+BV80+BY80+CB80+CE80+CH80+CK80+CN80+CZ80+CQ80+CT80+CW80+DC80+DF80+DI80+DL80+DO80+DR80+DU80+DX80+EA80+ED80+EG80+EJ80+EM80+EP80+ES80+EV80+EY80+FB80+FE80+FH80+FK80+FN80+FQ80+FT80+FW80+FZ80+GC80+GF80+GI80+GL80+GO80+GR80+GU80+GX80+HA80</f>
        <v>0</v>
      </c>
      <c r="HE80" s="369">
        <f t="shared" ref="HE80" si="109">+C80+F80+I80+L80+O80+R80+U80+X80+AA80+AD80+AG80+AJ80+AM80+AP80+AS80+AV80+AY80+BB80+BE80+BH80+BK80+BN80+BQ80+BT80+BW80+BZ80+CC80+CF80+CI80+CL80+CO80+DA80+CR80+CU80+CX80+DD80+DG80+DJ80+DM80+DP80+DS80+DV80+DY80+EB80+EE80+EH80+EK80+EN80+EQ80+ET80+EW80+EZ80+FC80+FF80+FI80+FL80+FO80+FR80+FU80+FX80+GA80+GD80+GG80+GJ80+GM80+GP80+GS80+GV80+GY80+HB80</f>
        <v>0</v>
      </c>
      <c r="HF80" s="369">
        <f t="shared" ref="HF80" si="110">+D80+G80+J80+M80+P80+S80+V80+Y80+AE80+AH80+AK80+AQ80+AT80+AW80+AZ80+BC80+BF80+BI80+BL80+BO80+BR80+BU80+BX80+CA80+CD80+CG80+CJ80+CM80+CP80+DB80+AB80+AN80+CS80+CV80+CY80+DE80+DH80+DK80+DN80+DQ80+DT80+DW80+DZ80+EC80+EF80+EI80+EL80+EO80+ER80+EU80+EX80+FA80+FD80+FG80+FJ80+FM80+FP80+FS80+FV80+FY80+GB80+GE80+GH80+GK80+GN80+GQ80+GT80+GW80+GZ80+HC80</f>
        <v>0</v>
      </c>
      <c r="HG80" s="145">
        <f t="shared" si="15"/>
        <v>0</v>
      </c>
    </row>
    <row r="81" spans="1:215" ht="15.75" thickBot="1">
      <c r="A81" s="238">
        <v>2</v>
      </c>
      <c r="B81" s="239"/>
      <c r="C81" s="43"/>
      <c r="D81" s="57"/>
      <c r="E81" s="287"/>
      <c r="F81" s="288"/>
      <c r="G81" s="289"/>
      <c r="H81" s="295"/>
      <c r="I81" s="288"/>
      <c r="J81" s="294"/>
      <c r="K81" s="287"/>
      <c r="L81" s="288"/>
      <c r="M81" s="289"/>
      <c r="N81" s="295"/>
      <c r="O81" s="288"/>
      <c r="P81" s="294"/>
      <c r="Q81" s="287"/>
      <c r="R81" s="288"/>
      <c r="S81" s="289"/>
      <c r="T81" s="295"/>
      <c r="U81" s="288"/>
      <c r="V81" s="294"/>
      <c r="W81" s="287"/>
      <c r="X81" s="288"/>
      <c r="Y81" s="289"/>
      <c r="Z81" s="295"/>
      <c r="AA81" s="288"/>
      <c r="AB81" s="294"/>
      <c r="AC81" s="287"/>
      <c r="AD81" s="288"/>
      <c r="AE81" s="289"/>
      <c r="AF81" s="295"/>
      <c r="AG81" s="288"/>
      <c r="AH81" s="294"/>
      <c r="AI81" s="287"/>
      <c r="AJ81" s="288"/>
      <c r="AK81" s="289"/>
      <c r="AL81" s="295"/>
      <c r="AM81" s="288"/>
      <c r="AN81" s="294"/>
      <c r="AO81" s="287"/>
      <c r="AP81" s="288"/>
      <c r="AQ81" s="289"/>
      <c r="AR81" s="295"/>
      <c r="AS81" s="288"/>
      <c r="AT81" s="294"/>
      <c r="AU81" s="287"/>
      <c r="AV81" s="288"/>
      <c r="AW81" s="289"/>
      <c r="AX81" s="295"/>
      <c r="AY81" s="288"/>
      <c r="AZ81" s="294"/>
      <c r="BA81" s="287"/>
      <c r="BB81" s="288"/>
      <c r="BC81" s="289"/>
      <c r="BD81" s="295"/>
      <c r="BE81" s="288"/>
      <c r="BF81" s="294"/>
      <c r="BG81" s="287"/>
      <c r="BH81" s="288"/>
      <c r="BI81" s="289"/>
      <c r="BJ81" s="295"/>
      <c r="BK81" s="288"/>
      <c r="BL81" s="294"/>
      <c r="BM81" s="287"/>
      <c r="BN81" s="288"/>
      <c r="BO81" s="289"/>
      <c r="BP81" s="295"/>
      <c r="BQ81" s="288"/>
      <c r="BR81" s="294"/>
      <c r="BS81" s="287"/>
      <c r="BT81" s="288"/>
      <c r="BU81" s="289"/>
      <c r="BV81" s="295"/>
      <c r="BW81" s="288"/>
      <c r="BX81" s="294"/>
      <c r="BY81" s="287"/>
      <c r="BZ81" s="288"/>
      <c r="CA81" s="289"/>
      <c r="CB81" s="295"/>
      <c r="CC81" s="288"/>
      <c r="CD81" s="294"/>
      <c r="CE81" s="287"/>
      <c r="CF81" s="288"/>
      <c r="CG81" s="289"/>
      <c r="CH81" s="295"/>
      <c r="CI81" s="288"/>
      <c r="CJ81" s="294"/>
      <c r="CK81" s="287"/>
      <c r="CL81" s="288"/>
      <c r="CM81" s="289"/>
      <c r="CN81" s="295"/>
      <c r="CO81" s="288"/>
      <c r="CP81" s="294"/>
      <c r="CQ81" s="295"/>
      <c r="CR81" s="288"/>
      <c r="CS81" s="294"/>
      <c r="CT81" s="295"/>
      <c r="CU81" s="288"/>
      <c r="CV81" s="294"/>
      <c r="CW81" s="295"/>
      <c r="CX81" s="288"/>
      <c r="CY81" s="294"/>
      <c r="CZ81" s="295"/>
      <c r="DA81" s="288"/>
      <c r="DB81" s="294"/>
      <c r="DC81" s="239"/>
      <c r="DD81" s="43"/>
      <c r="DE81" s="57"/>
      <c r="DF81" s="287"/>
      <c r="DG81" s="288"/>
      <c r="DH81" s="289"/>
      <c r="DI81" s="295"/>
      <c r="DJ81" s="288"/>
      <c r="DK81" s="294"/>
      <c r="DL81" s="287"/>
      <c r="DM81" s="288"/>
      <c r="DN81" s="289"/>
      <c r="DO81" s="295"/>
      <c r="DP81" s="288"/>
      <c r="DQ81" s="294"/>
      <c r="DR81" s="287"/>
      <c r="DS81" s="288"/>
      <c r="DT81" s="289"/>
      <c r="DU81" s="295"/>
      <c r="DV81" s="288"/>
      <c r="DW81" s="294"/>
      <c r="DX81" s="287"/>
      <c r="DY81" s="288"/>
      <c r="DZ81" s="289"/>
      <c r="EA81" s="295"/>
      <c r="EB81" s="288"/>
      <c r="EC81" s="294"/>
      <c r="ED81" s="287"/>
      <c r="EE81" s="288"/>
      <c r="EF81" s="289"/>
      <c r="EG81" s="295"/>
      <c r="EH81" s="288"/>
      <c r="EI81" s="294"/>
      <c r="EJ81" s="287"/>
      <c r="EK81" s="288"/>
      <c r="EL81" s="289"/>
      <c r="EM81" s="295"/>
      <c r="EN81" s="288"/>
      <c r="EO81" s="294"/>
      <c r="EP81" s="287"/>
      <c r="EQ81" s="288"/>
      <c r="ER81" s="289"/>
      <c r="ES81" s="295"/>
      <c r="ET81" s="288"/>
      <c r="EU81" s="294"/>
      <c r="EV81" s="287"/>
      <c r="EW81" s="288"/>
      <c r="EX81" s="289"/>
      <c r="EY81" s="295"/>
      <c r="EZ81" s="288"/>
      <c r="FA81" s="294"/>
      <c r="FB81" s="287"/>
      <c r="FC81" s="288"/>
      <c r="FD81" s="289"/>
      <c r="FE81" s="295"/>
      <c r="FF81" s="288"/>
      <c r="FG81" s="294"/>
      <c r="FH81" s="287"/>
      <c r="FI81" s="288"/>
      <c r="FJ81" s="289"/>
      <c r="FK81" s="295"/>
      <c r="FL81" s="288"/>
      <c r="FM81" s="294"/>
      <c r="FN81" s="287"/>
      <c r="FO81" s="288"/>
      <c r="FP81" s="289"/>
      <c r="FQ81" s="295"/>
      <c r="FR81" s="288"/>
      <c r="FS81" s="294"/>
      <c r="FT81" s="287"/>
      <c r="FU81" s="288"/>
      <c r="FV81" s="289"/>
      <c r="FW81" s="295"/>
      <c r="FX81" s="288"/>
      <c r="FY81" s="294"/>
      <c r="FZ81" s="287"/>
      <c r="GA81" s="288"/>
      <c r="GB81" s="289"/>
      <c r="GC81" s="295"/>
      <c r="GD81" s="288"/>
      <c r="GE81" s="294"/>
      <c r="GF81" s="287"/>
      <c r="GG81" s="288"/>
      <c r="GH81" s="289"/>
      <c r="GI81" s="295"/>
      <c r="GJ81" s="288"/>
      <c r="GK81" s="294"/>
      <c r="GL81" s="287"/>
      <c r="GM81" s="288"/>
      <c r="GN81" s="289"/>
      <c r="GO81" s="295"/>
      <c r="GP81" s="288"/>
      <c r="GQ81" s="294"/>
      <c r="GR81" s="295"/>
      <c r="GS81" s="288"/>
      <c r="GT81" s="294"/>
      <c r="GU81" s="295"/>
      <c r="GV81" s="288"/>
      <c r="GW81" s="294"/>
      <c r="GX81" s="295"/>
      <c r="GY81" s="288"/>
      <c r="GZ81" s="294"/>
      <c r="HA81" s="295"/>
      <c r="HB81" s="288"/>
      <c r="HC81" s="294"/>
      <c r="HD81" s="368">
        <f t="shared" ref="HD81:HD110" si="111">+B81+E81+H81+K81+N81+Q81+T81+W81+Z81+AC81+AF81+AI81+AL81+AO81+AR81+AU81+AX81+BA81+BD81+BG81+BJ81+BM81+BP81+BS81+BV81+BY81+CB81+CE81+CH81+CK81+CN81+CZ81+CQ81+CT81+CW81+DC81+DF81+DI81+DL81+DO81+DR81+DU81+DX81+EA81+ED81+EG81+EJ81+EM81+EP81+ES81+EV81+EY81+FB81+FE81+FH81+FK81+FN81+FQ81+FT81+FW81+FZ81+GC81+GF81+GI81+GL81+GO81+GR81+GU81+GX81+HA81</f>
        <v>0</v>
      </c>
      <c r="HE81" s="369">
        <f t="shared" ref="HE81:HE110" si="112">+C81+F81+I81+L81+O81+R81+U81+X81+AA81+AD81+AG81+AJ81+AM81+AP81+AS81+AV81+AY81+BB81+BE81+BH81+BK81+BN81+BQ81+BT81+BW81+BZ81+CC81+CF81+CI81+CL81+CO81+DA81+CR81+CU81+CX81+DD81+DG81+DJ81+DM81+DP81+DS81+DV81+DY81+EB81+EE81+EH81+EK81+EN81+EQ81+ET81+EW81+EZ81+FC81+FF81+FI81+FL81+FO81+FR81+FU81+FX81+GA81+GD81+GG81+GJ81+GM81+GP81+GS81+GV81+GY81+HB81</f>
        <v>0</v>
      </c>
      <c r="HF81" s="369">
        <f t="shared" ref="HF81:HF110" si="113">+D81+G81+J81+M81+P81+S81+V81+Y81+AE81+AH81+AK81+AQ81+AT81+AW81+AZ81+BC81+BF81+BI81+BL81+BO81+BR81+BU81+BX81+CA81+CD81+CG81+CJ81+CM81+CP81+DB81+AB81+AN81+CS81+CV81+CY81+DE81+DH81+DK81+DN81+DQ81+DT81+DW81+DZ81+EC81+EF81+EI81+EL81+EO81+ER81+EU81+EX81+FA81+FD81+FG81+FJ81+FM81+FP81+FS81+FV81+FY81+GB81+GE81+GH81+GK81+GN81+GQ81+GT81+GW81+GZ81+HC81</f>
        <v>0</v>
      </c>
      <c r="HG81" s="145">
        <f t="shared" si="15"/>
        <v>0</v>
      </c>
    </row>
    <row r="82" spans="1:215" ht="15.75" thickBot="1">
      <c r="A82" s="238">
        <v>3</v>
      </c>
      <c r="B82" s="239"/>
      <c r="C82" s="43"/>
      <c r="D82" s="57"/>
      <c r="E82" s="287"/>
      <c r="F82" s="288"/>
      <c r="G82" s="289"/>
      <c r="H82" s="295"/>
      <c r="I82" s="288"/>
      <c r="J82" s="294"/>
      <c r="K82" s="287"/>
      <c r="L82" s="288"/>
      <c r="M82" s="289"/>
      <c r="N82" s="295"/>
      <c r="O82" s="288"/>
      <c r="P82" s="294"/>
      <c r="Q82" s="287"/>
      <c r="R82" s="288"/>
      <c r="S82" s="289"/>
      <c r="T82" s="295"/>
      <c r="U82" s="288"/>
      <c r="V82" s="294"/>
      <c r="W82" s="287"/>
      <c r="X82" s="288"/>
      <c r="Y82" s="289"/>
      <c r="Z82" s="295"/>
      <c r="AA82" s="288"/>
      <c r="AB82" s="294"/>
      <c r="AC82" s="287"/>
      <c r="AD82" s="288"/>
      <c r="AE82" s="289"/>
      <c r="AF82" s="295"/>
      <c r="AG82" s="288"/>
      <c r="AH82" s="294"/>
      <c r="AI82" s="287"/>
      <c r="AJ82" s="288"/>
      <c r="AK82" s="289"/>
      <c r="AL82" s="295"/>
      <c r="AM82" s="288"/>
      <c r="AN82" s="294"/>
      <c r="AO82" s="287"/>
      <c r="AP82" s="288"/>
      <c r="AQ82" s="289"/>
      <c r="AR82" s="295"/>
      <c r="AS82" s="288"/>
      <c r="AT82" s="294"/>
      <c r="AU82" s="287"/>
      <c r="AV82" s="288"/>
      <c r="AW82" s="289"/>
      <c r="AX82" s="295"/>
      <c r="AY82" s="288"/>
      <c r="AZ82" s="294"/>
      <c r="BA82" s="287"/>
      <c r="BB82" s="288"/>
      <c r="BC82" s="289"/>
      <c r="BD82" s="295"/>
      <c r="BE82" s="288"/>
      <c r="BF82" s="294"/>
      <c r="BG82" s="287"/>
      <c r="BH82" s="288"/>
      <c r="BI82" s="289"/>
      <c r="BJ82" s="295"/>
      <c r="BK82" s="288"/>
      <c r="BL82" s="294"/>
      <c r="BM82" s="287"/>
      <c r="BN82" s="288"/>
      <c r="BO82" s="289"/>
      <c r="BP82" s="377"/>
      <c r="BQ82" s="378"/>
      <c r="BR82" s="294"/>
      <c r="BS82" s="287"/>
      <c r="BT82" s="288"/>
      <c r="BU82" s="289"/>
      <c r="BV82" s="295"/>
      <c r="BW82" s="288"/>
      <c r="BX82" s="294"/>
      <c r="BY82" s="287"/>
      <c r="BZ82" s="288"/>
      <c r="CA82" s="289"/>
      <c r="CB82" s="295"/>
      <c r="CC82" s="288"/>
      <c r="CD82" s="294"/>
      <c r="CE82" s="287"/>
      <c r="CF82" s="288"/>
      <c r="CG82" s="289"/>
      <c r="CH82" s="295"/>
      <c r="CI82" s="288"/>
      <c r="CJ82" s="294"/>
      <c r="CK82" s="287"/>
      <c r="CL82" s="288"/>
      <c r="CM82" s="289"/>
      <c r="CN82" s="295"/>
      <c r="CO82" s="288"/>
      <c r="CP82" s="294"/>
      <c r="CQ82" s="295"/>
      <c r="CR82" s="288"/>
      <c r="CS82" s="294"/>
      <c r="CT82" s="295"/>
      <c r="CU82" s="288"/>
      <c r="CV82" s="294"/>
      <c r="CW82" s="295"/>
      <c r="CX82" s="288"/>
      <c r="CY82" s="294"/>
      <c r="CZ82" s="295"/>
      <c r="DA82" s="288"/>
      <c r="DB82" s="294"/>
      <c r="DC82" s="239"/>
      <c r="DD82" s="43"/>
      <c r="DE82" s="57"/>
      <c r="DF82" s="287"/>
      <c r="DG82" s="288"/>
      <c r="DH82" s="289"/>
      <c r="DI82" s="295"/>
      <c r="DJ82" s="288"/>
      <c r="DK82" s="294"/>
      <c r="DL82" s="287"/>
      <c r="DM82" s="288"/>
      <c r="DN82" s="289"/>
      <c r="DO82" s="295"/>
      <c r="DP82" s="288"/>
      <c r="DQ82" s="294"/>
      <c r="DR82" s="287"/>
      <c r="DS82" s="288"/>
      <c r="DT82" s="289"/>
      <c r="DU82" s="295"/>
      <c r="DV82" s="288"/>
      <c r="DW82" s="294"/>
      <c r="DX82" s="287"/>
      <c r="DY82" s="288"/>
      <c r="DZ82" s="289"/>
      <c r="EA82" s="295"/>
      <c r="EB82" s="288"/>
      <c r="EC82" s="294"/>
      <c r="ED82" s="287"/>
      <c r="EE82" s="288"/>
      <c r="EF82" s="289"/>
      <c r="EG82" s="295"/>
      <c r="EH82" s="288"/>
      <c r="EI82" s="294"/>
      <c r="EJ82" s="287"/>
      <c r="EK82" s="288"/>
      <c r="EL82" s="289"/>
      <c r="EM82" s="295"/>
      <c r="EN82" s="288"/>
      <c r="EO82" s="294"/>
      <c r="EP82" s="287"/>
      <c r="EQ82" s="288"/>
      <c r="ER82" s="289"/>
      <c r="ES82" s="295"/>
      <c r="ET82" s="288"/>
      <c r="EU82" s="294"/>
      <c r="EV82" s="287"/>
      <c r="EW82" s="288"/>
      <c r="EX82" s="289"/>
      <c r="EY82" s="295"/>
      <c r="EZ82" s="288"/>
      <c r="FA82" s="294"/>
      <c r="FB82" s="287"/>
      <c r="FC82" s="288"/>
      <c r="FD82" s="289"/>
      <c r="FE82" s="295"/>
      <c r="FF82" s="288"/>
      <c r="FG82" s="294"/>
      <c r="FH82" s="287"/>
      <c r="FI82" s="288"/>
      <c r="FJ82" s="289"/>
      <c r="FK82" s="295"/>
      <c r="FL82" s="288"/>
      <c r="FM82" s="294"/>
      <c r="FN82" s="287"/>
      <c r="FO82" s="288"/>
      <c r="FP82" s="289"/>
      <c r="FQ82" s="377"/>
      <c r="FR82" s="378"/>
      <c r="FS82" s="294"/>
      <c r="FT82" s="287"/>
      <c r="FU82" s="288"/>
      <c r="FV82" s="289"/>
      <c r="FW82" s="295"/>
      <c r="FX82" s="288"/>
      <c r="FY82" s="294"/>
      <c r="FZ82" s="287"/>
      <c r="GA82" s="288"/>
      <c r="GB82" s="289"/>
      <c r="GC82" s="295"/>
      <c r="GD82" s="288"/>
      <c r="GE82" s="294"/>
      <c r="GF82" s="287"/>
      <c r="GG82" s="288"/>
      <c r="GH82" s="289"/>
      <c r="GI82" s="295"/>
      <c r="GJ82" s="288"/>
      <c r="GK82" s="294"/>
      <c r="GL82" s="287"/>
      <c r="GM82" s="288"/>
      <c r="GN82" s="289"/>
      <c r="GO82" s="295"/>
      <c r="GP82" s="288"/>
      <c r="GQ82" s="294"/>
      <c r="GR82" s="295"/>
      <c r="GS82" s="288"/>
      <c r="GT82" s="294"/>
      <c r="GU82" s="295"/>
      <c r="GV82" s="288"/>
      <c r="GW82" s="294"/>
      <c r="GX82" s="295"/>
      <c r="GY82" s="288"/>
      <c r="GZ82" s="294"/>
      <c r="HA82" s="295"/>
      <c r="HB82" s="288"/>
      <c r="HC82" s="294"/>
      <c r="HD82" s="368">
        <f t="shared" si="111"/>
        <v>0</v>
      </c>
      <c r="HE82" s="369">
        <f t="shared" si="112"/>
        <v>0</v>
      </c>
      <c r="HF82" s="369">
        <f t="shared" si="113"/>
        <v>0</v>
      </c>
      <c r="HG82" s="145">
        <f t="shared" si="15"/>
        <v>0</v>
      </c>
    </row>
    <row r="83" spans="1:215" ht="15.75" thickBot="1">
      <c r="A83" s="353">
        <v>4</v>
      </c>
      <c r="B83" s="239"/>
      <c r="C83" s="43"/>
      <c r="D83" s="57"/>
      <c r="E83" s="287"/>
      <c r="F83" s="288"/>
      <c r="G83" s="289"/>
      <c r="H83" s="295"/>
      <c r="I83" s="288"/>
      <c r="J83" s="294"/>
      <c r="K83" s="287"/>
      <c r="L83" s="288"/>
      <c r="M83" s="289"/>
      <c r="N83" s="295"/>
      <c r="O83" s="288"/>
      <c r="P83" s="294"/>
      <c r="Q83" s="287"/>
      <c r="R83" s="288"/>
      <c r="S83" s="289"/>
      <c r="T83" s="295"/>
      <c r="U83" s="288"/>
      <c r="V83" s="294"/>
      <c r="W83" s="287"/>
      <c r="X83" s="288"/>
      <c r="Y83" s="289"/>
      <c r="Z83" s="295"/>
      <c r="AA83" s="288"/>
      <c r="AB83" s="294"/>
      <c r="AC83" s="287"/>
      <c r="AD83" s="288"/>
      <c r="AE83" s="289"/>
      <c r="AF83" s="295"/>
      <c r="AG83" s="288"/>
      <c r="AH83" s="294"/>
      <c r="AI83" s="287"/>
      <c r="AJ83" s="288"/>
      <c r="AK83" s="289"/>
      <c r="AL83" s="295"/>
      <c r="AM83" s="288"/>
      <c r="AN83" s="294"/>
      <c r="AO83" s="287"/>
      <c r="AP83" s="288"/>
      <c r="AQ83" s="289"/>
      <c r="AR83" s="295"/>
      <c r="AS83" s="288"/>
      <c r="AT83" s="294"/>
      <c r="AU83" s="287"/>
      <c r="AV83" s="288"/>
      <c r="AW83" s="289"/>
      <c r="AX83" s="295"/>
      <c r="AY83" s="288"/>
      <c r="AZ83" s="294"/>
      <c r="BA83" s="287"/>
      <c r="BB83" s="288"/>
      <c r="BC83" s="289"/>
      <c r="BD83" s="295"/>
      <c r="BE83" s="288"/>
      <c r="BF83" s="294"/>
      <c r="BG83" s="287"/>
      <c r="BH83" s="288"/>
      <c r="BI83" s="289"/>
      <c r="BJ83" s="295"/>
      <c r="BK83" s="288"/>
      <c r="BL83" s="294"/>
      <c r="BM83" s="287"/>
      <c r="BN83" s="288"/>
      <c r="BO83" s="289"/>
      <c r="BP83" s="295"/>
      <c r="BQ83" s="288"/>
      <c r="BR83" s="294"/>
      <c r="BS83" s="287"/>
      <c r="BT83" s="288"/>
      <c r="BU83" s="289"/>
      <c r="BV83" s="295"/>
      <c r="BW83" s="288"/>
      <c r="BX83" s="294"/>
      <c r="BY83" s="287"/>
      <c r="BZ83" s="288"/>
      <c r="CA83" s="289"/>
      <c r="CB83" s="295"/>
      <c r="CC83" s="288"/>
      <c r="CD83" s="294"/>
      <c r="CE83" s="287"/>
      <c r="CF83" s="288"/>
      <c r="CG83" s="289"/>
      <c r="CH83" s="295"/>
      <c r="CI83" s="288"/>
      <c r="CJ83" s="294"/>
      <c r="CK83" s="287"/>
      <c r="CL83" s="288"/>
      <c r="CM83" s="289"/>
      <c r="CN83" s="295"/>
      <c r="CO83" s="288"/>
      <c r="CP83" s="294"/>
      <c r="CQ83" s="295"/>
      <c r="CR83" s="288"/>
      <c r="CS83" s="294"/>
      <c r="CT83" s="295"/>
      <c r="CU83" s="288"/>
      <c r="CV83" s="294"/>
      <c r="CW83" s="295"/>
      <c r="CX83" s="288"/>
      <c r="CY83" s="294"/>
      <c r="CZ83" s="295"/>
      <c r="DA83" s="288"/>
      <c r="DB83" s="294"/>
      <c r="DC83" s="239"/>
      <c r="DD83" s="43"/>
      <c r="DE83" s="57"/>
      <c r="DF83" s="287"/>
      <c r="DG83" s="288"/>
      <c r="DH83" s="289"/>
      <c r="DI83" s="295"/>
      <c r="DJ83" s="288"/>
      <c r="DK83" s="294"/>
      <c r="DL83" s="287"/>
      <c r="DM83" s="288"/>
      <c r="DN83" s="289"/>
      <c r="DO83" s="295"/>
      <c r="DP83" s="288"/>
      <c r="DQ83" s="294"/>
      <c r="DR83" s="287"/>
      <c r="DS83" s="288"/>
      <c r="DT83" s="289"/>
      <c r="DU83" s="295"/>
      <c r="DV83" s="288"/>
      <c r="DW83" s="294"/>
      <c r="DX83" s="287"/>
      <c r="DY83" s="288"/>
      <c r="DZ83" s="289"/>
      <c r="EA83" s="295"/>
      <c r="EB83" s="288"/>
      <c r="EC83" s="294"/>
      <c r="ED83" s="287"/>
      <c r="EE83" s="288"/>
      <c r="EF83" s="289"/>
      <c r="EG83" s="295"/>
      <c r="EH83" s="288"/>
      <c r="EI83" s="294"/>
      <c r="EJ83" s="287"/>
      <c r="EK83" s="288"/>
      <c r="EL83" s="289"/>
      <c r="EM83" s="295"/>
      <c r="EN83" s="288"/>
      <c r="EO83" s="294"/>
      <c r="EP83" s="287"/>
      <c r="EQ83" s="288"/>
      <c r="ER83" s="289"/>
      <c r="ES83" s="295"/>
      <c r="ET83" s="288"/>
      <c r="EU83" s="294"/>
      <c r="EV83" s="287"/>
      <c r="EW83" s="288"/>
      <c r="EX83" s="289"/>
      <c r="EY83" s="295"/>
      <c r="EZ83" s="288"/>
      <c r="FA83" s="294"/>
      <c r="FB83" s="287"/>
      <c r="FC83" s="288"/>
      <c r="FD83" s="289"/>
      <c r="FE83" s="295"/>
      <c r="FF83" s="288"/>
      <c r="FG83" s="294"/>
      <c r="FH83" s="287"/>
      <c r="FI83" s="288"/>
      <c r="FJ83" s="289"/>
      <c r="FK83" s="295"/>
      <c r="FL83" s="288"/>
      <c r="FM83" s="294"/>
      <c r="FN83" s="287"/>
      <c r="FO83" s="288"/>
      <c r="FP83" s="289"/>
      <c r="FQ83" s="295"/>
      <c r="FR83" s="288"/>
      <c r="FS83" s="294"/>
      <c r="FT83" s="287"/>
      <c r="FU83" s="288"/>
      <c r="FV83" s="289"/>
      <c r="FW83" s="295"/>
      <c r="FX83" s="288"/>
      <c r="FY83" s="294"/>
      <c r="FZ83" s="287"/>
      <c r="GA83" s="288"/>
      <c r="GB83" s="289"/>
      <c r="GC83" s="295"/>
      <c r="GD83" s="288"/>
      <c r="GE83" s="294"/>
      <c r="GF83" s="287"/>
      <c r="GG83" s="288"/>
      <c r="GH83" s="289"/>
      <c r="GI83" s="295"/>
      <c r="GJ83" s="288"/>
      <c r="GK83" s="294"/>
      <c r="GL83" s="287"/>
      <c r="GM83" s="288"/>
      <c r="GN83" s="289"/>
      <c r="GO83" s="295"/>
      <c r="GP83" s="288"/>
      <c r="GQ83" s="294"/>
      <c r="GR83" s="295"/>
      <c r="GS83" s="288"/>
      <c r="GT83" s="294"/>
      <c r="GU83" s="295"/>
      <c r="GV83" s="288"/>
      <c r="GW83" s="294"/>
      <c r="GX83" s="295"/>
      <c r="GY83" s="288"/>
      <c r="GZ83" s="294"/>
      <c r="HA83" s="295"/>
      <c r="HB83" s="288"/>
      <c r="HC83" s="294"/>
      <c r="HD83" s="368">
        <f t="shared" si="111"/>
        <v>0</v>
      </c>
      <c r="HE83" s="369">
        <f t="shared" si="112"/>
        <v>0</v>
      </c>
      <c r="HF83" s="369">
        <f t="shared" si="113"/>
        <v>0</v>
      </c>
      <c r="HG83" s="145">
        <f t="shared" si="15"/>
        <v>0</v>
      </c>
    </row>
    <row r="84" spans="1:215" ht="15.75" thickBot="1">
      <c r="A84" s="238">
        <v>5</v>
      </c>
      <c r="B84" s="239"/>
      <c r="C84" s="43"/>
      <c r="D84" s="57"/>
      <c r="E84" s="287"/>
      <c r="F84" s="288"/>
      <c r="G84" s="289"/>
      <c r="H84" s="295"/>
      <c r="I84" s="288"/>
      <c r="J84" s="294"/>
      <c r="K84" s="287"/>
      <c r="L84" s="288"/>
      <c r="M84" s="289"/>
      <c r="N84" s="295"/>
      <c r="O84" s="288"/>
      <c r="P84" s="294"/>
      <c r="Q84" s="287"/>
      <c r="R84" s="288"/>
      <c r="S84" s="289"/>
      <c r="T84" s="295"/>
      <c r="U84" s="288"/>
      <c r="V84" s="294"/>
      <c r="W84" s="287"/>
      <c r="X84" s="288"/>
      <c r="Y84" s="289"/>
      <c r="Z84" s="295"/>
      <c r="AA84" s="288"/>
      <c r="AB84" s="294"/>
      <c r="AC84" s="287"/>
      <c r="AD84" s="288"/>
      <c r="AE84" s="289"/>
      <c r="AF84" s="295"/>
      <c r="AG84" s="288"/>
      <c r="AH84" s="294"/>
      <c r="AI84" s="287"/>
      <c r="AJ84" s="288"/>
      <c r="AK84" s="289"/>
      <c r="AL84" s="295"/>
      <c r="AM84" s="288"/>
      <c r="AN84" s="294"/>
      <c r="AO84" s="287"/>
      <c r="AP84" s="288"/>
      <c r="AQ84" s="289"/>
      <c r="AR84" s="295"/>
      <c r="AS84" s="288"/>
      <c r="AT84" s="294"/>
      <c r="AU84" s="287"/>
      <c r="AV84" s="288"/>
      <c r="AW84" s="289"/>
      <c r="AX84" s="295"/>
      <c r="AY84" s="288"/>
      <c r="AZ84" s="294"/>
      <c r="BA84" s="287"/>
      <c r="BB84" s="288"/>
      <c r="BC84" s="289"/>
      <c r="BD84" s="295"/>
      <c r="BE84" s="288"/>
      <c r="BF84" s="294"/>
      <c r="BG84" s="287"/>
      <c r="BH84" s="288"/>
      <c r="BI84" s="289"/>
      <c r="BJ84" s="295"/>
      <c r="BK84" s="288"/>
      <c r="BL84" s="294"/>
      <c r="BM84" s="287"/>
      <c r="BN84" s="288"/>
      <c r="BO84" s="289"/>
      <c r="BP84" s="295"/>
      <c r="BQ84" s="288"/>
      <c r="BR84" s="294"/>
      <c r="BS84" s="287"/>
      <c r="BT84" s="288"/>
      <c r="BU84" s="289"/>
      <c r="BV84" s="295"/>
      <c r="BW84" s="288"/>
      <c r="BX84" s="294"/>
      <c r="BY84" s="287"/>
      <c r="BZ84" s="288"/>
      <c r="CA84" s="289"/>
      <c r="CB84" s="295"/>
      <c r="CC84" s="288"/>
      <c r="CD84" s="294"/>
      <c r="CE84" s="287"/>
      <c r="CF84" s="288"/>
      <c r="CG84" s="289"/>
      <c r="CH84" s="295"/>
      <c r="CI84" s="288"/>
      <c r="CJ84" s="294"/>
      <c r="CK84" s="287"/>
      <c r="CL84" s="288"/>
      <c r="CM84" s="289"/>
      <c r="CN84" s="295"/>
      <c r="CO84" s="288"/>
      <c r="CP84" s="294"/>
      <c r="CQ84" s="295"/>
      <c r="CR84" s="288"/>
      <c r="CS84" s="294"/>
      <c r="CT84" s="295"/>
      <c r="CU84" s="288"/>
      <c r="CV84" s="294"/>
      <c r="CW84" s="295"/>
      <c r="CX84" s="288"/>
      <c r="CY84" s="294"/>
      <c r="CZ84" s="295"/>
      <c r="DA84" s="288"/>
      <c r="DB84" s="294"/>
      <c r="DC84" s="239"/>
      <c r="DD84" s="43"/>
      <c r="DE84" s="57"/>
      <c r="DF84" s="287"/>
      <c r="DG84" s="288"/>
      <c r="DH84" s="289"/>
      <c r="DI84" s="295"/>
      <c r="DJ84" s="288"/>
      <c r="DK84" s="294"/>
      <c r="DL84" s="287"/>
      <c r="DM84" s="288"/>
      <c r="DN84" s="289"/>
      <c r="DO84" s="295"/>
      <c r="DP84" s="288"/>
      <c r="DQ84" s="294"/>
      <c r="DR84" s="287"/>
      <c r="DS84" s="288"/>
      <c r="DT84" s="289"/>
      <c r="DU84" s="295"/>
      <c r="DV84" s="288"/>
      <c r="DW84" s="294"/>
      <c r="DX84" s="287"/>
      <c r="DY84" s="288"/>
      <c r="DZ84" s="289"/>
      <c r="EA84" s="295"/>
      <c r="EB84" s="288"/>
      <c r="EC84" s="294"/>
      <c r="ED84" s="287"/>
      <c r="EE84" s="288"/>
      <c r="EF84" s="289"/>
      <c r="EG84" s="295"/>
      <c r="EH84" s="288"/>
      <c r="EI84" s="294"/>
      <c r="EJ84" s="287"/>
      <c r="EK84" s="288"/>
      <c r="EL84" s="289"/>
      <c r="EM84" s="295"/>
      <c r="EN84" s="288"/>
      <c r="EO84" s="294"/>
      <c r="EP84" s="287"/>
      <c r="EQ84" s="288"/>
      <c r="ER84" s="289"/>
      <c r="ES84" s="295"/>
      <c r="ET84" s="288"/>
      <c r="EU84" s="294"/>
      <c r="EV84" s="287"/>
      <c r="EW84" s="288"/>
      <c r="EX84" s="289"/>
      <c r="EY84" s="295"/>
      <c r="EZ84" s="288"/>
      <c r="FA84" s="294"/>
      <c r="FB84" s="287"/>
      <c r="FC84" s="288"/>
      <c r="FD84" s="289"/>
      <c r="FE84" s="295"/>
      <c r="FF84" s="288"/>
      <c r="FG84" s="294"/>
      <c r="FH84" s="287"/>
      <c r="FI84" s="288"/>
      <c r="FJ84" s="289"/>
      <c r="FK84" s="295"/>
      <c r="FL84" s="288"/>
      <c r="FM84" s="294"/>
      <c r="FN84" s="287"/>
      <c r="FO84" s="288"/>
      <c r="FP84" s="289"/>
      <c r="FQ84" s="295"/>
      <c r="FR84" s="288"/>
      <c r="FS84" s="294"/>
      <c r="FT84" s="287"/>
      <c r="FU84" s="288"/>
      <c r="FV84" s="289"/>
      <c r="FW84" s="295"/>
      <c r="FX84" s="288"/>
      <c r="FY84" s="294"/>
      <c r="FZ84" s="287"/>
      <c r="GA84" s="288"/>
      <c r="GB84" s="289"/>
      <c r="GC84" s="295"/>
      <c r="GD84" s="288"/>
      <c r="GE84" s="294"/>
      <c r="GF84" s="287"/>
      <c r="GG84" s="288"/>
      <c r="GH84" s="289"/>
      <c r="GI84" s="295"/>
      <c r="GJ84" s="288"/>
      <c r="GK84" s="294"/>
      <c r="GL84" s="287"/>
      <c r="GM84" s="288"/>
      <c r="GN84" s="289"/>
      <c r="GO84" s="295"/>
      <c r="GP84" s="288"/>
      <c r="GQ84" s="294"/>
      <c r="GR84" s="295"/>
      <c r="GS84" s="288"/>
      <c r="GT84" s="294"/>
      <c r="GU84" s="295"/>
      <c r="GV84" s="288"/>
      <c r="GW84" s="294"/>
      <c r="GX84" s="295"/>
      <c r="GY84" s="288"/>
      <c r="GZ84" s="294"/>
      <c r="HA84" s="295"/>
      <c r="HB84" s="288"/>
      <c r="HC84" s="294"/>
      <c r="HD84" s="368">
        <f t="shared" si="111"/>
        <v>0</v>
      </c>
      <c r="HE84" s="369">
        <f t="shared" si="112"/>
        <v>0</v>
      </c>
      <c r="HF84" s="369">
        <f t="shared" si="113"/>
        <v>0</v>
      </c>
      <c r="HG84" s="145">
        <f t="shared" si="15"/>
        <v>0</v>
      </c>
    </row>
    <row r="85" spans="1:215" ht="15.75" thickBot="1">
      <c r="A85" s="238">
        <v>6</v>
      </c>
      <c r="B85" s="239"/>
      <c r="C85" s="43"/>
      <c r="D85" s="57"/>
      <c r="E85" s="287"/>
      <c r="F85" s="288"/>
      <c r="G85" s="289"/>
      <c r="H85" s="295"/>
      <c r="I85" s="288"/>
      <c r="J85" s="294"/>
      <c r="K85" s="287"/>
      <c r="L85" s="288"/>
      <c r="M85" s="289"/>
      <c r="N85" s="295"/>
      <c r="O85" s="288"/>
      <c r="P85" s="294"/>
      <c r="Q85" s="287"/>
      <c r="R85" s="288"/>
      <c r="S85" s="289"/>
      <c r="T85" s="295"/>
      <c r="U85" s="288"/>
      <c r="V85" s="294"/>
      <c r="W85" s="287"/>
      <c r="X85" s="288"/>
      <c r="Y85" s="289"/>
      <c r="Z85" s="295"/>
      <c r="AA85" s="288"/>
      <c r="AB85" s="294"/>
      <c r="AC85" s="287"/>
      <c r="AD85" s="288"/>
      <c r="AE85" s="289"/>
      <c r="AF85" s="295"/>
      <c r="AG85" s="288"/>
      <c r="AH85" s="294"/>
      <c r="AI85" s="287"/>
      <c r="AJ85" s="288"/>
      <c r="AK85" s="289"/>
      <c r="AL85" s="295"/>
      <c r="AM85" s="288"/>
      <c r="AN85" s="294"/>
      <c r="AO85" s="287"/>
      <c r="AP85" s="288"/>
      <c r="AQ85" s="289"/>
      <c r="AR85" s="295"/>
      <c r="AS85" s="288"/>
      <c r="AT85" s="294"/>
      <c r="AU85" s="287"/>
      <c r="AV85" s="288"/>
      <c r="AW85" s="289"/>
      <c r="AX85" s="295"/>
      <c r="AY85" s="288"/>
      <c r="AZ85" s="294"/>
      <c r="BA85" s="287"/>
      <c r="BB85" s="288"/>
      <c r="BC85" s="289"/>
      <c r="BD85" s="295"/>
      <c r="BE85" s="288"/>
      <c r="BF85" s="294"/>
      <c r="BG85" s="287"/>
      <c r="BH85" s="288"/>
      <c r="BI85" s="289"/>
      <c r="BJ85" s="295"/>
      <c r="BK85" s="288"/>
      <c r="BL85" s="294"/>
      <c r="BM85" s="287"/>
      <c r="BN85" s="288"/>
      <c r="BO85" s="289"/>
      <c r="BP85" s="295"/>
      <c r="BQ85" s="288"/>
      <c r="BR85" s="294"/>
      <c r="BS85" s="287"/>
      <c r="BT85" s="288"/>
      <c r="BU85" s="289"/>
      <c r="BV85" s="295"/>
      <c r="BW85" s="288"/>
      <c r="BX85" s="294"/>
      <c r="BY85" s="287"/>
      <c r="BZ85" s="288"/>
      <c r="CA85" s="289"/>
      <c r="CB85" s="295"/>
      <c r="CC85" s="288"/>
      <c r="CD85" s="294"/>
      <c r="CE85" s="287"/>
      <c r="CF85" s="288"/>
      <c r="CG85" s="289"/>
      <c r="CH85" s="295"/>
      <c r="CI85" s="288"/>
      <c r="CJ85" s="294"/>
      <c r="CK85" s="287"/>
      <c r="CL85" s="288"/>
      <c r="CM85" s="289"/>
      <c r="CN85" s="295"/>
      <c r="CO85" s="288"/>
      <c r="CP85" s="294"/>
      <c r="CQ85" s="295"/>
      <c r="CR85" s="288"/>
      <c r="CS85" s="294"/>
      <c r="CT85" s="295"/>
      <c r="CU85" s="288"/>
      <c r="CV85" s="294"/>
      <c r="CW85" s="295"/>
      <c r="CX85" s="288"/>
      <c r="CY85" s="294"/>
      <c r="CZ85" s="295"/>
      <c r="DA85" s="288"/>
      <c r="DB85" s="294"/>
      <c r="DC85" s="239"/>
      <c r="DD85" s="43"/>
      <c r="DE85" s="57"/>
      <c r="DF85" s="287"/>
      <c r="DG85" s="288"/>
      <c r="DH85" s="289"/>
      <c r="DI85" s="295"/>
      <c r="DJ85" s="288"/>
      <c r="DK85" s="294"/>
      <c r="DL85" s="287"/>
      <c r="DM85" s="288"/>
      <c r="DN85" s="289"/>
      <c r="DO85" s="295"/>
      <c r="DP85" s="288"/>
      <c r="DQ85" s="294"/>
      <c r="DR85" s="287"/>
      <c r="DS85" s="288"/>
      <c r="DT85" s="289"/>
      <c r="DU85" s="295"/>
      <c r="DV85" s="288"/>
      <c r="DW85" s="294"/>
      <c r="DX85" s="287"/>
      <c r="DY85" s="288"/>
      <c r="DZ85" s="289"/>
      <c r="EA85" s="295"/>
      <c r="EB85" s="288"/>
      <c r="EC85" s="294"/>
      <c r="ED85" s="287"/>
      <c r="EE85" s="288"/>
      <c r="EF85" s="289"/>
      <c r="EG85" s="295"/>
      <c r="EH85" s="288"/>
      <c r="EI85" s="294"/>
      <c r="EJ85" s="287"/>
      <c r="EK85" s="288"/>
      <c r="EL85" s="289"/>
      <c r="EM85" s="295"/>
      <c r="EN85" s="288"/>
      <c r="EO85" s="294"/>
      <c r="EP85" s="287"/>
      <c r="EQ85" s="288"/>
      <c r="ER85" s="289"/>
      <c r="ES85" s="295"/>
      <c r="ET85" s="288"/>
      <c r="EU85" s="294"/>
      <c r="EV85" s="287"/>
      <c r="EW85" s="288"/>
      <c r="EX85" s="289"/>
      <c r="EY85" s="295"/>
      <c r="EZ85" s="288"/>
      <c r="FA85" s="294"/>
      <c r="FB85" s="287"/>
      <c r="FC85" s="288"/>
      <c r="FD85" s="289"/>
      <c r="FE85" s="295"/>
      <c r="FF85" s="288"/>
      <c r="FG85" s="294"/>
      <c r="FH85" s="287"/>
      <c r="FI85" s="288"/>
      <c r="FJ85" s="289"/>
      <c r="FK85" s="295"/>
      <c r="FL85" s="288"/>
      <c r="FM85" s="294"/>
      <c r="FN85" s="287"/>
      <c r="FO85" s="288"/>
      <c r="FP85" s="289"/>
      <c r="FQ85" s="295"/>
      <c r="FR85" s="288"/>
      <c r="FS85" s="294"/>
      <c r="FT85" s="287"/>
      <c r="FU85" s="288"/>
      <c r="FV85" s="289"/>
      <c r="FW85" s="295"/>
      <c r="FX85" s="288"/>
      <c r="FY85" s="294"/>
      <c r="FZ85" s="287"/>
      <c r="GA85" s="288"/>
      <c r="GB85" s="289"/>
      <c r="GC85" s="295"/>
      <c r="GD85" s="288"/>
      <c r="GE85" s="294"/>
      <c r="GF85" s="287"/>
      <c r="GG85" s="288"/>
      <c r="GH85" s="289"/>
      <c r="GI85" s="295"/>
      <c r="GJ85" s="288"/>
      <c r="GK85" s="294"/>
      <c r="GL85" s="287"/>
      <c r="GM85" s="288"/>
      <c r="GN85" s="289"/>
      <c r="GO85" s="295"/>
      <c r="GP85" s="288"/>
      <c r="GQ85" s="294"/>
      <c r="GR85" s="295"/>
      <c r="GS85" s="288"/>
      <c r="GT85" s="294"/>
      <c r="GU85" s="295"/>
      <c r="GV85" s="288"/>
      <c r="GW85" s="294"/>
      <c r="GX85" s="295"/>
      <c r="GY85" s="288"/>
      <c r="GZ85" s="294"/>
      <c r="HA85" s="295"/>
      <c r="HB85" s="288"/>
      <c r="HC85" s="294"/>
      <c r="HD85" s="368">
        <f t="shared" si="111"/>
        <v>0</v>
      </c>
      <c r="HE85" s="369">
        <f t="shared" si="112"/>
        <v>0</v>
      </c>
      <c r="HF85" s="369">
        <f t="shared" si="113"/>
        <v>0</v>
      </c>
      <c r="HG85" s="145">
        <f t="shared" si="15"/>
        <v>0</v>
      </c>
    </row>
    <row r="86" spans="1:215" ht="15.75" thickBot="1">
      <c r="A86" s="353">
        <v>7</v>
      </c>
      <c r="B86" s="239"/>
      <c r="C86" s="43"/>
      <c r="D86" s="57"/>
      <c r="E86" s="287"/>
      <c r="F86" s="288"/>
      <c r="G86" s="289"/>
      <c r="H86" s="295"/>
      <c r="I86" s="288"/>
      <c r="J86" s="294"/>
      <c r="K86" s="287"/>
      <c r="L86" s="288"/>
      <c r="M86" s="289"/>
      <c r="N86" s="295"/>
      <c r="O86" s="288"/>
      <c r="P86" s="294"/>
      <c r="Q86" s="287"/>
      <c r="R86" s="288"/>
      <c r="S86" s="289"/>
      <c r="T86" s="295"/>
      <c r="U86" s="288"/>
      <c r="V86" s="294"/>
      <c r="W86" s="287"/>
      <c r="X86" s="288"/>
      <c r="Y86" s="289"/>
      <c r="Z86" s="295"/>
      <c r="AA86" s="288"/>
      <c r="AB86" s="294"/>
      <c r="AC86" s="287"/>
      <c r="AD86" s="288"/>
      <c r="AE86" s="289"/>
      <c r="AF86" s="295"/>
      <c r="AG86" s="288"/>
      <c r="AH86" s="294"/>
      <c r="AI86" s="287"/>
      <c r="AJ86" s="288"/>
      <c r="AK86" s="289"/>
      <c r="AL86" s="295"/>
      <c r="AM86" s="288"/>
      <c r="AN86" s="294"/>
      <c r="AO86" s="287"/>
      <c r="AP86" s="288"/>
      <c r="AQ86" s="289"/>
      <c r="AR86" s="295"/>
      <c r="AS86" s="288"/>
      <c r="AT86" s="294"/>
      <c r="AU86" s="287"/>
      <c r="AV86" s="288"/>
      <c r="AW86" s="289"/>
      <c r="AX86" s="295"/>
      <c r="AY86" s="288"/>
      <c r="AZ86" s="294"/>
      <c r="BA86" s="287"/>
      <c r="BB86" s="288"/>
      <c r="BC86" s="289"/>
      <c r="BD86" s="295"/>
      <c r="BE86" s="288"/>
      <c r="BF86" s="294"/>
      <c r="BG86" s="287"/>
      <c r="BH86" s="288"/>
      <c r="BI86" s="289"/>
      <c r="BJ86" s="295"/>
      <c r="BK86" s="288"/>
      <c r="BL86" s="294"/>
      <c r="BM86" s="287"/>
      <c r="BN86" s="288"/>
      <c r="BO86" s="289"/>
      <c r="BP86" s="295"/>
      <c r="BQ86" s="288"/>
      <c r="BR86" s="294"/>
      <c r="BS86" s="287"/>
      <c r="BT86" s="288"/>
      <c r="BU86" s="289"/>
      <c r="BV86" s="295"/>
      <c r="BW86" s="288"/>
      <c r="BX86" s="294"/>
      <c r="BY86" s="287"/>
      <c r="BZ86" s="288"/>
      <c r="CA86" s="289"/>
      <c r="CB86" s="295"/>
      <c r="CC86" s="288"/>
      <c r="CD86" s="294"/>
      <c r="CE86" s="287"/>
      <c r="CF86" s="288"/>
      <c r="CG86" s="289"/>
      <c r="CH86" s="295"/>
      <c r="CI86" s="288"/>
      <c r="CJ86" s="294"/>
      <c r="CK86" s="287"/>
      <c r="CL86" s="288"/>
      <c r="CM86" s="289"/>
      <c r="CN86" s="295"/>
      <c r="CO86" s="288"/>
      <c r="CP86" s="294"/>
      <c r="CQ86" s="295"/>
      <c r="CR86" s="288"/>
      <c r="CS86" s="294"/>
      <c r="CT86" s="295"/>
      <c r="CU86" s="288"/>
      <c r="CV86" s="294"/>
      <c r="CW86" s="295"/>
      <c r="CX86" s="288"/>
      <c r="CY86" s="294"/>
      <c r="CZ86" s="295"/>
      <c r="DA86" s="288"/>
      <c r="DB86" s="294"/>
      <c r="DC86" s="239"/>
      <c r="DD86" s="43"/>
      <c r="DE86" s="57"/>
      <c r="DF86" s="287"/>
      <c r="DG86" s="288"/>
      <c r="DH86" s="289"/>
      <c r="DI86" s="295"/>
      <c r="DJ86" s="288"/>
      <c r="DK86" s="294"/>
      <c r="DL86" s="287"/>
      <c r="DM86" s="288"/>
      <c r="DN86" s="289"/>
      <c r="DO86" s="295"/>
      <c r="DP86" s="288"/>
      <c r="DQ86" s="294"/>
      <c r="DR86" s="287"/>
      <c r="DS86" s="288"/>
      <c r="DT86" s="289"/>
      <c r="DU86" s="295"/>
      <c r="DV86" s="288"/>
      <c r="DW86" s="294"/>
      <c r="DX86" s="287"/>
      <c r="DY86" s="288"/>
      <c r="DZ86" s="289"/>
      <c r="EA86" s="295"/>
      <c r="EB86" s="288"/>
      <c r="EC86" s="294"/>
      <c r="ED86" s="287"/>
      <c r="EE86" s="288"/>
      <c r="EF86" s="289"/>
      <c r="EG86" s="295"/>
      <c r="EH86" s="288"/>
      <c r="EI86" s="294"/>
      <c r="EJ86" s="287"/>
      <c r="EK86" s="288"/>
      <c r="EL86" s="289"/>
      <c r="EM86" s="295"/>
      <c r="EN86" s="288"/>
      <c r="EO86" s="294"/>
      <c r="EP86" s="287"/>
      <c r="EQ86" s="288"/>
      <c r="ER86" s="289"/>
      <c r="ES86" s="295"/>
      <c r="ET86" s="288"/>
      <c r="EU86" s="294"/>
      <c r="EV86" s="287"/>
      <c r="EW86" s="288"/>
      <c r="EX86" s="289"/>
      <c r="EY86" s="295"/>
      <c r="EZ86" s="288"/>
      <c r="FA86" s="294"/>
      <c r="FB86" s="287"/>
      <c r="FC86" s="288"/>
      <c r="FD86" s="289"/>
      <c r="FE86" s="295"/>
      <c r="FF86" s="288"/>
      <c r="FG86" s="294"/>
      <c r="FH86" s="287"/>
      <c r="FI86" s="288"/>
      <c r="FJ86" s="289"/>
      <c r="FK86" s="295"/>
      <c r="FL86" s="288"/>
      <c r="FM86" s="294"/>
      <c r="FN86" s="287"/>
      <c r="FO86" s="288"/>
      <c r="FP86" s="289"/>
      <c r="FQ86" s="295"/>
      <c r="FR86" s="288"/>
      <c r="FS86" s="294"/>
      <c r="FT86" s="287"/>
      <c r="FU86" s="288"/>
      <c r="FV86" s="289"/>
      <c r="FW86" s="295"/>
      <c r="FX86" s="288"/>
      <c r="FY86" s="294"/>
      <c r="FZ86" s="287"/>
      <c r="GA86" s="288"/>
      <c r="GB86" s="289"/>
      <c r="GC86" s="295"/>
      <c r="GD86" s="288"/>
      <c r="GE86" s="294"/>
      <c r="GF86" s="287"/>
      <c r="GG86" s="288"/>
      <c r="GH86" s="289"/>
      <c r="GI86" s="295"/>
      <c r="GJ86" s="288"/>
      <c r="GK86" s="294"/>
      <c r="GL86" s="287"/>
      <c r="GM86" s="288"/>
      <c r="GN86" s="289"/>
      <c r="GO86" s="295"/>
      <c r="GP86" s="288"/>
      <c r="GQ86" s="294"/>
      <c r="GR86" s="295"/>
      <c r="GS86" s="288"/>
      <c r="GT86" s="294"/>
      <c r="GU86" s="295"/>
      <c r="GV86" s="288"/>
      <c r="GW86" s="294"/>
      <c r="GX86" s="295"/>
      <c r="GY86" s="288"/>
      <c r="GZ86" s="294"/>
      <c r="HA86" s="295"/>
      <c r="HB86" s="288"/>
      <c r="HC86" s="294"/>
      <c r="HD86" s="368">
        <f t="shared" si="111"/>
        <v>0</v>
      </c>
      <c r="HE86" s="369">
        <f t="shared" si="112"/>
        <v>0</v>
      </c>
      <c r="HF86" s="369">
        <f t="shared" si="113"/>
        <v>0</v>
      </c>
      <c r="HG86" s="145">
        <f t="shared" si="15"/>
        <v>0</v>
      </c>
    </row>
    <row r="87" spans="1:215" ht="15.75" thickBot="1">
      <c r="A87" s="238">
        <v>8</v>
      </c>
      <c r="B87" s="239"/>
      <c r="C87" s="43"/>
      <c r="D87" s="57"/>
      <c r="E87" s="287"/>
      <c r="F87" s="288"/>
      <c r="G87" s="289"/>
      <c r="H87" s="239"/>
      <c r="I87" s="43"/>
      <c r="J87" s="294"/>
      <c r="K87" s="287"/>
      <c r="L87" s="288"/>
      <c r="M87" s="289"/>
      <c r="N87" s="295"/>
      <c r="O87" s="288"/>
      <c r="P87" s="294"/>
      <c r="Q87" s="287"/>
      <c r="R87" s="288"/>
      <c r="S87" s="289"/>
      <c r="T87" s="295"/>
      <c r="U87" s="288"/>
      <c r="V87" s="294"/>
      <c r="W87" s="287"/>
      <c r="X87" s="288"/>
      <c r="Y87" s="289"/>
      <c r="Z87" s="295"/>
      <c r="AA87" s="288"/>
      <c r="AB87" s="294"/>
      <c r="AC87" s="287"/>
      <c r="AD87" s="288"/>
      <c r="AE87" s="289"/>
      <c r="AF87" s="295"/>
      <c r="AG87" s="288"/>
      <c r="AH87" s="294"/>
      <c r="AI87" s="287"/>
      <c r="AJ87" s="288"/>
      <c r="AK87" s="289"/>
      <c r="AL87" s="295"/>
      <c r="AM87" s="288"/>
      <c r="AN87" s="294"/>
      <c r="AO87" s="287"/>
      <c r="AP87" s="288"/>
      <c r="AQ87" s="289"/>
      <c r="AR87" s="295"/>
      <c r="AS87" s="288"/>
      <c r="AT87" s="294"/>
      <c r="AU87" s="287"/>
      <c r="AV87" s="288"/>
      <c r="AW87" s="289"/>
      <c r="AX87" s="295"/>
      <c r="AY87" s="288"/>
      <c r="AZ87" s="294"/>
      <c r="BA87" s="287"/>
      <c r="BB87" s="288"/>
      <c r="BC87" s="289"/>
      <c r="BD87" s="295"/>
      <c r="BE87" s="288"/>
      <c r="BF87" s="294"/>
      <c r="BG87" s="287"/>
      <c r="BH87" s="288"/>
      <c r="BI87" s="289"/>
      <c r="BJ87" s="295"/>
      <c r="BK87" s="288"/>
      <c r="BL87" s="294"/>
      <c r="BM87" s="287"/>
      <c r="BN87" s="288"/>
      <c r="BO87" s="289"/>
      <c r="BP87" s="295"/>
      <c r="BQ87" s="288"/>
      <c r="BR87" s="294"/>
      <c r="BS87" s="287"/>
      <c r="BT87" s="288"/>
      <c r="BU87" s="289"/>
      <c r="BV87" s="295"/>
      <c r="BW87" s="288"/>
      <c r="BX87" s="294"/>
      <c r="BY87" s="287"/>
      <c r="BZ87" s="288"/>
      <c r="CA87" s="289"/>
      <c r="CB87" s="295"/>
      <c r="CC87" s="288"/>
      <c r="CD87" s="294"/>
      <c r="CE87" s="287"/>
      <c r="CF87" s="288"/>
      <c r="CG87" s="289"/>
      <c r="CH87" s="295"/>
      <c r="CI87" s="288"/>
      <c r="CJ87" s="294"/>
      <c r="CK87" s="287"/>
      <c r="CL87" s="288"/>
      <c r="CM87" s="289"/>
      <c r="CN87" s="295"/>
      <c r="CO87" s="288"/>
      <c r="CP87" s="294"/>
      <c r="CQ87" s="295"/>
      <c r="CR87" s="288"/>
      <c r="CS87" s="294"/>
      <c r="CT87" s="295"/>
      <c r="CU87" s="288"/>
      <c r="CV87" s="294"/>
      <c r="CW87" s="295"/>
      <c r="CX87" s="288"/>
      <c r="CY87" s="294"/>
      <c r="CZ87" s="295"/>
      <c r="DA87" s="288"/>
      <c r="DB87" s="294"/>
      <c r="DC87" s="239"/>
      <c r="DD87" s="43"/>
      <c r="DE87" s="57"/>
      <c r="DF87" s="287"/>
      <c r="DG87" s="288"/>
      <c r="DH87" s="289"/>
      <c r="DI87" s="239"/>
      <c r="DJ87" s="43"/>
      <c r="DK87" s="294"/>
      <c r="DL87" s="287"/>
      <c r="DM87" s="288"/>
      <c r="DN87" s="289"/>
      <c r="DO87" s="295"/>
      <c r="DP87" s="288"/>
      <c r="DQ87" s="294"/>
      <c r="DR87" s="287"/>
      <c r="DS87" s="288"/>
      <c r="DT87" s="289"/>
      <c r="DU87" s="295"/>
      <c r="DV87" s="288"/>
      <c r="DW87" s="294"/>
      <c r="DX87" s="287"/>
      <c r="DY87" s="288"/>
      <c r="DZ87" s="289"/>
      <c r="EA87" s="295"/>
      <c r="EB87" s="288"/>
      <c r="EC87" s="294"/>
      <c r="ED87" s="287"/>
      <c r="EE87" s="288"/>
      <c r="EF87" s="289"/>
      <c r="EG87" s="295"/>
      <c r="EH87" s="288"/>
      <c r="EI87" s="294"/>
      <c r="EJ87" s="287"/>
      <c r="EK87" s="288"/>
      <c r="EL87" s="289"/>
      <c r="EM87" s="295"/>
      <c r="EN87" s="288"/>
      <c r="EO87" s="294"/>
      <c r="EP87" s="287"/>
      <c r="EQ87" s="288"/>
      <c r="ER87" s="289"/>
      <c r="ES87" s="295"/>
      <c r="ET87" s="288"/>
      <c r="EU87" s="294"/>
      <c r="EV87" s="287"/>
      <c r="EW87" s="288"/>
      <c r="EX87" s="289"/>
      <c r="EY87" s="295"/>
      <c r="EZ87" s="288"/>
      <c r="FA87" s="294"/>
      <c r="FB87" s="287"/>
      <c r="FC87" s="288"/>
      <c r="FD87" s="289"/>
      <c r="FE87" s="295"/>
      <c r="FF87" s="288"/>
      <c r="FG87" s="294"/>
      <c r="FH87" s="287"/>
      <c r="FI87" s="288"/>
      <c r="FJ87" s="289"/>
      <c r="FK87" s="295"/>
      <c r="FL87" s="288"/>
      <c r="FM87" s="294"/>
      <c r="FN87" s="287"/>
      <c r="FO87" s="288"/>
      <c r="FP87" s="289"/>
      <c r="FQ87" s="295"/>
      <c r="FR87" s="288"/>
      <c r="FS87" s="294"/>
      <c r="FT87" s="287"/>
      <c r="FU87" s="288"/>
      <c r="FV87" s="289"/>
      <c r="FW87" s="295"/>
      <c r="FX87" s="288"/>
      <c r="FY87" s="294"/>
      <c r="FZ87" s="287"/>
      <c r="GA87" s="288"/>
      <c r="GB87" s="289"/>
      <c r="GC87" s="295"/>
      <c r="GD87" s="288"/>
      <c r="GE87" s="294"/>
      <c r="GF87" s="287"/>
      <c r="GG87" s="288"/>
      <c r="GH87" s="289"/>
      <c r="GI87" s="295"/>
      <c r="GJ87" s="288"/>
      <c r="GK87" s="294"/>
      <c r="GL87" s="287"/>
      <c r="GM87" s="288"/>
      <c r="GN87" s="289"/>
      <c r="GO87" s="295"/>
      <c r="GP87" s="288"/>
      <c r="GQ87" s="294"/>
      <c r="GR87" s="295"/>
      <c r="GS87" s="288"/>
      <c r="GT87" s="294"/>
      <c r="GU87" s="295"/>
      <c r="GV87" s="288"/>
      <c r="GW87" s="294"/>
      <c r="GX87" s="295"/>
      <c r="GY87" s="288"/>
      <c r="GZ87" s="294"/>
      <c r="HA87" s="295"/>
      <c r="HB87" s="288"/>
      <c r="HC87" s="294"/>
      <c r="HD87" s="368">
        <f t="shared" si="111"/>
        <v>0</v>
      </c>
      <c r="HE87" s="369">
        <f t="shared" si="112"/>
        <v>0</v>
      </c>
      <c r="HF87" s="369">
        <f t="shared" si="113"/>
        <v>0</v>
      </c>
      <c r="HG87" s="145">
        <f t="shared" si="15"/>
        <v>0</v>
      </c>
    </row>
    <row r="88" spans="1:215" ht="15.75" thickBot="1">
      <c r="A88" s="238">
        <v>9</v>
      </c>
      <c r="B88" s="239"/>
      <c r="C88" s="43"/>
      <c r="D88" s="57"/>
      <c r="E88" s="287"/>
      <c r="F88" s="288"/>
      <c r="G88" s="289"/>
      <c r="H88" s="295"/>
      <c r="I88" s="288"/>
      <c r="J88" s="294"/>
      <c r="K88" s="287"/>
      <c r="L88" s="288"/>
      <c r="M88" s="289"/>
      <c r="N88" s="295"/>
      <c r="O88" s="288"/>
      <c r="P88" s="294"/>
      <c r="Q88" s="287"/>
      <c r="R88" s="288"/>
      <c r="S88" s="289"/>
      <c r="T88" s="295"/>
      <c r="U88" s="288"/>
      <c r="V88" s="294"/>
      <c r="W88" s="287"/>
      <c r="X88" s="288"/>
      <c r="Y88" s="289"/>
      <c r="Z88" s="295"/>
      <c r="AA88" s="288"/>
      <c r="AB88" s="294"/>
      <c r="AC88" s="287"/>
      <c r="AD88" s="288"/>
      <c r="AE88" s="289"/>
      <c r="AF88" s="295"/>
      <c r="AG88" s="288"/>
      <c r="AH88" s="294"/>
      <c r="AI88" s="287"/>
      <c r="AJ88" s="288"/>
      <c r="AK88" s="289"/>
      <c r="AL88" s="295"/>
      <c r="AM88" s="288"/>
      <c r="AN88" s="294"/>
      <c r="AO88" s="287"/>
      <c r="AP88" s="288"/>
      <c r="AQ88" s="289"/>
      <c r="AR88" s="295"/>
      <c r="AS88" s="288"/>
      <c r="AT88" s="294"/>
      <c r="AU88" s="287"/>
      <c r="AV88" s="288"/>
      <c r="AW88" s="289"/>
      <c r="AX88" s="295"/>
      <c r="AY88" s="288"/>
      <c r="AZ88" s="294"/>
      <c r="BA88" s="287"/>
      <c r="BB88" s="288"/>
      <c r="BC88" s="289"/>
      <c r="BD88" s="295"/>
      <c r="BE88" s="288"/>
      <c r="BF88" s="294"/>
      <c r="BG88" s="287"/>
      <c r="BH88" s="288"/>
      <c r="BI88" s="289"/>
      <c r="BJ88" s="295"/>
      <c r="BK88" s="288"/>
      <c r="BL88" s="294"/>
      <c r="BM88" s="287"/>
      <c r="BN88" s="288"/>
      <c r="BO88" s="289"/>
      <c r="BP88" s="295"/>
      <c r="BQ88" s="288"/>
      <c r="BR88" s="294"/>
      <c r="BS88" s="287"/>
      <c r="BT88" s="288"/>
      <c r="BU88" s="289"/>
      <c r="BV88" s="295"/>
      <c r="BW88" s="288"/>
      <c r="BX88" s="294"/>
      <c r="BY88" s="287"/>
      <c r="BZ88" s="288"/>
      <c r="CA88" s="289"/>
      <c r="CB88" s="295"/>
      <c r="CC88" s="288"/>
      <c r="CD88" s="294"/>
      <c r="CE88" s="287"/>
      <c r="CF88" s="288"/>
      <c r="CG88" s="289"/>
      <c r="CH88" s="295"/>
      <c r="CI88" s="288"/>
      <c r="CJ88" s="294"/>
      <c r="CK88" s="287"/>
      <c r="CL88" s="288"/>
      <c r="CM88" s="289"/>
      <c r="CN88" s="295"/>
      <c r="CO88" s="288"/>
      <c r="CP88" s="294"/>
      <c r="CQ88" s="295"/>
      <c r="CR88" s="288"/>
      <c r="CS88" s="294"/>
      <c r="CT88" s="295"/>
      <c r="CU88" s="288"/>
      <c r="CV88" s="294"/>
      <c r="CW88" s="295"/>
      <c r="CX88" s="288"/>
      <c r="CY88" s="294"/>
      <c r="CZ88" s="295"/>
      <c r="DA88" s="288"/>
      <c r="DB88" s="294"/>
      <c r="DC88" s="239"/>
      <c r="DD88" s="43"/>
      <c r="DE88" s="57"/>
      <c r="DF88" s="287"/>
      <c r="DG88" s="288"/>
      <c r="DH88" s="289"/>
      <c r="DI88" s="295"/>
      <c r="DJ88" s="288"/>
      <c r="DK88" s="294"/>
      <c r="DL88" s="287"/>
      <c r="DM88" s="288"/>
      <c r="DN88" s="289"/>
      <c r="DO88" s="295"/>
      <c r="DP88" s="288"/>
      <c r="DQ88" s="294"/>
      <c r="DR88" s="287"/>
      <c r="DS88" s="288"/>
      <c r="DT88" s="289"/>
      <c r="DU88" s="295"/>
      <c r="DV88" s="288"/>
      <c r="DW88" s="294"/>
      <c r="DX88" s="287"/>
      <c r="DY88" s="288"/>
      <c r="DZ88" s="289"/>
      <c r="EA88" s="295"/>
      <c r="EB88" s="288"/>
      <c r="EC88" s="294"/>
      <c r="ED88" s="287"/>
      <c r="EE88" s="288"/>
      <c r="EF88" s="289"/>
      <c r="EG88" s="295"/>
      <c r="EH88" s="288"/>
      <c r="EI88" s="294"/>
      <c r="EJ88" s="287"/>
      <c r="EK88" s="288"/>
      <c r="EL88" s="289"/>
      <c r="EM88" s="295"/>
      <c r="EN88" s="288"/>
      <c r="EO88" s="294"/>
      <c r="EP88" s="287"/>
      <c r="EQ88" s="288"/>
      <c r="ER88" s="289"/>
      <c r="ES88" s="295"/>
      <c r="ET88" s="288"/>
      <c r="EU88" s="294"/>
      <c r="EV88" s="287"/>
      <c r="EW88" s="288"/>
      <c r="EX88" s="289"/>
      <c r="EY88" s="295"/>
      <c r="EZ88" s="288"/>
      <c r="FA88" s="294"/>
      <c r="FB88" s="287"/>
      <c r="FC88" s="288"/>
      <c r="FD88" s="289"/>
      <c r="FE88" s="295"/>
      <c r="FF88" s="288"/>
      <c r="FG88" s="294"/>
      <c r="FH88" s="287"/>
      <c r="FI88" s="288"/>
      <c r="FJ88" s="289"/>
      <c r="FK88" s="295"/>
      <c r="FL88" s="288"/>
      <c r="FM88" s="294"/>
      <c r="FN88" s="287"/>
      <c r="FO88" s="288"/>
      <c r="FP88" s="289"/>
      <c r="FQ88" s="295"/>
      <c r="FR88" s="288"/>
      <c r="FS88" s="294"/>
      <c r="FT88" s="287"/>
      <c r="FU88" s="288"/>
      <c r="FV88" s="289"/>
      <c r="FW88" s="295"/>
      <c r="FX88" s="288"/>
      <c r="FY88" s="294"/>
      <c r="FZ88" s="287"/>
      <c r="GA88" s="288"/>
      <c r="GB88" s="289"/>
      <c r="GC88" s="295"/>
      <c r="GD88" s="288"/>
      <c r="GE88" s="294"/>
      <c r="GF88" s="287"/>
      <c r="GG88" s="288"/>
      <c r="GH88" s="289"/>
      <c r="GI88" s="295"/>
      <c r="GJ88" s="288"/>
      <c r="GK88" s="294"/>
      <c r="GL88" s="287"/>
      <c r="GM88" s="288"/>
      <c r="GN88" s="289"/>
      <c r="GO88" s="295"/>
      <c r="GP88" s="288"/>
      <c r="GQ88" s="294"/>
      <c r="GR88" s="295"/>
      <c r="GS88" s="288"/>
      <c r="GT88" s="294"/>
      <c r="GU88" s="295"/>
      <c r="GV88" s="288"/>
      <c r="GW88" s="294"/>
      <c r="GX88" s="295"/>
      <c r="GY88" s="288"/>
      <c r="GZ88" s="294"/>
      <c r="HA88" s="295"/>
      <c r="HB88" s="288"/>
      <c r="HC88" s="294"/>
      <c r="HD88" s="368">
        <f t="shared" si="111"/>
        <v>0</v>
      </c>
      <c r="HE88" s="369">
        <f t="shared" si="112"/>
        <v>0</v>
      </c>
      <c r="HF88" s="369">
        <f t="shared" si="113"/>
        <v>0</v>
      </c>
      <c r="HG88" s="145">
        <f t="shared" si="15"/>
        <v>0</v>
      </c>
    </row>
    <row r="89" spans="1:215" ht="15.75" thickBot="1">
      <c r="A89" s="353">
        <v>10</v>
      </c>
      <c r="B89" s="239"/>
      <c r="C89" s="43"/>
      <c r="D89" s="57"/>
      <c r="E89" s="287"/>
      <c r="F89" s="288"/>
      <c r="G89" s="289"/>
      <c r="H89" s="295"/>
      <c r="I89" s="288"/>
      <c r="J89" s="294"/>
      <c r="K89" s="287"/>
      <c r="L89" s="288"/>
      <c r="M89" s="289"/>
      <c r="N89" s="295"/>
      <c r="O89" s="288"/>
      <c r="P89" s="294"/>
      <c r="Q89" s="287"/>
      <c r="R89" s="288"/>
      <c r="S89" s="289"/>
      <c r="T89" s="295"/>
      <c r="U89" s="288"/>
      <c r="V89" s="294"/>
      <c r="W89" s="287"/>
      <c r="X89" s="288"/>
      <c r="Y89" s="289"/>
      <c r="Z89" s="295"/>
      <c r="AA89" s="288"/>
      <c r="AB89" s="294"/>
      <c r="AC89" s="287"/>
      <c r="AD89" s="288"/>
      <c r="AE89" s="289"/>
      <c r="AF89" s="295"/>
      <c r="AG89" s="288"/>
      <c r="AH89" s="294"/>
      <c r="AI89" s="287"/>
      <c r="AJ89" s="288"/>
      <c r="AK89" s="289"/>
      <c r="AL89" s="295"/>
      <c r="AM89" s="288"/>
      <c r="AN89" s="294"/>
      <c r="AO89" s="287"/>
      <c r="AP89" s="288"/>
      <c r="AQ89" s="289"/>
      <c r="AR89" s="295"/>
      <c r="AS89" s="288"/>
      <c r="AT89" s="294"/>
      <c r="AU89" s="287"/>
      <c r="AV89" s="288"/>
      <c r="AW89" s="289"/>
      <c r="AX89" s="295"/>
      <c r="AY89" s="288"/>
      <c r="AZ89" s="294"/>
      <c r="BA89" s="287"/>
      <c r="BB89" s="288"/>
      <c r="BC89" s="289"/>
      <c r="BD89" s="295"/>
      <c r="BE89" s="288"/>
      <c r="BF89" s="294"/>
      <c r="BG89" s="287"/>
      <c r="BH89" s="288"/>
      <c r="BI89" s="289"/>
      <c r="BJ89" s="295"/>
      <c r="BK89" s="288"/>
      <c r="BL89" s="294"/>
      <c r="BM89" s="287"/>
      <c r="BN89" s="288"/>
      <c r="BO89" s="289"/>
      <c r="BP89" s="295"/>
      <c r="BQ89" s="288"/>
      <c r="BR89" s="294"/>
      <c r="BS89" s="287"/>
      <c r="BT89" s="288"/>
      <c r="BU89" s="289"/>
      <c r="BV89" s="295"/>
      <c r="BW89" s="288"/>
      <c r="BX89" s="294"/>
      <c r="BY89" s="287"/>
      <c r="BZ89" s="288"/>
      <c r="CA89" s="289"/>
      <c r="CB89" s="295"/>
      <c r="CC89" s="288"/>
      <c r="CD89" s="294"/>
      <c r="CE89" s="287"/>
      <c r="CF89" s="288"/>
      <c r="CG89" s="289"/>
      <c r="CH89" s="295"/>
      <c r="CI89" s="288"/>
      <c r="CJ89" s="294"/>
      <c r="CK89" s="287"/>
      <c r="CL89" s="288"/>
      <c r="CM89" s="289"/>
      <c r="CN89" s="295"/>
      <c r="CO89" s="288"/>
      <c r="CP89" s="294"/>
      <c r="CQ89" s="295"/>
      <c r="CR89" s="288"/>
      <c r="CS89" s="294"/>
      <c r="CT89" s="295"/>
      <c r="CU89" s="288"/>
      <c r="CV89" s="294"/>
      <c r="CW89" s="295"/>
      <c r="CX89" s="288"/>
      <c r="CY89" s="294"/>
      <c r="CZ89" s="295"/>
      <c r="DA89" s="288"/>
      <c r="DB89" s="294"/>
      <c r="DC89" s="239"/>
      <c r="DD89" s="43"/>
      <c r="DE89" s="57"/>
      <c r="DF89" s="287"/>
      <c r="DG89" s="288"/>
      <c r="DH89" s="289"/>
      <c r="DI89" s="295"/>
      <c r="DJ89" s="288"/>
      <c r="DK89" s="294"/>
      <c r="DL89" s="287"/>
      <c r="DM89" s="288"/>
      <c r="DN89" s="289"/>
      <c r="DO89" s="295"/>
      <c r="DP89" s="288"/>
      <c r="DQ89" s="294"/>
      <c r="DR89" s="287"/>
      <c r="DS89" s="288"/>
      <c r="DT89" s="289"/>
      <c r="DU89" s="295"/>
      <c r="DV89" s="288"/>
      <c r="DW89" s="294"/>
      <c r="DX89" s="287"/>
      <c r="DY89" s="288"/>
      <c r="DZ89" s="289"/>
      <c r="EA89" s="295"/>
      <c r="EB89" s="288"/>
      <c r="EC89" s="294"/>
      <c r="ED89" s="287"/>
      <c r="EE89" s="288"/>
      <c r="EF89" s="289"/>
      <c r="EG89" s="295"/>
      <c r="EH89" s="288"/>
      <c r="EI89" s="294"/>
      <c r="EJ89" s="287"/>
      <c r="EK89" s="288"/>
      <c r="EL89" s="289"/>
      <c r="EM89" s="295"/>
      <c r="EN89" s="288"/>
      <c r="EO89" s="294"/>
      <c r="EP89" s="287"/>
      <c r="EQ89" s="288"/>
      <c r="ER89" s="289"/>
      <c r="ES89" s="295"/>
      <c r="ET89" s="288"/>
      <c r="EU89" s="294"/>
      <c r="EV89" s="287"/>
      <c r="EW89" s="288"/>
      <c r="EX89" s="289"/>
      <c r="EY89" s="295"/>
      <c r="EZ89" s="288"/>
      <c r="FA89" s="294"/>
      <c r="FB89" s="287"/>
      <c r="FC89" s="288"/>
      <c r="FD89" s="289"/>
      <c r="FE89" s="295"/>
      <c r="FF89" s="288"/>
      <c r="FG89" s="294"/>
      <c r="FH89" s="287"/>
      <c r="FI89" s="288"/>
      <c r="FJ89" s="289"/>
      <c r="FK89" s="295"/>
      <c r="FL89" s="288"/>
      <c r="FM89" s="294"/>
      <c r="FN89" s="287"/>
      <c r="FO89" s="288"/>
      <c r="FP89" s="289"/>
      <c r="FQ89" s="295"/>
      <c r="FR89" s="288"/>
      <c r="FS89" s="294"/>
      <c r="FT89" s="287"/>
      <c r="FU89" s="288"/>
      <c r="FV89" s="289"/>
      <c r="FW89" s="295"/>
      <c r="FX89" s="288"/>
      <c r="FY89" s="294"/>
      <c r="FZ89" s="287"/>
      <c r="GA89" s="288"/>
      <c r="GB89" s="289"/>
      <c r="GC89" s="295"/>
      <c r="GD89" s="288"/>
      <c r="GE89" s="294"/>
      <c r="GF89" s="287"/>
      <c r="GG89" s="288"/>
      <c r="GH89" s="289"/>
      <c r="GI89" s="295"/>
      <c r="GJ89" s="288"/>
      <c r="GK89" s="294"/>
      <c r="GL89" s="287"/>
      <c r="GM89" s="288"/>
      <c r="GN89" s="289"/>
      <c r="GO89" s="295"/>
      <c r="GP89" s="288"/>
      <c r="GQ89" s="294"/>
      <c r="GR89" s="295"/>
      <c r="GS89" s="288"/>
      <c r="GT89" s="294"/>
      <c r="GU89" s="295"/>
      <c r="GV89" s="288"/>
      <c r="GW89" s="294"/>
      <c r="GX89" s="295"/>
      <c r="GY89" s="288"/>
      <c r="GZ89" s="294"/>
      <c r="HA89" s="295"/>
      <c r="HB89" s="288"/>
      <c r="HC89" s="294"/>
      <c r="HD89" s="368">
        <f t="shared" si="111"/>
        <v>0</v>
      </c>
      <c r="HE89" s="369">
        <f t="shared" si="112"/>
        <v>0</v>
      </c>
      <c r="HF89" s="369">
        <f t="shared" si="113"/>
        <v>0</v>
      </c>
      <c r="HG89" s="145">
        <f t="shared" si="15"/>
        <v>0</v>
      </c>
    </row>
    <row r="90" spans="1:215" ht="15.75" thickBot="1">
      <c r="A90" s="238">
        <v>11</v>
      </c>
      <c r="B90" s="239"/>
      <c r="C90" s="43"/>
      <c r="D90" s="57"/>
      <c r="E90" s="287"/>
      <c r="F90" s="288"/>
      <c r="G90" s="289"/>
      <c r="H90" s="295"/>
      <c r="I90" s="288"/>
      <c r="J90" s="294"/>
      <c r="K90" s="287"/>
      <c r="L90" s="288"/>
      <c r="M90" s="289"/>
      <c r="N90" s="295"/>
      <c r="O90" s="288"/>
      <c r="P90" s="294"/>
      <c r="Q90" s="287"/>
      <c r="R90" s="288"/>
      <c r="S90" s="289"/>
      <c r="T90" s="295"/>
      <c r="U90" s="288"/>
      <c r="V90" s="294"/>
      <c r="W90" s="287"/>
      <c r="X90" s="288"/>
      <c r="Y90" s="289"/>
      <c r="Z90" s="295"/>
      <c r="AA90" s="288"/>
      <c r="AB90" s="294"/>
      <c r="AC90" s="287"/>
      <c r="AD90" s="288"/>
      <c r="AE90" s="289"/>
      <c r="AF90" s="295"/>
      <c r="AG90" s="288"/>
      <c r="AH90" s="294"/>
      <c r="AI90" s="287"/>
      <c r="AJ90" s="288"/>
      <c r="AK90" s="289"/>
      <c r="AL90" s="295"/>
      <c r="AM90" s="288"/>
      <c r="AN90" s="294"/>
      <c r="AO90" s="287"/>
      <c r="AP90" s="288"/>
      <c r="AQ90" s="289"/>
      <c r="AR90" s="295"/>
      <c r="AS90" s="288"/>
      <c r="AT90" s="294"/>
      <c r="AU90" s="287"/>
      <c r="AV90" s="288"/>
      <c r="AW90" s="289"/>
      <c r="AX90" s="295"/>
      <c r="AY90" s="288"/>
      <c r="AZ90" s="294"/>
      <c r="BA90" s="287"/>
      <c r="BB90" s="288"/>
      <c r="BC90" s="289"/>
      <c r="BD90" s="295"/>
      <c r="BE90" s="288"/>
      <c r="BF90" s="294"/>
      <c r="BG90" s="287"/>
      <c r="BH90" s="288"/>
      <c r="BI90" s="289"/>
      <c r="BJ90" s="295"/>
      <c r="BK90" s="288"/>
      <c r="BL90" s="294"/>
      <c r="BM90" s="287"/>
      <c r="BN90" s="288"/>
      <c r="BO90" s="289"/>
      <c r="BP90" s="295"/>
      <c r="BQ90" s="288"/>
      <c r="BR90" s="294"/>
      <c r="BS90" s="287"/>
      <c r="BT90" s="288"/>
      <c r="BU90" s="289"/>
      <c r="BV90" s="295"/>
      <c r="BW90" s="288"/>
      <c r="BX90" s="294"/>
      <c r="BY90" s="287"/>
      <c r="BZ90" s="288"/>
      <c r="CA90" s="289"/>
      <c r="CB90" s="295"/>
      <c r="CC90" s="288"/>
      <c r="CD90" s="294"/>
      <c r="CE90" s="287"/>
      <c r="CF90" s="288"/>
      <c r="CG90" s="289"/>
      <c r="CH90" s="295"/>
      <c r="CI90" s="288"/>
      <c r="CJ90" s="294"/>
      <c r="CK90" s="287"/>
      <c r="CL90" s="288"/>
      <c r="CM90" s="289"/>
      <c r="CN90" s="295"/>
      <c r="CO90" s="288"/>
      <c r="CP90" s="294"/>
      <c r="CQ90" s="295"/>
      <c r="CR90" s="288"/>
      <c r="CS90" s="294"/>
      <c r="CT90" s="295"/>
      <c r="CU90" s="288"/>
      <c r="CV90" s="294"/>
      <c r="CW90" s="295"/>
      <c r="CX90" s="288"/>
      <c r="CY90" s="294"/>
      <c r="CZ90" s="295"/>
      <c r="DA90" s="288"/>
      <c r="DB90" s="294"/>
      <c r="DC90" s="239"/>
      <c r="DD90" s="43"/>
      <c r="DE90" s="57"/>
      <c r="DF90" s="287"/>
      <c r="DG90" s="288"/>
      <c r="DH90" s="289"/>
      <c r="DI90" s="295"/>
      <c r="DJ90" s="288"/>
      <c r="DK90" s="294"/>
      <c r="DL90" s="287"/>
      <c r="DM90" s="288"/>
      <c r="DN90" s="289"/>
      <c r="DO90" s="295"/>
      <c r="DP90" s="288"/>
      <c r="DQ90" s="294"/>
      <c r="DR90" s="287"/>
      <c r="DS90" s="288"/>
      <c r="DT90" s="289"/>
      <c r="DU90" s="295"/>
      <c r="DV90" s="288"/>
      <c r="DW90" s="294"/>
      <c r="DX90" s="287"/>
      <c r="DY90" s="288"/>
      <c r="DZ90" s="289"/>
      <c r="EA90" s="295"/>
      <c r="EB90" s="288"/>
      <c r="EC90" s="294"/>
      <c r="ED90" s="287"/>
      <c r="EE90" s="288"/>
      <c r="EF90" s="289"/>
      <c r="EG90" s="295"/>
      <c r="EH90" s="288"/>
      <c r="EI90" s="294"/>
      <c r="EJ90" s="287"/>
      <c r="EK90" s="288"/>
      <c r="EL90" s="289"/>
      <c r="EM90" s="295"/>
      <c r="EN90" s="288"/>
      <c r="EO90" s="294"/>
      <c r="EP90" s="287"/>
      <c r="EQ90" s="288"/>
      <c r="ER90" s="289"/>
      <c r="ES90" s="295"/>
      <c r="ET90" s="288"/>
      <c r="EU90" s="294"/>
      <c r="EV90" s="287"/>
      <c r="EW90" s="288"/>
      <c r="EX90" s="289"/>
      <c r="EY90" s="295"/>
      <c r="EZ90" s="288"/>
      <c r="FA90" s="294"/>
      <c r="FB90" s="287"/>
      <c r="FC90" s="288"/>
      <c r="FD90" s="289"/>
      <c r="FE90" s="295"/>
      <c r="FF90" s="288"/>
      <c r="FG90" s="294"/>
      <c r="FH90" s="287"/>
      <c r="FI90" s="288"/>
      <c r="FJ90" s="289"/>
      <c r="FK90" s="295"/>
      <c r="FL90" s="288"/>
      <c r="FM90" s="294"/>
      <c r="FN90" s="287"/>
      <c r="FO90" s="288"/>
      <c r="FP90" s="289"/>
      <c r="FQ90" s="295"/>
      <c r="FR90" s="288"/>
      <c r="FS90" s="294"/>
      <c r="FT90" s="287"/>
      <c r="FU90" s="288"/>
      <c r="FV90" s="289"/>
      <c r="FW90" s="295"/>
      <c r="FX90" s="288"/>
      <c r="FY90" s="294"/>
      <c r="FZ90" s="287"/>
      <c r="GA90" s="288"/>
      <c r="GB90" s="289"/>
      <c r="GC90" s="295"/>
      <c r="GD90" s="288"/>
      <c r="GE90" s="294"/>
      <c r="GF90" s="287"/>
      <c r="GG90" s="288"/>
      <c r="GH90" s="289"/>
      <c r="GI90" s="295"/>
      <c r="GJ90" s="288"/>
      <c r="GK90" s="294"/>
      <c r="GL90" s="287"/>
      <c r="GM90" s="288"/>
      <c r="GN90" s="289"/>
      <c r="GO90" s="295"/>
      <c r="GP90" s="288"/>
      <c r="GQ90" s="294"/>
      <c r="GR90" s="295"/>
      <c r="GS90" s="288"/>
      <c r="GT90" s="294"/>
      <c r="GU90" s="295"/>
      <c r="GV90" s="288"/>
      <c r="GW90" s="294"/>
      <c r="GX90" s="295"/>
      <c r="GY90" s="288"/>
      <c r="GZ90" s="294"/>
      <c r="HA90" s="295"/>
      <c r="HB90" s="288"/>
      <c r="HC90" s="294"/>
      <c r="HD90" s="368">
        <f t="shared" si="111"/>
        <v>0</v>
      </c>
      <c r="HE90" s="369">
        <f t="shared" si="112"/>
        <v>0</v>
      </c>
      <c r="HF90" s="369">
        <f t="shared" si="113"/>
        <v>0</v>
      </c>
      <c r="HG90" s="145">
        <f t="shared" si="15"/>
        <v>0</v>
      </c>
    </row>
    <row r="91" spans="1:215" ht="15.75" thickBot="1">
      <c r="A91" s="238">
        <v>12</v>
      </c>
      <c r="B91" s="239"/>
      <c r="C91" s="43"/>
      <c r="D91" s="57"/>
      <c r="E91" s="287"/>
      <c r="F91" s="288"/>
      <c r="G91" s="289"/>
      <c r="H91" s="295"/>
      <c r="I91" s="288"/>
      <c r="J91" s="294"/>
      <c r="K91" s="287"/>
      <c r="L91" s="288"/>
      <c r="M91" s="289"/>
      <c r="N91" s="295"/>
      <c r="O91" s="288"/>
      <c r="P91" s="294"/>
      <c r="Q91" s="287"/>
      <c r="R91" s="288"/>
      <c r="S91" s="289"/>
      <c r="T91" s="295"/>
      <c r="U91" s="288"/>
      <c r="V91" s="294"/>
      <c r="W91" s="287"/>
      <c r="X91" s="288"/>
      <c r="Y91" s="289"/>
      <c r="Z91" s="295"/>
      <c r="AA91" s="288"/>
      <c r="AB91" s="294"/>
      <c r="AC91" s="287"/>
      <c r="AD91" s="288"/>
      <c r="AE91" s="289"/>
      <c r="AF91" s="295"/>
      <c r="AG91" s="288"/>
      <c r="AH91" s="294"/>
      <c r="AI91" s="287"/>
      <c r="AJ91" s="288"/>
      <c r="AK91" s="289"/>
      <c r="AL91" s="295"/>
      <c r="AM91" s="288"/>
      <c r="AN91" s="294"/>
      <c r="AO91" s="287"/>
      <c r="AP91" s="288"/>
      <c r="AQ91" s="289"/>
      <c r="AR91" s="295"/>
      <c r="AS91" s="288"/>
      <c r="AT91" s="294"/>
      <c r="AU91" s="287"/>
      <c r="AV91" s="288"/>
      <c r="AW91" s="289"/>
      <c r="AX91" s="295"/>
      <c r="AY91" s="288"/>
      <c r="AZ91" s="294"/>
      <c r="BA91" s="287"/>
      <c r="BB91" s="288"/>
      <c r="BC91" s="289"/>
      <c r="BD91" s="295"/>
      <c r="BE91" s="288"/>
      <c r="BF91" s="294"/>
      <c r="BG91" s="287"/>
      <c r="BH91" s="288"/>
      <c r="BI91" s="289"/>
      <c r="BJ91" s="295"/>
      <c r="BK91" s="288"/>
      <c r="BL91" s="294"/>
      <c r="BM91" s="287"/>
      <c r="BN91" s="288"/>
      <c r="BO91" s="289"/>
      <c r="BP91" s="295"/>
      <c r="BQ91" s="288"/>
      <c r="BR91" s="294"/>
      <c r="BS91" s="287"/>
      <c r="BT91" s="288"/>
      <c r="BU91" s="289"/>
      <c r="BV91" s="295"/>
      <c r="BW91" s="288"/>
      <c r="BX91" s="294"/>
      <c r="BY91" s="287"/>
      <c r="BZ91" s="288"/>
      <c r="CA91" s="289"/>
      <c r="CB91" s="295"/>
      <c r="CC91" s="288"/>
      <c r="CD91" s="294"/>
      <c r="CE91" s="287"/>
      <c r="CF91" s="288"/>
      <c r="CG91" s="289"/>
      <c r="CH91" s="295"/>
      <c r="CI91" s="288"/>
      <c r="CJ91" s="294"/>
      <c r="CK91" s="287"/>
      <c r="CL91" s="288"/>
      <c r="CM91" s="289"/>
      <c r="CN91" s="295"/>
      <c r="CO91" s="288"/>
      <c r="CP91" s="294"/>
      <c r="CQ91" s="295"/>
      <c r="CR91" s="288"/>
      <c r="CS91" s="294"/>
      <c r="CT91" s="295"/>
      <c r="CU91" s="288"/>
      <c r="CV91" s="294"/>
      <c r="CW91" s="295"/>
      <c r="CX91" s="288"/>
      <c r="CY91" s="294"/>
      <c r="CZ91" s="295"/>
      <c r="DA91" s="288"/>
      <c r="DB91" s="294"/>
      <c r="DC91" s="239"/>
      <c r="DD91" s="43"/>
      <c r="DE91" s="57"/>
      <c r="DF91" s="287"/>
      <c r="DG91" s="288"/>
      <c r="DH91" s="289"/>
      <c r="DI91" s="295"/>
      <c r="DJ91" s="288"/>
      <c r="DK91" s="294"/>
      <c r="DL91" s="287"/>
      <c r="DM91" s="288"/>
      <c r="DN91" s="289"/>
      <c r="DO91" s="295"/>
      <c r="DP91" s="288"/>
      <c r="DQ91" s="294"/>
      <c r="DR91" s="287"/>
      <c r="DS91" s="288"/>
      <c r="DT91" s="289"/>
      <c r="DU91" s="295"/>
      <c r="DV91" s="288"/>
      <c r="DW91" s="294"/>
      <c r="DX91" s="287"/>
      <c r="DY91" s="288"/>
      <c r="DZ91" s="289"/>
      <c r="EA91" s="295"/>
      <c r="EB91" s="288"/>
      <c r="EC91" s="294"/>
      <c r="ED91" s="287"/>
      <c r="EE91" s="288"/>
      <c r="EF91" s="289"/>
      <c r="EG91" s="295"/>
      <c r="EH91" s="288"/>
      <c r="EI91" s="294"/>
      <c r="EJ91" s="287"/>
      <c r="EK91" s="288"/>
      <c r="EL91" s="289"/>
      <c r="EM91" s="295"/>
      <c r="EN91" s="288"/>
      <c r="EO91" s="294"/>
      <c r="EP91" s="287"/>
      <c r="EQ91" s="288"/>
      <c r="ER91" s="289"/>
      <c r="ES91" s="295"/>
      <c r="ET91" s="288"/>
      <c r="EU91" s="294"/>
      <c r="EV91" s="287"/>
      <c r="EW91" s="288"/>
      <c r="EX91" s="289"/>
      <c r="EY91" s="295"/>
      <c r="EZ91" s="288"/>
      <c r="FA91" s="294"/>
      <c r="FB91" s="287"/>
      <c r="FC91" s="288"/>
      <c r="FD91" s="289"/>
      <c r="FE91" s="295"/>
      <c r="FF91" s="288"/>
      <c r="FG91" s="294"/>
      <c r="FH91" s="287"/>
      <c r="FI91" s="288"/>
      <c r="FJ91" s="289"/>
      <c r="FK91" s="295"/>
      <c r="FL91" s="288"/>
      <c r="FM91" s="294"/>
      <c r="FN91" s="287"/>
      <c r="FO91" s="288"/>
      <c r="FP91" s="289"/>
      <c r="FQ91" s="295"/>
      <c r="FR91" s="288"/>
      <c r="FS91" s="294"/>
      <c r="FT91" s="287"/>
      <c r="FU91" s="288"/>
      <c r="FV91" s="289"/>
      <c r="FW91" s="295"/>
      <c r="FX91" s="288"/>
      <c r="FY91" s="294"/>
      <c r="FZ91" s="287"/>
      <c r="GA91" s="288"/>
      <c r="GB91" s="289"/>
      <c r="GC91" s="295"/>
      <c r="GD91" s="288"/>
      <c r="GE91" s="294"/>
      <c r="GF91" s="287"/>
      <c r="GG91" s="288"/>
      <c r="GH91" s="289"/>
      <c r="GI91" s="295"/>
      <c r="GJ91" s="288"/>
      <c r="GK91" s="294"/>
      <c r="GL91" s="287"/>
      <c r="GM91" s="288"/>
      <c r="GN91" s="289"/>
      <c r="GO91" s="295"/>
      <c r="GP91" s="288"/>
      <c r="GQ91" s="294"/>
      <c r="GR91" s="295"/>
      <c r="GS91" s="288"/>
      <c r="GT91" s="294"/>
      <c r="GU91" s="295"/>
      <c r="GV91" s="288"/>
      <c r="GW91" s="294"/>
      <c r="GX91" s="295"/>
      <c r="GY91" s="288"/>
      <c r="GZ91" s="294"/>
      <c r="HA91" s="295"/>
      <c r="HB91" s="288"/>
      <c r="HC91" s="294"/>
      <c r="HD91" s="368">
        <f t="shared" si="111"/>
        <v>0</v>
      </c>
      <c r="HE91" s="369">
        <f t="shared" si="112"/>
        <v>0</v>
      </c>
      <c r="HF91" s="369">
        <f t="shared" si="113"/>
        <v>0</v>
      </c>
      <c r="HG91" s="145">
        <f t="shared" si="15"/>
        <v>0</v>
      </c>
    </row>
    <row r="92" spans="1:215" ht="15.75" thickBot="1">
      <c r="A92" s="353">
        <v>13</v>
      </c>
      <c r="B92" s="239"/>
      <c r="C92" s="43"/>
      <c r="D92" s="57"/>
      <c r="E92" s="287"/>
      <c r="F92" s="288"/>
      <c r="G92" s="289"/>
      <c r="H92" s="295"/>
      <c r="I92" s="288"/>
      <c r="J92" s="294"/>
      <c r="K92" s="287"/>
      <c r="L92" s="288"/>
      <c r="M92" s="289"/>
      <c r="N92" s="295"/>
      <c r="O92" s="288"/>
      <c r="P92" s="294"/>
      <c r="Q92" s="287"/>
      <c r="R92" s="288"/>
      <c r="S92" s="289"/>
      <c r="T92" s="295"/>
      <c r="U92" s="288"/>
      <c r="V92" s="294"/>
      <c r="W92" s="287"/>
      <c r="X92" s="288"/>
      <c r="Y92" s="289"/>
      <c r="Z92" s="295"/>
      <c r="AA92" s="288"/>
      <c r="AB92" s="294"/>
      <c r="AC92" s="287"/>
      <c r="AD92" s="288"/>
      <c r="AE92" s="289"/>
      <c r="AF92" s="295"/>
      <c r="AG92" s="288"/>
      <c r="AH92" s="294"/>
      <c r="AI92" s="287"/>
      <c r="AJ92" s="288"/>
      <c r="AK92" s="289"/>
      <c r="AL92" s="295"/>
      <c r="AM92" s="288"/>
      <c r="AN92" s="294"/>
      <c r="AO92" s="287"/>
      <c r="AP92" s="288"/>
      <c r="AQ92" s="289"/>
      <c r="AR92" s="295"/>
      <c r="AS92" s="288"/>
      <c r="AT92" s="294"/>
      <c r="AU92" s="287"/>
      <c r="AV92" s="288"/>
      <c r="AW92" s="289"/>
      <c r="AX92" s="295"/>
      <c r="AY92" s="288"/>
      <c r="AZ92" s="294"/>
      <c r="BA92" s="287"/>
      <c r="BB92" s="288"/>
      <c r="BC92" s="289"/>
      <c r="BD92" s="295"/>
      <c r="BE92" s="288"/>
      <c r="BF92" s="294"/>
      <c r="BG92" s="287"/>
      <c r="BH92" s="288"/>
      <c r="BI92" s="289"/>
      <c r="BJ92" s="295"/>
      <c r="BK92" s="288"/>
      <c r="BL92" s="294"/>
      <c r="BM92" s="287"/>
      <c r="BN92" s="288"/>
      <c r="BO92" s="289"/>
      <c r="BP92" s="295"/>
      <c r="BQ92" s="288"/>
      <c r="BR92" s="294"/>
      <c r="BS92" s="287"/>
      <c r="BT92" s="288"/>
      <c r="BU92" s="289"/>
      <c r="BV92" s="295"/>
      <c r="BW92" s="288"/>
      <c r="BX92" s="294"/>
      <c r="BY92" s="287"/>
      <c r="BZ92" s="288"/>
      <c r="CA92" s="289"/>
      <c r="CB92" s="295"/>
      <c r="CC92" s="288"/>
      <c r="CD92" s="294"/>
      <c r="CE92" s="287"/>
      <c r="CF92" s="288"/>
      <c r="CG92" s="289"/>
      <c r="CH92" s="295"/>
      <c r="CI92" s="288"/>
      <c r="CJ92" s="294"/>
      <c r="CK92" s="287"/>
      <c r="CL92" s="288"/>
      <c r="CM92" s="289"/>
      <c r="CN92" s="295"/>
      <c r="CO92" s="288"/>
      <c r="CP92" s="294"/>
      <c r="CQ92" s="295"/>
      <c r="CR92" s="288"/>
      <c r="CS92" s="294"/>
      <c r="CT92" s="295"/>
      <c r="CU92" s="288"/>
      <c r="CV92" s="294"/>
      <c r="CW92" s="295"/>
      <c r="CX92" s="288"/>
      <c r="CY92" s="294"/>
      <c r="CZ92" s="295"/>
      <c r="DA92" s="288"/>
      <c r="DB92" s="294"/>
      <c r="DC92" s="239"/>
      <c r="DD92" s="43"/>
      <c r="DE92" s="57"/>
      <c r="DF92" s="287"/>
      <c r="DG92" s="288"/>
      <c r="DH92" s="289"/>
      <c r="DI92" s="295"/>
      <c r="DJ92" s="288"/>
      <c r="DK92" s="294"/>
      <c r="DL92" s="287"/>
      <c r="DM92" s="288"/>
      <c r="DN92" s="289"/>
      <c r="DO92" s="295"/>
      <c r="DP92" s="288"/>
      <c r="DQ92" s="294"/>
      <c r="DR92" s="287"/>
      <c r="DS92" s="288"/>
      <c r="DT92" s="289"/>
      <c r="DU92" s="295"/>
      <c r="DV92" s="288"/>
      <c r="DW92" s="294"/>
      <c r="DX92" s="287"/>
      <c r="DY92" s="288"/>
      <c r="DZ92" s="289"/>
      <c r="EA92" s="295"/>
      <c r="EB92" s="288"/>
      <c r="EC92" s="294"/>
      <c r="ED92" s="287"/>
      <c r="EE92" s="288"/>
      <c r="EF92" s="289"/>
      <c r="EG92" s="295"/>
      <c r="EH92" s="288"/>
      <c r="EI92" s="294"/>
      <c r="EJ92" s="287"/>
      <c r="EK92" s="288"/>
      <c r="EL92" s="289"/>
      <c r="EM92" s="295"/>
      <c r="EN92" s="288"/>
      <c r="EO92" s="294"/>
      <c r="EP92" s="287"/>
      <c r="EQ92" s="288"/>
      <c r="ER92" s="289"/>
      <c r="ES92" s="295"/>
      <c r="ET92" s="288"/>
      <c r="EU92" s="294"/>
      <c r="EV92" s="287"/>
      <c r="EW92" s="288"/>
      <c r="EX92" s="289"/>
      <c r="EY92" s="295"/>
      <c r="EZ92" s="288"/>
      <c r="FA92" s="294"/>
      <c r="FB92" s="287"/>
      <c r="FC92" s="288"/>
      <c r="FD92" s="289"/>
      <c r="FE92" s="295"/>
      <c r="FF92" s="288"/>
      <c r="FG92" s="294"/>
      <c r="FH92" s="287"/>
      <c r="FI92" s="288"/>
      <c r="FJ92" s="289"/>
      <c r="FK92" s="295"/>
      <c r="FL92" s="288"/>
      <c r="FM92" s="294"/>
      <c r="FN92" s="287"/>
      <c r="FO92" s="288"/>
      <c r="FP92" s="289"/>
      <c r="FQ92" s="295"/>
      <c r="FR92" s="288"/>
      <c r="FS92" s="294"/>
      <c r="FT92" s="287"/>
      <c r="FU92" s="288"/>
      <c r="FV92" s="289"/>
      <c r="FW92" s="295"/>
      <c r="FX92" s="288"/>
      <c r="FY92" s="294"/>
      <c r="FZ92" s="287"/>
      <c r="GA92" s="288"/>
      <c r="GB92" s="289"/>
      <c r="GC92" s="295"/>
      <c r="GD92" s="288"/>
      <c r="GE92" s="294"/>
      <c r="GF92" s="287"/>
      <c r="GG92" s="288"/>
      <c r="GH92" s="289"/>
      <c r="GI92" s="295"/>
      <c r="GJ92" s="288"/>
      <c r="GK92" s="294"/>
      <c r="GL92" s="287"/>
      <c r="GM92" s="288"/>
      <c r="GN92" s="289"/>
      <c r="GO92" s="295"/>
      <c r="GP92" s="288"/>
      <c r="GQ92" s="294"/>
      <c r="GR92" s="295"/>
      <c r="GS92" s="288"/>
      <c r="GT92" s="294"/>
      <c r="GU92" s="295"/>
      <c r="GV92" s="288"/>
      <c r="GW92" s="294"/>
      <c r="GX92" s="295"/>
      <c r="GY92" s="288"/>
      <c r="GZ92" s="294"/>
      <c r="HA92" s="295"/>
      <c r="HB92" s="288"/>
      <c r="HC92" s="294"/>
      <c r="HD92" s="368">
        <f t="shared" si="111"/>
        <v>0</v>
      </c>
      <c r="HE92" s="369">
        <f t="shared" si="112"/>
        <v>0</v>
      </c>
      <c r="HF92" s="369">
        <f t="shared" si="113"/>
        <v>0</v>
      </c>
      <c r="HG92" s="145">
        <f t="shared" si="15"/>
        <v>0</v>
      </c>
    </row>
    <row r="93" spans="1:215" ht="15.75" thickBot="1">
      <c r="A93" s="238">
        <v>14</v>
      </c>
      <c r="B93" s="239"/>
      <c r="C93" s="43"/>
      <c r="D93" s="57"/>
      <c r="E93" s="287"/>
      <c r="F93" s="288"/>
      <c r="G93" s="289"/>
      <c r="H93" s="295"/>
      <c r="I93" s="288"/>
      <c r="J93" s="294"/>
      <c r="K93" s="287"/>
      <c r="L93" s="288"/>
      <c r="M93" s="289"/>
      <c r="N93" s="295"/>
      <c r="O93" s="288"/>
      <c r="P93" s="294"/>
      <c r="Q93" s="287"/>
      <c r="R93" s="288"/>
      <c r="S93" s="289"/>
      <c r="T93" s="295"/>
      <c r="U93" s="288"/>
      <c r="V93" s="294"/>
      <c r="W93" s="287"/>
      <c r="X93" s="288"/>
      <c r="Y93" s="289"/>
      <c r="Z93" s="295"/>
      <c r="AA93" s="288"/>
      <c r="AB93" s="294"/>
      <c r="AC93" s="287"/>
      <c r="AD93" s="288"/>
      <c r="AE93" s="289"/>
      <c r="AF93" s="295"/>
      <c r="AG93" s="288"/>
      <c r="AH93" s="294"/>
      <c r="AI93" s="287"/>
      <c r="AJ93" s="288"/>
      <c r="AK93" s="289"/>
      <c r="AL93" s="295"/>
      <c r="AM93" s="288"/>
      <c r="AN93" s="294"/>
      <c r="AO93" s="287"/>
      <c r="AP93" s="288"/>
      <c r="AQ93" s="289"/>
      <c r="AR93" s="295"/>
      <c r="AS93" s="288"/>
      <c r="AT93" s="294"/>
      <c r="AU93" s="287"/>
      <c r="AV93" s="288"/>
      <c r="AW93" s="289"/>
      <c r="AX93" s="295"/>
      <c r="AY93" s="288"/>
      <c r="AZ93" s="294"/>
      <c r="BA93" s="287"/>
      <c r="BB93" s="288"/>
      <c r="BC93" s="289"/>
      <c r="BD93" s="295"/>
      <c r="BE93" s="288"/>
      <c r="BF93" s="294"/>
      <c r="BG93" s="287"/>
      <c r="BH93" s="288"/>
      <c r="BI93" s="289"/>
      <c r="BJ93" s="295"/>
      <c r="BK93" s="288"/>
      <c r="BL93" s="294"/>
      <c r="BM93" s="287"/>
      <c r="BN93" s="288"/>
      <c r="BO93" s="289"/>
      <c r="BP93" s="295"/>
      <c r="BQ93" s="288"/>
      <c r="BR93" s="294"/>
      <c r="BS93" s="287"/>
      <c r="BT93" s="288"/>
      <c r="BU93" s="289"/>
      <c r="BV93" s="295"/>
      <c r="BW93" s="288"/>
      <c r="BX93" s="294"/>
      <c r="BY93" s="287"/>
      <c r="BZ93" s="288"/>
      <c r="CA93" s="289"/>
      <c r="CB93" s="295"/>
      <c r="CC93" s="288"/>
      <c r="CD93" s="294"/>
      <c r="CE93" s="287"/>
      <c r="CF93" s="288"/>
      <c r="CG93" s="289"/>
      <c r="CH93" s="295"/>
      <c r="CI93" s="288"/>
      <c r="CJ93" s="294"/>
      <c r="CK93" s="287"/>
      <c r="CL93" s="288"/>
      <c r="CM93" s="289"/>
      <c r="CN93" s="295"/>
      <c r="CO93" s="288"/>
      <c r="CP93" s="294"/>
      <c r="CQ93" s="295"/>
      <c r="CR93" s="288"/>
      <c r="CS93" s="294"/>
      <c r="CT93" s="295"/>
      <c r="CU93" s="288"/>
      <c r="CV93" s="294"/>
      <c r="CW93" s="295"/>
      <c r="CX93" s="288"/>
      <c r="CY93" s="294"/>
      <c r="CZ93" s="295"/>
      <c r="DA93" s="288"/>
      <c r="DB93" s="294"/>
      <c r="DC93" s="239"/>
      <c r="DD93" s="43"/>
      <c r="DE93" s="57"/>
      <c r="DF93" s="287"/>
      <c r="DG93" s="288"/>
      <c r="DH93" s="289"/>
      <c r="DI93" s="295"/>
      <c r="DJ93" s="288"/>
      <c r="DK93" s="294"/>
      <c r="DL93" s="287"/>
      <c r="DM93" s="288"/>
      <c r="DN93" s="289"/>
      <c r="DO93" s="295"/>
      <c r="DP93" s="288"/>
      <c r="DQ93" s="294"/>
      <c r="DR93" s="287"/>
      <c r="DS93" s="288"/>
      <c r="DT93" s="289"/>
      <c r="DU93" s="295"/>
      <c r="DV93" s="288"/>
      <c r="DW93" s="294"/>
      <c r="DX93" s="287"/>
      <c r="DY93" s="288"/>
      <c r="DZ93" s="289"/>
      <c r="EA93" s="295"/>
      <c r="EB93" s="288"/>
      <c r="EC93" s="294"/>
      <c r="ED93" s="287"/>
      <c r="EE93" s="288"/>
      <c r="EF93" s="289"/>
      <c r="EG93" s="295"/>
      <c r="EH93" s="288"/>
      <c r="EI93" s="294"/>
      <c r="EJ93" s="287"/>
      <c r="EK93" s="288"/>
      <c r="EL93" s="289"/>
      <c r="EM93" s="295"/>
      <c r="EN93" s="288"/>
      <c r="EO93" s="294"/>
      <c r="EP93" s="287"/>
      <c r="EQ93" s="288"/>
      <c r="ER93" s="289"/>
      <c r="ES93" s="295"/>
      <c r="ET93" s="288"/>
      <c r="EU93" s="294"/>
      <c r="EV93" s="287"/>
      <c r="EW93" s="288"/>
      <c r="EX93" s="289"/>
      <c r="EY93" s="295"/>
      <c r="EZ93" s="288"/>
      <c r="FA93" s="294"/>
      <c r="FB93" s="287"/>
      <c r="FC93" s="288"/>
      <c r="FD93" s="289"/>
      <c r="FE93" s="295"/>
      <c r="FF93" s="288"/>
      <c r="FG93" s="294"/>
      <c r="FH93" s="287"/>
      <c r="FI93" s="288"/>
      <c r="FJ93" s="289"/>
      <c r="FK93" s="295"/>
      <c r="FL93" s="288"/>
      <c r="FM93" s="294"/>
      <c r="FN93" s="287"/>
      <c r="FO93" s="288"/>
      <c r="FP93" s="289"/>
      <c r="FQ93" s="295"/>
      <c r="FR93" s="288"/>
      <c r="FS93" s="294"/>
      <c r="FT93" s="287"/>
      <c r="FU93" s="288"/>
      <c r="FV93" s="289"/>
      <c r="FW93" s="295"/>
      <c r="FX93" s="288"/>
      <c r="FY93" s="294"/>
      <c r="FZ93" s="287"/>
      <c r="GA93" s="288"/>
      <c r="GB93" s="289"/>
      <c r="GC93" s="295"/>
      <c r="GD93" s="288"/>
      <c r="GE93" s="294"/>
      <c r="GF93" s="287"/>
      <c r="GG93" s="288"/>
      <c r="GH93" s="289"/>
      <c r="GI93" s="295"/>
      <c r="GJ93" s="288"/>
      <c r="GK93" s="294"/>
      <c r="GL93" s="287"/>
      <c r="GM93" s="288"/>
      <c r="GN93" s="289"/>
      <c r="GO93" s="295"/>
      <c r="GP93" s="288"/>
      <c r="GQ93" s="294"/>
      <c r="GR93" s="295"/>
      <c r="GS93" s="288"/>
      <c r="GT93" s="294"/>
      <c r="GU93" s="295"/>
      <c r="GV93" s="288"/>
      <c r="GW93" s="294"/>
      <c r="GX93" s="295"/>
      <c r="GY93" s="288"/>
      <c r="GZ93" s="294"/>
      <c r="HA93" s="295"/>
      <c r="HB93" s="288"/>
      <c r="HC93" s="294"/>
      <c r="HD93" s="368">
        <f t="shared" si="111"/>
        <v>0</v>
      </c>
      <c r="HE93" s="369">
        <f t="shared" si="112"/>
        <v>0</v>
      </c>
      <c r="HF93" s="369">
        <f t="shared" si="113"/>
        <v>0</v>
      </c>
      <c r="HG93" s="145">
        <f t="shared" si="15"/>
        <v>0</v>
      </c>
    </row>
    <row r="94" spans="1:215" ht="15.75" thickBot="1">
      <c r="A94" s="238">
        <v>15</v>
      </c>
      <c r="B94" s="239"/>
      <c r="C94" s="43"/>
      <c r="D94" s="57"/>
      <c r="E94" s="287"/>
      <c r="F94" s="288"/>
      <c r="G94" s="289"/>
      <c r="H94" s="295"/>
      <c r="I94" s="288"/>
      <c r="J94" s="294"/>
      <c r="K94" s="287"/>
      <c r="L94" s="288"/>
      <c r="M94" s="289"/>
      <c r="N94" s="295"/>
      <c r="O94" s="288"/>
      <c r="P94" s="294"/>
      <c r="Q94" s="287"/>
      <c r="R94" s="288"/>
      <c r="S94" s="289"/>
      <c r="T94" s="295"/>
      <c r="U94" s="288"/>
      <c r="V94" s="294"/>
      <c r="W94" s="287"/>
      <c r="X94" s="288"/>
      <c r="Y94" s="289"/>
      <c r="Z94" s="295"/>
      <c r="AA94" s="288"/>
      <c r="AB94" s="294"/>
      <c r="AC94" s="287"/>
      <c r="AD94" s="288"/>
      <c r="AE94" s="289"/>
      <c r="AF94" s="295"/>
      <c r="AG94" s="288"/>
      <c r="AH94" s="294"/>
      <c r="AI94" s="287"/>
      <c r="AJ94" s="288"/>
      <c r="AK94" s="289"/>
      <c r="AL94" s="295"/>
      <c r="AM94" s="288"/>
      <c r="AN94" s="294"/>
      <c r="AO94" s="287"/>
      <c r="AP94" s="288"/>
      <c r="AQ94" s="289"/>
      <c r="AR94" s="295"/>
      <c r="AS94" s="288"/>
      <c r="AT94" s="294"/>
      <c r="AU94" s="287"/>
      <c r="AV94" s="288"/>
      <c r="AW94" s="289"/>
      <c r="AX94" s="295"/>
      <c r="AY94" s="288"/>
      <c r="AZ94" s="294"/>
      <c r="BA94" s="287"/>
      <c r="BB94" s="288"/>
      <c r="BC94" s="289"/>
      <c r="BD94" s="295"/>
      <c r="BE94" s="288"/>
      <c r="BF94" s="294"/>
      <c r="BG94" s="287"/>
      <c r="BH94" s="288"/>
      <c r="BI94" s="289"/>
      <c r="BJ94" s="295"/>
      <c r="BK94" s="288"/>
      <c r="BL94" s="294"/>
      <c r="BM94" s="287"/>
      <c r="BN94" s="288"/>
      <c r="BO94" s="289"/>
      <c r="BP94" s="295"/>
      <c r="BQ94" s="288"/>
      <c r="BR94" s="294"/>
      <c r="BS94" s="287"/>
      <c r="BT94" s="288"/>
      <c r="BU94" s="289"/>
      <c r="BV94" s="295"/>
      <c r="BW94" s="288"/>
      <c r="BX94" s="294"/>
      <c r="BY94" s="287"/>
      <c r="BZ94" s="288"/>
      <c r="CA94" s="289"/>
      <c r="CB94" s="295"/>
      <c r="CC94" s="288"/>
      <c r="CD94" s="294"/>
      <c r="CE94" s="287"/>
      <c r="CF94" s="288"/>
      <c r="CG94" s="289"/>
      <c r="CH94" s="295"/>
      <c r="CI94" s="288"/>
      <c r="CJ94" s="294"/>
      <c r="CK94" s="287"/>
      <c r="CL94" s="288"/>
      <c r="CM94" s="289"/>
      <c r="CN94" s="295"/>
      <c r="CO94" s="288"/>
      <c r="CP94" s="294"/>
      <c r="CQ94" s="295"/>
      <c r="CR94" s="288"/>
      <c r="CS94" s="294"/>
      <c r="CT94" s="295"/>
      <c r="CU94" s="288"/>
      <c r="CV94" s="294"/>
      <c r="CW94" s="295"/>
      <c r="CX94" s="288"/>
      <c r="CY94" s="294"/>
      <c r="CZ94" s="295"/>
      <c r="DA94" s="288"/>
      <c r="DB94" s="294"/>
      <c r="DC94" s="239"/>
      <c r="DD94" s="43"/>
      <c r="DE94" s="57"/>
      <c r="DF94" s="287"/>
      <c r="DG94" s="288"/>
      <c r="DH94" s="289"/>
      <c r="DI94" s="295"/>
      <c r="DJ94" s="288"/>
      <c r="DK94" s="294"/>
      <c r="DL94" s="287"/>
      <c r="DM94" s="288"/>
      <c r="DN94" s="289"/>
      <c r="DO94" s="295"/>
      <c r="DP94" s="288"/>
      <c r="DQ94" s="294"/>
      <c r="DR94" s="287"/>
      <c r="DS94" s="288"/>
      <c r="DT94" s="289"/>
      <c r="DU94" s="295"/>
      <c r="DV94" s="288"/>
      <c r="DW94" s="294"/>
      <c r="DX94" s="287"/>
      <c r="DY94" s="288"/>
      <c r="DZ94" s="289"/>
      <c r="EA94" s="295"/>
      <c r="EB94" s="288"/>
      <c r="EC94" s="294"/>
      <c r="ED94" s="287"/>
      <c r="EE94" s="288"/>
      <c r="EF94" s="289"/>
      <c r="EG94" s="295"/>
      <c r="EH94" s="288"/>
      <c r="EI94" s="294"/>
      <c r="EJ94" s="287"/>
      <c r="EK94" s="288"/>
      <c r="EL94" s="289"/>
      <c r="EM94" s="295"/>
      <c r="EN94" s="288"/>
      <c r="EO94" s="294"/>
      <c r="EP94" s="287"/>
      <c r="EQ94" s="288"/>
      <c r="ER94" s="289"/>
      <c r="ES94" s="295"/>
      <c r="ET94" s="288"/>
      <c r="EU94" s="294"/>
      <c r="EV94" s="287"/>
      <c r="EW94" s="288"/>
      <c r="EX94" s="289"/>
      <c r="EY94" s="295"/>
      <c r="EZ94" s="288"/>
      <c r="FA94" s="294"/>
      <c r="FB94" s="287"/>
      <c r="FC94" s="288"/>
      <c r="FD94" s="289"/>
      <c r="FE94" s="295"/>
      <c r="FF94" s="288"/>
      <c r="FG94" s="294"/>
      <c r="FH94" s="287"/>
      <c r="FI94" s="288"/>
      <c r="FJ94" s="289"/>
      <c r="FK94" s="295"/>
      <c r="FL94" s="288"/>
      <c r="FM94" s="294"/>
      <c r="FN94" s="287"/>
      <c r="FO94" s="288"/>
      <c r="FP94" s="289"/>
      <c r="FQ94" s="295"/>
      <c r="FR94" s="288"/>
      <c r="FS94" s="294"/>
      <c r="FT94" s="287"/>
      <c r="FU94" s="288"/>
      <c r="FV94" s="289"/>
      <c r="FW94" s="295"/>
      <c r="FX94" s="288"/>
      <c r="FY94" s="294"/>
      <c r="FZ94" s="287"/>
      <c r="GA94" s="288"/>
      <c r="GB94" s="289"/>
      <c r="GC94" s="295"/>
      <c r="GD94" s="288"/>
      <c r="GE94" s="294"/>
      <c r="GF94" s="287"/>
      <c r="GG94" s="288"/>
      <c r="GH94" s="289"/>
      <c r="GI94" s="295"/>
      <c r="GJ94" s="288"/>
      <c r="GK94" s="294"/>
      <c r="GL94" s="287"/>
      <c r="GM94" s="288"/>
      <c r="GN94" s="289"/>
      <c r="GO94" s="295"/>
      <c r="GP94" s="288"/>
      <c r="GQ94" s="294"/>
      <c r="GR94" s="295"/>
      <c r="GS94" s="288"/>
      <c r="GT94" s="294"/>
      <c r="GU94" s="295"/>
      <c r="GV94" s="288"/>
      <c r="GW94" s="294"/>
      <c r="GX94" s="295"/>
      <c r="GY94" s="288"/>
      <c r="GZ94" s="294"/>
      <c r="HA94" s="295"/>
      <c r="HB94" s="288"/>
      <c r="HC94" s="294"/>
      <c r="HD94" s="368">
        <f t="shared" si="111"/>
        <v>0</v>
      </c>
      <c r="HE94" s="369">
        <f t="shared" si="112"/>
        <v>0</v>
      </c>
      <c r="HF94" s="369">
        <f t="shared" si="113"/>
        <v>0</v>
      </c>
      <c r="HG94" s="145">
        <f t="shared" si="15"/>
        <v>0</v>
      </c>
    </row>
    <row r="95" spans="1:215" ht="15.75" thickBot="1">
      <c r="A95" s="353">
        <v>16</v>
      </c>
      <c r="B95" s="239"/>
      <c r="C95" s="43"/>
      <c r="D95" s="57"/>
      <c r="E95" s="287"/>
      <c r="F95" s="288"/>
      <c r="G95" s="289"/>
      <c r="H95" s="295"/>
      <c r="I95" s="288"/>
      <c r="J95" s="294"/>
      <c r="K95" s="287"/>
      <c r="L95" s="288"/>
      <c r="M95" s="289"/>
      <c r="N95" s="295"/>
      <c r="O95" s="288"/>
      <c r="P95" s="294"/>
      <c r="Q95" s="287"/>
      <c r="R95" s="288"/>
      <c r="S95" s="289"/>
      <c r="T95" s="295"/>
      <c r="U95" s="288"/>
      <c r="V95" s="294"/>
      <c r="W95" s="287"/>
      <c r="X95" s="288"/>
      <c r="Y95" s="289"/>
      <c r="Z95" s="295"/>
      <c r="AA95" s="288"/>
      <c r="AB95" s="294"/>
      <c r="AC95" s="287"/>
      <c r="AD95" s="288"/>
      <c r="AE95" s="289"/>
      <c r="AF95" s="295"/>
      <c r="AG95" s="288"/>
      <c r="AH95" s="294"/>
      <c r="AI95" s="287"/>
      <c r="AJ95" s="288"/>
      <c r="AK95" s="289"/>
      <c r="AL95" s="295"/>
      <c r="AM95" s="288"/>
      <c r="AN95" s="294"/>
      <c r="AO95" s="287"/>
      <c r="AP95" s="288"/>
      <c r="AQ95" s="289"/>
      <c r="AR95" s="295"/>
      <c r="AS95" s="288"/>
      <c r="AT95" s="294"/>
      <c r="AU95" s="287"/>
      <c r="AV95" s="288"/>
      <c r="AW95" s="289"/>
      <c r="AX95" s="295"/>
      <c r="AY95" s="288"/>
      <c r="AZ95" s="294"/>
      <c r="BA95" s="287"/>
      <c r="BB95" s="288"/>
      <c r="BC95" s="289"/>
      <c r="BD95" s="295"/>
      <c r="BE95" s="288"/>
      <c r="BF95" s="294"/>
      <c r="BG95" s="287"/>
      <c r="BH95" s="288"/>
      <c r="BI95" s="289"/>
      <c r="BJ95" s="295"/>
      <c r="BK95" s="288"/>
      <c r="BL95" s="294"/>
      <c r="BM95" s="287"/>
      <c r="BN95" s="288"/>
      <c r="BO95" s="289"/>
      <c r="BP95" s="295"/>
      <c r="BQ95" s="288"/>
      <c r="BR95" s="294"/>
      <c r="BS95" s="287"/>
      <c r="BT95" s="288"/>
      <c r="BU95" s="289"/>
      <c r="BV95" s="295"/>
      <c r="BW95" s="288"/>
      <c r="BX95" s="294"/>
      <c r="BY95" s="287"/>
      <c r="BZ95" s="288"/>
      <c r="CA95" s="289"/>
      <c r="CB95" s="295"/>
      <c r="CC95" s="288"/>
      <c r="CD95" s="294"/>
      <c r="CE95" s="287"/>
      <c r="CF95" s="288"/>
      <c r="CG95" s="289"/>
      <c r="CH95" s="295"/>
      <c r="CI95" s="288"/>
      <c r="CJ95" s="294"/>
      <c r="CK95" s="287"/>
      <c r="CL95" s="288"/>
      <c r="CM95" s="289"/>
      <c r="CN95" s="295"/>
      <c r="CO95" s="288"/>
      <c r="CP95" s="294"/>
      <c r="CQ95" s="295"/>
      <c r="CR95" s="288"/>
      <c r="CS95" s="294"/>
      <c r="CT95" s="295"/>
      <c r="CU95" s="288"/>
      <c r="CV95" s="294"/>
      <c r="CW95" s="295"/>
      <c r="CX95" s="288"/>
      <c r="CY95" s="294"/>
      <c r="CZ95" s="295"/>
      <c r="DA95" s="288"/>
      <c r="DB95" s="294"/>
      <c r="DC95" s="239"/>
      <c r="DD95" s="43"/>
      <c r="DE95" s="57"/>
      <c r="DF95" s="287"/>
      <c r="DG95" s="288"/>
      <c r="DH95" s="289"/>
      <c r="DI95" s="295"/>
      <c r="DJ95" s="288"/>
      <c r="DK95" s="294"/>
      <c r="DL95" s="287"/>
      <c r="DM95" s="288"/>
      <c r="DN95" s="289"/>
      <c r="DO95" s="295"/>
      <c r="DP95" s="288"/>
      <c r="DQ95" s="294"/>
      <c r="DR95" s="287"/>
      <c r="DS95" s="288"/>
      <c r="DT95" s="289"/>
      <c r="DU95" s="295"/>
      <c r="DV95" s="288"/>
      <c r="DW95" s="294"/>
      <c r="DX95" s="287"/>
      <c r="DY95" s="288"/>
      <c r="DZ95" s="289"/>
      <c r="EA95" s="295"/>
      <c r="EB95" s="288"/>
      <c r="EC95" s="294"/>
      <c r="ED95" s="287"/>
      <c r="EE95" s="288"/>
      <c r="EF95" s="289"/>
      <c r="EG95" s="295"/>
      <c r="EH95" s="288"/>
      <c r="EI95" s="294"/>
      <c r="EJ95" s="287"/>
      <c r="EK95" s="288"/>
      <c r="EL95" s="289"/>
      <c r="EM95" s="295"/>
      <c r="EN95" s="288"/>
      <c r="EO95" s="294"/>
      <c r="EP95" s="287"/>
      <c r="EQ95" s="288"/>
      <c r="ER95" s="289"/>
      <c r="ES95" s="295"/>
      <c r="ET95" s="288"/>
      <c r="EU95" s="294"/>
      <c r="EV95" s="287"/>
      <c r="EW95" s="288"/>
      <c r="EX95" s="289"/>
      <c r="EY95" s="295"/>
      <c r="EZ95" s="288"/>
      <c r="FA95" s="294"/>
      <c r="FB95" s="287"/>
      <c r="FC95" s="288"/>
      <c r="FD95" s="289"/>
      <c r="FE95" s="295"/>
      <c r="FF95" s="288"/>
      <c r="FG95" s="294"/>
      <c r="FH95" s="287"/>
      <c r="FI95" s="288"/>
      <c r="FJ95" s="289"/>
      <c r="FK95" s="295"/>
      <c r="FL95" s="288"/>
      <c r="FM95" s="294"/>
      <c r="FN95" s="287"/>
      <c r="FO95" s="288"/>
      <c r="FP95" s="289"/>
      <c r="FQ95" s="295"/>
      <c r="FR95" s="288"/>
      <c r="FS95" s="294"/>
      <c r="FT95" s="287"/>
      <c r="FU95" s="288"/>
      <c r="FV95" s="289"/>
      <c r="FW95" s="295"/>
      <c r="FX95" s="288"/>
      <c r="FY95" s="294"/>
      <c r="FZ95" s="287"/>
      <c r="GA95" s="288"/>
      <c r="GB95" s="289"/>
      <c r="GC95" s="295"/>
      <c r="GD95" s="288"/>
      <c r="GE95" s="294"/>
      <c r="GF95" s="287"/>
      <c r="GG95" s="288"/>
      <c r="GH95" s="289"/>
      <c r="GI95" s="295"/>
      <c r="GJ95" s="288"/>
      <c r="GK95" s="294"/>
      <c r="GL95" s="287"/>
      <c r="GM95" s="288"/>
      <c r="GN95" s="289"/>
      <c r="GO95" s="295"/>
      <c r="GP95" s="288"/>
      <c r="GQ95" s="294"/>
      <c r="GR95" s="295"/>
      <c r="GS95" s="288"/>
      <c r="GT95" s="294"/>
      <c r="GU95" s="295"/>
      <c r="GV95" s="288"/>
      <c r="GW95" s="294"/>
      <c r="GX95" s="295"/>
      <c r="GY95" s="288"/>
      <c r="GZ95" s="294"/>
      <c r="HA95" s="295"/>
      <c r="HB95" s="288"/>
      <c r="HC95" s="294"/>
      <c r="HD95" s="368">
        <f t="shared" si="111"/>
        <v>0</v>
      </c>
      <c r="HE95" s="369">
        <f t="shared" si="112"/>
        <v>0</v>
      </c>
      <c r="HF95" s="369">
        <f t="shared" si="113"/>
        <v>0</v>
      </c>
      <c r="HG95" s="145">
        <f t="shared" si="15"/>
        <v>0</v>
      </c>
    </row>
    <row r="96" spans="1:215" ht="15.75" thickBot="1">
      <c r="A96" s="238">
        <v>17</v>
      </c>
      <c r="B96" s="239"/>
      <c r="C96" s="43"/>
      <c r="D96" s="57"/>
      <c r="E96" s="287"/>
      <c r="F96" s="288"/>
      <c r="G96" s="289"/>
      <c r="H96" s="295"/>
      <c r="I96" s="288"/>
      <c r="J96" s="294"/>
      <c r="K96" s="287"/>
      <c r="L96" s="288"/>
      <c r="M96" s="289"/>
      <c r="N96" s="295"/>
      <c r="O96" s="288"/>
      <c r="P96" s="294"/>
      <c r="Q96" s="287"/>
      <c r="R96" s="288"/>
      <c r="S96" s="289"/>
      <c r="T96" s="295"/>
      <c r="U96" s="288"/>
      <c r="V96" s="294"/>
      <c r="W96" s="287"/>
      <c r="X96" s="288"/>
      <c r="Y96" s="289"/>
      <c r="Z96" s="295"/>
      <c r="AA96" s="288"/>
      <c r="AB96" s="294"/>
      <c r="AC96" s="287"/>
      <c r="AD96" s="288"/>
      <c r="AE96" s="289"/>
      <c r="AF96" s="295"/>
      <c r="AG96" s="288"/>
      <c r="AH96" s="294"/>
      <c r="AI96" s="287"/>
      <c r="AJ96" s="288"/>
      <c r="AK96" s="289"/>
      <c r="AL96" s="295"/>
      <c r="AM96" s="288"/>
      <c r="AN96" s="294"/>
      <c r="AO96" s="287"/>
      <c r="AP96" s="288"/>
      <c r="AQ96" s="289"/>
      <c r="AR96" s="295"/>
      <c r="AS96" s="288"/>
      <c r="AT96" s="294"/>
      <c r="AU96" s="287"/>
      <c r="AV96" s="288"/>
      <c r="AW96" s="289"/>
      <c r="AX96" s="295"/>
      <c r="AY96" s="288"/>
      <c r="AZ96" s="294"/>
      <c r="BA96" s="287"/>
      <c r="BB96" s="288"/>
      <c r="BC96" s="289"/>
      <c r="BD96" s="295"/>
      <c r="BE96" s="288"/>
      <c r="BF96" s="294"/>
      <c r="BG96" s="287"/>
      <c r="BH96" s="288"/>
      <c r="BI96" s="289"/>
      <c r="BJ96" s="295"/>
      <c r="BK96" s="288"/>
      <c r="BL96" s="294"/>
      <c r="BM96" s="287"/>
      <c r="BN96" s="288"/>
      <c r="BO96" s="289"/>
      <c r="BP96" s="295"/>
      <c r="BQ96" s="288"/>
      <c r="BR96" s="294"/>
      <c r="BS96" s="287"/>
      <c r="BT96" s="288"/>
      <c r="BU96" s="289"/>
      <c r="BV96" s="295"/>
      <c r="BW96" s="288"/>
      <c r="BX96" s="294"/>
      <c r="BY96" s="287"/>
      <c r="BZ96" s="288"/>
      <c r="CA96" s="289"/>
      <c r="CB96" s="295"/>
      <c r="CC96" s="288"/>
      <c r="CD96" s="294"/>
      <c r="CE96" s="287"/>
      <c r="CF96" s="288"/>
      <c r="CG96" s="289"/>
      <c r="CH96" s="295"/>
      <c r="CI96" s="288"/>
      <c r="CJ96" s="294"/>
      <c r="CK96" s="287"/>
      <c r="CL96" s="288"/>
      <c r="CM96" s="289"/>
      <c r="CN96" s="295"/>
      <c r="CO96" s="288"/>
      <c r="CP96" s="294"/>
      <c r="CQ96" s="295"/>
      <c r="CR96" s="288"/>
      <c r="CS96" s="294"/>
      <c r="CT96" s="295"/>
      <c r="CU96" s="288"/>
      <c r="CV96" s="294"/>
      <c r="CW96" s="295"/>
      <c r="CX96" s="288"/>
      <c r="CY96" s="294"/>
      <c r="CZ96" s="295"/>
      <c r="DA96" s="288"/>
      <c r="DB96" s="294"/>
      <c r="DC96" s="239"/>
      <c r="DD96" s="43"/>
      <c r="DE96" s="57"/>
      <c r="DF96" s="287"/>
      <c r="DG96" s="288"/>
      <c r="DH96" s="289"/>
      <c r="DI96" s="295"/>
      <c r="DJ96" s="288"/>
      <c r="DK96" s="294"/>
      <c r="DL96" s="287"/>
      <c r="DM96" s="288"/>
      <c r="DN96" s="289"/>
      <c r="DO96" s="295"/>
      <c r="DP96" s="288"/>
      <c r="DQ96" s="294"/>
      <c r="DR96" s="287"/>
      <c r="DS96" s="288"/>
      <c r="DT96" s="289"/>
      <c r="DU96" s="295"/>
      <c r="DV96" s="288"/>
      <c r="DW96" s="294"/>
      <c r="DX96" s="287"/>
      <c r="DY96" s="288"/>
      <c r="DZ96" s="289"/>
      <c r="EA96" s="295"/>
      <c r="EB96" s="288"/>
      <c r="EC96" s="294"/>
      <c r="ED96" s="287"/>
      <c r="EE96" s="288"/>
      <c r="EF96" s="289"/>
      <c r="EG96" s="295"/>
      <c r="EH96" s="288"/>
      <c r="EI96" s="294"/>
      <c r="EJ96" s="287"/>
      <c r="EK96" s="288"/>
      <c r="EL96" s="289"/>
      <c r="EM96" s="295"/>
      <c r="EN96" s="288"/>
      <c r="EO96" s="294"/>
      <c r="EP96" s="287"/>
      <c r="EQ96" s="288"/>
      <c r="ER96" s="289"/>
      <c r="ES96" s="295"/>
      <c r="ET96" s="288"/>
      <c r="EU96" s="294"/>
      <c r="EV96" s="287"/>
      <c r="EW96" s="288"/>
      <c r="EX96" s="289"/>
      <c r="EY96" s="295"/>
      <c r="EZ96" s="288"/>
      <c r="FA96" s="294"/>
      <c r="FB96" s="287"/>
      <c r="FC96" s="288"/>
      <c r="FD96" s="289"/>
      <c r="FE96" s="295"/>
      <c r="FF96" s="288"/>
      <c r="FG96" s="294"/>
      <c r="FH96" s="287"/>
      <c r="FI96" s="288"/>
      <c r="FJ96" s="289"/>
      <c r="FK96" s="295"/>
      <c r="FL96" s="288"/>
      <c r="FM96" s="294"/>
      <c r="FN96" s="287"/>
      <c r="FO96" s="288"/>
      <c r="FP96" s="289"/>
      <c r="FQ96" s="295"/>
      <c r="FR96" s="288"/>
      <c r="FS96" s="294"/>
      <c r="FT96" s="287"/>
      <c r="FU96" s="288"/>
      <c r="FV96" s="289"/>
      <c r="FW96" s="295"/>
      <c r="FX96" s="288"/>
      <c r="FY96" s="294"/>
      <c r="FZ96" s="287"/>
      <c r="GA96" s="288"/>
      <c r="GB96" s="289"/>
      <c r="GC96" s="295"/>
      <c r="GD96" s="288"/>
      <c r="GE96" s="294"/>
      <c r="GF96" s="287"/>
      <c r="GG96" s="288"/>
      <c r="GH96" s="289"/>
      <c r="GI96" s="295"/>
      <c r="GJ96" s="288"/>
      <c r="GK96" s="294"/>
      <c r="GL96" s="287"/>
      <c r="GM96" s="288"/>
      <c r="GN96" s="289"/>
      <c r="GO96" s="295"/>
      <c r="GP96" s="288"/>
      <c r="GQ96" s="294"/>
      <c r="GR96" s="295"/>
      <c r="GS96" s="288"/>
      <c r="GT96" s="294"/>
      <c r="GU96" s="295"/>
      <c r="GV96" s="288"/>
      <c r="GW96" s="294"/>
      <c r="GX96" s="295"/>
      <c r="GY96" s="288"/>
      <c r="GZ96" s="294"/>
      <c r="HA96" s="295"/>
      <c r="HB96" s="288"/>
      <c r="HC96" s="294"/>
      <c r="HD96" s="368">
        <f t="shared" si="111"/>
        <v>0</v>
      </c>
      <c r="HE96" s="369">
        <f t="shared" si="112"/>
        <v>0</v>
      </c>
      <c r="HF96" s="369">
        <f t="shared" si="113"/>
        <v>0</v>
      </c>
      <c r="HG96" s="145">
        <f t="shared" si="15"/>
        <v>0</v>
      </c>
    </row>
    <row r="97" spans="1:215" ht="15.75" thickBot="1">
      <c r="A97" s="238">
        <v>18</v>
      </c>
      <c r="B97" s="239"/>
      <c r="C97" s="43"/>
      <c r="D97" s="57"/>
      <c r="E97" s="287"/>
      <c r="F97" s="288"/>
      <c r="G97" s="289"/>
      <c r="H97" s="295"/>
      <c r="I97" s="288"/>
      <c r="J97" s="294"/>
      <c r="K97" s="287"/>
      <c r="L97" s="288"/>
      <c r="M97" s="289"/>
      <c r="N97" s="295"/>
      <c r="O97" s="288"/>
      <c r="P97" s="294"/>
      <c r="Q97" s="287"/>
      <c r="R97" s="288"/>
      <c r="S97" s="289"/>
      <c r="T97" s="295"/>
      <c r="U97" s="288"/>
      <c r="V97" s="294"/>
      <c r="W97" s="287"/>
      <c r="X97" s="288"/>
      <c r="Y97" s="289"/>
      <c r="Z97" s="295"/>
      <c r="AA97" s="288"/>
      <c r="AB97" s="294"/>
      <c r="AC97" s="287"/>
      <c r="AD97" s="288"/>
      <c r="AE97" s="289"/>
      <c r="AF97" s="295"/>
      <c r="AG97" s="288"/>
      <c r="AH97" s="294"/>
      <c r="AI97" s="287"/>
      <c r="AJ97" s="288"/>
      <c r="AK97" s="289"/>
      <c r="AL97" s="295"/>
      <c r="AM97" s="288"/>
      <c r="AN97" s="294"/>
      <c r="AO97" s="287"/>
      <c r="AP97" s="288"/>
      <c r="AQ97" s="289"/>
      <c r="AR97" s="295"/>
      <c r="AS97" s="288"/>
      <c r="AT97" s="294"/>
      <c r="AU97" s="287"/>
      <c r="AV97" s="288"/>
      <c r="AW97" s="289"/>
      <c r="AX97" s="295"/>
      <c r="AY97" s="288"/>
      <c r="AZ97" s="294"/>
      <c r="BA97" s="287"/>
      <c r="BB97" s="288"/>
      <c r="BC97" s="289"/>
      <c r="BD97" s="295"/>
      <c r="BE97" s="288"/>
      <c r="BF97" s="294"/>
      <c r="BG97" s="287"/>
      <c r="BH97" s="288"/>
      <c r="BI97" s="289"/>
      <c r="BJ97" s="295"/>
      <c r="BK97" s="288"/>
      <c r="BL97" s="294"/>
      <c r="BM97" s="287"/>
      <c r="BN97" s="288"/>
      <c r="BO97" s="289"/>
      <c r="BP97" s="295"/>
      <c r="BQ97" s="288"/>
      <c r="BR97" s="294"/>
      <c r="BS97" s="287"/>
      <c r="BT97" s="288"/>
      <c r="BU97" s="289"/>
      <c r="BV97" s="295"/>
      <c r="BW97" s="288"/>
      <c r="BX97" s="294"/>
      <c r="BY97" s="287"/>
      <c r="BZ97" s="288"/>
      <c r="CA97" s="289"/>
      <c r="CB97" s="295"/>
      <c r="CC97" s="288"/>
      <c r="CD97" s="294"/>
      <c r="CE97" s="287"/>
      <c r="CF97" s="288"/>
      <c r="CG97" s="289"/>
      <c r="CH97" s="295"/>
      <c r="CI97" s="288"/>
      <c r="CJ97" s="294"/>
      <c r="CK97" s="287"/>
      <c r="CL97" s="288"/>
      <c r="CM97" s="289"/>
      <c r="CN97" s="295"/>
      <c r="CO97" s="288"/>
      <c r="CP97" s="294"/>
      <c r="CQ97" s="295"/>
      <c r="CR97" s="288"/>
      <c r="CS97" s="294"/>
      <c r="CT97" s="295"/>
      <c r="CU97" s="288"/>
      <c r="CV97" s="294"/>
      <c r="CW97" s="295"/>
      <c r="CX97" s="288"/>
      <c r="CY97" s="294"/>
      <c r="CZ97" s="295"/>
      <c r="DA97" s="288"/>
      <c r="DB97" s="294"/>
      <c r="DC97" s="239"/>
      <c r="DD97" s="43"/>
      <c r="DE97" s="57"/>
      <c r="DF97" s="287"/>
      <c r="DG97" s="288"/>
      <c r="DH97" s="289"/>
      <c r="DI97" s="295"/>
      <c r="DJ97" s="288"/>
      <c r="DK97" s="294"/>
      <c r="DL97" s="287"/>
      <c r="DM97" s="288"/>
      <c r="DN97" s="289"/>
      <c r="DO97" s="295"/>
      <c r="DP97" s="288"/>
      <c r="DQ97" s="294"/>
      <c r="DR97" s="287"/>
      <c r="DS97" s="288"/>
      <c r="DT97" s="289"/>
      <c r="DU97" s="295"/>
      <c r="DV97" s="288"/>
      <c r="DW97" s="294"/>
      <c r="DX97" s="287"/>
      <c r="DY97" s="288"/>
      <c r="DZ97" s="289"/>
      <c r="EA97" s="295"/>
      <c r="EB97" s="288"/>
      <c r="EC97" s="294"/>
      <c r="ED97" s="287"/>
      <c r="EE97" s="288"/>
      <c r="EF97" s="289"/>
      <c r="EG97" s="295"/>
      <c r="EH97" s="288"/>
      <c r="EI97" s="294"/>
      <c r="EJ97" s="287"/>
      <c r="EK97" s="288"/>
      <c r="EL97" s="289"/>
      <c r="EM97" s="295"/>
      <c r="EN97" s="288"/>
      <c r="EO97" s="294"/>
      <c r="EP97" s="287"/>
      <c r="EQ97" s="288"/>
      <c r="ER97" s="289"/>
      <c r="ES97" s="295"/>
      <c r="ET97" s="288"/>
      <c r="EU97" s="294"/>
      <c r="EV97" s="287"/>
      <c r="EW97" s="288"/>
      <c r="EX97" s="289"/>
      <c r="EY97" s="295"/>
      <c r="EZ97" s="288"/>
      <c r="FA97" s="294"/>
      <c r="FB97" s="287"/>
      <c r="FC97" s="288"/>
      <c r="FD97" s="289"/>
      <c r="FE97" s="295"/>
      <c r="FF97" s="288"/>
      <c r="FG97" s="294"/>
      <c r="FH97" s="287"/>
      <c r="FI97" s="288"/>
      <c r="FJ97" s="289"/>
      <c r="FK97" s="295"/>
      <c r="FL97" s="288"/>
      <c r="FM97" s="294"/>
      <c r="FN97" s="287"/>
      <c r="FO97" s="288"/>
      <c r="FP97" s="289"/>
      <c r="FQ97" s="295"/>
      <c r="FR97" s="288"/>
      <c r="FS97" s="294"/>
      <c r="FT97" s="287"/>
      <c r="FU97" s="288"/>
      <c r="FV97" s="289"/>
      <c r="FW97" s="295"/>
      <c r="FX97" s="288"/>
      <c r="FY97" s="294"/>
      <c r="FZ97" s="287"/>
      <c r="GA97" s="288"/>
      <c r="GB97" s="289"/>
      <c r="GC97" s="295"/>
      <c r="GD97" s="288"/>
      <c r="GE97" s="294"/>
      <c r="GF97" s="287"/>
      <c r="GG97" s="288"/>
      <c r="GH97" s="289"/>
      <c r="GI97" s="295"/>
      <c r="GJ97" s="288"/>
      <c r="GK97" s="294"/>
      <c r="GL97" s="287"/>
      <c r="GM97" s="288"/>
      <c r="GN97" s="289"/>
      <c r="GO97" s="295"/>
      <c r="GP97" s="288"/>
      <c r="GQ97" s="294"/>
      <c r="GR97" s="295"/>
      <c r="GS97" s="288"/>
      <c r="GT97" s="294"/>
      <c r="GU97" s="295"/>
      <c r="GV97" s="288"/>
      <c r="GW97" s="294"/>
      <c r="GX97" s="295"/>
      <c r="GY97" s="288"/>
      <c r="GZ97" s="294"/>
      <c r="HA97" s="295"/>
      <c r="HB97" s="288"/>
      <c r="HC97" s="294"/>
      <c r="HD97" s="368">
        <f t="shared" si="111"/>
        <v>0</v>
      </c>
      <c r="HE97" s="369">
        <f t="shared" si="112"/>
        <v>0</v>
      </c>
      <c r="HF97" s="369">
        <f t="shared" si="113"/>
        <v>0</v>
      </c>
      <c r="HG97" s="145">
        <f t="shared" si="15"/>
        <v>0</v>
      </c>
    </row>
    <row r="98" spans="1:215" ht="15.75" thickBot="1">
      <c r="A98" s="353">
        <v>19</v>
      </c>
      <c r="B98" s="239"/>
      <c r="C98" s="43"/>
      <c r="D98" s="57"/>
      <c r="E98" s="287"/>
      <c r="F98" s="288"/>
      <c r="G98" s="289"/>
      <c r="H98" s="295"/>
      <c r="I98" s="288"/>
      <c r="J98" s="294"/>
      <c r="K98" s="287"/>
      <c r="L98" s="288"/>
      <c r="M98" s="289"/>
      <c r="N98" s="295"/>
      <c r="O98" s="288"/>
      <c r="P98" s="294"/>
      <c r="Q98" s="287"/>
      <c r="R98" s="288"/>
      <c r="S98" s="289"/>
      <c r="T98" s="295"/>
      <c r="U98" s="288"/>
      <c r="V98" s="294"/>
      <c r="W98" s="287"/>
      <c r="X98" s="288"/>
      <c r="Y98" s="289"/>
      <c r="Z98" s="295"/>
      <c r="AA98" s="288"/>
      <c r="AB98" s="294"/>
      <c r="AC98" s="287"/>
      <c r="AD98" s="288"/>
      <c r="AE98" s="289"/>
      <c r="AF98" s="295"/>
      <c r="AG98" s="288"/>
      <c r="AH98" s="294"/>
      <c r="AI98" s="287"/>
      <c r="AJ98" s="288"/>
      <c r="AK98" s="289"/>
      <c r="AL98" s="295"/>
      <c r="AM98" s="288"/>
      <c r="AN98" s="294"/>
      <c r="AO98" s="287"/>
      <c r="AP98" s="288"/>
      <c r="AQ98" s="289"/>
      <c r="AR98" s="295"/>
      <c r="AS98" s="288"/>
      <c r="AT98" s="294"/>
      <c r="AU98" s="287"/>
      <c r="AV98" s="288"/>
      <c r="AW98" s="289"/>
      <c r="AX98" s="295"/>
      <c r="AY98" s="288"/>
      <c r="AZ98" s="294"/>
      <c r="BA98" s="287"/>
      <c r="BB98" s="288"/>
      <c r="BC98" s="289"/>
      <c r="BD98" s="295"/>
      <c r="BE98" s="288"/>
      <c r="BF98" s="294"/>
      <c r="BG98" s="287"/>
      <c r="BH98" s="288"/>
      <c r="BI98" s="289"/>
      <c r="BJ98" s="295"/>
      <c r="BK98" s="288"/>
      <c r="BL98" s="294"/>
      <c r="BM98" s="287"/>
      <c r="BN98" s="288"/>
      <c r="BO98" s="289"/>
      <c r="BP98" s="295"/>
      <c r="BQ98" s="288"/>
      <c r="BR98" s="294"/>
      <c r="BS98" s="287"/>
      <c r="BT98" s="288"/>
      <c r="BU98" s="289"/>
      <c r="BV98" s="295"/>
      <c r="BW98" s="288"/>
      <c r="BX98" s="294"/>
      <c r="BY98" s="287"/>
      <c r="BZ98" s="288"/>
      <c r="CA98" s="289"/>
      <c r="CB98" s="295"/>
      <c r="CC98" s="288"/>
      <c r="CD98" s="294"/>
      <c r="CE98" s="287"/>
      <c r="CF98" s="288"/>
      <c r="CG98" s="289"/>
      <c r="CH98" s="295"/>
      <c r="CI98" s="288"/>
      <c r="CJ98" s="294"/>
      <c r="CK98" s="287"/>
      <c r="CL98" s="288"/>
      <c r="CM98" s="289"/>
      <c r="CN98" s="295"/>
      <c r="CO98" s="288"/>
      <c r="CP98" s="294"/>
      <c r="CQ98" s="295"/>
      <c r="CR98" s="288"/>
      <c r="CS98" s="294"/>
      <c r="CT98" s="295"/>
      <c r="CU98" s="288"/>
      <c r="CV98" s="294"/>
      <c r="CW98" s="295"/>
      <c r="CX98" s="288"/>
      <c r="CY98" s="294"/>
      <c r="CZ98" s="295"/>
      <c r="DA98" s="288"/>
      <c r="DB98" s="294"/>
      <c r="DC98" s="239"/>
      <c r="DD98" s="43"/>
      <c r="DE98" s="57"/>
      <c r="DF98" s="287"/>
      <c r="DG98" s="288"/>
      <c r="DH98" s="289"/>
      <c r="DI98" s="295"/>
      <c r="DJ98" s="288"/>
      <c r="DK98" s="294"/>
      <c r="DL98" s="287"/>
      <c r="DM98" s="288"/>
      <c r="DN98" s="289"/>
      <c r="DO98" s="295"/>
      <c r="DP98" s="288"/>
      <c r="DQ98" s="294"/>
      <c r="DR98" s="287"/>
      <c r="DS98" s="288"/>
      <c r="DT98" s="289"/>
      <c r="DU98" s="295"/>
      <c r="DV98" s="288"/>
      <c r="DW98" s="294"/>
      <c r="DX98" s="287"/>
      <c r="DY98" s="288"/>
      <c r="DZ98" s="289"/>
      <c r="EA98" s="295"/>
      <c r="EB98" s="288"/>
      <c r="EC98" s="294"/>
      <c r="ED98" s="287"/>
      <c r="EE98" s="288"/>
      <c r="EF98" s="289"/>
      <c r="EG98" s="295"/>
      <c r="EH98" s="288"/>
      <c r="EI98" s="294"/>
      <c r="EJ98" s="287"/>
      <c r="EK98" s="288"/>
      <c r="EL98" s="289"/>
      <c r="EM98" s="295"/>
      <c r="EN98" s="288"/>
      <c r="EO98" s="294"/>
      <c r="EP98" s="287"/>
      <c r="EQ98" s="288"/>
      <c r="ER98" s="289"/>
      <c r="ES98" s="295"/>
      <c r="ET98" s="288"/>
      <c r="EU98" s="294"/>
      <c r="EV98" s="287"/>
      <c r="EW98" s="288"/>
      <c r="EX98" s="289"/>
      <c r="EY98" s="295"/>
      <c r="EZ98" s="288"/>
      <c r="FA98" s="294"/>
      <c r="FB98" s="287"/>
      <c r="FC98" s="288"/>
      <c r="FD98" s="289"/>
      <c r="FE98" s="295"/>
      <c r="FF98" s="288"/>
      <c r="FG98" s="294"/>
      <c r="FH98" s="287"/>
      <c r="FI98" s="288"/>
      <c r="FJ98" s="289"/>
      <c r="FK98" s="295"/>
      <c r="FL98" s="288"/>
      <c r="FM98" s="294"/>
      <c r="FN98" s="287"/>
      <c r="FO98" s="288"/>
      <c r="FP98" s="289"/>
      <c r="FQ98" s="295"/>
      <c r="FR98" s="288"/>
      <c r="FS98" s="294"/>
      <c r="FT98" s="287"/>
      <c r="FU98" s="288"/>
      <c r="FV98" s="289"/>
      <c r="FW98" s="295"/>
      <c r="FX98" s="288"/>
      <c r="FY98" s="294"/>
      <c r="FZ98" s="287"/>
      <c r="GA98" s="288"/>
      <c r="GB98" s="289"/>
      <c r="GC98" s="295"/>
      <c r="GD98" s="288"/>
      <c r="GE98" s="294"/>
      <c r="GF98" s="287"/>
      <c r="GG98" s="288"/>
      <c r="GH98" s="289"/>
      <c r="GI98" s="295"/>
      <c r="GJ98" s="288"/>
      <c r="GK98" s="294"/>
      <c r="GL98" s="287"/>
      <c r="GM98" s="288"/>
      <c r="GN98" s="289"/>
      <c r="GO98" s="295"/>
      <c r="GP98" s="288"/>
      <c r="GQ98" s="294"/>
      <c r="GR98" s="295"/>
      <c r="GS98" s="288"/>
      <c r="GT98" s="294"/>
      <c r="GU98" s="295"/>
      <c r="GV98" s="288"/>
      <c r="GW98" s="294"/>
      <c r="GX98" s="295"/>
      <c r="GY98" s="288"/>
      <c r="GZ98" s="294"/>
      <c r="HA98" s="295"/>
      <c r="HB98" s="288"/>
      <c r="HC98" s="294"/>
      <c r="HD98" s="368">
        <f t="shared" si="111"/>
        <v>0</v>
      </c>
      <c r="HE98" s="369">
        <f t="shared" si="112"/>
        <v>0</v>
      </c>
      <c r="HF98" s="369">
        <f t="shared" si="113"/>
        <v>0</v>
      </c>
      <c r="HG98" s="145">
        <f t="shared" si="15"/>
        <v>0</v>
      </c>
    </row>
    <row r="99" spans="1:215" ht="15.75" thickBot="1">
      <c r="A99" s="238">
        <v>20</v>
      </c>
      <c r="B99" s="239"/>
      <c r="C99" s="43"/>
      <c r="D99" s="57"/>
      <c r="E99" s="287"/>
      <c r="F99" s="288"/>
      <c r="G99" s="289"/>
      <c r="H99" s="295"/>
      <c r="I99" s="288"/>
      <c r="J99" s="294"/>
      <c r="K99" s="287"/>
      <c r="L99" s="288"/>
      <c r="M99" s="289"/>
      <c r="N99" s="295"/>
      <c r="O99" s="288"/>
      <c r="P99" s="294"/>
      <c r="Q99" s="287"/>
      <c r="R99" s="288"/>
      <c r="S99" s="289"/>
      <c r="T99" s="295"/>
      <c r="U99" s="288"/>
      <c r="V99" s="294"/>
      <c r="W99" s="287"/>
      <c r="X99" s="288"/>
      <c r="Y99" s="289"/>
      <c r="Z99" s="295"/>
      <c r="AA99" s="288"/>
      <c r="AB99" s="294"/>
      <c r="AC99" s="287"/>
      <c r="AD99" s="288"/>
      <c r="AE99" s="289"/>
      <c r="AF99" s="295"/>
      <c r="AG99" s="288"/>
      <c r="AH99" s="294"/>
      <c r="AI99" s="287"/>
      <c r="AJ99" s="288"/>
      <c r="AK99" s="289"/>
      <c r="AL99" s="295"/>
      <c r="AM99" s="288"/>
      <c r="AN99" s="294"/>
      <c r="AO99" s="287"/>
      <c r="AP99" s="288"/>
      <c r="AQ99" s="289"/>
      <c r="AR99" s="295"/>
      <c r="AS99" s="288"/>
      <c r="AT99" s="294"/>
      <c r="AU99" s="287"/>
      <c r="AV99" s="288"/>
      <c r="AW99" s="289"/>
      <c r="AX99" s="295"/>
      <c r="AY99" s="288"/>
      <c r="AZ99" s="294"/>
      <c r="BA99" s="287"/>
      <c r="BB99" s="288"/>
      <c r="BC99" s="289"/>
      <c r="BD99" s="295"/>
      <c r="BE99" s="288"/>
      <c r="BF99" s="294"/>
      <c r="BG99" s="287"/>
      <c r="BH99" s="288"/>
      <c r="BI99" s="289"/>
      <c r="BJ99" s="295"/>
      <c r="BK99" s="288"/>
      <c r="BL99" s="294"/>
      <c r="BM99" s="287"/>
      <c r="BN99" s="288"/>
      <c r="BO99" s="289"/>
      <c r="BP99" s="295"/>
      <c r="BQ99" s="288"/>
      <c r="BR99" s="294"/>
      <c r="BS99" s="287"/>
      <c r="BT99" s="288"/>
      <c r="BU99" s="289"/>
      <c r="BV99" s="295"/>
      <c r="BW99" s="288"/>
      <c r="BX99" s="294"/>
      <c r="BY99" s="287"/>
      <c r="BZ99" s="288"/>
      <c r="CA99" s="289"/>
      <c r="CB99" s="295"/>
      <c r="CC99" s="288"/>
      <c r="CD99" s="294"/>
      <c r="CE99" s="287"/>
      <c r="CF99" s="288"/>
      <c r="CG99" s="289"/>
      <c r="CH99" s="295"/>
      <c r="CI99" s="288"/>
      <c r="CJ99" s="294"/>
      <c r="CK99" s="287"/>
      <c r="CL99" s="288"/>
      <c r="CM99" s="289"/>
      <c r="CN99" s="295"/>
      <c r="CO99" s="288"/>
      <c r="CP99" s="294"/>
      <c r="CQ99" s="295"/>
      <c r="CR99" s="288"/>
      <c r="CS99" s="294"/>
      <c r="CT99" s="295"/>
      <c r="CU99" s="288"/>
      <c r="CV99" s="294"/>
      <c r="CW99" s="295"/>
      <c r="CX99" s="288"/>
      <c r="CY99" s="294"/>
      <c r="CZ99" s="295"/>
      <c r="DA99" s="288"/>
      <c r="DB99" s="294"/>
      <c r="DC99" s="239"/>
      <c r="DD99" s="43"/>
      <c r="DE99" s="57"/>
      <c r="DF99" s="287"/>
      <c r="DG99" s="288"/>
      <c r="DH99" s="289"/>
      <c r="DI99" s="295"/>
      <c r="DJ99" s="288"/>
      <c r="DK99" s="294"/>
      <c r="DL99" s="287"/>
      <c r="DM99" s="288"/>
      <c r="DN99" s="289"/>
      <c r="DO99" s="295"/>
      <c r="DP99" s="288"/>
      <c r="DQ99" s="294"/>
      <c r="DR99" s="287"/>
      <c r="DS99" s="288"/>
      <c r="DT99" s="289"/>
      <c r="DU99" s="295"/>
      <c r="DV99" s="288"/>
      <c r="DW99" s="294"/>
      <c r="DX99" s="287"/>
      <c r="DY99" s="288"/>
      <c r="DZ99" s="289"/>
      <c r="EA99" s="295"/>
      <c r="EB99" s="288"/>
      <c r="EC99" s="294"/>
      <c r="ED99" s="287"/>
      <c r="EE99" s="288"/>
      <c r="EF99" s="289"/>
      <c r="EG99" s="295"/>
      <c r="EH99" s="288"/>
      <c r="EI99" s="294"/>
      <c r="EJ99" s="287"/>
      <c r="EK99" s="288"/>
      <c r="EL99" s="289"/>
      <c r="EM99" s="295"/>
      <c r="EN99" s="288"/>
      <c r="EO99" s="294"/>
      <c r="EP99" s="287"/>
      <c r="EQ99" s="288"/>
      <c r="ER99" s="289"/>
      <c r="ES99" s="295"/>
      <c r="ET99" s="288"/>
      <c r="EU99" s="294"/>
      <c r="EV99" s="287"/>
      <c r="EW99" s="288"/>
      <c r="EX99" s="289"/>
      <c r="EY99" s="295"/>
      <c r="EZ99" s="288"/>
      <c r="FA99" s="294"/>
      <c r="FB99" s="287"/>
      <c r="FC99" s="288"/>
      <c r="FD99" s="289"/>
      <c r="FE99" s="295"/>
      <c r="FF99" s="288"/>
      <c r="FG99" s="294"/>
      <c r="FH99" s="287"/>
      <c r="FI99" s="288"/>
      <c r="FJ99" s="289"/>
      <c r="FK99" s="295"/>
      <c r="FL99" s="288"/>
      <c r="FM99" s="294"/>
      <c r="FN99" s="287"/>
      <c r="FO99" s="288"/>
      <c r="FP99" s="289"/>
      <c r="FQ99" s="295"/>
      <c r="FR99" s="288"/>
      <c r="FS99" s="294"/>
      <c r="FT99" s="287"/>
      <c r="FU99" s="288"/>
      <c r="FV99" s="289"/>
      <c r="FW99" s="295"/>
      <c r="FX99" s="288"/>
      <c r="FY99" s="294"/>
      <c r="FZ99" s="287"/>
      <c r="GA99" s="288"/>
      <c r="GB99" s="289"/>
      <c r="GC99" s="295"/>
      <c r="GD99" s="288"/>
      <c r="GE99" s="294"/>
      <c r="GF99" s="287"/>
      <c r="GG99" s="288"/>
      <c r="GH99" s="289"/>
      <c r="GI99" s="295"/>
      <c r="GJ99" s="288"/>
      <c r="GK99" s="294"/>
      <c r="GL99" s="287"/>
      <c r="GM99" s="288"/>
      <c r="GN99" s="289"/>
      <c r="GO99" s="295"/>
      <c r="GP99" s="288"/>
      <c r="GQ99" s="294"/>
      <c r="GR99" s="295"/>
      <c r="GS99" s="288"/>
      <c r="GT99" s="294"/>
      <c r="GU99" s="295"/>
      <c r="GV99" s="288"/>
      <c r="GW99" s="294"/>
      <c r="GX99" s="295"/>
      <c r="GY99" s="288"/>
      <c r="GZ99" s="294"/>
      <c r="HA99" s="295"/>
      <c r="HB99" s="288"/>
      <c r="HC99" s="294"/>
      <c r="HD99" s="368">
        <f t="shared" si="111"/>
        <v>0</v>
      </c>
      <c r="HE99" s="369">
        <f t="shared" si="112"/>
        <v>0</v>
      </c>
      <c r="HF99" s="369">
        <f t="shared" si="113"/>
        <v>0</v>
      </c>
      <c r="HG99" s="145">
        <f t="shared" si="15"/>
        <v>0</v>
      </c>
    </row>
    <row r="100" spans="1:215" ht="15.75" thickBot="1">
      <c r="A100" s="238">
        <v>21</v>
      </c>
      <c r="B100" s="239"/>
      <c r="C100" s="43"/>
      <c r="D100" s="57"/>
      <c r="E100" s="287"/>
      <c r="F100" s="288"/>
      <c r="G100" s="289"/>
      <c r="H100" s="295"/>
      <c r="I100" s="288"/>
      <c r="J100" s="294"/>
      <c r="K100" s="287"/>
      <c r="L100" s="288"/>
      <c r="M100" s="289"/>
      <c r="N100" s="295"/>
      <c r="O100" s="288"/>
      <c r="P100" s="294"/>
      <c r="Q100" s="287"/>
      <c r="R100" s="288"/>
      <c r="S100" s="289"/>
      <c r="T100" s="295"/>
      <c r="U100" s="288"/>
      <c r="V100" s="294"/>
      <c r="W100" s="287"/>
      <c r="X100" s="288"/>
      <c r="Y100" s="289"/>
      <c r="Z100" s="295"/>
      <c r="AA100" s="288"/>
      <c r="AB100" s="294"/>
      <c r="AC100" s="287"/>
      <c r="AD100" s="288"/>
      <c r="AE100" s="289"/>
      <c r="AF100" s="295"/>
      <c r="AG100" s="288"/>
      <c r="AH100" s="294"/>
      <c r="AI100" s="287"/>
      <c r="AJ100" s="288"/>
      <c r="AK100" s="289"/>
      <c r="AL100" s="295"/>
      <c r="AM100" s="288"/>
      <c r="AN100" s="294"/>
      <c r="AO100" s="287"/>
      <c r="AP100" s="288"/>
      <c r="AQ100" s="289"/>
      <c r="AR100" s="295"/>
      <c r="AS100" s="288"/>
      <c r="AT100" s="294"/>
      <c r="AU100" s="287"/>
      <c r="AV100" s="288"/>
      <c r="AW100" s="289"/>
      <c r="AX100" s="295"/>
      <c r="AY100" s="288"/>
      <c r="AZ100" s="294"/>
      <c r="BA100" s="287"/>
      <c r="BB100" s="288"/>
      <c r="BC100" s="289"/>
      <c r="BD100" s="295"/>
      <c r="BE100" s="288"/>
      <c r="BF100" s="294"/>
      <c r="BG100" s="287"/>
      <c r="BH100" s="288"/>
      <c r="BI100" s="289"/>
      <c r="BJ100" s="295"/>
      <c r="BK100" s="288"/>
      <c r="BL100" s="294"/>
      <c r="BM100" s="287"/>
      <c r="BN100" s="288"/>
      <c r="BO100" s="289"/>
      <c r="BP100" s="295"/>
      <c r="BQ100" s="288"/>
      <c r="BR100" s="294"/>
      <c r="BS100" s="287"/>
      <c r="BT100" s="288"/>
      <c r="BU100" s="289"/>
      <c r="BV100" s="295"/>
      <c r="BW100" s="288"/>
      <c r="BX100" s="294"/>
      <c r="BY100" s="287"/>
      <c r="BZ100" s="288"/>
      <c r="CA100" s="289"/>
      <c r="CB100" s="295"/>
      <c r="CC100" s="288"/>
      <c r="CD100" s="294"/>
      <c r="CE100" s="287"/>
      <c r="CF100" s="288"/>
      <c r="CG100" s="289"/>
      <c r="CH100" s="295"/>
      <c r="CI100" s="288"/>
      <c r="CJ100" s="294"/>
      <c r="CK100" s="287"/>
      <c r="CL100" s="288"/>
      <c r="CM100" s="289"/>
      <c r="CN100" s="295"/>
      <c r="CO100" s="288"/>
      <c r="CP100" s="294"/>
      <c r="CQ100" s="295"/>
      <c r="CR100" s="288"/>
      <c r="CS100" s="294"/>
      <c r="CT100" s="295"/>
      <c r="CU100" s="288"/>
      <c r="CV100" s="294"/>
      <c r="CW100" s="295"/>
      <c r="CX100" s="288"/>
      <c r="CY100" s="294"/>
      <c r="CZ100" s="295"/>
      <c r="DA100" s="288"/>
      <c r="DB100" s="294"/>
      <c r="DC100" s="239"/>
      <c r="DD100" s="43"/>
      <c r="DE100" s="57"/>
      <c r="DF100" s="287"/>
      <c r="DG100" s="288"/>
      <c r="DH100" s="289"/>
      <c r="DI100" s="295"/>
      <c r="DJ100" s="288"/>
      <c r="DK100" s="294"/>
      <c r="DL100" s="287"/>
      <c r="DM100" s="288"/>
      <c r="DN100" s="289"/>
      <c r="DO100" s="295"/>
      <c r="DP100" s="288"/>
      <c r="DQ100" s="294"/>
      <c r="DR100" s="287"/>
      <c r="DS100" s="288"/>
      <c r="DT100" s="289"/>
      <c r="DU100" s="295"/>
      <c r="DV100" s="288"/>
      <c r="DW100" s="294"/>
      <c r="DX100" s="287"/>
      <c r="DY100" s="288"/>
      <c r="DZ100" s="289"/>
      <c r="EA100" s="295"/>
      <c r="EB100" s="288"/>
      <c r="EC100" s="294"/>
      <c r="ED100" s="287"/>
      <c r="EE100" s="288"/>
      <c r="EF100" s="289"/>
      <c r="EG100" s="295"/>
      <c r="EH100" s="288"/>
      <c r="EI100" s="294"/>
      <c r="EJ100" s="287"/>
      <c r="EK100" s="288"/>
      <c r="EL100" s="289"/>
      <c r="EM100" s="295"/>
      <c r="EN100" s="288"/>
      <c r="EO100" s="294"/>
      <c r="EP100" s="287"/>
      <c r="EQ100" s="288"/>
      <c r="ER100" s="289"/>
      <c r="ES100" s="295"/>
      <c r="ET100" s="288"/>
      <c r="EU100" s="294"/>
      <c r="EV100" s="287"/>
      <c r="EW100" s="288"/>
      <c r="EX100" s="289"/>
      <c r="EY100" s="295"/>
      <c r="EZ100" s="288"/>
      <c r="FA100" s="294"/>
      <c r="FB100" s="287"/>
      <c r="FC100" s="288"/>
      <c r="FD100" s="289"/>
      <c r="FE100" s="295"/>
      <c r="FF100" s="288"/>
      <c r="FG100" s="294"/>
      <c r="FH100" s="287"/>
      <c r="FI100" s="288"/>
      <c r="FJ100" s="289"/>
      <c r="FK100" s="295"/>
      <c r="FL100" s="288"/>
      <c r="FM100" s="294"/>
      <c r="FN100" s="287"/>
      <c r="FO100" s="288"/>
      <c r="FP100" s="289"/>
      <c r="FQ100" s="295"/>
      <c r="FR100" s="288"/>
      <c r="FS100" s="294"/>
      <c r="FT100" s="287"/>
      <c r="FU100" s="288"/>
      <c r="FV100" s="289"/>
      <c r="FW100" s="295"/>
      <c r="FX100" s="288"/>
      <c r="FY100" s="294"/>
      <c r="FZ100" s="287"/>
      <c r="GA100" s="288"/>
      <c r="GB100" s="289"/>
      <c r="GC100" s="295"/>
      <c r="GD100" s="288"/>
      <c r="GE100" s="294"/>
      <c r="GF100" s="287"/>
      <c r="GG100" s="288"/>
      <c r="GH100" s="289"/>
      <c r="GI100" s="295"/>
      <c r="GJ100" s="288"/>
      <c r="GK100" s="294"/>
      <c r="GL100" s="287"/>
      <c r="GM100" s="288"/>
      <c r="GN100" s="289"/>
      <c r="GO100" s="295"/>
      <c r="GP100" s="288"/>
      <c r="GQ100" s="294"/>
      <c r="GR100" s="295"/>
      <c r="GS100" s="288"/>
      <c r="GT100" s="294"/>
      <c r="GU100" s="295"/>
      <c r="GV100" s="288"/>
      <c r="GW100" s="294"/>
      <c r="GX100" s="295"/>
      <c r="GY100" s="288"/>
      <c r="GZ100" s="294"/>
      <c r="HA100" s="295"/>
      <c r="HB100" s="288"/>
      <c r="HC100" s="294"/>
      <c r="HD100" s="368">
        <f t="shared" si="111"/>
        <v>0</v>
      </c>
      <c r="HE100" s="369">
        <f t="shared" si="112"/>
        <v>0</v>
      </c>
      <c r="HF100" s="369">
        <f t="shared" si="113"/>
        <v>0</v>
      </c>
      <c r="HG100" s="145">
        <f t="shared" si="15"/>
        <v>0</v>
      </c>
    </row>
    <row r="101" spans="1:215" ht="15.75" thickBot="1">
      <c r="A101" s="353">
        <v>22</v>
      </c>
      <c r="B101" s="239"/>
      <c r="C101" s="43"/>
      <c r="D101" s="57"/>
      <c r="E101" s="287"/>
      <c r="F101" s="288"/>
      <c r="G101" s="289"/>
      <c r="H101" s="295"/>
      <c r="I101" s="288"/>
      <c r="J101" s="294"/>
      <c r="K101" s="287"/>
      <c r="L101" s="288"/>
      <c r="M101" s="289"/>
      <c r="N101" s="295"/>
      <c r="O101" s="288"/>
      <c r="P101" s="294"/>
      <c r="Q101" s="287"/>
      <c r="R101" s="288"/>
      <c r="S101" s="289"/>
      <c r="T101" s="295"/>
      <c r="U101" s="288"/>
      <c r="V101" s="294"/>
      <c r="W101" s="287"/>
      <c r="X101" s="288"/>
      <c r="Y101" s="289"/>
      <c r="Z101" s="295"/>
      <c r="AA101" s="288"/>
      <c r="AB101" s="294"/>
      <c r="AC101" s="277"/>
      <c r="AD101" s="288"/>
      <c r="AE101" s="289"/>
      <c r="AF101" s="295"/>
      <c r="AG101" s="288"/>
      <c r="AH101" s="294"/>
      <c r="AI101" s="287"/>
      <c r="AJ101" s="288"/>
      <c r="AK101" s="289"/>
      <c r="AL101" s="295"/>
      <c r="AM101" s="288"/>
      <c r="AN101" s="294"/>
      <c r="AO101" s="287"/>
      <c r="AP101" s="288"/>
      <c r="AQ101" s="289"/>
      <c r="AR101" s="295"/>
      <c r="AS101" s="288"/>
      <c r="AT101" s="294"/>
      <c r="AU101" s="287"/>
      <c r="AV101" s="288"/>
      <c r="AW101" s="289"/>
      <c r="AX101" s="295"/>
      <c r="AY101" s="288"/>
      <c r="AZ101" s="294"/>
      <c r="BA101" s="287"/>
      <c r="BB101" s="288"/>
      <c r="BC101" s="289"/>
      <c r="BD101" s="295"/>
      <c r="BE101" s="288"/>
      <c r="BF101" s="294"/>
      <c r="BG101" s="287"/>
      <c r="BH101" s="288"/>
      <c r="BI101" s="289"/>
      <c r="BJ101" s="295"/>
      <c r="BK101" s="288"/>
      <c r="BL101" s="294"/>
      <c r="BM101" s="287"/>
      <c r="BN101" s="288"/>
      <c r="BO101" s="289"/>
      <c r="BP101" s="295"/>
      <c r="BQ101" s="288"/>
      <c r="BR101" s="294"/>
      <c r="BS101" s="287"/>
      <c r="BT101" s="288"/>
      <c r="BU101" s="289"/>
      <c r="BV101" s="295"/>
      <c r="BW101" s="288"/>
      <c r="BX101" s="294"/>
      <c r="BY101" s="287"/>
      <c r="BZ101" s="288"/>
      <c r="CA101" s="289"/>
      <c r="CB101" s="295"/>
      <c r="CC101" s="288"/>
      <c r="CD101" s="294"/>
      <c r="CE101" s="287"/>
      <c r="CF101" s="288"/>
      <c r="CG101" s="289"/>
      <c r="CH101" s="295"/>
      <c r="CI101" s="288"/>
      <c r="CJ101" s="294"/>
      <c r="CK101" s="287"/>
      <c r="CL101" s="288"/>
      <c r="CM101" s="289"/>
      <c r="CN101" s="295"/>
      <c r="CO101" s="288"/>
      <c r="CP101" s="294"/>
      <c r="CQ101" s="295"/>
      <c r="CR101" s="288"/>
      <c r="CS101" s="294"/>
      <c r="CT101" s="295"/>
      <c r="CU101" s="288"/>
      <c r="CV101" s="294"/>
      <c r="CW101" s="295"/>
      <c r="CX101" s="288"/>
      <c r="CY101" s="294"/>
      <c r="CZ101" s="295"/>
      <c r="DA101" s="288"/>
      <c r="DB101" s="294"/>
      <c r="DC101" s="239"/>
      <c r="DD101" s="43"/>
      <c r="DE101" s="57"/>
      <c r="DF101" s="287"/>
      <c r="DG101" s="288"/>
      <c r="DH101" s="289"/>
      <c r="DI101" s="295"/>
      <c r="DJ101" s="288"/>
      <c r="DK101" s="294"/>
      <c r="DL101" s="287"/>
      <c r="DM101" s="288"/>
      <c r="DN101" s="289"/>
      <c r="DO101" s="295"/>
      <c r="DP101" s="288"/>
      <c r="DQ101" s="294"/>
      <c r="DR101" s="287"/>
      <c r="DS101" s="288"/>
      <c r="DT101" s="289"/>
      <c r="DU101" s="295"/>
      <c r="DV101" s="288"/>
      <c r="DW101" s="294"/>
      <c r="DX101" s="287"/>
      <c r="DY101" s="288"/>
      <c r="DZ101" s="289"/>
      <c r="EA101" s="295"/>
      <c r="EB101" s="288"/>
      <c r="EC101" s="294"/>
      <c r="ED101" s="277"/>
      <c r="EE101" s="288"/>
      <c r="EF101" s="289"/>
      <c r="EG101" s="295"/>
      <c r="EH101" s="288"/>
      <c r="EI101" s="294"/>
      <c r="EJ101" s="287"/>
      <c r="EK101" s="288"/>
      <c r="EL101" s="289"/>
      <c r="EM101" s="295"/>
      <c r="EN101" s="288"/>
      <c r="EO101" s="294"/>
      <c r="EP101" s="287"/>
      <c r="EQ101" s="288"/>
      <c r="ER101" s="289"/>
      <c r="ES101" s="295"/>
      <c r="ET101" s="288"/>
      <c r="EU101" s="294"/>
      <c r="EV101" s="287"/>
      <c r="EW101" s="288"/>
      <c r="EX101" s="289"/>
      <c r="EY101" s="295"/>
      <c r="EZ101" s="288"/>
      <c r="FA101" s="294"/>
      <c r="FB101" s="287"/>
      <c r="FC101" s="288"/>
      <c r="FD101" s="289"/>
      <c r="FE101" s="295"/>
      <c r="FF101" s="288"/>
      <c r="FG101" s="294"/>
      <c r="FH101" s="287"/>
      <c r="FI101" s="288"/>
      <c r="FJ101" s="289"/>
      <c r="FK101" s="295"/>
      <c r="FL101" s="288"/>
      <c r="FM101" s="294"/>
      <c r="FN101" s="287"/>
      <c r="FO101" s="288"/>
      <c r="FP101" s="289"/>
      <c r="FQ101" s="295"/>
      <c r="FR101" s="288"/>
      <c r="FS101" s="294"/>
      <c r="FT101" s="287"/>
      <c r="FU101" s="288"/>
      <c r="FV101" s="289"/>
      <c r="FW101" s="295"/>
      <c r="FX101" s="288"/>
      <c r="FY101" s="294"/>
      <c r="FZ101" s="287"/>
      <c r="GA101" s="288"/>
      <c r="GB101" s="289"/>
      <c r="GC101" s="295"/>
      <c r="GD101" s="288"/>
      <c r="GE101" s="294"/>
      <c r="GF101" s="287"/>
      <c r="GG101" s="288"/>
      <c r="GH101" s="289"/>
      <c r="GI101" s="295"/>
      <c r="GJ101" s="288"/>
      <c r="GK101" s="294"/>
      <c r="GL101" s="287"/>
      <c r="GM101" s="288"/>
      <c r="GN101" s="289"/>
      <c r="GO101" s="295"/>
      <c r="GP101" s="288"/>
      <c r="GQ101" s="294"/>
      <c r="GR101" s="295"/>
      <c r="GS101" s="288"/>
      <c r="GT101" s="294"/>
      <c r="GU101" s="295"/>
      <c r="GV101" s="288"/>
      <c r="GW101" s="294"/>
      <c r="GX101" s="295"/>
      <c r="GY101" s="288"/>
      <c r="GZ101" s="294"/>
      <c r="HA101" s="295"/>
      <c r="HB101" s="288"/>
      <c r="HC101" s="294"/>
      <c r="HD101" s="368">
        <f t="shared" si="111"/>
        <v>0</v>
      </c>
      <c r="HE101" s="369">
        <f t="shared" si="112"/>
        <v>0</v>
      </c>
      <c r="HF101" s="369">
        <f t="shared" si="113"/>
        <v>0</v>
      </c>
      <c r="HG101" s="145">
        <f t="shared" si="15"/>
        <v>0</v>
      </c>
    </row>
    <row r="102" spans="1:215" ht="15.75" thickBot="1">
      <c r="A102" s="238">
        <v>23</v>
      </c>
      <c r="B102" s="239"/>
      <c r="C102" s="43"/>
      <c r="D102" s="57"/>
      <c r="E102" s="287"/>
      <c r="F102" s="288"/>
      <c r="G102" s="289"/>
      <c r="H102" s="295"/>
      <c r="I102" s="288"/>
      <c r="J102" s="294"/>
      <c r="K102" s="287"/>
      <c r="L102" s="288"/>
      <c r="M102" s="289"/>
      <c r="N102" s="295"/>
      <c r="O102" s="288"/>
      <c r="P102" s="294"/>
      <c r="Q102" s="287"/>
      <c r="R102" s="288"/>
      <c r="S102" s="289"/>
      <c r="T102" s="295"/>
      <c r="U102" s="288"/>
      <c r="V102" s="294"/>
      <c r="W102" s="287"/>
      <c r="X102" s="288"/>
      <c r="Y102" s="289"/>
      <c r="Z102" s="295"/>
      <c r="AA102" s="288"/>
      <c r="AB102" s="294"/>
      <c r="AC102" s="287"/>
      <c r="AD102" s="288"/>
      <c r="AE102" s="289"/>
      <c r="AF102" s="295"/>
      <c r="AG102" s="288"/>
      <c r="AH102" s="294"/>
      <c r="AI102" s="287"/>
      <c r="AJ102" s="288"/>
      <c r="AK102" s="289"/>
      <c r="AL102" s="295"/>
      <c r="AM102" s="288"/>
      <c r="AN102" s="294"/>
      <c r="AO102" s="287"/>
      <c r="AP102" s="288"/>
      <c r="AQ102" s="289"/>
      <c r="AR102" s="295"/>
      <c r="AS102" s="288"/>
      <c r="AT102" s="294"/>
      <c r="AU102" s="287"/>
      <c r="AV102" s="288"/>
      <c r="AW102" s="289"/>
      <c r="AX102" s="295"/>
      <c r="AY102" s="288"/>
      <c r="AZ102" s="294"/>
      <c r="BA102" s="287"/>
      <c r="BB102" s="288"/>
      <c r="BC102" s="289"/>
      <c r="BD102" s="295"/>
      <c r="BE102" s="288"/>
      <c r="BF102" s="294"/>
      <c r="BG102" s="287"/>
      <c r="BH102" s="288"/>
      <c r="BI102" s="289"/>
      <c r="BJ102" s="295"/>
      <c r="BK102" s="288"/>
      <c r="BL102" s="294"/>
      <c r="BM102" s="287"/>
      <c r="BN102" s="288"/>
      <c r="BO102" s="289"/>
      <c r="BP102" s="295"/>
      <c r="BQ102" s="288"/>
      <c r="BR102" s="294"/>
      <c r="BS102" s="287"/>
      <c r="BT102" s="288"/>
      <c r="BU102" s="289"/>
      <c r="BV102" s="295"/>
      <c r="BW102" s="288"/>
      <c r="BX102" s="294"/>
      <c r="BY102" s="287"/>
      <c r="BZ102" s="288"/>
      <c r="CA102" s="289"/>
      <c r="CB102" s="295"/>
      <c r="CC102" s="288"/>
      <c r="CD102" s="294"/>
      <c r="CE102" s="287"/>
      <c r="CF102" s="288"/>
      <c r="CG102" s="289"/>
      <c r="CH102" s="295"/>
      <c r="CI102" s="288"/>
      <c r="CJ102" s="294"/>
      <c r="CK102" s="287"/>
      <c r="CL102" s="288"/>
      <c r="CM102" s="289"/>
      <c r="CN102" s="295"/>
      <c r="CO102" s="288"/>
      <c r="CP102" s="294"/>
      <c r="CQ102" s="295"/>
      <c r="CR102" s="288"/>
      <c r="CS102" s="294"/>
      <c r="CT102" s="295"/>
      <c r="CU102" s="288"/>
      <c r="CV102" s="294"/>
      <c r="CW102" s="295"/>
      <c r="CX102" s="288"/>
      <c r="CY102" s="294"/>
      <c r="CZ102" s="295"/>
      <c r="DA102" s="288"/>
      <c r="DB102" s="294"/>
      <c r="DC102" s="239"/>
      <c r="DD102" s="43"/>
      <c r="DE102" s="57"/>
      <c r="DF102" s="287"/>
      <c r="DG102" s="288"/>
      <c r="DH102" s="289"/>
      <c r="DI102" s="295"/>
      <c r="DJ102" s="288"/>
      <c r="DK102" s="294"/>
      <c r="DL102" s="287"/>
      <c r="DM102" s="288"/>
      <c r="DN102" s="289"/>
      <c r="DO102" s="295"/>
      <c r="DP102" s="288"/>
      <c r="DQ102" s="294"/>
      <c r="DR102" s="287"/>
      <c r="DS102" s="288"/>
      <c r="DT102" s="289"/>
      <c r="DU102" s="295"/>
      <c r="DV102" s="288"/>
      <c r="DW102" s="294"/>
      <c r="DX102" s="287"/>
      <c r="DY102" s="288"/>
      <c r="DZ102" s="289"/>
      <c r="EA102" s="295"/>
      <c r="EB102" s="288"/>
      <c r="EC102" s="294"/>
      <c r="ED102" s="287"/>
      <c r="EE102" s="288"/>
      <c r="EF102" s="289"/>
      <c r="EG102" s="295"/>
      <c r="EH102" s="288"/>
      <c r="EI102" s="294"/>
      <c r="EJ102" s="287"/>
      <c r="EK102" s="288"/>
      <c r="EL102" s="289"/>
      <c r="EM102" s="295"/>
      <c r="EN102" s="288"/>
      <c r="EO102" s="294"/>
      <c r="EP102" s="287"/>
      <c r="EQ102" s="288"/>
      <c r="ER102" s="289"/>
      <c r="ES102" s="295"/>
      <c r="ET102" s="288"/>
      <c r="EU102" s="294"/>
      <c r="EV102" s="287"/>
      <c r="EW102" s="288"/>
      <c r="EX102" s="289"/>
      <c r="EY102" s="295"/>
      <c r="EZ102" s="288"/>
      <c r="FA102" s="294"/>
      <c r="FB102" s="287"/>
      <c r="FC102" s="288"/>
      <c r="FD102" s="289"/>
      <c r="FE102" s="295"/>
      <c r="FF102" s="288"/>
      <c r="FG102" s="294"/>
      <c r="FH102" s="287"/>
      <c r="FI102" s="288"/>
      <c r="FJ102" s="289"/>
      <c r="FK102" s="295"/>
      <c r="FL102" s="288"/>
      <c r="FM102" s="294"/>
      <c r="FN102" s="287"/>
      <c r="FO102" s="288"/>
      <c r="FP102" s="289"/>
      <c r="FQ102" s="295"/>
      <c r="FR102" s="288"/>
      <c r="FS102" s="294"/>
      <c r="FT102" s="287"/>
      <c r="FU102" s="288"/>
      <c r="FV102" s="289"/>
      <c r="FW102" s="295"/>
      <c r="FX102" s="288"/>
      <c r="FY102" s="294"/>
      <c r="FZ102" s="287"/>
      <c r="GA102" s="288"/>
      <c r="GB102" s="289"/>
      <c r="GC102" s="295"/>
      <c r="GD102" s="288"/>
      <c r="GE102" s="294"/>
      <c r="GF102" s="287"/>
      <c r="GG102" s="288"/>
      <c r="GH102" s="289"/>
      <c r="GI102" s="295"/>
      <c r="GJ102" s="288"/>
      <c r="GK102" s="294"/>
      <c r="GL102" s="287"/>
      <c r="GM102" s="288"/>
      <c r="GN102" s="289"/>
      <c r="GO102" s="295"/>
      <c r="GP102" s="288"/>
      <c r="GQ102" s="294"/>
      <c r="GR102" s="295"/>
      <c r="GS102" s="288"/>
      <c r="GT102" s="294"/>
      <c r="GU102" s="295"/>
      <c r="GV102" s="288"/>
      <c r="GW102" s="294"/>
      <c r="GX102" s="295"/>
      <c r="GY102" s="288"/>
      <c r="GZ102" s="294"/>
      <c r="HA102" s="295"/>
      <c r="HB102" s="288"/>
      <c r="HC102" s="294"/>
      <c r="HD102" s="368">
        <f t="shared" si="111"/>
        <v>0</v>
      </c>
      <c r="HE102" s="369">
        <f t="shared" si="112"/>
        <v>0</v>
      </c>
      <c r="HF102" s="369">
        <f t="shared" si="113"/>
        <v>0</v>
      </c>
      <c r="HG102" s="145">
        <f t="shared" si="15"/>
        <v>0</v>
      </c>
    </row>
    <row r="103" spans="1:215" ht="15.75" thickBot="1">
      <c r="A103" s="238">
        <v>24</v>
      </c>
      <c r="B103" s="239"/>
      <c r="C103" s="43"/>
      <c r="D103" s="57"/>
      <c r="E103" s="287"/>
      <c r="F103" s="288"/>
      <c r="G103" s="289"/>
      <c r="H103" s="295"/>
      <c r="I103" s="288"/>
      <c r="J103" s="294"/>
      <c r="K103" s="287"/>
      <c r="L103" s="288"/>
      <c r="M103" s="289"/>
      <c r="N103" s="295"/>
      <c r="O103" s="288"/>
      <c r="P103" s="294"/>
      <c r="Q103" s="287"/>
      <c r="R103" s="288"/>
      <c r="S103" s="289"/>
      <c r="T103" s="295"/>
      <c r="U103" s="288"/>
      <c r="V103" s="294"/>
      <c r="W103" s="287"/>
      <c r="X103" s="288"/>
      <c r="Y103" s="289"/>
      <c r="Z103" s="295"/>
      <c r="AA103" s="288"/>
      <c r="AB103" s="294"/>
      <c r="AC103" s="287"/>
      <c r="AD103" s="288"/>
      <c r="AE103" s="289"/>
      <c r="AF103" s="295"/>
      <c r="AG103" s="288"/>
      <c r="AH103" s="294"/>
      <c r="AI103" s="287"/>
      <c r="AJ103" s="288"/>
      <c r="AK103" s="289"/>
      <c r="AL103" s="295"/>
      <c r="AM103" s="288"/>
      <c r="AN103" s="294"/>
      <c r="AO103" s="287"/>
      <c r="AP103" s="288"/>
      <c r="AQ103" s="289"/>
      <c r="AR103" s="295"/>
      <c r="AS103" s="288"/>
      <c r="AT103" s="294"/>
      <c r="AU103" s="287"/>
      <c r="AV103" s="288"/>
      <c r="AW103" s="289"/>
      <c r="AX103" s="295"/>
      <c r="AY103" s="288"/>
      <c r="AZ103" s="294"/>
      <c r="BA103" s="287"/>
      <c r="BB103" s="288"/>
      <c r="BC103" s="289"/>
      <c r="BD103" s="295"/>
      <c r="BE103" s="288"/>
      <c r="BF103" s="294"/>
      <c r="BG103" s="287"/>
      <c r="BH103" s="288"/>
      <c r="BI103" s="289"/>
      <c r="BJ103" s="295"/>
      <c r="BK103" s="288"/>
      <c r="BL103" s="294"/>
      <c r="BM103" s="287"/>
      <c r="BN103" s="288"/>
      <c r="BO103" s="289"/>
      <c r="BP103" s="295"/>
      <c r="BQ103" s="288"/>
      <c r="BR103" s="294"/>
      <c r="BS103" s="287"/>
      <c r="BT103" s="288"/>
      <c r="BU103" s="289"/>
      <c r="BV103" s="295"/>
      <c r="BW103" s="288"/>
      <c r="BX103" s="294"/>
      <c r="BY103" s="287"/>
      <c r="BZ103" s="288"/>
      <c r="CA103" s="289"/>
      <c r="CB103" s="295"/>
      <c r="CC103" s="288"/>
      <c r="CD103" s="294"/>
      <c r="CE103" s="287"/>
      <c r="CF103" s="288"/>
      <c r="CG103" s="289"/>
      <c r="CH103" s="295"/>
      <c r="CI103" s="288"/>
      <c r="CJ103" s="294"/>
      <c r="CK103" s="287"/>
      <c r="CL103" s="288"/>
      <c r="CM103" s="289"/>
      <c r="CN103" s="295"/>
      <c r="CO103" s="288"/>
      <c r="CP103" s="294"/>
      <c r="CQ103" s="295"/>
      <c r="CR103" s="288"/>
      <c r="CS103" s="294"/>
      <c r="CT103" s="295"/>
      <c r="CU103" s="288"/>
      <c r="CV103" s="294"/>
      <c r="CW103" s="295"/>
      <c r="CX103" s="288"/>
      <c r="CY103" s="294"/>
      <c r="CZ103" s="295"/>
      <c r="DA103" s="288"/>
      <c r="DB103" s="294"/>
      <c r="DC103" s="239"/>
      <c r="DD103" s="43"/>
      <c r="DE103" s="57"/>
      <c r="DF103" s="287"/>
      <c r="DG103" s="288"/>
      <c r="DH103" s="289"/>
      <c r="DI103" s="295"/>
      <c r="DJ103" s="288"/>
      <c r="DK103" s="294"/>
      <c r="DL103" s="287"/>
      <c r="DM103" s="288"/>
      <c r="DN103" s="289"/>
      <c r="DO103" s="295"/>
      <c r="DP103" s="288"/>
      <c r="DQ103" s="294"/>
      <c r="DR103" s="287"/>
      <c r="DS103" s="288"/>
      <c r="DT103" s="289"/>
      <c r="DU103" s="295"/>
      <c r="DV103" s="288"/>
      <c r="DW103" s="294"/>
      <c r="DX103" s="287"/>
      <c r="DY103" s="288"/>
      <c r="DZ103" s="289"/>
      <c r="EA103" s="295"/>
      <c r="EB103" s="288"/>
      <c r="EC103" s="294"/>
      <c r="ED103" s="287"/>
      <c r="EE103" s="288"/>
      <c r="EF103" s="289"/>
      <c r="EG103" s="295"/>
      <c r="EH103" s="288"/>
      <c r="EI103" s="294"/>
      <c r="EJ103" s="287"/>
      <c r="EK103" s="288"/>
      <c r="EL103" s="289"/>
      <c r="EM103" s="295"/>
      <c r="EN103" s="288"/>
      <c r="EO103" s="294"/>
      <c r="EP103" s="287"/>
      <c r="EQ103" s="288"/>
      <c r="ER103" s="289"/>
      <c r="ES103" s="295"/>
      <c r="ET103" s="288"/>
      <c r="EU103" s="294"/>
      <c r="EV103" s="287"/>
      <c r="EW103" s="288"/>
      <c r="EX103" s="289"/>
      <c r="EY103" s="295"/>
      <c r="EZ103" s="288"/>
      <c r="FA103" s="294"/>
      <c r="FB103" s="287"/>
      <c r="FC103" s="288"/>
      <c r="FD103" s="289"/>
      <c r="FE103" s="295"/>
      <c r="FF103" s="288"/>
      <c r="FG103" s="294"/>
      <c r="FH103" s="287"/>
      <c r="FI103" s="288"/>
      <c r="FJ103" s="289"/>
      <c r="FK103" s="295"/>
      <c r="FL103" s="288"/>
      <c r="FM103" s="294"/>
      <c r="FN103" s="287"/>
      <c r="FO103" s="288"/>
      <c r="FP103" s="289"/>
      <c r="FQ103" s="295"/>
      <c r="FR103" s="288"/>
      <c r="FS103" s="294"/>
      <c r="FT103" s="287"/>
      <c r="FU103" s="288"/>
      <c r="FV103" s="289"/>
      <c r="FW103" s="295"/>
      <c r="FX103" s="288"/>
      <c r="FY103" s="294"/>
      <c r="FZ103" s="287"/>
      <c r="GA103" s="288"/>
      <c r="GB103" s="289"/>
      <c r="GC103" s="295"/>
      <c r="GD103" s="288"/>
      <c r="GE103" s="294"/>
      <c r="GF103" s="287"/>
      <c r="GG103" s="288"/>
      <c r="GH103" s="289"/>
      <c r="GI103" s="295"/>
      <c r="GJ103" s="288"/>
      <c r="GK103" s="294"/>
      <c r="GL103" s="287"/>
      <c r="GM103" s="288"/>
      <c r="GN103" s="289"/>
      <c r="GO103" s="295"/>
      <c r="GP103" s="288"/>
      <c r="GQ103" s="294"/>
      <c r="GR103" s="295"/>
      <c r="GS103" s="288"/>
      <c r="GT103" s="294"/>
      <c r="GU103" s="295"/>
      <c r="GV103" s="288"/>
      <c r="GW103" s="294"/>
      <c r="GX103" s="295"/>
      <c r="GY103" s="288"/>
      <c r="GZ103" s="294"/>
      <c r="HA103" s="295"/>
      <c r="HB103" s="288"/>
      <c r="HC103" s="294"/>
      <c r="HD103" s="368">
        <f t="shared" si="111"/>
        <v>0</v>
      </c>
      <c r="HE103" s="369">
        <f t="shared" si="112"/>
        <v>0</v>
      </c>
      <c r="HF103" s="369">
        <f t="shared" si="113"/>
        <v>0</v>
      </c>
      <c r="HG103" s="145">
        <f t="shared" si="15"/>
        <v>0</v>
      </c>
    </row>
    <row r="104" spans="1:215" ht="15.75" thickBot="1">
      <c r="A104" s="353">
        <v>25</v>
      </c>
      <c r="B104" s="239"/>
      <c r="C104" s="43"/>
      <c r="D104" s="57"/>
      <c r="E104" s="287"/>
      <c r="F104" s="288"/>
      <c r="G104" s="289"/>
      <c r="H104" s="295"/>
      <c r="I104" s="288"/>
      <c r="J104" s="294"/>
      <c r="K104" s="287"/>
      <c r="L104" s="288"/>
      <c r="M104" s="289"/>
      <c r="N104" s="295"/>
      <c r="O104" s="288"/>
      <c r="P104" s="294"/>
      <c r="Q104" s="287"/>
      <c r="R104" s="288"/>
      <c r="S104" s="289"/>
      <c r="T104" s="295"/>
      <c r="U104" s="288"/>
      <c r="V104" s="294"/>
      <c r="W104" s="287"/>
      <c r="X104" s="288"/>
      <c r="Y104" s="289"/>
      <c r="Z104" s="295"/>
      <c r="AA104" s="288"/>
      <c r="AB104" s="294"/>
      <c r="AC104" s="287"/>
      <c r="AD104" s="288"/>
      <c r="AE104" s="289"/>
      <c r="AF104" s="295"/>
      <c r="AG104" s="288"/>
      <c r="AH104" s="294"/>
      <c r="AI104" s="287"/>
      <c r="AJ104" s="288"/>
      <c r="AK104" s="289"/>
      <c r="AL104" s="295"/>
      <c r="AM104" s="288"/>
      <c r="AN104" s="294"/>
      <c r="AO104" s="287"/>
      <c r="AP104" s="288"/>
      <c r="AQ104" s="289"/>
      <c r="AR104" s="295"/>
      <c r="AS104" s="288"/>
      <c r="AT104" s="294"/>
      <c r="AU104" s="287"/>
      <c r="AV104" s="288"/>
      <c r="AW104" s="289"/>
      <c r="AX104" s="295"/>
      <c r="AY104" s="288"/>
      <c r="AZ104" s="294"/>
      <c r="BA104" s="287"/>
      <c r="BB104" s="288"/>
      <c r="BC104" s="289"/>
      <c r="BD104" s="295"/>
      <c r="BE104" s="288"/>
      <c r="BF104" s="294"/>
      <c r="BG104" s="287"/>
      <c r="BH104" s="288"/>
      <c r="BI104" s="289"/>
      <c r="BJ104" s="295"/>
      <c r="BK104" s="288"/>
      <c r="BL104" s="294"/>
      <c r="BM104" s="287"/>
      <c r="BN104" s="288"/>
      <c r="BO104" s="289"/>
      <c r="BP104" s="295"/>
      <c r="BQ104" s="288"/>
      <c r="BR104" s="294"/>
      <c r="BS104" s="287"/>
      <c r="BT104" s="288"/>
      <c r="BU104" s="289"/>
      <c r="BV104" s="295"/>
      <c r="BW104" s="288"/>
      <c r="BX104" s="294"/>
      <c r="BY104" s="287"/>
      <c r="BZ104" s="288"/>
      <c r="CA104" s="289"/>
      <c r="CB104" s="295"/>
      <c r="CC104" s="288"/>
      <c r="CD104" s="294"/>
      <c r="CE104" s="287"/>
      <c r="CF104" s="288"/>
      <c r="CG104" s="289"/>
      <c r="CH104" s="295"/>
      <c r="CI104" s="288"/>
      <c r="CJ104" s="294"/>
      <c r="CK104" s="287"/>
      <c r="CL104" s="288"/>
      <c r="CM104" s="289"/>
      <c r="CN104" s="295"/>
      <c r="CO104" s="288"/>
      <c r="CP104" s="294"/>
      <c r="CQ104" s="295"/>
      <c r="CR104" s="288"/>
      <c r="CS104" s="294"/>
      <c r="CT104" s="295"/>
      <c r="CU104" s="288"/>
      <c r="CV104" s="294"/>
      <c r="CW104" s="295"/>
      <c r="CX104" s="288"/>
      <c r="CY104" s="294"/>
      <c r="CZ104" s="295"/>
      <c r="DA104" s="288"/>
      <c r="DB104" s="294"/>
      <c r="DC104" s="239"/>
      <c r="DD104" s="43"/>
      <c r="DE104" s="57"/>
      <c r="DF104" s="287"/>
      <c r="DG104" s="288"/>
      <c r="DH104" s="289"/>
      <c r="DI104" s="295"/>
      <c r="DJ104" s="288"/>
      <c r="DK104" s="294"/>
      <c r="DL104" s="287"/>
      <c r="DM104" s="288"/>
      <c r="DN104" s="289"/>
      <c r="DO104" s="295"/>
      <c r="DP104" s="288"/>
      <c r="DQ104" s="294"/>
      <c r="DR104" s="287"/>
      <c r="DS104" s="288"/>
      <c r="DT104" s="289"/>
      <c r="DU104" s="295"/>
      <c r="DV104" s="288"/>
      <c r="DW104" s="294"/>
      <c r="DX104" s="287"/>
      <c r="DY104" s="288"/>
      <c r="DZ104" s="289"/>
      <c r="EA104" s="295"/>
      <c r="EB104" s="288"/>
      <c r="EC104" s="294"/>
      <c r="ED104" s="287"/>
      <c r="EE104" s="288"/>
      <c r="EF104" s="289"/>
      <c r="EG104" s="295"/>
      <c r="EH104" s="288"/>
      <c r="EI104" s="294"/>
      <c r="EJ104" s="287"/>
      <c r="EK104" s="288"/>
      <c r="EL104" s="289"/>
      <c r="EM104" s="295"/>
      <c r="EN104" s="288"/>
      <c r="EO104" s="294"/>
      <c r="EP104" s="287"/>
      <c r="EQ104" s="288"/>
      <c r="ER104" s="289"/>
      <c r="ES104" s="295"/>
      <c r="ET104" s="288"/>
      <c r="EU104" s="294"/>
      <c r="EV104" s="287"/>
      <c r="EW104" s="288"/>
      <c r="EX104" s="289"/>
      <c r="EY104" s="295"/>
      <c r="EZ104" s="288"/>
      <c r="FA104" s="294"/>
      <c r="FB104" s="287"/>
      <c r="FC104" s="288"/>
      <c r="FD104" s="289"/>
      <c r="FE104" s="295"/>
      <c r="FF104" s="288"/>
      <c r="FG104" s="294"/>
      <c r="FH104" s="287"/>
      <c r="FI104" s="288"/>
      <c r="FJ104" s="289"/>
      <c r="FK104" s="295"/>
      <c r="FL104" s="288"/>
      <c r="FM104" s="294"/>
      <c r="FN104" s="287"/>
      <c r="FO104" s="288"/>
      <c r="FP104" s="289"/>
      <c r="FQ104" s="295"/>
      <c r="FR104" s="288"/>
      <c r="FS104" s="294"/>
      <c r="FT104" s="287"/>
      <c r="FU104" s="288"/>
      <c r="FV104" s="289"/>
      <c r="FW104" s="295"/>
      <c r="FX104" s="288"/>
      <c r="FY104" s="294"/>
      <c r="FZ104" s="287"/>
      <c r="GA104" s="288"/>
      <c r="GB104" s="289"/>
      <c r="GC104" s="295"/>
      <c r="GD104" s="288"/>
      <c r="GE104" s="294"/>
      <c r="GF104" s="287"/>
      <c r="GG104" s="288"/>
      <c r="GH104" s="289"/>
      <c r="GI104" s="295"/>
      <c r="GJ104" s="288"/>
      <c r="GK104" s="294"/>
      <c r="GL104" s="287"/>
      <c r="GM104" s="288"/>
      <c r="GN104" s="289"/>
      <c r="GO104" s="295"/>
      <c r="GP104" s="288"/>
      <c r="GQ104" s="294"/>
      <c r="GR104" s="295"/>
      <c r="GS104" s="288"/>
      <c r="GT104" s="294"/>
      <c r="GU104" s="295"/>
      <c r="GV104" s="288"/>
      <c r="GW104" s="294"/>
      <c r="GX104" s="295"/>
      <c r="GY104" s="288"/>
      <c r="GZ104" s="294"/>
      <c r="HA104" s="295"/>
      <c r="HB104" s="288"/>
      <c r="HC104" s="294"/>
      <c r="HD104" s="368">
        <f t="shared" si="111"/>
        <v>0</v>
      </c>
      <c r="HE104" s="369">
        <f t="shared" si="112"/>
        <v>0</v>
      </c>
      <c r="HF104" s="369">
        <f t="shared" si="113"/>
        <v>0</v>
      </c>
      <c r="HG104" s="145">
        <f t="shared" si="15"/>
        <v>0</v>
      </c>
    </row>
    <row r="105" spans="1:215" ht="15.75" thickBot="1">
      <c r="A105" s="238">
        <v>26</v>
      </c>
      <c r="B105" s="239"/>
      <c r="C105" s="43"/>
      <c r="D105" s="57"/>
      <c r="E105" s="287"/>
      <c r="F105" s="288"/>
      <c r="G105" s="289"/>
      <c r="H105" s="295"/>
      <c r="I105" s="288"/>
      <c r="J105" s="294"/>
      <c r="K105" s="287"/>
      <c r="L105" s="288"/>
      <c r="M105" s="289"/>
      <c r="N105" s="295"/>
      <c r="O105" s="288"/>
      <c r="P105" s="294"/>
      <c r="Q105" s="287"/>
      <c r="R105" s="288"/>
      <c r="S105" s="289"/>
      <c r="T105" s="295"/>
      <c r="U105" s="288"/>
      <c r="V105" s="294"/>
      <c r="W105" s="287"/>
      <c r="X105" s="288"/>
      <c r="Y105" s="289"/>
      <c r="Z105" s="295"/>
      <c r="AA105" s="288"/>
      <c r="AB105" s="294"/>
      <c r="AC105" s="287"/>
      <c r="AD105" s="288"/>
      <c r="AE105" s="289"/>
      <c r="AF105" s="295"/>
      <c r="AG105" s="288"/>
      <c r="AH105" s="294"/>
      <c r="AI105" s="287"/>
      <c r="AJ105" s="288"/>
      <c r="AK105" s="289"/>
      <c r="AL105" s="295"/>
      <c r="AM105" s="288"/>
      <c r="AN105" s="294"/>
      <c r="AO105" s="287"/>
      <c r="AP105" s="288"/>
      <c r="AQ105" s="289"/>
      <c r="AR105" s="295"/>
      <c r="AS105" s="288"/>
      <c r="AT105" s="294"/>
      <c r="AU105" s="287"/>
      <c r="AV105" s="288"/>
      <c r="AW105" s="289"/>
      <c r="AX105" s="295"/>
      <c r="AY105" s="288"/>
      <c r="AZ105" s="294"/>
      <c r="BA105" s="287"/>
      <c r="BB105" s="288"/>
      <c r="BC105" s="289"/>
      <c r="BD105" s="295"/>
      <c r="BE105" s="288"/>
      <c r="BF105" s="294"/>
      <c r="BG105" s="287"/>
      <c r="BH105" s="288"/>
      <c r="BI105" s="289"/>
      <c r="BJ105" s="295"/>
      <c r="BK105" s="288"/>
      <c r="BL105" s="294"/>
      <c r="BM105" s="287"/>
      <c r="BN105" s="288"/>
      <c r="BO105" s="289"/>
      <c r="BP105" s="295"/>
      <c r="BQ105" s="288"/>
      <c r="BR105" s="294"/>
      <c r="BS105" s="287"/>
      <c r="BT105" s="288"/>
      <c r="BU105" s="289"/>
      <c r="BV105" s="295"/>
      <c r="BW105" s="288"/>
      <c r="BX105" s="294"/>
      <c r="BY105" s="287"/>
      <c r="BZ105" s="288"/>
      <c r="CA105" s="289"/>
      <c r="CB105" s="295"/>
      <c r="CC105" s="288"/>
      <c r="CD105" s="294"/>
      <c r="CE105" s="287"/>
      <c r="CF105" s="288"/>
      <c r="CG105" s="289"/>
      <c r="CH105" s="295"/>
      <c r="CI105" s="288"/>
      <c r="CJ105" s="294"/>
      <c r="CK105" s="287"/>
      <c r="CL105" s="288"/>
      <c r="CM105" s="289"/>
      <c r="CN105" s="295"/>
      <c r="CO105" s="288"/>
      <c r="CP105" s="294"/>
      <c r="CQ105" s="295"/>
      <c r="CR105" s="288"/>
      <c r="CS105" s="294"/>
      <c r="CT105" s="295"/>
      <c r="CU105" s="288"/>
      <c r="CV105" s="294"/>
      <c r="CW105" s="295"/>
      <c r="CX105" s="288"/>
      <c r="CY105" s="294"/>
      <c r="CZ105" s="295"/>
      <c r="DA105" s="288"/>
      <c r="DB105" s="294"/>
      <c r="DC105" s="239"/>
      <c r="DD105" s="43"/>
      <c r="DE105" s="57"/>
      <c r="DF105" s="287"/>
      <c r="DG105" s="288"/>
      <c r="DH105" s="289"/>
      <c r="DI105" s="295"/>
      <c r="DJ105" s="288"/>
      <c r="DK105" s="294"/>
      <c r="DL105" s="287"/>
      <c r="DM105" s="288"/>
      <c r="DN105" s="289"/>
      <c r="DO105" s="295"/>
      <c r="DP105" s="288"/>
      <c r="DQ105" s="294"/>
      <c r="DR105" s="287"/>
      <c r="DS105" s="288"/>
      <c r="DT105" s="289"/>
      <c r="DU105" s="295"/>
      <c r="DV105" s="288"/>
      <c r="DW105" s="294"/>
      <c r="DX105" s="287"/>
      <c r="DY105" s="288"/>
      <c r="DZ105" s="289"/>
      <c r="EA105" s="295"/>
      <c r="EB105" s="288"/>
      <c r="EC105" s="294"/>
      <c r="ED105" s="287"/>
      <c r="EE105" s="288"/>
      <c r="EF105" s="289"/>
      <c r="EG105" s="295"/>
      <c r="EH105" s="288"/>
      <c r="EI105" s="294"/>
      <c r="EJ105" s="287"/>
      <c r="EK105" s="288"/>
      <c r="EL105" s="289"/>
      <c r="EM105" s="295"/>
      <c r="EN105" s="288"/>
      <c r="EO105" s="294"/>
      <c r="EP105" s="287"/>
      <c r="EQ105" s="288"/>
      <c r="ER105" s="289"/>
      <c r="ES105" s="295"/>
      <c r="ET105" s="288"/>
      <c r="EU105" s="294"/>
      <c r="EV105" s="287"/>
      <c r="EW105" s="288"/>
      <c r="EX105" s="289"/>
      <c r="EY105" s="295"/>
      <c r="EZ105" s="288"/>
      <c r="FA105" s="294"/>
      <c r="FB105" s="287"/>
      <c r="FC105" s="288"/>
      <c r="FD105" s="289"/>
      <c r="FE105" s="295"/>
      <c r="FF105" s="288"/>
      <c r="FG105" s="294"/>
      <c r="FH105" s="287"/>
      <c r="FI105" s="288"/>
      <c r="FJ105" s="289"/>
      <c r="FK105" s="295"/>
      <c r="FL105" s="288"/>
      <c r="FM105" s="294"/>
      <c r="FN105" s="287"/>
      <c r="FO105" s="288"/>
      <c r="FP105" s="289"/>
      <c r="FQ105" s="295"/>
      <c r="FR105" s="288"/>
      <c r="FS105" s="294"/>
      <c r="FT105" s="287"/>
      <c r="FU105" s="288"/>
      <c r="FV105" s="289"/>
      <c r="FW105" s="295"/>
      <c r="FX105" s="288"/>
      <c r="FY105" s="294"/>
      <c r="FZ105" s="287"/>
      <c r="GA105" s="288"/>
      <c r="GB105" s="289"/>
      <c r="GC105" s="295"/>
      <c r="GD105" s="288"/>
      <c r="GE105" s="294"/>
      <c r="GF105" s="287"/>
      <c r="GG105" s="288"/>
      <c r="GH105" s="289"/>
      <c r="GI105" s="295"/>
      <c r="GJ105" s="288"/>
      <c r="GK105" s="294"/>
      <c r="GL105" s="287"/>
      <c r="GM105" s="288"/>
      <c r="GN105" s="289"/>
      <c r="GO105" s="295"/>
      <c r="GP105" s="288"/>
      <c r="GQ105" s="294"/>
      <c r="GR105" s="295"/>
      <c r="GS105" s="288"/>
      <c r="GT105" s="294"/>
      <c r="GU105" s="295"/>
      <c r="GV105" s="288"/>
      <c r="GW105" s="294"/>
      <c r="GX105" s="295"/>
      <c r="GY105" s="288"/>
      <c r="GZ105" s="294"/>
      <c r="HA105" s="295"/>
      <c r="HB105" s="288"/>
      <c r="HC105" s="294"/>
      <c r="HD105" s="368">
        <f t="shared" si="111"/>
        <v>0</v>
      </c>
      <c r="HE105" s="369">
        <f t="shared" si="112"/>
        <v>0</v>
      </c>
      <c r="HF105" s="369">
        <f t="shared" si="113"/>
        <v>0</v>
      </c>
      <c r="HG105" s="145">
        <f t="shared" si="15"/>
        <v>0</v>
      </c>
    </row>
    <row r="106" spans="1:215" ht="15.75" thickBot="1">
      <c r="A106" s="238">
        <v>27</v>
      </c>
      <c r="B106" s="239"/>
      <c r="C106" s="43"/>
      <c r="D106" s="57"/>
      <c r="E106" s="287"/>
      <c r="F106" s="288"/>
      <c r="G106" s="289"/>
      <c r="H106" s="295"/>
      <c r="I106" s="288"/>
      <c r="J106" s="294"/>
      <c r="K106" s="287"/>
      <c r="L106" s="288"/>
      <c r="M106" s="289"/>
      <c r="N106" s="295"/>
      <c r="O106" s="288"/>
      <c r="P106" s="294"/>
      <c r="Q106" s="287"/>
      <c r="R106" s="288"/>
      <c r="S106" s="289"/>
      <c r="T106" s="295"/>
      <c r="U106" s="288"/>
      <c r="V106" s="294"/>
      <c r="W106" s="287"/>
      <c r="X106" s="288"/>
      <c r="Y106" s="289"/>
      <c r="Z106" s="295"/>
      <c r="AA106" s="288"/>
      <c r="AB106" s="294"/>
      <c r="AC106" s="287"/>
      <c r="AD106" s="288"/>
      <c r="AE106" s="289"/>
      <c r="AF106" s="295"/>
      <c r="AG106" s="288"/>
      <c r="AH106" s="294"/>
      <c r="AI106" s="287"/>
      <c r="AJ106" s="288"/>
      <c r="AK106" s="289"/>
      <c r="AL106" s="295"/>
      <c r="AM106" s="288"/>
      <c r="AN106" s="294"/>
      <c r="AO106" s="287"/>
      <c r="AP106" s="288"/>
      <c r="AQ106" s="289"/>
      <c r="AR106" s="295"/>
      <c r="AS106" s="288"/>
      <c r="AT106" s="294"/>
      <c r="AU106" s="287"/>
      <c r="AV106" s="288"/>
      <c r="AW106" s="289"/>
      <c r="AX106" s="295"/>
      <c r="AY106" s="288"/>
      <c r="AZ106" s="294"/>
      <c r="BA106" s="287"/>
      <c r="BB106" s="288"/>
      <c r="BC106" s="289"/>
      <c r="BD106" s="295"/>
      <c r="BE106" s="288"/>
      <c r="BF106" s="294"/>
      <c r="BG106" s="287"/>
      <c r="BH106" s="288"/>
      <c r="BI106" s="289"/>
      <c r="BJ106" s="295"/>
      <c r="BK106" s="288"/>
      <c r="BL106" s="294"/>
      <c r="BM106" s="287"/>
      <c r="BN106" s="288"/>
      <c r="BO106" s="289"/>
      <c r="BP106" s="295"/>
      <c r="BQ106" s="288"/>
      <c r="BR106" s="294"/>
      <c r="BS106" s="287"/>
      <c r="BT106" s="288"/>
      <c r="BU106" s="289"/>
      <c r="BV106" s="295"/>
      <c r="BW106" s="288"/>
      <c r="BX106" s="294"/>
      <c r="BY106" s="287"/>
      <c r="BZ106" s="288"/>
      <c r="CA106" s="289"/>
      <c r="CB106" s="295"/>
      <c r="CC106" s="288"/>
      <c r="CD106" s="294"/>
      <c r="CE106" s="287"/>
      <c r="CF106" s="288"/>
      <c r="CG106" s="289"/>
      <c r="CH106" s="295"/>
      <c r="CI106" s="288"/>
      <c r="CJ106" s="294"/>
      <c r="CK106" s="287"/>
      <c r="CL106" s="288"/>
      <c r="CM106" s="289"/>
      <c r="CN106" s="295"/>
      <c r="CO106" s="288"/>
      <c r="CP106" s="294"/>
      <c r="CQ106" s="295"/>
      <c r="CR106" s="288"/>
      <c r="CS106" s="294"/>
      <c r="CT106" s="295"/>
      <c r="CU106" s="288"/>
      <c r="CV106" s="294"/>
      <c r="CW106" s="295"/>
      <c r="CX106" s="288"/>
      <c r="CY106" s="294"/>
      <c r="CZ106" s="295"/>
      <c r="DA106" s="288"/>
      <c r="DB106" s="294"/>
      <c r="DC106" s="239"/>
      <c r="DD106" s="43"/>
      <c r="DE106" s="57"/>
      <c r="DF106" s="287"/>
      <c r="DG106" s="288"/>
      <c r="DH106" s="289"/>
      <c r="DI106" s="295"/>
      <c r="DJ106" s="288"/>
      <c r="DK106" s="294"/>
      <c r="DL106" s="287"/>
      <c r="DM106" s="288"/>
      <c r="DN106" s="289"/>
      <c r="DO106" s="295"/>
      <c r="DP106" s="288"/>
      <c r="DQ106" s="294"/>
      <c r="DR106" s="287"/>
      <c r="DS106" s="288"/>
      <c r="DT106" s="289"/>
      <c r="DU106" s="295"/>
      <c r="DV106" s="288"/>
      <c r="DW106" s="294"/>
      <c r="DX106" s="287"/>
      <c r="DY106" s="288"/>
      <c r="DZ106" s="289"/>
      <c r="EA106" s="295"/>
      <c r="EB106" s="288"/>
      <c r="EC106" s="294"/>
      <c r="ED106" s="287"/>
      <c r="EE106" s="288"/>
      <c r="EF106" s="289"/>
      <c r="EG106" s="295"/>
      <c r="EH106" s="288"/>
      <c r="EI106" s="294"/>
      <c r="EJ106" s="287"/>
      <c r="EK106" s="288"/>
      <c r="EL106" s="289"/>
      <c r="EM106" s="295"/>
      <c r="EN106" s="288"/>
      <c r="EO106" s="294"/>
      <c r="EP106" s="287"/>
      <c r="EQ106" s="288"/>
      <c r="ER106" s="289"/>
      <c r="ES106" s="295"/>
      <c r="ET106" s="288"/>
      <c r="EU106" s="294"/>
      <c r="EV106" s="287"/>
      <c r="EW106" s="288"/>
      <c r="EX106" s="289"/>
      <c r="EY106" s="295"/>
      <c r="EZ106" s="288"/>
      <c r="FA106" s="294"/>
      <c r="FB106" s="287"/>
      <c r="FC106" s="288"/>
      <c r="FD106" s="289"/>
      <c r="FE106" s="295"/>
      <c r="FF106" s="288"/>
      <c r="FG106" s="294"/>
      <c r="FH106" s="287"/>
      <c r="FI106" s="288"/>
      <c r="FJ106" s="289"/>
      <c r="FK106" s="295"/>
      <c r="FL106" s="288"/>
      <c r="FM106" s="294"/>
      <c r="FN106" s="287"/>
      <c r="FO106" s="288"/>
      <c r="FP106" s="289"/>
      <c r="FQ106" s="295"/>
      <c r="FR106" s="288"/>
      <c r="FS106" s="294"/>
      <c r="FT106" s="287"/>
      <c r="FU106" s="288"/>
      <c r="FV106" s="289"/>
      <c r="FW106" s="295"/>
      <c r="FX106" s="288"/>
      <c r="FY106" s="294"/>
      <c r="FZ106" s="287"/>
      <c r="GA106" s="288"/>
      <c r="GB106" s="289"/>
      <c r="GC106" s="295"/>
      <c r="GD106" s="288"/>
      <c r="GE106" s="294"/>
      <c r="GF106" s="287"/>
      <c r="GG106" s="288"/>
      <c r="GH106" s="289"/>
      <c r="GI106" s="295"/>
      <c r="GJ106" s="288"/>
      <c r="GK106" s="294"/>
      <c r="GL106" s="287"/>
      <c r="GM106" s="288"/>
      <c r="GN106" s="289"/>
      <c r="GO106" s="295"/>
      <c r="GP106" s="288"/>
      <c r="GQ106" s="294"/>
      <c r="GR106" s="295"/>
      <c r="GS106" s="288"/>
      <c r="GT106" s="294"/>
      <c r="GU106" s="295"/>
      <c r="GV106" s="288"/>
      <c r="GW106" s="294"/>
      <c r="GX106" s="295"/>
      <c r="GY106" s="288"/>
      <c r="GZ106" s="294"/>
      <c r="HA106" s="295"/>
      <c r="HB106" s="288"/>
      <c r="HC106" s="294"/>
      <c r="HD106" s="368">
        <f t="shared" si="111"/>
        <v>0</v>
      </c>
      <c r="HE106" s="369">
        <f t="shared" si="112"/>
        <v>0</v>
      </c>
      <c r="HF106" s="369">
        <f t="shared" si="113"/>
        <v>0</v>
      </c>
      <c r="HG106" s="145">
        <f t="shared" si="15"/>
        <v>0</v>
      </c>
    </row>
    <row r="107" spans="1:215" ht="15.75" thickBot="1">
      <c r="A107" s="353">
        <v>28</v>
      </c>
      <c r="B107" s="239"/>
      <c r="C107" s="43"/>
      <c r="D107" s="57"/>
      <c r="E107" s="287"/>
      <c r="F107" s="288"/>
      <c r="G107" s="289"/>
      <c r="H107" s="295"/>
      <c r="I107" s="288"/>
      <c r="J107" s="294"/>
      <c r="K107" s="287"/>
      <c r="L107" s="288"/>
      <c r="M107" s="289"/>
      <c r="N107" s="295"/>
      <c r="O107" s="288"/>
      <c r="P107" s="294"/>
      <c r="Q107" s="287"/>
      <c r="R107" s="288"/>
      <c r="S107" s="289"/>
      <c r="T107" s="295"/>
      <c r="U107" s="288"/>
      <c r="V107" s="294"/>
      <c r="W107" s="287"/>
      <c r="X107" s="288"/>
      <c r="Y107" s="289"/>
      <c r="Z107" s="295"/>
      <c r="AA107" s="288"/>
      <c r="AB107" s="294"/>
      <c r="AC107" s="287"/>
      <c r="AD107" s="288"/>
      <c r="AE107" s="289"/>
      <c r="AF107" s="295"/>
      <c r="AG107" s="288"/>
      <c r="AH107" s="294"/>
      <c r="AI107" s="287"/>
      <c r="AJ107" s="288"/>
      <c r="AK107" s="289"/>
      <c r="AL107" s="295"/>
      <c r="AM107" s="288"/>
      <c r="AN107" s="294"/>
      <c r="AO107" s="287"/>
      <c r="AP107" s="288"/>
      <c r="AQ107" s="289"/>
      <c r="AR107" s="295"/>
      <c r="AS107" s="288"/>
      <c r="AT107" s="294"/>
      <c r="AU107" s="287"/>
      <c r="AV107" s="288"/>
      <c r="AW107" s="289"/>
      <c r="AX107" s="295"/>
      <c r="AY107" s="288"/>
      <c r="AZ107" s="294"/>
      <c r="BA107" s="287"/>
      <c r="BB107" s="288"/>
      <c r="BC107" s="289"/>
      <c r="BD107" s="295"/>
      <c r="BE107" s="288"/>
      <c r="BF107" s="294"/>
      <c r="BG107" s="287"/>
      <c r="BH107" s="288"/>
      <c r="BI107" s="289"/>
      <c r="BJ107" s="295"/>
      <c r="BK107" s="288"/>
      <c r="BL107" s="294"/>
      <c r="BM107" s="287"/>
      <c r="BN107" s="288"/>
      <c r="BO107" s="289"/>
      <c r="BP107" s="295"/>
      <c r="BQ107" s="288"/>
      <c r="BR107" s="294"/>
      <c r="BS107" s="287"/>
      <c r="BT107" s="288"/>
      <c r="BU107" s="289"/>
      <c r="BV107" s="295"/>
      <c r="BW107" s="288"/>
      <c r="BX107" s="294"/>
      <c r="BY107" s="287"/>
      <c r="BZ107" s="288"/>
      <c r="CA107" s="289"/>
      <c r="CB107" s="295"/>
      <c r="CC107" s="288"/>
      <c r="CD107" s="294"/>
      <c r="CE107" s="287"/>
      <c r="CF107" s="288"/>
      <c r="CG107" s="289"/>
      <c r="CH107" s="295"/>
      <c r="CI107" s="288"/>
      <c r="CJ107" s="294"/>
      <c r="CK107" s="287"/>
      <c r="CL107" s="288"/>
      <c r="CM107" s="289"/>
      <c r="CN107" s="295"/>
      <c r="CO107" s="288"/>
      <c r="CP107" s="294"/>
      <c r="CQ107" s="295"/>
      <c r="CR107" s="288"/>
      <c r="CS107" s="294"/>
      <c r="CT107" s="295"/>
      <c r="CU107" s="288"/>
      <c r="CV107" s="294"/>
      <c r="CW107" s="295"/>
      <c r="CX107" s="288"/>
      <c r="CY107" s="294"/>
      <c r="CZ107" s="295"/>
      <c r="DA107" s="288"/>
      <c r="DB107" s="294"/>
      <c r="DC107" s="239"/>
      <c r="DD107" s="43"/>
      <c r="DE107" s="57"/>
      <c r="DF107" s="287"/>
      <c r="DG107" s="288"/>
      <c r="DH107" s="289"/>
      <c r="DI107" s="295"/>
      <c r="DJ107" s="288"/>
      <c r="DK107" s="294"/>
      <c r="DL107" s="287"/>
      <c r="DM107" s="288"/>
      <c r="DN107" s="289"/>
      <c r="DO107" s="295"/>
      <c r="DP107" s="288"/>
      <c r="DQ107" s="294"/>
      <c r="DR107" s="287"/>
      <c r="DS107" s="288"/>
      <c r="DT107" s="289"/>
      <c r="DU107" s="295"/>
      <c r="DV107" s="288"/>
      <c r="DW107" s="294"/>
      <c r="DX107" s="287"/>
      <c r="DY107" s="288"/>
      <c r="DZ107" s="289"/>
      <c r="EA107" s="295"/>
      <c r="EB107" s="288"/>
      <c r="EC107" s="294"/>
      <c r="ED107" s="287"/>
      <c r="EE107" s="288"/>
      <c r="EF107" s="289"/>
      <c r="EG107" s="295"/>
      <c r="EH107" s="288"/>
      <c r="EI107" s="294"/>
      <c r="EJ107" s="287"/>
      <c r="EK107" s="288"/>
      <c r="EL107" s="289"/>
      <c r="EM107" s="295"/>
      <c r="EN107" s="288"/>
      <c r="EO107" s="294"/>
      <c r="EP107" s="287"/>
      <c r="EQ107" s="288"/>
      <c r="ER107" s="289"/>
      <c r="ES107" s="295"/>
      <c r="ET107" s="288"/>
      <c r="EU107" s="294"/>
      <c r="EV107" s="287"/>
      <c r="EW107" s="288"/>
      <c r="EX107" s="289"/>
      <c r="EY107" s="295"/>
      <c r="EZ107" s="288"/>
      <c r="FA107" s="294"/>
      <c r="FB107" s="287"/>
      <c r="FC107" s="288"/>
      <c r="FD107" s="289"/>
      <c r="FE107" s="295"/>
      <c r="FF107" s="288"/>
      <c r="FG107" s="294"/>
      <c r="FH107" s="287"/>
      <c r="FI107" s="288"/>
      <c r="FJ107" s="289"/>
      <c r="FK107" s="295"/>
      <c r="FL107" s="288"/>
      <c r="FM107" s="294"/>
      <c r="FN107" s="287"/>
      <c r="FO107" s="288"/>
      <c r="FP107" s="289"/>
      <c r="FQ107" s="295"/>
      <c r="FR107" s="288"/>
      <c r="FS107" s="294"/>
      <c r="FT107" s="287"/>
      <c r="FU107" s="288"/>
      <c r="FV107" s="289"/>
      <c r="FW107" s="295"/>
      <c r="FX107" s="288"/>
      <c r="FY107" s="294"/>
      <c r="FZ107" s="287"/>
      <c r="GA107" s="288"/>
      <c r="GB107" s="289"/>
      <c r="GC107" s="295"/>
      <c r="GD107" s="288"/>
      <c r="GE107" s="294"/>
      <c r="GF107" s="287"/>
      <c r="GG107" s="288"/>
      <c r="GH107" s="289"/>
      <c r="GI107" s="295"/>
      <c r="GJ107" s="288"/>
      <c r="GK107" s="294"/>
      <c r="GL107" s="287"/>
      <c r="GM107" s="288"/>
      <c r="GN107" s="289"/>
      <c r="GO107" s="295"/>
      <c r="GP107" s="288"/>
      <c r="GQ107" s="294"/>
      <c r="GR107" s="295"/>
      <c r="GS107" s="288"/>
      <c r="GT107" s="294"/>
      <c r="GU107" s="295"/>
      <c r="GV107" s="288"/>
      <c r="GW107" s="294"/>
      <c r="GX107" s="295"/>
      <c r="GY107" s="288"/>
      <c r="GZ107" s="294"/>
      <c r="HA107" s="295"/>
      <c r="HB107" s="288"/>
      <c r="HC107" s="294"/>
      <c r="HD107" s="368">
        <f t="shared" si="111"/>
        <v>0</v>
      </c>
      <c r="HE107" s="369">
        <f t="shared" si="112"/>
        <v>0</v>
      </c>
      <c r="HF107" s="369">
        <f t="shared" si="113"/>
        <v>0</v>
      </c>
      <c r="HG107" s="145">
        <f t="shared" si="15"/>
        <v>0</v>
      </c>
    </row>
    <row r="108" spans="1:215" ht="15.75" thickBot="1">
      <c r="A108" s="238">
        <v>29</v>
      </c>
      <c r="B108" s="239"/>
      <c r="C108" s="43"/>
      <c r="D108" s="57"/>
      <c r="E108" s="287"/>
      <c r="F108" s="288"/>
      <c r="G108" s="289"/>
      <c r="H108" s="295"/>
      <c r="I108" s="288"/>
      <c r="J108" s="294"/>
      <c r="K108" s="287"/>
      <c r="L108" s="288"/>
      <c r="M108" s="289"/>
      <c r="N108" s="295"/>
      <c r="O108" s="288"/>
      <c r="P108" s="294"/>
      <c r="Q108" s="287"/>
      <c r="R108" s="288"/>
      <c r="S108" s="289"/>
      <c r="T108" s="295"/>
      <c r="U108" s="288"/>
      <c r="V108" s="294"/>
      <c r="W108" s="287"/>
      <c r="X108" s="288"/>
      <c r="Y108" s="289"/>
      <c r="Z108" s="295"/>
      <c r="AA108" s="288"/>
      <c r="AB108" s="294"/>
      <c r="AC108" s="287"/>
      <c r="AD108" s="288"/>
      <c r="AE108" s="289"/>
      <c r="AF108" s="295"/>
      <c r="AG108" s="288"/>
      <c r="AH108" s="294"/>
      <c r="AI108" s="287"/>
      <c r="AJ108" s="288"/>
      <c r="AK108" s="289"/>
      <c r="AL108" s="295"/>
      <c r="AM108" s="288"/>
      <c r="AN108" s="294"/>
      <c r="AO108" s="287"/>
      <c r="AP108" s="288"/>
      <c r="AQ108" s="289"/>
      <c r="AR108" s="295"/>
      <c r="AS108" s="288"/>
      <c r="AT108" s="294"/>
      <c r="AU108" s="287"/>
      <c r="AV108" s="288"/>
      <c r="AW108" s="289"/>
      <c r="AX108" s="295"/>
      <c r="AY108" s="288"/>
      <c r="AZ108" s="294"/>
      <c r="BA108" s="287"/>
      <c r="BB108" s="288"/>
      <c r="BC108" s="289"/>
      <c r="BD108" s="295"/>
      <c r="BE108" s="288"/>
      <c r="BF108" s="294"/>
      <c r="BG108" s="287"/>
      <c r="BH108" s="288"/>
      <c r="BI108" s="289"/>
      <c r="BJ108" s="295"/>
      <c r="BK108" s="288"/>
      <c r="BL108" s="294"/>
      <c r="BM108" s="287"/>
      <c r="BN108" s="288"/>
      <c r="BO108" s="289"/>
      <c r="BP108" s="295"/>
      <c r="BQ108" s="288"/>
      <c r="BR108" s="294"/>
      <c r="BS108" s="287"/>
      <c r="BT108" s="288"/>
      <c r="BU108" s="289"/>
      <c r="BV108" s="295"/>
      <c r="BW108" s="288"/>
      <c r="BX108" s="294"/>
      <c r="BY108" s="287"/>
      <c r="BZ108" s="288"/>
      <c r="CA108" s="289"/>
      <c r="CB108" s="295"/>
      <c r="CC108" s="288"/>
      <c r="CD108" s="294"/>
      <c r="CE108" s="287"/>
      <c r="CF108" s="288"/>
      <c r="CG108" s="289"/>
      <c r="CH108" s="295"/>
      <c r="CI108" s="288"/>
      <c r="CJ108" s="294"/>
      <c r="CK108" s="287"/>
      <c r="CL108" s="288"/>
      <c r="CM108" s="289"/>
      <c r="CN108" s="295"/>
      <c r="CO108" s="288"/>
      <c r="CP108" s="294"/>
      <c r="CQ108" s="295"/>
      <c r="CR108" s="288"/>
      <c r="CS108" s="294"/>
      <c r="CT108" s="295"/>
      <c r="CU108" s="288"/>
      <c r="CV108" s="294"/>
      <c r="CW108" s="295"/>
      <c r="CX108" s="288"/>
      <c r="CY108" s="294"/>
      <c r="CZ108" s="295"/>
      <c r="DA108" s="288"/>
      <c r="DB108" s="294"/>
      <c r="DC108" s="239"/>
      <c r="DD108" s="43"/>
      <c r="DE108" s="57"/>
      <c r="DF108" s="287"/>
      <c r="DG108" s="288"/>
      <c r="DH108" s="289"/>
      <c r="DI108" s="295"/>
      <c r="DJ108" s="288"/>
      <c r="DK108" s="294"/>
      <c r="DL108" s="287"/>
      <c r="DM108" s="288"/>
      <c r="DN108" s="289"/>
      <c r="DO108" s="295"/>
      <c r="DP108" s="288"/>
      <c r="DQ108" s="294"/>
      <c r="DR108" s="287"/>
      <c r="DS108" s="288"/>
      <c r="DT108" s="289"/>
      <c r="DU108" s="295"/>
      <c r="DV108" s="288"/>
      <c r="DW108" s="294"/>
      <c r="DX108" s="287"/>
      <c r="DY108" s="288"/>
      <c r="DZ108" s="289"/>
      <c r="EA108" s="295"/>
      <c r="EB108" s="288"/>
      <c r="EC108" s="294"/>
      <c r="ED108" s="287"/>
      <c r="EE108" s="288"/>
      <c r="EF108" s="289"/>
      <c r="EG108" s="295"/>
      <c r="EH108" s="288"/>
      <c r="EI108" s="294"/>
      <c r="EJ108" s="287"/>
      <c r="EK108" s="288"/>
      <c r="EL108" s="289"/>
      <c r="EM108" s="295"/>
      <c r="EN108" s="288"/>
      <c r="EO108" s="294"/>
      <c r="EP108" s="287"/>
      <c r="EQ108" s="288"/>
      <c r="ER108" s="289"/>
      <c r="ES108" s="295"/>
      <c r="ET108" s="288"/>
      <c r="EU108" s="294"/>
      <c r="EV108" s="287"/>
      <c r="EW108" s="288"/>
      <c r="EX108" s="289"/>
      <c r="EY108" s="295"/>
      <c r="EZ108" s="288"/>
      <c r="FA108" s="294"/>
      <c r="FB108" s="287"/>
      <c r="FC108" s="288"/>
      <c r="FD108" s="289"/>
      <c r="FE108" s="295"/>
      <c r="FF108" s="288"/>
      <c r="FG108" s="294"/>
      <c r="FH108" s="287"/>
      <c r="FI108" s="288"/>
      <c r="FJ108" s="289"/>
      <c r="FK108" s="295"/>
      <c r="FL108" s="288"/>
      <c r="FM108" s="294"/>
      <c r="FN108" s="287"/>
      <c r="FO108" s="288"/>
      <c r="FP108" s="289"/>
      <c r="FQ108" s="295"/>
      <c r="FR108" s="288"/>
      <c r="FS108" s="294"/>
      <c r="FT108" s="287"/>
      <c r="FU108" s="288"/>
      <c r="FV108" s="289"/>
      <c r="FW108" s="295"/>
      <c r="FX108" s="288"/>
      <c r="FY108" s="294"/>
      <c r="FZ108" s="287"/>
      <c r="GA108" s="288"/>
      <c r="GB108" s="289"/>
      <c r="GC108" s="295"/>
      <c r="GD108" s="288"/>
      <c r="GE108" s="294"/>
      <c r="GF108" s="287"/>
      <c r="GG108" s="288"/>
      <c r="GH108" s="289"/>
      <c r="GI108" s="295"/>
      <c r="GJ108" s="288"/>
      <c r="GK108" s="294"/>
      <c r="GL108" s="287"/>
      <c r="GM108" s="288"/>
      <c r="GN108" s="289"/>
      <c r="GO108" s="295"/>
      <c r="GP108" s="288"/>
      <c r="GQ108" s="294"/>
      <c r="GR108" s="295"/>
      <c r="GS108" s="288"/>
      <c r="GT108" s="294"/>
      <c r="GU108" s="295"/>
      <c r="GV108" s="288"/>
      <c r="GW108" s="294"/>
      <c r="GX108" s="295"/>
      <c r="GY108" s="288"/>
      <c r="GZ108" s="294"/>
      <c r="HA108" s="295"/>
      <c r="HB108" s="288"/>
      <c r="HC108" s="294"/>
      <c r="HD108" s="368">
        <f t="shared" si="111"/>
        <v>0</v>
      </c>
      <c r="HE108" s="369">
        <f t="shared" si="112"/>
        <v>0</v>
      </c>
      <c r="HF108" s="369">
        <f t="shared" si="113"/>
        <v>0</v>
      </c>
      <c r="HG108" s="145">
        <f t="shared" si="15"/>
        <v>0</v>
      </c>
    </row>
    <row r="109" spans="1:215" ht="15.75" thickBot="1">
      <c r="A109" s="238">
        <v>30</v>
      </c>
      <c r="B109" s="239"/>
      <c r="C109" s="43"/>
      <c r="D109" s="57"/>
      <c r="E109" s="287"/>
      <c r="F109" s="288"/>
      <c r="G109" s="289"/>
      <c r="H109" s="295"/>
      <c r="I109" s="288"/>
      <c r="J109" s="294"/>
      <c r="K109" s="287"/>
      <c r="L109" s="288"/>
      <c r="M109" s="289"/>
      <c r="N109" s="295"/>
      <c r="O109" s="288"/>
      <c r="P109" s="294"/>
      <c r="Q109" s="287"/>
      <c r="R109" s="288"/>
      <c r="S109" s="289"/>
      <c r="T109" s="295"/>
      <c r="U109" s="288"/>
      <c r="V109" s="294"/>
      <c r="W109" s="287"/>
      <c r="X109" s="288"/>
      <c r="Y109" s="289"/>
      <c r="Z109" s="295"/>
      <c r="AA109" s="288"/>
      <c r="AB109" s="294"/>
      <c r="AC109" s="287"/>
      <c r="AD109" s="288"/>
      <c r="AE109" s="289"/>
      <c r="AF109" s="295"/>
      <c r="AG109" s="288"/>
      <c r="AH109" s="294"/>
      <c r="AI109" s="287"/>
      <c r="AJ109" s="288"/>
      <c r="AK109" s="289"/>
      <c r="AL109" s="295"/>
      <c r="AM109" s="288"/>
      <c r="AN109" s="294"/>
      <c r="AO109" s="287"/>
      <c r="AP109" s="288"/>
      <c r="AQ109" s="289"/>
      <c r="AR109" s="295"/>
      <c r="AS109" s="288"/>
      <c r="AT109" s="294"/>
      <c r="AU109" s="287"/>
      <c r="AV109" s="288"/>
      <c r="AW109" s="289"/>
      <c r="AX109" s="295"/>
      <c r="AY109" s="288"/>
      <c r="AZ109" s="294"/>
      <c r="BA109" s="287"/>
      <c r="BB109" s="288"/>
      <c r="BC109" s="289"/>
      <c r="BD109" s="295"/>
      <c r="BE109" s="288"/>
      <c r="BF109" s="294"/>
      <c r="BG109" s="287"/>
      <c r="BH109" s="288"/>
      <c r="BI109" s="289"/>
      <c r="BJ109" s="295"/>
      <c r="BK109" s="288"/>
      <c r="BL109" s="294"/>
      <c r="BM109" s="287"/>
      <c r="BN109" s="288"/>
      <c r="BO109" s="289"/>
      <c r="BP109" s="295"/>
      <c r="BQ109" s="288"/>
      <c r="BR109" s="294"/>
      <c r="BS109" s="287"/>
      <c r="BT109" s="288"/>
      <c r="BU109" s="289"/>
      <c r="BV109" s="295"/>
      <c r="BW109" s="288"/>
      <c r="BX109" s="294"/>
      <c r="BY109" s="287"/>
      <c r="BZ109" s="288"/>
      <c r="CA109" s="289"/>
      <c r="CB109" s="295"/>
      <c r="CC109" s="288"/>
      <c r="CD109" s="294"/>
      <c r="CE109" s="287"/>
      <c r="CF109" s="288"/>
      <c r="CG109" s="289"/>
      <c r="CH109" s="295"/>
      <c r="CI109" s="288"/>
      <c r="CJ109" s="294"/>
      <c r="CK109" s="287"/>
      <c r="CL109" s="288"/>
      <c r="CM109" s="289"/>
      <c r="CN109" s="295"/>
      <c r="CO109" s="288"/>
      <c r="CP109" s="294"/>
      <c r="CQ109" s="295"/>
      <c r="CR109" s="288"/>
      <c r="CS109" s="294"/>
      <c r="CT109" s="295"/>
      <c r="CU109" s="288"/>
      <c r="CV109" s="294"/>
      <c r="CW109" s="295"/>
      <c r="CX109" s="288"/>
      <c r="CY109" s="294"/>
      <c r="CZ109" s="295"/>
      <c r="DA109" s="288"/>
      <c r="DB109" s="294"/>
      <c r="DC109" s="239"/>
      <c r="DD109" s="43"/>
      <c r="DE109" s="57"/>
      <c r="DF109" s="287"/>
      <c r="DG109" s="288"/>
      <c r="DH109" s="289"/>
      <c r="DI109" s="295"/>
      <c r="DJ109" s="288"/>
      <c r="DK109" s="294"/>
      <c r="DL109" s="287"/>
      <c r="DM109" s="288"/>
      <c r="DN109" s="289"/>
      <c r="DO109" s="295"/>
      <c r="DP109" s="288"/>
      <c r="DQ109" s="294"/>
      <c r="DR109" s="287"/>
      <c r="DS109" s="288"/>
      <c r="DT109" s="289"/>
      <c r="DU109" s="295"/>
      <c r="DV109" s="288"/>
      <c r="DW109" s="294"/>
      <c r="DX109" s="287"/>
      <c r="DY109" s="288"/>
      <c r="DZ109" s="289"/>
      <c r="EA109" s="295"/>
      <c r="EB109" s="288"/>
      <c r="EC109" s="294"/>
      <c r="ED109" s="287"/>
      <c r="EE109" s="288"/>
      <c r="EF109" s="289"/>
      <c r="EG109" s="295"/>
      <c r="EH109" s="288"/>
      <c r="EI109" s="294"/>
      <c r="EJ109" s="287"/>
      <c r="EK109" s="288"/>
      <c r="EL109" s="289"/>
      <c r="EM109" s="295"/>
      <c r="EN109" s="288"/>
      <c r="EO109" s="294"/>
      <c r="EP109" s="287"/>
      <c r="EQ109" s="288"/>
      <c r="ER109" s="289"/>
      <c r="ES109" s="295"/>
      <c r="ET109" s="288"/>
      <c r="EU109" s="294"/>
      <c r="EV109" s="287"/>
      <c r="EW109" s="288"/>
      <c r="EX109" s="289"/>
      <c r="EY109" s="295"/>
      <c r="EZ109" s="288"/>
      <c r="FA109" s="294"/>
      <c r="FB109" s="287"/>
      <c r="FC109" s="288"/>
      <c r="FD109" s="289"/>
      <c r="FE109" s="295"/>
      <c r="FF109" s="288"/>
      <c r="FG109" s="294"/>
      <c r="FH109" s="287"/>
      <c r="FI109" s="288"/>
      <c r="FJ109" s="289"/>
      <c r="FK109" s="295"/>
      <c r="FL109" s="288"/>
      <c r="FM109" s="294"/>
      <c r="FN109" s="287"/>
      <c r="FO109" s="288"/>
      <c r="FP109" s="289"/>
      <c r="FQ109" s="295"/>
      <c r="FR109" s="288"/>
      <c r="FS109" s="294"/>
      <c r="FT109" s="287"/>
      <c r="FU109" s="288"/>
      <c r="FV109" s="289"/>
      <c r="FW109" s="295"/>
      <c r="FX109" s="288"/>
      <c r="FY109" s="294"/>
      <c r="FZ109" s="287"/>
      <c r="GA109" s="288"/>
      <c r="GB109" s="289"/>
      <c r="GC109" s="295"/>
      <c r="GD109" s="288"/>
      <c r="GE109" s="294"/>
      <c r="GF109" s="287"/>
      <c r="GG109" s="288"/>
      <c r="GH109" s="289"/>
      <c r="GI109" s="295"/>
      <c r="GJ109" s="288"/>
      <c r="GK109" s="294"/>
      <c r="GL109" s="287"/>
      <c r="GM109" s="288"/>
      <c r="GN109" s="289"/>
      <c r="GO109" s="295"/>
      <c r="GP109" s="288"/>
      <c r="GQ109" s="294"/>
      <c r="GR109" s="295"/>
      <c r="GS109" s="288"/>
      <c r="GT109" s="294"/>
      <c r="GU109" s="295"/>
      <c r="GV109" s="288"/>
      <c r="GW109" s="294"/>
      <c r="GX109" s="295"/>
      <c r="GY109" s="288"/>
      <c r="GZ109" s="294"/>
      <c r="HA109" s="295"/>
      <c r="HB109" s="288"/>
      <c r="HC109" s="294"/>
      <c r="HD109" s="368">
        <f t="shared" si="111"/>
        <v>0</v>
      </c>
      <c r="HE109" s="369">
        <f t="shared" si="112"/>
        <v>0</v>
      </c>
      <c r="HF109" s="369">
        <f t="shared" si="113"/>
        <v>0</v>
      </c>
      <c r="HG109" s="145">
        <f t="shared" si="15"/>
        <v>0</v>
      </c>
    </row>
    <row r="110" spans="1:215" ht="15.75" thickBot="1">
      <c r="A110" s="353">
        <v>31</v>
      </c>
      <c r="B110" s="239"/>
      <c r="C110" s="43"/>
      <c r="D110" s="57"/>
      <c r="E110" s="287"/>
      <c r="F110" s="288"/>
      <c r="G110" s="289"/>
      <c r="H110" s="295"/>
      <c r="I110" s="288"/>
      <c r="J110" s="294"/>
      <c r="K110" s="287"/>
      <c r="L110" s="288"/>
      <c r="M110" s="289"/>
      <c r="N110" s="295"/>
      <c r="O110" s="288"/>
      <c r="P110" s="294"/>
      <c r="Q110" s="287"/>
      <c r="R110" s="288"/>
      <c r="S110" s="289"/>
      <c r="T110" s="295"/>
      <c r="U110" s="288"/>
      <c r="V110" s="294"/>
      <c r="W110" s="287"/>
      <c r="X110" s="288"/>
      <c r="Y110" s="289"/>
      <c r="Z110" s="296"/>
      <c r="AA110" s="297"/>
      <c r="AB110" s="298"/>
      <c r="AC110" s="287"/>
      <c r="AD110" s="288"/>
      <c r="AE110" s="289"/>
      <c r="AF110" s="295"/>
      <c r="AG110" s="288"/>
      <c r="AH110" s="294"/>
      <c r="AI110" s="287"/>
      <c r="AJ110" s="288"/>
      <c r="AK110" s="289"/>
      <c r="AL110" s="295"/>
      <c r="AM110" s="288"/>
      <c r="AN110" s="294"/>
      <c r="AO110" s="287"/>
      <c r="AP110" s="288"/>
      <c r="AQ110" s="289"/>
      <c r="AR110" s="295"/>
      <c r="AS110" s="288"/>
      <c r="AT110" s="294"/>
      <c r="AU110" s="287"/>
      <c r="AV110" s="288"/>
      <c r="AW110" s="289"/>
      <c r="AX110" s="295"/>
      <c r="AY110" s="288"/>
      <c r="AZ110" s="294"/>
      <c r="BA110" s="287"/>
      <c r="BB110" s="288"/>
      <c r="BC110" s="289"/>
      <c r="BD110" s="295"/>
      <c r="BE110" s="288"/>
      <c r="BF110" s="294"/>
      <c r="BG110" s="287"/>
      <c r="BH110" s="288"/>
      <c r="BI110" s="289"/>
      <c r="BJ110" s="295"/>
      <c r="BK110" s="288"/>
      <c r="BL110" s="294"/>
      <c r="BM110" s="287"/>
      <c r="BN110" s="288"/>
      <c r="BO110" s="289"/>
      <c r="BP110" s="295"/>
      <c r="BQ110" s="288"/>
      <c r="BR110" s="294"/>
      <c r="BS110" s="287"/>
      <c r="BT110" s="288"/>
      <c r="BU110" s="289"/>
      <c r="BV110" s="295"/>
      <c r="BW110" s="288"/>
      <c r="BX110" s="294"/>
      <c r="BY110" s="287"/>
      <c r="BZ110" s="288"/>
      <c r="CA110" s="289"/>
      <c r="CB110" s="295"/>
      <c r="CC110" s="288"/>
      <c r="CD110" s="294"/>
      <c r="CE110" s="287"/>
      <c r="CF110" s="288"/>
      <c r="CG110" s="289"/>
      <c r="CH110" s="295"/>
      <c r="CI110" s="288"/>
      <c r="CJ110" s="294"/>
      <c r="CK110" s="287"/>
      <c r="CL110" s="288"/>
      <c r="CM110" s="289"/>
      <c r="CN110" s="295"/>
      <c r="CO110" s="288"/>
      <c r="CP110" s="294"/>
      <c r="CQ110" s="295"/>
      <c r="CR110" s="288"/>
      <c r="CS110" s="294"/>
      <c r="CT110" s="295"/>
      <c r="CU110" s="288"/>
      <c r="CV110" s="294"/>
      <c r="CW110" s="295"/>
      <c r="CX110" s="288"/>
      <c r="CY110" s="294"/>
      <c r="CZ110" s="295"/>
      <c r="DA110" s="288"/>
      <c r="DB110" s="294"/>
      <c r="DC110" s="239"/>
      <c r="DD110" s="43"/>
      <c r="DE110" s="57"/>
      <c r="DF110" s="287"/>
      <c r="DG110" s="288"/>
      <c r="DH110" s="289"/>
      <c r="DI110" s="295"/>
      <c r="DJ110" s="288"/>
      <c r="DK110" s="294"/>
      <c r="DL110" s="287"/>
      <c r="DM110" s="288"/>
      <c r="DN110" s="289"/>
      <c r="DO110" s="295"/>
      <c r="DP110" s="288"/>
      <c r="DQ110" s="294"/>
      <c r="DR110" s="287"/>
      <c r="DS110" s="288"/>
      <c r="DT110" s="289"/>
      <c r="DU110" s="295"/>
      <c r="DV110" s="288"/>
      <c r="DW110" s="294"/>
      <c r="DX110" s="287"/>
      <c r="DY110" s="288"/>
      <c r="DZ110" s="289"/>
      <c r="EA110" s="296"/>
      <c r="EB110" s="297"/>
      <c r="EC110" s="298"/>
      <c r="ED110" s="287"/>
      <c r="EE110" s="288"/>
      <c r="EF110" s="289"/>
      <c r="EG110" s="295"/>
      <c r="EH110" s="288"/>
      <c r="EI110" s="294"/>
      <c r="EJ110" s="287"/>
      <c r="EK110" s="288"/>
      <c r="EL110" s="289"/>
      <c r="EM110" s="295"/>
      <c r="EN110" s="288"/>
      <c r="EO110" s="294"/>
      <c r="EP110" s="287"/>
      <c r="EQ110" s="288"/>
      <c r="ER110" s="289"/>
      <c r="ES110" s="295"/>
      <c r="ET110" s="288"/>
      <c r="EU110" s="294"/>
      <c r="EV110" s="287"/>
      <c r="EW110" s="288"/>
      <c r="EX110" s="289"/>
      <c r="EY110" s="295"/>
      <c r="EZ110" s="288"/>
      <c r="FA110" s="294"/>
      <c r="FB110" s="287"/>
      <c r="FC110" s="288"/>
      <c r="FD110" s="289"/>
      <c r="FE110" s="295"/>
      <c r="FF110" s="288"/>
      <c r="FG110" s="294"/>
      <c r="FH110" s="287"/>
      <c r="FI110" s="288"/>
      <c r="FJ110" s="289"/>
      <c r="FK110" s="295"/>
      <c r="FL110" s="288"/>
      <c r="FM110" s="294"/>
      <c r="FN110" s="287"/>
      <c r="FO110" s="288"/>
      <c r="FP110" s="289"/>
      <c r="FQ110" s="295"/>
      <c r="FR110" s="288"/>
      <c r="FS110" s="294"/>
      <c r="FT110" s="287"/>
      <c r="FU110" s="288"/>
      <c r="FV110" s="289"/>
      <c r="FW110" s="295"/>
      <c r="FX110" s="288"/>
      <c r="FY110" s="294"/>
      <c r="FZ110" s="287"/>
      <c r="GA110" s="288"/>
      <c r="GB110" s="289"/>
      <c r="GC110" s="295"/>
      <c r="GD110" s="288"/>
      <c r="GE110" s="294"/>
      <c r="GF110" s="287"/>
      <c r="GG110" s="288"/>
      <c r="GH110" s="289"/>
      <c r="GI110" s="295"/>
      <c r="GJ110" s="288"/>
      <c r="GK110" s="294"/>
      <c r="GL110" s="287"/>
      <c r="GM110" s="288"/>
      <c r="GN110" s="289"/>
      <c r="GO110" s="295"/>
      <c r="GP110" s="288"/>
      <c r="GQ110" s="294"/>
      <c r="GR110" s="295"/>
      <c r="GS110" s="288"/>
      <c r="GT110" s="294"/>
      <c r="GU110" s="295"/>
      <c r="GV110" s="288"/>
      <c r="GW110" s="294"/>
      <c r="GX110" s="295"/>
      <c r="GY110" s="288"/>
      <c r="GZ110" s="294"/>
      <c r="HA110" s="295"/>
      <c r="HB110" s="288"/>
      <c r="HC110" s="294"/>
      <c r="HD110" s="368">
        <f t="shared" si="111"/>
        <v>0</v>
      </c>
      <c r="HE110" s="369">
        <f t="shared" si="112"/>
        <v>0</v>
      </c>
      <c r="HF110" s="369">
        <f t="shared" si="113"/>
        <v>0</v>
      </c>
      <c r="HG110" s="145">
        <f t="shared" si="15"/>
        <v>0</v>
      </c>
    </row>
    <row r="111" spans="1:215" ht="15.75" thickBot="1">
      <c r="A111" s="352"/>
      <c r="B111" s="113">
        <f>SUM(B80:B110)</f>
        <v>0</v>
      </c>
      <c r="C111" s="113">
        <f t="shared" ref="C111:AN111" si="114">SUM(C80:C110)</f>
        <v>0</v>
      </c>
      <c r="D111" s="113">
        <f t="shared" si="114"/>
        <v>0</v>
      </c>
      <c r="E111" s="291">
        <f t="shared" si="114"/>
        <v>0</v>
      </c>
      <c r="F111" s="113">
        <f t="shared" si="114"/>
        <v>0</v>
      </c>
      <c r="G111" s="299">
        <f t="shared" si="114"/>
        <v>0</v>
      </c>
      <c r="H111" s="113">
        <f t="shared" si="114"/>
        <v>0</v>
      </c>
      <c r="I111" s="113">
        <f t="shared" si="114"/>
        <v>0</v>
      </c>
      <c r="J111" s="113">
        <f t="shared" si="114"/>
        <v>0</v>
      </c>
      <c r="K111" s="291">
        <f t="shared" si="114"/>
        <v>0</v>
      </c>
      <c r="L111" s="113">
        <f t="shared" si="114"/>
        <v>0</v>
      </c>
      <c r="M111" s="299">
        <f t="shared" si="114"/>
        <v>0</v>
      </c>
      <c r="N111" s="113">
        <f t="shared" si="114"/>
        <v>0</v>
      </c>
      <c r="O111" s="113">
        <f t="shared" si="114"/>
        <v>0</v>
      </c>
      <c r="P111" s="113">
        <f t="shared" si="114"/>
        <v>0</v>
      </c>
      <c r="Q111" s="291">
        <f t="shared" si="114"/>
        <v>0</v>
      </c>
      <c r="R111" s="113">
        <f t="shared" si="114"/>
        <v>0</v>
      </c>
      <c r="S111" s="299">
        <f t="shared" si="114"/>
        <v>0</v>
      </c>
      <c r="T111" s="113">
        <f t="shared" si="114"/>
        <v>0</v>
      </c>
      <c r="U111" s="113">
        <f t="shared" si="114"/>
        <v>0</v>
      </c>
      <c r="V111" s="113">
        <f t="shared" si="114"/>
        <v>0</v>
      </c>
      <c r="W111" s="291">
        <f t="shared" si="114"/>
        <v>0</v>
      </c>
      <c r="X111" s="113">
        <f t="shared" si="114"/>
        <v>0</v>
      </c>
      <c r="Y111" s="113">
        <f t="shared" si="114"/>
        <v>0</v>
      </c>
      <c r="Z111" s="113">
        <f t="shared" si="114"/>
        <v>0</v>
      </c>
      <c r="AA111" s="113">
        <f t="shared" si="114"/>
        <v>0</v>
      </c>
      <c r="AB111" s="113">
        <f t="shared" si="114"/>
        <v>0</v>
      </c>
      <c r="AC111" s="113">
        <f t="shared" si="114"/>
        <v>0</v>
      </c>
      <c r="AD111" s="113">
        <f t="shared" si="114"/>
        <v>0</v>
      </c>
      <c r="AE111" s="299">
        <f t="shared" si="114"/>
        <v>0</v>
      </c>
      <c r="AF111" s="113">
        <f t="shared" si="114"/>
        <v>0</v>
      </c>
      <c r="AG111" s="113">
        <f t="shared" si="114"/>
        <v>0</v>
      </c>
      <c r="AH111" s="113">
        <f t="shared" si="114"/>
        <v>0</v>
      </c>
      <c r="AI111" s="291">
        <f t="shared" si="114"/>
        <v>0</v>
      </c>
      <c r="AJ111" s="113">
        <f t="shared" si="114"/>
        <v>0</v>
      </c>
      <c r="AK111" s="299">
        <f t="shared" si="114"/>
        <v>0</v>
      </c>
      <c r="AL111" s="113">
        <f t="shared" si="114"/>
        <v>0</v>
      </c>
      <c r="AM111" s="113">
        <f t="shared" si="114"/>
        <v>0</v>
      </c>
      <c r="AN111" s="113">
        <f t="shared" si="114"/>
        <v>0</v>
      </c>
      <c r="AO111" s="291">
        <f t="shared" ref="AO111:CA111" si="115">SUM(AO80:AO110)</f>
        <v>0</v>
      </c>
      <c r="AP111" s="113">
        <f t="shared" si="115"/>
        <v>0</v>
      </c>
      <c r="AQ111" s="299">
        <f t="shared" si="115"/>
        <v>0</v>
      </c>
      <c r="AR111" s="113">
        <f t="shared" si="115"/>
        <v>0</v>
      </c>
      <c r="AS111" s="113">
        <f t="shared" si="115"/>
        <v>0</v>
      </c>
      <c r="AT111" s="113">
        <f t="shared" si="115"/>
        <v>0</v>
      </c>
      <c r="AU111" s="291">
        <f t="shared" si="115"/>
        <v>0</v>
      </c>
      <c r="AV111" s="113">
        <f t="shared" si="115"/>
        <v>0</v>
      </c>
      <c r="AW111" s="299">
        <f t="shared" si="115"/>
        <v>0</v>
      </c>
      <c r="AX111" s="113">
        <f t="shared" si="115"/>
        <v>0</v>
      </c>
      <c r="AY111" s="113">
        <f t="shared" si="115"/>
        <v>0</v>
      </c>
      <c r="AZ111" s="113">
        <f t="shared" si="115"/>
        <v>0</v>
      </c>
      <c r="BA111" s="291">
        <f t="shared" si="115"/>
        <v>0</v>
      </c>
      <c r="BB111" s="113">
        <f t="shared" si="115"/>
        <v>0</v>
      </c>
      <c r="BC111" s="299">
        <f t="shared" si="115"/>
        <v>0</v>
      </c>
      <c r="BD111" s="113">
        <f t="shared" si="115"/>
        <v>0</v>
      </c>
      <c r="BE111" s="113">
        <f t="shared" si="115"/>
        <v>0</v>
      </c>
      <c r="BF111" s="113">
        <f t="shared" si="115"/>
        <v>0</v>
      </c>
      <c r="BG111" s="291">
        <f t="shared" si="115"/>
        <v>0</v>
      </c>
      <c r="BH111" s="113">
        <f t="shared" si="115"/>
        <v>0</v>
      </c>
      <c r="BI111" s="299">
        <f t="shared" si="115"/>
        <v>0</v>
      </c>
      <c r="BJ111" s="113">
        <f t="shared" si="115"/>
        <v>0</v>
      </c>
      <c r="BK111" s="113">
        <f t="shared" si="115"/>
        <v>0</v>
      </c>
      <c r="BL111" s="113">
        <f t="shared" si="115"/>
        <v>0</v>
      </c>
      <c r="BM111" s="291">
        <f t="shared" si="115"/>
        <v>0</v>
      </c>
      <c r="BN111" s="113">
        <f t="shared" si="115"/>
        <v>0</v>
      </c>
      <c r="BO111" s="299">
        <f t="shared" si="115"/>
        <v>0</v>
      </c>
      <c r="BP111" s="113">
        <f t="shared" si="115"/>
        <v>0</v>
      </c>
      <c r="BQ111" s="113">
        <f t="shared" si="115"/>
        <v>0</v>
      </c>
      <c r="BR111" s="113">
        <f t="shared" si="115"/>
        <v>0</v>
      </c>
      <c r="BS111" s="291">
        <f t="shared" si="115"/>
        <v>0</v>
      </c>
      <c r="BT111" s="113">
        <f t="shared" si="115"/>
        <v>0</v>
      </c>
      <c r="BU111" s="299">
        <f t="shared" si="115"/>
        <v>0</v>
      </c>
      <c r="BV111" s="113">
        <f t="shared" si="115"/>
        <v>0</v>
      </c>
      <c r="BW111" s="113">
        <f t="shared" si="115"/>
        <v>0</v>
      </c>
      <c r="BX111" s="113">
        <f t="shared" si="115"/>
        <v>0</v>
      </c>
      <c r="BY111" s="291">
        <f t="shared" si="115"/>
        <v>0</v>
      </c>
      <c r="BZ111" s="113">
        <f t="shared" si="115"/>
        <v>0</v>
      </c>
      <c r="CA111" s="299">
        <f t="shared" si="115"/>
        <v>0</v>
      </c>
      <c r="CB111" s="113">
        <f t="shared" ref="CB111:DB111" si="116">SUM(CB80:CB110)</f>
        <v>0</v>
      </c>
      <c r="CC111" s="113">
        <f t="shared" si="116"/>
        <v>0</v>
      </c>
      <c r="CD111" s="113">
        <f t="shared" si="116"/>
        <v>0</v>
      </c>
      <c r="CE111" s="291">
        <f t="shared" si="116"/>
        <v>0</v>
      </c>
      <c r="CF111" s="113">
        <f t="shared" si="116"/>
        <v>0</v>
      </c>
      <c r="CG111" s="299">
        <f t="shared" si="116"/>
        <v>0</v>
      </c>
      <c r="CH111" s="299">
        <f t="shared" si="116"/>
        <v>0</v>
      </c>
      <c r="CI111" s="299">
        <f t="shared" si="116"/>
        <v>0</v>
      </c>
      <c r="CJ111" s="299">
        <f t="shared" si="116"/>
        <v>0</v>
      </c>
      <c r="CK111" s="299">
        <f t="shared" si="116"/>
        <v>0</v>
      </c>
      <c r="CL111" s="299">
        <f t="shared" si="116"/>
        <v>0</v>
      </c>
      <c r="CM111" s="299">
        <f t="shared" si="116"/>
        <v>0</v>
      </c>
      <c r="CN111" s="299">
        <f t="shared" si="116"/>
        <v>0</v>
      </c>
      <c r="CO111" s="299">
        <f t="shared" si="116"/>
        <v>0</v>
      </c>
      <c r="CP111" s="299">
        <f t="shared" si="116"/>
        <v>0</v>
      </c>
      <c r="CQ111" s="299">
        <f t="shared" ref="CQ111:CY111" si="117">SUM(CQ80:CQ110)</f>
        <v>0</v>
      </c>
      <c r="CR111" s="299">
        <f t="shared" si="117"/>
        <v>0</v>
      </c>
      <c r="CS111" s="299">
        <f t="shared" si="117"/>
        <v>0</v>
      </c>
      <c r="CT111" s="299">
        <f t="shared" si="117"/>
        <v>0</v>
      </c>
      <c r="CU111" s="299">
        <f t="shared" si="117"/>
        <v>0</v>
      </c>
      <c r="CV111" s="299">
        <f t="shared" si="117"/>
        <v>0</v>
      </c>
      <c r="CW111" s="299">
        <f t="shared" si="117"/>
        <v>0</v>
      </c>
      <c r="CX111" s="299">
        <f t="shared" si="117"/>
        <v>0</v>
      </c>
      <c r="CY111" s="299">
        <f t="shared" si="117"/>
        <v>0</v>
      </c>
      <c r="CZ111" s="299">
        <f t="shared" si="116"/>
        <v>0</v>
      </c>
      <c r="DA111" s="299">
        <f t="shared" si="116"/>
        <v>0</v>
      </c>
      <c r="DB111" s="299">
        <f t="shared" si="116"/>
        <v>0</v>
      </c>
      <c r="DC111" s="113">
        <f>SUM(DC80:DC110)</f>
        <v>0</v>
      </c>
      <c r="DD111" s="113">
        <f t="shared" ref="DD111:FO111" si="118">SUM(DD80:DD110)</f>
        <v>0</v>
      </c>
      <c r="DE111" s="113">
        <f t="shared" si="118"/>
        <v>0</v>
      </c>
      <c r="DF111" s="397">
        <f t="shared" si="118"/>
        <v>0</v>
      </c>
      <c r="DG111" s="113">
        <f t="shared" si="118"/>
        <v>0</v>
      </c>
      <c r="DH111" s="396">
        <f t="shared" si="118"/>
        <v>0</v>
      </c>
      <c r="DI111" s="113">
        <f t="shared" si="118"/>
        <v>0</v>
      </c>
      <c r="DJ111" s="113">
        <f t="shared" si="118"/>
        <v>0</v>
      </c>
      <c r="DK111" s="113">
        <f t="shared" si="118"/>
        <v>0</v>
      </c>
      <c r="DL111" s="397">
        <f t="shared" si="118"/>
        <v>0</v>
      </c>
      <c r="DM111" s="113">
        <f t="shared" si="118"/>
        <v>0</v>
      </c>
      <c r="DN111" s="396">
        <f t="shared" si="118"/>
        <v>0</v>
      </c>
      <c r="DO111" s="113">
        <f t="shared" si="118"/>
        <v>0</v>
      </c>
      <c r="DP111" s="113">
        <f t="shared" si="118"/>
        <v>0</v>
      </c>
      <c r="DQ111" s="113">
        <f t="shared" si="118"/>
        <v>0</v>
      </c>
      <c r="DR111" s="397">
        <f t="shared" si="118"/>
        <v>0</v>
      </c>
      <c r="DS111" s="113">
        <f t="shared" si="118"/>
        <v>0</v>
      </c>
      <c r="DT111" s="396">
        <f t="shared" si="118"/>
        <v>0</v>
      </c>
      <c r="DU111" s="113">
        <f t="shared" si="118"/>
        <v>0</v>
      </c>
      <c r="DV111" s="113">
        <f t="shared" si="118"/>
        <v>0</v>
      </c>
      <c r="DW111" s="113">
        <f t="shared" si="118"/>
        <v>0</v>
      </c>
      <c r="DX111" s="397">
        <f t="shared" si="118"/>
        <v>0</v>
      </c>
      <c r="DY111" s="113">
        <f t="shared" si="118"/>
        <v>0</v>
      </c>
      <c r="DZ111" s="113">
        <f t="shared" si="118"/>
        <v>0</v>
      </c>
      <c r="EA111" s="113">
        <f t="shared" si="118"/>
        <v>0</v>
      </c>
      <c r="EB111" s="113">
        <f t="shared" si="118"/>
        <v>0</v>
      </c>
      <c r="EC111" s="113">
        <f t="shared" si="118"/>
        <v>0</v>
      </c>
      <c r="ED111" s="113">
        <f t="shared" si="118"/>
        <v>0</v>
      </c>
      <c r="EE111" s="113">
        <f t="shared" si="118"/>
        <v>0</v>
      </c>
      <c r="EF111" s="396">
        <f t="shared" si="118"/>
        <v>0</v>
      </c>
      <c r="EG111" s="113">
        <f t="shared" si="118"/>
        <v>0</v>
      </c>
      <c r="EH111" s="113">
        <f t="shared" si="118"/>
        <v>0</v>
      </c>
      <c r="EI111" s="113">
        <f t="shared" si="118"/>
        <v>0</v>
      </c>
      <c r="EJ111" s="397">
        <f t="shared" si="118"/>
        <v>0</v>
      </c>
      <c r="EK111" s="113">
        <f t="shared" si="118"/>
        <v>0</v>
      </c>
      <c r="EL111" s="396">
        <f t="shared" si="118"/>
        <v>0</v>
      </c>
      <c r="EM111" s="113">
        <f t="shared" si="118"/>
        <v>0</v>
      </c>
      <c r="EN111" s="113">
        <f t="shared" si="118"/>
        <v>0</v>
      </c>
      <c r="EO111" s="113">
        <f t="shared" si="118"/>
        <v>0</v>
      </c>
      <c r="EP111" s="397">
        <f t="shared" si="118"/>
        <v>0</v>
      </c>
      <c r="EQ111" s="113">
        <f t="shared" si="118"/>
        <v>0</v>
      </c>
      <c r="ER111" s="396">
        <f t="shared" si="118"/>
        <v>0</v>
      </c>
      <c r="ES111" s="113">
        <f t="shared" si="118"/>
        <v>0</v>
      </c>
      <c r="ET111" s="113">
        <f t="shared" si="118"/>
        <v>0</v>
      </c>
      <c r="EU111" s="113">
        <f t="shared" si="118"/>
        <v>0</v>
      </c>
      <c r="EV111" s="397">
        <f t="shared" si="118"/>
        <v>0</v>
      </c>
      <c r="EW111" s="113">
        <f t="shared" si="118"/>
        <v>0</v>
      </c>
      <c r="EX111" s="396">
        <f t="shared" si="118"/>
        <v>0</v>
      </c>
      <c r="EY111" s="113">
        <f t="shared" si="118"/>
        <v>0</v>
      </c>
      <c r="EZ111" s="113">
        <f t="shared" si="118"/>
        <v>0</v>
      </c>
      <c r="FA111" s="113">
        <f t="shared" si="118"/>
        <v>0</v>
      </c>
      <c r="FB111" s="397">
        <f t="shared" si="118"/>
        <v>0</v>
      </c>
      <c r="FC111" s="113">
        <f t="shared" si="118"/>
        <v>0</v>
      </c>
      <c r="FD111" s="396">
        <f t="shared" si="118"/>
        <v>0</v>
      </c>
      <c r="FE111" s="113">
        <f t="shared" si="118"/>
        <v>0</v>
      </c>
      <c r="FF111" s="113">
        <f t="shared" si="118"/>
        <v>0</v>
      </c>
      <c r="FG111" s="113">
        <f t="shared" si="118"/>
        <v>0</v>
      </c>
      <c r="FH111" s="397">
        <f t="shared" si="118"/>
        <v>0</v>
      </c>
      <c r="FI111" s="113">
        <f t="shared" si="118"/>
        <v>0</v>
      </c>
      <c r="FJ111" s="396">
        <f t="shared" si="118"/>
        <v>0</v>
      </c>
      <c r="FK111" s="113">
        <f t="shared" si="118"/>
        <v>0</v>
      </c>
      <c r="FL111" s="113">
        <f t="shared" si="118"/>
        <v>0</v>
      </c>
      <c r="FM111" s="113">
        <f t="shared" si="118"/>
        <v>0</v>
      </c>
      <c r="FN111" s="397">
        <f t="shared" si="118"/>
        <v>0</v>
      </c>
      <c r="FO111" s="113">
        <f t="shared" si="118"/>
        <v>0</v>
      </c>
      <c r="FP111" s="396">
        <f t="shared" ref="FP111:HC111" si="119">SUM(FP80:FP110)</f>
        <v>0</v>
      </c>
      <c r="FQ111" s="113">
        <f t="shared" si="119"/>
        <v>0</v>
      </c>
      <c r="FR111" s="113">
        <f t="shared" si="119"/>
        <v>0</v>
      </c>
      <c r="FS111" s="113">
        <f t="shared" si="119"/>
        <v>0</v>
      </c>
      <c r="FT111" s="397">
        <f t="shared" si="119"/>
        <v>0</v>
      </c>
      <c r="FU111" s="113">
        <f t="shared" si="119"/>
        <v>0</v>
      </c>
      <c r="FV111" s="396">
        <f t="shared" si="119"/>
        <v>0</v>
      </c>
      <c r="FW111" s="113">
        <f t="shared" si="119"/>
        <v>0</v>
      </c>
      <c r="FX111" s="113">
        <f t="shared" si="119"/>
        <v>0</v>
      </c>
      <c r="FY111" s="113">
        <f t="shared" si="119"/>
        <v>0</v>
      </c>
      <c r="FZ111" s="397">
        <f t="shared" si="119"/>
        <v>0</v>
      </c>
      <c r="GA111" s="113">
        <f t="shared" si="119"/>
        <v>0</v>
      </c>
      <c r="GB111" s="396">
        <f t="shared" si="119"/>
        <v>0</v>
      </c>
      <c r="GC111" s="113">
        <f t="shared" si="119"/>
        <v>0</v>
      </c>
      <c r="GD111" s="113">
        <f t="shared" si="119"/>
        <v>0</v>
      </c>
      <c r="GE111" s="113">
        <f t="shared" si="119"/>
        <v>0</v>
      </c>
      <c r="GF111" s="397">
        <f t="shared" si="119"/>
        <v>0</v>
      </c>
      <c r="GG111" s="113">
        <f t="shared" si="119"/>
        <v>0</v>
      </c>
      <c r="GH111" s="396">
        <f t="shared" si="119"/>
        <v>0</v>
      </c>
      <c r="GI111" s="396">
        <f t="shared" si="119"/>
        <v>0</v>
      </c>
      <c r="GJ111" s="396">
        <f t="shared" si="119"/>
        <v>0</v>
      </c>
      <c r="GK111" s="396">
        <f t="shared" si="119"/>
        <v>0</v>
      </c>
      <c r="GL111" s="396">
        <f t="shared" si="119"/>
        <v>0</v>
      </c>
      <c r="GM111" s="396">
        <f t="shared" si="119"/>
        <v>0</v>
      </c>
      <c r="GN111" s="396">
        <f t="shared" si="119"/>
        <v>0</v>
      </c>
      <c r="GO111" s="396">
        <f t="shared" si="119"/>
        <v>0</v>
      </c>
      <c r="GP111" s="396">
        <f t="shared" si="119"/>
        <v>0</v>
      </c>
      <c r="GQ111" s="396">
        <f t="shared" si="119"/>
        <v>0</v>
      </c>
      <c r="GR111" s="396">
        <f t="shared" si="119"/>
        <v>0</v>
      </c>
      <c r="GS111" s="396">
        <f t="shared" si="119"/>
        <v>0</v>
      </c>
      <c r="GT111" s="396">
        <f t="shared" si="119"/>
        <v>0</v>
      </c>
      <c r="GU111" s="396">
        <f t="shared" si="119"/>
        <v>0</v>
      </c>
      <c r="GV111" s="396">
        <f t="shared" si="119"/>
        <v>0</v>
      </c>
      <c r="GW111" s="396">
        <f t="shared" si="119"/>
        <v>0</v>
      </c>
      <c r="GX111" s="396">
        <f t="shared" si="119"/>
        <v>0</v>
      </c>
      <c r="GY111" s="396">
        <f t="shared" si="119"/>
        <v>0</v>
      </c>
      <c r="GZ111" s="396">
        <f t="shared" si="119"/>
        <v>0</v>
      </c>
      <c r="HA111" s="396">
        <f t="shared" si="119"/>
        <v>0</v>
      </c>
      <c r="HB111" s="396">
        <f t="shared" si="119"/>
        <v>0</v>
      </c>
      <c r="HC111" s="396">
        <f t="shared" si="119"/>
        <v>0</v>
      </c>
      <c r="HD111" s="382">
        <f t="shared" ref="HD111:HF111" si="120">SUM(HD80:HD110)</f>
        <v>0</v>
      </c>
      <c r="HE111" s="382">
        <f t="shared" si="120"/>
        <v>0</v>
      </c>
      <c r="HF111" s="382">
        <f t="shared" si="120"/>
        <v>0</v>
      </c>
      <c r="HG111" s="145">
        <f t="shared" si="15"/>
        <v>0</v>
      </c>
    </row>
    <row r="112" spans="1:215" ht="15.75" thickBot="1"/>
    <row r="113" spans="1:215" ht="15.75" thickBot="1">
      <c r="A113" s="422" t="s">
        <v>2</v>
      </c>
      <c r="B113" s="425" t="s">
        <v>3</v>
      </c>
      <c r="C113" s="426"/>
      <c r="D113" s="428"/>
      <c r="E113" s="429" t="s">
        <v>4</v>
      </c>
      <c r="F113" s="426"/>
      <c r="G113" s="427"/>
      <c r="H113" s="425" t="s">
        <v>5</v>
      </c>
      <c r="I113" s="426"/>
      <c r="J113" s="428"/>
      <c r="K113" s="429" t="s">
        <v>6</v>
      </c>
      <c r="L113" s="426"/>
      <c r="M113" s="427"/>
      <c r="N113" s="425" t="s">
        <v>7</v>
      </c>
      <c r="O113" s="426"/>
      <c r="P113" s="428"/>
      <c r="Q113" s="429" t="s">
        <v>8</v>
      </c>
      <c r="R113" s="426"/>
      <c r="S113" s="427"/>
      <c r="T113" s="425" t="s">
        <v>9</v>
      </c>
      <c r="U113" s="426"/>
      <c r="V113" s="428"/>
      <c r="W113" s="429" t="s">
        <v>10</v>
      </c>
      <c r="X113" s="426"/>
      <c r="Y113" s="427"/>
      <c r="Z113" s="425" t="s">
        <v>11</v>
      </c>
      <c r="AA113" s="426"/>
      <c r="AB113" s="428"/>
      <c r="AC113" s="429" t="s">
        <v>12</v>
      </c>
      <c r="AD113" s="426"/>
      <c r="AE113" s="427"/>
      <c r="AF113" s="425" t="s">
        <v>13</v>
      </c>
      <c r="AG113" s="426"/>
      <c r="AH113" s="428"/>
      <c r="AI113" s="429" t="s">
        <v>14</v>
      </c>
      <c r="AJ113" s="426"/>
      <c r="AK113" s="427"/>
      <c r="AL113" s="425" t="s">
        <v>15</v>
      </c>
      <c r="AM113" s="426"/>
      <c r="AN113" s="428"/>
      <c r="AO113" s="429" t="s">
        <v>16</v>
      </c>
      <c r="AP113" s="426"/>
      <c r="AQ113" s="427"/>
      <c r="AR113" s="425" t="s">
        <v>17</v>
      </c>
      <c r="AS113" s="426"/>
      <c r="AT113" s="428"/>
      <c r="AU113" s="423" t="s">
        <v>18</v>
      </c>
      <c r="AV113" s="423"/>
      <c r="AW113" s="423"/>
      <c r="AX113" s="422" t="s">
        <v>19</v>
      </c>
      <c r="AY113" s="423"/>
      <c r="AZ113" s="424"/>
      <c r="BA113" s="423" t="s">
        <v>20</v>
      </c>
      <c r="BB113" s="423"/>
      <c r="BC113" s="423"/>
      <c r="BD113" s="422" t="s">
        <v>21</v>
      </c>
      <c r="BE113" s="423"/>
      <c r="BF113" s="424"/>
      <c r="BG113" s="423" t="s">
        <v>22</v>
      </c>
      <c r="BH113" s="423"/>
      <c r="BI113" s="423"/>
      <c r="BJ113" s="422" t="s">
        <v>23</v>
      </c>
      <c r="BK113" s="423"/>
      <c r="BL113" s="424"/>
      <c r="BM113" s="423" t="s">
        <v>24</v>
      </c>
      <c r="BN113" s="423"/>
      <c r="BO113" s="423"/>
      <c r="BP113" s="422" t="s">
        <v>25</v>
      </c>
      <c r="BQ113" s="423"/>
      <c r="BR113" s="424"/>
      <c r="BS113" s="423" t="s">
        <v>26</v>
      </c>
      <c r="BT113" s="423"/>
      <c r="BU113" s="423"/>
      <c r="BV113" s="422" t="s">
        <v>27</v>
      </c>
      <c r="BW113" s="423"/>
      <c r="BX113" s="424"/>
      <c r="BY113" s="423" t="s">
        <v>28</v>
      </c>
      <c r="BZ113" s="423"/>
      <c r="CA113" s="423"/>
      <c r="CB113" s="422" t="s">
        <v>29</v>
      </c>
      <c r="CC113" s="423"/>
      <c r="CD113" s="424"/>
      <c r="CE113" s="423" t="s">
        <v>30</v>
      </c>
      <c r="CF113" s="423"/>
      <c r="CG113" s="423"/>
      <c r="CH113" s="422" t="s">
        <v>31</v>
      </c>
      <c r="CI113" s="423"/>
      <c r="CJ113" s="424"/>
      <c r="CK113" s="423" t="s">
        <v>32</v>
      </c>
      <c r="CL113" s="423"/>
      <c r="CM113" s="423"/>
      <c r="CN113" s="422" t="s">
        <v>33</v>
      </c>
      <c r="CO113" s="423"/>
      <c r="CP113" s="424"/>
      <c r="CQ113" s="422" t="s">
        <v>34</v>
      </c>
      <c r="CR113" s="423"/>
      <c r="CS113" s="424"/>
      <c r="CT113" s="422" t="s">
        <v>35</v>
      </c>
      <c r="CU113" s="423"/>
      <c r="CV113" s="424"/>
      <c r="CW113" s="422" t="s">
        <v>36</v>
      </c>
      <c r="CX113" s="423"/>
      <c r="CY113" s="424"/>
      <c r="CZ113" s="422" t="s">
        <v>37</v>
      </c>
      <c r="DA113" s="423"/>
      <c r="DB113" s="424"/>
      <c r="DC113" s="422" t="s">
        <v>147</v>
      </c>
      <c r="DD113" s="423"/>
      <c r="DE113" s="424"/>
      <c r="DF113" s="422" t="s">
        <v>148</v>
      </c>
      <c r="DG113" s="423"/>
      <c r="DH113" s="424"/>
      <c r="DI113" s="422" t="s">
        <v>149</v>
      </c>
      <c r="DJ113" s="423"/>
      <c r="DK113" s="424"/>
      <c r="DL113" s="422" t="s">
        <v>150</v>
      </c>
      <c r="DM113" s="423"/>
      <c r="DN113" s="424"/>
      <c r="DO113" s="422" t="s">
        <v>151</v>
      </c>
      <c r="DP113" s="423"/>
      <c r="DQ113" s="424"/>
      <c r="DR113" s="422" t="s">
        <v>152</v>
      </c>
      <c r="DS113" s="423"/>
      <c r="DT113" s="424"/>
      <c r="DU113" s="422" t="s">
        <v>153</v>
      </c>
      <c r="DV113" s="423"/>
      <c r="DW113" s="424"/>
      <c r="DX113" s="422" t="s">
        <v>154</v>
      </c>
      <c r="DY113" s="423"/>
      <c r="DZ113" s="424"/>
      <c r="EA113" s="422" t="s">
        <v>155</v>
      </c>
      <c r="EB113" s="423"/>
      <c r="EC113" s="424"/>
      <c r="ED113" s="422" t="s">
        <v>156</v>
      </c>
      <c r="EE113" s="423"/>
      <c r="EF113" s="424"/>
      <c r="EG113" s="422" t="s">
        <v>157</v>
      </c>
      <c r="EH113" s="423"/>
      <c r="EI113" s="424"/>
      <c r="EJ113" s="422" t="s">
        <v>158</v>
      </c>
      <c r="EK113" s="423"/>
      <c r="EL113" s="424"/>
      <c r="EM113" s="422" t="s">
        <v>159</v>
      </c>
      <c r="EN113" s="423"/>
      <c r="EO113" s="424"/>
      <c r="EP113" s="422" t="s">
        <v>160</v>
      </c>
      <c r="EQ113" s="423"/>
      <c r="ER113" s="424"/>
      <c r="ES113" s="422" t="s">
        <v>161</v>
      </c>
      <c r="ET113" s="423"/>
      <c r="EU113" s="424"/>
      <c r="EV113" s="422" t="s">
        <v>162</v>
      </c>
      <c r="EW113" s="423"/>
      <c r="EX113" s="424"/>
      <c r="EY113" s="422" t="s">
        <v>163</v>
      </c>
      <c r="EZ113" s="423"/>
      <c r="FA113" s="424"/>
      <c r="FB113" s="422" t="s">
        <v>164</v>
      </c>
      <c r="FC113" s="423"/>
      <c r="FD113" s="424"/>
      <c r="FE113" s="422" t="s">
        <v>165</v>
      </c>
      <c r="FF113" s="423"/>
      <c r="FG113" s="424"/>
      <c r="FH113" s="422" t="s">
        <v>166</v>
      </c>
      <c r="FI113" s="423"/>
      <c r="FJ113" s="424"/>
      <c r="FK113" s="422" t="s">
        <v>167</v>
      </c>
      <c r="FL113" s="423"/>
      <c r="FM113" s="424"/>
      <c r="FN113" s="422" t="s">
        <v>168</v>
      </c>
      <c r="FO113" s="423"/>
      <c r="FP113" s="424"/>
      <c r="FQ113" s="422" t="s">
        <v>169</v>
      </c>
      <c r="FR113" s="423"/>
      <c r="FS113" s="424"/>
      <c r="FT113" s="422" t="s">
        <v>170</v>
      </c>
      <c r="FU113" s="423"/>
      <c r="FV113" s="424"/>
      <c r="FW113" s="422" t="s">
        <v>171</v>
      </c>
      <c r="FX113" s="423"/>
      <c r="FY113" s="424"/>
      <c r="FZ113" s="422" t="s">
        <v>172</v>
      </c>
      <c r="GA113" s="423"/>
      <c r="GB113" s="424"/>
      <c r="GC113" s="422" t="s">
        <v>173</v>
      </c>
      <c r="GD113" s="423"/>
      <c r="GE113" s="424"/>
      <c r="GF113" s="422" t="s">
        <v>174</v>
      </c>
      <c r="GG113" s="423"/>
      <c r="GH113" s="424"/>
      <c r="GI113" s="422" t="s">
        <v>175</v>
      </c>
      <c r="GJ113" s="423"/>
      <c r="GK113" s="424"/>
      <c r="GL113" s="422" t="s">
        <v>176</v>
      </c>
      <c r="GM113" s="423"/>
      <c r="GN113" s="424"/>
      <c r="GO113" s="422" t="s">
        <v>177</v>
      </c>
      <c r="GP113" s="423"/>
      <c r="GQ113" s="424"/>
      <c r="GR113" s="422" t="s">
        <v>178</v>
      </c>
      <c r="GS113" s="423"/>
      <c r="GT113" s="424"/>
      <c r="GU113" s="422" t="s">
        <v>179</v>
      </c>
      <c r="GV113" s="423"/>
      <c r="GW113" s="424"/>
      <c r="GX113" s="422" t="s">
        <v>180</v>
      </c>
      <c r="GY113" s="423"/>
      <c r="GZ113" s="424"/>
      <c r="HA113" s="422" t="s">
        <v>181</v>
      </c>
      <c r="HB113" s="423"/>
      <c r="HC113" s="424"/>
      <c r="HD113" s="430" t="s">
        <v>38</v>
      </c>
      <c r="HE113" s="431"/>
      <c r="HF113" s="432"/>
    </row>
    <row r="114" spans="1:215" ht="15.75" thickBot="1">
      <c r="A114" s="436"/>
      <c r="B114" s="348" t="s">
        <v>39</v>
      </c>
      <c r="C114" s="349" t="s">
        <v>40</v>
      </c>
      <c r="D114" s="350" t="s">
        <v>41</v>
      </c>
      <c r="E114" s="351" t="s">
        <v>39</v>
      </c>
      <c r="F114" s="349" t="s">
        <v>40</v>
      </c>
      <c r="G114" s="359" t="s">
        <v>41</v>
      </c>
      <c r="H114" s="348" t="s">
        <v>39</v>
      </c>
      <c r="I114" s="349" t="s">
        <v>40</v>
      </c>
      <c r="J114" s="350" t="s">
        <v>41</v>
      </c>
      <c r="K114" s="351" t="s">
        <v>39</v>
      </c>
      <c r="L114" s="349" t="s">
        <v>40</v>
      </c>
      <c r="M114" s="359" t="s">
        <v>41</v>
      </c>
      <c r="N114" s="348" t="s">
        <v>39</v>
      </c>
      <c r="O114" s="349" t="s">
        <v>40</v>
      </c>
      <c r="P114" s="350" t="s">
        <v>41</v>
      </c>
      <c r="Q114" s="351" t="s">
        <v>39</v>
      </c>
      <c r="R114" s="349" t="s">
        <v>40</v>
      </c>
      <c r="S114" s="359" t="s">
        <v>41</v>
      </c>
      <c r="T114" s="348" t="s">
        <v>39</v>
      </c>
      <c r="U114" s="349" t="s">
        <v>40</v>
      </c>
      <c r="V114" s="350" t="s">
        <v>41</v>
      </c>
      <c r="W114" s="351" t="s">
        <v>39</v>
      </c>
      <c r="X114" s="349" t="s">
        <v>40</v>
      </c>
      <c r="Y114" s="359" t="s">
        <v>41</v>
      </c>
      <c r="Z114" s="348" t="s">
        <v>39</v>
      </c>
      <c r="AA114" s="349" t="s">
        <v>40</v>
      </c>
      <c r="AB114" s="350" t="s">
        <v>41</v>
      </c>
      <c r="AC114" s="351" t="s">
        <v>39</v>
      </c>
      <c r="AD114" s="349" t="s">
        <v>40</v>
      </c>
      <c r="AE114" s="359" t="s">
        <v>41</v>
      </c>
      <c r="AF114" s="348" t="s">
        <v>39</v>
      </c>
      <c r="AG114" s="349" t="s">
        <v>40</v>
      </c>
      <c r="AH114" s="350" t="s">
        <v>41</v>
      </c>
      <c r="AI114" s="351" t="s">
        <v>39</v>
      </c>
      <c r="AJ114" s="349" t="s">
        <v>40</v>
      </c>
      <c r="AK114" s="359" t="s">
        <v>41</v>
      </c>
      <c r="AL114" s="348" t="s">
        <v>39</v>
      </c>
      <c r="AM114" s="349" t="s">
        <v>40</v>
      </c>
      <c r="AN114" s="350" t="s">
        <v>41</v>
      </c>
      <c r="AO114" s="351" t="s">
        <v>39</v>
      </c>
      <c r="AP114" s="349" t="s">
        <v>40</v>
      </c>
      <c r="AQ114" s="359" t="s">
        <v>41</v>
      </c>
      <c r="AR114" s="348" t="s">
        <v>39</v>
      </c>
      <c r="AS114" s="349" t="s">
        <v>40</v>
      </c>
      <c r="AT114" s="350" t="s">
        <v>41</v>
      </c>
      <c r="AU114" s="351" t="s">
        <v>39</v>
      </c>
      <c r="AV114" s="349" t="s">
        <v>40</v>
      </c>
      <c r="AW114" s="359" t="s">
        <v>41</v>
      </c>
      <c r="AX114" s="348" t="s">
        <v>39</v>
      </c>
      <c r="AY114" s="349" t="s">
        <v>40</v>
      </c>
      <c r="AZ114" s="350" t="s">
        <v>41</v>
      </c>
      <c r="BA114" s="351" t="s">
        <v>39</v>
      </c>
      <c r="BB114" s="349" t="s">
        <v>40</v>
      </c>
      <c r="BC114" s="359" t="s">
        <v>41</v>
      </c>
      <c r="BD114" s="348" t="s">
        <v>39</v>
      </c>
      <c r="BE114" s="349" t="s">
        <v>40</v>
      </c>
      <c r="BF114" s="350" t="s">
        <v>41</v>
      </c>
      <c r="BG114" s="351" t="s">
        <v>39</v>
      </c>
      <c r="BH114" s="349" t="s">
        <v>40</v>
      </c>
      <c r="BI114" s="359" t="s">
        <v>41</v>
      </c>
      <c r="BJ114" s="348" t="s">
        <v>39</v>
      </c>
      <c r="BK114" s="349" t="s">
        <v>40</v>
      </c>
      <c r="BL114" s="350" t="s">
        <v>41</v>
      </c>
      <c r="BM114" s="351" t="s">
        <v>39</v>
      </c>
      <c r="BN114" s="349" t="s">
        <v>40</v>
      </c>
      <c r="BO114" s="359" t="s">
        <v>41</v>
      </c>
      <c r="BP114" s="348" t="s">
        <v>39</v>
      </c>
      <c r="BQ114" s="349" t="s">
        <v>40</v>
      </c>
      <c r="BR114" s="350" t="s">
        <v>41</v>
      </c>
      <c r="BS114" s="351" t="s">
        <v>39</v>
      </c>
      <c r="BT114" s="349" t="s">
        <v>40</v>
      </c>
      <c r="BU114" s="359" t="s">
        <v>41</v>
      </c>
      <c r="BV114" s="348" t="s">
        <v>39</v>
      </c>
      <c r="BW114" s="349" t="s">
        <v>40</v>
      </c>
      <c r="BX114" s="350" t="s">
        <v>41</v>
      </c>
      <c r="BY114" s="351" t="s">
        <v>39</v>
      </c>
      <c r="BZ114" s="349" t="s">
        <v>40</v>
      </c>
      <c r="CA114" s="359" t="s">
        <v>41</v>
      </c>
      <c r="CB114" s="348" t="s">
        <v>39</v>
      </c>
      <c r="CC114" s="349" t="s">
        <v>40</v>
      </c>
      <c r="CD114" s="350" t="s">
        <v>41</v>
      </c>
      <c r="CE114" s="351" t="s">
        <v>39</v>
      </c>
      <c r="CF114" s="349" t="s">
        <v>40</v>
      </c>
      <c r="CG114" s="359" t="s">
        <v>41</v>
      </c>
      <c r="CH114" s="348" t="s">
        <v>39</v>
      </c>
      <c r="CI114" s="349" t="s">
        <v>40</v>
      </c>
      <c r="CJ114" s="350" t="s">
        <v>41</v>
      </c>
      <c r="CK114" s="366" t="s">
        <v>39</v>
      </c>
      <c r="CL114" s="367" t="s">
        <v>40</v>
      </c>
      <c r="CM114" s="379" t="s">
        <v>41</v>
      </c>
      <c r="CN114" s="380" t="s">
        <v>39</v>
      </c>
      <c r="CO114" s="367" t="s">
        <v>40</v>
      </c>
      <c r="CP114" s="381" t="s">
        <v>41</v>
      </c>
      <c r="CQ114" s="363" t="s">
        <v>39</v>
      </c>
      <c r="CR114" s="364" t="s">
        <v>40</v>
      </c>
      <c r="CS114" s="365" t="s">
        <v>41</v>
      </c>
      <c r="CT114" s="363" t="s">
        <v>39</v>
      </c>
      <c r="CU114" s="364" t="s">
        <v>40</v>
      </c>
      <c r="CV114" s="365" t="s">
        <v>41</v>
      </c>
      <c r="CW114" s="363" t="s">
        <v>39</v>
      </c>
      <c r="CX114" s="364" t="s">
        <v>40</v>
      </c>
      <c r="CY114" s="365" t="s">
        <v>41</v>
      </c>
      <c r="CZ114" s="363" t="s">
        <v>39</v>
      </c>
      <c r="DA114" s="364" t="s">
        <v>40</v>
      </c>
      <c r="DB114" s="365" t="s">
        <v>41</v>
      </c>
      <c r="DC114" s="348" t="s">
        <v>39</v>
      </c>
      <c r="DD114" s="349" t="s">
        <v>40</v>
      </c>
      <c r="DE114" s="350" t="s">
        <v>41</v>
      </c>
      <c r="DF114" s="351" t="s">
        <v>39</v>
      </c>
      <c r="DG114" s="349" t="s">
        <v>40</v>
      </c>
      <c r="DH114" s="359" t="s">
        <v>41</v>
      </c>
      <c r="DI114" s="348" t="s">
        <v>39</v>
      </c>
      <c r="DJ114" s="349" t="s">
        <v>40</v>
      </c>
      <c r="DK114" s="350" t="s">
        <v>41</v>
      </c>
      <c r="DL114" s="351" t="s">
        <v>39</v>
      </c>
      <c r="DM114" s="349" t="s">
        <v>40</v>
      </c>
      <c r="DN114" s="359" t="s">
        <v>41</v>
      </c>
      <c r="DO114" s="348" t="s">
        <v>39</v>
      </c>
      <c r="DP114" s="349" t="s">
        <v>40</v>
      </c>
      <c r="DQ114" s="350" t="s">
        <v>41</v>
      </c>
      <c r="DR114" s="351" t="s">
        <v>39</v>
      </c>
      <c r="DS114" s="349" t="s">
        <v>40</v>
      </c>
      <c r="DT114" s="359" t="s">
        <v>41</v>
      </c>
      <c r="DU114" s="348" t="s">
        <v>39</v>
      </c>
      <c r="DV114" s="349" t="s">
        <v>40</v>
      </c>
      <c r="DW114" s="350" t="s">
        <v>41</v>
      </c>
      <c r="DX114" s="351" t="s">
        <v>39</v>
      </c>
      <c r="DY114" s="349" t="s">
        <v>40</v>
      </c>
      <c r="DZ114" s="359" t="s">
        <v>41</v>
      </c>
      <c r="EA114" s="348" t="s">
        <v>39</v>
      </c>
      <c r="EB114" s="349" t="s">
        <v>40</v>
      </c>
      <c r="EC114" s="350" t="s">
        <v>41</v>
      </c>
      <c r="ED114" s="351" t="s">
        <v>39</v>
      </c>
      <c r="EE114" s="349" t="s">
        <v>40</v>
      </c>
      <c r="EF114" s="359" t="s">
        <v>41</v>
      </c>
      <c r="EG114" s="348" t="s">
        <v>39</v>
      </c>
      <c r="EH114" s="349" t="s">
        <v>40</v>
      </c>
      <c r="EI114" s="350" t="s">
        <v>41</v>
      </c>
      <c r="EJ114" s="351" t="s">
        <v>39</v>
      </c>
      <c r="EK114" s="349" t="s">
        <v>40</v>
      </c>
      <c r="EL114" s="359" t="s">
        <v>41</v>
      </c>
      <c r="EM114" s="348" t="s">
        <v>39</v>
      </c>
      <c r="EN114" s="349" t="s">
        <v>40</v>
      </c>
      <c r="EO114" s="350" t="s">
        <v>41</v>
      </c>
      <c r="EP114" s="351" t="s">
        <v>39</v>
      </c>
      <c r="EQ114" s="349" t="s">
        <v>40</v>
      </c>
      <c r="ER114" s="359" t="s">
        <v>41</v>
      </c>
      <c r="ES114" s="348" t="s">
        <v>39</v>
      </c>
      <c r="ET114" s="349" t="s">
        <v>40</v>
      </c>
      <c r="EU114" s="350" t="s">
        <v>41</v>
      </c>
      <c r="EV114" s="351" t="s">
        <v>39</v>
      </c>
      <c r="EW114" s="349" t="s">
        <v>40</v>
      </c>
      <c r="EX114" s="359" t="s">
        <v>41</v>
      </c>
      <c r="EY114" s="348" t="s">
        <v>39</v>
      </c>
      <c r="EZ114" s="349" t="s">
        <v>40</v>
      </c>
      <c r="FA114" s="350" t="s">
        <v>41</v>
      </c>
      <c r="FB114" s="351" t="s">
        <v>39</v>
      </c>
      <c r="FC114" s="349" t="s">
        <v>40</v>
      </c>
      <c r="FD114" s="359" t="s">
        <v>41</v>
      </c>
      <c r="FE114" s="348" t="s">
        <v>39</v>
      </c>
      <c r="FF114" s="349" t="s">
        <v>40</v>
      </c>
      <c r="FG114" s="350" t="s">
        <v>41</v>
      </c>
      <c r="FH114" s="351" t="s">
        <v>39</v>
      </c>
      <c r="FI114" s="349" t="s">
        <v>40</v>
      </c>
      <c r="FJ114" s="359" t="s">
        <v>41</v>
      </c>
      <c r="FK114" s="348" t="s">
        <v>39</v>
      </c>
      <c r="FL114" s="349" t="s">
        <v>40</v>
      </c>
      <c r="FM114" s="350" t="s">
        <v>41</v>
      </c>
      <c r="FN114" s="351" t="s">
        <v>39</v>
      </c>
      <c r="FO114" s="349" t="s">
        <v>40</v>
      </c>
      <c r="FP114" s="359" t="s">
        <v>41</v>
      </c>
      <c r="FQ114" s="348" t="s">
        <v>39</v>
      </c>
      <c r="FR114" s="349" t="s">
        <v>40</v>
      </c>
      <c r="FS114" s="350" t="s">
        <v>41</v>
      </c>
      <c r="FT114" s="351" t="s">
        <v>39</v>
      </c>
      <c r="FU114" s="349" t="s">
        <v>40</v>
      </c>
      <c r="FV114" s="359" t="s">
        <v>41</v>
      </c>
      <c r="FW114" s="348" t="s">
        <v>39</v>
      </c>
      <c r="FX114" s="349" t="s">
        <v>40</v>
      </c>
      <c r="FY114" s="350" t="s">
        <v>41</v>
      </c>
      <c r="FZ114" s="351" t="s">
        <v>39</v>
      </c>
      <c r="GA114" s="349" t="s">
        <v>40</v>
      </c>
      <c r="GB114" s="359" t="s">
        <v>41</v>
      </c>
      <c r="GC114" s="348" t="s">
        <v>39</v>
      </c>
      <c r="GD114" s="349" t="s">
        <v>40</v>
      </c>
      <c r="GE114" s="350" t="s">
        <v>41</v>
      </c>
      <c r="GF114" s="351" t="s">
        <v>39</v>
      </c>
      <c r="GG114" s="349" t="s">
        <v>40</v>
      </c>
      <c r="GH114" s="359" t="s">
        <v>41</v>
      </c>
      <c r="GI114" s="348" t="s">
        <v>39</v>
      </c>
      <c r="GJ114" s="349" t="s">
        <v>40</v>
      </c>
      <c r="GK114" s="350" t="s">
        <v>41</v>
      </c>
      <c r="GL114" s="366" t="s">
        <v>39</v>
      </c>
      <c r="GM114" s="367" t="s">
        <v>40</v>
      </c>
      <c r="GN114" s="379" t="s">
        <v>41</v>
      </c>
      <c r="GO114" s="380" t="s">
        <v>39</v>
      </c>
      <c r="GP114" s="367" t="s">
        <v>40</v>
      </c>
      <c r="GQ114" s="381" t="s">
        <v>41</v>
      </c>
      <c r="GR114" s="363" t="s">
        <v>39</v>
      </c>
      <c r="GS114" s="364" t="s">
        <v>40</v>
      </c>
      <c r="GT114" s="365" t="s">
        <v>41</v>
      </c>
      <c r="GU114" s="363" t="s">
        <v>39</v>
      </c>
      <c r="GV114" s="364" t="s">
        <v>40</v>
      </c>
      <c r="GW114" s="365" t="s">
        <v>41</v>
      </c>
      <c r="GX114" s="363" t="s">
        <v>39</v>
      </c>
      <c r="GY114" s="364" t="s">
        <v>40</v>
      </c>
      <c r="GZ114" s="365" t="s">
        <v>41</v>
      </c>
      <c r="HA114" s="363" t="s">
        <v>39</v>
      </c>
      <c r="HB114" s="364" t="s">
        <v>40</v>
      </c>
      <c r="HC114" s="365" t="s">
        <v>41</v>
      </c>
      <c r="HD114" s="371" t="s">
        <v>39</v>
      </c>
      <c r="HE114" s="193" t="s">
        <v>40</v>
      </c>
      <c r="HF114" s="193" t="s">
        <v>41</v>
      </c>
    </row>
    <row r="115" spans="1:215" ht="15.75" thickBot="1">
      <c r="A115" s="353">
        <v>1</v>
      </c>
      <c r="B115" s="116">
        <f>+B8+B44+B80</f>
        <v>0</v>
      </c>
      <c r="C115" s="117">
        <f t="shared" ref="C115:AN115" si="121">+C8+C44+C80</f>
        <v>0</v>
      </c>
      <c r="D115" s="119">
        <f t="shared" si="121"/>
        <v>0</v>
      </c>
      <c r="E115" s="194">
        <f t="shared" si="121"/>
        <v>0</v>
      </c>
      <c r="F115" s="117">
        <f t="shared" si="121"/>
        <v>0</v>
      </c>
      <c r="G115" s="118">
        <f t="shared" si="121"/>
        <v>0</v>
      </c>
      <c r="H115" s="116">
        <f t="shared" si="121"/>
        <v>0</v>
      </c>
      <c r="I115" s="117">
        <f t="shared" si="121"/>
        <v>0</v>
      </c>
      <c r="J115" s="119">
        <f t="shared" si="121"/>
        <v>0</v>
      </c>
      <c r="K115" s="194">
        <f t="shared" si="121"/>
        <v>0</v>
      </c>
      <c r="L115" s="117">
        <f t="shared" si="121"/>
        <v>0</v>
      </c>
      <c r="M115" s="118">
        <f t="shared" si="121"/>
        <v>0</v>
      </c>
      <c r="N115" s="116">
        <f t="shared" si="121"/>
        <v>0</v>
      </c>
      <c r="O115" s="117">
        <f t="shared" si="121"/>
        <v>0</v>
      </c>
      <c r="P115" s="119">
        <f t="shared" si="121"/>
        <v>0</v>
      </c>
      <c r="Q115" s="194">
        <f t="shared" si="121"/>
        <v>0</v>
      </c>
      <c r="R115" s="117">
        <f t="shared" si="121"/>
        <v>0</v>
      </c>
      <c r="S115" s="118">
        <f t="shared" si="121"/>
        <v>0</v>
      </c>
      <c r="T115" s="116">
        <f t="shared" si="121"/>
        <v>0</v>
      </c>
      <c r="U115" s="117">
        <f t="shared" si="121"/>
        <v>0</v>
      </c>
      <c r="V115" s="119">
        <f t="shared" si="121"/>
        <v>0</v>
      </c>
      <c r="W115" s="194">
        <f t="shared" si="121"/>
        <v>0</v>
      </c>
      <c r="X115" s="117">
        <f t="shared" si="121"/>
        <v>0</v>
      </c>
      <c r="Y115" s="118">
        <f t="shared" si="121"/>
        <v>0</v>
      </c>
      <c r="Z115" s="116">
        <f t="shared" si="121"/>
        <v>0</v>
      </c>
      <c r="AA115" s="117">
        <f t="shared" si="121"/>
        <v>0</v>
      </c>
      <c r="AB115" s="119">
        <f t="shared" si="121"/>
        <v>0</v>
      </c>
      <c r="AC115" s="194">
        <f t="shared" si="121"/>
        <v>0</v>
      </c>
      <c r="AD115" s="117">
        <f t="shared" si="121"/>
        <v>0</v>
      </c>
      <c r="AE115" s="118">
        <f t="shared" si="121"/>
        <v>0</v>
      </c>
      <c r="AF115" s="116">
        <f t="shared" si="121"/>
        <v>0</v>
      </c>
      <c r="AG115" s="117">
        <f t="shared" si="121"/>
        <v>0</v>
      </c>
      <c r="AH115" s="119">
        <f t="shared" si="121"/>
        <v>0</v>
      </c>
      <c r="AI115" s="194">
        <f t="shared" si="121"/>
        <v>0</v>
      </c>
      <c r="AJ115" s="117">
        <f t="shared" si="121"/>
        <v>0</v>
      </c>
      <c r="AK115" s="118">
        <f t="shared" si="121"/>
        <v>0</v>
      </c>
      <c r="AL115" s="116">
        <f t="shared" si="121"/>
        <v>0</v>
      </c>
      <c r="AM115" s="117">
        <f t="shared" si="121"/>
        <v>0</v>
      </c>
      <c r="AN115" s="119">
        <f t="shared" si="121"/>
        <v>0</v>
      </c>
      <c r="AO115" s="194">
        <f t="shared" ref="AO115:CA115" si="122">+AO8+AO44+AO80</f>
        <v>0</v>
      </c>
      <c r="AP115" s="117">
        <f t="shared" si="122"/>
        <v>0</v>
      </c>
      <c r="AQ115" s="118">
        <f t="shared" si="122"/>
        <v>0</v>
      </c>
      <c r="AR115" s="116">
        <f t="shared" si="122"/>
        <v>0</v>
      </c>
      <c r="AS115" s="117">
        <f t="shared" si="122"/>
        <v>0</v>
      </c>
      <c r="AT115" s="119">
        <f t="shared" si="122"/>
        <v>0</v>
      </c>
      <c r="AU115" s="194">
        <f t="shared" si="122"/>
        <v>0</v>
      </c>
      <c r="AV115" s="117">
        <f t="shared" si="122"/>
        <v>0</v>
      </c>
      <c r="AW115" s="118">
        <f t="shared" si="122"/>
        <v>0</v>
      </c>
      <c r="AX115" s="116">
        <f t="shared" si="122"/>
        <v>0</v>
      </c>
      <c r="AY115" s="117">
        <f t="shared" si="122"/>
        <v>0</v>
      </c>
      <c r="AZ115" s="119">
        <f t="shared" si="122"/>
        <v>0</v>
      </c>
      <c r="BA115" s="194">
        <f t="shared" si="122"/>
        <v>0</v>
      </c>
      <c r="BB115" s="117">
        <f t="shared" si="122"/>
        <v>0</v>
      </c>
      <c r="BC115" s="118">
        <f t="shared" si="122"/>
        <v>0</v>
      </c>
      <c r="BD115" s="116">
        <f t="shared" si="122"/>
        <v>0</v>
      </c>
      <c r="BE115" s="117">
        <f t="shared" si="122"/>
        <v>0</v>
      </c>
      <c r="BF115" s="119">
        <f t="shared" si="122"/>
        <v>0</v>
      </c>
      <c r="BG115" s="194">
        <f t="shared" si="122"/>
        <v>0</v>
      </c>
      <c r="BH115" s="117">
        <f t="shared" si="122"/>
        <v>0</v>
      </c>
      <c r="BI115" s="118">
        <f t="shared" si="122"/>
        <v>0</v>
      </c>
      <c r="BJ115" s="116">
        <f t="shared" si="122"/>
        <v>0</v>
      </c>
      <c r="BK115" s="117">
        <f t="shared" si="122"/>
        <v>0</v>
      </c>
      <c r="BL115" s="119">
        <f t="shared" si="122"/>
        <v>0</v>
      </c>
      <c r="BM115" s="194">
        <f t="shared" si="122"/>
        <v>0</v>
      </c>
      <c r="BN115" s="117">
        <f t="shared" si="122"/>
        <v>0</v>
      </c>
      <c r="BO115" s="118">
        <f t="shared" si="122"/>
        <v>0</v>
      </c>
      <c r="BP115" s="116">
        <f t="shared" si="122"/>
        <v>0</v>
      </c>
      <c r="BQ115" s="117">
        <f t="shared" si="122"/>
        <v>0</v>
      </c>
      <c r="BR115" s="119">
        <f t="shared" si="122"/>
        <v>0</v>
      </c>
      <c r="BS115" s="194">
        <f t="shared" si="122"/>
        <v>0</v>
      </c>
      <c r="BT115" s="117">
        <f t="shared" si="122"/>
        <v>0</v>
      </c>
      <c r="BU115" s="118">
        <f t="shared" si="122"/>
        <v>0</v>
      </c>
      <c r="BV115" s="116">
        <f t="shared" si="122"/>
        <v>0</v>
      </c>
      <c r="BW115" s="117">
        <f t="shared" si="122"/>
        <v>0</v>
      </c>
      <c r="BX115" s="119">
        <f t="shared" si="122"/>
        <v>0</v>
      </c>
      <c r="BY115" s="194">
        <f t="shared" si="122"/>
        <v>0</v>
      </c>
      <c r="BZ115" s="117">
        <f t="shared" si="122"/>
        <v>0</v>
      </c>
      <c r="CA115" s="118">
        <f t="shared" si="122"/>
        <v>0</v>
      </c>
      <c r="CB115" s="116">
        <f t="shared" ref="CB115:DB115" si="123">+CB8+CB44+CB80</f>
        <v>0</v>
      </c>
      <c r="CC115" s="117">
        <f t="shared" si="123"/>
        <v>0</v>
      </c>
      <c r="CD115" s="119">
        <f t="shared" si="123"/>
        <v>0</v>
      </c>
      <c r="CE115" s="194">
        <f t="shared" si="123"/>
        <v>0</v>
      </c>
      <c r="CF115" s="117">
        <f t="shared" si="123"/>
        <v>0</v>
      </c>
      <c r="CG115" s="118">
        <f t="shared" si="123"/>
        <v>0</v>
      </c>
      <c r="CH115" s="116">
        <f t="shared" si="123"/>
        <v>0</v>
      </c>
      <c r="CI115" s="117">
        <f t="shared" si="123"/>
        <v>0</v>
      </c>
      <c r="CJ115" s="118">
        <f t="shared" si="123"/>
        <v>0</v>
      </c>
      <c r="CK115" s="120">
        <f t="shared" si="123"/>
        <v>0</v>
      </c>
      <c r="CL115" s="41">
        <f t="shared" si="123"/>
        <v>0</v>
      </c>
      <c r="CM115" s="121">
        <f t="shared" si="123"/>
        <v>0</v>
      </c>
      <c r="CN115" s="120">
        <f t="shared" si="123"/>
        <v>0</v>
      </c>
      <c r="CO115" s="41">
        <f t="shared" si="123"/>
        <v>0</v>
      </c>
      <c r="CP115" s="122">
        <f t="shared" si="123"/>
        <v>0</v>
      </c>
      <c r="CQ115" s="194">
        <f t="shared" si="123"/>
        <v>0</v>
      </c>
      <c r="CR115" s="117">
        <f t="shared" ref="CR115:CT115" si="124">+CR8+CR44+CR80</f>
        <v>0</v>
      </c>
      <c r="CS115" s="119">
        <f t="shared" si="124"/>
        <v>0</v>
      </c>
      <c r="CT115" s="194">
        <f t="shared" si="124"/>
        <v>0</v>
      </c>
      <c r="CU115" s="117">
        <f t="shared" ref="CU115:CW115" si="125">+CU8+CU44+CU80</f>
        <v>0</v>
      </c>
      <c r="CV115" s="119">
        <f t="shared" si="125"/>
        <v>0</v>
      </c>
      <c r="CW115" s="194">
        <f t="shared" si="125"/>
        <v>0</v>
      </c>
      <c r="CX115" s="117">
        <f t="shared" ref="CX115:CZ115" si="126">+CX8+CX44+CX80</f>
        <v>0</v>
      </c>
      <c r="CY115" s="119">
        <f t="shared" si="126"/>
        <v>0</v>
      </c>
      <c r="CZ115" s="194">
        <f t="shared" si="126"/>
        <v>0</v>
      </c>
      <c r="DA115" s="117">
        <f t="shared" si="123"/>
        <v>0</v>
      </c>
      <c r="DB115" s="119">
        <f t="shared" si="123"/>
        <v>0</v>
      </c>
      <c r="DC115" s="116">
        <f>+DC8+DC44+DC80</f>
        <v>0</v>
      </c>
      <c r="DD115" s="117">
        <f t="shared" ref="DD115:FO115" si="127">+DD8+DD44+DD80</f>
        <v>0</v>
      </c>
      <c r="DE115" s="119">
        <f t="shared" si="127"/>
        <v>0</v>
      </c>
      <c r="DF115" s="194">
        <f t="shared" si="127"/>
        <v>0</v>
      </c>
      <c r="DG115" s="117">
        <f t="shared" si="127"/>
        <v>0</v>
      </c>
      <c r="DH115" s="118">
        <f t="shared" si="127"/>
        <v>0</v>
      </c>
      <c r="DI115" s="116">
        <f t="shared" si="127"/>
        <v>0</v>
      </c>
      <c r="DJ115" s="117">
        <f t="shared" si="127"/>
        <v>0</v>
      </c>
      <c r="DK115" s="119">
        <f t="shared" si="127"/>
        <v>0</v>
      </c>
      <c r="DL115" s="194">
        <f t="shared" si="127"/>
        <v>0</v>
      </c>
      <c r="DM115" s="117">
        <f t="shared" si="127"/>
        <v>0</v>
      </c>
      <c r="DN115" s="118">
        <f t="shared" si="127"/>
        <v>0</v>
      </c>
      <c r="DO115" s="116">
        <f t="shared" si="127"/>
        <v>0</v>
      </c>
      <c r="DP115" s="117">
        <f t="shared" si="127"/>
        <v>0</v>
      </c>
      <c r="DQ115" s="119">
        <f t="shared" si="127"/>
        <v>0</v>
      </c>
      <c r="DR115" s="194">
        <f t="shared" si="127"/>
        <v>0</v>
      </c>
      <c r="DS115" s="117">
        <f t="shared" si="127"/>
        <v>0</v>
      </c>
      <c r="DT115" s="118">
        <f t="shared" si="127"/>
        <v>0</v>
      </c>
      <c r="DU115" s="116">
        <f t="shared" si="127"/>
        <v>0</v>
      </c>
      <c r="DV115" s="117">
        <f t="shared" si="127"/>
        <v>0</v>
      </c>
      <c r="DW115" s="119">
        <f t="shared" si="127"/>
        <v>0</v>
      </c>
      <c r="DX115" s="194">
        <f t="shared" si="127"/>
        <v>0</v>
      </c>
      <c r="DY115" s="117">
        <f t="shared" si="127"/>
        <v>0</v>
      </c>
      <c r="DZ115" s="118">
        <f t="shared" si="127"/>
        <v>0</v>
      </c>
      <c r="EA115" s="116">
        <f t="shared" si="127"/>
        <v>0</v>
      </c>
      <c r="EB115" s="117">
        <f t="shared" si="127"/>
        <v>0</v>
      </c>
      <c r="EC115" s="119">
        <f t="shared" si="127"/>
        <v>0</v>
      </c>
      <c r="ED115" s="194">
        <f t="shared" si="127"/>
        <v>0</v>
      </c>
      <c r="EE115" s="117">
        <f t="shared" si="127"/>
        <v>0</v>
      </c>
      <c r="EF115" s="118">
        <f t="shared" si="127"/>
        <v>0</v>
      </c>
      <c r="EG115" s="116">
        <f t="shared" si="127"/>
        <v>0</v>
      </c>
      <c r="EH115" s="117">
        <f t="shared" si="127"/>
        <v>0</v>
      </c>
      <c r="EI115" s="119">
        <f t="shared" si="127"/>
        <v>0</v>
      </c>
      <c r="EJ115" s="194">
        <f t="shared" si="127"/>
        <v>0</v>
      </c>
      <c r="EK115" s="117">
        <f t="shared" si="127"/>
        <v>0</v>
      </c>
      <c r="EL115" s="118">
        <f t="shared" si="127"/>
        <v>0</v>
      </c>
      <c r="EM115" s="116">
        <f t="shared" si="127"/>
        <v>0</v>
      </c>
      <c r="EN115" s="117">
        <f t="shared" si="127"/>
        <v>0</v>
      </c>
      <c r="EO115" s="119">
        <f t="shared" si="127"/>
        <v>0</v>
      </c>
      <c r="EP115" s="194">
        <f t="shared" si="127"/>
        <v>0</v>
      </c>
      <c r="EQ115" s="117">
        <f t="shared" si="127"/>
        <v>0</v>
      </c>
      <c r="ER115" s="118">
        <f t="shared" si="127"/>
        <v>0</v>
      </c>
      <c r="ES115" s="116">
        <f t="shared" si="127"/>
        <v>0</v>
      </c>
      <c r="ET115" s="117">
        <f t="shared" si="127"/>
        <v>0</v>
      </c>
      <c r="EU115" s="119">
        <f t="shared" si="127"/>
        <v>0</v>
      </c>
      <c r="EV115" s="194">
        <f t="shared" si="127"/>
        <v>0</v>
      </c>
      <c r="EW115" s="117">
        <f t="shared" si="127"/>
        <v>0</v>
      </c>
      <c r="EX115" s="118">
        <f t="shared" si="127"/>
        <v>0</v>
      </c>
      <c r="EY115" s="116">
        <f t="shared" si="127"/>
        <v>0</v>
      </c>
      <c r="EZ115" s="117">
        <f t="shared" si="127"/>
        <v>0</v>
      </c>
      <c r="FA115" s="119">
        <f t="shared" si="127"/>
        <v>0</v>
      </c>
      <c r="FB115" s="194">
        <f t="shared" si="127"/>
        <v>0</v>
      </c>
      <c r="FC115" s="117">
        <f t="shared" si="127"/>
        <v>0</v>
      </c>
      <c r="FD115" s="118">
        <f t="shared" si="127"/>
        <v>0</v>
      </c>
      <c r="FE115" s="116">
        <f t="shared" si="127"/>
        <v>0</v>
      </c>
      <c r="FF115" s="117">
        <f t="shared" si="127"/>
        <v>0</v>
      </c>
      <c r="FG115" s="119">
        <f t="shared" si="127"/>
        <v>0</v>
      </c>
      <c r="FH115" s="194">
        <f t="shared" si="127"/>
        <v>0</v>
      </c>
      <c r="FI115" s="117">
        <f t="shared" si="127"/>
        <v>0</v>
      </c>
      <c r="FJ115" s="118">
        <f t="shared" si="127"/>
        <v>0</v>
      </c>
      <c r="FK115" s="116">
        <f t="shared" si="127"/>
        <v>0</v>
      </c>
      <c r="FL115" s="117">
        <f t="shared" si="127"/>
        <v>0</v>
      </c>
      <c r="FM115" s="119">
        <f t="shared" si="127"/>
        <v>0</v>
      </c>
      <c r="FN115" s="194">
        <f t="shared" si="127"/>
        <v>0</v>
      </c>
      <c r="FO115" s="117">
        <f t="shared" si="127"/>
        <v>0</v>
      </c>
      <c r="FP115" s="118">
        <f t="shared" ref="FP115:HC115" si="128">+FP8+FP44+FP80</f>
        <v>0</v>
      </c>
      <c r="FQ115" s="116">
        <f t="shared" si="128"/>
        <v>0</v>
      </c>
      <c r="FR115" s="117">
        <f t="shared" si="128"/>
        <v>0</v>
      </c>
      <c r="FS115" s="119">
        <f t="shared" si="128"/>
        <v>0</v>
      </c>
      <c r="FT115" s="194">
        <f t="shared" si="128"/>
        <v>0</v>
      </c>
      <c r="FU115" s="117">
        <f t="shared" si="128"/>
        <v>0</v>
      </c>
      <c r="FV115" s="118">
        <f t="shared" si="128"/>
        <v>0</v>
      </c>
      <c r="FW115" s="116">
        <f t="shared" si="128"/>
        <v>0</v>
      </c>
      <c r="FX115" s="117">
        <f t="shared" si="128"/>
        <v>0</v>
      </c>
      <c r="FY115" s="119">
        <f t="shared" si="128"/>
        <v>0</v>
      </c>
      <c r="FZ115" s="194">
        <f t="shared" si="128"/>
        <v>0</v>
      </c>
      <c r="GA115" s="117">
        <f t="shared" si="128"/>
        <v>0</v>
      </c>
      <c r="GB115" s="118">
        <f t="shared" si="128"/>
        <v>0</v>
      </c>
      <c r="GC115" s="116">
        <f t="shared" si="128"/>
        <v>0</v>
      </c>
      <c r="GD115" s="117">
        <f t="shared" si="128"/>
        <v>0</v>
      </c>
      <c r="GE115" s="119">
        <f t="shared" si="128"/>
        <v>0</v>
      </c>
      <c r="GF115" s="194">
        <f t="shared" si="128"/>
        <v>0</v>
      </c>
      <c r="GG115" s="117">
        <f t="shared" si="128"/>
        <v>0</v>
      </c>
      <c r="GH115" s="118">
        <f t="shared" si="128"/>
        <v>0</v>
      </c>
      <c r="GI115" s="116">
        <f t="shared" si="128"/>
        <v>0</v>
      </c>
      <c r="GJ115" s="117">
        <f t="shared" si="128"/>
        <v>0</v>
      </c>
      <c r="GK115" s="118">
        <f t="shared" si="128"/>
        <v>0</v>
      </c>
      <c r="GL115" s="120">
        <f t="shared" si="128"/>
        <v>0</v>
      </c>
      <c r="GM115" s="41">
        <f t="shared" si="128"/>
        <v>0</v>
      </c>
      <c r="GN115" s="121">
        <f t="shared" si="128"/>
        <v>0</v>
      </c>
      <c r="GO115" s="120">
        <f t="shared" si="128"/>
        <v>0</v>
      </c>
      <c r="GP115" s="41">
        <f t="shared" si="128"/>
        <v>0</v>
      </c>
      <c r="GQ115" s="122">
        <f t="shared" si="128"/>
        <v>0</v>
      </c>
      <c r="GR115" s="194">
        <f t="shared" si="128"/>
        <v>0</v>
      </c>
      <c r="GS115" s="117">
        <f t="shared" si="128"/>
        <v>0</v>
      </c>
      <c r="GT115" s="119">
        <f t="shared" si="128"/>
        <v>0</v>
      </c>
      <c r="GU115" s="194">
        <f t="shared" si="128"/>
        <v>0</v>
      </c>
      <c r="GV115" s="117">
        <f t="shared" si="128"/>
        <v>0</v>
      </c>
      <c r="GW115" s="119">
        <f t="shared" si="128"/>
        <v>0</v>
      </c>
      <c r="GX115" s="194">
        <f t="shared" si="128"/>
        <v>0</v>
      </c>
      <c r="GY115" s="117">
        <f t="shared" si="128"/>
        <v>0</v>
      </c>
      <c r="GZ115" s="119">
        <f t="shared" si="128"/>
        <v>0</v>
      </c>
      <c r="HA115" s="194">
        <f t="shared" si="128"/>
        <v>0</v>
      </c>
      <c r="HB115" s="117">
        <f t="shared" si="128"/>
        <v>0</v>
      </c>
      <c r="HC115" s="119">
        <f t="shared" si="128"/>
        <v>0</v>
      </c>
      <c r="HD115" s="368">
        <f t="shared" ref="HD115" si="129">+B115+E115+H115+K115+N115+Q115+T115+W115+Z115+AC115+AF115+AI115+AL115+AO115+AR115+AU115+AX115+BA115+BD115+BG115+BJ115+BM115+BP115+BS115+BV115+BY115+CB115+CE115+CH115+CK115+CN115+CZ115+CQ115+CT115+CW115+DC115+DF115+DI115+DL115+DO115+DR115+DU115+DX115+EA115+ED115+EG115+EJ115+EM115+EP115+ES115+EV115+EY115+FB115+FE115+FH115+FK115+FN115+FQ115+FT115+FW115+FZ115+GC115+GF115+GI115+GL115+GO115+GR115+GU115+GX115+HA115</f>
        <v>0</v>
      </c>
      <c r="HE115" s="369">
        <f t="shared" ref="HE115" si="130">+C115+F115+I115+L115+O115+R115+U115+X115+AA115+AD115+AG115+AJ115+AM115+AP115+AS115+AV115+AY115+BB115+BE115+BH115+BK115+BN115+BQ115+BT115+BW115+BZ115+CC115+CF115+CI115+CL115+CO115+DA115+CR115+CU115+CX115+DD115+DG115+DJ115+DM115+DP115+DS115+DV115+DY115+EB115+EE115+EH115+EK115+EN115+EQ115+ET115+EW115+EZ115+FC115+FF115+FI115+FL115+FO115+FR115+FU115+FX115+GA115+GD115+GG115+GJ115+GM115+GP115+GS115+GV115+GY115+HB115</f>
        <v>0</v>
      </c>
      <c r="HF115" s="369">
        <f t="shared" ref="HF115" si="131">+D115+G115+J115+M115+P115+S115+V115+Y115+AE115+AH115+AK115+AQ115+AT115+AW115+AZ115+BC115+BF115+BI115+BL115+BO115+BR115+BU115+BX115+CA115+CD115+CG115+CJ115+CM115+CP115+DB115+AB115+AN115+CS115+CV115+CY115+DE115+DH115+DK115+DN115+DQ115+DT115+DW115+DZ115+EC115+EF115+EI115+EL115+EO115+ER115+EU115+EX115+FA115+FD115+FG115+FJ115+FM115+FP115+FS115+FV115+FY115+GB115+GE115+GH115+GK115+GN115+GQ115+GT115+GW115+GZ115+HC115</f>
        <v>0</v>
      </c>
      <c r="HG115" s="145">
        <f t="shared" ref="HG115:HG146" si="132">SUM(HD115:HF115)</f>
        <v>0</v>
      </c>
    </row>
    <row r="116" spans="1:215" ht="15.75" thickBot="1">
      <c r="A116" s="238">
        <v>2</v>
      </c>
      <c r="B116" s="116">
        <f t="shared" ref="B116:AN116" si="133">+B9+B45+B81</f>
        <v>0</v>
      </c>
      <c r="C116" s="117">
        <f t="shared" si="133"/>
        <v>0</v>
      </c>
      <c r="D116" s="119">
        <f t="shared" si="133"/>
        <v>0</v>
      </c>
      <c r="E116" s="194">
        <f t="shared" si="133"/>
        <v>0</v>
      </c>
      <c r="F116" s="117">
        <f t="shared" si="133"/>
        <v>0</v>
      </c>
      <c r="G116" s="118">
        <f t="shared" si="133"/>
        <v>0</v>
      </c>
      <c r="H116" s="116">
        <f t="shared" si="133"/>
        <v>0</v>
      </c>
      <c r="I116" s="117">
        <f t="shared" si="133"/>
        <v>0</v>
      </c>
      <c r="J116" s="119">
        <f t="shared" si="133"/>
        <v>0</v>
      </c>
      <c r="K116" s="194">
        <f t="shared" si="133"/>
        <v>0</v>
      </c>
      <c r="L116" s="117">
        <f t="shared" si="133"/>
        <v>0</v>
      </c>
      <c r="M116" s="118">
        <f t="shared" si="133"/>
        <v>0</v>
      </c>
      <c r="N116" s="116">
        <f t="shared" si="133"/>
        <v>0</v>
      </c>
      <c r="O116" s="117">
        <f t="shared" si="133"/>
        <v>0</v>
      </c>
      <c r="P116" s="119">
        <f t="shared" si="133"/>
        <v>0</v>
      </c>
      <c r="Q116" s="194">
        <f t="shared" si="133"/>
        <v>0</v>
      </c>
      <c r="R116" s="117">
        <f t="shared" si="133"/>
        <v>0</v>
      </c>
      <c r="S116" s="118">
        <f t="shared" si="133"/>
        <v>0</v>
      </c>
      <c r="T116" s="116">
        <f t="shared" si="133"/>
        <v>0</v>
      </c>
      <c r="U116" s="117">
        <f t="shared" si="133"/>
        <v>0</v>
      </c>
      <c r="V116" s="119">
        <f t="shared" si="133"/>
        <v>0</v>
      </c>
      <c r="W116" s="194">
        <f t="shared" si="133"/>
        <v>0</v>
      </c>
      <c r="X116" s="117">
        <f t="shared" si="133"/>
        <v>0</v>
      </c>
      <c r="Y116" s="118">
        <f t="shared" si="133"/>
        <v>0</v>
      </c>
      <c r="Z116" s="116">
        <f t="shared" si="133"/>
        <v>0</v>
      </c>
      <c r="AA116" s="117">
        <f t="shared" si="133"/>
        <v>0</v>
      </c>
      <c r="AB116" s="119">
        <f t="shared" si="133"/>
        <v>0</v>
      </c>
      <c r="AC116" s="194">
        <f t="shared" si="133"/>
        <v>0</v>
      </c>
      <c r="AD116" s="117">
        <f t="shared" si="133"/>
        <v>0</v>
      </c>
      <c r="AE116" s="118">
        <f t="shared" si="133"/>
        <v>0</v>
      </c>
      <c r="AF116" s="116">
        <f t="shared" si="133"/>
        <v>0</v>
      </c>
      <c r="AG116" s="117">
        <f t="shared" si="133"/>
        <v>0</v>
      </c>
      <c r="AH116" s="119">
        <f t="shared" si="133"/>
        <v>0</v>
      </c>
      <c r="AI116" s="194">
        <f t="shared" si="133"/>
        <v>0</v>
      </c>
      <c r="AJ116" s="117">
        <f t="shared" si="133"/>
        <v>0</v>
      </c>
      <c r="AK116" s="118">
        <f t="shared" si="133"/>
        <v>0</v>
      </c>
      <c r="AL116" s="116">
        <f t="shared" si="133"/>
        <v>0</v>
      </c>
      <c r="AM116" s="117">
        <f t="shared" si="133"/>
        <v>0</v>
      </c>
      <c r="AN116" s="119">
        <f t="shared" si="133"/>
        <v>0</v>
      </c>
      <c r="AO116" s="194">
        <f t="shared" ref="AO116:BZ116" si="134">+AO9+AO45+AO81</f>
        <v>0</v>
      </c>
      <c r="AP116" s="117">
        <f t="shared" si="134"/>
        <v>0</v>
      </c>
      <c r="AQ116" s="118">
        <f t="shared" si="134"/>
        <v>0</v>
      </c>
      <c r="AR116" s="116">
        <f t="shared" si="134"/>
        <v>0</v>
      </c>
      <c r="AS116" s="117">
        <f t="shared" si="134"/>
        <v>0</v>
      </c>
      <c r="AT116" s="119">
        <f t="shared" si="134"/>
        <v>0</v>
      </c>
      <c r="AU116" s="194">
        <f t="shared" si="134"/>
        <v>0</v>
      </c>
      <c r="AV116" s="117">
        <f t="shared" si="134"/>
        <v>0</v>
      </c>
      <c r="AW116" s="118">
        <f t="shared" si="134"/>
        <v>0</v>
      </c>
      <c r="AX116" s="116">
        <f t="shared" si="134"/>
        <v>0</v>
      </c>
      <c r="AY116" s="117">
        <f t="shared" si="134"/>
        <v>0</v>
      </c>
      <c r="AZ116" s="119">
        <f t="shared" si="134"/>
        <v>0</v>
      </c>
      <c r="BA116" s="194">
        <f t="shared" si="134"/>
        <v>0</v>
      </c>
      <c r="BB116" s="117">
        <f t="shared" si="134"/>
        <v>0</v>
      </c>
      <c r="BC116" s="118">
        <f t="shared" si="134"/>
        <v>0</v>
      </c>
      <c r="BD116" s="116">
        <f t="shared" si="134"/>
        <v>0</v>
      </c>
      <c r="BE116" s="117">
        <f t="shared" si="134"/>
        <v>0</v>
      </c>
      <c r="BF116" s="119">
        <f t="shared" si="134"/>
        <v>0</v>
      </c>
      <c r="BG116" s="194">
        <f t="shared" si="134"/>
        <v>0</v>
      </c>
      <c r="BH116" s="117">
        <f t="shared" si="134"/>
        <v>0</v>
      </c>
      <c r="BI116" s="118">
        <f t="shared" si="134"/>
        <v>0</v>
      </c>
      <c r="BJ116" s="116">
        <f t="shared" si="134"/>
        <v>0</v>
      </c>
      <c r="BK116" s="117">
        <f t="shared" si="134"/>
        <v>0</v>
      </c>
      <c r="BL116" s="119">
        <f t="shared" si="134"/>
        <v>0</v>
      </c>
      <c r="BM116" s="194">
        <f t="shared" si="134"/>
        <v>0</v>
      </c>
      <c r="BN116" s="117">
        <f t="shared" si="134"/>
        <v>0</v>
      </c>
      <c r="BO116" s="118">
        <f t="shared" si="134"/>
        <v>0</v>
      </c>
      <c r="BP116" s="116">
        <f t="shared" si="134"/>
        <v>0</v>
      </c>
      <c r="BQ116" s="117">
        <f t="shared" si="134"/>
        <v>0</v>
      </c>
      <c r="BR116" s="119">
        <f t="shared" si="134"/>
        <v>0</v>
      </c>
      <c r="BS116" s="194">
        <f t="shared" si="134"/>
        <v>0</v>
      </c>
      <c r="BT116" s="117">
        <f t="shared" si="134"/>
        <v>0</v>
      </c>
      <c r="BU116" s="118">
        <f t="shared" si="134"/>
        <v>0</v>
      </c>
      <c r="BV116" s="116">
        <f t="shared" si="134"/>
        <v>0</v>
      </c>
      <c r="BW116" s="117">
        <f t="shared" si="134"/>
        <v>0</v>
      </c>
      <c r="BX116" s="119">
        <f t="shared" si="134"/>
        <v>0</v>
      </c>
      <c r="BY116" s="194">
        <f t="shared" si="134"/>
        <v>0</v>
      </c>
      <c r="BZ116" s="117">
        <f t="shared" si="134"/>
        <v>0</v>
      </c>
      <c r="CA116" s="118">
        <f t="shared" ref="CA116:EL116" si="135">+CA9+CA45+CA81</f>
        <v>0</v>
      </c>
      <c r="CB116" s="116">
        <f t="shared" si="135"/>
        <v>0</v>
      </c>
      <c r="CC116" s="117">
        <f t="shared" si="135"/>
        <v>0</v>
      </c>
      <c r="CD116" s="119">
        <f t="shared" si="135"/>
        <v>0</v>
      </c>
      <c r="CE116" s="194">
        <f t="shared" si="135"/>
        <v>0</v>
      </c>
      <c r="CF116" s="117">
        <f t="shared" si="135"/>
        <v>0</v>
      </c>
      <c r="CG116" s="118">
        <f t="shared" si="135"/>
        <v>0</v>
      </c>
      <c r="CH116" s="116">
        <f t="shared" si="135"/>
        <v>0</v>
      </c>
      <c r="CI116" s="117">
        <f t="shared" si="135"/>
        <v>0</v>
      </c>
      <c r="CJ116" s="118">
        <f t="shared" si="135"/>
        <v>0</v>
      </c>
      <c r="CK116" s="239">
        <f t="shared" si="135"/>
        <v>0</v>
      </c>
      <c r="CL116" s="43">
        <f t="shared" si="135"/>
        <v>0</v>
      </c>
      <c r="CM116" s="283">
        <f t="shared" si="135"/>
        <v>0</v>
      </c>
      <c r="CN116" s="239">
        <f t="shared" si="135"/>
        <v>0</v>
      </c>
      <c r="CO116" s="43">
        <f t="shared" si="135"/>
        <v>0</v>
      </c>
      <c r="CP116" s="57">
        <f t="shared" si="135"/>
        <v>0</v>
      </c>
      <c r="CQ116" s="194">
        <f t="shared" ref="CQ116:CZ116" si="136">+CQ9+CQ45+CQ81</f>
        <v>0</v>
      </c>
      <c r="CR116" s="117">
        <f t="shared" si="136"/>
        <v>0</v>
      </c>
      <c r="CS116" s="119">
        <f t="shared" si="136"/>
        <v>0</v>
      </c>
      <c r="CT116" s="194">
        <f t="shared" si="136"/>
        <v>0</v>
      </c>
      <c r="CU116" s="117">
        <f t="shared" si="136"/>
        <v>0</v>
      </c>
      <c r="CV116" s="119">
        <f t="shared" si="136"/>
        <v>0</v>
      </c>
      <c r="CW116" s="194">
        <f t="shared" si="136"/>
        <v>0</v>
      </c>
      <c r="CX116" s="117">
        <f t="shared" si="136"/>
        <v>0</v>
      </c>
      <c r="CY116" s="119">
        <f t="shared" si="136"/>
        <v>0</v>
      </c>
      <c r="CZ116" s="194">
        <f t="shared" si="136"/>
        <v>0</v>
      </c>
      <c r="DA116" s="117">
        <f t="shared" si="135"/>
        <v>0</v>
      </c>
      <c r="DB116" s="119">
        <f t="shared" si="135"/>
        <v>0</v>
      </c>
      <c r="DC116" s="116">
        <f t="shared" si="135"/>
        <v>0</v>
      </c>
      <c r="DD116" s="117">
        <f t="shared" si="135"/>
        <v>0</v>
      </c>
      <c r="DE116" s="119">
        <f t="shared" si="135"/>
        <v>0</v>
      </c>
      <c r="DF116" s="194">
        <f t="shared" si="135"/>
        <v>0</v>
      </c>
      <c r="DG116" s="117">
        <f t="shared" si="135"/>
        <v>0</v>
      </c>
      <c r="DH116" s="118">
        <f t="shared" si="135"/>
        <v>0</v>
      </c>
      <c r="DI116" s="116">
        <f t="shared" si="135"/>
        <v>0</v>
      </c>
      <c r="DJ116" s="117">
        <f t="shared" si="135"/>
        <v>0</v>
      </c>
      <c r="DK116" s="119">
        <f t="shared" si="135"/>
        <v>0</v>
      </c>
      <c r="DL116" s="194">
        <f t="shared" si="135"/>
        <v>0</v>
      </c>
      <c r="DM116" s="117">
        <f t="shared" si="135"/>
        <v>0</v>
      </c>
      <c r="DN116" s="118">
        <f t="shared" si="135"/>
        <v>0</v>
      </c>
      <c r="DO116" s="116">
        <f t="shared" si="135"/>
        <v>0</v>
      </c>
      <c r="DP116" s="117">
        <f t="shared" si="135"/>
        <v>0</v>
      </c>
      <c r="DQ116" s="119">
        <f t="shared" si="135"/>
        <v>0</v>
      </c>
      <c r="DR116" s="194">
        <f t="shared" si="135"/>
        <v>0</v>
      </c>
      <c r="DS116" s="117">
        <f t="shared" si="135"/>
        <v>0</v>
      </c>
      <c r="DT116" s="118">
        <f t="shared" si="135"/>
        <v>0</v>
      </c>
      <c r="DU116" s="116">
        <f t="shared" si="135"/>
        <v>0</v>
      </c>
      <c r="DV116" s="117">
        <f t="shared" si="135"/>
        <v>0</v>
      </c>
      <c r="DW116" s="119">
        <f t="shared" si="135"/>
        <v>0</v>
      </c>
      <c r="DX116" s="194">
        <f t="shared" si="135"/>
        <v>0</v>
      </c>
      <c r="DY116" s="117">
        <f t="shared" si="135"/>
        <v>0</v>
      </c>
      <c r="DZ116" s="118">
        <f t="shared" si="135"/>
        <v>0</v>
      </c>
      <c r="EA116" s="116">
        <f t="shared" si="135"/>
        <v>0</v>
      </c>
      <c r="EB116" s="117">
        <f t="shared" si="135"/>
        <v>0</v>
      </c>
      <c r="EC116" s="119">
        <f t="shared" si="135"/>
        <v>0</v>
      </c>
      <c r="ED116" s="194">
        <f t="shared" si="135"/>
        <v>0</v>
      </c>
      <c r="EE116" s="117">
        <f t="shared" si="135"/>
        <v>0</v>
      </c>
      <c r="EF116" s="118">
        <f t="shared" si="135"/>
        <v>0</v>
      </c>
      <c r="EG116" s="116">
        <f t="shared" si="135"/>
        <v>0</v>
      </c>
      <c r="EH116" s="117">
        <f t="shared" si="135"/>
        <v>0</v>
      </c>
      <c r="EI116" s="119">
        <f t="shared" si="135"/>
        <v>0</v>
      </c>
      <c r="EJ116" s="194">
        <f t="shared" si="135"/>
        <v>0</v>
      </c>
      <c r="EK116" s="117">
        <f t="shared" si="135"/>
        <v>0</v>
      </c>
      <c r="EL116" s="118">
        <f t="shared" si="135"/>
        <v>0</v>
      </c>
      <c r="EM116" s="116">
        <f t="shared" ref="EM116:GX116" si="137">+EM9+EM45+EM81</f>
        <v>0</v>
      </c>
      <c r="EN116" s="117">
        <f t="shared" si="137"/>
        <v>0</v>
      </c>
      <c r="EO116" s="119">
        <f t="shared" si="137"/>
        <v>0</v>
      </c>
      <c r="EP116" s="194">
        <f t="shared" si="137"/>
        <v>0</v>
      </c>
      <c r="EQ116" s="117">
        <f t="shared" si="137"/>
        <v>0</v>
      </c>
      <c r="ER116" s="118">
        <f t="shared" si="137"/>
        <v>0</v>
      </c>
      <c r="ES116" s="116">
        <f t="shared" si="137"/>
        <v>0</v>
      </c>
      <c r="ET116" s="117">
        <f t="shared" si="137"/>
        <v>0</v>
      </c>
      <c r="EU116" s="119">
        <f t="shared" si="137"/>
        <v>0</v>
      </c>
      <c r="EV116" s="194">
        <f t="shared" si="137"/>
        <v>0</v>
      </c>
      <c r="EW116" s="117">
        <f t="shared" si="137"/>
        <v>0</v>
      </c>
      <c r="EX116" s="118">
        <f t="shared" si="137"/>
        <v>0</v>
      </c>
      <c r="EY116" s="116">
        <f t="shared" si="137"/>
        <v>0</v>
      </c>
      <c r="EZ116" s="117">
        <f t="shared" si="137"/>
        <v>0</v>
      </c>
      <c r="FA116" s="119">
        <f t="shared" si="137"/>
        <v>0</v>
      </c>
      <c r="FB116" s="194">
        <f t="shared" si="137"/>
        <v>0</v>
      </c>
      <c r="FC116" s="117">
        <f t="shared" si="137"/>
        <v>0</v>
      </c>
      <c r="FD116" s="118">
        <f t="shared" si="137"/>
        <v>0</v>
      </c>
      <c r="FE116" s="116">
        <f t="shared" si="137"/>
        <v>0</v>
      </c>
      <c r="FF116" s="117">
        <f t="shared" si="137"/>
        <v>0</v>
      </c>
      <c r="FG116" s="119">
        <f t="shared" si="137"/>
        <v>0</v>
      </c>
      <c r="FH116" s="194">
        <f t="shared" si="137"/>
        <v>0</v>
      </c>
      <c r="FI116" s="117">
        <f t="shared" si="137"/>
        <v>0</v>
      </c>
      <c r="FJ116" s="118">
        <f t="shared" si="137"/>
        <v>0</v>
      </c>
      <c r="FK116" s="116">
        <f t="shared" si="137"/>
        <v>0</v>
      </c>
      <c r="FL116" s="117">
        <f t="shared" si="137"/>
        <v>0</v>
      </c>
      <c r="FM116" s="119">
        <f t="shared" si="137"/>
        <v>0</v>
      </c>
      <c r="FN116" s="194">
        <f t="shared" si="137"/>
        <v>0</v>
      </c>
      <c r="FO116" s="117">
        <f t="shared" si="137"/>
        <v>0</v>
      </c>
      <c r="FP116" s="118">
        <f t="shared" si="137"/>
        <v>0</v>
      </c>
      <c r="FQ116" s="116">
        <f t="shared" si="137"/>
        <v>0</v>
      </c>
      <c r="FR116" s="117">
        <f t="shared" si="137"/>
        <v>0</v>
      </c>
      <c r="FS116" s="119">
        <f t="shared" si="137"/>
        <v>0</v>
      </c>
      <c r="FT116" s="194">
        <f t="shared" si="137"/>
        <v>0</v>
      </c>
      <c r="FU116" s="117">
        <f t="shared" si="137"/>
        <v>0</v>
      </c>
      <c r="FV116" s="118">
        <f t="shared" si="137"/>
        <v>0</v>
      </c>
      <c r="FW116" s="116">
        <f t="shared" si="137"/>
        <v>0</v>
      </c>
      <c r="FX116" s="117">
        <f t="shared" si="137"/>
        <v>0</v>
      </c>
      <c r="FY116" s="119">
        <f t="shared" si="137"/>
        <v>0</v>
      </c>
      <c r="FZ116" s="194">
        <f t="shared" si="137"/>
        <v>0</v>
      </c>
      <c r="GA116" s="117">
        <f t="shared" si="137"/>
        <v>0</v>
      </c>
      <c r="GB116" s="118">
        <f t="shared" si="137"/>
        <v>0</v>
      </c>
      <c r="GC116" s="116">
        <f t="shared" si="137"/>
        <v>0</v>
      </c>
      <c r="GD116" s="117">
        <f t="shared" si="137"/>
        <v>0</v>
      </c>
      <c r="GE116" s="119">
        <f t="shared" si="137"/>
        <v>0</v>
      </c>
      <c r="GF116" s="194">
        <f t="shared" si="137"/>
        <v>0</v>
      </c>
      <c r="GG116" s="117">
        <f t="shared" si="137"/>
        <v>0</v>
      </c>
      <c r="GH116" s="118">
        <f t="shared" si="137"/>
        <v>0</v>
      </c>
      <c r="GI116" s="116">
        <f t="shared" si="137"/>
        <v>0</v>
      </c>
      <c r="GJ116" s="117">
        <f t="shared" si="137"/>
        <v>0</v>
      </c>
      <c r="GK116" s="118">
        <f t="shared" si="137"/>
        <v>0</v>
      </c>
      <c r="GL116" s="239">
        <f t="shared" si="137"/>
        <v>0</v>
      </c>
      <c r="GM116" s="43">
        <f t="shared" si="137"/>
        <v>0</v>
      </c>
      <c r="GN116" s="283">
        <f t="shared" si="137"/>
        <v>0</v>
      </c>
      <c r="GO116" s="239">
        <f t="shared" si="137"/>
        <v>0</v>
      </c>
      <c r="GP116" s="43">
        <f t="shared" si="137"/>
        <v>0</v>
      </c>
      <c r="GQ116" s="57">
        <f t="shared" si="137"/>
        <v>0</v>
      </c>
      <c r="GR116" s="194">
        <f t="shared" si="137"/>
        <v>0</v>
      </c>
      <c r="GS116" s="117">
        <f t="shared" si="137"/>
        <v>0</v>
      </c>
      <c r="GT116" s="119">
        <f t="shared" si="137"/>
        <v>0</v>
      </c>
      <c r="GU116" s="194">
        <f t="shared" si="137"/>
        <v>0</v>
      </c>
      <c r="GV116" s="117">
        <f t="shared" si="137"/>
        <v>0</v>
      </c>
      <c r="GW116" s="119">
        <f t="shared" si="137"/>
        <v>0</v>
      </c>
      <c r="GX116" s="194">
        <f t="shared" si="137"/>
        <v>0</v>
      </c>
      <c r="GY116" s="117">
        <f t="shared" ref="GY116:HC116" si="138">+GY9+GY45+GY81</f>
        <v>0</v>
      </c>
      <c r="GZ116" s="119">
        <f t="shared" si="138"/>
        <v>0</v>
      </c>
      <c r="HA116" s="194">
        <f t="shared" si="138"/>
        <v>0</v>
      </c>
      <c r="HB116" s="117">
        <f t="shared" si="138"/>
        <v>0</v>
      </c>
      <c r="HC116" s="119">
        <f t="shared" si="138"/>
        <v>0</v>
      </c>
      <c r="HD116" s="368">
        <f t="shared" ref="HD116:HD145" si="139">+B116+E116+H116+K116+N116+Q116+T116+W116+Z116+AC116+AF116+AI116+AL116+AO116+AR116+AU116+AX116+BA116+BD116+BG116+BJ116+BM116+BP116+BS116+BV116+BY116+CB116+CE116+CH116+CK116+CN116+CZ116+CQ116+CT116+CW116+DC116+DF116+DI116+DL116+DO116+DR116+DU116+DX116+EA116+ED116+EG116+EJ116+EM116+EP116+ES116+EV116+EY116+FB116+FE116+FH116+FK116+FN116+FQ116+FT116+FW116+FZ116+GC116+GF116+GI116+GL116+GO116+GR116+GU116+GX116+HA116</f>
        <v>0</v>
      </c>
      <c r="HE116" s="369">
        <f t="shared" ref="HE116:HE145" si="140">+C116+F116+I116+L116+O116+R116+U116+X116+AA116+AD116+AG116+AJ116+AM116+AP116+AS116+AV116+AY116+BB116+BE116+BH116+BK116+BN116+BQ116+BT116+BW116+BZ116+CC116+CF116+CI116+CL116+CO116+DA116+CR116+CU116+CX116+DD116+DG116+DJ116+DM116+DP116+DS116+DV116+DY116+EB116+EE116+EH116+EK116+EN116+EQ116+ET116+EW116+EZ116+FC116+FF116+FI116+FL116+FO116+FR116+FU116+FX116+GA116+GD116+GG116+GJ116+GM116+GP116+GS116+GV116+GY116+HB116</f>
        <v>0</v>
      </c>
      <c r="HF116" s="369">
        <f t="shared" ref="HF116:HF145" si="141">+D116+G116+J116+M116+P116+S116+V116+Y116+AE116+AH116+AK116+AQ116+AT116+AW116+AZ116+BC116+BF116+BI116+BL116+BO116+BR116+BU116+BX116+CA116+CD116+CG116+CJ116+CM116+CP116+DB116+AB116+AN116+CS116+CV116+CY116+DE116+DH116+DK116+DN116+DQ116+DT116+DW116+DZ116+EC116+EF116+EI116+EL116+EO116+ER116+EU116+EX116+FA116+FD116+FG116+FJ116+FM116+FP116+FS116+FV116+FY116+GB116+GE116+GH116+GK116+GN116+GQ116+GT116+GW116+GZ116+HC116</f>
        <v>0</v>
      </c>
      <c r="HG116" s="145">
        <f t="shared" si="132"/>
        <v>0</v>
      </c>
    </row>
    <row r="117" spans="1:215" ht="15.75" thickBot="1">
      <c r="A117" s="238">
        <v>3</v>
      </c>
      <c r="B117" s="116">
        <f t="shared" ref="B117:AN117" si="142">+B10+B46+B82</f>
        <v>0</v>
      </c>
      <c r="C117" s="117">
        <f t="shared" si="142"/>
        <v>0</v>
      </c>
      <c r="D117" s="119">
        <f t="shared" si="142"/>
        <v>0</v>
      </c>
      <c r="E117" s="194">
        <f t="shared" si="142"/>
        <v>0</v>
      </c>
      <c r="F117" s="117">
        <f t="shared" si="142"/>
        <v>0</v>
      </c>
      <c r="G117" s="118">
        <f t="shared" si="142"/>
        <v>0</v>
      </c>
      <c r="H117" s="116">
        <f t="shared" si="142"/>
        <v>0</v>
      </c>
      <c r="I117" s="117">
        <f t="shared" si="142"/>
        <v>0</v>
      </c>
      <c r="J117" s="119">
        <f t="shared" si="142"/>
        <v>0</v>
      </c>
      <c r="K117" s="194">
        <f t="shared" si="142"/>
        <v>0</v>
      </c>
      <c r="L117" s="117">
        <f t="shared" si="142"/>
        <v>0</v>
      </c>
      <c r="M117" s="118">
        <f t="shared" si="142"/>
        <v>0</v>
      </c>
      <c r="N117" s="116">
        <f t="shared" si="142"/>
        <v>0</v>
      </c>
      <c r="O117" s="117">
        <f t="shared" si="142"/>
        <v>0</v>
      </c>
      <c r="P117" s="119">
        <f t="shared" si="142"/>
        <v>0</v>
      </c>
      <c r="Q117" s="194">
        <f t="shared" si="142"/>
        <v>0</v>
      </c>
      <c r="R117" s="117">
        <f t="shared" si="142"/>
        <v>0</v>
      </c>
      <c r="S117" s="118">
        <f t="shared" si="142"/>
        <v>0</v>
      </c>
      <c r="T117" s="116">
        <f t="shared" si="142"/>
        <v>0</v>
      </c>
      <c r="U117" s="117">
        <f t="shared" si="142"/>
        <v>0</v>
      </c>
      <c r="V117" s="119">
        <f t="shared" si="142"/>
        <v>0</v>
      </c>
      <c r="W117" s="194">
        <f t="shared" si="142"/>
        <v>0</v>
      </c>
      <c r="X117" s="117">
        <f t="shared" si="142"/>
        <v>0</v>
      </c>
      <c r="Y117" s="118">
        <f t="shared" si="142"/>
        <v>0</v>
      </c>
      <c r="Z117" s="116">
        <f t="shared" si="142"/>
        <v>0</v>
      </c>
      <c r="AA117" s="117">
        <f t="shared" si="142"/>
        <v>0</v>
      </c>
      <c r="AB117" s="119">
        <f t="shared" si="142"/>
        <v>0</v>
      </c>
      <c r="AC117" s="194">
        <f t="shared" si="142"/>
        <v>0</v>
      </c>
      <c r="AD117" s="117">
        <f t="shared" si="142"/>
        <v>0</v>
      </c>
      <c r="AE117" s="118">
        <f t="shared" si="142"/>
        <v>0</v>
      </c>
      <c r="AF117" s="116">
        <f t="shared" si="142"/>
        <v>0</v>
      </c>
      <c r="AG117" s="117">
        <f t="shared" si="142"/>
        <v>0</v>
      </c>
      <c r="AH117" s="119">
        <f t="shared" si="142"/>
        <v>0</v>
      </c>
      <c r="AI117" s="194">
        <f t="shared" si="142"/>
        <v>0</v>
      </c>
      <c r="AJ117" s="117">
        <f t="shared" si="142"/>
        <v>0</v>
      </c>
      <c r="AK117" s="118">
        <f t="shared" si="142"/>
        <v>0</v>
      </c>
      <c r="AL117" s="116">
        <f t="shared" si="142"/>
        <v>0</v>
      </c>
      <c r="AM117" s="117">
        <f t="shared" si="142"/>
        <v>0</v>
      </c>
      <c r="AN117" s="119">
        <f t="shared" si="142"/>
        <v>0</v>
      </c>
      <c r="AO117" s="194">
        <f t="shared" ref="AO117:BZ117" si="143">+AO10+AO46+AO82</f>
        <v>0</v>
      </c>
      <c r="AP117" s="117">
        <f t="shared" si="143"/>
        <v>0</v>
      </c>
      <c r="AQ117" s="118">
        <f t="shared" si="143"/>
        <v>0</v>
      </c>
      <c r="AR117" s="116">
        <f t="shared" si="143"/>
        <v>0</v>
      </c>
      <c r="AS117" s="117">
        <f t="shared" si="143"/>
        <v>0</v>
      </c>
      <c r="AT117" s="119">
        <f t="shared" si="143"/>
        <v>0</v>
      </c>
      <c r="AU117" s="194">
        <f t="shared" si="143"/>
        <v>0</v>
      </c>
      <c r="AV117" s="117">
        <f t="shared" si="143"/>
        <v>0</v>
      </c>
      <c r="AW117" s="118">
        <f t="shared" si="143"/>
        <v>0</v>
      </c>
      <c r="AX117" s="116">
        <f t="shared" si="143"/>
        <v>0</v>
      </c>
      <c r="AY117" s="117">
        <f t="shared" si="143"/>
        <v>0</v>
      </c>
      <c r="AZ117" s="119">
        <f t="shared" si="143"/>
        <v>0</v>
      </c>
      <c r="BA117" s="194">
        <f t="shared" si="143"/>
        <v>0</v>
      </c>
      <c r="BB117" s="117">
        <f t="shared" si="143"/>
        <v>0</v>
      </c>
      <c r="BC117" s="118">
        <f t="shared" si="143"/>
        <v>0</v>
      </c>
      <c r="BD117" s="116">
        <f t="shared" si="143"/>
        <v>0</v>
      </c>
      <c r="BE117" s="117">
        <f t="shared" si="143"/>
        <v>0</v>
      </c>
      <c r="BF117" s="119">
        <f t="shared" si="143"/>
        <v>0</v>
      </c>
      <c r="BG117" s="194">
        <f t="shared" si="143"/>
        <v>0</v>
      </c>
      <c r="BH117" s="117">
        <f t="shared" si="143"/>
        <v>0</v>
      </c>
      <c r="BI117" s="118">
        <f t="shared" si="143"/>
        <v>0</v>
      </c>
      <c r="BJ117" s="116">
        <f t="shared" si="143"/>
        <v>0</v>
      </c>
      <c r="BK117" s="117">
        <f t="shared" si="143"/>
        <v>0</v>
      </c>
      <c r="BL117" s="119">
        <f t="shared" si="143"/>
        <v>0</v>
      </c>
      <c r="BM117" s="194">
        <f t="shared" si="143"/>
        <v>0</v>
      </c>
      <c r="BN117" s="117">
        <f t="shared" si="143"/>
        <v>0</v>
      </c>
      <c r="BO117" s="118">
        <f t="shared" si="143"/>
        <v>0</v>
      </c>
      <c r="BP117" s="116">
        <f t="shared" si="143"/>
        <v>0</v>
      </c>
      <c r="BQ117" s="117">
        <f t="shared" si="143"/>
        <v>0</v>
      </c>
      <c r="BR117" s="119">
        <f t="shared" si="143"/>
        <v>0</v>
      </c>
      <c r="BS117" s="194">
        <f t="shared" si="143"/>
        <v>0</v>
      </c>
      <c r="BT117" s="117">
        <f t="shared" si="143"/>
        <v>0</v>
      </c>
      <c r="BU117" s="118">
        <f t="shared" si="143"/>
        <v>0</v>
      </c>
      <c r="BV117" s="116">
        <f t="shared" si="143"/>
        <v>0</v>
      </c>
      <c r="BW117" s="117">
        <f t="shared" si="143"/>
        <v>0</v>
      </c>
      <c r="BX117" s="119">
        <f t="shared" si="143"/>
        <v>0</v>
      </c>
      <c r="BY117" s="194">
        <f t="shared" si="143"/>
        <v>0</v>
      </c>
      <c r="BZ117" s="117">
        <f t="shared" si="143"/>
        <v>0</v>
      </c>
      <c r="CA117" s="118">
        <f t="shared" ref="CA117:EL117" si="144">+CA10+CA46+CA82</f>
        <v>0</v>
      </c>
      <c r="CB117" s="116">
        <f t="shared" si="144"/>
        <v>0</v>
      </c>
      <c r="CC117" s="117">
        <f t="shared" si="144"/>
        <v>0</v>
      </c>
      <c r="CD117" s="119">
        <f t="shared" si="144"/>
        <v>0</v>
      </c>
      <c r="CE117" s="194">
        <f t="shared" si="144"/>
        <v>0</v>
      </c>
      <c r="CF117" s="117">
        <f t="shared" si="144"/>
        <v>0</v>
      </c>
      <c r="CG117" s="118">
        <f t="shared" si="144"/>
        <v>0</v>
      </c>
      <c r="CH117" s="116">
        <f t="shared" si="144"/>
        <v>0</v>
      </c>
      <c r="CI117" s="117">
        <f t="shared" si="144"/>
        <v>0</v>
      </c>
      <c r="CJ117" s="118">
        <f t="shared" si="144"/>
        <v>0</v>
      </c>
      <c r="CK117" s="239">
        <f t="shared" si="144"/>
        <v>0</v>
      </c>
      <c r="CL117" s="43">
        <f t="shared" si="144"/>
        <v>0</v>
      </c>
      <c r="CM117" s="283">
        <f t="shared" si="144"/>
        <v>0</v>
      </c>
      <c r="CN117" s="239">
        <f t="shared" si="144"/>
        <v>0</v>
      </c>
      <c r="CO117" s="43">
        <f t="shared" si="144"/>
        <v>0</v>
      </c>
      <c r="CP117" s="57">
        <f t="shared" si="144"/>
        <v>0</v>
      </c>
      <c r="CQ117" s="194">
        <f t="shared" ref="CQ117:CY117" si="145">+CQ10+CQ46+CQ82</f>
        <v>0</v>
      </c>
      <c r="CR117" s="117">
        <f t="shared" si="145"/>
        <v>0</v>
      </c>
      <c r="CS117" s="119">
        <f t="shared" si="145"/>
        <v>0</v>
      </c>
      <c r="CT117" s="194">
        <f t="shared" si="145"/>
        <v>0</v>
      </c>
      <c r="CU117" s="117">
        <f t="shared" si="145"/>
        <v>0</v>
      </c>
      <c r="CV117" s="119">
        <f t="shared" si="145"/>
        <v>0</v>
      </c>
      <c r="CW117" s="194">
        <f t="shared" si="145"/>
        <v>0</v>
      </c>
      <c r="CX117" s="117">
        <f t="shared" si="145"/>
        <v>0</v>
      </c>
      <c r="CY117" s="119">
        <f t="shared" si="145"/>
        <v>0</v>
      </c>
      <c r="CZ117" s="194">
        <f t="shared" si="144"/>
        <v>0</v>
      </c>
      <c r="DA117" s="117">
        <f t="shared" si="144"/>
        <v>0</v>
      </c>
      <c r="DB117" s="119">
        <f t="shared" si="144"/>
        <v>0</v>
      </c>
      <c r="DC117" s="116">
        <f t="shared" si="144"/>
        <v>0</v>
      </c>
      <c r="DD117" s="117">
        <f t="shared" si="144"/>
        <v>0</v>
      </c>
      <c r="DE117" s="119">
        <f t="shared" si="144"/>
        <v>0</v>
      </c>
      <c r="DF117" s="194">
        <f t="shared" si="144"/>
        <v>0</v>
      </c>
      <c r="DG117" s="117">
        <f t="shared" si="144"/>
        <v>0</v>
      </c>
      <c r="DH117" s="118">
        <f t="shared" si="144"/>
        <v>0</v>
      </c>
      <c r="DI117" s="116">
        <f t="shared" si="144"/>
        <v>0</v>
      </c>
      <c r="DJ117" s="117">
        <f t="shared" si="144"/>
        <v>0</v>
      </c>
      <c r="DK117" s="119">
        <f t="shared" si="144"/>
        <v>0</v>
      </c>
      <c r="DL117" s="194">
        <f t="shared" si="144"/>
        <v>0</v>
      </c>
      <c r="DM117" s="117">
        <f t="shared" si="144"/>
        <v>0</v>
      </c>
      <c r="DN117" s="118">
        <f t="shared" si="144"/>
        <v>0</v>
      </c>
      <c r="DO117" s="116">
        <f t="shared" si="144"/>
        <v>0</v>
      </c>
      <c r="DP117" s="117">
        <f t="shared" si="144"/>
        <v>0</v>
      </c>
      <c r="DQ117" s="119">
        <f t="shared" si="144"/>
        <v>0</v>
      </c>
      <c r="DR117" s="194">
        <f t="shared" si="144"/>
        <v>0</v>
      </c>
      <c r="DS117" s="117">
        <f t="shared" si="144"/>
        <v>0</v>
      </c>
      <c r="DT117" s="118">
        <f t="shared" si="144"/>
        <v>0</v>
      </c>
      <c r="DU117" s="116">
        <f t="shared" si="144"/>
        <v>0</v>
      </c>
      <c r="DV117" s="117">
        <f t="shared" si="144"/>
        <v>0</v>
      </c>
      <c r="DW117" s="119">
        <f t="shared" si="144"/>
        <v>0</v>
      </c>
      <c r="DX117" s="194">
        <f t="shared" si="144"/>
        <v>0</v>
      </c>
      <c r="DY117" s="117">
        <f t="shared" si="144"/>
        <v>0</v>
      </c>
      <c r="DZ117" s="118">
        <f t="shared" si="144"/>
        <v>0</v>
      </c>
      <c r="EA117" s="116">
        <f t="shared" si="144"/>
        <v>0</v>
      </c>
      <c r="EB117" s="117">
        <f t="shared" si="144"/>
        <v>0</v>
      </c>
      <c r="EC117" s="119">
        <f t="shared" si="144"/>
        <v>0</v>
      </c>
      <c r="ED117" s="194">
        <f t="shared" si="144"/>
        <v>0</v>
      </c>
      <c r="EE117" s="117">
        <f t="shared" si="144"/>
        <v>0</v>
      </c>
      <c r="EF117" s="118">
        <f t="shared" si="144"/>
        <v>0</v>
      </c>
      <c r="EG117" s="116">
        <f t="shared" si="144"/>
        <v>0</v>
      </c>
      <c r="EH117" s="117">
        <f t="shared" si="144"/>
        <v>0</v>
      </c>
      <c r="EI117" s="119">
        <f t="shared" si="144"/>
        <v>0</v>
      </c>
      <c r="EJ117" s="194">
        <f t="shared" si="144"/>
        <v>0</v>
      </c>
      <c r="EK117" s="117">
        <f t="shared" si="144"/>
        <v>0</v>
      </c>
      <c r="EL117" s="118">
        <f t="shared" si="144"/>
        <v>0</v>
      </c>
      <c r="EM117" s="116">
        <f t="shared" ref="EM117:GX117" si="146">+EM10+EM46+EM82</f>
        <v>0</v>
      </c>
      <c r="EN117" s="117">
        <f t="shared" si="146"/>
        <v>0</v>
      </c>
      <c r="EO117" s="119">
        <f t="shared" si="146"/>
        <v>0</v>
      </c>
      <c r="EP117" s="194">
        <f t="shared" si="146"/>
        <v>0</v>
      </c>
      <c r="EQ117" s="117">
        <f t="shared" si="146"/>
        <v>0</v>
      </c>
      <c r="ER117" s="118">
        <f t="shared" si="146"/>
        <v>0</v>
      </c>
      <c r="ES117" s="116">
        <f t="shared" si="146"/>
        <v>0</v>
      </c>
      <c r="ET117" s="117">
        <f t="shared" si="146"/>
        <v>0</v>
      </c>
      <c r="EU117" s="119">
        <f t="shared" si="146"/>
        <v>0</v>
      </c>
      <c r="EV117" s="194">
        <f t="shared" si="146"/>
        <v>0</v>
      </c>
      <c r="EW117" s="117">
        <f t="shared" si="146"/>
        <v>0</v>
      </c>
      <c r="EX117" s="118">
        <f t="shared" si="146"/>
        <v>0</v>
      </c>
      <c r="EY117" s="116">
        <f t="shared" si="146"/>
        <v>0</v>
      </c>
      <c r="EZ117" s="117">
        <f t="shared" si="146"/>
        <v>0</v>
      </c>
      <c r="FA117" s="119">
        <f t="shared" si="146"/>
        <v>0</v>
      </c>
      <c r="FB117" s="194">
        <f t="shared" si="146"/>
        <v>0</v>
      </c>
      <c r="FC117" s="117">
        <f t="shared" si="146"/>
        <v>0</v>
      </c>
      <c r="FD117" s="118">
        <f t="shared" si="146"/>
        <v>0</v>
      </c>
      <c r="FE117" s="116">
        <f t="shared" si="146"/>
        <v>0</v>
      </c>
      <c r="FF117" s="117">
        <f t="shared" si="146"/>
        <v>0</v>
      </c>
      <c r="FG117" s="119">
        <f t="shared" si="146"/>
        <v>0</v>
      </c>
      <c r="FH117" s="194">
        <f t="shared" si="146"/>
        <v>0</v>
      </c>
      <c r="FI117" s="117">
        <f t="shared" si="146"/>
        <v>0</v>
      </c>
      <c r="FJ117" s="118">
        <f t="shared" si="146"/>
        <v>0</v>
      </c>
      <c r="FK117" s="116">
        <f t="shared" si="146"/>
        <v>0</v>
      </c>
      <c r="FL117" s="117">
        <f t="shared" si="146"/>
        <v>0</v>
      </c>
      <c r="FM117" s="119">
        <f t="shared" si="146"/>
        <v>0</v>
      </c>
      <c r="FN117" s="194">
        <f t="shared" si="146"/>
        <v>0</v>
      </c>
      <c r="FO117" s="117">
        <f t="shared" si="146"/>
        <v>0</v>
      </c>
      <c r="FP117" s="118">
        <f t="shared" si="146"/>
        <v>0</v>
      </c>
      <c r="FQ117" s="116">
        <f t="shared" si="146"/>
        <v>0</v>
      </c>
      <c r="FR117" s="117">
        <f t="shared" si="146"/>
        <v>0</v>
      </c>
      <c r="FS117" s="119">
        <f t="shared" si="146"/>
        <v>0</v>
      </c>
      <c r="FT117" s="194">
        <f t="shared" si="146"/>
        <v>0</v>
      </c>
      <c r="FU117" s="117">
        <f t="shared" si="146"/>
        <v>0</v>
      </c>
      <c r="FV117" s="118">
        <f t="shared" si="146"/>
        <v>0</v>
      </c>
      <c r="FW117" s="116">
        <f t="shared" si="146"/>
        <v>0</v>
      </c>
      <c r="FX117" s="117">
        <f t="shared" si="146"/>
        <v>0</v>
      </c>
      <c r="FY117" s="119">
        <f t="shared" si="146"/>
        <v>0</v>
      </c>
      <c r="FZ117" s="194">
        <f t="shared" si="146"/>
        <v>0</v>
      </c>
      <c r="GA117" s="117">
        <f t="shared" si="146"/>
        <v>0</v>
      </c>
      <c r="GB117" s="118">
        <f t="shared" si="146"/>
        <v>0</v>
      </c>
      <c r="GC117" s="116">
        <f t="shared" si="146"/>
        <v>0</v>
      </c>
      <c r="GD117" s="117">
        <f t="shared" si="146"/>
        <v>0</v>
      </c>
      <c r="GE117" s="119">
        <f t="shared" si="146"/>
        <v>0</v>
      </c>
      <c r="GF117" s="194">
        <f t="shared" si="146"/>
        <v>0</v>
      </c>
      <c r="GG117" s="117">
        <f t="shared" si="146"/>
        <v>0</v>
      </c>
      <c r="GH117" s="118">
        <f t="shared" si="146"/>
        <v>0</v>
      </c>
      <c r="GI117" s="116">
        <f t="shared" si="146"/>
        <v>0</v>
      </c>
      <c r="GJ117" s="117">
        <f t="shared" si="146"/>
        <v>0</v>
      </c>
      <c r="GK117" s="118">
        <f t="shared" si="146"/>
        <v>0</v>
      </c>
      <c r="GL117" s="239">
        <f t="shared" si="146"/>
        <v>0</v>
      </c>
      <c r="GM117" s="43">
        <f t="shared" si="146"/>
        <v>0</v>
      </c>
      <c r="GN117" s="283">
        <f t="shared" si="146"/>
        <v>0</v>
      </c>
      <c r="GO117" s="239">
        <f t="shared" si="146"/>
        <v>0</v>
      </c>
      <c r="GP117" s="43">
        <f t="shared" si="146"/>
        <v>0</v>
      </c>
      <c r="GQ117" s="57">
        <f t="shared" si="146"/>
        <v>0</v>
      </c>
      <c r="GR117" s="194">
        <f t="shared" si="146"/>
        <v>0</v>
      </c>
      <c r="GS117" s="117">
        <f t="shared" si="146"/>
        <v>0</v>
      </c>
      <c r="GT117" s="119">
        <f t="shared" si="146"/>
        <v>0</v>
      </c>
      <c r="GU117" s="194">
        <f t="shared" si="146"/>
        <v>0</v>
      </c>
      <c r="GV117" s="117">
        <f t="shared" si="146"/>
        <v>0</v>
      </c>
      <c r="GW117" s="119">
        <f t="shared" si="146"/>
        <v>0</v>
      </c>
      <c r="GX117" s="194">
        <f t="shared" si="146"/>
        <v>0</v>
      </c>
      <c r="GY117" s="117">
        <f t="shared" ref="GY117:HC117" si="147">+GY10+GY46+GY82</f>
        <v>0</v>
      </c>
      <c r="GZ117" s="119">
        <f t="shared" si="147"/>
        <v>0</v>
      </c>
      <c r="HA117" s="194">
        <f t="shared" si="147"/>
        <v>0</v>
      </c>
      <c r="HB117" s="117">
        <f t="shared" si="147"/>
        <v>0</v>
      </c>
      <c r="HC117" s="119">
        <f t="shared" si="147"/>
        <v>0</v>
      </c>
      <c r="HD117" s="368">
        <f t="shared" si="139"/>
        <v>0</v>
      </c>
      <c r="HE117" s="369">
        <f t="shared" si="140"/>
        <v>0</v>
      </c>
      <c r="HF117" s="369">
        <f t="shared" si="141"/>
        <v>0</v>
      </c>
      <c r="HG117" s="145">
        <f t="shared" si="132"/>
        <v>0</v>
      </c>
    </row>
    <row r="118" spans="1:215" ht="15.75" thickBot="1">
      <c r="A118" s="353">
        <v>4</v>
      </c>
      <c r="B118" s="116">
        <f t="shared" ref="B118:AN118" si="148">+B11+B47+B83</f>
        <v>0</v>
      </c>
      <c r="C118" s="117">
        <f t="shared" si="148"/>
        <v>0</v>
      </c>
      <c r="D118" s="119">
        <f t="shared" si="148"/>
        <v>0</v>
      </c>
      <c r="E118" s="194">
        <f t="shared" si="148"/>
        <v>0</v>
      </c>
      <c r="F118" s="117">
        <f t="shared" si="148"/>
        <v>0</v>
      </c>
      <c r="G118" s="118">
        <f t="shared" si="148"/>
        <v>0</v>
      </c>
      <c r="H118" s="116">
        <f t="shared" si="148"/>
        <v>0</v>
      </c>
      <c r="I118" s="117">
        <f t="shared" si="148"/>
        <v>0</v>
      </c>
      <c r="J118" s="119">
        <f t="shared" si="148"/>
        <v>0</v>
      </c>
      <c r="K118" s="194">
        <f t="shared" si="148"/>
        <v>0</v>
      </c>
      <c r="L118" s="117">
        <f t="shared" si="148"/>
        <v>0</v>
      </c>
      <c r="M118" s="118">
        <f t="shared" si="148"/>
        <v>0</v>
      </c>
      <c r="N118" s="116">
        <f t="shared" si="148"/>
        <v>0</v>
      </c>
      <c r="O118" s="117">
        <f t="shared" si="148"/>
        <v>0</v>
      </c>
      <c r="P118" s="119">
        <f t="shared" si="148"/>
        <v>0</v>
      </c>
      <c r="Q118" s="194">
        <f t="shared" si="148"/>
        <v>0</v>
      </c>
      <c r="R118" s="117">
        <f t="shared" si="148"/>
        <v>0</v>
      </c>
      <c r="S118" s="118">
        <f t="shared" si="148"/>
        <v>0</v>
      </c>
      <c r="T118" s="116">
        <f t="shared" si="148"/>
        <v>0</v>
      </c>
      <c r="U118" s="117">
        <f t="shared" si="148"/>
        <v>0</v>
      </c>
      <c r="V118" s="119">
        <f t="shared" si="148"/>
        <v>0</v>
      </c>
      <c r="W118" s="194">
        <f t="shared" si="148"/>
        <v>0</v>
      </c>
      <c r="X118" s="117">
        <f t="shared" si="148"/>
        <v>0</v>
      </c>
      <c r="Y118" s="118">
        <f t="shared" si="148"/>
        <v>0</v>
      </c>
      <c r="Z118" s="116">
        <f t="shared" si="148"/>
        <v>0</v>
      </c>
      <c r="AA118" s="117">
        <f t="shared" si="148"/>
        <v>0</v>
      </c>
      <c r="AB118" s="119">
        <f t="shared" si="148"/>
        <v>0</v>
      </c>
      <c r="AC118" s="194">
        <f t="shared" si="148"/>
        <v>0</v>
      </c>
      <c r="AD118" s="117">
        <f t="shared" si="148"/>
        <v>0</v>
      </c>
      <c r="AE118" s="118">
        <f t="shared" si="148"/>
        <v>0</v>
      </c>
      <c r="AF118" s="116">
        <f t="shared" si="148"/>
        <v>0</v>
      </c>
      <c r="AG118" s="117">
        <f t="shared" si="148"/>
        <v>0</v>
      </c>
      <c r="AH118" s="119">
        <f t="shared" si="148"/>
        <v>0</v>
      </c>
      <c r="AI118" s="194">
        <f t="shared" si="148"/>
        <v>0</v>
      </c>
      <c r="AJ118" s="117">
        <f t="shared" si="148"/>
        <v>0</v>
      </c>
      <c r="AK118" s="118">
        <f t="shared" si="148"/>
        <v>0</v>
      </c>
      <c r="AL118" s="116">
        <f t="shared" si="148"/>
        <v>0</v>
      </c>
      <c r="AM118" s="117">
        <f t="shared" si="148"/>
        <v>0</v>
      </c>
      <c r="AN118" s="119">
        <f t="shared" si="148"/>
        <v>0</v>
      </c>
      <c r="AO118" s="194">
        <f t="shared" ref="AO118:BZ118" si="149">+AO11+AO47+AO83</f>
        <v>0</v>
      </c>
      <c r="AP118" s="117">
        <f t="shared" si="149"/>
        <v>0</v>
      </c>
      <c r="AQ118" s="118">
        <f t="shared" si="149"/>
        <v>0</v>
      </c>
      <c r="AR118" s="116">
        <f t="shared" si="149"/>
        <v>0</v>
      </c>
      <c r="AS118" s="117">
        <f t="shared" si="149"/>
        <v>0</v>
      </c>
      <c r="AT118" s="119">
        <f t="shared" si="149"/>
        <v>0</v>
      </c>
      <c r="AU118" s="194">
        <f t="shared" si="149"/>
        <v>0</v>
      </c>
      <c r="AV118" s="117">
        <f t="shared" si="149"/>
        <v>0</v>
      </c>
      <c r="AW118" s="118">
        <f t="shared" si="149"/>
        <v>0</v>
      </c>
      <c r="AX118" s="116">
        <f t="shared" si="149"/>
        <v>0</v>
      </c>
      <c r="AY118" s="117">
        <f t="shared" si="149"/>
        <v>0</v>
      </c>
      <c r="AZ118" s="119">
        <f t="shared" si="149"/>
        <v>0</v>
      </c>
      <c r="BA118" s="194">
        <f t="shared" si="149"/>
        <v>0</v>
      </c>
      <c r="BB118" s="117">
        <f t="shared" si="149"/>
        <v>0</v>
      </c>
      <c r="BC118" s="118">
        <f t="shared" si="149"/>
        <v>0</v>
      </c>
      <c r="BD118" s="116">
        <f t="shared" si="149"/>
        <v>0</v>
      </c>
      <c r="BE118" s="117">
        <f t="shared" si="149"/>
        <v>0</v>
      </c>
      <c r="BF118" s="119">
        <f t="shared" si="149"/>
        <v>0</v>
      </c>
      <c r="BG118" s="194">
        <f t="shared" si="149"/>
        <v>0</v>
      </c>
      <c r="BH118" s="117">
        <f t="shared" si="149"/>
        <v>0</v>
      </c>
      <c r="BI118" s="118">
        <f t="shared" si="149"/>
        <v>0</v>
      </c>
      <c r="BJ118" s="116">
        <f t="shared" si="149"/>
        <v>0</v>
      </c>
      <c r="BK118" s="117">
        <f t="shared" si="149"/>
        <v>0</v>
      </c>
      <c r="BL118" s="119">
        <f t="shared" si="149"/>
        <v>0</v>
      </c>
      <c r="BM118" s="194">
        <f t="shared" si="149"/>
        <v>0</v>
      </c>
      <c r="BN118" s="117">
        <f t="shared" si="149"/>
        <v>0</v>
      </c>
      <c r="BO118" s="118">
        <f t="shared" si="149"/>
        <v>0</v>
      </c>
      <c r="BP118" s="116">
        <f t="shared" si="149"/>
        <v>0</v>
      </c>
      <c r="BQ118" s="117">
        <f t="shared" si="149"/>
        <v>0</v>
      </c>
      <c r="BR118" s="119">
        <f t="shared" si="149"/>
        <v>0</v>
      </c>
      <c r="BS118" s="194">
        <f t="shared" si="149"/>
        <v>0</v>
      </c>
      <c r="BT118" s="117">
        <f t="shared" si="149"/>
        <v>0</v>
      </c>
      <c r="BU118" s="118">
        <f t="shared" si="149"/>
        <v>0</v>
      </c>
      <c r="BV118" s="116">
        <f t="shared" si="149"/>
        <v>0</v>
      </c>
      <c r="BW118" s="117">
        <f t="shared" si="149"/>
        <v>0</v>
      </c>
      <c r="BX118" s="119">
        <f t="shared" si="149"/>
        <v>0</v>
      </c>
      <c r="BY118" s="194">
        <f t="shared" si="149"/>
        <v>0</v>
      </c>
      <c r="BZ118" s="117">
        <f t="shared" si="149"/>
        <v>0</v>
      </c>
      <c r="CA118" s="118">
        <f t="shared" ref="CA118:EL118" si="150">+CA11+CA47+CA83</f>
        <v>0</v>
      </c>
      <c r="CB118" s="116">
        <f t="shared" si="150"/>
        <v>0</v>
      </c>
      <c r="CC118" s="117">
        <f t="shared" si="150"/>
        <v>0</v>
      </c>
      <c r="CD118" s="119">
        <f t="shared" si="150"/>
        <v>0</v>
      </c>
      <c r="CE118" s="194">
        <f t="shared" si="150"/>
        <v>0</v>
      </c>
      <c r="CF118" s="117">
        <f t="shared" si="150"/>
        <v>0</v>
      </c>
      <c r="CG118" s="118">
        <f t="shared" si="150"/>
        <v>0</v>
      </c>
      <c r="CH118" s="116">
        <f t="shared" si="150"/>
        <v>0</v>
      </c>
      <c r="CI118" s="117">
        <f t="shared" si="150"/>
        <v>0</v>
      </c>
      <c r="CJ118" s="118">
        <f t="shared" si="150"/>
        <v>0</v>
      </c>
      <c r="CK118" s="239">
        <f t="shared" si="150"/>
        <v>0</v>
      </c>
      <c r="CL118" s="43">
        <f t="shared" si="150"/>
        <v>0</v>
      </c>
      <c r="CM118" s="283">
        <f t="shared" si="150"/>
        <v>0</v>
      </c>
      <c r="CN118" s="239">
        <f t="shared" si="150"/>
        <v>0</v>
      </c>
      <c r="CO118" s="43">
        <f t="shared" si="150"/>
        <v>0</v>
      </c>
      <c r="CP118" s="57">
        <f t="shared" si="150"/>
        <v>0</v>
      </c>
      <c r="CQ118" s="194">
        <f t="shared" ref="CQ118:CY118" si="151">+CQ11+CQ47+CQ83</f>
        <v>0</v>
      </c>
      <c r="CR118" s="117">
        <f t="shared" si="151"/>
        <v>0</v>
      </c>
      <c r="CS118" s="119">
        <f t="shared" si="151"/>
        <v>0</v>
      </c>
      <c r="CT118" s="194">
        <f t="shared" si="151"/>
        <v>0</v>
      </c>
      <c r="CU118" s="117">
        <f t="shared" si="151"/>
        <v>0</v>
      </c>
      <c r="CV118" s="119">
        <f t="shared" si="151"/>
        <v>0</v>
      </c>
      <c r="CW118" s="194">
        <f t="shared" si="151"/>
        <v>0</v>
      </c>
      <c r="CX118" s="117">
        <f t="shared" si="151"/>
        <v>0</v>
      </c>
      <c r="CY118" s="119">
        <f t="shared" si="151"/>
        <v>0</v>
      </c>
      <c r="CZ118" s="194">
        <f t="shared" si="150"/>
        <v>0</v>
      </c>
      <c r="DA118" s="117">
        <f t="shared" si="150"/>
        <v>0</v>
      </c>
      <c r="DB118" s="119">
        <f t="shared" si="150"/>
        <v>0</v>
      </c>
      <c r="DC118" s="116">
        <f t="shared" si="150"/>
        <v>0</v>
      </c>
      <c r="DD118" s="117">
        <f t="shared" si="150"/>
        <v>0</v>
      </c>
      <c r="DE118" s="119">
        <f t="shared" si="150"/>
        <v>0</v>
      </c>
      <c r="DF118" s="194">
        <f t="shared" si="150"/>
        <v>0</v>
      </c>
      <c r="DG118" s="117">
        <f t="shared" si="150"/>
        <v>0</v>
      </c>
      <c r="DH118" s="118">
        <f t="shared" si="150"/>
        <v>0</v>
      </c>
      <c r="DI118" s="116">
        <f t="shared" si="150"/>
        <v>0</v>
      </c>
      <c r="DJ118" s="117">
        <f t="shared" si="150"/>
        <v>0</v>
      </c>
      <c r="DK118" s="119">
        <f t="shared" si="150"/>
        <v>0</v>
      </c>
      <c r="DL118" s="194">
        <f t="shared" si="150"/>
        <v>0</v>
      </c>
      <c r="DM118" s="117">
        <f t="shared" si="150"/>
        <v>0</v>
      </c>
      <c r="DN118" s="118">
        <f t="shared" si="150"/>
        <v>0</v>
      </c>
      <c r="DO118" s="116">
        <f t="shared" si="150"/>
        <v>0</v>
      </c>
      <c r="DP118" s="117">
        <f t="shared" si="150"/>
        <v>0</v>
      </c>
      <c r="DQ118" s="119">
        <f t="shared" si="150"/>
        <v>0</v>
      </c>
      <c r="DR118" s="194">
        <f t="shared" si="150"/>
        <v>0</v>
      </c>
      <c r="DS118" s="117">
        <f t="shared" si="150"/>
        <v>0</v>
      </c>
      <c r="DT118" s="118">
        <f t="shared" si="150"/>
        <v>0</v>
      </c>
      <c r="DU118" s="116">
        <f t="shared" si="150"/>
        <v>0</v>
      </c>
      <c r="DV118" s="117">
        <f t="shared" si="150"/>
        <v>0</v>
      </c>
      <c r="DW118" s="119">
        <f t="shared" si="150"/>
        <v>0</v>
      </c>
      <c r="DX118" s="194">
        <f t="shared" si="150"/>
        <v>0</v>
      </c>
      <c r="DY118" s="117">
        <f t="shared" si="150"/>
        <v>0</v>
      </c>
      <c r="DZ118" s="118">
        <f t="shared" si="150"/>
        <v>0</v>
      </c>
      <c r="EA118" s="116">
        <f t="shared" si="150"/>
        <v>0</v>
      </c>
      <c r="EB118" s="117">
        <f t="shared" si="150"/>
        <v>0</v>
      </c>
      <c r="EC118" s="119">
        <f t="shared" si="150"/>
        <v>0</v>
      </c>
      <c r="ED118" s="194">
        <f t="shared" si="150"/>
        <v>0</v>
      </c>
      <c r="EE118" s="117">
        <f t="shared" si="150"/>
        <v>0</v>
      </c>
      <c r="EF118" s="118">
        <f t="shared" si="150"/>
        <v>0</v>
      </c>
      <c r="EG118" s="116">
        <f t="shared" si="150"/>
        <v>0</v>
      </c>
      <c r="EH118" s="117">
        <f t="shared" si="150"/>
        <v>0</v>
      </c>
      <c r="EI118" s="119">
        <f t="shared" si="150"/>
        <v>0</v>
      </c>
      <c r="EJ118" s="194">
        <f t="shared" si="150"/>
        <v>0</v>
      </c>
      <c r="EK118" s="117">
        <f t="shared" si="150"/>
        <v>0</v>
      </c>
      <c r="EL118" s="118">
        <f t="shared" si="150"/>
        <v>0</v>
      </c>
      <c r="EM118" s="116">
        <f t="shared" ref="EM118:GX118" si="152">+EM11+EM47+EM83</f>
        <v>0</v>
      </c>
      <c r="EN118" s="117">
        <f t="shared" si="152"/>
        <v>0</v>
      </c>
      <c r="EO118" s="119">
        <f t="shared" si="152"/>
        <v>0</v>
      </c>
      <c r="EP118" s="194">
        <f t="shared" si="152"/>
        <v>0</v>
      </c>
      <c r="EQ118" s="117">
        <f t="shared" si="152"/>
        <v>0</v>
      </c>
      <c r="ER118" s="118">
        <f t="shared" si="152"/>
        <v>0</v>
      </c>
      <c r="ES118" s="116">
        <f t="shared" si="152"/>
        <v>0</v>
      </c>
      <c r="ET118" s="117">
        <f t="shared" si="152"/>
        <v>0</v>
      </c>
      <c r="EU118" s="119">
        <f t="shared" si="152"/>
        <v>0</v>
      </c>
      <c r="EV118" s="194">
        <f t="shared" si="152"/>
        <v>0</v>
      </c>
      <c r="EW118" s="117">
        <f t="shared" si="152"/>
        <v>0</v>
      </c>
      <c r="EX118" s="118">
        <f t="shared" si="152"/>
        <v>0</v>
      </c>
      <c r="EY118" s="116">
        <f t="shared" si="152"/>
        <v>0</v>
      </c>
      <c r="EZ118" s="117">
        <f t="shared" si="152"/>
        <v>0</v>
      </c>
      <c r="FA118" s="119">
        <f t="shared" si="152"/>
        <v>0</v>
      </c>
      <c r="FB118" s="194">
        <f t="shared" si="152"/>
        <v>0</v>
      </c>
      <c r="FC118" s="117">
        <f t="shared" si="152"/>
        <v>0</v>
      </c>
      <c r="FD118" s="118">
        <f t="shared" si="152"/>
        <v>0</v>
      </c>
      <c r="FE118" s="116">
        <f t="shared" si="152"/>
        <v>0</v>
      </c>
      <c r="FF118" s="117">
        <f t="shared" si="152"/>
        <v>0</v>
      </c>
      <c r="FG118" s="119">
        <f t="shared" si="152"/>
        <v>0</v>
      </c>
      <c r="FH118" s="194">
        <f t="shared" si="152"/>
        <v>0</v>
      </c>
      <c r="FI118" s="117">
        <f t="shared" si="152"/>
        <v>0</v>
      </c>
      <c r="FJ118" s="118">
        <f t="shared" si="152"/>
        <v>0</v>
      </c>
      <c r="FK118" s="116">
        <f t="shared" si="152"/>
        <v>0</v>
      </c>
      <c r="FL118" s="117">
        <f t="shared" si="152"/>
        <v>0</v>
      </c>
      <c r="FM118" s="119">
        <f t="shared" si="152"/>
        <v>0</v>
      </c>
      <c r="FN118" s="194">
        <f t="shared" si="152"/>
        <v>0</v>
      </c>
      <c r="FO118" s="117">
        <f t="shared" si="152"/>
        <v>0</v>
      </c>
      <c r="FP118" s="118">
        <f t="shared" si="152"/>
        <v>0</v>
      </c>
      <c r="FQ118" s="116">
        <f t="shared" si="152"/>
        <v>0</v>
      </c>
      <c r="FR118" s="117">
        <f t="shared" si="152"/>
        <v>0</v>
      </c>
      <c r="FS118" s="119">
        <f t="shared" si="152"/>
        <v>0</v>
      </c>
      <c r="FT118" s="194">
        <f t="shared" si="152"/>
        <v>0</v>
      </c>
      <c r="FU118" s="117">
        <f t="shared" si="152"/>
        <v>0</v>
      </c>
      <c r="FV118" s="118">
        <f t="shared" si="152"/>
        <v>0</v>
      </c>
      <c r="FW118" s="116">
        <f t="shared" si="152"/>
        <v>0</v>
      </c>
      <c r="FX118" s="117">
        <f t="shared" si="152"/>
        <v>0</v>
      </c>
      <c r="FY118" s="119">
        <f t="shared" si="152"/>
        <v>0</v>
      </c>
      <c r="FZ118" s="194">
        <f t="shared" si="152"/>
        <v>0</v>
      </c>
      <c r="GA118" s="117">
        <f t="shared" si="152"/>
        <v>0</v>
      </c>
      <c r="GB118" s="118">
        <f t="shared" si="152"/>
        <v>0</v>
      </c>
      <c r="GC118" s="116">
        <f t="shared" si="152"/>
        <v>0</v>
      </c>
      <c r="GD118" s="117">
        <f t="shared" si="152"/>
        <v>0</v>
      </c>
      <c r="GE118" s="119">
        <f t="shared" si="152"/>
        <v>0</v>
      </c>
      <c r="GF118" s="194">
        <f t="shared" si="152"/>
        <v>0</v>
      </c>
      <c r="GG118" s="117">
        <f t="shared" si="152"/>
        <v>0</v>
      </c>
      <c r="GH118" s="118">
        <f t="shared" si="152"/>
        <v>0</v>
      </c>
      <c r="GI118" s="116">
        <f t="shared" si="152"/>
        <v>0</v>
      </c>
      <c r="GJ118" s="117">
        <f t="shared" si="152"/>
        <v>0</v>
      </c>
      <c r="GK118" s="118">
        <f t="shared" si="152"/>
        <v>0</v>
      </c>
      <c r="GL118" s="239">
        <f t="shared" si="152"/>
        <v>0</v>
      </c>
      <c r="GM118" s="43">
        <f t="shared" si="152"/>
        <v>0</v>
      </c>
      <c r="GN118" s="283">
        <f t="shared" si="152"/>
        <v>0</v>
      </c>
      <c r="GO118" s="239">
        <f t="shared" si="152"/>
        <v>0</v>
      </c>
      <c r="GP118" s="43">
        <f t="shared" si="152"/>
        <v>0</v>
      </c>
      <c r="GQ118" s="57">
        <f t="shared" si="152"/>
        <v>0</v>
      </c>
      <c r="GR118" s="194">
        <f t="shared" si="152"/>
        <v>0</v>
      </c>
      <c r="GS118" s="117">
        <f t="shared" si="152"/>
        <v>0</v>
      </c>
      <c r="GT118" s="119">
        <f t="shared" si="152"/>
        <v>0</v>
      </c>
      <c r="GU118" s="194">
        <f t="shared" si="152"/>
        <v>0</v>
      </c>
      <c r="GV118" s="117">
        <f t="shared" si="152"/>
        <v>0</v>
      </c>
      <c r="GW118" s="119">
        <f t="shared" si="152"/>
        <v>0</v>
      </c>
      <c r="GX118" s="194">
        <f t="shared" si="152"/>
        <v>0</v>
      </c>
      <c r="GY118" s="117">
        <f t="shared" ref="GY118:HC118" si="153">+GY11+GY47+GY83</f>
        <v>0</v>
      </c>
      <c r="GZ118" s="119">
        <f t="shared" si="153"/>
        <v>0</v>
      </c>
      <c r="HA118" s="194">
        <f t="shared" si="153"/>
        <v>0</v>
      </c>
      <c r="HB118" s="117">
        <f t="shared" si="153"/>
        <v>0</v>
      </c>
      <c r="HC118" s="119">
        <f t="shared" si="153"/>
        <v>0</v>
      </c>
      <c r="HD118" s="368">
        <f t="shared" si="139"/>
        <v>0</v>
      </c>
      <c r="HE118" s="369">
        <f t="shared" si="140"/>
        <v>0</v>
      </c>
      <c r="HF118" s="369">
        <f t="shared" si="141"/>
        <v>0</v>
      </c>
      <c r="HG118" s="145">
        <f t="shared" si="132"/>
        <v>0</v>
      </c>
    </row>
    <row r="119" spans="1:215" ht="15.75" thickBot="1">
      <c r="A119" s="238">
        <v>5</v>
      </c>
      <c r="B119" s="116">
        <f t="shared" ref="B119:AN119" si="154">+B12+B48+B84</f>
        <v>0</v>
      </c>
      <c r="C119" s="117">
        <f t="shared" si="154"/>
        <v>0</v>
      </c>
      <c r="D119" s="119">
        <f t="shared" si="154"/>
        <v>0</v>
      </c>
      <c r="E119" s="194">
        <f t="shared" si="154"/>
        <v>0</v>
      </c>
      <c r="F119" s="117">
        <f t="shared" si="154"/>
        <v>0</v>
      </c>
      <c r="G119" s="118">
        <f t="shared" si="154"/>
        <v>0</v>
      </c>
      <c r="H119" s="116">
        <f t="shared" si="154"/>
        <v>0</v>
      </c>
      <c r="I119" s="117">
        <f t="shared" si="154"/>
        <v>0</v>
      </c>
      <c r="J119" s="119">
        <f t="shared" si="154"/>
        <v>0</v>
      </c>
      <c r="K119" s="194">
        <f t="shared" si="154"/>
        <v>0</v>
      </c>
      <c r="L119" s="117">
        <f t="shared" si="154"/>
        <v>0</v>
      </c>
      <c r="M119" s="118">
        <f t="shared" si="154"/>
        <v>0</v>
      </c>
      <c r="N119" s="116">
        <f t="shared" si="154"/>
        <v>0</v>
      </c>
      <c r="O119" s="117">
        <f t="shared" si="154"/>
        <v>0</v>
      </c>
      <c r="P119" s="119">
        <f t="shared" si="154"/>
        <v>0</v>
      </c>
      <c r="Q119" s="194">
        <f t="shared" si="154"/>
        <v>0</v>
      </c>
      <c r="R119" s="117">
        <f t="shared" si="154"/>
        <v>0</v>
      </c>
      <c r="S119" s="118">
        <f t="shared" si="154"/>
        <v>0</v>
      </c>
      <c r="T119" s="116">
        <f t="shared" si="154"/>
        <v>0</v>
      </c>
      <c r="U119" s="117">
        <f t="shared" si="154"/>
        <v>0</v>
      </c>
      <c r="V119" s="119">
        <f t="shared" si="154"/>
        <v>0</v>
      </c>
      <c r="W119" s="194">
        <f t="shared" si="154"/>
        <v>0</v>
      </c>
      <c r="X119" s="117">
        <f t="shared" si="154"/>
        <v>0</v>
      </c>
      <c r="Y119" s="118">
        <f t="shared" si="154"/>
        <v>0</v>
      </c>
      <c r="Z119" s="116">
        <f t="shared" si="154"/>
        <v>0</v>
      </c>
      <c r="AA119" s="117">
        <f t="shared" si="154"/>
        <v>0</v>
      </c>
      <c r="AB119" s="119">
        <f t="shared" si="154"/>
        <v>0</v>
      </c>
      <c r="AC119" s="194">
        <f t="shared" si="154"/>
        <v>0</v>
      </c>
      <c r="AD119" s="117">
        <f t="shared" si="154"/>
        <v>0</v>
      </c>
      <c r="AE119" s="118">
        <f t="shared" si="154"/>
        <v>0</v>
      </c>
      <c r="AF119" s="116">
        <f t="shared" si="154"/>
        <v>0</v>
      </c>
      <c r="AG119" s="117">
        <f t="shared" si="154"/>
        <v>0</v>
      </c>
      <c r="AH119" s="119">
        <f t="shared" si="154"/>
        <v>0</v>
      </c>
      <c r="AI119" s="194">
        <f t="shared" si="154"/>
        <v>0</v>
      </c>
      <c r="AJ119" s="117">
        <f t="shared" si="154"/>
        <v>0</v>
      </c>
      <c r="AK119" s="118">
        <f t="shared" si="154"/>
        <v>0</v>
      </c>
      <c r="AL119" s="116">
        <f t="shared" si="154"/>
        <v>0</v>
      </c>
      <c r="AM119" s="117">
        <f t="shared" si="154"/>
        <v>0</v>
      </c>
      <c r="AN119" s="119">
        <f t="shared" si="154"/>
        <v>0</v>
      </c>
      <c r="AO119" s="194">
        <f t="shared" ref="AO119:BZ119" si="155">+AO12+AO48+AO84</f>
        <v>0</v>
      </c>
      <c r="AP119" s="117">
        <f t="shared" si="155"/>
        <v>0</v>
      </c>
      <c r="AQ119" s="118">
        <f t="shared" si="155"/>
        <v>0</v>
      </c>
      <c r="AR119" s="116">
        <f t="shared" si="155"/>
        <v>0</v>
      </c>
      <c r="AS119" s="117">
        <f t="shared" si="155"/>
        <v>0</v>
      </c>
      <c r="AT119" s="119">
        <f t="shared" si="155"/>
        <v>0</v>
      </c>
      <c r="AU119" s="194">
        <f t="shared" si="155"/>
        <v>0</v>
      </c>
      <c r="AV119" s="117">
        <f t="shared" si="155"/>
        <v>0</v>
      </c>
      <c r="AW119" s="118">
        <f t="shared" si="155"/>
        <v>0</v>
      </c>
      <c r="AX119" s="116">
        <f t="shared" si="155"/>
        <v>0</v>
      </c>
      <c r="AY119" s="117">
        <f t="shared" si="155"/>
        <v>0</v>
      </c>
      <c r="AZ119" s="119">
        <f t="shared" si="155"/>
        <v>0</v>
      </c>
      <c r="BA119" s="194">
        <f t="shared" si="155"/>
        <v>0</v>
      </c>
      <c r="BB119" s="117">
        <f t="shared" si="155"/>
        <v>0</v>
      </c>
      <c r="BC119" s="118">
        <f t="shared" si="155"/>
        <v>0</v>
      </c>
      <c r="BD119" s="116">
        <f t="shared" si="155"/>
        <v>0</v>
      </c>
      <c r="BE119" s="117">
        <f t="shared" si="155"/>
        <v>0</v>
      </c>
      <c r="BF119" s="119">
        <f t="shared" si="155"/>
        <v>0</v>
      </c>
      <c r="BG119" s="194">
        <f t="shared" si="155"/>
        <v>0</v>
      </c>
      <c r="BH119" s="117">
        <f t="shared" si="155"/>
        <v>0</v>
      </c>
      <c r="BI119" s="118">
        <f t="shared" si="155"/>
        <v>0</v>
      </c>
      <c r="BJ119" s="116">
        <f t="shared" si="155"/>
        <v>0</v>
      </c>
      <c r="BK119" s="117">
        <f t="shared" si="155"/>
        <v>0</v>
      </c>
      <c r="BL119" s="119">
        <f t="shared" si="155"/>
        <v>0</v>
      </c>
      <c r="BM119" s="194">
        <f t="shared" si="155"/>
        <v>0</v>
      </c>
      <c r="BN119" s="117">
        <f t="shared" si="155"/>
        <v>0</v>
      </c>
      <c r="BO119" s="118">
        <f t="shared" si="155"/>
        <v>0</v>
      </c>
      <c r="BP119" s="116">
        <f t="shared" si="155"/>
        <v>0</v>
      </c>
      <c r="BQ119" s="117">
        <f t="shared" si="155"/>
        <v>0</v>
      </c>
      <c r="BR119" s="119">
        <f t="shared" si="155"/>
        <v>0</v>
      </c>
      <c r="BS119" s="194">
        <f t="shared" si="155"/>
        <v>0</v>
      </c>
      <c r="BT119" s="117">
        <f t="shared" si="155"/>
        <v>0</v>
      </c>
      <c r="BU119" s="118">
        <f t="shared" si="155"/>
        <v>0</v>
      </c>
      <c r="BV119" s="116">
        <f t="shared" si="155"/>
        <v>0</v>
      </c>
      <c r="BW119" s="117">
        <f t="shared" si="155"/>
        <v>0</v>
      </c>
      <c r="BX119" s="119">
        <f t="shared" si="155"/>
        <v>0</v>
      </c>
      <c r="BY119" s="194">
        <f t="shared" si="155"/>
        <v>0</v>
      </c>
      <c r="BZ119" s="117">
        <f t="shared" si="155"/>
        <v>0</v>
      </c>
      <c r="CA119" s="118">
        <f t="shared" ref="CA119:EL119" si="156">+CA12+CA48+CA84</f>
        <v>0</v>
      </c>
      <c r="CB119" s="116">
        <f t="shared" si="156"/>
        <v>0</v>
      </c>
      <c r="CC119" s="117">
        <f t="shared" si="156"/>
        <v>0</v>
      </c>
      <c r="CD119" s="119">
        <f t="shared" si="156"/>
        <v>0</v>
      </c>
      <c r="CE119" s="194">
        <f t="shared" si="156"/>
        <v>0</v>
      </c>
      <c r="CF119" s="117">
        <f t="shared" si="156"/>
        <v>0</v>
      </c>
      <c r="CG119" s="118">
        <f t="shared" si="156"/>
        <v>0</v>
      </c>
      <c r="CH119" s="116">
        <f t="shared" si="156"/>
        <v>0</v>
      </c>
      <c r="CI119" s="117">
        <f t="shared" si="156"/>
        <v>0</v>
      </c>
      <c r="CJ119" s="118">
        <f t="shared" si="156"/>
        <v>0</v>
      </c>
      <c r="CK119" s="239">
        <f t="shared" si="156"/>
        <v>0</v>
      </c>
      <c r="CL119" s="43">
        <f t="shared" si="156"/>
        <v>0</v>
      </c>
      <c r="CM119" s="283">
        <f t="shared" si="156"/>
        <v>0</v>
      </c>
      <c r="CN119" s="239">
        <f t="shared" si="156"/>
        <v>0</v>
      </c>
      <c r="CO119" s="43">
        <f t="shared" si="156"/>
        <v>0</v>
      </c>
      <c r="CP119" s="57">
        <f t="shared" si="156"/>
        <v>0</v>
      </c>
      <c r="CQ119" s="194">
        <f t="shared" ref="CQ119:CY119" si="157">+CQ12+CQ48+CQ84</f>
        <v>0</v>
      </c>
      <c r="CR119" s="117">
        <f t="shared" si="157"/>
        <v>0</v>
      </c>
      <c r="CS119" s="119">
        <f t="shared" si="157"/>
        <v>0</v>
      </c>
      <c r="CT119" s="194">
        <f t="shared" si="157"/>
        <v>0</v>
      </c>
      <c r="CU119" s="117">
        <f t="shared" si="157"/>
        <v>0</v>
      </c>
      <c r="CV119" s="119">
        <f t="shared" si="157"/>
        <v>0</v>
      </c>
      <c r="CW119" s="194">
        <f t="shared" si="157"/>
        <v>0</v>
      </c>
      <c r="CX119" s="117">
        <f t="shared" si="157"/>
        <v>0</v>
      </c>
      <c r="CY119" s="119">
        <f t="shared" si="157"/>
        <v>0</v>
      </c>
      <c r="CZ119" s="194">
        <f t="shared" si="156"/>
        <v>0</v>
      </c>
      <c r="DA119" s="117">
        <f t="shared" si="156"/>
        <v>0</v>
      </c>
      <c r="DB119" s="119">
        <f t="shared" si="156"/>
        <v>0</v>
      </c>
      <c r="DC119" s="116">
        <f t="shared" si="156"/>
        <v>0</v>
      </c>
      <c r="DD119" s="117">
        <f t="shared" si="156"/>
        <v>0</v>
      </c>
      <c r="DE119" s="119">
        <f t="shared" si="156"/>
        <v>0</v>
      </c>
      <c r="DF119" s="194">
        <f t="shared" si="156"/>
        <v>0</v>
      </c>
      <c r="DG119" s="117">
        <f t="shared" si="156"/>
        <v>0</v>
      </c>
      <c r="DH119" s="118">
        <f t="shared" si="156"/>
        <v>0</v>
      </c>
      <c r="DI119" s="116">
        <f t="shared" si="156"/>
        <v>0</v>
      </c>
      <c r="DJ119" s="117">
        <f t="shared" si="156"/>
        <v>0</v>
      </c>
      <c r="DK119" s="119">
        <f t="shared" si="156"/>
        <v>0</v>
      </c>
      <c r="DL119" s="194">
        <f t="shared" si="156"/>
        <v>0</v>
      </c>
      <c r="DM119" s="117">
        <f t="shared" si="156"/>
        <v>0</v>
      </c>
      <c r="DN119" s="118">
        <f t="shared" si="156"/>
        <v>0</v>
      </c>
      <c r="DO119" s="116">
        <f t="shared" si="156"/>
        <v>0</v>
      </c>
      <c r="DP119" s="117">
        <f t="shared" si="156"/>
        <v>0</v>
      </c>
      <c r="DQ119" s="119">
        <f t="shared" si="156"/>
        <v>0</v>
      </c>
      <c r="DR119" s="194">
        <f t="shared" si="156"/>
        <v>0</v>
      </c>
      <c r="DS119" s="117">
        <f t="shared" si="156"/>
        <v>0</v>
      </c>
      <c r="DT119" s="118">
        <f t="shared" si="156"/>
        <v>0</v>
      </c>
      <c r="DU119" s="116">
        <f t="shared" si="156"/>
        <v>0</v>
      </c>
      <c r="DV119" s="117">
        <f t="shared" si="156"/>
        <v>0</v>
      </c>
      <c r="DW119" s="119">
        <f t="shared" si="156"/>
        <v>0</v>
      </c>
      <c r="DX119" s="194">
        <f t="shared" si="156"/>
        <v>0</v>
      </c>
      <c r="DY119" s="117">
        <f t="shared" si="156"/>
        <v>0</v>
      </c>
      <c r="DZ119" s="118">
        <f t="shared" si="156"/>
        <v>0</v>
      </c>
      <c r="EA119" s="116">
        <f t="shared" si="156"/>
        <v>0</v>
      </c>
      <c r="EB119" s="117">
        <f t="shared" si="156"/>
        <v>0</v>
      </c>
      <c r="EC119" s="119">
        <f t="shared" si="156"/>
        <v>0</v>
      </c>
      <c r="ED119" s="194">
        <f t="shared" si="156"/>
        <v>0</v>
      </c>
      <c r="EE119" s="117">
        <f t="shared" si="156"/>
        <v>0</v>
      </c>
      <c r="EF119" s="118">
        <f t="shared" si="156"/>
        <v>0</v>
      </c>
      <c r="EG119" s="116">
        <f t="shared" si="156"/>
        <v>0</v>
      </c>
      <c r="EH119" s="117">
        <f t="shared" si="156"/>
        <v>0</v>
      </c>
      <c r="EI119" s="119">
        <f t="shared" si="156"/>
        <v>0</v>
      </c>
      <c r="EJ119" s="194">
        <f t="shared" si="156"/>
        <v>0</v>
      </c>
      <c r="EK119" s="117">
        <f t="shared" si="156"/>
        <v>0</v>
      </c>
      <c r="EL119" s="118">
        <f t="shared" si="156"/>
        <v>0</v>
      </c>
      <c r="EM119" s="116">
        <f t="shared" ref="EM119:GX119" si="158">+EM12+EM48+EM84</f>
        <v>0</v>
      </c>
      <c r="EN119" s="117">
        <f t="shared" si="158"/>
        <v>0</v>
      </c>
      <c r="EO119" s="119">
        <f t="shared" si="158"/>
        <v>0</v>
      </c>
      <c r="EP119" s="194">
        <f t="shared" si="158"/>
        <v>0</v>
      </c>
      <c r="EQ119" s="117">
        <f t="shared" si="158"/>
        <v>0</v>
      </c>
      <c r="ER119" s="118">
        <f t="shared" si="158"/>
        <v>0</v>
      </c>
      <c r="ES119" s="116">
        <f t="shared" si="158"/>
        <v>0</v>
      </c>
      <c r="ET119" s="117">
        <f t="shared" si="158"/>
        <v>0</v>
      </c>
      <c r="EU119" s="119">
        <f t="shared" si="158"/>
        <v>0</v>
      </c>
      <c r="EV119" s="194">
        <f t="shared" si="158"/>
        <v>0</v>
      </c>
      <c r="EW119" s="117">
        <f t="shared" si="158"/>
        <v>0</v>
      </c>
      <c r="EX119" s="118">
        <f t="shared" si="158"/>
        <v>0</v>
      </c>
      <c r="EY119" s="116">
        <f t="shared" si="158"/>
        <v>0</v>
      </c>
      <c r="EZ119" s="117">
        <f t="shared" si="158"/>
        <v>0</v>
      </c>
      <c r="FA119" s="119">
        <f t="shared" si="158"/>
        <v>0</v>
      </c>
      <c r="FB119" s="194">
        <f t="shared" si="158"/>
        <v>0</v>
      </c>
      <c r="FC119" s="117">
        <f t="shared" si="158"/>
        <v>0</v>
      </c>
      <c r="FD119" s="118">
        <f t="shared" si="158"/>
        <v>0</v>
      </c>
      <c r="FE119" s="116">
        <f t="shared" si="158"/>
        <v>0</v>
      </c>
      <c r="FF119" s="117">
        <f t="shared" si="158"/>
        <v>0</v>
      </c>
      <c r="FG119" s="119">
        <f t="shared" si="158"/>
        <v>0</v>
      </c>
      <c r="FH119" s="194">
        <f t="shared" si="158"/>
        <v>0</v>
      </c>
      <c r="FI119" s="117">
        <f t="shared" si="158"/>
        <v>0</v>
      </c>
      <c r="FJ119" s="118">
        <f t="shared" si="158"/>
        <v>0</v>
      </c>
      <c r="FK119" s="116">
        <f t="shared" si="158"/>
        <v>0</v>
      </c>
      <c r="FL119" s="117">
        <f t="shared" si="158"/>
        <v>0</v>
      </c>
      <c r="FM119" s="119">
        <f t="shared" si="158"/>
        <v>0</v>
      </c>
      <c r="FN119" s="194">
        <f t="shared" si="158"/>
        <v>0</v>
      </c>
      <c r="FO119" s="117">
        <f t="shared" si="158"/>
        <v>0</v>
      </c>
      <c r="FP119" s="118">
        <f t="shared" si="158"/>
        <v>0</v>
      </c>
      <c r="FQ119" s="116">
        <f t="shared" si="158"/>
        <v>0</v>
      </c>
      <c r="FR119" s="117">
        <f t="shared" si="158"/>
        <v>0</v>
      </c>
      <c r="FS119" s="119">
        <f t="shared" si="158"/>
        <v>0</v>
      </c>
      <c r="FT119" s="194">
        <f t="shared" si="158"/>
        <v>0</v>
      </c>
      <c r="FU119" s="117">
        <f t="shared" si="158"/>
        <v>0</v>
      </c>
      <c r="FV119" s="118">
        <f t="shared" si="158"/>
        <v>0</v>
      </c>
      <c r="FW119" s="116">
        <f t="shared" si="158"/>
        <v>0</v>
      </c>
      <c r="FX119" s="117">
        <f t="shared" si="158"/>
        <v>0</v>
      </c>
      <c r="FY119" s="119">
        <f t="shared" si="158"/>
        <v>0</v>
      </c>
      <c r="FZ119" s="194">
        <f t="shared" si="158"/>
        <v>0</v>
      </c>
      <c r="GA119" s="117">
        <f t="shared" si="158"/>
        <v>0</v>
      </c>
      <c r="GB119" s="118">
        <f t="shared" si="158"/>
        <v>0</v>
      </c>
      <c r="GC119" s="116">
        <f t="shared" si="158"/>
        <v>0</v>
      </c>
      <c r="GD119" s="117">
        <f t="shared" si="158"/>
        <v>0</v>
      </c>
      <c r="GE119" s="119">
        <f t="shared" si="158"/>
        <v>0</v>
      </c>
      <c r="GF119" s="194">
        <f t="shared" si="158"/>
        <v>0</v>
      </c>
      <c r="GG119" s="117">
        <f t="shared" si="158"/>
        <v>0</v>
      </c>
      <c r="GH119" s="118">
        <f t="shared" si="158"/>
        <v>0</v>
      </c>
      <c r="GI119" s="116">
        <f t="shared" si="158"/>
        <v>0</v>
      </c>
      <c r="GJ119" s="117">
        <f t="shared" si="158"/>
        <v>0</v>
      </c>
      <c r="GK119" s="118">
        <f t="shared" si="158"/>
        <v>0</v>
      </c>
      <c r="GL119" s="239">
        <f t="shared" si="158"/>
        <v>0</v>
      </c>
      <c r="GM119" s="43">
        <f t="shared" si="158"/>
        <v>0</v>
      </c>
      <c r="GN119" s="283">
        <f t="shared" si="158"/>
        <v>0</v>
      </c>
      <c r="GO119" s="239">
        <f t="shared" si="158"/>
        <v>0</v>
      </c>
      <c r="GP119" s="43">
        <f t="shared" si="158"/>
        <v>0</v>
      </c>
      <c r="GQ119" s="57">
        <f t="shared" si="158"/>
        <v>0</v>
      </c>
      <c r="GR119" s="194">
        <f t="shared" si="158"/>
        <v>0</v>
      </c>
      <c r="GS119" s="117">
        <f t="shared" si="158"/>
        <v>0</v>
      </c>
      <c r="GT119" s="119">
        <f t="shared" si="158"/>
        <v>0</v>
      </c>
      <c r="GU119" s="194">
        <f t="shared" si="158"/>
        <v>0</v>
      </c>
      <c r="GV119" s="117">
        <f t="shared" si="158"/>
        <v>0</v>
      </c>
      <c r="GW119" s="119">
        <f t="shared" si="158"/>
        <v>0</v>
      </c>
      <c r="GX119" s="194">
        <f t="shared" si="158"/>
        <v>0</v>
      </c>
      <c r="GY119" s="117">
        <f t="shared" ref="GY119:HC119" si="159">+GY12+GY48+GY84</f>
        <v>0</v>
      </c>
      <c r="GZ119" s="119">
        <f t="shared" si="159"/>
        <v>0</v>
      </c>
      <c r="HA119" s="194">
        <f t="shared" si="159"/>
        <v>0</v>
      </c>
      <c r="HB119" s="117">
        <f t="shared" si="159"/>
        <v>0</v>
      </c>
      <c r="HC119" s="119">
        <f t="shared" si="159"/>
        <v>0</v>
      </c>
      <c r="HD119" s="368">
        <f t="shared" si="139"/>
        <v>0</v>
      </c>
      <c r="HE119" s="369">
        <f t="shared" si="140"/>
        <v>0</v>
      </c>
      <c r="HF119" s="369">
        <f t="shared" si="141"/>
        <v>0</v>
      </c>
      <c r="HG119" s="145">
        <f t="shared" si="132"/>
        <v>0</v>
      </c>
    </row>
    <row r="120" spans="1:215" ht="15.75" thickBot="1">
      <c r="A120" s="238">
        <v>6</v>
      </c>
      <c r="B120" s="116">
        <f t="shared" ref="B120:AN120" si="160">+B13+B49+B85</f>
        <v>0</v>
      </c>
      <c r="C120" s="117">
        <f t="shared" si="160"/>
        <v>0</v>
      </c>
      <c r="D120" s="119">
        <f t="shared" si="160"/>
        <v>0</v>
      </c>
      <c r="E120" s="194">
        <f t="shared" si="160"/>
        <v>0</v>
      </c>
      <c r="F120" s="117">
        <f t="shared" si="160"/>
        <v>0</v>
      </c>
      <c r="G120" s="118">
        <f t="shared" si="160"/>
        <v>0</v>
      </c>
      <c r="H120" s="116">
        <f t="shared" si="160"/>
        <v>0</v>
      </c>
      <c r="I120" s="117">
        <f t="shared" si="160"/>
        <v>0</v>
      </c>
      <c r="J120" s="119">
        <f t="shared" si="160"/>
        <v>0</v>
      </c>
      <c r="K120" s="194">
        <f t="shared" si="160"/>
        <v>0</v>
      </c>
      <c r="L120" s="117">
        <f t="shared" si="160"/>
        <v>0</v>
      </c>
      <c r="M120" s="118">
        <f t="shared" si="160"/>
        <v>0</v>
      </c>
      <c r="N120" s="116">
        <f t="shared" si="160"/>
        <v>0</v>
      </c>
      <c r="O120" s="117">
        <f t="shared" si="160"/>
        <v>0</v>
      </c>
      <c r="P120" s="119">
        <f t="shared" si="160"/>
        <v>0</v>
      </c>
      <c r="Q120" s="194">
        <f t="shared" si="160"/>
        <v>0</v>
      </c>
      <c r="R120" s="117">
        <f t="shared" si="160"/>
        <v>0</v>
      </c>
      <c r="S120" s="118">
        <f t="shared" si="160"/>
        <v>0</v>
      </c>
      <c r="T120" s="116">
        <f t="shared" si="160"/>
        <v>0</v>
      </c>
      <c r="U120" s="117">
        <f t="shared" si="160"/>
        <v>0</v>
      </c>
      <c r="V120" s="119">
        <f t="shared" si="160"/>
        <v>0</v>
      </c>
      <c r="W120" s="194">
        <f t="shared" si="160"/>
        <v>0</v>
      </c>
      <c r="X120" s="117">
        <f t="shared" si="160"/>
        <v>0</v>
      </c>
      <c r="Y120" s="118">
        <f t="shared" si="160"/>
        <v>0</v>
      </c>
      <c r="Z120" s="116">
        <f t="shared" si="160"/>
        <v>0</v>
      </c>
      <c r="AA120" s="117">
        <f t="shared" si="160"/>
        <v>0</v>
      </c>
      <c r="AB120" s="119">
        <f t="shared" si="160"/>
        <v>0</v>
      </c>
      <c r="AC120" s="194">
        <f t="shared" si="160"/>
        <v>0</v>
      </c>
      <c r="AD120" s="117">
        <f t="shared" si="160"/>
        <v>0</v>
      </c>
      <c r="AE120" s="118">
        <f t="shared" si="160"/>
        <v>0</v>
      </c>
      <c r="AF120" s="116">
        <f t="shared" si="160"/>
        <v>0</v>
      </c>
      <c r="AG120" s="117">
        <f t="shared" si="160"/>
        <v>0</v>
      </c>
      <c r="AH120" s="119">
        <f t="shared" si="160"/>
        <v>0</v>
      </c>
      <c r="AI120" s="194">
        <f t="shared" si="160"/>
        <v>0</v>
      </c>
      <c r="AJ120" s="117">
        <f t="shared" si="160"/>
        <v>0</v>
      </c>
      <c r="AK120" s="118">
        <f t="shared" si="160"/>
        <v>0</v>
      </c>
      <c r="AL120" s="116">
        <f t="shared" si="160"/>
        <v>0</v>
      </c>
      <c r="AM120" s="117">
        <f t="shared" si="160"/>
        <v>0</v>
      </c>
      <c r="AN120" s="119">
        <f t="shared" si="160"/>
        <v>0</v>
      </c>
      <c r="AO120" s="194">
        <f t="shared" ref="AO120:BZ120" si="161">+AO13+AO49+AO85</f>
        <v>0</v>
      </c>
      <c r="AP120" s="117">
        <f t="shared" si="161"/>
        <v>0</v>
      </c>
      <c r="AQ120" s="118">
        <f t="shared" si="161"/>
        <v>0</v>
      </c>
      <c r="AR120" s="116">
        <f t="shared" si="161"/>
        <v>0</v>
      </c>
      <c r="AS120" s="117">
        <f t="shared" si="161"/>
        <v>0</v>
      </c>
      <c r="AT120" s="119">
        <f t="shared" si="161"/>
        <v>0</v>
      </c>
      <c r="AU120" s="194">
        <f t="shared" si="161"/>
        <v>0</v>
      </c>
      <c r="AV120" s="117">
        <f t="shared" si="161"/>
        <v>0</v>
      </c>
      <c r="AW120" s="118">
        <f t="shared" si="161"/>
        <v>0</v>
      </c>
      <c r="AX120" s="116">
        <f t="shared" si="161"/>
        <v>0</v>
      </c>
      <c r="AY120" s="117">
        <f t="shared" si="161"/>
        <v>0</v>
      </c>
      <c r="AZ120" s="119">
        <f t="shared" si="161"/>
        <v>0</v>
      </c>
      <c r="BA120" s="194">
        <f t="shared" si="161"/>
        <v>0</v>
      </c>
      <c r="BB120" s="117">
        <f t="shared" si="161"/>
        <v>0</v>
      </c>
      <c r="BC120" s="118">
        <f t="shared" si="161"/>
        <v>0</v>
      </c>
      <c r="BD120" s="116">
        <f t="shared" si="161"/>
        <v>0</v>
      </c>
      <c r="BE120" s="117">
        <f t="shared" si="161"/>
        <v>0</v>
      </c>
      <c r="BF120" s="119">
        <f t="shared" si="161"/>
        <v>0</v>
      </c>
      <c r="BG120" s="194">
        <f t="shared" si="161"/>
        <v>0</v>
      </c>
      <c r="BH120" s="117">
        <f t="shared" si="161"/>
        <v>0</v>
      </c>
      <c r="BI120" s="118">
        <f t="shared" si="161"/>
        <v>0</v>
      </c>
      <c r="BJ120" s="116">
        <f t="shared" si="161"/>
        <v>0</v>
      </c>
      <c r="BK120" s="117">
        <f t="shared" si="161"/>
        <v>0</v>
      </c>
      <c r="BL120" s="119">
        <f t="shared" si="161"/>
        <v>0</v>
      </c>
      <c r="BM120" s="194">
        <f t="shared" si="161"/>
        <v>0</v>
      </c>
      <c r="BN120" s="117">
        <f t="shared" si="161"/>
        <v>0</v>
      </c>
      <c r="BO120" s="118">
        <f t="shared" si="161"/>
        <v>0</v>
      </c>
      <c r="BP120" s="116">
        <f t="shared" si="161"/>
        <v>0</v>
      </c>
      <c r="BQ120" s="117">
        <f t="shared" si="161"/>
        <v>0</v>
      </c>
      <c r="BR120" s="119">
        <f t="shared" si="161"/>
        <v>0</v>
      </c>
      <c r="BS120" s="194">
        <f t="shared" si="161"/>
        <v>0</v>
      </c>
      <c r="BT120" s="117">
        <f t="shared" si="161"/>
        <v>0</v>
      </c>
      <c r="BU120" s="118">
        <f t="shared" si="161"/>
        <v>0</v>
      </c>
      <c r="BV120" s="116">
        <f t="shared" si="161"/>
        <v>0</v>
      </c>
      <c r="BW120" s="117">
        <f t="shared" si="161"/>
        <v>0</v>
      </c>
      <c r="BX120" s="119">
        <f t="shared" si="161"/>
        <v>0</v>
      </c>
      <c r="BY120" s="194">
        <f t="shared" si="161"/>
        <v>0</v>
      </c>
      <c r="BZ120" s="117">
        <f t="shared" si="161"/>
        <v>0</v>
      </c>
      <c r="CA120" s="118">
        <f t="shared" ref="CA120:EL120" si="162">+CA13+CA49+CA85</f>
        <v>0</v>
      </c>
      <c r="CB120" s="116">
        <f t="shared" si="162"/>
        <v>0</v>
      </c>
      <c r="CC120" s="117">
        <f t="shared" si="162"/>
        <v>0</v>
      </c>
      <c r="CD120" s="119">
        <f t="shared" si="162"/>
        <v>0</v>
      </c>
      <c r="CE120" s="194">
        <f t="shared" si="162"/>
        <v>0</v>
      </c>
      <c r="CF120" s="117">
        <f t="shared" si="162"/>
        <v>0</v>
      </c>
      <c r="CG120" s="118">
        <f t="shared" si="162"/>
        <v>0</v>
      </c>
      <c r="CH120" s="116">
        <f t="shared" si="162"/>
        <v>0</v>
      </c>
      <c r="CI120" s="117">
        <f t="shared" si="162"/>
        <v>0</v>
      </c>
      <c r="CJ120" s="118">
        <f t="shared" si="162"/>
        <v>0</v>
      </c>
      <c r="CK120" s="239">
        <f t="shared" si="162"/>
        <v>0</v>
      </c>
      <c r="CL120" s="43">
        <f t="shared" si="162"/>
        <v>0</v>
      </c>
      <c r="CM120" s="283">
        <f t="shared" si="162"/>
        <v>0</v>
      </c>
      <c r="CN120" s="239">
        <f t="shared" si="162"/>
        <v>0</v>
      </c>
      <c r="CO120" s="43">
        <f t="shared" si="162"/>
        <v>0</v>
      </c>
      <c r="CP120" s="57">
        <f t="shared" si="162"/>
        <v>0</v>
      </c>
      <c r="CQ120" s="194">
        <f t="shared" ref="CQ120:CY120" si="163">+CQ13+CQ49+CQ85</f>
        <v>0</v>
      </c>
      <c r="CR120" s="117">
        <f t="shared" si="163"/>
        <v>0</v>
      </c>
      <c r="CS120" s="119">
        <f t="shared" si="163"/>
        <v>0</v>
      </c>
      <c r="CT120" s="194">
        <f t="shared" si="163"/>
        <v>0</v>
      </c>
      <c r="CU120" s="117">
        <f t="shared" si="163"/>
        <v>0</v>
      </c>
      <c r="CV120" s="119">
        <f t="shared" si="163"/>
        <v>0</v>
      </c>
      <c r="CW120" s="194">
        <f t="shared" si="163"/>
        <v>0</v>
      </c>
      <c r="CX120" s="117">
        <f t="shared" si="163"/>
        <v>0</v>
      </c>
      <c r="CY120" s="119">
        <f t="shared" si="163"/>
        <v>0</v>
      </c>
      <c r="CZ120" s="194">
        <f t="shared" si="162"/>
        <v>0</v>
      </c>
      <c r="DA120" s="117">
        <f t="shared" si="162"/>
        <v>0</v>
      </c>
      <c r="DB120" s="119">
        <f t="shared" si="162"/>
        <v>0</v>
      </c>
      <c r="DC120" s="116">
        <f t="shared" si="162"/>
        <v>0</v>
      </c>
      <c r="DD120" s="117">
        <f t="shared" si="162"/>
        <v>0</v>
      </c>
      <c r="DE120" s="119">
        <f t="shared" si="162"/>
        <v>0</v>
      </c>
      <c r="DF120" s="194">
        <f t="shared" si="162"/>
        <v>0</v>
      </c>
      <c r="DG120" s="117">
        <f t="shared" si="162"/>
        <v>0</v>
      </c>
      <c r="DH120" s="118">
        <f t="shared" si="162"/>
        <v>0</v>
      </c>
      <c r="DI120" s="116">
        <f t="shared" si="162"/>
        <v>0</v>
      </c>
      <c r="DJ120" s="117">
        <f t="shared" si="162"/>
        <v>0</v>
      </c>
      <c r="DK120" s="119">
        <f t="shared" si="162"/>
        <v>0</v>
      </c>
      <c r="DL120" s="194">
        <f t="shared" si="162"/>
        <v>0</v>
      </c>
      <c r="DM120" s="117">
        <f t="shared" si="162"/>
        <v>0</v>
      </c>
      <c r="DN120" s="118">
        <f t="shared" si="162"/>
        <v>0</v>
      </c>
      <c r="DO120" s="116">
        <f t="shared" si="162"/>
        <v>0</v>
      </c>
      <c r="DP120" s="117">
        <f t="shared" si="162"/>
        <v>0</v>
      </c>
      <c r="DQ120" s="119">
        <f t="shared" si="162"/>
        <v>0</v>
      </c>
      <c r="DR120" s="194">
        <f t="shared" si="162"/>
        <v>0</v>
      </c>
      <c r="DS120" s="117">
        <f t="shared" si="162"/>
        <v>0</v>
      </c>
      <c r="DT120" s="118">
        <f t="shared" si="162"/>
        <v>0</v>
      </c>
      <c r="DU120" s="116">
        <f t="shared" si="162"/>
        <v>0</v>
      </c>
      <c r="DV120" s="117">
        <f t="shared" si="162"/>
        <v>0</v>
      </c>
      <c r="DW120" s="119">
        <f t="shared" si="162"/>
        <v>0</v>
      </c>
      <c r="DX120" s="194">
        <f t="shared" si="162"/>
        <v>0</v>
      </c>
      <c r="DY120" s="117">
        <f t="shared" si="162"/>
        <v>0</v>
      </c>
      <c r="DZ120" s="118">
        <f t="shared" si="162"/>
        <v>0</v>
      </c>
      <c r="EA120" s="116">
        <f t="shared" si="162"/>
        <v>0</v>
      </c>
      <c r="EB120" s="117">
        <f t="shared" si="162"/>
        <v>0</v>
      </c>
      <c r="EC120" s="119">
        <f t="shared" si="162"/>
        <v>0</v>
      </c>
      <c r="ED120" s="194">
        <f t="shared" si="162"/>
        <v>0</v>
      </c>
      <c r="EE120" s="117">
        <f t="shared" si="162"/>
        <v>0</v>
      </c>
      <c r="EF120" s="118">
        <f t="shared" si="162"/>
        <v>0</v>
      </c>
      <c r="EG120" s="116">
        <f t="shared" si="162"/>
        <v>0</v>
      </c>
      <c r="EH120" s="117">
        <f t="shared" si="162"/>
        <v>0</v>
      </c>
      <c r="EI120" s="119">
        <f t="shared" si="162"/>
        <v>0</v>
      </c>
      <c r="EJ120" s="194">
        <f t="shared" si="162"/>
        <v>0</v>
      </c>
      <c r="EK120" s="117">
        <f t="shared" si="162"/>
        <v>0</v>
      </c>
      <c r="EL120" s="118">
        <f t="shared" si="162"/>
        <v>0</v>
      </c>
      <c r="EM120" s="116">
        <f t="shared" ref="EM120:GX120" si="164">+EM13+EM49+EM85</f>
        <v>0</v>
      </c>
      <c r="EN120" s="117">
        <f t="shared" si="164"/>
        <v>0</v>
      </c>
      <c r="EO120" s="119">
        <f t="shared" si="164"/>
        <v>0</v>
      </c>
      <c r="EP120" s="194">
        <f t="shared" si="164"/>
        <v>0</v>
      </c>
      <c r="EQ120" s="117">
        <f t="shared" si="164"/>
        <v>0</v>
      </c>
      <c r="ER120" s="118">
        <f t="shared" si="164"/>
        <v>0</v>
      </c>
      <c r="ES120" s="116">
        <f t="shared" si="164"/>
        <v>0</v>
      </c>
      <c r="ET120" s="117">
        <f t="shared" si="164"/>
        <v>0</v>
      </c>
      <c r="EU120" s="119">
        <f t="shared" si="164"/>
        <v>0</v>
      </c>
      <c r="EV120" s="194">
        <f t="shared" si="164"/>
        <v>0</v>
      </c>
      <c r="EW120" s="117">
        <f t="shared" si="164"/>
        <v>0</v>
      </c>
      <c r="EX120" s="118">
        <f t="shared" si="164"/>
        <v>0</v>
      </c>
      <c r="EY120" s="116">
        <f t="shared" si="164"/>
        <v>0</v>
      </c>
      <c r="EZ120" s="117">
        <f t="shared" si="164"/>
        <v>0</v>
      </c>
      <c r="FA120" s="119">
        <f t="shared" si="164"/>
        <v>0</v>
      </c>
      <c r="FB120" s="194">
        <f t="shared" si="164"/>
        <v>0</v>
      </c>
      <c r="FC120" s="117">
        <f t="shared" si="164"/>
        <v>0</v>
      </c>
      <c r="FD120" s="118">
        <f t="shared" si="164"/>
        <v>0</v>
      </c>
      <c r="FE120" s="116">
        <f t="shared" si="164"/>
        <v>0</v>
      </c>
      <c r="FF120" s="117">
        <f t="shared" si="164"/>
        <v>0</v>
      </c>
      <c r="FG120" s="119">
        <f t="shared" si="164"/>
        <v>0</v>
      </c>
      <c r="FH120" s="194">
        <f t="shared" si="164"/>
        <v>0</v>
      </c>
      <c r="FI120" s="117">
        <f t="shared" si="164"/>
        <v>0</v>
      </c>
      <c r="FJ120" s="118">
        <f t="shared" si="164"/>
        <v>0</v>
      </c>
      <c r="FK120" s="116">
        <f t="shared" si="164"/>
        <v>0</v>
      </c>
      <c r="FL120" s="117">
        <f t="shared" si="164"/>
        <v>0</v>
      </c>
      <c r="FM120" s="119">
        <f t="shared" si="164"/>
        <v>0</v>
      </c>
      <c r="FN120" s="194">
        <f t="shared" si="164"/>
        <v>0</v>
      </c>
      <c r="FO120" s="117">
        <f t="shared" si="164"/>
        <v>0</v>
      </c>
      <c r="FP120" s="118">
        <f t="shared" si="164"/>
        <v>0</v>
      </c>
      <c r="FQ120" s="116">
        <f t="shared" si="164"/>
        <v>0</v>
      </c>
      <c r="FR120" s="117">
        <f t="shared" si="164"/>
        <v>0</v>
      </c>
      <c r="FS120" s="119">
        <f t="shared" si="164"/>
        <v>0</v>
      </c>
      <c r="FT120" s="194">
        <f t="shared" si="164"/>
        <v>0</v>
      </c>
      <c r="FU120" s="117">
        <f t="shared" si="164"/>
        <v>0</v>
      </c>
      <c r="FV120" s="118">
        <f t="shared" si="164"/>
        <v>0</v>
      </c>
      <c r="FW120" s="116">
        <f t="shared" si="164"/>
        <v>0</v>
      </c>
      <c r="FX120" s="117">
        <f t="shared" si="164"/>
        <v>0</v>
      </c>
      <c r="FY120" s="119">
        <f t="shared" si="164"/>
        <v>0</v>
      </c>
      <c r="FZ120" s="194">
        <f t="shared" si="164"/>
        <v>0</v>
      </c>
      <c r="GA120" s="117">
        <f t="shared" si="164"/>
        <v>0</v>
      </c>
      <c r="GB120" s="118">
        <f t="shared" si="164"/>
        <v>0</v>
      </c>
      <c r="GC120" s="116">
        <f t="shared" si="164"/>
        <v>0</v>
      </c>
      <c r="GD120" s="117">
        <f t="shared" si="164"/>
        <v>0</v>
      </c>
      <c r="GE120" s="119">
        <f t="shared" si="164"/>
        <v>0</v>
      </c>
      <c r="GF120" s="194">
        <f t="shared" si="164"/>
        <v>0</v>
      </c>
      <c r="GG120" s="117">
        <f t="shared" si="164"/>
        <v>0</v>
      </c>
      <c r="GH120" s="118">
        <f t="shared" si="164"/>
        <v>0</v>
      </c>
      <c r="GI120" s="116">
        <f t="shared" si="164"/>
        <v>0</v>
      </c>
      <c r="GJ120" s="117">
        <f t="shared" si="164"/>
        <v>0</v>
      </c>
      <c r="GK120" s="118">
        <f t="shared" si="164"/>
        <v>0</v>
      </c>
      <c r="GL120" s="239">
        <f t="shared" si="164"/>
        <v>0</v>
      </c>
      <c r="GM120" s="43">
        <f t="shared" si="164"/>
        <v>0</v>
      </c>
      <c r="GN120" s="283">
        <f t="shared" si="164"/>
        <v>0</v>
      </c>
      <c r="GO120" s="239">
        <f t="shared" si="164"/>
        <v>0</v>
      </c>
      <c r="GP120" s="43">
        <f t="shared" si="164"/>
        <v>0</v>
      </c>
      <c r="GQ120" s="57">
        <f t="shared" si="164"/>
        <v>0</v>
      </c>
      <c r="GR120" s="194">
        <f t="shared" si="164"/>
        <v>0</v>
      </c>
      <c r="GS120" s="117">
        <f t="shared" si="164"/>
        <v>0</v>
      </c>
      <c r="GT120" s="119">
        <f t="shared" si="164"/>
        <v>0</v>
      </c>
      <c r="GU120" s="194">
        <f t="shared" si="164"/>
        <v>0</v>
      </c>
      <c r="GV120" s="117">
        <f t="shared" si="164"/>
        <v>0</v>
      </c>
      <c r="GW120" s="119">
        <f t="shared" si="164"/>
        <v>0</v>
      </c>
      <c r="GX120" s="194">
        <f t="shared" si="164"/>
        <v>0</v>
      </c>
      <c r="GY120" s="117">
        <f t="shared" ref="GY120:HC120" si="165">+GY13+GY49+GY85</f>
        <v>0</v>
      </c>
      <c r="GZ120" s="119">
        <f t="shared" si="165"/>
        <v>0</v>
      </c>
      <c r="HA120" s="194">
        <f t="shared" si="165"/>
        <v>0</v>
      </c>
      <c r="HB120" s="117">
        <f t="shared" si="165"/>
        <v>0</v>
      </c>
      <c r="HC120" s="119">
        <f t="shared" si="165"/>
        <v>0</v>
      </c>
      <c r="HD120" s="368">
        <f t="shared" si="139"/>
        <v>0</v>
      </c>
      <c r="HE120" s="369">
        <f t="shared" si="140"/>
        <v>0</v>
      </c>
      <c r="HF120" s="369">
        <f t="shared" si="141"/>
        <v>0</v>
      </c>
      <c r="HG120" s="145">
        <f t="shared" si="132"/>
        <v>0</v>
      </c>
    </row>
    <row r="121" spans="1:215" ht="15.75" thickBot="1">
      <c r="A121" s="353">
        <v>7</v>
      </c>
      <c r="B121" s="116">
        <f t="shared" ref="B121:AN121" si="166">+B14+B50+B86</f>
        <v>0</v>
      </c>
      <c r="C121" s="117">
        <f t="shared" si="166"/>
        <v>0</v>
      </c>
      <c r="D121" s="119">
        <f t="shared" si="166"/>
        <v>0</v>
      </c>
      <c r="E121" s="194">
        <f t="shared" si="166"/>
        <v>0</v>
      </c>
      <c r="F121" s="117">
        <f t="shared" si="166"/>
        <v>0</v>
      </c>
      <c r="G121" s="118">
        <f t="shared" si="166"/>
        <v>0</v>
      </c>
      <c r="H121" s="116">
        <f t="shared" si="166"/>
        <v>0</v>
      </c>
      <c r="I121" s="117">
        <f t="shared" si="166"/>
        <v>0</v>
      </c>
      <c r="J121" s="119">
        <f t="shared" si="166"/>
        <v>0</v>
      </c>
      <c r="K121" s="194">
        <f t="shared" si="166"/>
        <v>0</v>
      </c>
      <c r="L121" s="117">
        <f t="shared" si="166"/>
        <v>0</v>
      </c>
      <c r="M121" s="118">
        <f t="shared" si="166"/>
        <v>0</v>
      </c>
      <c r="N121" s="116">
        <f t="shared" si="166"/>
        <v>0</v>
      </c>
      <c r="O121" s="117">
        <f t="shared" si="166"/>
        <v>0</v>
      </c>
      <c r="P121" s="119">
        <f t="shared" si="166"/>
        <v>0</v>
      </c>
      <c r="Q121" s="194">
        <f t="shared" si="166"/>
        <v>0</v>
      </c>
      <c r="R121" s="117">
        <f t="shared" si="166"/>
        <v>0</v>
      </c>
      <c r="S121" s="118">
        <f t="shared" si="166"/>
        <v>0</v>
      </c>
      <c r="T121" s="116">
        <f t="shared" si="166"/>
        <v>0</v>
      </c>
      <c r="U121" s="117">
        <f t="shared" si="166"/>
        <v>0</v>
      </c>
      <c r="V121" s="119">
        <f t="shared" si="166"/>
        <v>0</v>
      </c>
      <c r="W121" s="194">
        <f t="shared" si="166"/>
        <v>0</v>
      </c>
      <c r="X121" s="117">
        <f t="shared" si="166"/>
        <v>0</v>
      </c>
      <c r="Y121" s="118">
        <f t="shared" si="166"/>
        <v>0</v>
      </c>
      <c r="Z121" s="116">
        <f t="shared" si="166"/>
        <v>0</v>
      </c>
      <c r="AA121" s="117">
        <f t="shared" si="166"/>
        <v>0</v>
      </c>
      <c r="AB121" s="119">
        <f t="shared" si="166"/>
        <v>0</v>
      </c>
      <c r="AC121" s="194">
        <f t="shared" si="166"/>
        <v>0</v>
      </c>
      <c r="AD121" s="117">
        <f t="shared" si="166"/>
        <v>0</v>
      </c>
      <c r="AE121" s="118">
        <f t="shared" si="166"/>
        <v>0</v>
      </c>
      <c r="AF121" s="116">
        <f t="shared" si="166"/>
        <v>0</v>
      </c>
      <c r="AG121" s="117">
        <f t="shared" si="166"/>
        <v>0</v>
      </c>
      <c r="AH121" s="119">
        <f t="shared" si="166"/>
        <v>0</v>
      </c>
      <c r="AI121" s="194">
        <f t="shared" si="166"/>
        <v>0</v>
      </c>
      <c r="AJ121" s="117">
        <f t="shared" si="166"/>
        <v>0</v>
      </c>
      <c r="AK121" s="118">
        <f t="shared" si="166"/>
        <v>0</v>
      </c>
      <c r="AL121" s="116">
        <f t="shared" si="166"/>
        <v>0</v>
      </c>
      <c r="AM121" s="117">
        <f t="shared" si="166"/>
        <v>0</v>
      </c>
      <c r="AN121" s="119">
        <f t="shared" si="166"/>
        <v>0</v>
      </c>
      <c r="AO121" s="194">
        <f t="shared" ref="AO121:BZ121" si="167">+AO14+AO50+AO86</f>
        <v>0</v>
      </c>
      <c r="AP121" s="117">
        <f t="shared" si="167"/>
        <v>0</v>
      </c>
      <c r="AQ121" s="118">
        <f t="shared" si="167"/>
        <v>0</v>
      </c>
      <c r="AR121" s="116">
        <f t="shared" si="167"/>
        <v>0</v>
      </c>
      <c r="AS121" s="117">
        <f t="shared" si="167"/>
        <v>0</v>
      </c>
      <c r="AT121" s="119">
        <f t="shared" si="167"/>
        <v>0</v>
      </c>
      <c r="AU121" s="194">
        <f t="shared" si="167"/>
        <v>0</v>
      </c>
      <c r="AV121" s="117">
        <f t="shared" si="167"/>
        <v>0</v>
      </c>
      <c r="AW121" s="118">
        <f t="shared" si="167"/>
        <v>0</v>
      </c>
      <c r="AX121" s="116">
        <f t="shared" si="167"/>
        <v>0</v>
      </c>
      <c r="AY121" s="117">
        <f t="shared" si="167"/>
        <v>0</v>
      </c>
      <c r="AZ121" s="119">
        <f t="shared" si="167"/>
        <v>0</v>
      </c>
      <c r="BA121" s="194">
        <f t="shared" si="167"/>
        <v>0</v>
      </c>
      <c r="BB121" s="117">
        <f t="shared" si="167"/>
        <v>0</v>
      </c>
      <c r="BC121" s="118">
        <f t="shared" si="167"/>
        <v>0</v>
      </c>
      <c r="BD121" s="116">
        <f t="shared" si="167"/>
        <v>0</v>
      </c>
      <c r="BE121" s="117">
        <f t="shared" si="167"/>
        <v>0</v>
      </c>
      <c r="BF121" s="119">
        <f t="shared" si="167"/>
        <v>0</v>
      </c>
      <c r="BG121" s="194">
        <f t="shared" si="167"/>
        <v>0</v>
      </c>
      <c r="BH121" s="117">
        <f t="shared" si="167"/>
        <v>0</v>
      </c>
      <c r="BI121" s="118">
        <f t="shared" si="167"/>
        <v>0</v>
      </c>
      <c r="BJ121" s="116">
        <f t="shared" si="167"/>
        <v>0</v>
      </c>
      <c r="BK121" s="117">
        <f t="shared" si="167"/>
        <v>0</v>
      </c>
      <c r="BL121" s="119">
        <f t="shared" si="167"/>
        <v>0</v>
      </c>
      <c r="BM121" s="194">
        <f t="shared" si="167"/>
        <v>0</v>
      </c>
      <c r="BN121" s="117">
        <f t="shared" si="167"/>
        <v>0</v>
      </c>
      <c r="BO121" s="118">
        <f t="shared" si="167"/>
        <v>0</v>
      </c>
      <c r="BP121" s="116">
        <f t="shared" si="167"/>
        <v>0</v>
      </c>
      <c r="BQ121" s="117">
        <f t="shared" si="167"/>
        <v>0</v>
      </c>
      <c r="BR121" s="119">
        <f t="shared" si="167"/>
        <v>0</v>
      </c>
      <c r="BS121" s="194">
        <f t="shared" si="167"/>
        <v>0</v>
      </c>
      <c r="BT121" s="117">
        <f t="shared" si="167"/>
        <v>0</v>
      </c>
      <c r="BU121" s="118">
        <f t="shared" si="167"/>
        <v>0</v>
      </c>
      <c r="BV121" s="116">
        <f t="shared" si="167"/>
        <v>0</v>
      </c>
      <c r="BW121" s="117">
        <f t="shared" si="167"/>
        <v>0</v>
      </c>
      <c r="BX121" s="119">
        <f t="shared" si="167"/>
        <v>0</v>
      </c>
      <c r="BY121" s="194">
        <f t="shared" si="167"/>
        <v>0</v>
      </c>
      <c r="BZ121" s="117">
        <f t="shared" si="167"/>
        <v>0</v>
      </c>
      <c r="CA121" s="118">
        <f t="shared" ref="CA121:EL121" si="168">+CA14+CA50+CA86</f>
        <v>0</v>
      </c>
      <c r="CB121" s="116">
        <f t="shared" si="168"/>
        <v>0</v>
      </c>
      <c r="CC121" s="117">
        <f t="shared" si="168"/>
        <v>0</v>
      </c>
      <c r="CD121" s="119">
        <f t="shared" si="168"/>
        <v>0</v>
      </c>
      <c r="CE121" s="194">
        <f t="shared" si="168"/>
        <v>0</v>
      </c>
      <c r="CF121" s="117">
        <f t="shared" si="168"/>
        <v>0</v>
      </c>
      <c r="CG121" s="118">
        <f t="shared" si="168"/>
        <v>0</v>
      </c>
      <c r="CH121" s="116">
        <f t="shared" si="168"/>
        <v>0</v>
      </c>
      <c r="CI121" s="117">
        <f t="shared" si="168"/>
        <v>0</v>
      </c>
      <c r="CJ121" s="118">
        <f t="shared" si="168"/>
        <v>0</v>
      </c>
      <c r="CK121" s="239">
        <f t="shared" si="168"/>
        <v>0</v>
      </c>
      <c r="CL121" s="43">
        <f t="shared" si="168"/>
        <v>0</v>
      </c>
      <c r="CM121" s="283">
        <f t="shared" si="168"/>
        <v>0</v>
      </c>
      <c r="CN121" s="239">
        <f t="shared" si="168"/>
        <v>0</v>
      </c>
      <c r="CO121" s="43">
        <f t="shared" si="168"/>
        <v>0</v>
      </c>
      <c r="CP121" s="57">
        <f t="shared" si="168"/>
        <v>0</v>
      </c>
      <c r="CQ121" s="194">
        <f t="shared" ref="CQ121:CY121" si="169">+CQ14+CQ50+CQ86</f>
        <v>0</v>
      </c>
      <c r="CR121" s="117">
        <f t="shared" si="169"/>
        <v>0</v>
      </c>
      <c r="CS121" s="119">
        <f t="shared" si="169"/>
        <v>0</v>
      </c>
      <c r="CT121" s="194">
        <f t="shared" si="169"/>
        <v>0</v>
      </c>
      <c r="CU121" s="117">
        <f t="shared" si="169"/>
        <v>0</v>
      </c>
      <c r="CV121" s="119">
        <f t="shared" si="169"/>
        <v>0</v>
      </c>
      <c r="CW121" s="194">
        <f t="shared" si="169"/>
        <v>0</v>
      </c>
      <c r="CX121" s="117">
        <f t="shared" si="169"/>
        <v>0</v>
      </c>
      <c r="CY121" s="119">
        <f t="shared" si="169"/>
        <v>0</v>
      </c>
      <c r="CZ121" s="194">
        <f t="shared" si="168"/>
        <v>0</v>
      </c>
      <c r="DA121" s="117">
        <f t="shared" si="168"/>
        <v>0</v>
      </c>
      <c r="DB121" s="119">
        <f t="shared" si="168"/>
        <v>0</v>
      </c>
      <c r="DC121" s="116">
        <f t="shared" si="168"/>
        <v>0</v>
      </c>
      <c r="DD121" s="117">
        <f t="shared" si="168"/>
        <v>0</v>
      </c>
      <c r="DE121" s="119">
        <f t="shared" si="168"/>
        <v>0</v>
      </c>
      <c r="DF121" s="194">
        <f t="shared" si="168"/>
        <v>0</v>
      </c>
      <c r="DG121" s="117">
        <f t="shared" si="168"/>
        <v>0</v>
      </c>
      <c r="DH121" s="118">
        <f t="shared" si="168"/>
        <v>0</v>
      </c>
      <c r="DI121" s="116">
        <f t="shared" si="168"/>
        <v>0</v>
      </c>
      <c r="DJ121" s="117">
        <f t="shared" si="168"/>
        <v>0</v>
      </c>
      <c r="DK121" s="119">
        <f t="shared" si="168"/>
        <v>0</v>
      </c>
      <c r="DL121" s="194">
        <f t="shared" si="168"/>
        <v>0</v>
      </c>
      <c r="DM121" s="117">
        <f t="shared" si="168"/>
        <v>0</v>
      </c>
      <c r="DN121" s="118">
        <f t="shared" si="168"/>
        <v>0</v>
      </c>
      <c r="DO121" s="116">
        <f t="shared" si="168"/>
        <v>0</v>
      </c>
      <c r="DP121" s="117">
        <f t="shared" si="168"/>
        <v>0</v>
      </c>
      <c r="DQ121" s="119">
        <f t="shared" si="168"/>
        <v>0</v>
      </c>
      <c r="DR121" s="194">
        <f t="shared" si="168"/>
        <v>0</v>
      </c>
      <c r="DS121" s="117">
        <f t="shared" si="168"/>
        <v>0</v>
      </c>
      <c r="DT121" s="118">
        <f t="shared" si="168"/>
        <v>0</v>
      </c>
      <c r="DU121" s="116">
        <f t="shared" si="168"/>
        <v>0</v>
      </c>
      <c r="DV121" s="117">
        <f t="shared" si="168"/>
        <v>0</v>
      </c>
      <c r="DW121" s="119">
        <f t="shared" si="168"/>
        <v>0</v>
      </c>
      <c r="DX121" s="194">
        <f t="shared" si="168"/>
        <v>0</v>
      </c>
      <c r="DY121" s="117">
        <f t="shared" si="168"/>
        <v>0</v>
      </c>
      <c r="DZ121" s="118">
        <f t="shared" si="168"/>
        <v>0</v>
      </c>
      <c r="EA121" s="116">
        <f t="shared" si="168"/>
        <v>0</v>
      </c>
      <c r="EB121" s="117">
        <f t="shared" si="168"/>
        <v>0</v>
      </c>
      <c r="EC121" s="119">
        <f t="shared" si="168"/>
        <v>0</v>
      </c>
      <c r="ED121" s="194">
        <f t="shared" si="168"/>
        <v>0</v>
      </c>
      <c r="EE121" s="117">
        <f t="shared" si="168"/>
        <v>0</v>
      </c>
      <c r="EF121" s="118">
        <f t="shared" si="168"/>
        <v>0</v>
      </c>
      <c r="EG121" s="116">
        <f t="shared" si="168"/>
        <v>0</v>
      </c>
      <c r="EH121" s="117">
        <f t="shared" si="168"/>
        <v>0</v>
      </c>
      <c r="EI121" s="119">
        <f t="shared" si="168"/>
        <v>0</v>
      </c>
      <c r="EJ121" s="194">
        <f t="shared" si="168"/>
        <v>0</v>
      </c>
      <c r="EK121" s="117">
        <f t="shared" si="168"/>
        <v>0</v>
      </c>
      <c r="EL121" s="118">
        <f t="shared" si="168"/>
        <v>0</v>
      </c>
      <c r="EM121" s="116">
        <f t="shared" ref="EM121:GX121" si="170">+EM14+EM50+EM86</f>
        <v>0</v>
      </c>
      <c r="EN121" s="117">
        <f t="shared" si="170"/>
        <v>0</v>
      </c>
      <c r="EO121" s="119">
        <f t="shared" si="170"/>
        <v>0</v>
      </c>
      <c r="EP121" s="194">
        <f t="shared" si="170"/>
        <v>0</v>
      </c>
      <c r="EQ121" s="117">
        <f t="shared" si="170"/>
        <v>0</v>
      </c>
      <c r="ER121" s="118">
        <f t="shared" si="170"/>
        <v>0</v>
      </c>
      <c r="ES121" s="116">
        <f t="shared" si="170"/>
        <v>0</v>
      </c>
      <c r="ET121" s="117">
        <f t="shared" si="170"/>
        <v>0</v>
      </c>
      <c r="EU121" s="119">
        <f t="shared" si="170"/>
        <v>0</v>
      </c>
      <c r="EV121" s="194">
        <f t="shared" si="170"/>
        <v>0</v>
      </c>
      <c r="EW121" s="117">
        <f t="shared" si="170"/>
        <v>0</v>
      </c>
      <c r="EX121" s="118">
        <f t="shared" si="170"/>
        <v>0</v>
      </c>
      <c r="EY121" s="116">
        <f t="shared" si="170"/>
        <v>0</v>
      </c>
      <c r="EZ121" s="117">
        <f t="shared" si="170"/>
        <v>0</v>
      </c>
      <c r="FA121" s="119">
        <f t="shared" si="170"/>
        <v>0</v>
      </c>
      <c r="FB121" s="194">
        <f t="shared" si="170"/>
        <v>0</v>
      </c>
      <c r="FC121" s="117">
        <f t="shared" si="170"/>
        <v>0</v>
      </c>
      <c r="FD121" s="118">
        <f t="shared" si="170"/>
        <v>0</v>
      </c>
      <c r="FE121" s="116">
        <f t="shared" si="170"/>
        <v>0</v>
      </c>
      <c r="FF121" s="117">
        <f t="shared" si="170"/>
        <v>0</v>
      </c>
      <c r="FG121" s="119">
        <f t="shared" si="170"/>
        <v>0</v>
      </c>
      <c r="FH121" s="194">
        <f t="shared" si="170"/>
        <v>0</v>
      </c>
      <c r="FI121" s="117">
        <f t="shared" si="170"/>
        <v>0</v>
      </c>
      <c r="FJ121" s="118">
        <f t="shared" si="170"/>
        <v>0</v>
      </c>
      <c r="FK121" s="116">
        <f t="shared" si="170"/>
        <v>0</v>
      </c>
      <c r="FL121" s="117">
        <f t="shared" si="170"/>
        <v>0</v>
      </c>
      <c r="FM121" s="119">
        <f t="shared" si="170"/>
        <v>0</v>
      </c>
      <c r="FN121" s="194">
        <f t="shared" si="170"/>
        <v>0</v>
      </c>
      <c r="FO121" s="117">
        <f t="shared" si="170"/>
        <v>0</v>
      </c>
      <c r="FP121" s="118">
        <f t="shared" si="170"/>
        <v>0</v>
      </c>
      <c r="FQ121" s="116">
        <f t="shared" si="170"/>
        <v>0</v>
      </c>
      <c r="FR121" s="117">
        <f t="shared" si="170"/>
        <v>0</v>
      </c>
      <c r="FS121" s="119">
        <f t="shared" si="170"/>
        <v>0</v>
      </c>
      <c r="FT121" s="194">
        <f t="shared" si="170"/>
        <v>0</v>
      </c>
      <c r="FU121" s="117">
        <f t="shared" si="170"/>
        <v>0</v>
      </c>
      <c r="FV121" s="118">
        <f t="shared" si="170"/>
        <v>0</v>
      </c>
      <c r="FW121" s="116">
        <f t="shared" si="170"/>
        <v>0</v>
      </c>
      <c r="FX121" s="117">
        <f t="shared" si="170"/>
        <v>0</v>
      </c>
      <c r="FY121" s="119">
        <f t="shared" si="170"/>
        <v>0</v>
      </c>
      <c r="FZ121" s="194">
        <f t="shared" si="170"/>
        <v>0</v>
      </c>
      <c r="GA121" s="117">
        <f t="shared" si="170"/>
        <v>0</v>
      </c>
      <c r="GB121" s="118">
        <f t="shared" si="170"/>
        <v>0</v>
      </c>
      <c r="GC121" s="116">
        <f t="shared" si="170"/>
        <v>0</v>
      </c>
      <c r="GD121" s="117">
        <f t="shared" si="170"/>
        <v>0</v>
      </c>
      <c r="GE121" s="119">
        <f t="shared" si="170"/>
        <v>0</v>
      </c>
      <c r="GF121" s="194">
        <f t="shared" si="170"/>
        <v>0</v>
      </c>
      <c r="GG121" s="117">
        <f t="shared" si="170"/>
        <v>0</v>
      </c>
      <c r="GH121" s="118">
        <f t="shared" si="170"/>
        <v>0</v>
      </c>
      <c r="GI121" s="116">
        <f t="shared" si="170"/>
        <v>0</v>
      </c>
      <c r="GJ121" s="117">
        <f t="shared" si="170"/>
        <v>0</v>
      </c>
      <c r="GK121" s="118">
        <f t="shared" si="170"/>
        <v>0</v>
      </c>
      <c r="GL121" s="239">
        <f t="shared" si="170"/>
        <v>0</v>
      </c>
      <c r="GM121" s="43">
        <f t="shared" si="170"/>
        <v>0</v>
      </c>
      <c r="GN121" s="283">
        <f t="shared" si="170"/>
        <v>0</v>
      </c>
      <c r="GO121" s="239">
        <f t="shared" si="170"/>
        <v>0</v>
      </c>
      <c r="GP121" s="43">
        <f t="shared" si="170"/>
        <v>0</v>
      </c>
      <c r="GQ121" s="57">
        <f t="shared" si="170"/>
        <v>0</v>
      </c>
      <c r="GR121" s="194">
        <f t="shared" si="170"/>
        <v>0</v>
      </c>
      <c r="GS121" s="117">
        <f t="shared" si="170"/>
        <v>0</v>
      </c>
      <c r="GT121" s="119">
        <f t="shared" si="170"/>
        <v>0</v>
      </c>
      <c r="GU121" s="194">
        <f t="shared" si="170"/>
        <v>0</v>
      </c>
      <c r="GV121" s="117">
        <f t="shared" si="170"/>
        <v>0</v>
      </c>
      <c r="GW121" s="119">
        <f t="shared" si="170"/>
        <v>0</v>
      </c>
      <c r="GX121" s="194">
        <f t="shared" si="170"/>
        <v>0</v>
      </c>
      <c r="GY121" s="117">
        <f t="shared" ref="GY121:HC121" si="171">+GY14+GY50+GY86</f>
        <v>0</v>
      </c>
      <c r="GZ121" s="119">
        <f t="shared" si="171"/>
        <v>0</v>
      </c>
      <c r="HA121" s="194">
        <f t="shared" si="171"/>
        <v>0</v>
      </c>
      <c r="HB121" s="117">
        <f t="shared" si="171"/>
        <v>0</v>
      </c>
      <c r="HC121" s="119">
        <f t="shared" si="171"/>
        <v>0</v>
      </c>
      <c r="HD121" s="368">
        <f t="shared" si="139"/>
        <v>0</v>
      </c>
      <c r="HE121" s="369">
        <f t="shared" si="140"/>
        <v>0</v>
      </c>
      <c r="HF121" s="369">
        <f t="shared" si="141"/>
        <v>0</v>
      </c>
      <c r="HG121" s="145">
        <f t="shared" si="132"/>
        <v>0</v>
      </c>
    </row>
    <row r="122" spans="1:215" ht="15.75" thickBot="1">
      <c r="A122" s="238">
        <v>8</v>
      </c>
      <c r="B122" s="116">
        <f t="shared" ref="B122:AN122" si="172">+B15+B51+B87</f>
        <v>0</v>
      </c>
      <c r="C122" s="117">
        <f t="shared" si="172"/>
        <v>0</v>
      </c>
      <c r="D122" s="119">
        <f t="shared" si="172"/>
        <v>0</v>
      </c>
      <c r="E122" s="194">
        <f t="shared" si="172"/>
        <v>0</v>
      </c>
      <c r="F122" s="117">
        <f t="shared" si="172"/>
        <v>0</v>
      </c>
      <c r="G122" s="118">
        <f t="shared" si="172"/>
        <v>0</v>
      </c>
      <c r="H122" s="116">
        <f t="shared" si="172"/>
        <v>0</v>
      </c>
      <c r="I122" s="117">
        <f t="shared" si="172"/>
        <v>0</v>
      </c>
      <c r="J122" s="119">
        <f t="shared" si="172"/>
        <v>0</v>
      </c>
      <c r="K122" s="194">
        <f t="shared" si="172"/>
        <v>0</v>
      </c>
      <c r="L122" s="117">
        <f t="shared" si="172"/>
        <v>0</v>
      </c>
      <c r="M122" s="118">
        <f t="shared" si="172"/>
        <v>0</v>
      </c>
      <c r="N122" s="116">
        <f t="shared" si="172"/>
        <v>0</v>
      </c>
      <c r="O122" s="117">
        <f t="shared" si="172"/>
        <v>0</v>
      </c>
      <c r="P122" s="119">
        <f t="shared" si="172"/>
        <v>0</v>
      </c>
      <c r="Q122" s="194">
        <f t="shared" si="172"/>
        <v>0</v>
      </c>
      <c r="R122" s="117">
        <f t="shared" si="172"/>
        <v>0</v>
      </c>
      <c r="S122" s="118">
        <f t="shared" si="172"/>
        <v>0</v>
      </c>
      <c r="T122" s="116">
        <f t="shared" si="172"/>
        <v>0</v>
      </c>
      <c r="U122" s="117">
        <f t="shared" si="172"/>
        <v>0</v>
      </c>
      <c r="V122" s="119">
        <f t="shared" si="172"/>
        <v>0</v>
      </c>
      <c r="W122" s="194">
        <f t="shared" si="172"/>
        <v>0</v>
      </c>
      <c r="X122" s="117">
        <f t="shared" si="172"/>
        <v>0</v>
      </c>
      <c r="Y122" s="118">
        <f t="shared" si="172"/>
        <v>0</v>
      </c>
      <c r="Z122" s="116">
        <f t="shared" si="172"/>
        <v>0</v>
      </c>
      <c r="AA122" s="117">
        <f t="shared" si="172"/>
        <v>0</v>
      </c>
      <c r="AB122" s="119">
        <f t="shared" si="172"/>
        <v>0</v>
      </c>
      <c r="AC122" s="194">
        <f t="shared" si="172"/>
        <v>0</v>
      </c>
      <c r="AD122" s="117">
        <f t="shared" si="172"/>
        <v>0</v>
      </c>
      <c r="AE122" s="118">
        <f t="shared" si="172"/>
        <v>0</v>
      </c>
      <c r="AF122" s="116">
        <f t="shared" si="172"/>
        <v>0</v>
      </c>
      <c r="AG122" s="117">
        <f t="shared" si="172"/>
        <v>0</v>
      </c>
      <c r="AH122" s="119">
        <f t="shared" si="172"/>
        <v>0</v>
      </c>
      <c r="AI122" s="194">
        <f t="shared" si="172"/>
        <v>0</v>
      </c>
      <c r="AJ122" s="117">
        <f t="shared" si="172"/>
        <v>0</v>
      </c>
      <c r="AK122" s="118">
        <f t="shared" si="172"/>
        <v>0</v>
      </c>
      <c r="AL122" s="116">
        <f t="shared" si="172"/>
        <v>0</v>
      </c>
      <c r="AM122" s="117">
        <f t="shared" si="172"/>
        <v>0</v>
      </c>
      <c r="AN122" s="119">
        <f t="shared" si="172"/>
        <v>0</v>
      </c>
      <c r="AO122" s="194">
        <f t="shared" ref="AO122:BZ122" si="173">+AO15+AO51+AO87</f>
        <v>0</v>
      </c>
      <c r="AP122" s="117">
        <f t="shared" si="173"/>
        <v>0</v>
      </c>
      <c r="AQ122" s="118">
        <f t="shared" si="173"/>
        <v>0</v>
      </c>
      <c r="AR122" s="116">
        <f t="shared" si="173"/>
        <v>0</v>
      </c>
      <c r="AS122" s="117">
        <f t="shared" si="173"/>
        <v>0</v>
      </c>
      <c r="AT122" s="119">
        <f t="shared" si="173"/>
        <v>0</v>
      </c>
      <c r="AU122" s="194">
        <f t="shared" si="173"/>
        <v>0</v>
      </c>
      <c r="AV122" s="117">
        <f t="shared" si="173"/>
        <v>0</v>
      </c>
      <c r="AW122" s="118">
        <f t="shared" si="173"/>
        <v>0</v>
      </c>
      <c r="AX122" s="116">
        <f t="shared" si="173"/>
        <v>0</v>
      </c>
      <c r="AY122" s="117">
        <f t="shared" si="173"/>
        <v>0</v>
      </c>
      <c r="AZ122" s="119">
        <f t="shared" si="173"/>
        <v>0</v>
      </c>
      <c r="BA122" s="194">
        <f t="shared" si="173"/>
        <v>0</v>
      </c>
      <c r="BB122" s="117">
        <f t="shared" si="173"/>
        <v>0</v>
      </c>
      <c r="BC122" s="118">
        <f t="shared" si="173"/>
        <v>0</v>
      </c>
      <c r="BD122" s="116">
        <f t="shared" si="173"/>
        <v>0</v>
      </c>
      <c r="BE122" s="117">
        <f t="shared" si="173"/>
        <v>0</v>
      </c>
      <c r="BF122" s="119">
        <f t="shared" si="173"/>
        <v>0</v>
      </c>
      <c r="BG122" s="194">
        <f t="shared" si="173"/>
        <v>0</v>
      </c>
      <c r="BH122" s="117">
        <f t="shared" si="173"/>
        <v>0</v>
      </c>
      <c r="BI122" s="118">
        <f t="shared" si="173"/>
        <v>0</v>
      </c>
      <c r="BJ122" s="116">
        <f t="shared" si="173"/>
        <v>0</v>
      </c>
      <c r="BK122" s="117">
        <f t="shared" si="173"/>
        <v>0</v>
      </c>
      <c r="BL122" s="119">
        <f t="shared" si="173"/>
        <v>0</v>
      </c>
      <c r="BM122" s="194">
        <f t="shared" si="173"/>
        <v>0</v>
      </c>
      <c r="BN122" s="117">
        <f t="shared" si="173"/>
        <v>0</v>
      </c>
      <c r="BO122" s="118">
        <f t="shared" si="173"/>
        <v>0</v>
      </c>
      <c r="BP122" s="116">
        <f t="shared" si="173"/>
        <v>0</v>
      </c>
      <c r="BQ122" s="117">
        <f t="shared" si="173"/>
        <v>0</v>
      </c>
      <c r="BR122" s="119">
        <f t="shared" si="173"/>
        <v>0</v>
      </c>
      <c r="BS122" s="194">
        <f t="shared" si="173"/>
        <v>0</v>
      </c>
      <c r="BT122" s="117">
        <f t="shared" si="173"/>
        <v>0</v>
      </c>
      <c r="BU122" s="118">
        <f t="shared" si="173"/>
        <v>0</v>
      </c>
      <c r="BV122" s="116">
        <f t="shared" si="173"/>
        <v>0</v>
      </c>
      <c r="BW122" s="117">
        <f t="shared" si="173"/>
        <v>0</v>
      </c>
      <c r="BX122" s="119">
        <f t="shared" si="173"/>
        <v>0</v>
      </c>
      <c r="BY122" s="194">
        <f t="shared" si="173"/>
        <v>0</v>
      </c>
      <c r="BZ122" s="117">
        <f t="shared" si="173"/>
        <v>0</v>
      </c>
      <c r="CA122" s="118">
        <f t="shared" ref="CA122:EL122" si="174">+CA15+CA51+CA87</f>
        <v>0</v>
      </c>
      <c r="CB122" s="116">
        <f t="shared" si="174"/>
        <v>0</v>
      </c>
      <c r="CC122" s="117">
        <f t="shared" si="174"/>
        <v>0</v>
      </c>
      <c r="CD122" s="119">
        <f t="shared" si="174"/>
        <v>0</v>
      </c>
      <c r="CE122" s="194">
        <f t="shared" si="174"/>
        <v>0</v>
      </c>
      <c r="CF122" s="117">
        <f t="shared" si="174"/>
        <v>0</v>
      </c>
      <c r="CG122" s="118">
        <f t="shared" si="174"/>
        <v>0</v>
      </c>
      <c r="CH122" s="116">
        <f t="shared" si="174"/>
        <v>0</v>
      </c>
      <c r="CI122" s="117">
        <f t="shared" si="174"/>
        <v>0</v>
      </c>
      <c r="CJ122" s="118">
        <f t="shared" si="174"/>
        <v>0</v>
      </c>
      <c r="CK122" s="239">
        <f t="shared" si="174"/>
        <v>0</v>
      </c>
      <c r="CL122" s="43">
        <f t="shared" si="174"/>
        <v>0</v>
      </c>
      <c r="CM122" s="283">
        <f t="shared" si="174"/>
        <v>0</v>
      </c>
      <c r="CN122" s="239">
        <f t="shared" si="174"/>
        <v>0</v>
      </c>
      <c r="CO122" s="43">
        <f t="shared" si="174"/>
        <v>0</v>
      </c>
      <c r="CP122" s="57">
        <f t="shared" si="174"/>
        <v>0</v>
      </c>
      <c r="CQ122" s="194">
        <f t="shared" ref="CQ122:CY122" si="175">+CQ15+CQ51+CQ87</f>
        <v>0</v>
      </c>
      <c r="CR122" s="117">
        <f t="shared" si="175"/>
        <v>0</v>
      </c>
      <c r="CS122" s="119">
        <f t="shared" si="175"/>
        <v>0</v>
      </c>
      <c r="CT122" s="194">
        <f t="shared" si="175"/>
        <v>0</v>
      </c>
      <c r="CU122" s="117">
        <f t="shared" si="175"/>
        <v>0</v>
      </c>
      <c r="CV122" s="119">
        <f t="shared" si="175"/>
        <v>0</v>
      </c>
      <c r="CW122" s="194">
        <f t="shared" si="175"/>
        <v>0</v>
      </c>
      <c r="CX122" s="117">
        <f t="shared" si="175"/>
        <v>0</v>
      </c>
      <c r="CY122" s="119">
        <f t="shared" si="175"/>
        <v>0</v>
      </c>
      <c r="CZ122" s="194">
        <f t="shared" si="174"/>
        <v>0</v>
      </c>
      <c r="DA122" s="117">
        <f t="shared" si="174"/>
        <v>0</v>
      </c>
      <c r="DB122" s="119">
        <f t="shared" si="174"/>
        <v>0</v>
      </c>
      <c r="DC122" s="116">
        <f t="shared" si="174"/>
        <v>0</v>
      </c>
      <c r="DD122" s="117">
        <f t="shared" si="174"/>
        <v>0</v>
      </c>
      <c r="DE122" s="119">
        <f t="shared" si="174"/>
        <v>0</v>
      </c>
      <c r="DF122" s="194">
        <f t="shared" si="174"/>
        <v>0</v>
      </c>
      <c r="DG122" s="117">
        <f t="shared" si="174"/>
        <v>0</v>
      </c>
      <c r="DH122" s="118">
        <f t="shared" si="174"/>
        <v>0</v>
      </c>
      <c r="DI122" s="116">
        <f t="shared" si="174"/>
        <v>0</v>
      </c>
      <c r="DJ122" s="117">
        <f t="shared" si="174"/>
        <v>0</v>
      </c>
      <c r="DK122" s="119">
        <f t="shared" si="174"/>
        <v>0</v>
      </c>
      <c r="DL122" s="194">
        <f t="shared" si="174"/>
        <v>0</v>
      </c>
      <c r="DM122" s="117">
        <f t="shared" si="174"/>
        <v>0</v>
      </c>
      <c r="DN122" s="118">
        <f t="shared" si="174"/>
        <v>0</v>
      </c>
      <c r="DO122" s="116">
        <f t="shared" si="174"/>
        <v>0</v>
      </c>
      <c r="DP122" s="117">
        <f t="shared" si="174"/>
        <v>0</v>
      </c>
      <c r="DQ122" s="119">
        <f t="shared" si="174"/>
        <v>0</v>
      </c>
      <c r="DR122" s="194">
        <f t="shared" si="174"/>
        <v>0</v>
      </c>
      <c r="DS122" s="117">
        <f t="shared" si="174"/>
        <v>0</v>
      </c>
      <c r="DT122" s="118">
        <f t="shared" si="174"/>
        <v>0</v>
      </c>
      <c r="DU122" s="116">
        <f t="shared" si="174"/>
        <v>0</v>
      </c>
      <c r="DV122" s="117">
        <f t="shared" si="174"/>
        <v>0</v>
      </c>
      <c r="DW122" s="119">
        <f t="shared" si="174"/>
        <v>0</v>
      </c>
      <c r="DX122" s="194">
        <f t="shared" si="174"/>
        <v>0</v>
      </c>
      <c r="DY122" s="117">
        <f t="shared" si="174"/>
        <v>0</v>
      </c>
      <c r="DZ122" s="118">
        <f t="shared" si="174"/>
        <v>0</v>
      </c>
      <c r="EA122" s="116">
        <f t="shared" si="174"/>
        <v>0</v>
      </c>
      <c r="EB122" s="117">
        <f t="shared" si="174"/>
        <v>0</v>
      </c>
      <c r="EC122" s="119">
        <f t="shared" si="174"/>
        <v>0</v>
      </c>
      <c r="ED122" s="194">
        <f t="shared" si="174"/>
        <v>0</v>
      </c>
      <c r="EE122" s="117">
        <f t="shared" si="174"/>
        <v>0</v>
      </c>
      <c r="EF122" s="118">
        <f t="shared" si="174"/>
        <v>0</v>
      </c>
      <c r="EG122" s="116">
        <f t="shared" si="174"/>
        <v>0</v>
      </c>
      <c r="EH122" s="117">
        <f t="shared" si="174"/>
        <v>0</v>
      </c>
      <c r="EI122" s="119">
        <f t="shared" si="174"/>
        <v>0</v>
      </c>
      <c r="EJ122" s="194">
        <f t="shared" si="174"/>
        <v>0</v>
      </c>
      <c r="EK122" s="117">
        <f t="shared" si="174"/>
        <v>0</v>
      </c>
      <c r="EL122" s="118">
        <f t="shared" si="174"/>
        <v>0</v>
      </c>
      <c r="EM122" s="116">
        <f t="shared" ref="EM122:GX122" si="176">+EM15+EM51+EM87</f>
        <v>0</v>
      </c>
      <c r="EN122" s="117">
        <f t="shared" si="176"/>
        <v>0</v>
      </c>
      <c r="EO122" s="119">
        <f t="shared" si="176"/>
        <v>0</v>
      </c>
      <c r="EP122" s="194">
        <f t="shared" si="176"/>
        <v>0</v>
      </c>
      <c r="EQ122" s="117">
        <f t="shared" si="176"/>
        <v>0</v>
      </c>
      <c r="ER122" s="118">
        <f t="shared" si="176"/>
        <v>0</v>
      </c>
      <c r="ES122" s="116">
        <f t="shared" si="176"/>
        <v>0</v>
      </c>
      <c r="ET122" s="117">
        <f t="shared" si="176"/>
        <v>0</v>
      </c>
      <c r="EU122" s="119">
        <f t="shared" si="176"/>
        <v>0</v>
      </c>
      <c r="EV122" s="194">
        <f t="shared" si="176"/>
        <v>0</v>
      </c>
      <c r="EW122" s="117">
        <f t="shared" si="176"/>
        <v>0</v>
      </c>
      <c r="EX122" s="118">
        <f t="shared" si="176"/>
        <v>0</v>
      </c>
      <c r="EY122" s="116">
        <f t="shared" si="176"/>
        <v>0</v>
      </c>
      <c r="EZ122" s="117">
        <f t="shared" si="176"/>
        <v>0</v>
      </c>
      <c r="FA122" s="119">
        <f t="shared" si="176"/>
        <v>0</v>
      </c>
      <c r="FB122" s="194">
        <f t="shared" si="176"/>
        <v>0</v>
      </c>
      <c r="FC122" s="117">
        <f t="shared" si="176"/>
        <v>0</v>
      </c>
      <c r="FD122" s="118">
        <f t="shared" si="176"/>
        <v>0</v>
      </c>
      <c r="FE122" s="116">
        <f t="shared" si="176"/>
        <v>0</v>
      </c>
      <c r="FF122" s="117">
        <f t="shared" si="176"/>
        <v>0</v>
      </c>
      <c r="FG122" s="119">
        <f t="shared" si="176"/>
        <v>0</v>
      </c>
      <c r="FH122" s="194">
        <f t="shared" si="176"/>
        <v>0</v>
      </c>
      <c r="FI122" s="117">
        <f t="shared" si="176"/>
        <v>0</v>
      </c>
      <c r="FJ122" s="118">
        <f t="shared" si="176"/>
        <v>0</v>
      </c>
      <c r="FK122" s="116">
        <f t="shared" si="176"/>
        <v>0</v>
      </c>
      <c r="FL122" s="117">
        <f t="shared" si="176"/>
        <v>0</v>
      </c>
      <c r="FM122" s="119">
        <f t="shared" si="176"/>
        <v>0</v>
      </c>
      <c r="FN122" s="194">
        <f t="shared" si="176"/>
        <v>0</v>
      </c>
      <c r="FO122" s="117">
        <f t="shared" si="176"/>
        <v>0</v>
      </c>
      <c r="FP122" s="118">
        <f t="shared" si="176"/>
        <v>0</v>
      </c>
      <c r="FQ122" s="116">
        <f t="shared" si="176"/>
        <v>0</v>
      </c>
      <c r="FR122" s="117">
        <f t="shared" si="176"/>
        <v>0</v>
      </c>
      <c r="FS122" s="119">
        <f t="shared" si="176"/>
        <v>0</v>
      </c>
      <c r="FT122" s="194">
        <f t="shared" si="176"/>
        <v>0</v>
      </c>
      <c r="FU122" s="117">
        <f t="shared" si="176"/>
        <v>0</v>
      </c>
      <c r="FV122" s="118">
        <f t="shared" si="176"/>
        <v>0</v>
      </c>
      <c r="FW122" s="116">
        <f t="shared" si="176"/>
        <v>0</v>
      </c>
      <c r="FX122" s="117">
        <f t="shared" si="176"/>
        <v>0</v>
      </c>
      <c r="FY122" s="119">
        <f t="shared" si="176"/>
        <v>0</v>
      </c>
      <c r="FZ122" s="194">
        <f t="shared" si="176"/>
        <v>0</v>
      </c>
      <c r="GA122" s="117">
        <f t="shared" si="176"/>
        <v>0</v>
      </c>
      <c r="GB122" s="118">
        <f t="shared" si="176"/>
        <v>0</v>
      </c>
      <c r="GC122" s="116">
        <f t="shared" si="176"/>
        <v>0</v>
      </c>
      <c r="GD122" s="117">
        <f t="shared" si="176"/>
        <v>0</v>
      </c>
      <c r="GE122" s="119">
        <f t="shared" si="176"/>
        <v>0</v>
      </c>
      <c r="GF122" s="194">
        <f t="shared" si="176"/>
        <v>0</v>
      </c>
      <c r="GG122" s="117">
        <f t="shared" si="176"/>
        <v>0</v>
      </c>
      <c r="GH122" s="118">
        <f t="shared" si="176"/>
        <v>0</v>
      </c>
      <c r="GI122" s="116">
        <f t="shared" si="176"/>
        <v>0</v>
      </c>
      <c r="GJ122" s="117">
        <f t="shared" si="176"/>
        <v>0</v>
      </c>
      <c r="GK122" s="118">
        <f t="shared" si="176"/>
        <v>0</v>
      </c>
      <c r="GL122" s="239">
        <f t="shared" si="176"/>
        <v>0</v>
      </c>
      <c r="GM122" s="43">
        <f t="shared" si="176"/>
        <v>0</v>
      </c>
      <c r="GN122" s="283">
        <f t="shared" si="176"/>
        <v>0</v>
      </c>
      <c r="GO122" s="239">
        <f t="shared" si="176"/>
        <v>0</v>
      </c>
      <c r="GP122" s="43">
        <f t="shared" si="176"/>
        <v>0</v>
      </c>
      <c r="GQ122" s="57">
        <f t="shared" si="176"/>
        <v>0</v>
      </c>
      <c r="GR122" s="194">
        <f t="shared" si="176"/>
        <v>0</v>
      </c>
      <c r="GS122" s="117">
        <f t="shared" si="176"/>
        <v>0</v>
      </c>
      <c r="GT122" s="119">
        <f t="shared" si="176"/>
        <v>0</v>
      </c>
      <c r="GU122" s="194">
        <f t="shared" si="176"/>
        <v>0</v>
      </c>
      <c r="GV122" s="117">
        <f t="shared" si="176"/>
        <v>0</v>
      </c>
      <c r="GW122" s="119">
        <f t="shared" si="176"/>
        <v>0</v>
      </c>
      <c r="GX122" s="194">
        <f t="shared" si="176"/>
        <v>0</v>
      </c>
      <c r="GY122" s="117">
        <f t="shared" ref="GY122:HC122" si="177">+GY15+GY51+GY87</f>
        <v>0</v>
      </c>
      <c r="GZ122" s="119">
        <f t="shared" si="177"/>
        <v>0</v>
      </c>
      <c r="HA122" s="194">
        <f t="shared" si="177"/>
        <v>0</v>
      </c>
      <c r="HB122" s="117">
        <f t="shared" si="177"/>
        <v>0</v>
      </c>
      <c r="HC122" s="119">
        <f t="shared" si="177"/>
        <v>0</v>
      </c>
      <c r="HD122" s="368">
        <f t="shared" si="139"/>
        <v>0</v>
      </c>
      <c r="HE122" s="369">
        <f t="shared" si="140"/>
        <v>0</v>
      </c>
      <c r="HF122" s="369">
        <f t="shared" si="141"/>
        <v>0</v>
      </c>
      <c r="HG122" s="145">
        <f t="shared" si="132"/>
        <v>0</v>
      </c>
    </row>
    <row r="123" spans="1:215" ht="15.75" thickBot="1">
      <c r="A123" s="238">
        <v>9</v>
      </c>
      <c r="B123" s="116">
        <f t="shared" ref="B123:AN123" si="178">+B16+B52+B88</f>
        <v>0</v>
      </c>
      <c r="C123" s="117">
        <f t="shared" si="178"/>
        <v>0</v>
      </c>
      <c r="D123" s="119">
        <f t="shared" si="178"/>
        <v>0</v>
      </c>
      <c r="E123" s="194">
        <f t="shared" si="178"/>
        <v>0</v>
      </c>
      <c r="F123" s="117">
        <f t="shared" si="178"/>
        <v>0</v>
      </c>
      <c r="G123" s="118">
        <f t="shared" si="178"/>
        <v>0</v>
      </c>
      <c r="H123" s="116">
        <f t="shared" si="178"/>
        <v>0</v>
      </c>
      <c r="I123" s="117">
        <f t="shared" si="178"/>
        <v>0</v>
      </c>
      <c r="J123" s="119">
        <f t="shared" si="178"/>
        <v>0</v>
      </c>
      <c r="K123" s="194">
        <f t="shared" si="178"/>
        <v>0</v>
      </c>
      <c r="L123" s="117">
        <f t="shared" si="178"/>
        <v>0</v>
      </c>
      <c r="M123" s="118">
        <f t="shared" si="178"/>
        <v>0</v>
      </c>
      <c r="N123" s="116">
        <f t="shared" si="178"/>
        <v>0</v>
      </c>
      <c r="O123" s="117">
        <f t="shared" si="178"/>
        <v>0</v>
      </c>
      <c r="P123" s="119">
        <f t="shared" si="178"/>
        <v>0</v>
      </c>
      <c r="Q123" s="194">
        <f t="shared" si="178"/>
        <v>0</v>
      </c>
      <c r="R123" s="117">
        <f t="shared" si="178"/>
        <v>0</v>
      </c>
      <c r="S123" s="118">
        <f t="shared" si="178"/>
        <v>0</v>
      </c>
      <c r="T123" s="116">
        <f t="shared" si="178"/>
        <v>0</v>
      </c>
      <c r="U123" s="117">
        <f t="shared" si="178"/>
        <v>0</v>
      </c>
      <c r="V123" s="119">
        <f t="shared" si="178"/>
        <v>0</v>
      </c>
      <c r="W123" s="194">
        <f t="shared" si="178"/>
        <v>0</v>
      </c>
      <c r="X123" s="117">
        <f t="shared" si="178"/>
        <v>0</v>
      </c>
      <c r="Y123" s="118">
        <f t="shared" si="178"/>
        <v>0</v>
      </c>
      <c r="Z123" s="116">
        <f t="shared" si="178"/>
        <v>0</v>
      </c>
      <c r="AA123" s="117">
        <f t="shared" si="178"/>
        <v>0</v>
      </c>
      <c r="AB123" s="119">
        <f t="shared" si="178"/>
        <v>0</v>
      </c>
      <c r="AC123" s="194">
        <f t="shared" si="178"/>
        <v>0</v>
      </c>
      <c r="AD123" s="117">
        <f t="shared" si="178"/>
        <v>0</v>
      </c>
      <c r="AE123" s="118">
        <f t="shared" si="178"/>
        <v>0</v>
      </c>
      <c r="AF123" s="116">
        <f t="shared" si="178"/>
        <v>0</v>
      </c>
      <c r="AG123" s="117">
        <f t="shared" si="178"/>
        <v>0</v>
      </c>
      <c r="AH123" s="119">
        <f t="shared" si="178"/>
        <v>0</v>
      </c>
      <c r="AI123" s="194">
        <f t="shared" si="178"/>
        <v>0</v>
      </c>
      <c r="AJ123" s="117">
        <f t="shared" si="178"/>
        <v>0</v>
      </c>
      <c r="AK123" s="118">
        <f t="shared" si="178"/>
        <v>0</v>
      </c>
      <c r="AL123" s="116">
        <f t="shared" si="178"/>
        <v>0</v>
      </c>
      <c r="AM123" s="117">
        <f t="shared" si="178"/>
        <v>0</v>
      </c>
      <c r="AN123" s="119">
        <f t="shared" si="178"/>
        <v>0</v>
      </c>
      <c r="AO123" s="194">
        <f t="shared" ref="AO123:BZ123" si="179">+AO16+AO52+AO88</f>
        <v>0</v>
      </c>
      <c r="AP123" s="117">
        <f t="shared" si="179"/>
        <v>0</v>
      </c>
      <c r="AQ123" s="118">
        <f t="shared" si="179"/>
        <v>0</v>
      </c>
      <c r="AR123" s="116">
        <f t="shared" si="179"/>
        <v>0</v>
      </c>
      <c r="AS123" s="117">
        <f t="shared" si="179"/>
        <v>0</v>
      </c>
      <c r="AT123" s="119">
        <f t="shared" si="179"/>
        <v>0</v>
      </c>
      <c r="AU123" s="194">
        <f t="shared" si="179"/>
        <v>0</v>
      </c>
      <c r="AV123" s="117">
        <f t="shared" si="179"/>
        <v>0</v>
      </c>
      <c r="AW123" s="118">
        <f t="shared" si="179"/>
        <v>0</v>
      </c>
      <c r="AX123" s="116">
        <f t="shared" si="179"/>
        <v>0</v>
      </c>
      <c r="AY123" s="117">
        <f t="shared" si="179"/>
        <v>0</v>
      </c>
      <c r="AZ123" s="119">
        <f t="shared" si="179"/>
        <v>0</v>
      </c>
      <c r="BA123" s="194">
        <f t="shared" si="179"/>
        <v>0</v>
      </c>
      <c r="BB123" s="117">
        <f t="shared" si="179"/>
        <v>0</v>
      </c>
      <c r="BC123" s="118">
        <f t="shared" si="179"/>
        <v>0</v>
      </c>
      <c r="BD123" s="116">
        <f t="shared" si="179"/>
        <v>0</v>
      </c>
      <c r="BE123" s="117">
        <f t="shared" si="179"/>
        <v>0</v>
      </c>
      <c r="BF123" s="119">
        <f t="shared" si="179"/>
        <v>0</v>
      </c>
      <c r="BG123" s="194">
        <f t="shared" si="179"/>
        <v>0</v>
      </c>
      <c r="BH123" s="117">
        <f t="shared" si="179"/>
        <v>0</v>
      </c>
      <c r="BI123" s="118">
        <f t="shared" si="179"/>
        <v>0</v>
      </c>
      <c r="BJ123" s="116">
        <f t="shared" si="179"/>
        <v>0</v>
      </c>
      <c r="BK123" s="117">
        <f t="shared" si="179"/>
        <v>0</v>
      </c>
      <c r="BL123" s="119">
        <f t="shared" si="179"/>
        <v>0</v>
      </c>
      <c r="BM123" s="194">
        <f t="shared" si="179"/>
        <v>0</v>
      </c>
      <c r="BN123" s="117">
        <f t="shared" si="179"/>
        <v>0</v>
      </c>
      <c r="BO123" s="118">
        <f t="shared" si="179"/>
        <v>0</v>
      </c>
      <c r="BP123" s="116">
        <f t="shared" si="179"/>
        <v>0</v>
      </c>
      <c r="BQ123" s="117">
        <f t="shared" si="179"/>
        <v>0</v>
      </c>
      <c r="BR123" s="119">
        <f t="shared" si="179"/>
        <v>0</v>
      </c>
      <c r="BS123" s="194">
        <f t="shared" si="179"/>
        <v>0</v>
      </c>
      <c r="BT123" s="117">
        <f t="shared" si="179"/>
        <v>0</v>
      </c>
      <c r="BU123" s="118">
        <f t="shared" si="179"/>
        <v>0</v>
      </c>
      <c r="BV123" s="116">
        <f t="shared" si="179"/>
        <v>0</v>
      </c>
      <c r="BW123" s="117">
        <f t="shared" si="179"/>
        <v>0</v>
      </c>
      <c r="BX123" s="119">
        <f t="shared" si="179"/>
        <v>0</v>
      </c>
      <c r="BY123" s="194">
        <f t="shared" si="179"/>
        <v>0</v>
      </c>
      <c r="BZ123" s="117">
        <f t="shared" si="179"/>
        <v>0</v>
      </c>
      <c r="CA123" s="118">
        <f t="shared" ref="CA123:EL123" si="180">+CA16+CA52+CA88</f>
        <v>0</v>
      </c>
      <c r="CB123" s="116">
        <f t="shared" si="180"/>
        <v>0</v>
      </c>
      <c r="CC123" s="117">
        <f t="shared" si="180"/>
        <v>0</v>
      </c>
      <c r="CD123" s="119">
        <f t="shared" si="180"/>
        <v>0</v>
      </c>
      <c r="CE123" s="194">
        <f t="shared" si="180"/>
        <v>0</v>
      </c>
      <c r="CF123" s="117">
        <f t="shared" si="180"/>
        <v>0</v>
      </c>
      <c r="CG123" s="118">
        <f t="shared" si="180"/>
        <v>0</v>
      </c>
      <c r="CH123" s="116">
        <f t="shared" si="180"/>
        <v>0</v>
      </c>
      <c r="CI123" s="117">
        <f t="shared" si="180"/>
        <v>0</v>
      </c>
      <c r="CJ123" s="118">
        <f t="shared" si="180"/>
        <v>0</v>
      </c>
      <c r="CK123" s="239">
        <f t="shared" si="180"/>
        <v>0</v>
      </c>
      <c r="CL123" s="43">
        <f t="shared" si="180"/>
        <v>0</v>
      </c>
      <c r="CM123" s="283">
        <f t="shared" si="180"/>
        <v>0</v>
      </c>
      <c r="CN123" s="239">
        <f t="shared" si="180"/>
        <v>0</v>
      </c>
      <c r="CO123" s="43">
        <f t="shared" si="180"/>
        <v>0</v>
      </c>
      <c r="CP123" s="57">
        <f t="shared" si="180"/>
        <v>0</v>
      </c>
      <c r="CQ123" s="194">
        <f t="shared" ref="CQ123:CY123" si="181">+CQ16+CQ52+CQ88</f>
        <v>0</v>
      </c>
      <c r="CR123" s="117">
        <f t="shared" si="181"/>
        <v>0</v>
      </c>
      <c r="CS123" s="119">
        <f t="shared" si="181"/>
        <v>0</v>
      </c>
      <c r="CT123" s="194">
        <f t="shared" si="181"/>
        <v>0</v>
      </c>
      <c r="CU123" s="117">
        <f t="shared" si="181"/>
        <v>0</v>
      </c>
      <c r="CV123" s="119">
        <f t="shared" si="181"/>
        <v>0</v>
      </c>
      <c r="CW123" s="194">
        <f t="shared" si="181"/>
        <v>0</v>
      </c>
      <c r="CX123" s="117">
        <f t="shared" si="181"/>
        <v>0</v>
      </c>
      <c r="CY123" s="119">
        <f t="shared" si="181"/>
        <v>0</v>
      </c>
      <c r="CZ123" s="194">
        <f t="shared" si="180"/>
        <v>0</v>
      </c>
      <c r="DA123" s="117">
        <f t="shared" si="180"/>
        <v>0</v>
      </c>
      <c r="DB123" s="119">
        <f t="shared" si="180"/>
        <v>0</v>
      </c>
      <c r="DC123" s="116">
        <f t="shared" si="180"/>
        <v>0</v>
      </c>
      <c r="DD123" s="117">
        <f t="shared" si="180"/>
        <v>0</v>
      </c>
      <c r="DE123" s="119">
        <f t="shared" si="180"/>
        <v>0</v>
      </c>
      <c r="DF123" s="194">
        <f t="shared" si="180"/>
        <v>0</v>
      </c>
      <c r="DG123" s="117">
        <f t="shared" si="180"/>
        <v>0</v>
      </c>
      <c r="DH123" s="118">
        <f t="shared" si="180"/>
        <v>0</v>
      </c>
      <c r="DI123" s="116">
        <f t="shared" si="180"/>
        <v>0</v>
      </c>
      <c r="DJ123" s="117">
        <f t="shared" si="180"/>
        <v>0</v>
      </c>
      <c r="DK123" s="119">
        <f t="shared" si="180"/>
        <v>0</v>
      </c>
      <c r="DL123" s="194">
        <f t="shared" si="180"/>
        <v>0</v>
      </c>
      <c r="DM123" s="117">
        <f t="shared" si="180"/>
        <v>0</v>
      </c>
      <c r="DN123" s="118">
        <f t="shared" si="180"/>
        <v>0</v>
      </c>
      <c r="DO123" s="116">
        <f t="shared" si="180"/>
        <v>0</v>
      </c>
      <c r="DP123" s="117">
        <f t="shared" si="180"/>
        <v>0</v>
      </c>
      <c r="DQ123" s="119">
        <f t="shared" si="180"/>
        <v>0</v>
      </c>
      <c r="DR123" s="194">
        <f t="shared" si="180"/>
        <v>0</v>
      </c>
      <c r="DS123" s="117">
        <f t="shared" si="180"/>
        <v>0</v>
      </c>
      <c r="DT123" s="118">
        <f t="shared" si="180"/>
        <v>0</v>
      </c>
      <c r="DU123" s="116">
        <f t="shared" si="180"/>
        <v>0</v>
      </c>
      <c r="DV123" s="117">
        <f t="shared" si="180"/>
        <v>0</v>
      </c>
      <c r="DW123" s="119">
        <f t="shared" si="180"/>
        <v>0</v>
      </c>
      <c r="DX123" s="194">
        <f t="shared" si="180"/>
        <v>0</v>
      </c>
      <c r="DY123" s="117">
        <f t="shared" si="180"/>
        <v>0</v>
      </c>
      <c r="DZ123" s="118">
        <f t="shared" si="180"/>
        <v>0</v>
      </c>
      <c r="EA123" s="116">
        <f t="shared" si="180"/>
        <v>0</v>
      </c>
      <c r="EB123" s="117">
        <f t="shared" si="180"/>
        <v>0</v>
      </c>
      <c r="EC123" s="119">
        <f t="shared" si="180"/>
        <v>0</v>
      </c>
      <c r="ED123" s="194">
        <f t="shared" si="180"/>
        <v>0</v>
      </c>
      <c r="EE123" s="117">
        <f t="shared" si="180"/>
        <v>0</v>
      </c>
      <c r="EF123" s="118">
        <f t="shared" si="180"/>
        <v>0</v>
      </c>
      <c r="EG123" s="116">
        <f t="shared" si="180"/>
        <v>0</v>
      </c>
      <c r="EH123" s="117">
        <f t="shared" si="180"/>
        <v>0</v>
      </c>
      <c r="EI123" s="119">
        <f t="shared" si="180"/>
        <v>0</v>
      </c>
      <c r="EJ123" s="194">
        <f t="shared" si="180"/>
        <v>0</v>
      </c>
      <c r="EK123" s="117">
        <f t="shared" si="180"/>
        <v>0</v>
      </c>
      <c r="EL123" s="118">
        <f t="shared" si="180"/>
        <v>0</v>
      </c>
      <c r="EM123" s="116">
        <f t="shared" ref="EM123:GX123" si="182">+EM16+EM52+EM88</f>
        <v>0</v>
      </c>
      <c r="EN123" s="117">
        <f t="shared" si="182"/>
        <v>0</v>
      </c>
      <c r="EO123" s="119">
        <f t="shared" si="182"/>
        <v>0</v>
      </c>
      <c r="EP123" s="194">
        <f t="shared" si="182"/>
        <v>0</v>
      </c>
      <c r="EQ123" s="117">
        <f t="shared" si="182"/>
        <v>0</v>
      </c>
      <c r="ER123" s="118">
        <f t="shared" si="182"/>
        <v>0</v>
      </c>
      <c r="ES123" s="116">
        <f t="shared" si="182"/>
        <v>0</v>
      </c>
      <c r="ET123" s="117">
        <f t="shared" si="182"/>
        <v>0</v>
      </c>
      <c r="EU123" s="119">
        <f t="shared" si="182"/>
        <v>0</v>
      </c>
      <c r="EV123" s="194">
        <f t="shared" si="182"/>
        <v>0</v>
      </c>
      <c r="EW123" s="117">
        <f t="shared" si="182"/>
        <v>0</v>
      </c>
      <c r="EX123" s="118">
        <f t="shared" si="182"/>
        <v>0</v>
      </c>
      <c r="EY123" s="116">
        <f t="shared" si="182"/>
        <v>0</v>
      </c>
      <c r="EZ123" s="117">
        <f t="shared" si="182"/>
        <v>0</v>
      </c>
      <c r="FA123" s="119">
        <f t="shared" si="182"/>
        <v>0</v>
      </c>
      <c r="FB123" s="194">
        <f t="shared" si="182"/>
        <v>0</v>
      </c>
      <c r="FC123" s="117">
        <f t="shared" si="182"/>
        <v>0</v>
      </c>
      <c r="FD123" s="118">
        <f t="shared" si="182"/>
        <v>0</v>
      </c>
      <c r="FE123" s="116">
        <f t="shared" si="182"/>
        <v>0</v>
      </c>
      <c r="FF123" s="117">
        <f t="shared" si="182"/>
        <v>0</v>
      </c>
      <c r="FG123" s="119">
        <f t="shared" si="182"/>
        <v>0</v>
      </c>
      <c r="FH123" s="194">
        <f t="shared" si="182"/>
        <v>0</v>
      </c>
      <c r="FI123" s="117">
        <f t="shared" si="182"/>
        <v>0</v>
      </c>
      <c r="FJ123" s="118">
        <f t="shared" si="182"/>
        <v>0</v>
      </c>
      <c r="FK123" s="116">
        <f t="shared" si="182"/>
        <v>0</v>
      </c>
      <c r="FL123" s="117">
        <f t="shared" si="182"/>
        <v>0</v>
      </c>
      <c r="FM123" s="119">
        <f t="shared" si="182"/>
        <v>0</v>
      </c>
      <c r="FN123" s="194">
        <f t="shared" si="182"/>
        <v>0</v>
      </c>
      <c r="FO123" s="117">
        <f t="shared" si="182"/>
        <v>0</v>
      </c>
      <c r="FP123" s="118">
        <f t="shared" si="182"/>
        <v>0</v>
      </c>
      <c r="FQ123" s="116">
        <f t="shared" si="182"/>
        <v>0</v>
      </c>
      <c r="FR123" s="117">
        <f t="shared" si="182"/>
        <v>0</v>
      </c>
      <c r="FS123" s="119">
        <f t="shared" si="182"/>
        <v>0</v>
      </c>
      <c r="FT123" s="194">
        <f t="shared" si="182"/>
        <v>0</v>
      </c>
      <c r="FU123" s="117">
        <f t="shared" si="182"/>
        <v>0</v>
      </c>
      <c r="FV123" s="118">
        <f t="shared" si="182"/>
        <v>0</v>
      </c>
      <c r="FW123" s="116">
        <f t="shared" si="182"/>
        <v>0</v>
      </c>
      <c r="FX123" s="117">
        <f t="shared" si="182"/>
        <v>0</v>
      </c>
      <c r="FY123" s="119">
        <f t="shared" si="182"/>
        <v>0</v>
      </c>
      <c r="FZ123" s="194">
        <f t="shared" si="182"/>
        <v>0</v>
      </c>
      <c r="GA123" s="117">
        <f t="shared" si="182"/>
        <v>0</v>
      </c>
      <c r="GB123" s="118">
        <f t="shared" si="182"/>
        <v>0</v>
      </c>
      <c r="GC123" s="116">
        <f t="shared" si="182"/>
        <v>0</v>
      </c>
      <c r="GD123" s="117">
        <f t="shared" si="182"/>
        <v>0</v>
      </c>
      <c r="GE123" s="119">
        <f t="shared" si="182"/>
        <v>0</v>
      </c>
      <c r="GF123" s="194">
        <f t="shared" si="182"/>
        <v>0</v>
      </c>
      <c r="GG123" s="117">
        <f t="shared" si="182"/>
        <v>0</v>
      </c>
      <c r="GH123" s="118">
        <f t="shared" si="182"/>
        <v>0</v>
      </c>
      <c r="GI123" s="116">
        <f t="shared" si="182"/>
        <v>0</v>
      </c>
      <c r="GJ123" s="117">
        <f t="shared" si="182"/>
        <v>0</v>
      </c>
      <c r="GK123" s="118">
        <f t="shared" si="182"/>
        <v>0</v>
      </c>
      <c r="GL123" s="239">
        <f t="shared" si="182"/>
        <v>0</v>
      </c>
      <c r="GM123" s="43">
        <f t="shared" si="182"/>
        <v>0</v>
      </c>
      <c r="GN123" s="283">
        <f t="shared" si="182"/>
        <v>0</v>
      </c>
      <c r="GO123" s="239">
        <f t="shared" si="182"/>
        <v>0</v>
      </c>
      <c r="GP123" s="43">
        <f t="shared" si="182"/>
        <v>0</v>
      </c>
      <c r="GQ123" s="57">
        <f t="shared" si="182"/>
        <v>0</v>
      </c>
      <c r="GR123" s="194">
        <f t="shared" si="182"/>
        <v>0</v>
      </c>
      <c r="GS123" s="117">
        <f t="shared" si="182"/>
        <v>0</v>
      </c>
      <c r="GT123" s="119">
        <f t="shared" si="182"/>
        <v>0</v>
      </c>
      <c r="GU123" s="194">
        <f t="shared" si="182"/>
        <v>0</v>
      </c>
      <c r="GV123" s="117">
        <f t="shared" si="182"/>
        <v>0</v>
      </c>
      <c r="GW123" s="119">
        <f t="shared" si="182"/>
        <v>0</v>
      </c>
      <c r="GX123" s="194">
        <f t="shared" si="182"/>
        <v>0</v>
      </c>
      <c r="GY123" s="117">
        <f t="shared" ref="GY123:HC123" si="183">+GY16+GY52+GY88</f>
        <v>0</v>
      </c>
      <c r="GZ123" s="119">
        <f t="shared" si="183"/>
        <v>0</v>
      </c>
      <c r="HA123" s="194">
        <f t="shared" si="183"/>
        <v>0</v>
      </c>
      <c r="HB123" s="117">
        <f t="shared" si="183"/>
        <v>0</v>
      </c>
      <c r="HC123" s="119">
        <f t="shared" si="183"/>
        <v>0</v>
      </c>
      <c r="HD123" s="368">
        <f t="shared" si="139"/>
        <v>0</v>
      </c>
      <c r="HE123" s="369">
        <f t="shared" si="140"/>
        <v>0</v>
      </c>
      <c r="HF123" s="369">
        <f t="shared" si="141"/>
        <v>0</v>
      </c>
      <c r="HG123" s="145">
        <f t="shared" si="132"/>
        <v>0</v>
      </c>
    </row>
    <row r="124" spans="1:215" ht="15.75" thickBot="1">
      <c r="A124" s="353">
        <v>10</v>
      </c>
      <c r="B124" s="116">
        <f t="shared" ref="B124:AN124" si="184">+B17+B53+B89</f>
        <v>0</v>
      </c>
      <c r="C124" s="117">
        <f t="shared" si="184"/>
        <v>0</v>
      </c>
      <c r="D124" s="119">
        <f t="shared" si="184"/>
        <v>0</v>
      </c>
      <c r="E124" s="194">
        <f t="shared" si="184"/>
        <v>0</v>
      </c>
      <c r="F124" s="117">
        <f t="shared" si="184"/>
        <v>0</v>
      </c>
      <c r="G124" s="118">
        <f t="shared" si="184"/>
        <v>0</v>
      </c>
      <c r="H124" s="116">
        <f t="shared" si="184"/>
        <v>0</v>
      </c>
      <c r="I124" s="117">
        <f t="shared" si="184"/>
        <v>0</v>
      </c>
      <c r="J124" s="119">
        <f t="shared" si="184"/>
        <v>0</v>
      </c>
      <c r="K124" s="194">
        <f t="shared" si="184"/>
        <v>0</v>
      </c>
      <c r="L124" s="117">
        <f t="shared" si="184"/>
        <v>0</v>
      </c>
      <c r="M124" s="118">
        <f t="shared" si="184"/>
        <v>0</v>
      </c>
      <c r="N124" s="116">
        <f t="shared" si="184"/>
        <v>0</v>
      </c>
      <c r="O124" s="117">
        <f t="shared" si="184"/>
        <v>0</v>
      </c>
      <c r="P124" s="119">
        <f t="shared" si="184"/>
        <v>0</v>
      </c>
      <c r="Q124" s="194">
        <f t="shared" si="184"/>
        <v>0</v>
      </c>
      <c r="R124" s="117">
        <f t="shared" si="184"/>
        <v>0</v>
      </c>
      <c r="S124" s="118">
        <f t="shared" si="184"/>
        <v>0</v>
      </c>
      <c r="T124" s="116">
        <f t="shared" si="184"/>
        <v>0</v>
      </c>
      <c r="U124" s="117">
        <f t="shared" si="184"/>
        <v>0</v>
      </c>
      <c r="V124" s="119">
        <f t="shared" si="184"/>
        <v>0</v>
      </c>
      <c r="W124" s="194">
        <f t="shared" si="184"/>
        <v>0</v>
      </c>
      <c r="X124" s="117">
        <f t="shared" si="184"/>
        <v>0</v>
      </c>
      <c r="Y124" s="118">
        <f t="shared" si="184"/>
        <v>0</v>
      </c>
      <c r="Z124" s="116">
        <f t="shared" si="184"/>
        <v>0</v>
      </c>
      <c r="AA124" s="117">
        <f t="shared" si="184"/>
        <v>0</v>
      </c>
      <c r="AB124" s="119">
        <f t="shared" si="184"/>
        <v>0</v>
      </c>
      <c r="AC124" s="194">
        <f t="shared" si="184"/>
        <v>0</v>
      </c>
      <c r="AD124" s="117">
        <f t="shared" si="184"/>
        <v>0</v>
      </c>
      <c r="AE124" s="118">
        <f t="shared" si="184"/>
        <v>0</v>
      </c>
      <c r="AF124" s="116">
        <f t="shared" si="184"/>
        <v>0</v>
      </c>
      <c r="AG124" s="117">
        <f t="shared" si="184"/>
        <v>0</v>
      </c>
      <c r="AH124" s="119">
        <f t="shared" si="184"/>
        <v>0</v>
      </c>
      <c r="AI124" s="194">
        <f t="shared" si="184"/>
        <v>0</v>
      </c>
      <c r="AJ124" s="117">
        <f t="shared" si="184"/>
        <v>0</v>
      </c>
      <c r="AK124" s="118">
        <f t="shared" si="184"/>
        <v>0</v>
      </c>
      <c r="AL124" s="116">
        <f t="shared" si="184"/>
        <v>0</v>
      </c>
      <c r="AM124" s="117">
        <f t="shared" si="184"/>
        <v>0</v>
      </c>
      <c r="AN124" s="119">
        <f t="shared" si="184"/>
        <v>0</v>
      </c>
      <c r="AO124" s="194">
        <f t="shared" ref="AO124:BZ124" si="185">+AO17+AO53+AO89</f>
        <v>0</v>
      </c>
      <c r="AP124" s="117">
        <f t="shared" si="185"/>
        <v>0</v>
      </c>
      <c r="AQ124" s="118">
        <f t="shared" si="185"/>
        <v>0</v>
      </c>
      <c r="AR124" s="116">
        <f t="shared" si="185"/>
        <v>0</v>
      </c>
      <c r="AS124" s="117">
        <f t="shared" si="185"/>
        <v>0</v>
      </c>
      <c r="AT124" s="119">
        <f t="shared" si="185"/>
        <v>0</v>
      </c>
      <c r="AU124" s="194">
        <f t="shared" si="185"/>
        <v>0</v>
      </c>
      <c r="AV124" s="117">
        <f t="shared" si="185"/>
        <v>0</v>
      </c>
      <c r="AW124" s="118">
        <f t="shared" si="185"/>
        <v>0</v>
      </c>
      <c r="AX124" s="116">
        <f t="shared" si="185"/>
        <v>0</v>
      </c>
      <c r="AY124" s="117">
        <f t="shared" si="185"/>
        <v>0</v>
      </c>
      <c r="AZ124" s="119">
        <f t="shared" si="185"/>
        <v>0</v>
      </c>
      <c r="BA124" s="194">
        <f t="shared" si="185"/>
        <v>0</v>
      </c>
      <c r="BB124" s="117">
        <f t="shared" si="185"/>
        <v>0</v>
      </c>
      <c r="BC124" s="118">
        <f t="shared" si="185"/>
        <v>0</v>
      </c>
      <c r="BD124" s="116">
        <f t="shared" si="185"/>
        <v>0</v>
      </c>
      <c r="BE124" s="117">
        <f t="shared" si="185"/>
        <v>0</v>
      </c>
      <c r="BF124" s="119">
        <f t="shared" si="185"/>
        <v>0</v>
      </c>
      <c r="BG124" s="194">
        <f t="shared" si="185"/>
        <v>0</v>
      </c>
      <c r="BH124" s="117">
        <f t="shared" si="185"/>
        <v>0</v>
      </c>
      <c r="BI124" s="118">
        <f t="shared" si="185"/>
        <v>0</v>
      </c>
      <c r="BJ124" s="116">
        <f t="shared" si="185"/>
        <v>0</v>
      </c>
      <c r="BK124" s="117">
        <f t="shared" si="185"/>
        <v>0</v>
      </c>
      <c r="BL124" s="119">
        <f t="shared" si="185"/>
        <v>0</v>
      </c>
      <c r="BM124" s="194">
        <f t="shared" si="185"/>
        <v>0</v>
      </c>
      <c r="BN124" s="117">
        <f t="shared" si="185"/>
        <v>0</v>
      </c>
      <c r="BO124" s="118">
        <f t="shared" si="185"/>
        <v>0</v>
      </c>
      <c r="BP124" s="116">
        <f t="shared" si="185"/>
        <v>0</v>
      </c>
      <c r="BQ124" s="117">
        <f t="shared" si="185"/>
        <v>0</v>
      </c>
      <c r="BR124" s="119">
        <f t="shared" si="185"/>
        <v>0</v>
      </c>
      <c r="BS124" s="194">
        <f t="shared" si="185"/>
        <v>0</v>
      </c>
      <c r="BT124" s="117">
        <f t="shared" si="185"/>
        <v>0</v>
      </c>
      <c r="BU124" s="118">
        <f t="shared" si="185"/>
        <v>0</v>
      </c>
      <c r="BV124" s="116">
        <f t="shared" si="185"/>
        <v>0</v>
      </c>
      <c r="BW124" s="117">
        <f t="shared" si="185"/>
        <v>0</v>
      </c>
      <c r="BX124" s="119">
        <f t="shared" si="185"/>
        <v>0</v>
      </c>
      <c r="BY124" s="194">
        <f t="shared" si="185"/>
        <v>0</v>
      </c>
      <c r="BZ124" s="117">
        <f t="shared" si="185"/>
        <v>0</v>
      </c>
      <c r="CA124" s="118">
        <f t="shared" ref="CA124:EL124" si="186">+CA17+CA53+CA89</f>
        <v>0</v>
      </c>
      <c r="CB124" s="116">
        <f t="shared" si="186"/>
        <v>0</v>
      </c>
      <c r="CC124" s="117">
        <f t="shared" si="186"/>
        <v>0</v>
      </c>
      <c r="CD124" s="119">
        <f t="shared" si="186"/>
        <v>0</v>
      </c>
      <c r="CE124" s="194">
        <f t="shared" si="186"/>
        <v>0</v>
      </c>
      <c r="CF124" s="117">
        <f t="shared" si="186"/>
        <v>0</v>
      </c>
      <c r="CG124" s="118">
        <f t="shared" si="186"/>
        <v>0</v>
      </c>
      <c r="CH124" s="116">
        <f t="shared" si="186"/>
        <v>0</v>
      </c>
      <c r="CI124" s="117">
        <f t="shared" si="186"/>
        <v>0</v>
      </c>
      <c r="CJ124" s="118">
        <f t="shared" si="186"/>
        <v>0</v>
      </c>
      <c r="CK124" s="239">
        <f t="shared" si="186"/>
        <v>0</v>
      </c>
      <c r="CL124" s="43">
        <f t="shared" si="186"/>
        <v>0</v>
      </c>
      <c r="CM124" s="283">
        <f t="shared" si="186"/>
        <v>0</v>
      </c>
      <c r="CN124" s="239">
        <f t="shared" si="186"/>
        <v>0</v>
      </c>
      <c r="CO124" s="43">
        <f t="shared" si="186"/>
        <v>0</v>
      </c>
      <c r="CP124" s="57">
        <f t="shared" si="186"/>
        <v>0</v>
      </c>
      <c r="CQ124" s="194">
        <f t="shared" ref="CQ124:CY124" si="187">+CQ17+CQ53+CQ89</f>
        <v>0</v>
      </c>
      <c r="CR124" s="117">
        <f t="shared" si="187"/>
        <v>0</v>
      </c>
      <c r="CS124" s="119">
        <f t="shared" si="187"/>
        <v>0</v>
      </c>
      <c r="CT124" s="194">
        <f t="shared" si="187"/>
        <v>0</v>
      </c>
      <c r="CU124" s="117">
        <f t="shared" si="187"/>
        <v>0</v>
      </c>
      <c r="CV124" s="119">
        <f t="shared" si="187"/>
        <v>0</v>
      </c>
      <c r="CW124" s="194">
        <f t="shared" si="187"/>
        <v>0</v>
      </c>
      <c r="CX124" s="117">
        <f t="shared" si="187"/>
        <v>0</v>
      </c>
      <c r="CY124" s="119">
        <f t="shared" si="187"/>
        <v>0</v>
      </c>
      <c r="CZ124" s="194">
        <f t="shared" si="186"/>
        <v>0</v>
      </c>
      <c r="DA124" s="117">
        <f t="shared" si="186"/>
        <v>0</v>
      </c>
      <c r="DB124" s="119">
        <f t="shared" si="186"/>
        <v>0</v>
      </c>
      <c r="DC124" s="116">
        <f t="shared" si="186"/>
        <v>0</v>
      </c>
      <c r="DD124" s="117">
        <f t="shared" si="186"/>
        <v>0</v>
      </c>
      <c r="DE124" s="119">
        <f t="shared" si="186"/>
        <v>0</v>
      </c>
      <c r="DF124" s="194">
        <f t="shared" si="186"/>
        <v>0</v>
      </c>
      <c r="DG124" s="117">
        <f t="shared" si="186"/>
        <v>0</v>
      </c>
      <c r="DH124" s="118">
        <f t="shared" si="186"/>
        <v>0</v>
      </c>
      <c r="DI124" s="116">
        <f t="shared" si="186"/>
        <v>0</v>
      </c>
      <c r="DJ124" s="117">
        <f t="shared" si="186"/>
        <v>0</v>
      </c>
      <c r="DK124" s="119">
        <f t="shared" si="186"/>
        <v>0</v>
      </c>
      <c r="DL124" s="194">
        <f t="shared" si="186"/>
        <v>0</v>
      </c>
      <c r="DM124" s="117">
        <f t="shared" si="186"/>
        <v>0</v>
      </c>
      <c r="DN124" s="118">
        <f t="shared" si="186"/>
        <v>0</v>
      </c>
      <c r="DO124" s="116">
        <f t="shared" si="186"/>
        <v>0</v>
      </c>
      <c r="DP124" s="117">
        <f t="shared" si="186"/>
        <v>0</v>
      </c>
      <c r="DQ124" s="119">
        <f t="shared" si="186"/>
        <v>0</v>
      </c>
      <c r="DR124" s="194">
        <f t="shared" si="186"/>
        <v>0</v>
      </c>
      <c r="DS124" s="117">
        <f t="shared" si="186"/>
        <v>0</v>
      </c>
      <c r="DT124" s="118">
        <f t="shared" si="186"/>
        <v>0</v>
      </c>
      <c r="DU124" s="116">
        <f t="shared" si="186"/>
        <v>0</v>
      </c>
      <c r="DV124" s="117">
        <f t="shared" si="186"/>
        <v>0</v>
      </c>
      <c r="DW124" s="119">
        <f t="shared" si="186"/>
        <v>0</v>
      </c>
      <c r="DX124" s="194">
        <f t="shared" si="186"/>
        <v>0</v>
      </c>
      <c r="DY124" s="117">
        <f t="shared" si="186"/>
        <v>0</v>
      </c>
      <c r="DZ124" s="118">
        <f t="shared" si="186"/>
        <v>0</v>
      </c>
      <c r="EA124" s="116">
        <f t="shared" si="186"/>
        <v>0</v>
      </c>
      <c r="EB124" s="117">
        <f t="shared" si="186"/>
        <v>0</v>
      </c>
      <c r="EC124" s="119">
        <f t="shared" si="186"/>
        <v>0</v>
      </c>
      <c r="ED124" s="194">
        <f t="shared" si="186"/>
        <v>0</v>
      </c>
      <c r="EE124" s="117">
        <f t="shared" si="186"/>
        <v>0</v>
      </c>
      <c r="EF124" s="118">
        <f t="shared" si="186"/>
        <v>0</v>
      </c>
      <c r="EG124" s="116">
        <f t="shared" si="186"/>
        <v>0</v>
      </c>
      <c r="EH124" s="117">
        <f t="shared" si="186"/>
        <v>0</v>
      </c>
      <c r="EI124" s="119">
        <f t="shared" si="186"/>
        <v>0</v>
      </c>
      <c r="EJ124" s="194">
        <f t="shared" si="186"/>
        <v>0</v>
      </c>
      <c r="EK124" s="117">
        <f t="shared" si="186"/>
        <v>0</v>
      </c>
      <c r="EL124" s="118">
        <f t="shared" si="186"/>
        <v>0</v>
      </c>
      <c r="EM124" s="116">
        <f t="shared" ref="EM124:GX124" si="188">+EM17+EM53+EM89</f>
        <v>0</v>
      </c>
      <c r="EN124" s="117">
        <f t="shared" si="188"/>
        <v>0</v>
      </c>
      <c r="EO124" s="119">
        <f t="shared" si="188"/>
        <v>0</v>
      </c>
      <c r="EP124" s="194">
        <f t="shared" si="188"/>
        <v>0</v>
      </c>
      <c r="EQ124" s="117">
        <f t="shared" si="188"/>
        <v>0</v>
      </c>
      <c r="ER124" s="118">
        <f t="shared" si="188"/>
        <v>0</v>
      </c>
      <c r="ES124" s="116">
        <f t="shared" si="188"/>
        <v>0</v>
      </c>
      <c r="ET124" s="117">
        <f t="shared" si="188"/>
        <v>0</v>
      </c>
      <c r="EU124" s="119">
        <f t="shared" si="188"/>
        <v>0</v>
      </c>
      <c r="EV124" s="194">
        <f t="shared" si="188"/>
        <v>0</v>
      </c>
      <c r="EW124" s="117">
        <f t="shared" si="188"/>
        <v>0</v>
      </c>
      <c r="EX124" s="118">
        <f t="shared" si="188"/>
        <v>0</v>
      </c>
      <c r="EY124" s="116">
        <f t="shared" si="188"/>
        <v>0</v>
      </c>
      <c r="EZ124" s="117">
        <f t="shared" si="188"/>
        <v>0</v>
      </c>
      <c r="FA124" s="119">
        <f t="shared" si="188"/>
        <v>0</v>
      </c>
      <c r="FB124" s="194">
        <f t="shared" si="188"/>
        <v>0</v>
      </c>
      <c r="FC124" s="117">
        <f t="shared" si="188"/>
        <v>0</v>
      </c>
      <c r="FD124" s="118">
        <f t="shared" si="188"/>
        <v>0</v>
      </c>
      <c r="FE124" s="116">
        <f t="shared" si="188"/>
        <v>0</v>
      </c>
      <c r="FF124" s="117">
        <f t="shared" si="188"/>
        <v>0</v>
      </c>
      <c r="FG124" s="119">
        <f t="shared" si="188"/>
        <v>0</v>
      </c>
      <c r="FH124" s="194">
        <f t="shared" si="188"/>
        <v>0</v>
      </c>
      <c r="FI124" s="117">
        <f t="shared" si="188"/>
        <v>0</v>
      </c>
      <c r="FJ124" s="118">
        <f t="shared" si="188"/>
        <v>0</v>
      </c>
      <c r="FK124" s="116">
        <f t="shared" si="188"/>
        <v>0</v>
      </c>
      <c r="FL124" s="117">
        <f t="shared" si="188"/>
        <v>0</v>
      </c>
      <c r="FM124" s="119">
        <f t="shared" si="188"/>
        <v>0</v>
      </c>
      <c r="FN124" s="194">
        <f t="shared" si="188"/>
        <v>0</v>
      </c>
      <c r="FO124" s="117">
        <f t="shared" si="188"/>
        <v>0</v>
      </c>
      <c r="FP124" s="118">
        <f t="shared" si="188"/>
        <v>0</v>
      </c>
      <c r="FQ124" s="116">
        <f t="shared" si="188"/>
        <v>0</v>
      </c>
      <c r="FR124" s="117">
        <f t="shared" si="188"/>
        <v>0</v>
      </c>
      <c r="FS124" s="119">
        <f t="shared" si="188"/>
        <v>0</v>
      </c>
      <c r="FT124" s="194">
        <f t="shared" si="188"/>
        <v>0</v>
      </c>
      <c r="FU124" s="117">
        <f t="shared" si="188"/>
        <v>0</v>
      </c>
      <c r="FV124" s="118">
        <f t="shared" si="188"/>
        <v>0</v>
      </c>
      <c r="FW124" s="116">
        <f t="shared" si="188"/>
        <v>0</v>
      </c>
      <c r="FX124" s="117">
        <f t="shared" si="188"/>
        <v>0</v>
      </c>
      <c r="FY124" s="119">
        <f t="shared" si="188"/>
        <v>0</v>
      </c>
      <c r="FZ124" s="194">
        <f t="shared" si="188"/>
        <v>0</v>
      </c>
      <c r="GA124" s="117">
        <f t="shared" si="188"/>
        <v>0</v>
      </c>
      <c r="GB124" s="118">
        <f t="shared" si="188"/>
        <v>0</v>
      </c>
      <c r="GC124" s="116">
        <f t="shared" si="188"/>
        <v>0</v>
      </c>
      <c r="GD124" s="117">
        <f t="shared" si="188"/>
        <v>0</v>
      </c>
      <c r="GE124" s="119">
        <f t="shared" si="188"/>
        <v>0</v>
      </c>
      <c r="GF124" s="194">
        <f t="shared" si="188"/>
        <v>0</v>
      </c>
      <c r="GG124" s="117">
        <f t="shared" si="188"/>
        <v>0</v>
      </c>
      <c r="GH124" s="118">
        <f t="shared" si="188"/>
        <v>0</v>
      </c>
      <c r="GI124" s="116">
        <f t="shared" si="188"/>
        <v>0</v>
      </c>
      <c r="GJ124" s="117">
        <f t="shared" si="188"/>
        <v>0</v>
      </c>
      <c r="GK124" s="118">
        <f t="shared" si="188"/>
        <v>0</v>
      </c>
      <c r="GL124" s="239">
        <f t="shared" si="188"/>
        <v>0</v>
      </c>
      <c r="GM124" s="43">
        <f t="shared" si="188"/>
        <v>0</v>
      </c>
      <c r="GN124" s="283">
        <f t="shared" si="188"/>
        <v>0</v>
      </c>
      <c r="GO124" s="239">
        <f t="shared" si="188"/>
        <v>0</v>
      </c>
      <c r="GP124" s="43">
        <f t="shared" si="188"/>
        <v>0</v>
      </c>
      <c r="GQ124" s="57">
        <f t="shared" si="188"/>
        <v>0</v>
      </c>
      <c r="GR124" s="194">
        <f t="shared" si="188"/>
        <v>0</v>
      </c>
      <c r="GS124" s="117">
        <f t="shared" si="188"/>
        <v>0</v>
      </c>
      <c r="GT124" s="119">
        <f t="shared" si="188"/>
        <v>0</v>
      </c>
      <c r="GU124" s="194">
        <f t="shared" si="188"/>
        <v>0</v>
      </c>
      <c r="GV124" s="117">
        <f t="shared" si="188"/>
        <v>0</v>
      </c>
      <c r="GW124" s="119">
        <f t="shared" si="188"/>
        <v>0</v>
      </c>
      <c r="GX124" s="194">
        <f t="shared" si="188"/>
        <v>0</v>
      </c>
      <c r="GY124" s="117">
        <f t="shared" ref="GY124:HC124" si="189">+GY17+GY53+GY89</f>
        <v>0</v>
      </c>
      <c r="GZ124" s="119">
        <f t="shared" si="189"/>
        <v>0</v>
      </c>
      <c r="HA124" s="194">
        <f t="shared" si="189"/>
        <v>0</v>
      </c>
      <c r="HB124" s="117">
        <f t="shared" si="189"/>
        <v>0</v>
      </c>
      <c r="HC124" s="119">
        <f t="shared" si="189"/>
        <v>0</v>
      </c>
      <c r="HD124" s="368">
        <f t="shared" si="139"/>
        <v>0</v>
      </c>
      <c r="HE124" s="369">
        <f t="shared" si="140"/>
        <v>0</v>
      </c>
      <c r="HF124" s="369">
        <f t="shared" si="141"/>
        <v>0</v>
      </c>
      <c r="HG124" s="145">
        <f t="shared" si="132"/>
        <v>0</v>
      </c>
    </row>
    <row r="125" spans="1:215" ht="15.75" thickBot="1">
      <c r="A125" s="238">
        <v>11</v>
      </c>
      <c r="B125" s="116">
        <f t="shared" ref="B125:T125" si="190">+B18+B54+B90</f>
        <v>0</v>
      </c>
      <c r="C125" s="117">
        <f t="shared" si="190"/>
        <v>0</v>
      </c>
      <c r="D125" s="119">
        <f t="shared" si="190"/>
        <v>0</v>
      </c>
      <c r="E125" s="194">
        <f t="shared" si="190"/>
        <v>0</v>
      </c>
      <c r="F125" s="117">
        <f t="shared" si="190"/>
        <v>0</v>
      </c>
      <c r="G125" s="118">
        <f t="shared" si="190"/>
        <v>0</v>
      </c>
      <c r="H125" s="116">
        <f t="shared" si="190"/>
        <v>0</v>
      </c>
      <c r="I125" s="117">
        <f t="shared" si="190"/>
        <v>0</v>
      </c>
      <c r="J125" s="119">
        <f t="shared" si="190"/>
        <v>0</v>
      </c>
      <c r="K125" s="194">
        <f t="shared" si="190"/>
        <v>0</v>
      </c>
      <c r="L125" s="117">
        <f t="shared" si="190"/>
        <v>0</v>
      </c>
      <c r="M125" s="118">
        <f t="shared" si="190"/>
        <v>0</v>
      </c>
      <c r="N125" s="116">
        <f t="shared" si="190"/>
        <v>0</v>
      </c>
      <c r="O125" s="117">
        <f t="shared" si="190"/>
        <v>0</v>
      </c>
      <c r="P125" s="119">
        <f t="shared" si="190"/>
        <v>0</v>
      </c>
      <c r="Q125" s="194">
        <f t="shared" si="190"/>
        <v>0</v>
      </c>
      <c r="R125" s="117">
        <f t="shared" si="190"/>
        <v>0</v>
      </c>
      <c r="S125" s="118">
        <f t="shared" si="190"/>
        <v>0</v>
      </c>
      <c r="T125" s="116">
        <f t="shared" si="190"/>
        <v>0</v>
      </c>
      <c r="U125" s="117">
        <f t="shared" ref="U125:AN125" si="191">+U18+U54+U90</f>
        <v>0</v>
      </c>
      <c r="V125" s="119">
        <f t="shared" si="191"/>
        <v>0</v>
      </c>
      <c r="W125" s="194">
        <f t="shared" si="191"/>
        <v>0</v>
      </c>
      <c r="X125" s="117">
        <f t="shared" si="191"/>
        <v>0</v>
      </c>
      <c r="Y125" s="118">
        <f t="shared" si="191"/>
        <v>0</v>
      </c>
      <c r="Z125" s="116">
        <f t="shared" si="191"/>
        <v>0</v>
      </c>
      <c r="AA125" s="117">
        <f t="shared" si="191"/>
        <v>0</v>
      </c>
      <c r="AB125" s="119">
        <f t="shared" si="191"/>
        <v>0</v>
      </c>
      <c r="AC125" s="194">
        <f t="shared" si="191"/>
        <v>0</v>
      </c>
      <c r="AD125" s="117">
        <f t="shared" si="191"/>
        <v>0</v>
      </c>
      <c r="AE125" s="118">
        <f t="shared" si="191"/>
        <v>0</v>
      </c>
      <c r="AF125" s="116">
        <f t="shared" si="191"/>
        <v>0</v>
      </c>
      <c r="AG125" s="117">
        <f t="shared" si="191"/>
        <v>0</v>
      </c>
      <c r="AH125" s="119">
        <f t="shared" si="191"/>
        <v>0</v>
      </c>
      <c r="AI125" s="194">
        <f t="shared" si="191"/>
        <v>0</v>
      </c>
      <c r="AJ125" s="117">
        <f t="shared" si="191"/>
        <v>0</v>
      </c>
      <c r="AK125" s="118">
        <f t="shared" si="191"/>
        <v>0</v>
      </c>
      <c r="AL125" s="116">
        <f t="shared" si="191"/>
        <v>0</v>
      </c>
      <c r="AM125" s="117">
        <f t="shared" si="191"/>
        <v>0</v>
      </c>
      <c r="AN125" s="119">
        <f t="shared" si="191"/>
        <v>0</v>
      </c>
      <c r="AO125" s="194">
        <f t="shared" ref="AO125:BF125" si="192">+AO18+AO54+AO90</f>
        <v>0</v>
      </c>
      <c r="AP125" s="117">
        <f t="shared" si="192"/>
        <v>0</v>
      </c>
      <c r="AQ125" s="118">
        <f t="shared" si="192"/>
        <v>0</v>
      </c>
      <c r="AR125" s="116">
        <f t="shared" si="192"/>
        <v>0</v>
      </c>
      <c r="AS125" s="117">
        <f t="shared" si="192"/>
        <v>0</v>
      </c>
      <c r="AT125" s="119">
        <f t="shared" si="192"/>
        <v>0</v>
      </c>
      <c r="AU125" s="194">
        <f t="shared" si="192"/>
        <v>0</v>
      </c>
      <c r="AV125" s="117">
        <f t="shared" si="192"/>
        <v>0</v>
      </c>
      <c r="AW125" s="118">
        <f t="shared" si="192"/>
        <v>0</v>
      </c>
      <c r="AX125" s="116">
        <f t="shared" si="192"/>
        <v>0</v>
      </c>
      <c r="AY125" s="117">
        <f t="shared" si="192"/>
        <v>0</v>
      </c>
      <c r="AZ125" s="119">
        <f t="shared" si="192"/>
        <v>0</v>
      </c>
      <c r="BA125" s="194">
        <f t="shared" si="192"/>
        <v>0</v>
      </c>
      <c r="BB125" s="117">
        <f t="shared" si="192"/>
        <v>0</v>
      </c>
      <c r="BC125" s="118">
        <f t="shared" si="192"/>
        <v>0</v>
      </c>
      <c r="BD125" s="116">
        <f t="shared" si="192"/>
        <v>0</v>
      </c>
      <c r="BE125" s="117">
        <f t="shared" si="192"/>
        <v>0</v>
      </c>
      <c r="BF125" s="119">
        <f t="shared" si="192"/>
        <v>0</v>
      </c>
      <c r="BG125" s="194">
        <f t="shared" ref="BG125:BZ125" si="193">+BG18+BG54+BG90</f>
        <v>0</v>
      </c>
      <c r="BH125" s="117">
        <f t="shared" si="193"/>
        <v>0</v>
      </c>
      <c r="BI125" s="118">
        <f t="shared" si="193"/>
        <v>0</v>
      </c>
      <c r="BJ125" s="116">
        <f t="shared" si="193"/>
        <v>0</v>
      </c>
      <c r="BK125" s="117">
        <f t="shared" si="193"/>
        <v>0</v>
      </c>
      <c r="BL125" s="119">
        <f t="shared" si="193"/>
        <v>0</v>
      </c>
      <c r="BM125" s="194">
        <f t="shared" si="193"/>
        <v>0</v>
      </c>
      <c r="BN125" s="117">
        <f t="shared" si="193"/>
        <v>0</v>
      </c>
      <c r="BO125" s="118">
        <f t="shared" si="193"/>
        <v>0</v>
      </c>
      <c r="BP125" s="116">
        <f t="shared" si="193"/>
        <v>0</v>
      </c>
      <c r="BQ125" s="117">
        <f t="shared" si="193"/>
        <v>0</v>
      </c>
      <c r="BR125" s="119">
        <f t="shared" si="193"/>
        <v>0</v>
      </c>
      <c r="BS125" s="194">
        <f t="shared" si="193"/>
        <v>0</v>
      </c>
      <c r="BT125" s="117">
        <f t="shared" si="193"/>
        <v>0</v>
      </c>
      <c r="BU125" s="118">
        <f t="shared" si="193"/>
        <v>0</v>
      </c>
      <c r="BV125" s="116">
        <f t="shared" si="193"/>
        <v>0</v>
      </c>
      <c r="BW125" s="117">
        <f t="shared" si="193"/>
        <v>0</v>
      </c>
      <c r="BX125" s="119">
        <f t="shared" si="193"/>
        <v>0</v>
      </c>
      <c r="BY125" s="194">
        <f t="shared" si="193"/>
        <v>0</v>
      </c>
      <c r="BZ125" s="117">
        <f t="shared" si="193"/>
        <v>0</v>
      </c>
      <c r="CA125" s="118">
        <f t="shared" ref="CA125:EL125" si="194">+CA18+CA54+CA90</f>
        <v>0</v>
      </c>
      <c r="CB125" s="116">
        <f t="shared" si="194"/>
        <v>0</v>
      </c>
      <c r="CC125" s="117">
        <f t="shared" si="194"/>
        <v>0</v>
      </c>
      <c r="CD125" s="119">
        <f t="shared" si="194"/>
        <v>0</v>
      </c>
      <c r="CE125" s="194">
        <f t="shared" si="194"/>
        <v>0</v>
      </c>
      <c r="CF125" s="117">
        <f t="shared" si="194"/>
        <v>0</v>
      </c>
      <c r="CG125" s="118">
        <f t="shared" si="194"/>
        <v>0</v>
      </c>
      <c r="CH125" s="116">
        <f t="shared" si="194"/>
        <v>0</v>
      </c>
      <c r="CI125" s="117">
        <f t="shared" si="194"/>
        <v>0</v>
      </c>
      <c r="CJ125" s="118">
        <f t="shared" si="194"/>
        <v>0</v>
      </c>
      <c r="CK125" s="239">
        <f t="shared" si="194"/>
        <v>0</v>
      </c>
      <c r="CL125" s="43">
        <f t="shared" si="194"/>
        <v>0</v>
      </c>
      <c r="CM125" s="283">
        <f t="shared" si="194"/>
        <v>0</v>
      </c>
      <c r="CN125" s="239">
        <f t="shared" si="194"/>
        <v>0</v>
      </c>
      <c r="CO125" s="43">
        <f t="shared" si="194"/>
        <v>0</v>
      </c>
      <c r="CP125" s="57">
        <f t="shared" si="194"/>
        <v>0</v>
      </c>
      <c r="CQ125" s="194">
        <f t="shared" ref="CQ125:CY125" si="195">+CQ18+CQ54+CQ90</f>
        <v>0</v>
      </c>
      <c r="CR125" s="117">
        <f t="shared" si="195"/>
        <v>0</v>
      </c>
      <c r="CS125" s="119">
        <f t="shared" si="195"/>
        <v>0</v>
      </c>
      <c r="CT125" s="194">
        <f t="shared" si="195"/>
        <v>0</v>
      </c>
      <c r="CU125" s="117">
        <f t="shared" si="195"/>
        <v>0</v>
      </c>
      <c r="CV125" s="119">
        <f t="shared" si="195"/>
        <v>0</v>
      </c>
      <c r="CW125" s="194">
        <f t="shared" si="195"/>
        <v>0</v>
      </c>
      <c r="CX125" s="117">
        <f t="shared" si="195"/>
        <v>0</v>
      </c>
      <c r="CY125" s="119">
        <f t="shared" si="195"/>
        <v>0</v>
      </c>
      <c r="CZ125" s="194">
        <f t="shared" si="194"/>
        <v>0</v>
      </c>
      <c r="DA125" s="117">
        <f t="shared" si="194"/>
        <v>0</v>
      </c>
      <c r="DB125" s="119">
        <f t="shared" si="194"/>
        <v>0</v>
      </c>
      <c r="DC125" s="116">
        <f t="shared" si="194"/>
        <v>0</v>
      </c>
      <c r="DD125" s="117">
        <f t="shared" si="194"/>
        <v>0</v>
      </c>
      <c r="DE125" s="119">
        <f t="shared" si="194"/>
        <v>0</v>
      </c>
      <c r="DF125" s="194">
        <f t="shared" si="194"/>
        <v>0</v>
      </c>
      <c r="DG125" s="117">
        <f t="shared" si="194"/>
        <v>0</v>
      </c>
      <c r="DH125" s="118">
        <f t="shared" si="194"/>
        <v>0</v>
      </c>
      <c r="DI125" s="116">
        <f t="shared" si="194"/>
        <v>0</v>
      </c>
      <c r="DJ125" s="117">
        <f t="shared" si="194"/>
        <v>0</v>
      </c>
      <c r="DK125" s="119">
        <f t="shared" si="194"/>
        <v>0</v>
      </c>
      <c r="DL125" s="194">
        <f t="shared" si="194"/>
        <v>0</v>
      </c>
      <c r="DM125" s="117">
        <f t="shared" si="194"/>
        <v>0</v>
      </c>
      <c r="DN125" s="118">
        <f t="shared" si="194"/>
        <v>0</v>
      </c>
      <c r="DO125" s="116">
        <f t="shared" si="194"/>
        <v>0</v>
      </c>
      <c r="DP125" s="117">
        <f t="shared" si="194"/>
        <v>0</v>
      </c>
      <c r="DQ125" s="119">
        <f t="shared" si="194"/>
        <v>0</v>
      </c>
      <c r="DR125" s="194">
        <f t="shared" si="194"/>
        <v>0</v>
      </c>
      <c r="DS125" s="117">
        <f t="shared" si="194"/>
        <v>0</v>
      </c>
      <c r="DT125" s="118">
        <f t="shared" si="194"/>
        <v>0</v>
      </c>
      <c r="DU125" s="116">
        <f t="shared" si="194"/>
        <v>0</v>
      </c>
      <c r="DV125" s="117">
        <f t="shared" si="194"/>
        <v>0</v>
      </c>
      <c r="DW125" s="119">
        <f t="shared" si="194"/>
        <v>0</v>
      </c>
      <c r="DX125" s="194">
        <f t="shared" si="194"/>
        <v>0</v>
      </c>
      <c r="DY125" s="117">
        <f t="shared" si="194"/>
        <v>0</v>
      </c>
      <c r="DZ125" s="118">
        <f t="shared" si="194"/>
        <v>0</v>
      </c>
      <c r="EA125" s="116">
        <f t="shared" si="194"/>
        <v>0</v>
      </c>
      <c r="EB125" s="117">
        <f t="shared" si="194"/>
        <v>0</v>
      </c>
      <c r="EC125" s="119">
        <f t="shared" si="194"/>
        <v>0</v>
      </c>
      <c r="ED125" s="194">
        <f t="shared" si="194"/>
        <v>0</v>
      </c>
      <c r="EE125" s="117">
        <f t="shared" si="194"/>
        <v>0</v>
      </c>
      <c r="EF125" s="118">
        <f t="shared" si="194"/>
        <v>0</v>
      </c>
      <c r="EG125" s="116">
        <f t="shared" si="194"/>
        <v>0</v>
      </c>
      <c r="EH125" s="117">
        <f t="shared" si="194"/>
        <v>0</v>
      </c>
      <c r="EI125" s="119">
        <f t="shared" si="194"/>
        <v>0</v>
      </c>
      <c r="EJ125" s="194">
        <f t="shared" si="194"/>
        <v>0</v>
      </c>
      <c r="EK125" s="117">
        <f t="shared" si="194"/>
        <v>0</v>
      </c>
      <c r="EL125" s="118">
        <f t="shared" si="194"/>
        <v>0</v>
      </c>
      <c r="EM125" s="116">
        <f t="shared" ref="EM125:GX125" si="196">+EM18+EM54+EM90</f>
        <v>0</v>
      </c>
      <c r="EN125" s="117">
        <f t="shared" si="196"/>
        <v>0</v>
      </c>
      <c r="EO125" s="119">
        <f t="shared" si="196"/>
        <v>0</v>
      </c>
      <c r="EP125" s="194">
        <f t="shared" si="196"/>
        <v>0</v>
      </c>
      <c r="EQ125" s="117">
        <f t="shared" si="196"/>
        <v>0</v>
      </c>
      <c r="ER125" s="118">
        <f t="shared" si="196"/>
        <v>0</v>
      </c>
      <c r="ES125" s="116">
        <f t="shared" si="196"/>
        <v>0</v>
      </c>
      <c r="ET125" s="117">
        <f t="shared" si="196"/>
        <v>0</v>
      </c>
      <c r="EU125" s="119">
        <f t="shared" si="196"/>
        <v>0</v>
      </c>
      <c r="EV125" s="194">
        <f t="shared" si="196"/>
        <v>0</v>
      </c>
      <c r="EW125" s="117">
        <f t="shared" si="196"/>
        <v>0</v>
      </c>
      <c r="EX125" s="118">
        <f t="shared" si="196"/>
        <v>0</v>
      </c>
      <c r="EY125" s="116">
        <f t="shared" si="196"/>
        <v>0</v>
      </c>
      <c r="EZ125" s="117">
        <f t="shared" si="196"/>
        <v>0</v>
      </c>
      <c r="FA125" s="119">
        <f t="shared" si="196"/>
        <v>0</v>
      </c>
      <c r="FB125" s="194">
        <f t="shared" si="196"/>
        <v>0</v>
      </c>
      <c r="FC125" s="117">
        <f t="shared" si="196"/>
        <v>0</v>
      </c>
      <c r="FD125" s="118">
        <f t="shared" si="196"/>
        <v>0</v>
      </c>
      <c r="FE125" s="116">
        <f t="shared" si="196"/>
        <v>0</v>
      </c>
      <c r="FF125" s="117">
        <f t="shared" si="196"/>
        <v>0</v>
      </c>
      <c r="FG125" s="119">
        <f t="shared" si="196"/>
        <v>0</v>
      </c>
      <c r="FH125" s="194">
        <f t="shared" si="196"/>
        <v>0</v>
      </c>
      <c r="FI125" s="117">
        <f t="shared" si="196"/>
        <v>0</v>
      </c>
      <c r="FJ125" s="118">
        <f t="shared" si="196"/>
        <v>0</v>
      </c>
      <c r="FK125" s="116">
        <f t="shared" si="196"/>
        <v>0</v>
      </c>
      <c r="FL125" s="117">
        <f t="shared" si="196"/>
        <v>0</v>
      </c>
      <c r="FM125" s="119">
        <f t="shared" si="196"/>
        <v>0</v>
      </c>
      <c r="FN125" s="194">
        <f t="shared" si="196"/>
        <v>0</v>
      </c>
      <c r="FO125" s="117">
        <f t="shared" si="196"/>
        <v>0</v>
      </c>
      <c r="FP125" s="118">
        <f t="shared" si="196"/>
        <v>0</v>
      </c>
      <c r="FQ125" s="116">
        <f t="shared" si="196"/>
        <v>0</v>
      </c>
      <c r="FR125" s="117">
        <f t="shared" si="196"/>
        <v>0</v>
      </c>
      <c r="FS125" s="119">
        <f t="shared" si="196"/>
        <v>0</v>
      </c>
      <c r="FT125" s="194">
        <f t="shared" si="196"/>
        <v>0</v>
      </c>
      <c r="FU125" s="117">
        <f t="shared" si="196"/>
        <v>0</v>
      </c>
      <c r="FV125" s="118">
        <f t="shared" si="196"/>
        <v>0</v>
      </c>
      <c r="FW125" s="116">
        <f t="shared" si="196"/>
        <v>0</v>
      </c>
      <c r="FX125" s="117">
        <f t="shared" si="196"/>
        <v>0</v>
      </c>
      <c r="FY125" s="119">
        <f t="shared" si="196"/>
        <v>0</v>
      </c>
      <c r="FZ125" s="194">
        <f t="shared" si="196"/>
        <v>0</v>
      </c>
      <c r="GA125" s="117">
        <f t="shared" si="196"/>
        <v>0</v>
      </c>
      <c r="GB125" s="118">
        <f t="shared" si="196"/>
        <v>0</v>
      </c>
      <c r="GC125" s="116">
        <f t="shared" si="196"/>
        <v>0</v>
      </c>
      <c r="GD125" s="117">
        <f t="shared" si="196"/>
        <v>0</v>
      </c>
      <c r="GE125" s="119">
        <f t="shared" si="196"/>
        <v>0</v>
      </c>
      <c r="GF125" s="194">
        <f t="shared" si="196"/>
        <v>0</v>
      </c>
      <c r="GG125" s="117">
        <f t="shared" si="196"/>
        <v>0</v>
      </c>
      <c r="GH125" s="118">
        <f t="shared" si="196"/>
        <v>0</v>
      </c>
      <c r="GI125" s="116">
        <f t="shared" si="196"/>
        <v>0</v>
      </c>
      <c r="GJ125" s="117">
        <f t="shared" si="196"/>
        <v>0</v>
      </c>
      <c r="GK125" s="118">
        <f t="shared" si="196"/>
        <v>0</v>
      </c>
      <c r="GL125" s="239">
        <f t="shared" si="196"/>
        <v>0</v>
      </c>
      <c r="GM125" s="43">
        <f t="shared" si="196"/>
        <v>0</v>
      </c>
      <c r="GN125" s="283">
        <f t="shared" si="196"/>
        <v>0</v>
      </c>
      <c r="GO125" s="239">
        <f t="shared" si="196"/>
        <v>0</v>
      </c>
      <c r="GP125" s="43">
        <f t="shared" si="196"/>
        <v>0</v>
      </c>
      <c r="GQ125" s="57">
        <f t="shared" si="196"/>
        <v>0</v>
      </c>
      <c r="GR125" s="194">
        <f t="shared" si="196"/>
        <v>0</v>
      </c>
      <c r="GS125" s="117">
        <f t="shared" si="196"/>
        <v>0</v>
      </c>
      <c r="GT125" s="119">
        <f t="shared" si="196"/>
        <v>0</v>
      </c>
      <c r="GU125" s="194">
        <f t="shared" si="196"/>
        <v>0</v>
      </c>
      <c r="GV125" s="117">
        <f t="shared" si="196"/>
        <v>0</v>
      </c>
      <c r="GW125" s="119">
        <f t="shared" si="196"/>
        <v>0</v>
      </c>
      <c r="GX125" s="194">
        <f t="shared" si="196"/>
        <v>0</v>
      </c>
      <c r="GY125" s="117">
        <f t="shared" ref="GY125:HC125" si="197">+GY18+GY54+GY90</f>
        <v>0</v>
      </c>
      <c r="GZ125" s="119">
        <f t="shared" si="197"/>
        <v>0</v>
      </c>
      <c r="HA125" s="194">
        <f t="shared" si="197"/>
        <v>0</v>
      </c>
      <c r="HB125" s="117">
        <f t="shared" si="197"/>
        <v>0</v>
      </c>
      <c r="HC125" s="119">
        <f t="shared" si="197"/>
        <v>0</v>
      </c>
      <c r="HD125" s="368">
        <f t="shared" si="139"/>
        <v>0</v>
      </c>
      <c r="HE125" s="369">
        <f t="shared" si="140"/>
        <v>0</v>
      </c>
      <c r="HF125" s="369">
        <f t="shared" si="141"/>
        <v>0</v>
      </c>
      <c r="HG125" s="145">
        <f t="shared" si="132"/>
        <v>0</v>
      </c>
    </row>
    <row r="126" spans="1:215" ht="15.75" thickBot="1">
      <c r="A126" s="238">
        <v>12</v>
      </c>
      <c r="B126" s="116">
        <f t="shared" ref="B126:AN126" si="198">+B19+B55+B91</f>
        <v>0</v>
      </c>
      <c r="C126" s="117">
        <f t="shared" si="198"/>
        <v>0</v>
      </c>
      <c r="D126" s="119">
        <f t="shared" si="198"/>
        <v>0</v>
      </c>
      <c r="E126" s="194">
        <f t="shared" si="198"/>
        <v>0</v>
      </c>
      <c r="F126" s="117">
        <f t="shared" si="198"/>
        <v>0</v>
      </c>
      <c r="G126" s="118">
        <f t="shared" si="198"/>
        <v>0</v>
      </c>
      <c r="H126" s="116">
        <f t="shared" si="198"/>
        <v>0</v>
      </c>
      <c r="I126" s="117">
        <f t="shared" si="198"/>
        <v>0</v>
      </c>
      <c r="J126" s="119">
        <f t="shared" si="198"/>
        <v>0</v>
      </c>
      <c r="K126" s="194">
        <f t="shared" si="198"/>
        <v>0</v>
      </c>
      <c r="L126" s="117">
        <f t="shared" si="198"/>
        <v>0</v>
      </c>
      <c r="M126" s="118">
        <f t="shared" si="198"/>
        <v>0</v>
      </c>
      <c r="N126" s="116">
        <f t="shared" si="198"/>
        <v>0</v>
      </c>
      <c r="O126" s="117">
        <f t="shared" si="198"/>
        <v>0</v>
      </c>
      <c r="P126" s="119">
        <f t="shared" si="198"/>
        <v>0</v>
      </c>
      <c r="Q126" s="194">
        <f t="shared" si="198"/>
        <v>0</v>
      </c>
      <c r="R126" s="117">
        <f t="shared" si="198"/>
        <v>0</v>
      </c>
      <c r="S126" s="118">
        <f t="shared" si="198"/>
        <v>0</v>
      </c>
      <c r="T126" s="116">
        <f t="shared" si="198"/>
        <v>0</v>
      </c>
      <c r="U126" s="117">
        <f t="shared" si="198"/>
        <v>0</v>
      </c>
      <c r="V126" s="119">
        <f t="shared" si="198"/>
        <v>0</v>
      </c>
      <c r="W126" s="194">
        <f t="shared" si="198"/>
        <v>0</v>
      </c>
      <c r="X126" s="117">
        <f t="shared" si="198"/>
        <v>0</v>
      </c>
      <c r="Y126" s="118">
        <f t="shared" si="198"/>
        <v>0</v>
      </c>
      <c r="Z126" s="116">
        <f t="shared" si="198"/>
        <v>0</v>
      </c>
      <c r="AA126" s="117">
        <f t="shared" si="198"/>
        <v>0</v>
      </c>
      <c r="AB126" s="119">
        <f t="shared" si="198"/>
        <v>0</v>
      </c>
      <c r="AC126" s="194">
        <f t="shared" si="198"/>
        <v>0</v>
      </c>
      <c r="AD126" s="117">
        <f t="shared" si="198"/>
        <v>0</v>
      </c>
      <c r="AE126" s="118">
        <f t="shared" si="198"/>
        <v>0</v>
      </c>
      <c r="AF126" s="116">
        <f t="shared" si="198"/>
        <v>0</v>
      </c>
      <c r="AG126" s="117">
        <f t="shared" si="198"/>
        <v>0</v>
      </c>
      <c r="AH126" s="119">
        <f t="shared" si="198"/>
        <v>0</v>
      </c>
      <c r="AI126" s="194">
        <f t="shared" si="198"/>
        <v>0</v>
      </c>
      <c r="AJ126" s="117">
        <f t="shared" si="198"/>
        <v>0</v>
      </c>
      <c r="AK126" s="118">
        <f t="shared" si="198"/>
        <v>0</v>
      </c>
      <c r="AL126" s="116">
        <f t="shared" si="198"/>
        <v>0</v>
      </c>
      <c r="AM126" s="117">
        <f t="shared" si="198"/>
        <v>0</v>
      </c>
      <c r="AN126" s="119">
        <f t="shared" si="198"/>
        <v>0</v>
      </c>
      <c r="AO126" s="194">
        <f t="shared" ref="AO126:BZ126" si="199">+AO19+AO55+AO91</f>
        <v>0</v>
      </c>
      <c r="AP126" s="117">
        <f t="shared" si="199"/>
        <v>0</v>
      </c>
      <c r="AQ126" s="118">
        <f t="shared" si="199"/>
        <v>0</v>
      </c>
      <c r="AR126" s="116">
        <f t="shared" si="199"/>
        <v>0</v>
      </c>
      <c r="AS126" s="117">
        <f t="shared" si="199"/>
        <v>0</v>
      </c>
      <c r="AT126" s="119">
        <f t="shared" si="199"/>
        <v>0</v>
      </c>
      <c r="AU126" s="194">
        <f t="shared" si="199"/>
        <v>0</v>
      </c>
      <c r="AV126" s="117">
        <f t="shared" si="199"/>
        <v>0</v>
      </c>
      <c r="AW126" s="118">
        <f t="shared" si="199"/>
        <v>0</v>
      </c>
      <c r="AX126" s="116">
        <f t="shared" si="199"/>
        <v>0</v>
      </c>
      <c r="AY126" s="117">
        <f t="shared" si="199"/>
        <v>0</v>
      </c>
      <c r="AZ126" s="119">
        <f t="shared" si="199"/>
        <v>0</v>
      </c>
      <c r="BA126" s="194">
        <f t="shared" si="199"/>
        <v>0</v>
      </c>
      <c r="BB126" s="117">
        <f t="shared" si="199"/>
        <v>0</v>
      </c>
      <c r="BC126" s="118">
        <f t="shared" si="199"/>
        <v>0</v>
      </c>
      <c r="BD126" s="116">
        <f t="shared" si="199"/>
        <v>0</v>
      </c>
      <c r="BE126" s="117">
        <f t="shared" si="199"/>
        <v>0</v>
      </c>
      <c r="BF126" s="119">
        <f t="shared" si="199"/>
        <v>0</v>
      </c>
      <c r="BG126" s="194">
        <f t="shared" si="199"/>
        <v>0</v>
      </c>
      <c r="BH126" s="117">
        <f t="shared" si="199"/>
        <v>0</v>
      </c>
      <c r="BI126" s="118">
        <f t="shared" si="199"/>
        <v>0</v>
      </c>
      <c r="BJ126" s="116">
        <f t="shared" si="199"/>
        <v>0</v>
      </c>
      <c r="BK126" s="117">
        <f t="shared" si="199"/>
        <v>0</v>
      </c>
      <c r="BL126" s="119">
        <f t="shared" si="199"/>
        <v>0</v>
      </c>
      <c r="BM126" s="194">
        <f t="shared" si="199"/>
        <v>0</v>
      </c>
      <c r="BN126" s="117">
        <f t="shared" si="199"/>
        <v>0</v>
      </c>
      <c r="BO126" s="118">
        <f t="shared" si="199"/>
        <v>0</v>
      </c>
      <c r="BP126" s="116">
        <f t="shared" si="199"/>
        <v>0</v>
      </c>
      <c r="BQ126" s="117">
        <f t="shared" si="199"/>
        <v>0</v>
      </c>
      <c r="BR126" s="119">
        <f t="shared" si="199"/>
        <v>0</v>
      </c>
      <c r="BS126" s="194">
        <f t="shared" si="199"/>
        <v>0</v>
      </c>
      <c r="BT126" s="117">
        <f t="shared" si="199"/>
        <v>0</v>
      </c>
      <c r="BU126" s="118">
        <f t="shared" si="199"/>
        <v>0</v>
      </c>
      <c r="BV126" s="116">
        <f t="shared" si="199"/>
        <v>0</v>
      </c>
      <c r="BW126" s="117">
        <f t="shared" si="199"/>
        <v>0</v>
      </c>
      <c r="BX126" s="119">
        <f t="shared" si="199"/>
        <v>0</v>
      </c>
      <c r="BY126" s="194">
        <f t="shared" si="199"/>
        <v>0</v>
      </c>
      <c r="BZ126" s="117">
        <f t="shared" si="199"/>
        <v>0</v>
      </c>
      <c r="CA126" s="118">
        <f t="shared" ref="CA126:EL126" si="200">+CA19+CA55+CA91</f>
        <v>0</v>
      </c>
      <c r="CB126" s="116">
        <f t="shared" si="200"/>
        <v>0</v>
      </c>
      <c r="CC126" s="117">
        <f t="shared" si="200"/>
        <v>0</v>
      </c>
      <c r="CD126" s="119">
        <f t="shared" si="200"/>
        <v>0</v>
      </c>
      <c r="CE126" s="194">
        <f t="shared" si="200"/>
        <v>0</v>
      </c>
      <c r="CF126" s="117">
        <f t="shared" si="200"/>
        <v>0</v>
      </c>
      <c r="CG126" s="118">
        <f t="shared" si="200"/>
        <v>0</v>
      </c>
      <c r="CH126" s="116">
        <f t="shared" si="200"/>
        <v>0</v>
      </c>
      <c r="CI126" s="117">
        <f t="shared" si="200"/>
        <v>0</v>
      </c>
      <c r="CJ126" s="118">
        <f t="shared" si="200"/>
        <v>0</v>
      </c>
      <c r="CK126" s="239">
        <f t="shared" si="200"/>
        <v>0</v>
      </c>
      <c r="CL126" s="43">
        <f t="shared" si="200"/>
        <v>0</v>
      </c>
      <c r="CM126" s="283">
        <f t="shared" si="200"/>
        <v>0</v>
      </c>
      <c r="CN126" s="239">
        <f t="shared" si="200"/>
        <v>0</v>
      </c>
      <c r="CO126" s="43">
        <f t="shared" si="200"/>
        <v>0</v>
      </c>
      <c r="CP126" s="57">
        <f t="shared" si="200"/>
        <v>0</v>
      </c>
      <c r="CQ126" s="194">
        <f t="shared" ref="CQ126:CY126" si="201">+CQ19+CQ55+CQ91</f>
        <v>0</v>
      </c>
      <c r="CR126" s="117">
        <f t="shared" si="201"/>
        <v>0</v>
      </c>
      <c r="CS126" s="119">
        <f t="shared" si="201"/>
        <v>0</v>
      </c>
      <c r="CT126" s="194">
        <f t="shared" si="201"/>
        <v>0</v>
      </c>
      <c r="CU126" s="117">
        <f t="shared" si="201"/>
        <v>0</v>
      </c>
      <c r="CV126" s="119">
        <f t="shared" si="201"/>
        <v>0</v>
      </c>
      <c r="CW126" s="194">
        <f t="shared" si="201"/>
        <v>0</v>
      </c>
      <c r="CX126" s="117">
        <f t="shared" si="201"/>
        <v>0</v>
      </c>
      <c r="CY126" s="119">
        <f t="shared" si="201"/>
        <v>0</v>
      </c>
      <c r="CZ126" s="194">
        <f t="shared" si="200"/>
        <v>0</v>
      </c>
      <c r="DA126" s="117">
        <f t="shared" si="200"/>
        <v>0</v>
      </c>
      <c r="DB126" s="119">
        <f t="shared" si="200"/>
        <v>0</v>
      </c>
      <c r="DC126" s="116">
        <f t="shared" si="200"/>
        <v>0</v>
      </c>
      <c r="DD126" s="117">
        <f t="shared" si="200"/>
        <v>0</v>
      </c>
      <c r="DE126" s="119">
        <f t="shared" si="200"/>
        <v>0</v>
      </c>
      <c r="DF126" s="194">
        <f t="shared" si="200"/>
        <v>0</v>
      </c>
      <c r="DG126" s="117">
        <f t="shared" si="200"/>
        <v>0</v>
      </c>
      <c r="DH126" s="118">
        <f t="shared" si="200"/>
        <v>0</v>
      </c>
      <c r="DI126" s="116">
        <f t="shared" si="200"/>
        <v>0</v>
      </c>
      <c r="DJ126" s="117">
        <f t="shared" si="200"/>
        <v>0</v>
      </c>
      <c r="DK126" s="119">
        <f t="shared" si="200"/>
        <v>0</v>
      </c>
      <c r="DL126" s="194">
        <f t="shared" si="200"/>
        <v>0</v>
      </c>
      <c r="DM126" s="117">
        <f t="shared" si="200"/>
        <v>0</v>
      </c>
      <c r="DN126" s="118">
        <f t="shared" si="200"/>
        <v>0</v>
      </c>
      <c r="DO126" s="116">
        <f t="shared" si="200"/>
        <v>0</v>
      </c>
      <c r="DP126" s="117">
        <f t="shared" si="200"/>
        <v>0</v>
      </c>
      <c r="DQ126" s="119">
        <f t="shared" si="200"/>
        <v>0</v>
      </c>
      <c r="DR126" s="194">
        <f t="shared" si="200"/>
        <v>0</v>
      </c>
      <c r="DS126" s="117">
        <f t="shared" si="200"/>
        <v>0</v>
      </c>
      <c r="DT126" s="118">
        <f t="shared" si="200"/>
        <v>0</v>
      </c>
      <c r="DU126" s="116">
        <f t="shared" si="200"/>
        <v>0</v>
      </c>
      <c r="DV126" s="117">
        <f t="shared" si="200"/>
        <v>0</v>
      </c>
      <c r="DW126" s="119">
        <f t="shared" si="200"/>
        <v>0</v>
      </c>
      <c r="DX126" s="194">
        <f t="shared" si="200"/>
        <v>0</v>
      </c>
      <c r="DY126" s="117">
        <f t="shared" si="200"/>
        <v>0</v>
      </c>
      <c r="DZ126" s="118">
        <f t="shared" si="200"/>
        <v>0</v>
      </c>
      <c r="EA126" s="116">
        <f t="shared" si="200"/>
        <v>0</v>
      </c>
      <c r="EB126" s="117">
        <f t="shared" si="200"/>
        <v>0</v>
      </c>
      <c r="EC126" s="119">
        <f t="shared" si="200"/>
        <v>0</v>
      </c>
      <c r="ED126" s="194">
        <f t="shared" si="200"/>
        <v>0</v>
      </c>
      <c r="EE126" s="117">
        <f t="shared" si="200"/>
        <v>0</v>
      </c>
      <c r="EF126" s="118">
        <f t="shared" si="200"/>
        <v>0</v>
      </c>
      <c r="EG126" s="116">
        <f t="shared" si="200"/>
        <v>0</v>
      </c>
      <c r="EH126" s="117">
        <f t="shared" si="200"/>
        <v>0</v>
      </c>
      <c r="EI126" s="119">
        <f t="shared" si="200"/>
        <v>0</v>
      </c>
      <c r="EJ126" s="194">
        <f t="shared" si="200"/>
        <v>0</v>
      </c>
      <c r="EK126" s="117">
        <f t="shared" si="200"/>
        <v>0</v>
      </c>
      <c r="EL126" s="118">
        <f t="shared" si="200"/>
        <v>0</v>
      </c>
      <c r="EM126" s="116">
        <f t="shared" ref="EM126:GX126" si="202">+EM19+EM55+EM91</f>
        <v>0</v>
      </c>
      <c r="EN126" s="117">
        <f t="shared" si="202"/>
        <v>0</v>
      </c>
      <c r="EO126" s="119">
        <f t="shared" si="202"/>
        <v>0</v>
      </c>
      <c r="EP126" s="194">
        <f t="shared" si="202"/>
        <v>0</v>
      </c>
      <c r="EQ126" s="117">
        <f t="shared" si="202"/>
        <v>0</v>
      </c>
      <c r="ER126" s="118">
        <f t="shared" si="202"/>
        <v>0</v>
      </c>
      <c r="ES126" s="116">
        <f t="shared" si="202"/>
        <v>0</v>
      </c>
      <c r="ET126" s="117">
        <f t="shared" si="202"/>
        <v>0</v>
      </c>
      <c r="EU126" s="119">
        <f t="shared" si="202"/>
        <v>0</v>
      </c>
      <c r="EV126" s="194">
        <f t="shared" si="202"/>
        <v>0</v>
      </c>
      <c r="EW126" s="117">
        <f t="shared" si="202"/>
        <v>0</v>
      </c>
      <c r="EX126" s="118">
        <f t="shared" si="202"/>
        <v>0</v>
      </c>
      <c r="EY126" s="116">
        <f t="shared" si="202"/>
        <v>0</v>
      </c>
      <c r="EZ126" s="117">
        <f t="shared" si="202"/>
        <v>0</v>
      </c>
      <c r="FA126" s="119">
        <f t="shared" si="202"/>
        <v>0</v>
      </c>
      <c r="FB126" s="194">
        <f t="shared" si="202"/>
        <v>0</v>
      </c>
      <c r="FC126" s="117">
        <f t="shared" si="202"/>
        <v>0</v>
      </c>
      <c r="FD126" s="118">
        <f t="shared" si="202"/>
        <v>0</v>
      </c>
      <c r="FE126" s="116">
        <f t="shared" si="202"/>
        <v>0</v>
      </c>
      <c r="FF126" s="117">
        <f t="shared" si="202"/>
        <v>0</v>
      </c>
      <c r="FG126" s="119">
        <f t="shared" si="202"/>
        <v>0</v>
      </c>
      <c r="FH126" s="194">
        <f t="shared" si="202"/>
        <v>0</v>
      </c>
      <c r="FI126" s="117">
        <f t="shared" si="202"/>
        <v>0</v>
      </c>
      <c r="FJ126" s="118">
        <f t="shared" si="202"/>
        <v>0</v>
      </c>
      <c r="FK126" s="116">
        <f t="shared" si="202"/>
        <v>0</v>
      </c>
      <c r="FL126" s="117">
        <f t="shared" si="202"/>
        <v>0</v>
      </c>
      <c r="FM126" s="119">
        <f t="shared" si="202"/>
        <v>0</v>
      </c>
      <c r="FN126" s="194">
        <f t="shared" si="202"/>
        <v>0</v>
      </c>
      <c r="FO126" s="117">
        <f t="shared" si="202"/>
        <v>0</v>
      </c>
      <c r="FP126" s="118">
        <f t="shared" si="202"/>
        <v>0</v>
      </c>
      <c r="FQ126" s="116">
        <f t="shared" si="202"/>
        <v>0</v>
      </c>
      <c r="FR126" s="117">
        <f t="shared" si="202"/>
        <v>0</v>
      </c>
      <c r="FS126" s="119">
        <f t="shared" si="202"/>
        <v>0</v>
      </c>
      <c r="FT126" s="194">
        <f t="shared" si="202"/>
        <v>0</v>
      </c>
      <c r="FU126" s="117">
        <f t="shared" si="202"/>
        <v>0</v>
      </c>
      <c r="FV126" s="118">
        <f t="shared" si="202"/>
        <v>0</v>
      </c>
      <c r="FW126" s="116">
        <f t="shared" si="202"/>
        <v>0</v>
      </c>
      <c r="FX126" s="117">
        <f t="shared" si="202"/>
        <v>0</v>
      </c>
      <c r="FY126" s="119">
        <f t="shared" si="202"/>
        <v>0</v>
      </c>
      <c r="FZ126" s="194">
        <f t="shared" si="202"/>
        <v>0</v>
      </c>
      <c r="GA126" s="117">
        <f t="shared" si="202"/>
        <v>0</v>
      </c>
      <c r="GB126" s="118">
        <f t="shared" si="202"/>
        <v>0</v>
      </c>
      <c r="GC126" s="116">
        <f t="shared" si="202"/>
        <v>0</v>
      </c>
      <c r="GD126" s="117">
        <f t="shared" si="202"/>
        <v>0</v>
      </c>
      <c r="GE126" s="119">
        <f t="shared" si="202"/>
        <v>0</v>
      </c>
      <c r="GF126" s="194">
        <f t="shared" si="202"/>
        <v>0</v>
      </c>
      <c r="GG126" s="117">
        <f t="shared" si="202"/>
        <v>0</v>
      </c>
      <c r="GH126" s="118">
        <f t="shared" si="202"/>
        <v>0</v>
      </c>
      <c r="GI126" s="116">
        <f t="shared" si="202"/>
        <v>0</v>
      </c>
      <c r="GJ126" s="117">
        <f t="shared" si="202"/>
        <v>0</v>
      </c>
      <c r="GK126" s="118">
        <f t="shared" si="202"/>
        <v>0</v>
      </c>
      <c r="GL126" s="239">
        <f t="shared" si="202"/>
        <v>0</v>
      </c>
      <c r="GM126" s="43">
        <f t="shared" si="202"/>
        <v>0</v>
      </c>
      <c r="GN126" s="283">
        <f t="shared" si="202"/>
        <v>0</v>
      </c>
      <c r="GO126" s="239">
        <f t="shared" si="202"/>
        <v>0</v>
      </c>
      <c r="GP126" s="43">
        <f t="shared" si="202"/>
        <v>0</v>
      </c>
      <c r="GQ126" s="57">
        <f t="shared" si="202"/>
        <v>0</v>
      </c>
      <c r="GR126" s="194">
        <f t="shared" si="202"/>
        <v>0</v>
      </c>
      <c r="GS126" s="117">
        <f t="shared" si="202"/>
        <v>0</v>
      </c>
      <c r="GT126" s="119">
        <f t="shared" si="202"/>
        <v>0</v>
      </c>
      <c r="GU126" s="194">
        <f t="shared" si="202"/>
        <v>0</v>
      </c>
      <c r="GV126" s="117">
        <f t="shared" si="202"/>
        <v>0</v>
      </c>
      <c r="GW126" s="119">
        <f t="shared" si="202"/>
        <v>0</v>
      </c>
      <c r="GX126" s="194">
        <f t="shared" si="202"/>
        <v>0</v>
      </c>
      <c r="GY126" s="117">
        <f t="shared" ref="GY126:HC126" si="203">+GY19+GY55+GY91</f>
        <v>0</v>
      </c>
      <c r="GZ126" s="119">
        <f t="shared" si="203"/>
        <v>0</v>
      </c>
      <c r="HA126" s="194">
        <f t="shared" si="203"/>
        <v>0</v>
      </c>
      <c r="HB126" s="117">
        <f t="shared" si="203"/>
        <v>0</v>
      </c>
      <c r="HC126" s="119">
        <f t="shared" si="203"/>
        <v>0</v>
      </c>
      <c r="HD126" s="368">
        <f t="shared" si="139"/>
        <v>0</v>
      </c>
      <c r="HE126" s="369">
        <f t="shared" si="140"/>
        <v>0</v>
      </c>
      <c r="HF126" s="369">
        <f t="shared" si="141"/>
        <v>0</v>
      </c>
      <c r="HG126" s="145">
        <f t="shared" si="132"/>
        <v>0</v>
      </c>
    </row>
    <row r="127" spans="1:215" ht="15.75" thickBot="1">
      <c r="A127" s="353">
        <v>13</v>
      </c>
      <c r="B127" s="116">
        <f t="shared" ref="B127:AN127" si="204">+B20+B56+B92</f>
        <v>0</v>
      </c>
      <c r="C127" s="117">
        <f t="shared" si="204"/>
        <v>0</v>
      </c>
      <c r="D127" s="119">
        <f t="shared" si="204"/>
        <v>0</v>
      </c>
      <c r="E127" s="194">
        <f t="shared" si="204"/>
        <v>0</v>
      </c>
      <c r="F127" s="117">
        <f t="shared" si="204"/>
        <v>0</v>
      </c>
      <c r="G127" s="118">
        <f t="shared" si="204"/>
        <v>0</v>
      </c>
      <c r="H127" s="116">
        <f t="shared" si="204"/>
        <v>0</v>
      </c>
      <c r="I127" s="117">
        <f t="shared" si="204"/>
        <v>0</v>
      </c>
      <c r="J127" s="119">
        <f t="shared" si="204"/>
        <v>0</v>
      </c>
      <c r="K127" s="194">
        <f t="shared" si="204"/>
        <v>0</v>
      </c>
      <c r="L127" s="117">
        <f t="shared" si="204"/>
        <v>0</v>
      </c>
      <c r="M127" s="118">
        <f t="shared" si="204"/>
        <v>0</v>
      </c>
      <c r="N127" s="116">
        <f t="shared" si="204"/>
        <v>0</v>
      </c>
      <c r="O127" s="117">
        <f t="shared" si="204"/>
        <v>0</v>
      </c>
      <c r="P127" s="119">
        <f t="shared" si="204"/>
        <v>0</v>
      </c>
      <c r="Q127" s="194">
        <f t="shared" si="204"/>
        <v>0</v>
      </c>
      <c r="R127" s="117">
        <f t="shared" si="204"/>
        <v>0</v>
      </c>
      <c r="S127" s="118">
        <f t="shared" si="204"/>
        <v>0</v>
      </c>
      <c r="T127" s="116">
        <f t="shared" si="204"/>
        <v>0</v>
      </c>
      <c r="U127" s="117">
        <f t="shared" si="204"/>
        <v>0</v>
      </c>
      <c r="V127" s="119">
        <f t="shared" si="204"/>
        <v>0</v>
      </c>
      <c r="W127" s="194">
        <f t="shared" si="204"/>
        <v>0</v>
      </c>
      <c r="X127" s="117">
        <f t="shared" si="204"/>
        <v>0</v>
      </c>
      <c r="Y127" s="118">
        <f t="shared" si="204"/>
        <v>0</v>
      </c>
      <c r="Z127" s="116">
        <f t="shared" si="204"/>
        <v>0</v>
      </c>
      <c r="AA127" s="117">
        <f t="shared" si="204"/>
        <v>0</v>
      </c>
      <c r="AB127" s="119">
        <f t="shared" si="204"/>
        <v>0</v>
      </c>
      <c r="AC127" s="194">
        <f t="shared" si="204"/>
        <v>0</v>
      </c>
      <c r="AD127" s="117">
        <f t="shared" si="204"/>
        <v>0</v>
      </c>
      <c r="AE127" s="118">
        <f t="shared" si="204"/>
        <v>0</v>
      </c>
      <c r="AF127" s="116">
        <f t="shared" si="204"/>
        <v>0</v>
      </c>
      <c r="AG127" s="117">
        <f t="shared" si="204"/>
        <v>0</v>
      </c>
      <c r="AH127" s="119">
        <f t="shared" si="204"/>
        <v>0</v>
      </c>
      <c r="AI127" s="194">
        <f t="shared" si="204"/>
        <v>0</v>
      </c>
      <c r="AJ127" s="117">
        <f t="shared" si="204"/>
        <v>0</v>
      </c>
      <c r="AK127" s="118">
        <f t="shared" si="204"/>
        <v>0</v>
      </c>
      <c r="AL127" s="116">
        <f t="shared" si="204"/>
        <v>0</v>
      </c>
      <c r="AM127" s="117">
        <f t="shared" si="204"/>
        <v>0</v>
      </c>
      <c r="AN127" s="119">
        <f t="shared" si="204"/>
        <v>0</v>
      </c>
      <c r="AO127" s="194">
        <f t="shared" ref="AO127:BZ127" si="205">+AO20+AO56+AO92</f>
        <v>0</v>
      </c>
      <c r="AP127" s="117">
        <f t="shared" si="205"/>
        <v>0</v>
      </c>
      <c r="AQ127" s="118">
        <f t="shared" si="205"/>
        <v>0</v>
      </c>
      <c r="AR127" s="116">
        <f t="shared" si="205"/>
        <v>0</v>
      </c>
      <c r="AS127" s="117">
        <f t="shared" si="205"/>
        <v>0</v>
      </c>
      <c r="AT127" s="119">
        <f t="shared" si="205"/>
        <v>0</v>
      </c>
      <c r="AU127" s="194">
        <f t="shared" si="205"/>
        <v>0</v>
      </c>
      <c r="AV127" s="117">
        <f t="shared" si="205"/>
        <v>0</v>
      </c>
      <c r="AW127" s="118">
        <f t="shared" si="205"/>
        <v>0</v>
      </c>
      <c r="AX127" s="116">
        <f t="shared" si="205"/>
        <v>0</v>
      </c>
      <c r="AY127" s="117">
        <f t="shared" si="205"/>
        <v>0</v>
      </c>
      <c r="AZ127" s="119">
        <f t="shared" si="205"/>
        <v>0</v>
      </c>
      <c r="BA127" s="194">
        <f t="shared" si="205"/>
        <v>0</v>
      </c>
      <c r="BB127" s="117">
        <f t="shared" si="205"/>
        <v>0</v>
      </c>
      <c r="BC127" s="118">
        <f t="shared" si="205"/>
        <v>0</v>
      </c>
      <c r="BD127" s="116">
        <f t="shared" si="205"/>
        <v>0</v>
      </c>
      <c r="BE127" s="117">
        <f t="shared" si="205"/>
        <v>0</v>
      </c>
      <c r="BF127" s="119">
        <f t="shared" si="205"/>
        <v>0</v>
      </c>
      <c r="BG127" s="194">
        <f t="shared" si="205"/>
        <v>0</v>
      </c>
      <c r="BH127" s="117">
        <f t="shared" si="205"/>
        <v>0</v>
      </c>
      <c r="BI127" s="118">
        <f t="shared" si="205"/>
        <v>0</v>
      </c>
      <c r="BJ127" s="116">
        <f t="shared" si="205"/>
        <v>0</v>
      </c>
      <c r="BK127" s="117">
        <f t="shared" si="205"/>
        <v>0</v>
      </c>
      <c r="BL127" s="119">
        <f t="shared" si="205"/>
        <v>0</v>
      </c>
      <c r="BM127" s="194">
        <f t="shared" si="205"/>
        <v>0</v>
      </c>
      <c r="BN127" s="117">
        <f t="shared" si="205"/>
        <v>0</v>
      </c>
      <c r="BO127" s="118">
        <f t="shared" si="205"/>
        <v>0</v>
      </c>
      <c r="BP127" s="116">
        <f t="shared" si="205"/>
        <v>0</v>
      </c>
      <c r="BQ127" s="117">
        <f t="shared" si="205"/>
        <v>0</v>
      </c>
      <c r="BR127" s="119">
        <f t="shared" si="205"/>
        <v>0</v>
      </c>
      <c r="BS127" s="194">
        <f t="shared" si="205"/>
        <v>0</v>
      </c>
      <c r="BT127" s="117">
        <f t="shared" si="205"/>
        <v>0</v>
      </c>
      <c r="BU127" s="118">
        <f t="shared" si="205"/>
        <v>0</v>
      </c>
      <c r="BV127" s="116">
        <f t="shared" si="205"/>
        <v>0</v>
      </c>
      <c r="BW127" s="117">
        <f t="shared" si="205"/>
        <v>0</v>
      </c>
      <c r="BX127" s="119">
        <f t="shared" si="205"/>
        <v>0</v>
      </c>
      <c r="BY127" s="194">
        <f t="shared" si="205"/>
        <v>0</v>
      </c>
      <c r="BZ127" s="117">
        <f t="shared" si="205"/>
        <v>0</v>
      </c>
      <c r="CA127" s="118">
        <f t="shared" ref="CA127:EL127" si="206">+CA20+CA56+CA92</f>
        <v>0</v>
      </c>
      <c r="CB127" s="116">
        <f t="shared" si="206"/>
        <v>0</v>
      </c>
      <c r="CC127" s="117">
        <f t="shared" si="206"/>
        <v>0</v>
      </c>
      <c r="CD127" s="119">
        <f t="shared" si="206"/>
        <v>0</v>
      </c>
      <c r="CE127" s="194">
        <f t="shared" si="206"/>
        <v>0</v>
      </c>
      <c r="CF127" s="117">
        <f t="shared" si="206"/>
        <v>0</v>
      </c>
      <c r="CG127" s="118">
        <f t="shared" si="206"/>
        <v>0</v>
      </c>
      <c r="CH127" s="116">
        <f t="shared" si="206"/>
        <v>0</v>
      </c>
      <c r="CI127" s="117">
        <f t="shared" si="206"/>
        <v>0</v>
      </c>
      <c r="CJ127" s="118">
        <f t="shared" si="206"/>
        <v>0</v>
      </c>
      <c r="CK127" s="239">
        <f t="shared" si="206"/>
        <v>0</v>
      </c>
      <c r="CL127" s="43">
        <f t="shared" si="206"/>
        <v>0</v>
      </c>
      <c r="CM127" s="283">
        <f t="shared" si="206"/>
        <v>0</v>
      </c>
      <c r="CN127" s="239">
        <f t="shared" si="206"/>
        <v>0</v>
      </c>
      <c r="CO127" s="43">
        <f t="shared" si="206"/>
        <v>0</v>
      </c>
      <c r="CP127" s="57">
        <f t="shared" si="206"/>
        <v>0</v>
      </c>
      <c r="CQ127" s="194">
        <f t="shared" ref="CQ127:CY127" si="207">+CQ20+CQ56+CQ92</f>
        <v>0</v>
      </c>
      <c r="CR127" s="117">
        <f t="shared" si="207"/>
        <v>0</v>
      </c>
      <c r="CS127" s="119">
        <f t="shared" si="207"/>
        <v>0</v>
      </c>
      <c r="CT127" s="194">
        <f t="shared" si="207"/>
        <v>0</v>
      </c>
      <c r="CU127" s="117">
        <f t="shared" si="207"/>
        <v>0</v>
      </c>
      <c r="CV127" s="119">
        <f t="shared" si="207"/>
        <v>0</v>
      </c>
      <c r="CW127" s="194">
        <f t="shared" si="207"/>
        <v>0</v>
      </c>
      <c r="CX127" s="117">
        <f t="shared" si="207"/>
        <v>0</v>
      </c>
      <c r="CY127" s="119">
        <f t="shared" si="207"/>
        <v>0</v>
      </c>
      <c r="CZ127" s="194">
        <f t="shared" si="206"/>
        <v>0</v>
      </c>
      <c r="DA127" s="117">
        <f t="shared" si="206"/>
        <v>0</v>
      </c>
      <c r="DB127" s="119">
        <f t="shared" si="206"/>
        <v>0</v>
      </c>
      <c r="DC127" s="116">
        <f t="shared" si="206"/>
        <v>0</v>
      </c>
      <c r="DD127" s="117">
        <f t="shared" si="206"/>
        <v>0</v>
      </c>
      <c r="DE127" s="119">
        <f t="shared" si="206"/>
        <v>0</v>
      </c>
      <c r="DF127" s="194">
        <f t="shared" si="206"/>
        <v>0</v>
      </c>
      <c r="DG127" s="117">
        <f t="shared" si="206"/>
        <v>0</v>
      </c>
      <c r="DH127" s="118">
        <f t="shared" si="206"/>
        <v>0</v>
      </c>
      <c r="DI127" s="116">
        <f t="shared" si="206"/>
        <v>0</v>
      </c>
      <c r="DJ127" s="117">
        <f t="shared" si="206"/>
        <v>0</v>
      </c>
      <c r="DK127" s="119">
        <f t="shared" si="206"/>
        <v>0</v>
      </c>
      <c r="DL127" s="194">
        <f t="shared" si="206"/>
        <v>0</v>
      </c>
      <c r="DM127" s="117">
        <f t="shared" si="206"/>
        <v>0</v>
      </c>
      <c r="DN127" s="118">
        <f t="shared" si="206"/>
        <v>0</v>
      </c>
      <c r="DO127" s="116">
        <f t="shared" si="206"/>
        <v>0</v>
      </c>
      <c r="DP127" s="117">
        <f t="shared" si="206"/>
        <v>0</v>
      </c>
      <c r="DQ127" s="119">
        <f t="shared" si="206"/>
        <v>0</v>
      </c>
      <c r="DR127" s="194">
        <f t="shared" si="206"/>
        <v>0</v>
      </c>
      <c r="DS127" s="117">
        <f t="shared" si="206"/>
        <v>0</v>
      </c>
      <c r="DT127" s="118">
        <f t="shared" si="206"/>
        <v>0</v>
      </c>
      <c r="DU127" s="116">
        <f t="shared" si="206"/>
        <v>0</v>
      </c>
      <c r="DV127" s="117">
        <f t="shared" si="206"/>
        <v>0</v>
      </c>
      <c r="DW127" s="119">
        <f t="shared" si="206"/>
        <v>0</v>
      </c>
      <c r="DX127" s="194">
        <f t="shared" si="206"/>
        <v>0</v>
      </c>
      <c r="DY127" s="117">
        <f t="shared" si="206"/>
        <v>0</v>
      </c>
      <c r="DZ127" s="118">
        <f t="shared" si="206"/>
        <v>0</v>
      </c>
      <c r="EA127" s="116">
        <f t="shared" si="206"/>
        <v>0</v>
      </c>
      <c r="EB127" s="117">
        <f t="shared" si="206"/>
        <v>0</v>
      </c>
      <c r="EC127" s="119">
        <f t="shared" si="206"/>
        <v>0</v>
      </c>
      <c r="ED127" s="194">
        <f t="shared" si="206"/>
        <v>0</v>
      </c>
      <c r="EE127" s="117">
        <f t="shared" si="206"/>
        <v>0</v>
      </c>
      <c r="EF127" s="118">
        <f t="shared" si="206"/>
        <v>0</v>
      </c>
      <c r="EG127" s="116">
        <f t="shared" si="206"/>
        <v>0</v>
      </c>
      <c r="EH127" s="117">
        <f t="shared" si="206"/>
        <v>0</v>
      </c>
      <c r="EI127" s="119">
        <f t="shared" si="206"/>
        <v>0</v>
      </c>
      <c r="EJ127" s="194">
        <f t="shared" si="206"/>
        <v>0</v>
      </c>
      <c r="EK127" s="117">
        <f t="shared" si="206"/>
        <v>0</v>
      </c>
      <c r="EL127" s="118">
        <f t="shared" si="206"/>
        <v>0</v>
      </c>
      <c r="EM127" s="116">
        <f t="shared" ref="EM127:GX127" si="208">+EM20+EM56+EM92</f>
        <v>0</v>
      </c>
      <c r="EN127" s="117">
        <f t="shared" si="208"/>
        <v>0</v>
      </c>
      <c r="EO127" s="119">
        <f t="shared" si="208"/>
        <v>0</v>
      </c>
      <c r="EP127" s="194">
        <f t="shared" si="208"/>
        <v>0</v>
      </c>
      <c r="EQ127" s="117">
        <f t="shared" si="208"/>
        <v>0</v>
      </c>
      <c r="ER127" s="118">
        <f t="shared" si="208"/>
        <v>0</v>
      </c>
      <c r="ES127" s="116">
        <f t="shared" si="208"/>
        <v>0</v>
      </c>
      <c r="ET127" s="117">
        <f t="shared" si="208"/>
        <v>0</v>
      </c>
      <c r="EU127" s="119">
        <f t="shared" si="208"/>
        <v>0</v>
      </c>
      <c r="EV127" s="194">
        <f t="shared" si="208"/>
        <v>0</v>
      </c>
      <c r="EW127" s="117">
        <f t="shared" si="208"/>
        <v>0</v>
      </c>
      <c r="EX127" s="118">
        <f t="shared" si="208"/>
        <v>0</v>
      </c>
      <c r="EY127" s="116">
        <f t="shared" si="208"/>
        <v>0</v>
      </c>
      <c r="EZ127" s="117">
        <f t="shared" si="208"/>
        <v>0</v>
      </c>
      <c r="FA127" s="119">
        <f t="shared" si="208"/>
        <v>0</v>
      </c>
      <c r="FB127" s="194">
        <f t="shared" si="208"/>
        <v>0</v>
      </c>
      <c r="FC127" s="117">
        <f t="shared" si="208"/>
        <v>0</v>
      </c>
      <c r="FD127" s="118">
        <f t="shared" si="208"/>
        <v>0</v>
      </c>
      <c r="FE127" s="116">
        <f t="shared" si="208"/>
        <v>0</v>
      </c>
      <c r="FF127" s="117">
        <f t="shared" si="208"/>
        <v>0</v>
      </c>
      <c r="FG127" s="119">
        <f t="shared" si="208"/>
        <v>0</v>
      </c>
      <c r="FH127" s="194">
        <f t="shared" si="208"/>
        <v>0</v>
      </c>
      <c r="FI127" s="117">
        <f t="shared" si="208"/>
        <v>0</v>
      </c>
      <c r="FJ127" s="118">
        <f t="shared" si="208"/>
        <v>0</v>
      </c>
      <c r="FK127" s="116">
        <f t="shared" si="208"/>
        <v>0</v>
      </c>
      <c r="FL127" s="117">
        <f t="shared" si="208"/>
        <v>0</v>
      </c>
      <c r="FM127" s="119">
        <f t="shared" si="208"/>
        <v>0</v>
      </c>
      <c r="FN127" s="194">
        <f t="shared" si="208"/>
        <v>0</v>
      </c>
      <c r="FO127" s="117">
        <f t="shared" si="208"/>
        <v>0</v>
      </c>
      <c r="FP127" s="118">
        <f t="shared" si="208"/>
        <v>0</v>
      </c>
      <c r="FQ127" s="116">
        <f t="shared" si="208"/>
        <v>0</v>
      </c>
      <c r="FR127" s="117">
        <f t="shared" si="208"/>
        <v>0</v>
      </c>
      <c r="FS127" s="119">
        <f t="shared" si="208"/>
        <v>0</v>
      </c>
      <c r="FT127" s="194">
        <f t="shared" si="208"/>
        <v>0</v>
      </c>
      <c r="FU127" s="117">
        <f t="shared" si="208"/>
        <v>0</v>
      </c>
      <c r="FV127" s="118">
        <f t="shared" si="208"/>
        <v>0</v>
      </c>
      <c r="FW127" s="116">
        <f t="shared" si="208"/>
        <v>0</v>
      </c>
      <c r="FX127" s="117">
        <f t="shared" si="208"/>
        <v>0</v>
      </c>
      <c r="FY127" s="119">
        <f t="shared" si="208"/>
        <v>0</v>
      </c>
      <c r="FZ127" s="194">
        <f t="shared" si="208"/>
        <v>0</v>
      </c>
      <c r="GA127" s="117">
        <f t="shared" si="208"/>
        <v>0</v>
      </c>
      <c r="GB127" s="118">
        <f t="shared" si="208"/>
        <v>0</v>
      </c>
      <c r="GC127" s="116">
        <f t="shared" si="208"/>
        <v>0</v>
      </c>
      <c r="GD127" s="117">
        <f t="shared" si="208"/>
        <v>0</v>
      </c>
      <c r="GE127" s="119">
        <f t="shared" si="208"/>
        <v>0</v>
      </c>
      <c r="GF127" s="194">
        <f t="shared" si="208"/>
        <v>0</v>
      </c>
      <c r="GG127" s="117">
        <f t="shared" si="208"/>
        <v>0</v>
      </c>
      <c r="GH127" s="118">
        <f t="shared" si="208"/>
        <v>0</v>
      </c>
      <c r="GI127" s="116">
        <f t="shared" si="208"/>
        <v>0</v>
      </c>
      <c r="GJ127" s="117">
        <f t="shared" si="208"/>
        <v>0</v>
      </c>
      <c r="GK127" s="118">
        <f t="shared" si="208"/>
        <v>0</v>
      </c>
      <c r="GL127" s="239">
        <f t="shared" si="208"/>
        <v>0</v>
      </c>
      <c r="GM127" s="43">
        <f t="shared" si="208"/>
        <v>0</v>
      </c>
      <c r="GN127" s="283">
        <f t="shared" si="208"/>
        <v>0</v>
      </c>
      <c r="GO127" s="239">
        <f t="shared" si="208"/>
        <v>0</v>
      </c>
      <c r="GP127" s="43">
        <f t="shared" si="208"/>
        <v>0</v>
      </c>
      <c r="GQ127" s="57">
        <f t="shared" si="208"/>
        <v>0</v>
      </c>
      <c r="GR127" s="194">
        <f t="shared" si="208"/>
        <v>0</v>
      </c>
      <c r="GS127" s="117">
        <f t="shared" si="208"/>
        <v>0</v>
      </c>
      <c r="GT127" s="119">
        <f t="shared" si="208"/>
        <v>0</v>
      </c>
      <c r="GU127" s="194">
        <f t="shared" si="208"/>
        <v>0</v>
      </c>
      <c r="GV127" s="117">
        <f t="shared" si="208"/>
        <v>0</v>
      </c>
      <c r="GW127" s="119">
        <f t="shared" si="208"/>
        <v>0</v>
      </c>
      <c r="GX127" s="194">
        <f t="shared" si="208"/>
        <v>0</v>
      </c>
      <c r="GY127" s="117">
        <f t="shared" ref="GY127:HC127" si="209">+GY20+GY56+GY92</f>
        <v>0</v>
      </c>
      <c r="GZ127" s="119">
        <f t="shared" si="209"/>
        <v>0</v>
      </c>
      <c r="HA127" s="194">
        <f t="shared" si="209"/>
        <v>0</v>
      </c>
      <c r="HB127" s="117">
        <f t="shared" si="209"/>
        <v>0</v>
      </c>
      <c r="HC127" s="119">
        <f t="shared" si="209"/>
        <v>0</v>
      </c>
      <c r="HD127" s="368">
        <f t="shared" si="139"/>
        <v>0</v>
      </c>
      <c r="HE127" s="369">
        <f t="shared" si="140"/>
        <v>0</v>
      </c>
      <c r="HF127" s="369">
        <f t="shared" si="141"/>
        <v>0</v>
      </c>
      <c r="HG127" s="145">
        <f t="shared" si="132"/>
        <v>0</v>
      </c>
    </row>
    <row r="128" spans="1:215" ht="15.75" thickBot="1">
      <c r="A128" s="238">
        <v>14</v>
      </c>
      <c r="B128" s="116">
        <f t="shared" ref="B128:AN128" si="210">+B21+B57+B93</f>
        <v>0</v>
      </c>
      <c r="C128" s="117">
        <f t="shared" si="210"/>
        <v>0</v>
      </c>
      <c r="D128" s="119">
        <f t="shared" si="210"/>
        <v>0</v>
      </c>
      <c r="E128" s="194">
        <f t="shared" si="210"/>
        <v>0</v>
      </c>
      <c r="F128" s="117">
        <f t="shared" si="210"/>
        <v>0</v>
      </c>
      <c r="G128" s="118">
        <f t="shared" si="210"/>
        <v>0</v>
      </c>
      <c r="H128" s="116">
        <f t="shared" si="210"/>
        <v>0</v>
      </c>
      <c r="I128" s="117">
        <f t="shared" si="210"/>
        <v>0</v>
      </c>
      <c r="J128" s="119">
        <f t="shared" si="210"/>
        <v>0</v>
      </c>
      <c r="K128" s="194">
        <f t="shared" si="210"/>
        <v>0</v>
      </c>
      <c r="L128" s="117">
        <f t="shared" si="210"/>
        <v>0</v>
      </c>
      <c r="M128" s="118">
        <f t="shared" si="210"/>
        <v>0</v>
      </c>
      <c r="N128" s="116">
        <f t="shared" si="210"/>
        <v>0</v>
      </c>
      <c r="O128" s="117">
        <f t="shared" si="210"/>
        <v>0</v>
      </c>
      <c r="P128" s="119">
        <f t="shared" si="210"/>
        <v>0</v>
      </c>
      <c r="Q128" s="194">
        <f t="shared" si="210"/>
        <v>0</v>
      </c>
      <c r="R128" s="117">
        <f t="shared" si="210"/>
        <v>0</v>
      </c>
      <c r="S128" s="118">
        <f t="shared" si="210"/>
        <v>0</v>
      </c>
      <c r="T128" s="116">
        <f t="shared" si="210"/>
        <v>0</v>
      </c>
      <c r="U128" s="117">
        <f t="shared" si="210"/>
        <v>0</v>
      </c>
      <c r="V128" s="119">
        <f t="shared" si="210"/>
        <v>0</v>
      </c>
      <c r="W128" s="194">
        <f t="shared" si="210"/>
        <v>0</v>
      </c>
      <c r="X128" s="117">
        <f t="shared" si="210"/>
        <v>0</v>
      </c>
      <c r="Y128" s="118">
        <f t="shared" si="210"/>
        <v>0</v>
      </c>
      <c r="Z128" s="116">
        <f t="shared" si="210"/>
        <v>0</v>
      </c>
      <c r="AA128" s="117">
        <f t="shared" si="210"/>
        <v>0</v>
      </c>
      <c r="AB128" s="119">
        <f t="shared" si="210"/>
        <v>0</v>
      </c>
      <c r="AC128" s="194">
        <f t="shared" si="210"/>
        <v>0</v>
      </c>
      <c r="AD128" s="117">
        <f t="shared" si="210"/>
        <v>0</v>
      </c>
      <c r="AE128" s="118">
        <f t="shared" si="210"/>
        <v>0</v>
      </c>
      <c r="AF128" s="116">
        <f t="shared" si="210"/>
        <v>0</v>
      </c>
      <c r="AG128" s="117">
        <f t="shared" si="210"/>
        <v>0</v>
      </c>
      <c r="AH128" s="119">
        <f t="shared" si="210"/>
        <v>0</v>
      </c>
      <c r="AI128" s="194">
        <f t="shared" si="210"/>
        <v>0</v>
      </c>
      <c r="AJ128" s="117">
        <f t="shared" si="210"/>
        <v>0</v>
      </c>
      <c r="AK128" s="118">
        <f t="shared" si="210"/>
        <v>0</v>
      </c>
      <c r="AL128" s="116">
        <f t="shared" si="210"/>
        <v>0</v>
      </c>
      <c r="AM128" s="117">
        <f t="shared" si="210"/>
        <v>0</v>
      </c>
      <c r="AN128" s="119">
        <f t="shared" si="210"/>
        <v>0</v>
      </c>
      <c r="AO128" s="194">
        <f t="shared" ref="AO128:BZ128" si="211">+AO21+AO57+AO93</f>
        <v>0</v>
      </c>
      <c r="AP128" s="117">
        <f t="shared" si="211"/>
        <v>0</v>
      </c>
      <c r="AQ128" s="118">
        <f t="shared" si="211"/>
        <v>0</v>
      </c>
      <c r="AR128" s="116">
        <f t="shared" si="211"/>
        <v>0</v>
      </c>
      <c r="AS128" s="117">
        <f t="shared" si="211"/>
        <v>0</v>
      </c>
      <c r="AT128" s="119">
        <f t="shared" si="211"/>
        <v>0</v>
      </c>
      <c r="AU128" s="194">
        <f t="shared" si="211"/>
        <v>0</v>
      </c>
      <c r="AV128" s="117">
        <f t="shared" si="211"/>
        <v>0</v>
      </c>
      <c r="AW128" s="118">
        <f t="shared" si="211"/>
        <v>0</v>
      </c>
      <c r="AX128" s="116">
        <f t="shared" si="211"/>
        <v>0</v>
      </c>
      <c r="AY128" s="117">
        <f t="shared" si="211"/>
        <v>0</v>
      </c>
      <c r="AZ128" s="119">
        <f t="shared" si="211"/>
        <v>0</v>
      </c>
      <c r="BA128" s="194">
        <f t="shared" si="211"/>
        <v>0</v>
      </c>
      <c r="BB128" s="117">
        <f t="shared" si="211"/>
        <v>0</v>
      </c>
      <c r="BC128" s="118">
        <f t="shared" si="211"/>
        <v>0</v>
      </c>
      <c r="BD128" s="116">
        <f t="shared" si="211"/>
        <v>0</v>
      </c>
      <c r="BE128" s="117">
        <f t="shared" si="211"/>
        <v>0</v>
      </c>
      <c r="BF128" s="119">
        <f t="shared" si="211"/>
        <v>0</v>
      </c>
      <c r="BG128" s="194">
        <f t="shared" si="211"/>
        <v>0</v>
      </c>
      <c r="BH128" s="117">
        <f t="shared" si="211"/>
        <v>0</v>
      </c>
      <c r="BI128" s="118">
        <f t="shared" si="211"/>
        <v>0</v>
      </c>
      <c r="BJ128" s="116">
        <f t="shared" si="211"/>
        <v>0</v>
      </c>
      <c r="BK128" s="117">
        <f t="shared" si="211"/>
        <v>0</v>
      </c>
      <c r="BL128" s="119">
        <f t="shared" si="211"/>
        <v>0</v>
      </c>
      <c r="BM128" s="194">
        <f t="shared" si="211"/>
        <v>0</v>
      </c>
      <c r="BN128" s="117">
        <f t="shared" si="211"/>
        <v>0</v>
      </c>
      <c r="BO128" s="118">
        <f t="shared" si="211"/>
        <v>0</v>
      </c>
      <c r="BP128" s="116">
        <f t="shared" si="211"/>
        <v>0</v>
      </c>
      <c r="BQ128" s="117">
        <f t="shared" si="211"/>
        <v>0</v>
      </c>
      <c r="BR128" s="119">
        <f t="shared" si="211"/>
        <v>0</v>
      </c>
      <c r="BS128" s="194">
        <f t="shared" si="211"/>
        <v>0</v>
      </c>
      <c r="BT128" s="117">
        <f t="shared" si="211"/>
        <v>0</v>
      </c>
      <c r="BU128" s="118">
        <f t="shared" si="211"/>
        <v>0</v>
      </c>
      <c r="BV128" s="116">
        <f t="shared" si="211"/>
        <v>0</v>
      </c>
      <c r="BW128" s="117">
        <f t="shared" si="211"/>
        <v>0</v>
      </c>
      <c r="BX128" s="119">
        <f t="shared" si="211"/>
        <v>0</v>
      </c>
      <c r="BY128" s="194">
        <f t="shared" si="211"/>
        <v>0</v>
      </c>
      <c r="BZ128" s="117">
        <f t="shared" si="211"/>
        <v>0</v>
      </c>
      <c r="CA128" s="118">
        <f t="shared" ref="CA128:EL128" si="212">+CA21+CA57+CA93</f>
        <v>0</v>
      </c>
      <c r="CB128" s="116">
        <f t="shared" si="212"/>
        <v>0</v>
      </c>
      <c r="CC128" s="117">
        <f t="shared" si="212"/>
        <v>0</v>
      </c>
      <c r="CD128" s="119">
        <f t="shared" si="212"/>
        <v>0</v>
      </c>
      <c r="CE128" s="194">
        <f t="shared" si="212"/>
        <v>0</v>
      </c>
      <c r="CF128" s="117">
        <f t="shared" si="212"/>
        <v>0</v>
      </c>
      <c r="CG128" s="118">
        <f t="shared" si="212"/>
        <v>0</v>
      </c>
      <c r="CH128" s="116">
        <f t="shared" si="212"/>
        <v>0</v>
      </c>
      <c r="CI128" s="117">
        <f t="shared" si="212"/>
        <v>0</v>
      </c>
      <c r="CJ128" s="118">
        <f t="shared" si="212"/>
        <v>0</v>
      </c>
      <c r="CK128" s="239">
        <f t="shared" si="212"/>
        <v>0</v>
      </c>
      <c r="CL128" s="43">
        <f t="shared" si="212"/>
        <v>0</v>
      </c>
      <c r="CM128" s="283">
        <f t="shared" si="212"/>
        <v>0</v>
      </c>
      <c r="CN128" s="239">
        <f t="shared" si="212"/>
        <v>0</v>
      </c>
      <c r="CO128" s="43">
        <f t="shared" si="212"/>
        <v>0</v>
      </c>
      <c r="CP128" s="57">
        <f t="shared" si="212"/>
        <v>0</v>
      </c>
      <c r="CQ128" s="194">
        <f t="shared" ref="CQ128:CY128" si="213">+CQ21+CQ57+CQ93</f>
        <v>0</v>
      </c>
      <c r="CR128" s="117">
        <f t="shared" si="213"/>
        <v>0</v>
      </c>
      <c r="CS128" s="119">
        <f t="shared" si="213"/>
        <v>0</v>
      </c>
      <c r="CT128" s="194">
        <f t="shared" si="213"/>
        <v>0</v>
      </c>
      <c r="CU128" s="117">
        <f t="shared" si="213"/>
        <v>0</v>
      </c>
      <c r="CV128" s="119">
        <f t="shared" si="213"/>
        <v>0</v>
      </c>
      <c r="CW128" s="194">
        <f t="shared" si="213"/>
        <v>0</v>
      </c>
      <c r="CX128" s="117">
        <f t="shared" si="213"/>
        <v>0</v>
      </c>
      <c r="CY128" s="119">
        <f t="shared" si="213"/>
        <v>0</v>
      </c>
      <c r="CZ128" s="194">
        <f t="shared" si="212"/>
        <v>0</v>
      </c>
      <c r="DA128" s="117">
        <f t="shared" si="212"/>
        <v>0</v>
      </c>
      <c r="DB128" s="119">
        <f t="shared" si="212"/>
        <v>0</v>
      </c>
      <c r="DC128" s="116">
        <f t="shared" si="212"/>
        <v>0</v>
      </c>
      <c r="DD128" s="117">
        <f t="shared" si="212"/>
        <v>0</v>
      </c>
      <c r="DE128" s="119">
        <f t="shared" si="212"/>
        <v>0</v>
      </c>
      <c r="DF128" s="194">
        <f t="shared" si="212"/>
        <v>0</v>
      </c>
      <c r="DG128" s="117">
        <f t="shared" si="212"/>
        <v>0</v>
      </c>
      <c r="DH128" s="118">
        <f t="shared" si="212"/>
        <v>0</v>
      </c>
      <c r="DI128" s="116">
        <f t="shared" si="212"/>
        <v>0</v>
      </c>
      <c r="DJ128" s="117">
        <f t="shared" si="212"/>
        <v>0</v>
      </c>
      <c r="DK128" s="119">
        <f t="shared" si="212"/>
        <v>0</v>
      </c>
      <c r="DL128" s="194">
        <f t="shared" si="212"/>
        <v>0</v>
      </c>
      <c r="DM128" s="117">
        <f t="shared" si="212"/>
        <v>0</v>
      </c>
      <c r="DN128" s="118">
        <f t="shared" si="212"/>
        <v>0</v>
      </c>
      <c r="DO128" s="116">
        <f t="shared" si="212"/>
        <v>0</v>
      </c>
      <c r="DP128" s="117">
        <f t="shared" si="212"/>
        <v>0</v>
      </c>
      <c r="DQ128" s="119">
        <f t="shared" si="212"/>
        <v>0</v>
      </c>
      <c r="DR128" s="194">
        <f t="shared" si="212"/>
        <v>0</v>
      </c>
      <c r="DS128" s="117">
        <f t="shared" si="212"/>
        <v>0</v>
      </c>
      <c r="DT128" s="118">
        <f t="shared" si="212"/>
        <v>0</v>
      </c>
      <c r="DU128" s="116">
        <f t="shared" si="212"/>
        <v>0</v>
      </c>
      <c r="DV128" s="117">
        <f t="shared" si="212"/>
        <v>0</v>
      </c>
      <c r="DW128" s="119">
        <f t="shared" si="212"/>
        <v>0</v>
      </c>
      <c r="DX128" s="194">
        <f t="shared" si="212"/>
        <v>0</v>
      </c>
      <c r="DY128" s="117">
        <f t="shared" si="212"/>
        <v>0</v>
      </c>
      <c r="DZ128" s="118">
        <f t="shared" si="212"/>
        <v>0</v>
      </c>
      <c r="EA128" s="116">
        <f t="shared" si="212"/>
        <v>0</v>
      </c>
      <c r="EB128" s="117">
        <f t="shared" si="212"/>
        <v>0</v>
      </c>
      <c r="EC128" s="119">
        <f t="shared" si="212"/>
        <v>0</v>
      </c>
      <c r="ED128" s="194">
        <f t="shared" si="212"/>
        <v>0</v>
      </c>
      <c r="EE128" s="117">
        <f t="shared" si="212"/>
        <v>0</v>
      </c>
      <c r="EF128" s="118">
        <f t="shared" si="212"/>
        <v>0</v>
      </c>
      <c r="EG128" s="116">
        <f t="shared" si="212"/>
        <v>0</v>
      </c>
      <c r="EH128" s="117">
        <f t="shared" si="212"/>
        <v>0</v>
      </c>
      <c r="EI128" s="119">
        <f t="shared" si="212"/>
        <v>0</v>
      </c>
      <c r="EJ128" s="194">
        <f t="shared" si="212"/>
        <v>0</v>
      </c>
      <c r="EK128" s="117">
        <f t="shared" si="212"/>
        <v>0</v>
      </c>
      <c r="EL128" s="118">
        <f t="shared" si="212"/>
        <v>0</v>
      </c>
      <c r="EM128" s="116">
        <f t="shared" ref="EM128:GX128" si="214">+EM21+EM57+EM93</f>
        <v>0</v>
      </c>
      <c r="EN128" s="117">
        <f t="shared" si="214"/>
        <v>0</v>
      </c>
      <c r="EO128" s="119">
        <f t="shared" si="214"/>
        <v>0</v>
      </c>
      <c r="EP128" s="194">
        <f t="shared" si="214"/>
        <v>0</v>
      </c>
      <c r="EQ128" s="117">
        <f t="shared" si="214"/>
        <v>0</v>
      </c>
      <c r="ER128" s="118">
        <f t="shared" si="214"/>
        <v>0</v>
      </c>
      <c r="ES128" s="116">
        <f t="shared" si="214"/>
        <v>0</v>
      </c>
      <c r="ET128" s="117">
        <f t="shared" si="214"/>
        <v>0</v>
      </c>
      <c r="EU128" s="119">
        <f t="shared" si="214"/>
        <v>0</v>
      </c>
      <c r="EV128" s="194">
        <f t="shared" si="214"/>
        <v>0</v>
      </c>
      <c r="EW128" s="117">
        <f t="shared" si="214"/>
        <v>0</v>
      </c>
      <c r="EX128" s="118">
        <f t="shared" si="214"/>
        <v>0</v>
      </c>
      <c r="EY128" s="116">
        <f t="shared" si="214"/>
        <v>0</v>
      </c>
      <c r="EZ128" s="117">
        <f t="shared" si="214"/>
        <v>0</v>
      </c>
      <c r="FA128" s="119">
        <f t="shared" si="214"/>
        <v>0</v>
      </c>
      <c r="FB128" s="194">
        <f t="shared" si="214"/>
        <v>0</v>
      </c>
      <c r="FC128" s="117">
        <f t="shared" si="214"/>
        <v>0</v>
      </c>
      <c r="FD128" s="118">
        <f t="shared" si="214"/>
        <v>0</v>
      </c>
      <c r="FE128" s="116">
        <f t="shared" si="214"/>
        <v>0</v>
      </c>
      <c r="FF128" s="117">
        <f t="shared" si="214"/>
        <v>0</v>
      </c>
      <c r="FG128" s="119">
        <f t="shared" si="214"/>
        <v>0</v>
      </c>
      <c r="FH128" s="194">
        <f t="shared" si="214"/>
        <v>0</v>
      </c>
      <c r="FI128" s="117">
        <f t="shared" si="214"/>
        <v>0</v>
      </c>
      <c r="FJ128" s="118">
        <f t="shared" si="214"/>
        <v>0</v>
      </c>
      <c r="FK128" s="116">
        <f t="shared" si="214"/>
        <v>0</v>
      </c>
      <c r="FL128" s="117">
        <f t="shared" si="214"/>
        <v>0</v>
      </c>
      <c r="FM128" s="119">
        <f t="shared" si="214"/>
        <v>0</v>
      </c>
      <c r="FN128" s="194">
        <f t="shared" si="214"/>
        <v>0</v>
      </c>
      <c r="FO128" s="117">
        <f t="shared" si="214"/>
        <v>0</v>
      </c>
      <c r="FP128" s="118">
        <f t="shared" si="214"/>
        <v>0</v>
      </c>
      <c r="FQ128" s="116">
        <f t="shared" si="214"/>
        <v>0</v>
      </c>
      <c r="FR128" s="117">
        <f t="shared" si="214"/>
        <v>0</v>
      </c>
      <c r="FS128" s="119">
        <f t="shared" si="214"/>
        <v>0</v>
      </c>
      <c r="FT128" s="194">
        <f t="shared" si="214"/>
        <v>0</v>
      </c>
      <c r="FU128" s="117">
        <f t="shared" si="214"/>
        <v>0</v>
      </c>
      <c r="FV128" s="118">
        <f t="shared" si="214"/>
        <v>0</v>
      </c>
      <c r="FW128" s="116">
        <f t="shared" si="214"/>
        <v>0</v>
      </c>
      <c r="FX128" s="117">
        <f t="shared" si="214"/>
        <v>0</v>
      </c>
      <c r="FY128" s="119">
        <f t="shared" si="214"/>
        <v>0</v>
      </c>
      <c r="FZ128" s="194">
        <f t="shared" si="214"/>
        <v>0</v>
      </c>
      <c r="GA128" s="117">
        <f t="shared" si="214"/>
        <v>0</v>
      </c>
      <c r="GB128" s="118">
        <f t="shared" si="214"/>
        <v>0</v>
      </c>
      <c r="GC128" s="116">
        <f t="shared" si="214"/>
        <v>0</v>
      </c>
      <c r="GD128" s="117">
        <f t="shared" si="214"/>
        <v>0</v>
      </c>
      <c r="GE128" s="119">
        <f t="shared" si="214"/>
        <v>0</v>
      </c>
      <c r="GF128" s="194">
        <f t="shared" si="214"/>
        <v>0</v>
      </c>
      <c r="GG128" s="117">
        <f t="shared" si="214"/>
        <v>0</v>
      </c>
      <c r="GH128" s="118">
        <f t="shared" si="214"/>
        <v>0</v>
      </c>
      <c r="GI128" s="116">
        <f t="shared" si="214"/>
        <v>0</v>
      </c>
      <c r="GJ128" s="117">
        <f t="shared" si="214"/>
        <v>0</v>
      </c>
      <c r="GK128" s="118">
        <f t="shared" si="214"/>
        <v>0</v>
      </c>
      <c r="GL128" s="239">
        <f t="shared" si="214"/>
        <v>0</v>
      </c>
      <c r="GM128" s="43">
        <f t="shared" si="214"/>
        <v>0</v>
      </c>
      <c r="GN128" s="283">
        <f t="shared" si="214"/>
        <v>0</v>
      </c>
      <c r="GO128" s="239">
        <f t="shared" si="214"/>
        <v>0</v>
      </c>
      <c r="GP128" s="43">
        <f t="shared" si="214"/>
        <v>0</v>
      </c>
      <c r="GQ128" s="57">
        <f t="shared" si="214"/>
        <v>0</v>
      </c>
      <c r="GR128" s="194">
        <f t="shared" si="214"/>
        <v>0</v>
      </c>
      <c r="GS128" s="117">
        <f t="shared" si="214"/>
        <v>0</v>
      </c>
      <c r="GT128" s="119">
        <f t="shared" si="214"/>
        <v>0</v>
      </c>
      <c r="GU128" s="194">
        <f t="shared" si="214"/>
        <v>0</v>
      </c>
      <c r="GV128" s="117">
        <f t="shared" si="214"/>
        <v>0</v>
      </c>
      <c r="GW128" s="119">
        <f t="shared" si="214"/>
        <v>0</v>
      </c>
      <c r="GX128" s="194">
        <f t="shared" si="214"/>
        <v>0</v>
      </c>
      <c r="GY128" s="117">
        <f t="shared" ref="GY128:HC128" si="215">+GY21+GY57+GY93</f>
        <v>0</v>
      </c>
      <c r="GZ128" s="119">
        <f t="shared" si="215"/>
        <v>0</v>
      </c>
      <c r="HA128" s="194">
        <f t="shared" si="215"/>
        <v>0</v>
      </c>
      <c r="HB128" s="117">
        <f t="shared" si="215"/>
        <v>0</v>
      </c>
      <c r="HC128" s="119">
        <f t="shared" si="215"/>
        <v>0</v>
      </c>
      <c r="HD128" s="368">
        <f t="shared" si="139"/>
        <v>0</v>
      </c>
      <c r="HE128" s="369">
        <f t="shared" si="140"/>
        <v>0</v>
      </c>
      <c r="HF128" s="369">
        <f t="shared" si="141"/>
        <v>0</v>
      </c>
      <c r="HG128" s="145">
        <f t="shared" si="132"/>
        <v>0</v>
      </c>
    </row>
    <row r="129" spans="1:215" ht="15.75" thickBot="1">
      <c r="A129" s="238">
        <v>15</v>
      </c>
      <c r="B129" s="116">
        <f t="shared" ref="B129:AN129" si="216">+B22+B58+B94</f>
        <v>0</v>
      </c>
      <c r="C129" s="117">
        <f t="shared" si="216"/>
        <v>0</v>
      </c>
      <c r="D129" s="119">
        <f t="shared" si="216"/>
        <v>0</v>
      </c>
      <c r="E129" s="194">
        <f t="shared" si="216"/>
        <v>0</v>
      </c>
      <c r="F129" s="117">
        <f t="shared" si="216"/>
        <v>0</v>
      </c>
      <c r="G129" s="118">
        <f t="shared" si="216"/>
        <v>0</v>
      </c>
      <c r="H129" s="116">
        <f t="shared" si="216"/>
        <v>0</v>
      </c>
      <c r="I129" s="117">
        <f t="shared" si="216"/>
        <v>0</v>
      </c>
      <c r="J129" s="119">
        <f t="shared" si="216"/>
        <v>0</v>
      </c>
      <c r="K129" s="194">
        <f t="shared" si="216"/>
        <v>0</v>
      </c>
      <c r="L129" s="117">
        <f t="shared" si="216"/>
        <v>0</v>
      </c>
      <c r="M129" s="118">
        <f t="shared" si="216"/>
        <v>0</v>
      </c>
      <c r="N129" s="116">
        <f t="shared" si="216"/>
        <v>0</v>
      </c>
      <c r="O129" s="117">
        <f t="shared" si="216"/>
        <v>0</v>
      </c>
      <c r="P129" s="119">
        <f t="shared" si="216"/>
        <v>0</v>
      </c>
      <c r="Q129" s="194">
        <f t="shared" si="216"/>
        <v>0</v>
      </c>
      <c r="R129" s="117">
        <f t="shared" si="216"/>
        <v>0</v>
      </c>
      <c r="S129" s="118">
        <f t="shared" si="216"/>
        <v>0</v>
      </c>
      <c r="T129" s="116">
        <f t="shared" si="216"/>
        <v>0</v>
      </c>
      <c r="U129" s="117">
        <f t="shared" si="216"/>
        <v>0</v>
      </c>
      <c r="V129" s="119">
        <f t="shared" si="216"/>
        <v>0</v>
      </c>
      <c r="W129" s="194">
        <f t="shared" si="216"/>
        <v>0</v>
      </c>
      <c r="X129" s="117">
        <f t="shared" si="216"/>
        <v>0</v>
      </c>
      <c r="Y129" s="118">
        <f t="shared" si="216"/>
        <v>0</v>
      </c>
      <c r="Z129" s="116">
        <f t="shared" si="216"/>
        <v>0</v>
      </c>
      <c r="AA129" s="117">
        <f t="shared" si="216"/>
        <v>0</v>
      </c>
      <c r="AB129" s="119">
        <f t="shared" si="216"/>
        <v>0</v>
      </c>
      <c r="AC129" s="194">
        <f t="shared" si="216"/>
        <v>0</v>
      </c>
      <c r="AD129" s="117">
        <f t="shared" si="216"/>
        <v>0</v>
      </c>
      <c r="AE129" s="118">
        <f t="shared" si="216"/>
        <v>0</v>
      </c>
      <c r="AF129" s="116">
        <f t="shared" si="216"/>
        <v>0</v>
      </c>
      <c r="AG129" s="117">
        <f t="shared" si="216"/>
        <v>0</v>
      </c>
      <c r="AH129" s="119">
        <f t="shared" si="216"/>
        <v>0</v>
      </c>
      <c r="AI129" s="194">
        <f t="shared" si="216"/>
        <v>0</v>
      </c>
      <c r="AJ129" s="117">
        <f t="shared" si="216"/>
        <v>0</v>
      </c>
      <c r="AK129" s="118">
        <f t="shared" si="216"/>
        <v>0</v>
      </c>
      <c r="AL129" s="116">
        <f t="shared" si="216"/>
        <v>0</v>
      </c>
      <c r="AM129" s="117">
        <f t="shared" si="216"/>
        <v>0</v>
      </c>
      <c r="AN129" s="119">
        <f t="shared" si="216"/>
        <v>0</v>
      </c>
      <c r="AO129" s="194">
        <f t="shared" ref="AO129:BZ129" si="217">+AO22+AO58+AO94</f>
        <v>0</v>
      </c>
      <c r="AP129" s="117">
        <f t="shared" si="217"/>
        <v>0</v>
      </c>
      <c r="AQ129" s="118">
        <f t="shared" si="217"/>
        <v>0</v>
      </c>
      <c r="AR129" s="116">
        <f t="shared" si="217"/>
        <v>0</v>
      </c>
      <c r="AS129" s="117">
        <f t="shared" si="217"/>
        <v>0</v>
      </c>
      <c r="AT129" s="119">
        <f t="shared" si="217"/>
        <v>0</v>
      </c>
      <c r="AU129" s="194">
        <f t="shared" si="217"/>
        <v>0</v>
      </c>
      <c r="AV129" s="117">
        <f t="shared" si="217"/>
        <v>0</v>
      </c>
      <c r="AW129" s="118">
        <f t="shared" si="217"/>
        <v>0</v>
      </c>
      <c r="AX129" s="116">
        <f t="shared" si="217"/>
        <v>0</v>
      </c>
      <c r="AY129" s="117">
        <f t="shared" si="217"/>
        <v>0</v>
      </c>
      <c r="AZ129" s="119">
        <f t="shared" si="217"/>
        <v>0</v>
      </c>
      <c r="BA129" s="194">
        <f t="shared" si="217"/>
        <v>0</v>
      </c>
      <c r="BB129" s="117">
        <f t="shared" si="217"/>
        <v>0</v>
      </c>
      <c r="BC129" s="118">
        <f t="shared" si="217"/>
        <v>0</v>
      </c>
      <c r="BD129" s="116">
        <f t="shared" si="217"/>
        <v>0</v>
      </c>
      <c r="BE129" s="117">
        <f t="shared" si="217"/>
        <v>0</v>
      </c>
      <c r="BF129" s="119">
        <f t="shared" si="217"/>
        <v>0</v>
      </c>
      <c r="BG129" s="194">
        <f t="shared" si="217"/>
        <v>0</v>
      </c>
      <c r="BH129" s="117">
        <f t="shared" si="217"/>
        <v>0</v>
      </c>
      <c r="BI129" s="118">
        <f t="shared" si="217"/>
        <v>0</v>
      </c>
      <c r="BJ129" s="116">
        <f t="shared" si="217"/>
        <v>0</v>
      </c>
      <c r="BK129" s="117">
        <f t="shared" si="217"/>
        <v>0</v>
      </c>
      <c r="BL129" s="119">
        <f t="shared" si="217"/>
        <v>0</v>
      </c>
      <c r="BM129" s="194">
        <f t="shared" si="217"/>
        <v>0</v>
      </c>
      <c r="BN129" s="117">
        <f t="shared" si="217"/>
        <v>0</v>
      </c>
      <c r="BO129" s="118">
        <f t="shared" si="217"/>
        <v>0</v>
      </c>
      <c r="BP129" s="116">
        <f t="shared" si="217"/>
        <v>0</v>
      </c>
      <c r="BQ129" s="117">
        <f t="shared" si="217"/>
        <v>0</v>
      </c>
      <c r="BR129" s="119">
        <f t="shared" si="217"/>
        <v>0</v>
      </c>
      <c r="BS129" s="194">
        <f t="shared" si="217"/>
        <v>0</v>
      </c>
      <c r="BT129" s="117">
        <f t="shared" si="217"/>
        <v>0</v>
      </c>
      <c r="BU129" s="118">
        <f t="shared" si="217"/>
        <v>0</v>
      </c>
      <c r="BV129" s="116">
        <f t="shared" si="217"/>
        <v>0</v>
      </c>
      <c r="BW129" s="117">
        <f t="shared" si="217"/>
        <v>0</v>
      </c>
      <c r="BX129" s="119">
        <f t="shared" si="217"/>
        <v>0</v>
      </c>
      <c r="BY129" s="194">
        <f t="shared" si="217"/>
        <v>0</v>
      </c>
      <c r="BZ129" s="117">
        <f t="shared" si="217"/>
        <v>0</v>
      </c>
      <c r="CA129" s="118">
        <f t="shared" ref="CA129:EL129" si="218">+CA22+CA58+CA94</f>
        <v>0</v>
      </c>
      <c r="CB129" s="116">
        <f t="shared" si="218"/>
        <v>0</v>
      </c>
      <c r="CC129" s="117">
        <f t="shared" si="218"/>
        <v>0</v>
      </c>
      <c r="CD129" s="119">
        <f t="shared" si="218"/>
        <v>0</v>
      </c>
      <c r="CE129" s="194">
        <f t="shared" si="218"/>
        <v>0</v>
      </c>
      <c r="CF129" s="117">
        <f t="shared" si="218"/>
        <v>0</v>
      </c>
      <c r="CG129" s="118">
        <f t="shared" si="218"/>
        <v>0</v>
      </c>
      <c r="CH129" s="116">
        <f t="shared" si="218"/>
        <v>0</v>
      </c>
      <c r="CI129" s="117">
        <f t="shared" si="218"/>
        <v>0</v>
      </c>
      <c r="CJ129" s="118">
        <f t="shared" si="218"/>
        <v>0</v>
      </c>
      <c r="CK129" s="239">
        <f t="shared" si="218"/>
        <v>0</v>
      </c>
      <c r="CL129" s="43">
        <f t="shared" si="218"/>
        <v>0</v>
      </c>
      <c r="CM129" s="283">
        <f t="shared" si="218"/>
        <v>0</v>
      </c>
      <c r="CN129" s="239">
        <f t="shared" si="218"/>
        <v>0</v>
      </c>
      <c r="CO129" s="43">
        <f t="shared" si="218"/>
        <v>0</v>
      </c>
      <c r="CP129" s="57">
        <f t="shared" si="218"/>
        <v>0</v>
      </c>
      <c r="CQ129" s="194">
        <f t="shared" ref="CQ129:CY129" si="219">+CQ22+CQ58+CQ94</f>
        <v>0</v>
      </c>
      <c r="CR129" s="117">
        <f t="shared" si="219"/>
        <v>0</v>
      </c>
      <c r="CS129" s="119">
        <f t="shared" si="219"/>
        <v>0</v>
      </c>
      <c r="CT129" s="194">
        <f t="shared" si="219"/>
        <v>0</v>
      </c>
      <c r="CU129" s="117">
        <f t="shared" si="219"/>
        <v>0</v>
      </c>
      <c r="CV129" s="119">
        <f t="shared" si="219"/>
        <v>0</v>
      </c>
      <c r="CW129" s="194">
        <f t="shared" si="219"/>
        <v>0</v>
      </c>
      <c r="CX129" s="117">
        <f t="shared" si="219"/>
        <v>0</v>
      </c>
      <c r="CY129" s="119">
        <f t="shared" si="219"/>
        <v>0</v>
      </c>
      <c r="CZ129" s="194">
        <f t="shared" si="218"/>
        <v>0</v>
      </c>
      <c r="DA129" s="117">
        <f t="shared" si="218"/>
        <v>0</v>
      </c>
      <c r="DB129" s="119">
        <f t="shared" si="218"/>
        <v>0</v>
      </c>
      <c r="DC129" s="116">
        <f t="shared" si="218"/>
        <v>0</v>
      </c>
      <c r="DD129" s="117">
        <f t="shared" si="218"/>
        <v>0</v>
      </c>
      <c r="DE129" s="119">
        <f t="shared" si="218"/>
        <v>0</v>
      </c>
      <c r="DF129" s="194">
        <f t="shared" si="218"/>
        <v>0</v>
      </c>
      <c r="DG129" s="117">
        <f t="shared" si="218"/>
        <v>0</v>
      </c>
      <c r="DH129" s="118">
        <f t="shared" si="218"/>
        <v>0</v>
      </c>
      <c r="DI129" s="116">
        <f t="shared" si="218"/>
        <v>0</v>
      </c>
      <c r="DJ129" s="117">
        <f t="shared" si="218"/>
        <v>0</v>
      </c>
      <c r="DK129" s="119">
        <f t="shared" si="218"/>
        <v>0</v>
      </c>
      <c r="DL129" s="194">
        <f t="shared" si="218"/>
        <v>0</v>
      </c>
      <c r="DM129" s="117">
        <f t="shared" si="218"/>
        <v>0</v>
      </c>
      <c r="DN129" s="118">
        <f t="shared" si="218"/>
        <v>0</v>
      </c>
      <c r="DO129" s="116">
        <f t="shared" si="218"/>
        <v>0</v>
      </c>
      <c r="DP129" s="117">
        <f t="shared" si="218"/>
        <v>0</v>
      </c>
      <c r="DQ129" s="119">
        <f t="shared" si="218"/>
        <v>0</v>
      </c>
      <c r="DR129" s="194">
        <f t="shared" si="218"/>
        <v>0</v>
      </c>
      <c r="DS129" s="117">
        <f t="shared" si="218"/>
        <v>0</v>
      </c>
      <c r="DT129" s="118">
        <f t="shared" si="218"/>
        <v>0</v>
      </c>
      <c r="DU129" s="116">
        <f t="shared" si="218"/>
        <v>0</v>
      </c>
      <c r="DV129" s="117">
        <f t="shared" si="218"/>
        <v>0</v>
      </c>
      <c r="DW129" s="119">
        <f t="shared" si="218"/>
        <v>0</v>
      </c>
      <c r="DX129" s="194">
        <f t="shared" si="218"/>
        <v>0</v>
      </c>
      <c r="DY129" s="117">
        <f t="shared" si="218"/>
        <v>0</v>
      </c>
      <c r="DZ129" s="118">
        <f t="shared" si="218"/>
        <v>0</v>
      </c>
      <c r="EA129" s="116">
        <f t="shared" si="218"/>
        <v>0</v>
      </c>
      <c r="EB129" s="117">
        <f t="shared" si="218"/>
        <v>0</v>
      </c>
      <c r="EC129" s="119">
        <f t="shared" si="218"/>
        <v>0</v>
      </c>
      <c r="ED129" s="194">
        <f t="shared" si="218"/>
        <v>0</v>
      </c>
      <c r="EE129" s="117">
        <f t="shared" si="218"/>
        <v>0</v>
      </c>
      <c r="EF129" s="118">
        <f t="shared" si="218"/>
        <v>0</v>
      </c>
      <c r="EG129" s="116">
        <f t="shared" si="218"/>
        <v>0</v>
      </c>
      <c r="EH129" s="117">
        <f t="shared" si="218"/>
        <v>0</v>
      </c>
      <c r="EI129" s="119">
        <f t="shared" si="218"/>
        <v>0</v>
      </c>
      <c r="EJ129" s="194">
        <f t="shared" si="218"/>
        <v>0</v>
      </c>
      <c r="EK129" s="117">
        <f t="shared" si="218"/>
        <v>0</v>
      </c>
      <c r="EL129" s="118">
        <f t="shared" si="218"/>
        <v>0</v>
      </c>
      <c r="EM129" s="116">
        <f t="shared" ref="EM129:GX129" si="220">+EM22+EM58+EM94</f>
        <v>0</v>
      </c>
      <c r="EN129" s="117">
        <f t="shared" si="220"/>
        <v>0</v>
      </c>
      <c r="EO129" s="119">
        <f t="shared" si="220"/>
        <v>0</v>
      </c>
      <c r="EP129" s="194">
        <f t="shared" si="220"/>
        <v>0</v>
      </c>
      <c r="EQ129" s="117">
        <f t="shared" si="220"/>
        <v>0</v>
      </c>
      <c r="ER129" s="118">
        <f t="shared" si="220"/>
        <v>0</v>
      </c>
      <c r="ES129" s="116">
        <f t="shared" si="220"/>
        <v>0</v>
      </c>
      <c r="ET129" s="117">
        <f t="shared" si="220"/>
        <v>0</v>
      </c>
      <c r="EU129" s="119">
        <f t="shared" si="220"/>
        <v>0</v>
      </c>
      <c r="EV129" s="194">
        <f t="shared" si="220"/>
        <v>0</v>
      </c>
      <c r="EW129" s="117">
        <f t="shared" si="220"/>
        <v>0</v>
      </c>
      <c r="EX129" s="118">
        <f t="shared" si="220"/>
        <v>0</v>
      </c>
      <c r="EY129" s="116">
        <f t="shared" si="220"/>
        <v>0</v>
      </c>
      <c r="EZ129" s="117">
        <f t="shared" si="220"/>
        <v>0</v>
      </c>
      <c r="FA129" s="119">
        <f t="shared" si="220"/>
        <v>0</v>
      </c>
      <c r="FB129" s="194">
        <f t="shared" si="220"/>
        <v>0</v>
      </c>
      <c r="FC129" s="117">
        <f t="shared" si="220"/>
        <v>0</v>
      </c>
      <c r="FD129" s="118">
        <f t="shared" si="220"/>
        <v>0</v>
      </c>
      <c r="FE129" s="116">
        <f t="shared" si="220"/>
        <v>0</v>
      </c>
      <c r="FF129" s="117">
        <f t="shared" si="220"/>
        <v>0</v>
      </c>
      <c r="FG129" s="119">
        <f t="shared" si="220"/>
        <v>0</v>
      </c>
      <c r="FH129" s="194">
        <f t="shared" si="220"/>
        <v>0</v>
      </c>
      <c r="FI129" s="117">
        <f t="shared" si="220"/>
        <v>0</v>
      </c>
      <c r="FJ129" s="118">
        <f t="shared" si="220"/>
        <v>0</v>
      </c>
      <c r="FK129" s="116">
        <f t="shared" si="220"/>
        <v>0</v>
      </c>
      <c r="FL129" s="117">
        <f t="shared" si="220"/>
        <v>0</v>
      </c>
      <c r="FM129" s="119">
        <f t="shared" si="220"/>
        <v>0</v>
      </c>
      <c r="FN129" s="194">
        <f t="shared" si="220"/>
        <v>0</v>
      </c>
      <c r="FO129" s="117">
        <f t="shared" si="220"/>
        <v>0</v>
      </c>
      <c r="FP129" s="118">
        <f t="shared" si="220"/>
        <v>0</v>
      </c>
      <c r="FQ129" s="116">
        <f t="shared" si="220"/>
        <v>0</v>
      </c>
      <c r="FR129" s="117">
        <f t="shared" si="220"/>
        <v>0</v>
      </c>
      <c r="FS129" s="119">
        <f t="shared" si="220"/>
        <v>0</v>
      </c>
      <c r="FT129" s="194">
        <f t="shared" si="220"/>
        <v>0</v>
      </c>
      <c r="FU129" s="117">
        <f t="shared" si="220"/>
        <v>0</v>
      </c>
      <c r="FV129" s="118">
        <f t="shared" si="220"/>
        <v>0</v>
      </c>
      <c r="FW129" s="116">
        <f t="shared" si="220"/>
        <v>0</v>
      </c>
      <c r="FX129" s="117">
        <f t="shared" si="220"/>
        <v>0</v>
      </c>
      <c r="FY129" s="119">
        <f t="shared" si="220"/>
        <v>0</v>
      </c>
      <c r="FZ129" s="194">
        <f t="shared" si="220"/>
        <v>0</v>
      </c>
      <c r="GA129" s="117">
        <f t="shared" si="220"/>
        <v>0</v>
      </c>
      <c r="GB129" s="118">
        <f t="shared" si="220"/>
        <v>0</v>
      </c>
      <c r="GC129" s="116">
        <f t="shared" si="220"/>
        <v>0</v>
      </c>
      <c r="GD129" s="117">
        <f t="shared" si="220"/>
        <v>0</v>
      </c>
      <c r="GE129" s="119">
        <f t="shared" si="220"/>
        <v>0</v>
      </c>
      <c r="GF129" s="194">
        <f t="shared" si="220"/>
        <v>0</v>
      </c>
      <c r="GG129" s="117">
        <f t="shared" si="220"/>
        <v>0</v>
      </c>
      <c r="GH129" s="118">
        <f t="shared" si="220"/>
        <v>0</v>
      </c>
      <c r="GI129" s="116">
        <f t="shared" si="220"/>
        <v>0</v>
      </c>
      <c r="GJ129" s="117">
        <f t="shared" si="220"/>
        <v>0</v>
      </c>
      <c r="GK129" s="118">
        <f t="shared" si="220"/>
        <v>0</v>
      </c>
      <c r="GL129" s="239">
        <f t="shared" si="220"/>
        <v>0</v>
      </c>
      <c r="GM129" s="43">
        <f t="shared" si="220"/>
        <v>0</v>
      </c>
      <c r="GN129" s="283">
        <f t="shared" si="220"/>
        <v>0</v>
      </c>
      <c r="GO129" s="239">
        <f t="shared" si="220"/>
        <v>0</v>
      </c>
      <c r="GP129" s="43">
        <f t="shared" si="220"/>
        <v>0</v>
      </c>
      <c r="GQ129" s="57">
        <f t="shared" si="220"/>
        <v>0</v>
      </c>
      <c r="GR129" s="194">
        <f t="shared" si="220"/>
        <v>0</v>
      </c>
      <c r="GS129" s="117">
        <f t="shared" si="220"/>
        <v>0</v>
      </c>
      <c r="GT129" s="119">
        <f t="shared" si="220"/>
        <v>0</v>
      </c>
      <c r="GU129" s="194">
        <f t="shared" si="220"/>
        <v>0</v>
      </c>
      <c r="GV129" s="117">
        <f t="shared" si="220"/>
        <v>0</v>
      </c>
      <c r="GW129" s="119">
        <f t="shared" si="220"/>
        <v>0</v>
      </c>
      <c r="GX129" s="194">
        <f t="shared" si="220"/>
        <v>0</v>
      </c>
      <c r="GY129" s="117">
        <f t="shared" ref="GY129:HC129" si="221">+GY22+GY58+GY94</f>
        <v>0</v>
      </c>
      <c r="GZ129" s="119">
        <f t="shared" si="221"/>
        <v>0</v>
      </c>
      <c r="HA129" s="194">
        <f t="shared" si="221"/>
        <v>0</v>
      </c>
      <c r="HB129" s="117">
        <f t="shared" si="221"/>
        <v>0</v>
      </c>
      <c r="HC129" s="119">
        <f t="shared" si="221"/>
        <v>0</v>
      </c>
      <c r="HD129" s="368">
        <f t="shared" si="139"/>
        <v>0</v>
      </c>
      <c r="HE129" s="369">
        <f t="shared" si="140"/>
        <v>0</v>
      </c>
      <c r="HF129" s="369">
        <f t="shared" si="141"/>
        <v>0</v>
      </c>
      <c r="HG129" s="145">
        <f t="shared" si="132"/>
        <v>0</v>
      </c>
    </row>
    <row r="130" spans="1:215" ht="15.75" thickBot="1">
      <c r="A130" s="353">
        <v>16</v>
      </c>
      <c r="B130" s="116">
        <f t="shared" ref="B130:AN130" si="222">+B23+B59+B95</f>
        <v>0</v>
      </c>
      <c r="C130" s="117">
        <f t="shared" si="222"/>
        <v>0</v>
      </c>
      <c r="D130" s="119">
        <f t="shared" si="222"/>
        <v>0</v>
      </c>
      <c r="E130" s="194">
        <f t="shared" si="222"/>
        <v>0</v>
      </c>
      <c r="F130" s="117">
        <f t="shared" si="222"/>
        <v>0</v>
      </c>
      <c r="G130" s="118">
        <f t="shared" si="222"/>
        <v>0</v>
      </c>
      <c r="H130" s="116">
        <f t="shared" si="222"/>
        <v>0</v>
      </c>
      <c r="I130" s="117">
        <f t="shared" si="222"/>
        <v>0</v>
      </c>
      <c r="J130" s="119">
        <f t="shared" si="222"/>
        <v>0</v>
      </c>
      <c r="K130" s="194">
        <f t="shared" si="222"/>
        <v>0</v>
      </c>
      <c r="L130" s="117">
        <f t="shared" si="222"/>
        <v>0</v>
      </c>
      <c r="M130" s="118">
        <f t="shared" si="222"/>
        <v>0</v>
      </c>
      <c r="N130" s="116">
        <f t="shared" si="222"/>
        <v>0</v>
      </c>
      <c r="O130" s="117">
        <f t="shared" si="222"/>
        <v>0</v>
      </c>
      <c r="P130" s="119">
        <f t="shared" si="222"/>
        <v>0</v>
      </c>
      <c r="Q130" s="194">
        <f t="shared" si="222"/>
        <v>0</v>
      </c>
      <c r="R130" s="117">
        <f t="shared" si="222"/>
        <v>0</v>
      </c>
      <c r="S130" s="118">
        <f t="shared" si="222"/>
        <v>0</v>
      </c>
      <c r="T130" s="116">
        <f t="shared" si="222"/>
        <v>0</v>
      </c>
      <c r="U130" s="117">
        <f t="shared" si="222"/>
        <v>0</v>
      </c>
      <c r="V130" s="119">
        <f t="shared" si="222"/>
        <v>0</v>
      </c>
      <c r="W130" s="194">
        <f t="shared" si="222"/>
        <v>0</v>
      </c>
      <c r="X130" s="117">
        <f t="shared" si="222"/>
        <v>0</v>
      </c>
      <c r="Y130" s="118">
        <f t="shared" si="222"/>
        <v>0</v>
      </c>
      <c r="Z130" s="116">
        <f t="shared" si="222"/>
        <v>0</v>
      </c>
      <c r="AA130" s="117">
        <f t="shared" si="222"/>
        <v>0</v>
      </c>
      <c r="AB130" s="119">
        <f t="shared" si="222"/>
        <v>0</v>
      </c>
      <c r="AC130" s="194">
        <f t="shared" si="222"/>
        <v>0</v>
      </c>
      <c r="AD130" s="117">
        <f t="shared" si="222"/>
        <v>0</v>
      </c>
      <c r="AE130" s="118">
        <f t="shared" si="222"/>
        <v>0</v>
      </c>
      <c r="AF130" s="116">
        <f t="shared" si="222"/>
        <v>0</v>
      </c>
      <c r="AG130" s="117">
        <f t="shared" si="222"/>
        <v>0</v>
      </c>
      <c r="AH130" s="119">
        <f t="shared" si="222"/>
        <v>0</v>
      </c>
      <c r="AI130" s="194">
        <f t="shared" si="222"/>
        <v>0</v>
      </c>
      <c r="AJ130" s="117">
        <f t="shared" si="222"/>
        <v>0</v>
      </c>
      <c r="AK130" s="118">
        <f t="shared" si="222"/>
        <v>0</v>
      </c>
      <c r="AL130" s="116">
        <f t="shared" si="222"/>
        <v>0</v>
      </c>
      <c r="AM130" s="117">
        <f t="shared" si="222"/>
        <v>0</v>
      </c>
      <c r="AN130" s="119">
        <f t="shared" si="222"/>
        <v>0</v>
      </c>
      <c r="AO130" s="194">
        <f t="shared" ref="AO130:BZ130" si="223">+AO23+AO59+AO95</f>
        <v>0</v>
      </c>
      <c r="AP130" s="117">
        <f t="shared" si="223"/>
        <v>0</v>
      </c>
      <c r="AQ130" s="118">
        <f t="shared" si="223"/>
        <v>0</v>
      </c>
      <c r="AR130" s="116">
        <f t="shared" si="223"/>
        <v>0</v>
      </c>
      <c r="AS130" s="117">
        <f t="shared" si="223"/>
        <v>0</v>
      </c>
      <c r="AT130" s="119">
        <f t="shared" si="223"/>
        <v>0</v>
      </c>
      <c r="AU130" s="194">
        <f t="shared" si="223"/>
        <v>0</v>
      </c>
      <c r="AV130" s="117">
        <f t="shared" si="223"/>
        <v>0</v>
      </c>
      <c r="AW130" s="118">
        <f t="shared" si="223"/>
        <v>0</v>
      </c>
      <c r="AX130" s="116">
        <f t="shared" si="223"/>
        <v>0</v>
      </c>
      <c r="AY130" s="117">
        <f t="shared" si="223"/>
        <v>0</v>
      </c>
      <c r="AZ130" s="119">
        <f t="shared" si="223"/>
        <v>0</v>
      </c>
      <c r="BA130" s="194">
        <f t="shared" si="223"/>
        <v>0</v>
      </c>
      <c r="BB130" s="117">
        <f t="shared" si="223"/>
        <v>0</v>
      </c>
      <c r="BC130" s="118">
        <f t="shared" si="223"/>
        <v>0</v>
      </c>
      <c r="BD130" s="116">
        <f t="shared" si="223"/>
        <v>0</v>
      </c>
      <c r="BE130" s="117">
        <f t="shared" si="223"/>
        <v>0</v>
      </c>
      <c r="BF130" s="119">
        <f t="shared" si="223"/>
        <v>0</v>
      </c>
      <c r="BG130" s="194">
        <f t="shared" si="223"/>
        <v>0</v>
      </c>
      <c r="BH130" s="117">
        <f t="shared" si="223"/>
        <v>0</v>
      </c>
      <c r="BI130" s="118">
        <f t="shared" si="223"/>
        <v>0</v>
      </c>
      <c r="BJ130" s="116">
        <f t="shared" si="223"/>
        <v>0</v>
      </c>
      <c r="BK130" s="117">
        <f t="shared" si="223"/>
        <v>0</v>
      </c>
      <c r="BL130" s="119">
        <f t="shared" si="223"/>
        <v>0</v>
      </c>
      <c r="BM130" s="194">
        <f t="shared" si="223"/>
        <v>0</v>
      </c>
      <c r="BN130" s="117">
        <f t="shared" si="223"/>
        <v>0</v>
      </c>
      <c r="BO130" s="118">
        <f t="shared" si="223"/>
        <v>0</v>
      </c>
      <c r="BP130" s="116">
        <f t="shared" si="223"/>
        <v>0</v>
      </c>
      <c r="BQ130" s="117">
        <f t="shared" si="223"/>
        <v>0</v>
      </c>
      <c r="BR130" s="119">
        <f t="shared" si="223"/>
        <v>0</v>
      </c>
      <c r="BS130" s="194">
        <f t="shared" si="223"/>
        <v>0</v>
      </c>
      <c r="BT130" s="117">
        <f t="shared" si="223"/>
        <v>0</v>
      </c>
      <c r="BU130" s="118">
        <f t="shared" si="223"/>
        <v>0</v>
      </c>
      <c r="BV130" s="116">
        <f t="shared" si="223"/>
        <v>0</v>
      </c>
      <c r="BW130" s="117">
        <f t="shared" si="223"/>
        <v>0</v>
      </c>
      <c r="BX130" s="119">
        <f t="shared" si="223"/>
        <v>0</v>
      </c>
      <c r="BY130" s="194">
        <f t="shared" si="223"/>
        <v>0</v>
      </c>
      <c r="BZ130" s="117">
        <f t="shared" si="223"/>
        <v>0</v>
      </c>
      <c r="CA130" s="118">
        <f t="shared" ref="CA130:EL130" si="224">+CA23+CA59+CA95</f>
        <v>0</v>
      </c>
      <c r="CB130" s="116">
        <f t="shared" si="224"/>
        <v>0</v>
      </c>
      <c r="CC130" s="117">
        <f t="shared" si="224"/>
        <v>0</v>
      </c>
      <c r="CD130" s="119">
        <f t="shared" si="224"/>
        <v>0</v>
      </c>
      <c r="CE130" s="194">
        <f t="shared" si="224"/>
        <v>0</v>
      </c>
      <c r="CF130" s="117">
        <f t="shared" si="224"/>
        <v>0</v>
      </c>
      <c r="CG130" s="118">
        <f t="shared" si="224"/>
        <v>0</v>
      </c>
      <c r="CH130" s="116">
        <f t="shared" si="224"/>
        <v>0</v>
      </c>
      <c r="CI130" s="117">
        <f t="shared" si="224"/>
        <v>0</v>
      </c>
      <c r="CJ130" s="118">
        <f t="shared" si="224"/>
        <v>0</v>
      </c>
      <c r="CK130" s="239">
        <f t="shared" si="224"/>
        <v>0</v>
      </c>
      <c r="CL130" s="43">
        <f t="shared" si="224"/>
        <v>0</v>
      </c>
      <c r="CM130" s="283">
        <f t="shared" si="224"/>
        <v>0</v>
      </c>
      <c r="CN130" s="239">
        <f t="shared" si="224"/>
        <v>0</v>
      </c>
      <c r="CO130" s="43">
        <f t="shared" si="224"/>
        <v>0</v>
      </c>
      <c r="CP130" s="57">
        <f t="shared" si="224"/>
        <v>0</v>
      </c>
      <c r="CQ130" s="194">
        <f t="shared" ref="CQ130:CY130" si="225">+CQ23+CQ59+CQ95</f>
        <v>0</v>
      </c>
      <c r="CR130" s="117">
        <f t="shared" si="225"/>
        <v>0</v>
      </c>
      <c r="CS130" s="119">
        <f t="shared" si="225"/>
        <v>0</v>
      </c>
      <c r="CT130" s="194">
        <f t="shared" si="225"/>
        <v>0</v>
      </c>
      <c r="CU130" s="117">
        <f t="shared" si="225"/>
        <v>0</v>
      </c>
      <c r="CV130" s="119">
        <f t="shared" si="225"/>
        <v>0</v>
      </c>
      <c r="CW130" s="194">
        <f t="shared" si="225"/>
        <v>0</v>
      </c>
      <c r="CX130" s="117">
        <f t="shared" si="225"/>
        <v>0</v>
      </c>
      <c r="CY130" s="119">
        <f t="shared" si="225"/>
        <v>0</v>
      </c>
      <c r="CZ130" s="194">
        <f t="shared" si="224"/>
        <v>0</v>
      </c>
      <c r="DA130" s="117">
        <f t="shared" si="224"/>
        <v>0</v>
      </c>
      <c r="DB130" s="119">
        <f t="shared" si="224"/>
        <v>0</v>
      </c>
      <c r="DC130" s="116">
        <f t="shared" si="224"/>
        <v>0</v>
      </c>
      <c r="DD130" s="117">
        <f t="shared" si="224"/>
        <v>0</v>
      </c>
      <c r="DE130" s="119">
        <f t="shared" si="224"/>
        <v>0</v>
      </c>
      <c r="DF130" s="194">
        <f t="shared" si="224"/>
        <v>0</v>
      </c>
      <c r="DG130" s="117">
        <f t="shared" si="224"/>
        <v>0</v>
      </c>
      <c r="DH130" s="118">
        <f t="shared" si="224"/>
        <v>0</v>
      </c>
      <c r="DI130" s="116">
        <f t="shared" si="224"/>
        <v>0</v>
      </c>
      <c r="DJ130" s="117">
        <f t="shared" si="224"/>
        <v>0</v>
      </c>
      <c r="DK130" s="119">
        <f t="shared" si="224"/>
        <v>0</v>
      </c>
      <c r="DL130" s="194">
        <f t="shared" si="224"/>
        <v>0</v>
      </c>
      <c r="DM130" s="117">
        <f t="shared" si="224"/>
        <v>0</v>
      </c>
      <c r="DN130" s="118">
        <f t="shared" si="224"/>
        <v>0</v>
      </c>
      <c r="DO130" s="116">
        <f t="shared" si="224"/>
        <v>0</v>
      </c>
      <c r="DP130" s="117">
        <f t="shared" si="224"/>
        <v>0</v>
      </c>
      <c r="DQ130" s="119">
        <f t="shared" si="224"/>
        <v>0</v>
      </c>
      <c r="DR130" s="194">
        <f t="shared" si="224"/>
        <v>0</v>
      </c>
      <c r="DS130" s="117">
        <f t="shared" si="224"/>
        <v>0</v>
      </c>
      <c r="DT130" s="118">
        <f t="shared" si="224"/>
        <v>0</v>
      </c>
      <c r="DU130" s="116">
        <f t="shared" si="224"/>
        <v>0</v>
      </c>
      <c r="DV130" s="117">
        <f t="shared" si="224"/>
        <v>0</v>
      </c>
      <c r="DW130" s="119">
        <f t="shared" si="224"/>
        <v>0</v>
      </c>
      <c r="DX130" s="194">
        <f t="shared" si="224"/>
        <v>0</v>
      </c>
      <c r="DY130" s="117">
        <f t="shared" si="224"/>
        <v>0</v>
      </c>
      <c r="DZ130" s="118">
        <f t="shared" si="224"/>
        <v>0</v>
      </c>
      <c r="EA130" s="116">
        <f t="shared" si="224"/>
        <v>0</v>
      </c>
      <c r="EB130" s="117">
        <f t="shared" si="224"/>
        <v>0</v>
      </c>
      <c r="EC130" s="119">
        <f t="shared" si="224"/>
        <v>0</v>
      </c>
      <c r="ED130" s="194">
        <f t="shared" si="224"/>
        <v>0</v>
      </c>
      <c r="EE130" s="117">
        <f t="shared" si="224"/>
        <v>0</v>
      </c>
      <c r="EF130" s="118">
        <f t="shared" si="224"/>
        <v>0</v>
      </c>
      <c r="EG130" s="116">
        <f t="shared" si="224"/>
        <v>0</v>
      </c>
      <c r="EH130" s="117">
        <f t="shared" si="224"/>
        <v>0</v>
      </c>
      <c r="EI130" s="119">
        <f t="shared" si="224"/>
        <v>0</v>
      </c>
      <c r="EJ130" s="194">
        <f t="shared" si="224"/>
        <v>0</v>
      </c>
      <c r="EK130" s="117">
        <f t="shared" si="224"/>
        <v>0</v>
      </c>
      <c r="EL130" s="118">
        <f t="shared" si="224"/>
        <v>0</v>
      </c>
      <c r="EM130" s="116">
        <f t="shared" ref="EM130:GX130" si="226">+EM23+EM59+EM95</f>
        <v>0</v>
      </c>
      <c r="EN130" s="117">
        <f t="shared" si="226"/>
        <v>0</v>
      </c>
      <c r="EO130" s="119">
        <f t="shared" si="226"/>
        <v>0</v>
      </c>
      <c r="EP130" s="194">
        <f t="shared" si="226"/>
        <v>0</v>
      </c>
      <c r="EQ130" s="117">
        <f t="shared" si="226"/>
        <v>0</v>
      </c>
      <c r="ER130" s="118">
        <f t="shared" si="226"/>
        <v>0</v>
      </c>
      <c r="ES130" s="116">
        <f t="shared" si="226"/>
        <v>0</v>
      </c>
      <c r="ET130" s="117">
        <f t="shared" si="226"/>
        <v>0</v>
      </c>
      <c r="EU130" s="119">
        <f t="shared" si="226"/>
        <v>0</v>
      </c>
      <c r="EV130" s="194">
        <f t="shared" si="226"/>
        <v>0</v>
      </c>
      <c r="EW130" s="117">
        <f t="shared" si="226"/>
        <v>0</v>
      </c>
      <c r="EX130" s="118">
        <f t="shared" si="226"/>
        <v>0</v>
      </c>
      <c r="EY130" s="116">
        <f t="shared" si="226"/>
        <v>0</v>
      </c>
      <c r="EZ130" s="117">
        <f t="shared" si="226"/>
        <v>0</v>
      </c>
      <c r="FA130" s="119">
        <f t="shared" si="226"/>
        <v>0</v>
      </c>
      <c r="FB130" s="194">
        <f t="shared" si="226"/>
        <v>0</v>
      </c>
      <c r="FC130" s="117">
        <f t="shared" si="226"/>
        <v>0</v>
      </c>
      <c r="FD130" s="118">
        <f t="shared" si="226"/>
        <v>0</v>
      </c>
      <c r="FE130" s="116">
        <f t="shared" si="226"/>
        <v>0</v>
      </c>
      <c r="FF130" s="117">
        <f t="shared" si="226"/>
        <v>0</v>
      </c>
      <c r="FG130" s="119">
        <f t="shared" si="226"/>
        <v>0</v>
      </c>
      <c r="FH130" s="194">
        <f t="shared" si="226"/>
        <v>0</v>
      </c>
      <c r="FI130" s="117">
        <f t="shared" si="226"/>
        <v>0</v>
      </c>
      <c r="FJ130" s="118">
        <f t="shared" si="226"/>
        <v>0</v>
      </c>
      <c r="FK130" s="116">
        <f t="shared" si="226"/>
        <v>0</v>
      </c>
      <c r="FL130" s="117">
        <f t="shared" si="226"/>
        <v>0</v>
      </c>
      <c r="FM130" s="119">
        <f t="shared" si="226"/>
        <v>0</v>
      </c>
      <c r="FN130" s="194">
        <f t="shared" si="226"/>
        <v>0</v>
      </c>
      <c r="FO130" s="117">
        <f t="shared" si="226"/>
        <v>0</v>
      </c>
      <c r="FP130" s="118">
        <f t="shared" si="226"/>
        <v>0</v>
      </c>
      <c r="FQ130" s="116">
        <f t="shared" si="226"/>
        <v>0</v>
      </c>
      <c r="FR130" s="117">
        <f t="shared" si="226"/>
        <v>0</v>
      </c>
      <c r="FS130" s="119">
        <f t="shared" si="226"/>
        <v>0</v>
      </c>
      <c r="FT130" s="194">
        <f t="shared" si="226"/>
        <v>0</v>
      </c>
      <c r="FU130" s="117">
        <f t="shared" si="226"/>
        <v>0</v>
      </c>
      <c r="FV130" s="118">
        <f t="shared" si="226"/>
        <v>0</v>
      </c>
      <c r="FW130" s="116">
        <f t="shared" si="226"/>
        <v>0</v>
      </c>
      <c r="FX130" s="117">
        <f t="shared" si="226"/>
        <v>0</v>
      </c>
      <c r="FY130" s="119">
        <f t="shared" si="226"/>
        <v>0</v>
      </c>
      <c r="FZ130" s="194">
        <f t="shared" si="226"/>
        <v>0</v>
      </c>
      <c r="GA130" s="117">
        <f t="shared" si="226"/>
        <v>0</v>
      </c>
      <c r="GB130" s="118">
        <f t="shared" si="226"/>
        <v>0</v>
      </c>
      <c r="GC130" s="116">
        <f t="shared" si="226"/>
        <v>0</v>
      </c>
      <c r="GD130" s="117">
        <f t="shared" si="226"/>
        <v>0</v>
      </c>
      <c r="GE130" s="119">
        <f t="shared" si="226"/>
        <v>0</v>
      </c>
      <c r="GF130" s="194">
        <f t="shared" si="226"/>
        <v>0</v>
      </c>
      <c r="GG130" s="117">
        <f t="shared" si="226"/>
        <v>0</v>
      </c>
      <c r="GH130" s="118">
        <f t="shared" si="226"/>
        <v>0</v>
      </c>
      <c r="GI130" s="116">
        <f t="shared" si="226"/>
        <v>0</v>
      </c>
      <c r="GJ130" s="117">
        <f t="shared" si="226"/>
        <v>0</v>
      </c>
      <c r="GK130" s="118">
        <f t="shared" si="226"/>
        <v>0</v>
      </c>
      <c r="GL130" s="239">
        <f t="shared" si="226"/>
        <v>0</v>
      </c>
      <c r="GM130" s="43">
        <f t="shared" si="226"/>
        <v>0</v>
      </c>
      <c r="GN130" s="283">
        <f t="shared" si="226"/>
        <v>0</v>
      </c>
      <c r="GO130" s="239">
        <f t="shared" si="226"/>
        <v>0</v>
      </c>
      <c r="GP130" s="43">
        <f t="shared" si="226"/>
        <v>0</v>
      </c>
      <c r="GQ130" s="57">
        <f t="shared" si="226"/>
        <v>0</v>
      </c>
      <c r="GR130" s="194">
        <f t="shared" si="226"/>
        <v>0</v>
      </c>
      <c r="GS130" s="117">
        <f t="shared" si="226"/>
        <v>0</v>
      </c>
      <c r="GT130" s="119">
        <f t="shared" si="226"/>
        <v>0</v>
      </c>
      <c r="GU130" s="194">
        <f t="shared" si="226"/>
        <v>0</v>
      </c>
      <c r="GV130" s="117">
        <f t="shared" si="226"/>
        <v>0</v>
      </c>
      <c r="GW130" s="119">
        <f t="shared" si="226"/>
        <v>0</v>
      </c>
      <c r="GX130" s="194">
        <f t="shared" si="226"/>
        <v>0</v>
      </c>
      <c r="GY130" s="117">
        <f t="shared" ref="GY130:HC130" si="227">+GY23+GY59+GY95</f>
        <v>0</v>
      </c>
      <c r="GZ130" s="119">
        <f t="shared" si="227"/>
        <v>0</v>
      </c>
      <c r="HA130" s="194">
        <f t="shared" si="227"/>
        <v>0</v>
      </c>
      <c r="HB130" s="117">
        <f t="shared" si="227"/>
        <v>0</v>
      </c>
      <c r="HC130" s="119">
        <f t="shared" si="227"/>
        <v>0</v>
      </c>
      <c r="HD130" s="368">
        <f t="shared" si="139"/>
        <v>0</v>
      </c>
      <c r="HE130" s="369">
        <f t="shared" si="140"/>
        <v>0</v>
      </c>
      <c r="HF130" s="369">
        <f t="shared" si="141"/>
        <v>0</v>
      </c>
      <c r="HG130" s="145">
        <f t="shared" si="132"/>
        <v>0</v>
      </c>
    </row>
    <row r="131" spans="1:215" ht="15.75" thickBot="1">
      <c r="A131" s="238">
        <v>17</v>
      </c>
      <c r="B131" s="116">
        <f t="shared" ref="B131:AN131" si="228">+B24+B60+B96</f>
        <v>0</v>
      </c>
      <c r="C131" s="117">
        <f t="shared" si="228"/>
        <v>0</v>
      </c>
      <c r="D131" s="119">
        <f t="shared" si="228"/>
        <v>0</v>
      </c>
      <c r="E131" s="194">
        <f t="shared" si="228"/>
        <v>0</v>
      </c>
      <c r="F131" s="117">
        <f t="shared" si="228"/>
        <v>0</v>
      </c>
      <c r="G131" s="118">
        <f t="shared" si="228"/>
        <v>0</v>
      </c>
      <c r="H131" s="116">
        <f t="shared" si="228"/>
        <v>0</v>
      </c>
      <c r="I131" s="117">
        <f t="shared" si="228"/>
        <v>0</v>
      </c>
      <c r="J131" s="119">
        <f t="shared" si="228"/>
        <v>0</v>
      </c>
      <c r="K131" s="194">
        <f t="shared" si="228"/>
        <v>0</v>
      </c>
      <c r="L131" s="117">
        <f t="shared" si="228"/>
        <v>0</v>
      </c>
      <c r="M131" s="118">
        <f t="shared" si="228"/>
        <v>0</v>
      </c>
      <c r="N131" s="116">
        <f t="shared" si="228"/>
        <v>0</v>
      </c>
      <c r="O131" s="117">
        <f t="shared" si="228"/>
        <v>0</v>
      </c>
      <c r="P131" s="119">
        <f t="shared" si="228"/>
        <v>0</v>
      </c>
      <c r="Q131" s="194">
        <f t="shared" si="228"/>
        <v>0</v>
      </c>
      <c r="R131" s="117">
        <f t="shared" si="228"/>
        <v>0</v>
      </c>
      <c r="S131" s="118">
        <f t="shared" si="228"/>
        <v>0</v>
      </c>
      <c r="T131" s="116">
        <f t="shared" si="228"/>
        <v>0</v>
      </c>
      <c r="U131" s="117">
        <f t="shared" si="228"/>
        <v>0</v>
      </c>
      <c r="V131" s="119">
        <f t="shared" si="228"/>
        <v>0</v>
      </c>
      <c r="W131" s="194">
        <f t="shared" si="228"/>
        <v>0</v>
      </c>
      <c r="X131" s="117">
        <f t="shared" si="228"/>
        <v>0</v>
      </c>
      <c r="Y131" s="118">
        <f t="shared" si="228"/>
        <v>0</v>
      </c>
      <c r="Z131" s="116">
        <f t="shared" si="228"/>
        <v>0</v>
      </c>
      <c r="AA131" s="117">
        <f t="shared" si="228"/>
        <v>0</v>
      </c>
      <c r="AB131" s="119">
        <f t="shared" si="228"/>
        <v>0</v>
      </c>
      <c r="AC131" s="194">
        <f t="shared" si="228"/>
        <v>0</v>
      </c>
      <c r="AD131" s="117">
        <f t="shared" si="228"/>
        <v>0</v>
      </c>
      <c r="AE131" s="118">
        <f t="shared" si="228"/>
        <v>0</v>
      </c>
      <c r="AF131" s="116">
        <f t="shared" si="228"/>
        <v>0</v>
      </c>
      <c r="AG131" s="117">
        <f t="shared" si="228"/>
        <v>0</v>
      </c>
      <c r="AH131" s="119">
        <f t="shared" si="228"/>
        <v>0</v>
      </c>
      <c r="AI131" s="194">
        <f t="shared" si="228"/>
        <v>0</v>
      </c>
      <c r="AJ131" s="117">
        <f t="shared" si="228"/>
        <v>0</v>
      </c>
      <c r="AK131" s="118">
        <f t="shared" si="228"/>
        <v>0</v>
      </c>
      <c r="AL131" s="116">
        <f t="shared" si="228"/>
        <v>0</v>
      </c>
      <c r="AM131" s="117">
        <f t="shared" si="228"/>
        <v>0</v>
      </c>
      <c r="AN131" s="119">
        <f t="shared" si="228"/>
        <v>0</v>
      </c>
      <c r="AO131" s="194">
        <f t="shared" ref="AO131:BZ131" si="229">+AO24+AO60+AO96</f>
        <v>0</v>
      </c>
      <c r="AP131" s="117">
        <f t="shared" si="229"/>
        <v>0</v>
      </c>
      <c r="AQ131" s="118">
        <f t="shared" si="229"/>
        <v>0</v>
      </c>
      <c r="AR131" s="116">
        <f t="shared" si="229"/>
        <v>0</v>
      </c>
      <c r="AS131" s="117">
        <f t="shared" si="229"/>
        <v>0</v>
      </c>
      <c r="AT131" s="119">
        <f t="shared" si="229"/>
        <v>0</v>
      </c>
      <c r="AU131" s="194">
        <f t="shared" si="229"/>
        <v>0</v>
      </c>
      <c r="AV131" s="117">
        <f t="shared" si="229"/>
        <v>0</v>
      </c>
      <c r="AW131" s="118">
        <f t="shared" si="229"/>
        <v>0</v>
      </c>
      <c r="AX131" s="116">
        <f t="shared" si="229"/>
        <v>0</v>
      </c>
      <c r="AY131" s="117">
        <f t="shared" si="229"/>
        <v>0</v>
      </c>
      <c r="AZ131" s="119">
        <f t="shared" si="229"/>
        <v>0</v>
      </c>
      <c r="BA131" s="194">
        <f t="shared" si="229"/>
        <v>0</v>
      </c>
      <c r="BB131" s="117">
        <f t="shared" si="229"/>
        <v>0</v>
      </c>
      <c r="BC131" s="118">
        <f t="shared" si="229"/>
        <v>0</v>
      </c>
      <c r="BD131" s="116">
        <f t="shared" si="229"/>
        <v>0</v>
      </c>
      <c r="BE131" s="117">
        <f t="shared" si="229"/>
        <v>0</v>
      </c>
      <c r="BF131" s="119">
        <f t="shared" si="229"/>
        <v>0</v>
      </c>
      <c r="BG131" s="194">
        <f t="shared" si="229"/>
        <v>0</v>
      </c>
      <c r="BH131" s="117">
        <f t="shared" si="229"/>
        <v>0</v>
      </c>
      <c r="BI131" s="118">
        <f t="shared" si="229"/>
        <v>0</v>
      </c>
      <c r="BJ131" s="116">
        <f t="shared" si="229"/>
        <v>0</v>
      </c>
      <c r="BK131" s="117">
        <f t="shared" si="229"/>
        <v>0</v>
      </c>
      <c r="BL131" s="119">
        <f t="shared" si="229"/>
        <v>0</v>
      </c>
      <c r="BM131" s="194">
        <f t="shared" si="229"/>
        <v>0</v>
      </c>
      <c r="BN131" s="117">
        <f t="shared" si="229"/>
        <v>0</v>
      </c>
      <c r="BO131" s="118">
        <f t="shared" si="229"/>
        <v>0</v>
      </c>
      <c r="BP131" s="116">
        <f t="shared" si="229"/>
        <v>0</v>
      </c>
      <c r="BQ131" s="117">
        <f t="shared" si="229"/>
        <v>0</v>
      </c>
      <c r="BR131" s="119">
        <f t="shared" si="229"/>
        <v>0</v>
      </c>
      <c r="BS131" s="194">
        <f t="shared" si="229"/>
        <v>0</v>
      </c>
      <c r="BT131" s="117">
        <f t="shared" si="229"/>
        <v>0</v>
      </c>
      <c r="BU131" s="118">
        <f t="shared" si="229"/>
        <v>0</v>
      </c>
      <c r="BV131" s="116">
        <f t="shared" si="229"/>
        <v>0</v>
      </c>
      <c r="BW131" s="117">
        <f t="shared" si="229"/>
        <v>0</v>
      </c>
      <c r="BX131" s="119">
        <f t="shared" si="229"/>
        <v>0</v>
      </c>
      <c r="BY131" s="194">
        <f t="shared" si="229"/>
        <v>0</v>
      </c>
      <c r="BZ131" s="117">
        <f t="shared" si="229"/>
        <v>0</v>
      </c>
      <c r="CA131" s="118">
        <f t="shared" ref="CA131:EL131" si="230">+CA24+CA60+CA96</f>
        <v>0</v>
      </c>
      <c r="CB131" s="116">
        <f t="shared" si="230"/>
        <v>0</v>
      </c>
      <c r="CC131" s="117">
        <f t="shared" si="230"/>
        <v>0</v>
      </c>
      <c r="CD131" s="119">
        <f t="shared" si="230"/>
        <v>0</v>
      </c>
      <c r="CE131" s="194">
        <f t="shared" si="230"/>
        <v>0</v>
      </c>
      <c r="CF131" s="117">
        <f t="shared" si="230"/>
        <v>0</v>
      </c>
      <c r="CG131" s="118">
        <f t="shared" si="230"/>
        <v>0</v>
      </c>
      <c r="CH131" s="116">
        <f t="shared" si="230"/>
        <v>0</v>
      </c>
      <c r="CI131" s="117">
        <f t="shared" si="230"/>
        <v>0</v>
      </c>
      <c r="CJ131" s="118">
        <f t="shared" si="230"/>
        <v>0</v>
      </c>
      <c r="CK131" s="239">
        <f t="shared" si="230"/>
        <v>0</v>
      </c>
      <c r="CL131" s="43">
        <f t="shared" si="230"/>
        <v>0</v>
      </c>
      <c r="CM131" s="283">
        <f t="shared" si="230"/>
        <v>0</v>
      </c>
      <c r="CN131" s="239">
        <f t="shared" si="230"/>
        <v>0</v>
      </c>
      <c r="CO131" s="43">
        <f t="shared" si="230"/>
        <v>0</v>
      </c>
      <c r="CP131" s="57">
        <f t="shared" si="230"/>
        <v>0</v>
      </c>
      <c r="CQ131" s="194">
        <f t="shared" ref="CQ131:CY131" si="231">+CQ24+CQ60+CQ96</f>
        <v>0</v>
      </c>
      <c r="CR131" s="117">
        <f t="shared" si="231"/>
        <v>0</v>
      </c>
      <c r="CS131" s="119">
        <f t="shared" si="231"/>
        <v>0</v>
      </c>
      <c r="CT131" s="194">
        <f t="shared" si="231"/>
        <v>0</v>
      </c>
      <c r="CU131" s="117">
        <f t="shared" si="231"/>
        <v>0</v>
      </c>
      <c r="CV131" s="119">
        <f t="shared" si="231"/>
        <v>0</v>
      </c>
      <c r="CW131" s="194">
        <f t="shared" si="231"/>
        <v>0</v>
      </c>
      <c r="CX131" s="117">
        <f t="shared" si="231"/>
        <v>0</v>
      </c>
      <c r="CY131" s="119">
        <f t="shared" si="231"/>
        <v>0</v>
      </c>
      <c r="CZ131" s="194">
        <f t="shared" si="230"/>
        <v>0</v>
      </c>
      <c r="DA131" s="117">
        <f t="shared" si="230"/>
        <v>0</v>
      </c>
      <c r="DB131" s="119">
        <f t="shared" si="230"/>
        <v>0</v>
      </c>
      <c r="DC131" s="116">
        <f t="shared" si="230"/>
        <v>0</v>
      </c>
      <c r="DD131" s="117">
        <f t="shared" si="230"/>
        <v>0</v>
      </c>
      <c r="DE131" s="119">
        <f t="shared" si="230"/>
        <v>0</v>
      </c>
      <c r="DF131" s="194">
        <f t="shared" si="230"/>
        <v>0</v>
      </c>
      <c r="DG131" s="117">
        <f t="shared" si="230"/>
        <v>0</v>
      </c>
      <c r="DH131" s="118">
        <f t="shared" si="230"/>
        <v>0</v>
      </c>
      <c r="DI131" s="116">
        <f t="shared" si="230"/>
        <v>0</v>
      </c>
      <c r="DJ131" s="117">
        <f t="shared" si="230"/>
        <v>0</v>
      </c>
      <c r="DK131" s="119">
        <f t="shared" si="230"/>
        <v>0</v>
      </c>
      <c r="DL131" s="194">
        <f t="shared" si="230"/>
        <v>0</v>
      </c>
      <c r="DM131" s="117">
        <f t="shared" si="230"/>
        <v>0</v>
      </c>
      <c r="DN131" s="118">
        <f t="shared" si="230"/>
        <v>0</v>
      </c>
      <c r="DO131" s="116">
        <f t="shared" si="230"/>
        <v>0</v>
      </c>
      <c r="DP131" s="117">
        <f t="shared" si="230"/>
        <v>0</v>
      </c>
      <c r="DQ131" s="119">
        <f t="shared" si="230"/>
        <v>0</v>
      </c>
      <c r="DR131" s="194">
        <f t="shared" si="230"/>
        <v>0</v>
      </c>
      <c r="DS131" s="117">
        <f t="shared" si="230"/>
        <v>0</v>
      </c>
      <c r="DT131" s="118">
        <f t="shared" si="230"/>
        <v>0</v>
      </c>
      <c r="DU131" s="116">
        <f t="shared" si="230"/>
        <v>0</v>
      </c>
      <c r="DV131" s="117">
        <f t="shared" si="230"/>
        <v>0</v>
      </c>
      <c r="DW131" s="119">
        <f t="shared" si="230"/>
        <v>0</v>
      </c>
      <c r="DX131" s="194">
        <f t="shared" si="230"/>
        <v>0</v>
      </c>
      <c r="DY131" s="117">
        <f t="shared" si="230"/>
        <v>0</v>
      </c>
      <c r="DZ131" s="118">
        <f t="shared" si="230"/>
        <v>0</v>
      </c>
      <c r="EA131" s="116">
        <f t="shared" si="230"/>
        <v>0</v>
      </c>
      <c r="EB131" s="117">
        <f t="shared" si="230"/>
        <v>0</v>
      </c>
      <c r="EC131" s="119">
        <f t="shared" si="230"/>
        <v>0</v>
      </c>
      <c r="ED131" s="194">
        <f t="shared" si="230"/>
        <v>0</v>
      </c>
      <c r="EE131" s="117">
        <f t="shared" si="230"/>
        <v>0</v>
      </c>
      <c r="EF131" s="118">
        <f t="shared" si="230"/>
        <v>0</v>
      </c>
      <c r="EG131" s="116">
        <f t="shared" si="230"/>
        <v>0</v>
      </c>
      <c r="EH131" s="117">
        <f t="shared" si="230"/>
        <v>0</v>
      </c>
      <c r="EI131" s="119">
        <f t="shared" si="230"/>
        <v>0</v>
      </c>
      <c r="EJ131" s="194">
        <f t="shared" si="230"/>
        <v>0</v>
      </c>
      <c r="EK131" s="117">
        <f t="shared" si="230"/>
        <v>0</v>
      </c>
      <c r="EL131" s="118">
        <f t="shared" si="230"/>
        <v>0</v>
      </c>
      <c r="EM131" s="116">
        <f t="shared" ref="EM131:GX131" si="232">+EM24+EM60+EM96</f>
        <v>0</v>
      </c>
      <c r="EN131" s="117">
        <f t="shared" si="232"/>
        <v>0</v>
      </c>
      <c r="EO131" s="119">
        <f t="shared" si="232"/>
        <v>0</v>
      </c>
      <c r="EP131" s="194">
        <f t="shared" si="232"/>
        <v>0</v>
      </c>
      <c r="EQ131" s="117">
        <f t="shared" si="232"/>
        <v>0</v>
      </c>
      <c r="ER131" s="118">
        <f t="shared" si="232"/>
        <v>0</v>
      </c>
      <c r="ES131" s="116">
        <f t="shared" si="232"/>
        <v>0</v>
      </c>
      <c r="ET131" s="117">
        <f t="shared" si="232"/>
        <v>0</v>
      </c>
      <c r="EU131" s="119">
        <f t="shared" si="232"/>
        <v>0</v>
      </c>
      <c r="EV131" s="194">
        <f t="shared" si="232"/>
        <v>0</v>
      </c>
      <c r="EW131" s="117">
        <f t="shared" si="232"/>
        <v>0</v>
      </c>
      <c r="EX131" s="118">
        <f t="shared" si="232"/>
        <v>0</v>
      </c>
      <c r="EY131" s="116">
        <f t="shared" si="232"/>
        <v>0</v>
      </c>
      <c r="EZ131" s="117">
        <f t="shared" si="232"/>
        <v>0</v>
      </c>
      <c r="FA131" s="119">
        <f t="shared" si="232"/>
        <v>0</v>
      </c>
      <c r="FB131" s="194">
        <f t="shared" si="232"/>
        <v>0</v>
      </c>
      <c r="FC131" s="117">
        <f t="shared" si="232"/>
        <v>0</v>
      </c>
      <c r="FD131" s="118">
        <f t="shared" si="232"/>
        <v>0</v>
      </c>
      <c r="FE131" s="116">
        <f t="shared" si="232"/>
        <v>0</v>
      </c>
      <c r="FF131" s="117">
        <f t="shared" si="232"/>
        <v>0</v>
      </c>
      <c r="FG131" s="119">
        <f t="shared" si="232"/>
        <v>0</v>
      </c>
      <c r="FH131" s="194">
        <f t="shared" si="232"/>
        <v>0</v>
      </c>
      <c r="FI131" s="117">
        <f t="shared" si="232"/>
        <v>0</v>
      </c>
      <c r="FJ131" s="118">
        <f t="shared" si="232"/>
        <v>0</v>
      </c>
      <c r="FK131" s="116">
        <f t="shared" si="232"/>
        <v>0</v>
      </c>
      <c r="FL131" s="117">
        <f t="shared" si="232"/>
        <v>0</v>
      </c>
      <c r="FM131" s="119">
        <f t="shared" si="232"/>
        <v>0</v>
      </c>
      <c r="FN131" s="194">
        <f t="shared" si="232"/>
        <v>0</v>
      </c>
      <c r="FO131" s="117">
        <f t="shared" si="232"/>
        <v>0</v>
      </c>
      <c r="FP131" s="118">
        <f t="shared" si="232"/>
        <v>0</v>
      </c>
      <c r="FQ131" s="116">
        <f t="shared" si="232"/>
        <v>0</v>
      </c>
      <c r="FR131" s="117">
        <f t="shared" si="232"/>
        <v>0</v>
      </c>
      <c r="FS131" s="119">
        <f t="shared" si="232"/>
        <v>0</v>
      </c>
      <c r="FT131" s="194">
        <f t="shared" si="232"/>
        <v>0</v>
      </c>
      <c r="FU131" s="117">
        <f t="shared" si="232"/>
        <v>0</v>
      </c>
      <c r="FV131" s="118">
        <f t="shared" si="232"/>
        <v>0</v>
      </c>
      <c r="FW131" s="116">
        <f t="shared" si="232"/>
        <v>0</v>
      </c>
      <c r="FX131" s="117">
        <f t="shared" si="232"/>
        <v>0</v>
      </c>
      <c r="FY131" s="119">
        <f t="shared" si="232"/>
        <v>0</v>
      </c>
      <c r="FZ131" s="194">
        <f t="shared" si="232"/>
        <v>0</v>
      </c>
      <c r="GA131" s="117">
        <f t="shared" si="232"/>
        <v>0</v>
      </c>
      <c r="GB131" s="118">
        <f t="shared" si="232"/>
        <v>0</v>
      </c>
      <c r="GC131" s="116">
        <f t="shared" si="232"/>
        <v>0</v>
      </c>
      <c r="GD131" s="117">
        <f t="shared" si="232"/>
        <v>0</v>
      </c>
      <c r="GE131" s="119">
        <f t="shared" si="232"/>
        <v>0</v>
      </c>
      <c r="GF131" s="194">
        <f t="shared" si="232"/>
        <v>0</v>
      </c>
      <c r="GG131" s="117">
        <f t="shared" si="232"/>
        <v>0</v>
      </c>
      <c r="GH131" s="118">
        <f t="shared" si="232"/>
        <v>0</v>
      </c>
      <c r="GI131" s="116">
        <f t="shared" si="232"/>
        <v>0</v>
      </c>
      <c r="GJ131" s="117">
        <f t="shared" si="232"/>
        <v>0</v>
      </c>
      <c r="GK131" s="118">
        <f t="shared" si="232"/>
        <v>0</v>
      </c>
      <c r="GL131" s="239">
        <f t="shared" si="232"/>
        <v>0</v>
      </c>
      <c r="GM131" s="43">
        <f t="shared" si="232"/>
        <v>0</v>
      </c>
      <c r="GN131" s="283">
        <f t="shared" si="232"/>
        <v>0</v>
      </c>
      <c r="GO131" s="239">
        <f t="shared" si="232"/>
        <v>0</v>
      </c>
      <c r="GP131" s="43">
        <f t="shared" si="232"/>
        <v>0</v>
      </c>
      <c r="GQ131" s="57">
        <f t="shared" si="232"/>
        <v>0</v>
      </c>
      <c r="GR131" s="194">
        <f t="shared" si="232"/>
        <v>0</v>
      </c>
      <c r="GS131" s="117">
        <f t="shared" si="232"/>
        <v>0</v>
      </c>
      <c r="GT131" s="119">
        <f t="shared" si="232"/>
        <v>0</v>
      </c>
      <c r="GU131" s="194">
        <f t="shared" si="232"/>
        <v>0</v>
      </c>
      <c r="GV131" s="117">
        <f t="shared" si="232"/>
        <v>0</v>
      </c>
      <c r="GW131" s="119">
        <f t="shared" si="232"/>
        <v>0</v>
      </c>
      <c r="GX131" s="194">
        <f t="shared" si="232"/>
        <v>0</v>
      </c>
      <c r="GY131" s="117">
        <f t="shared" ref="GY131:HC131" si="233">+GY24+GY60+GY96</f>
        <v>0</v>
      </c>
      <c r="GZ131" s="119">
        <f t="shared" si="233"/>
        <v>0</v>
      </c>
      <c r="HA131" s="194">
        <f t="shared" si="233"/>
        <v>0</v>
      </c>
      <c r="HB131" s="117">
        <f t="shared" si="233"/>
        <v>0</v>
      </c>
      <c r="HC131" s="119">
        <f t="shared" si="233"/>
        <v>0</v>
      </c>
      <c r="HD131" s="368">
        <f t="shared" si="139"/>
        <v>0</v>
      </c>
      <c r="HE131" s="369">
        <f t="shared" si="140"/>
        <v>0</v>
      </c>
      <c r="HF131" s="369">
        <f t="shared" si="141"/>
        <v>0</v>
      </c>
      <c r="HG131" s="145">
        <f t="shared" si="132"/>
        <v>0</v>
      </c>
    </row>
    <row r="132" spans="1:215" ht="15.75" thickBot="1">
      <c r="A132" s="238">
        <v>18</v>
      </c>
      <c r="B132" s="116">
        <f t="shared" ref="B132:AN132" si="234">+B25+B61+B97</f>
        <v>0</v>
      </c>
      <c r="C132" s="117">
        <f t="shared" si="234"/>
        <v>0</v>
      </c>
      <c r="D132" s="119">
        <f t="shared" si="234"/>
        <v>0</v>
      </c>
      <c r="E132" s="194">
        <f t="shared" si="234"/>
        <v>0</v>
      </c>
      <c r="F132" s="117">
        <f t="shared" si="234"/>
        <v>0</v>
      </c>
      <c r="G132" s="118">
        <f t="shared" si="234"/>
        <v>0</v>
      </c>
      <c r="H132" s="116">
        <f t="shared" si="234"/>
        <v>0</v>
      </c>
      <c r="I132" s="117">
        <f t="shared" si="234"/>
        <v>0</v>
      </c>
      <c r="J132" s="119">
        <f t="shared" si="234"/>
        <v>0</v>
      </c>
      <c r="K132" s="194">
        <f t="shared" si="234"/>
        <v>0</v>
      </c>
      <c r="L132" s="117">
        <f t="shared" si="234"/>
        <v>0</v>
      </c>
      <c r="M132" s="118">
        <f t="shared" si="234"/>
        <v>0</v>
      </c>
      <c r="N132" s="116">
        <f t="shared" si="234"/>
        <v>0</v>
      </c>
      <c r="O132" s="117">
        <f t="shared" si="234"/>
        <v>0</v>
      </c>
      <c r="P132" s="119">
        <f t="shared" si="234"/>
        <v>0</v>
      </c>
      <c r="Q132" s="194">
        <f t="shared" si="234"/>
        <v>0</v>
      </c>
      <c r="R132" s="117">
        <f t="shared" si="234"/>
        <v>0</v>
      </c>
      <c r="S132" s="118">
        <f t="shared" si="234"/>
        <v>0</v>
      </c>
      <c r="T132" s="116">
        <f t="shared" si="234"/>
        <v>0</v>
      </c>
      <c r="U132" s="117">
        <f t="shared" si="234"/>
        <v>0</v>
      </c>
      <c r="V132" s="119">
        <f t="shared" si="234"/>
        <v>0</v>
      </c>
      <c r="W132" s="194">
        <f t="shared" si="234"/>
        <v>0</v>
      </c>
      <c r="X132" s="117">
        <f t="shared" si="234"/>
        <v>0</v>
      </c>
      <c r="Y132" s="118">
        <f t="shared" si="234"/>
        <v>0</v>
      </c>
      <c r="Z132" s="116">
        <f t="shared" si="234"/>
        <v>0</v>
      </c>
      <c r="AA132" s="117">
        <f t="shared" si="234"/>
        <v>0</v>
      </c>
      <c r="AB132" s="119">
        <f t="shared" si="234"/>
        <v>0</v>
      </c>
      <c r="AC132" s="194">
        <f t="shared" si="234"/>
        <v>0</v>
      </c>
      <c r="AD132" s="117">
        <f t="shared" si="234"/>
        <v>0</v>
      </c>
      <c r="AE132" s="118">
        <f t="shared" si="234"/>
        <v>0</v>
      </c>
      <c r="AF132" s="116">
        <f t="shared" si="234"/>
        <v>0</v>
      </c>
      <c r="AG132" s="117">
        <f t="shared" si="234"/>
        <v>0</v>
      </c>
      <c r="AH132" s="119">
        <f t="shared" si="234"/>
        <v>0</v>
      </c>
      <c r="AI132" s="194">
        <f t="shared" si="234"/>
        <v>0</v>
      </c>
      <c r="AJ132" s="117">
        <f t="shared" si="234"/>
        <v>0</v>
      </c>
      <c r="AK132" s="118">
        <f t="shared" si="234"/>
        <v>0</v>
      </c>
      <c r="AL132" s="116">
        <f t="shared" si="234"/>
        <v>0</v>
      </c>
      <c r="AM132" s="117">
        <f t="shared" si="234"/>
        <v>0</v>
      </c>
      <c r="AN132" s="119">
        <f t="shared" si="234"/>
        <v>0</v>
      </c>
      <c r="AO132" s="194">
        <f t="shared" ref="AO132:BZ132" si="235">+AO25+AO61+AO97</f>
        <v>0</v>
      </c>
      <c r="AP132" s="117">
        <f t="shared" si="235"/>
        <v>0</v>
      </c>
      <c r="AQ132" s="118">
        <f t="shared" si="235"/>
        <v>0</v>
      </c>
      <c r="AR132" s="116">
        <f t="shared" si="235"/>
        <v>0</v>
      </c>
      <c r="AS132" s="117">
        <f t="shared" si="235"/>
        <v>0</v>
      </c>
      <c r="AT132" s="119">
        <f t="shared" si="235"/>
        <v>0</v>
      </c>
      <c r="AU132" s="194">
        <f t="shared" si="235"/>
        <v>0</v>
      </c>
      <c r="AV132" s="117">
        <f t="shared" si="235"/>
        <v>0</v>
      </c>
      <c r="AW132" s="118">
        <f t="shared" si="235"/>
        <v>0</v>
      </c>
      <c r="AX132" s="116">
        <f t="shared" si="235"/>
        <v>0</v>
      </c>
      <c r="AY132" s="117">
        <f t="shared" si="235"/>
        <v>0</v>
      </c>
      <c r="AZ132" s="119">
        <f t="shared" si="235"/>
        <v>0</v>
      </c>
      <c r="BA132" s="194">
        <f t="shared" si="235"/>
        <v>0</v>
      </c>
      <c r="BB132" s="117">
        <f t="shared" si="235"/>
        <v>0</v>
      </c>
      <c r="BC132" s="118">
        <f t="shared" si="235"/>
        <v>0</v>
      </c>
      <c r="BD132" s="116">
        <f t="shared" si="235"/>
        <v>0</v>
      </c>
      <c r="BE132" s="117">
        <f t="shared" si="235"/>
        <v>0</v>
      </c>
      <c r="BF132" s="119">
        <f t="shared" si="235"/>
        <v>0</v>
      </c>
      <c r="BG132" s="194">
        <f t="shared" si="235"/>
        <v>0</v>
      </c>
      <c r="BH132" s="117">
        <f t="shared" si="235"/>
        <v>0</v>
      </c>
      <c r="BI132" s="118">
        <f t="shared" si="235"/>
        <v>0</v>
      </c>
      <c r="BJ132" s="116">
        <f t="shared" si="235"/>
        <v>0</v>
      </c>
      <c r="BK132" s="117">
        <f t="shared" si="235"/>
        <v>0</v>
      </c>
      <c r="BL132" s="119">
        <f t="shared" si="235"/>
        <v>0</v>
      </c>
      <c r="BM132" s="194">
        <f t="shared" si="235"/>
        <v>0</v>
      </c>
      <c r="BN132" s="117">
        <f t="shared" si="235"/>
        <v>0</v>
      </c>
      <c r="BO132" s="118">
        <f t="shared" si="235"/>
        <v>0</v>
      </c>
      <c r="BP132" s="116">
        <f t="shared" si="235"/>
        <v>0</v>
      </c>
      <c r="BQ132" s="117">
        <f t="shared" si="235"/>
        <v>0</v>
      </c>
      <c r="BR132" s="119">
        <f t="shared" si="235"/>
        <v>0</v>
      </c>
      <c r="BS132" s="194">
        <f t="shared" si="235"/>
        <v>0</v>
      </c>
      <c r="BT132" s="117">
        <f t="shared" si="235"/>
        <v>0</v>
      </c>
      <c r="BU132" s="118">
        <f t="shared" si="235"/>
        <v>0</v>
      </c>
      <c r="BV132" s="116">
        <f t="shared" si="235"/>
        <v>0</v>
      </c>
      <c r="BW132" s="117">
        <f t="shared" si="235"/>
        <v>0</v>
      </c>
      <c r="BX132" s="119">
        <f t="shared" si="235"/>
        <v>0</v>
      </c>
      <c r="BY132" s="194">
        <f t="shared" si="235"/>
        <v>0</v>
      </c>
      <c r="BZ132" s="117">
        <f t="shared" si="235"/>
        <v>0</v>
      </c>
      <c r="CA132" s="118">
        <f t="shared" ref="CA132:EL132" si="236">+CA25+CA61+CA97</f>
        <v>0</v>
      </c>
      <c r="CB132" s="116">
        <f t="shared" si="236"/>
        <v>0</v>
      </c>
      <c r="CC132" s="117">
        <f t="shared" si="236"/>
        <v>0</v>
      </c>
      <c r="CD132" s="119">
        <f t="shared" si="236"/>
        <v>0</v>
      </c>
      <c r="CE132" s="194">
        <f t="shared" si="236"/>
        <v>0</v>
      </c>
      <c r="CF132" s="117">
        <f t="shared" si="236"/>
        <v>0</v>
      </c>
      <c r="CG132" s="118">
        <f t="shared" si="236"/>
        <v>0</v>
      </c>
      <c r="CH132" s="116">
        <f t="shared" si="236"/>
        <v>0</v>
      </c>
      <c r="CI132" s="117">
        <f t="shared" si="236"/>
        <v>0</v>
      </c>
      <c r="CJ132" s="118">
        <f t="shared" si="236"/>
        <v>0</v>
      </c>
      <c r="CK132" s="239">
        <f t="shared" si="236"/>
        <v>0</v>
      </c>
      <c r="CL132" s="43">
        <f t="shared" si="236"/>
        <v>0</v>
      </c>
      <c r="CM132" s="283">
        <f t="shared" si="236"/>
        <v>0</v>
      </c>
      <c r="CN132" s="239">
        <f t="shared" si="236"/>
        <v>0</v>
      </c>
      <c r="CO132" s="43">
        <f t="shared" si="236"/>
        <v>0</v>
      </c>
      <c r="CP132" s="57">
        <f t="shared" si="236"/>
        <v>0</v>
      </c>
      <c r="CQ132" s="194">
        <f t="shared" ref="CQ132:CY132" si="237">+CQ25+CQ61+CQ97</f>
        <v>0</v>
      </c>
      <c r="CR132" s="117">
        <f t="shared" si="237"/>
        <v>0</v>
      </c>
      <c r="CS132" s="119">
        <f t="shared" si="237"/>
        <v>0</v>
      </c>
      <c r="CT132" s="194">
        <f t="shared" si="237"/>
        <v>0</v>
      </c>
      <c r="CU132" s="117">
        <f t="shared" si="237"/>
        <v>0</v>
      </c>
      <c r="CV132" s="119">
        <f t="shared" si="237"/>
        <v>0</v>
      </c>
      <c r="CW132" s="194">
        <f t="shared" si="237"/>
        <v>0</v>
      </c>
      <c r="CX132" s="117">
        <f t="shared" si="237"/>
        <v>0</v>
      </c>
      <c r="CY132" s="119">
        <f t="shared" si="237"/>
        <v>0</v>
      </c>
      <c r="CZ132" s="194">
        <f t="shared" si="236"/>
        <v>0</v>
      </c>
      <c r="DA132" s="117">
        <f t="shared" si="236"/>
        <v>0</v>
      </c>
      <c r="DB132" s="119">
        <f t="shared" si="236"/>
        <v>0</v>
      </c>
      <c r="DC132" s="116">
        <f t="shared" si="236"/>
        <v>0</v>
      </c>
      <c r="DD132" s="117">
        <f t="shared" si="236"/>
        <v>0</v>
      </c>
      <c r="DE132" s="119">
        <f t="shared" si="236"/>
        <v>0</v>
      </c>
      <c r="DF132" s="194">
        <f t="shared" si="236"/>
        <v>0</v>
      </c>
      <c r="DG132" s="117">
        <f t="shared" si="236"/>
        <v>0</v>
      </c>
      <c r="DH132" s="118">
        <f t="shared" si="236"/>
        <v>0</v>
      </c>
      <c r="DI132" s="116">
        <f t="shared" si="236"/>
        <v>0</v>
      </c>
      <c r="DJ132" s="117">
        <f t="shared" si="236"/>
        <v>0</v>
      </c>
      <c r="DK132" s="119">
        <f t="shared" si="236"/>
        <v>0</v>
      </c>
      <c r="DL132" s="194">
        <f t="shared" si="236"/>
        <v>0</v>
      </c>
      <c r="DM132" s="117">
        <f t="shared" si="236"/>
        <v>0</v>
      </c>
      <c r="DN132" s="118">
        <f t="shared" si="236"/>
        <v>0</v>
      </c>
      <c r="DO132" s="116">
        <f t="shared" si="236"/>
        <v>0</v>
      </c>
      <c r="DP132" s="117">
        <f t="shared" si="236"/>
        <v>0</v>
      </c>
      <c r="DQ132" s="119">
        <f t="shared" si="236"/>
        <v>0</v>
      </c>
      <c r="DR132" s="194">
        <f t="shared" si="236"/>
        <v>0</v>
      </c>
      <c r="DS132" s="117">
        <f t="shared" si="236"/>
        <v>0</v>
      </c>
      <c r="DT132" s="118">
        <f t="shared" si="236"/>
        <v>0</v>
      </c>
      <c r="DU132" s="116">
        <f t="shared" si="236"/>
        <v>0</v>
      </c>
      <c r="DV132" s="117">
        <f t="shared" si="236"/>
        <v>0</v>
      </c>
      <c r="DW132" s="119">
        <f t="shared" si="236"/>
        <v>0</v>
      </c>
      <c r="DX132" s="194">
        <f t="shared" si="236"/>
        <v>0</v>
      </c>
      <c r="DY132" s="117">
        <f t="shared" si="236"/>
        <v>0</v>
      </c>
      <c r="DZ132" s="118">
        <f t="shared" si="236"/>
        <v>0</v>
      </c>
      <c r="EA132" s="116">
        <f t="shared" si="236"/>
        <v>0</v>
      </c>
      <c r="EB132" s="117">
        <f t="shared" si="236"/>
        <v>0</v>
      </c>
      <c r="EC132" s="119">
        <f t="shared" si="236"/>
        <v>0</v>
      </c>
      <c r="ED132" s="194">
        <f t="shared" si="236"/>
        <v>0</v>
      </c>
      <c r="EE132" s="117">
        <f t="shared" si="236"/>
        <v>0</v>
      </c>
      <c r="EF132" s="118">
        <f t="shared" si="236"/>
        <v>0</v>
      </c>
      <c r="EG132" s="116">
        <f t="shared" si="236"/>
        <v>0</v>
      </c>
      <c r="EH132" s="117">
        <f t="shared" si="236"/>
        <v>0</v>
      </c>
      <c r="EI132" s="119">
        <f t="shared" si="236"/>
        <v>0</v>
      </c>
      <c r="EJ132" s="194">
        <f t="shared" si="236"/>
        <v>0</v>
      </c>
      <c r="EK132" s="117">
        <f t="shared" si="236"/>
        <v>0</v>
      </c>
      <c r="EL132" s="118">
        <f t="shared" si="236"/>
        <v>0</v>
      </c>
      <c r="EM132" s="116">
        <f t="shared" ref="EM132:GX132" si="238">+EM25+EM61+EM97</f>
        <v>0</v>
      </c>
      <c r="EN132" s="117">
        <f t="shared" si="238"/>
        <v>0</v>
      </c>
      <c r="EO132" s="119">
        <f t="shared" si="238"/>
        <v>0</v>
      </c>
      <c r="EP132" s="194">
        <f t="shared" si="238"/>
        <v>0</v>
      </c>
      <c r="EQ132" s="117">
        <f t="shared" si="238"/>
        <v>0</v>
      </c>
      <c r="ER132" s="118">
        <f t="shared" si="238"/>
        <v>0</v>
      </c>
      <c r="ES132" s="116">
        <f t="shared" si="238"/>
        <v>0</v>
      </c>
      <c r="ET132" s="117">
        <f t="shared" si="238"/>
        <v>0</v>
      </c>
      <c r="EU132" s="119">
        <f t="shared" si="238"/>
        <v>0</v>
      </c>
      <c r="EV132" s="194">
        <f t="shared" si="238"/>
        <v>0</v>
      </c>
      <c r="EW132" s="117">
        <f t="shared" si="238"/>
        <v>0</v>
      </c>
      <c r="EX132" s="118">
        <f t="shared" si="238"/>
        <v>0</v>
      </c>
      <c r="EY132" s="116">
        <f t="shared" si="238"/>
        <v>0</v>
      </c>
      <c r="EZ132" s="117">
        <f t="shared" si="238"/>
        <v>0</v>
      </c>
      <c r="FA132" s="119">
        <f t="shared" si="238"/>
        <v>0</v>
      </c>
      <c r="FB132" s="194">
        <f t="shared" si="238"/>
        <v>0</v>
      </c>
      <c r="FC132" s="117">
        <f t="shared" si="238"/>
        <v>0</v>
      </c>
      <c r="FD132" s="118">
        <f t="shared" si="238"/>
        <v>0</v>
      </c>
      <c r="FE132" s="116">
        <f t="shared" si="238"/>
        <v>0</v>
      </c>
      <c r="FF132" s="117">
        <f t="shared" si="238"/>
        <v>0</v>
      </c>
      <c r="FG132" s="119">
        <f t="shared" si="238"/>
        <v>0</v>
      </c>
      <c r="FH132" s="194">
        <f t="shared" si="238"/>
        <v>0</v>
      </c>
      <c r="FI132" s="117">
        <f t="shared" si="238"/>
        <v>0</v>
      </c>
      <c r="FJ132" s="118">
        <f t="shared" si="238"/>
        <v>0</v>
      </c>
      <c r="FK132" s="116">
        <f t="shared" si="238"/>
        <v>0</v>
      </c>
      <c r="FL132" s="117">
        <f t="shared" si="238"/>
        <v>0</v>
      </c>
      <c r="FM132" s="119">
        <f t="shared" si="238"/>
        <v>0</v>
      </c>
      <c r="FN132" s="194">
        <f t="shared" si="238"/>
        <v>0</v>
      </c>
      <c r="FO132" s="117">
        <f t="shared" si="238"/>
        <v>0</v>
      </c>
      <c r="FP132" s="118">
        <f t="shared" si="238"/>
        <v>0</v>
      </c>
      <c r="FQ132" s="116">
        <f t="shared" si="238"/>
        <v>0</v>
      </c>
      <c r="FR132" s="117">
        <f t="shared" si="238"/>
        <v>0</v>
      </c>
      <c r="FS132" s="119">
        <f t="shared" si="238"/>
        <v>0</v>
      </c>
      <c r="FT132" s="194">
        <f t="shared" si="238"/>
        <v>0</v>
      </c>
      <c r="FU132" s="117">
        <f t="shared" si="238"/>
        <v>0</v>
      </c>
      <c r="FV132" s="118">
        <f t="shared" si="238"/>
        <v>0</v>
      </c>
      <c r="FW132" s="116">
        <f t="shared" si="238"/>
        <v>0</v>
      </c>
      <c r="FX132" s="117">
        <f t="shared" si="238"/>
        <v>0</v>
      </c>
      <c r="FY132" s="119">
        <f t="shared" si="238"/>
        <v>0</v>
      </c>
      <c r="FZ132" s="194">
        <f t="shared" si="238"/>
        <v>0</v>
      </c>
      <c r="GA132" s="117">
        <f t="shared" si="238"/>
        <v>0</v>
      </c>
      <c r="GB132" s="118">
        <f t="shared" si="238"/>
        <v>0</v>
      </c>
      <c r="GC132" s="116">
        <f t="shared" si="238"/>
        <v>0</v>
      </c>
      <c r="GD132" s="117">
        <f t="shared" si="238"/>
        <v>0</v>
      </c>
      <c r="GE132" s="119">
        <f t="shared" si="238"/>
        <v>0</v>
      </c>
      <c r="GF132" s="194">
        <f t="shared" si="238"/>
        <v>0</v>
      </c>
      <c r="GG132" s="117">
        <f t="shared" si="238"/>
        <v>0</v>
      </c>
      <c r="GH132" s="118">
        <f t="shared" si="238"/>
        <v>0</v>
      </c>
      <c r="GI132" s="116">
        <f t="shared" si="238"/>
        <v>0</v>
      </c>
      <c r="GJ132" s="117">
        <f t="shared" si="238"/>
        <v>0</v>
      </c>
      <c r="GK132" s="118">
        <f t="shared" si="238"/>
        <v>0</v>
      </c>
      <c r="GL132" s="239">
        <f t="shared" si="238"/>
        <v>0</v>
      </c>
      <c r="GM132" s="43">
        <f t="shared" si="238"/>
        <v>0</v>
      </c>
      <c r="GN132" s="283">
        <f t="shared" si="238"/>
        <v>0</v>
      </c>
      <c r="GO132" s="239">
        <f t="shared" si="238"/>
        <v>0</v>
      </c>
      <c r="GP132" s="43">
        <f t="shared" si="238"/>
        <v>0</v>
      </c>
      <c r="GQ132" s="57">
        <f t="shared" si="238"/>
        <v>0</v>
      </c>
      <c r="GR132" s="194">
        <f t="shared" si="238"/>
        <v>0</v>
      </c>
      <c r="GS132" s="117">
        <f t="shared" si="238"/>
        <v>0</v>
      </c>
      <c r="GT132" s="119">
        <f t="shared" si="238"/>
        <v>0</v>
      </c>
      <c r="GU132" s="194">
        <f t="shared" si="238"/>
        <v>0</v>
      </c>
      <c r="GV132" s="117">
        <f t="shared" si="238"/>
        <v>0</v>
      </c>
      <c r="GW132" s="119">
        <f t="shared" si="238"/>
        <v>0</v>
      </c>
      <c r="GX132" s="194">
        <f t="shared" si="238"/>
        <v>0</v>
      </c>
      <c r="GY132" s="117">
        <f t="shared" ref="GY132:HC132" si="239">+GY25+GY61+GY97</f>
        <v>0</v>
      </c>
      <c r="GZ132" s="119">
        <f t="shared" si="239"/>
        <v>0</v>
      </c>
      <c r="HA132" s="194">
        <f t="shared" si="239"/>
        <v>0</v>
      </c>
      <c r="HB132" s="117">
        <f t="shared" si="239"/>
        <v>0</v>
      </c>
      <c r="HC132" s="119">
        <f t="shared" si="239"/>
        <v>0</v>
      </c>
      <c r="HD132" s="368">
        <f t="shared" si="139"/>
        <v>0</v>
      </c>
      <c r="HE132" s="369">
        <f t="shared" si="140"/>
        <v>0</v>
      </c>
      <c r="HF132" s="369">
        <f t="shared" si="141"/>
        <v>0</v>
      </c>
      <c r="HG132" s="145">
        <f t="shared" si="132"/>
        <v>0</v>
      </c>
    </row>
    <row r="133" spans="1:215" ht="15.75" thickBot="1">
      <c r="A133" s="353">
        <v>19</v>
      </c>
      <c r="B133" s="116">
        <f t="shared" ref="B133:AN133" si="240">+B26+B62+B98</f>
        <v>0</v>
      </c>
      <c r="C133" s="117">
        <f t="shared" si="240"/>
        <v>0</v>
      </c>
      <c r="D133" s="119">
        <f t="shared" si="240"/>
        <v>0</v>
      </c>
      <c r="E133" s="194">
        <f t="shared" si="240"/>
        <v>0</v>
      </c>
      <c r="F133" s="117">
        <f t="shared" si="240"/>
        <v>0</v>
      </c>
      <c r="G133" s="118">
        <f t="shared" si="240"/>
        <v>0</v>
      </c>
      <c r="H133" s="116">
        <f t="shared" si="240"/>
        <v>0</v>
      </c>
      <c r="I133" s="117">
        <f t="shared" si="240"/>
        <v>0</v>
      </c>
      <c r="J133" s="119">
        <f t="shared" si="240"/>
        <v>0</v>
      </c>
      <c r="K133" s="194">
        <f t="shared" si="240"/>
        <v>0</v>
      </c>
      <c r="L133" s="117">
        <f t="shared" si="240"/>
        <v>0</v>
      </c>
      <c r="M133" s="118">
        <f t="shared" si="240"/>
        <v>0</v>
      </c>
      <c r="N133" s="116">
        <f t="shared" si="240"/>
        <v>0</v>
      </c>
      <c r="O133" s="117">
        <f t="shared" si="240"/>
        <v>0</v>
      </c>
      <c r="P133" s="119">
        <f t="shared" si="240"/>
        <v>0</v>
      </c>
      <c r="Q133" s="194">
        <f t="shared" si="240"/>
        <v>0</v>
      </c>
      <c r="R133" s="117">
        <f t="shared" si="240"/>
        <v>0</v>
      </c>
      <c r="S133" s="118">
        <f t="shared" si="240"/>
        <v>0</v>
      </c>
      <c r="T133" s="116">
        <f t="shared" si="240"/>
        <v>0</v>
      </c>
      <c r="U133" s="117">
        <f t="shared" si="240"/>
        <v>0</v>
      </c>
      <c r="V133" s="119">
        <f t="shared" si="240"/>
        <v>0</v>
      </c>
      <c r="W133" s="194">
        <f t="shared" si="240"/>
        <v>0</v>
      </c>
      <c r="X133" s="117">
        <f t="shared" si="240"/>
        <v>0</v>
      </c>
      <c r="Y133" s="118">
        <f t="shared" si="240"/>
        <v>0</v>
      </c>
      <c r="Z133" s="116">
        <f t="shared" si="240"/>
        <v>0</v>
      </c>
      <c r="AA133" s="117">
        <f t="shared" si="240"/>
        <v>0</v>
      </c>
      <c r="AB133" s="119">
        <f t="shared" si="240"/>
        <v>0</v>
      </c>
      <c r="AC133" s="194">
        <f t="shared" si="240"/>
        <v>0</v>
      </c>
      <c r="AD133" s="117">
        <f t="shared" si="240"/>
        <v>0</v>
      </c>
      <c r="AE133" s="118">
        <f t="shared" si="240"/>
        <v>0</v>
      </c>
      <c r="AF133" s="116">
        <f t="shared" si="240"/>
        <v>0</v>
      </c>
      <c r="AG133" s="117">
        <f t="shared" si="240"/>
        <v>0</v>
      </c>
      <c r="AH133" s="119">
        <f t="shared" si="240"/>
        <v>0</v>
      </c>
      <c r="AI133" s="194">
        <f t="shared" si="240"/>
        <v>0</v>
      </c>
      <c r="AJ133" s="117">
        <f t="shared" si="240"/>
        <v>0</v>
      </c>
      <c r="AK133" s="118">
        <f t="shared" si="240"/>
        <v>0</v>
      </c>
      <c r="AL133" s="116">
        <f t="shared" si="240"/>
        <v>0</v>
      </c>
      <c r="AM133" s="117">
        <f t="shared" si="240"/>
        <v>0</v>
      </c>
      <c r="AN133" s="119">
        <f t="shared" si="240"/>
        <v>0</v>
      </c>
      <c r="AO133" s="194">
        <f t="shared" ref="AO133:BZ133" si="241">+AO26+AO62+AO98</f>
        <v>0</v>
      </c>
      <c r="AP133" s="117">
        <f t="shared" si="241"/>
        <v>0</v>
      </c>
      <c r="AQ133" s="118">
        <f t="shared" si="241"/>
        <v>0</v>
      </c>
      <c r="AR133" s="116">
        <f t="shared" si="241"/>
        <v>0</v>
      </c>
      <c r="AS133" s="117">
        <f t="shared" si="241"/>
        <v>0</v>
      </c>
      <c r="AT133" s="119">
        <f t="shared" si="241"/>
        <v>0</v>
      </c>
      <c r="AU133" s="194">
        <f t="shared" si="241"/>
        <v>0</v>
      </c>
      <c r="AV133" s="117">
        <f t="shared" si="241"/>
        <v>0</v>
      </c>
      <c r="AW133" s="118">
        <f t="shared" si="241"/>
        <v>0</v>
      </c>
      <c r="AX133" s="116">
        <f t="shared" si="241"/>
        <v>0</v>
      </c>
      <c r="AY133" s="117">
        <f t="shared" si="241"/>
        <v>0</v>
      </c>
      <c r="AZ133" s="119">
        <f t="shared" si="241"/>
        <v>0</v>
      </c>
      <c r="BA133" s="194">
        <f t="shared" si="241"/>
        <v>0</v>
      </c>
      <c r="BB133" s="117">
        <f t="shared" si="241"/>
        <v>0</v>
      </c>
      <c r="BC133" s="118">
        <f t="shared" si="241"/>
        <v>0</v>
      </c>
      <c r="BD133" s="116">
        <f t="shared" si="241"/>
        <v>0</v>
      </c>
      <c r="BE133" s="117">
        <f t="shared" si="241"/>
        <v>0</v>
      </c>
      <c r="BF133" s="119">
        <f t="shared" si="241"/>
        <v>0</v>
      </c>
      <c r="BG133" s="194">
        <f t="shared" si="241"/>
        <v>0</v>
      </c>
      <c r="BH133" s="117">
        <f t="shared" si="241"/>
        <v>0</v>
      </c>
      <c r="BI133" s="118">
        <f t="shared" si="241"/>
        <v>0</v>
      </c>
      <c r="BJ133" s="116">
        <f t="shared" si="241"/>
        <v>0</v>
      </c>
      <c r="BK133" s="117">
        <f t="shared" si="241"/>
        <v>0</v>
      </c>
      <c r="BL133" s="119">
        <f t="shared" si="241"/>
        <v>0</v>
      </c>
      <c r="BM133" s="194">
        <f t="shared" si="241"/>
        <v>0</v>
      </c>
      <c r="BN133" s="117">
        <f t="shared" si="241"/>
        <v>0</v>
      </c>
      <c r="BO133" s="118">
        <f t="shared" si="241"/>
        <v>0</v>
      </c>
      <c r="BP133" s="116">
        <f t="shared" si="241"/>
        <v>0</v>
      </c>
      <c r="BQ133" s="117">
        <f t="shared" si="241"/>
        <v>0</v>
      </c>
      <c r="BR133" s="119">
        <f t="shared" si="241"/>
        <v>0</v>
      </c>
      <c r="BS133" s="194">
        <f t="shared" si="241"/>
        <v>0</v>
      </c>
      <c r="BT133" s="117">
        <f t="shared" si="241"/>
        <v>0</v>
      </c>
      <c r="BU133" s="118">
        <f t="shared" si="241"/>
        <v>0</v>
      </c>
      <c r="BV133" s="116">
        <f t="shared" si="241"/>
        <v>0</v>
      </c>
      <c r="BW133" s="117">
        <f t="shared" si="241"/>
        <v>0</v>
      </c>
      <c r="BX133" s="119">
        <f t="shared" si="241"/>
        <v>0</v>
      </c>
      <c r="BY133" s="194">
        <f t="shared" si="241"/>
        <v>0</v>
      </c>
      <c r="BZ133" s="117">
        <f t="shared" si="241"/>
        <v>0</v>
      </c>
      <c r="CA133" s="118">
        <f t="shared" ref="CA133:EL133" si="242">+CA26+CA62+CA98</f>
        <v>0</v>
      </c>
      <c r="CB133" s="116">
        <f t="shared" si="242"/>
        <v>0</v>
      </c>
      <c r="CC133" s="117">
        <f t="shared" si="242"/>
        <v>0</v>
      </c>
      <c r="CD133" s="119">
        <f t="shared" si="242"/>
        <v>0</v>
      </c>
      <c r="CE133" s="194">
        <f t="shared" si="242"/>
        <v>0</v>
      </c>
      <c r="CF133" s="117">
        <f t="shared" si="242"/>
        <v>0</v>
      </c>
      <c r="CG133" s="118">
        <f t="shared" si="242"/>
        <v>0</v>
      </c>
      <c r="CH133" s="116">
        <f t="shared" si="242"/>
        <v>0</v>
      </c>
      <c r="CI133" s="117">
        <f t="shared" si="242"/>
        <v>0</v>
      </c>
      <c r="CJ133" s="118">
        <f t="shared" si="242"/>
        <v>0</v>
      </c>
      <c r="CK133" s="239">
        <f t="shared" si="242"/>
        <v>0</v>
      </c>
      <c r="CL133" s="43">
        <f t="shared" si="242"/>
        <v>0</v>
      </c>
      <c r="CM133" s="283">
        <f t="shared" si="242"/>
        <v>0</v>
      </c>
      <c r="CN133" s="239">
        <f t="shared" si="242"/>
        <v>0</v>
      </c>
      <c r="CO133" s="43">
        <f t="shared" si="242"/>
        <v>0</v>
      </c>
      <c r="CP133" s="57">
        <f t="shared" si="242"/>
        <v>0</v>
      </c>
      <c r="CQ133" s="194">
        <f t="shared" ref="CQ133:CY133" si="243">+CQ26+CQ62+CQ98</f>
        <v>0</v>
      </c>
      <c r="CR133" s="117">
        <f t="shared" si="243"/>
        <v>0</v>
      </c>
      <c r="CS133" s="119">
        <f t="shared" si="243"/>
        <v>0</v>
      </c>
      <c r="CT133" s="194">
        <f t="shared" si="243"/>
        <v>0</v>
      </c>
      <c r="CU133" s="117">
        <f t="shared" si="243"/>
        <v>0</v>
      </c>
      <c r="CV133" s="119">
        <f t="shared" si="243"/>
        <v>0</v>
      </c>
      <c r="CW133" s="194">
        <f t="shared" si="243"/>
        <v>0</v>
      </c>
      <c r="CX133" s="117">
        <f t="shared" si="243"/>
        <v>0</v>
      </c>
      <c r="CY133" s="119">
        <f t="shared" si="243"/>
        <v>0</v>
      </c>
      <c r="CZ133" s="194">
        <f t="shared" si="242"/>
        <v>0</v>
      </c>
      <c r="DA133" s="117">
        <f t="shared" si="242"/>
        <v>0</v>
      </c>
      <c r="DB133" s="119">
        <f t="shared" si="242"/>
        <v>0</v>
      </c>
      <c r="DC133" s="116">
        <f t="shared" si="242"/>
        <v>0</v>
      </c>
      <c r="DD133" s="117">
        <f t="shared" si="242"/>
        <v>0</v>
      </c>
      <c r="DE133" s="119">
        <f t="shared" si="242"/>
        <v>0</v>
      </c>
      <c r="DF133" s="194">
        <f t="shared" si="242"/>
        <v>0</v>
      </c>
      <c r="DG133" s="117">
        <f t="shared" si="242"/>
        <v>0</v>
      </c>
      <c r="DH133" s="118">
        <f t="shared" si="242"/>
        <v>0</v>
      </c>
      <c r="DI133" s="116">
        <f t="shared" si="242"/>
        <v>0</v>
      </c>
      <c r="DJ133" s="117">
        <f t="shared" si="242"/>
        <v>0</v>
      </c>
      <c r="DK133" s="119">
        <f t="shared" si="242"/>
        <v>0</v>
      </c>
      <c r="DL133" s="194">
        <f t="shared" si="242"/>
        <v>0</v>
      </c>
      <c r="DM133" s="117">
        <f t="shared" si="242"/>
        <v>0</v>
      </c>
      <c r="DN133" s="118">
        <f t="shared" si="242"/>
        <v>0</v>
      </c>
      <c r="DO133" s="116">
        <f t="shared" si="242"/>
        <v>0</v>
      </c>
      <c r="DP133" s="117">
        <f t="shared" si="242"/>
        <v>0</v>
      </c>
      <c r="DQ133" s="119">
        <f t="shared" si="242"/>
        <v>0</v>
      </c>
      <c r="DR133" s="194">
        <f t="shared" si="242"/>
        <v>0</v>
      </c>
      <c r="DS133" s="117">
        <f t="shared" si="242"/>
        <v>0</v>
      </c>
      <c r="DT133" s="118">
        <f t="shared" si="242"/>
        <v>0</v>
      </c>
      <c r="DU133" s="116">
        <f t="shared" si="242"/>
        <v>0</v>
      </c>
      <c r="DV133" s="117">
        <f t="shared" si="242"/>
        <v>0</v>
      </c>
      <c r="DW133" s="119">
        <f t="shared" si="242"/>
        <v>0</v>
      </c>
      <c r="DX133" s="194">
        <f t="shared" si="242"/>
        <v>0</v>
      </c>
      <c r="DY133" s="117">
        <f t="shared" si="242"/>
        <v>0</v>
      </c>
      <c r="DZ133" s="118">
        <f t="shared" si="242"/>
        <v>0</v>
      </c>
      <c r="EA133" s="116">
        <f t="shared" si="242"/>
        <v>0</v>
      </c>
      <c r="EB133" s="117">
        <f t="shared" si="242"/>
        <v>0</v>
      </c>
      <c r="EC133" s="119">
        <f t="shared" si="242"/>
        <v>0</v>
      </c>
      <c r="ED133" s="194">
        <f t="shared" si="242"/>
        <v>0</v>
      </c>
      <c r="EE133" s="117">
        <f t="shared" si="242"/>
        <v>0</v>
      </c>
      <c r="EF133" s="118">
        <f t="shared" si="242"/>
        <v>0</v>
      </c>
      <c r="EG133" s="116">
        <f t="shared" si="242"/>
        <v>0</v>
      </c>
      <c r="EH133" s="117">
        <f t="shared" si="242"/>
        <v>0</v>
      </c>
      <c r="EI133" s="119">
        <f t="shared" si="242"/>
        <v>0</v>
      </c>
      <c r="EJ133" s="194">
        <f t="shared" si="242"/>
        <v>0</v>
      </c>
      <c r="EK133" s="117">
        <f t="shared" si="242"/>
        <v>0</v>
      </c>
      <c r="EL133" s="118">
        <f t="shared" si="242"/>
        <v>0</v>
      </c>
      <c r="EM133" s="116">
        <f t="shared" ref="EM133:GX133" si="244">+EM26+EM62+EM98</f>
        <v>0</v>
      </c>
      <c r="EN133" s="117">
        <f t="shared" si="244"/>
        <v>0</v>
      </c>
      <c r="EO133" s="119">
        <f t="shared" si="244"/>
        <v>0</v>
      </c>
      <c r="EP133" s="194">
        <f t="shared" si="244"/>
        <v>0</v>
      </c>
      <c r="EQ133" s="117">
        <f t="shared" si="244"/>
        <v>0</v>
      </c>
      <c r="ER133" s="118">
        <f t="shared" si="244"/>
        <v>0</v>
      </c>
      <c r="ES133" s="116">
        <f t="shared" si="244"/>
        <v>0</v>
      </c>
      <c r="ET133" s="117">
        <f t="shared" si="244"/>
        <v>0</v>
      </c>
      <c r="EU133" s="119">
        <f t="shared" si="244"/>
        <v>0</v>
      </c>
      <c r="EV133" s="194">
        <f t="shared" si="244"/>
        <v>0</v>
      </c>
      <c r="EW133" s="117">
        <f t="shared" si="244"/>
        <v>0</v>
      </c>
      <c r="EX133" s="118">
        <f t="shared" si="244"/>
        <v>0</v>
      </c>
      <c r="EY133" s="116">
        <f t="shared" si="244"/>
        <v>0</v>
      </c>
      <c r="EZ133" s="117">
        <f t="shared" si="244"/>
        <v>0</v>
      </c>
      <c r="FA133" s="119">
        <f t="shared" si="244"/>
        <v>0</v>
      </c>
      <c r="FB133" s="194">
        <f t="shared" si="244"/>
        <v>0</v>
      </c>
      <c r="FC133" s="117">
        <f t="shared" si="244"/>
        <v>0</v>
      </c>
      <c r="FD133" s="118">
        <f t="shared" si="244"/>
        <v>0</v>
      </c>
      <c r="FE133" s="116">
        <f t="shared" si="244"/>
        <v>0</v>
      </c>
      <c r="FF133" s="117">
        <f t="shared" si="244"/>
        <v>0</v>
      </c>
      <c r="FG133" s="119">
        <f t="shared" si="244"/>
        <v>0</v>
      </c>
      <c r="FH133" s="194">
        <f t="shared" si="244"/>
        <v>0</v>
      </c>
      <c r="FI133" s="117">
        <f t="shared" si="244"/>
        <v>0</v>
      </c>
      <c r="FJ133" s="118">
        <f t="shared" si="244"/>
        <v>0</v>
      </c>
      <c r="FK133" s="116">
        <f t="shared" si="244"/>
        <v>0</v>
      </c>
      <c r="FL133" s="117">
        <f t="shared" si="244"/>
        <v>0</v>
      </c>
      <c r="FM133" s="119">
        <f t="shared" si="244"/>
        <v>0</v>
      </c>
      <c r="FN133" s="194">
        <f t="shared" si="244"/>
        <v>0</v>
      </c>
      <c r="FO133" s="117">
        <f t="shared" si="244"/>
        <v>0</v>
      </c>
      <c r="FP133" s="118">
        <f t="shared" si="244"/>
        <v>0</v>
      </c>
      <c r="FQ133" s="116">
        <f t="shared" si="244"/>
        <v>0</v>
      </c>
      <c r="FR133" s="117">
        <f t="shared" si="244"/>
        <v>0</v>
      </c>
      <c r="FS133" s="119">
        <f t="shared" si="244"/>
        <v>0</v>
      </c>
      <c r="FT133" s="194">
        <f t="shared" si="244"/>
        <v>0</v>
      </c>
      <c r="FU133" s="117">
        <f t="shared" si="244"/>
        <v>0</v>
      </c>
      <c r="FV133" s="118">
        <f t="shared" si="244"/>
        <v>0</v>
      </c>
      <c r="FW133" s="116">
        <f t="shared" si="244"/>
        <v>0</v>
      </c>
      <c r="FX133" s="117">
        <f t="shared" si="244"/>
        <v>0</v>
      </c>
      <c r="FY133" s="119">
        <f t="shared" si="244"/>
        <v>0</v>
      </c>
      <c r="FZ133" s="194">
        <f t="shared" si="244"/>
        <v>0</v>
      </c>
      <c r="GA133" s="117">
        <f t="shared" si="244"/>
        <v>0</v>
      </c>
      <c r="GB133" s="118">
        <f t="shared" si="244"/>
        <v>0</v>
      </c>
      <c r="GC133" s="116">
        <f t="shared" si="244"/>
        <v>0</v>
      </c>
      <c r="GD133" s="117">
        <f t="shared" si="244"/>
        <v>0</v>
      </c>
      <c r="GE133" s="119">
        <f t="shared" si="244"/>
        <v>0</v>
      </c>
      <c r="GF133" s="194">
        <f t="shared" si="244"/>
        <v>0</v>
      </c>
      <c r="GG133" s="117">
        <f t="shared" si="244"/>
        <v>0</v>
      </c>
      <c r="GH133" s="118">
        <f t="shared" si="244"/>
        <v>0</v>
      </c>
      <c r="GI133" s="116">
        <f t="shared" si="244"/>
        <v>0</v>
      </c>
      <c r="GJ133" s="117">
        <f t="shared" si="244"/>
        <v>0</v>
      </c>
      <c r="GK133" s="118">
        <f t="shared" si="244"/>
        <v>0</v>
      </c>
      <c r="GL133" s="239">
        <f t="shared" si="244"/>
        <v>0</v>
      </c>
      <c r="GM133" s="43">
        <f t="shared" si="244"/>
        <v>0</v>
      </c>
      <c r="GN133" s="283">
        <f t="shared" si="244"/>
        <v>0</v>
      </c>
      <c r="GO133" s="239">
        <f t="shared" si="244"/>
        <v>0</v>
      </c>
      <c r="GP133" s="43">
        <f t="shared" si="244"/>
        <v>0</v>
      </c>
      <c r="GQ133" s="57">
        <f t="shared" si="244"/>
        <v>0</v>
      </c>
      <c r="GR133" s="194">
        <f t="shared" si="244"/>
        <v>0</v>
      </c>
      <c r="GS133" s="117">
        <f t="shared" si="244"/>
        <v>0</v>
      </c>
      <c r="GT133" s="119">
        <f t="shared" si="244"/>
        <v>0</v>
      </c>
      <c r="GU133" s="194">
        <f t="shared" si="244"/>
        <v>0</v>
      </c>
      <c r="GV133" s="117">
        <f t="shared" si="244"/>
        <v>0</v>
      </c>
      <c r="GW133" s="119">
        <f t="shared" si="244"/>
        <v>0</v>
      </c>
      <c r="GX133" s="194">
        <f t="shared" si="244"/>
        <v>0</v>
      </c>
      <c r="GY133" s="117">
        <f t="shared" ref="GY133:HC133" si="245">+GY26+GY62+GY98</f>
        <v>0</v>
      </c>
      <c r="GZ133" s="119">
        <f t="shared" si="245"/>
        <v>0</v>
      </c>
      <c r="HA133" s="194">
        <f t="shared" si="245"/>
        <v>0</v>
      </c>
      <c r="HB133" s="117">
        <f t="shared" si="245"/>
        <v>0</v>
      </c>
      <c r="HC133" s="119">
        <f t="shared" si="245"/>
        <v>0</v>
      </c>
      <c r="HD133" s="368">
        <f t="shared" si="139"/>
        <v>0</v>
      </c>
      <c r="HE133" s="369">
        <f t="shared" si="140"/>
        <v>0</v>
      </c>
      <c r="HF133" s="369">
        <f t="shared" si="141"/>
        <v>0</v>
      </c>
      <c r="HG133" s="145">
        <f t="shared" si="132"/>
        <v>0</v>
      </c>
    </row>
    <row r="134" spans="1:215" ht="15.75" thickBot="1">
      <c r="A134" s="238">
        <v>20</v>
      </c>
      <c r="B134" s="116">
        <f t="shared" ref="B134:AN134" si="246">+B27+B63+B99</f>
        <v>0</v>
      </c>
      <c r="C134" s="117">
        <f t="shared" si="246"/>
        <v>0</v>
      </c>
      <c r="D134" s="119">
        <f t="shared" si="246"/>
        <v>0</v>
      </c>
      <c r="E134" s="194">
        <f t="shared" si="246"/>
        <v>0</v>
      </c>
      <c r="F134" s="117">
        <f t="shared" si="246"/>
        <v>0</v>
      </c>
      <c r="G134" s="118">
        <f t="shared" si="246"/>
        <v>0</v>
      </c>
      <c r="H134" s="116">
        <f t="shared" si="246"/>
        <v>0</v>
      </c>
      <c r="I134" s="117">
        <f t="shared" si="246"/>
        <v>0</v>
      </c>
      <c r="J134" s="119">
        <f t="shared" si="246"/>
        <v>0</v>
      </c>
      <c r="K134" s="194">
        <f t="shared" si="246"/>
        <v>0</v>
      </c>
      <c r="L134" s="117">
        <f t="shared" si="246"/>
        <v>0</v>
      </c>
      <c r="M134" s="118">
        <f t="shared" si="246"/>
        <v>0</v>
      </c>
      <c r="N134" s="116">
        <f t="shared" si="246"/>
        <v>0</v>
      </c>
      <c r="O134" s="117">
        <f t="shared" si="246"/>
        <v>0</v>
      </c>
      <c r="P134" s="119">
        <f t="shared" si="246"/>
        <v>0</v>
      </c>
      <c r="Q134" s="194">
        <f t="shared" si="246"/>
        <v>0</v>
      </c>
      <c r="R134" s="117">
        <f t="shared" si="246"/>
        <v>0</v>
      </c>
      <c r="S134" s="118">
        <f t="shared" si="246"/>
        <v>0</v>
      </c>
      <c r="T134" s="116">
        <f t="shared" si="246"/>
        <v>0</v>
      </c>
      <c r="U134" s="117">
        <f t="shared" si="246"/>
        <v>0</v>
      </c>
      <c r="V134" s="119">
        <f t="shared" si="246"/>
        <v>0</v>
      </c>
      <c r="W134" s="194">
        <f t="shared" si="246"/>
        <v>0</v>
      </c>
      <c r="X134" s="117">
        <f t="shared" si="246"/>
        <v>0</v>
      </c>
      <c r="Y134" s="118">
        <f t="shared" si="246"/>
        <v>0</v>
      </c>
      <c r="Z134" s="116">
        <f t="shared" si="246"/>
        <v>0</v>
      </c>
      <c r="AA134" s="117">
        <f t="shared" si="246"/>
        <v>0</v>
      </c>
      <c r="AB134" s="119">
        <f t="shared" si="246"/>
        <v>0</v>
      </c>
      <c r="AC134" s="194">
        <f t="shared" si="246"/>
        <v>0</v>
      </c>
      <c r="AD134" s="117">
        <f t="shared" si="246"/>
        <v>0</v>
      </c>
      <c r="AE134" s="118">
        <f t="shared" si="246"/>
        <v>0</v>
      </c>
      <c r="AF134" s="116">
        <f t="shared" si="246"/>
        <v>0</v>
      </c>
      <c r="AG134" s="117">
        <f t="shared" si="246"/>
        <v>0</v>
      </c>
      <c r="AH134" s="119">
        <f t="shared" si="246"/>
        <v>0</v>
      </c>
      <c r="AI134" s="194">
        <f t="shared" si="246"/>
        <v>0</v>
      </c>
      <c r="AJ134" s="117">
        <f t="shared" si="246"/>
        <v>0</v>
      </c>
      <c r="AK134" s="118">
        <f t="shared" si="246"/>
        <v>0</v>
      </c>
      <c r="AL134" s="116">
        <f t="shared" si="246"/>
        <v>0</v>
      </c>
      <c r="AM134" s="117">
        <f t="shared" si="246"/>
        <v>0</v>
      </c>
      <c r="AN134" s="119">
        <f t="shared" si="246"/>
        <v>0</v>
      </c>
      <c r="AO134" s="194">
        <f t="shared" ref="AO134:BZ134" si="247">+AO27+AO63+AO99</f>
        <v>0</v>
      </c>
      <c r="AP134" s="117">
        <f t="shared" si="247"/>
        <v>0</v>
      </c>
      <c r="AQ134" s="118">
        <f t="shared" si="247"/>
        <v>0</v>
      </c>
      <c r="AR134" s="116">
        <f t="shared" si="247"/>
        <v>0</v>
      </c>
      <c r="AS134" s="117">
        <f t="shared" si="247"/>
        <v>0</v>
      </c>
      <c r="AT134" s="119">
        <f t="shared" si="247"/>
        <v>0</v>
      </c>
      <c r="AU134" s="194">
        <f t="shared" si="247"/>
        <v>0</v>
      </c>
      <c r="AV134" s="117">
        <f t="shared" si="247"/>
        <v>0</v>
      </c>
      <c r="AW134" s="118">
        <f t="shared" si="247"/>
        <v>0</v>
      </c>
      <c r="AX134" s="116">
        <f t="shared" si="247"/>
        <v>0</v>
      </c>
      <c r="AY134" s="117">
        <f t="shared" si="247"/>
        <v>0</v>
      </c>
      <c r="AZ134" s="119">
        <f t="shared" si="247"/>
        <v>0</v>
      </c>
      <c r="BA134" s="194">
        <f t="shared" si="247"/>
        <v>0</v>
      </c>
      <c r="BB134" s="117">
        <f t="shared" si="247"/>
        <v>0</v>
      </c>
      <c r="BC134" s="118">
        <f t="shared" si="247"/>
        <v>0</v>
      </c>
      <c r="BD134" s="116">
        <f t="shared" si="247"/>
        <v>0</v>
      </c>
      <c r="BE134" s="117">
        <f t="shared" si="247"/>
        <v>0</v>
      </c>
      <c r="BF134" s="119">
        <f t="shared" si="247"/>
        <v>0</v>
      </c>
      <c r="BG134" s="194">
        <f t="shared" si="247"/>
        <v>0</v>
      </c>
      <c r="BH134" s="117">
        <f t="shared" si="247"/>
        <v>0</v>
      </c>
      <c r="BI134" s="118">
        <f t="shared" si="247"/>
        <v>0</v>
      </c>
      <c r="BJ134" s="116">
        <f t="shared" si="247"/>
        <v>0</v>
      </c>
      <c r="BK134" s="117">
        <f t="shared" si="247"/>
        <v>0</v>
      </c>
      <c r="BL134" s="119">
        <f t="shared" si="247"/>
        <v>0</v>
      </c>
      <c r="BM134" s="194">
        <f t="shared" si="247"/>
        <v>0</v>
      </c>
      <c r="BN134" s="117">
        <f t="shared" si="247"/>
        <v>0</v>
      </c>
      <c r="BO134" s="118">
        <f t="shared" si="247"/>
        <v>0</v>
      </c>
      <c r="BP134" s="116">
        <f t="shared" si="247"/>
        <v>0</v>
      </c>
      <c r="BQ134" s="117">
        <f t="shared" si="247"/>
        <v>0</v>
      </c>
      <c r="BR134" s="119">
        <f t="shared" si="247"/>
        <v>0</v>
      </c>
      <c r="BS134" s="194">
        <f t="shared" si="247"/>
        <v>0</v>
      </c>
      <c r="BT134" s="117">
        <f t="shared" si="247"/>
        <v>0</v>
      </c>
      <c r="BU134" s="118">
        <f t="shared" si="247"/>
        <v>0</v>
      </c>
      <c r="BV134" s="116">
        <f t="shared" si="247"/>
        <v>0</v>
      </c>
      <c r="BW134" s="117">
        <f t="shared" si="247"/>
        <v>0</v>
      </c>
      <c r="BX134" s="119">
        <f t="shared" si="247"/>
        <v>0</v>
      </c>
      <c r="BY134" s="194">
        <f t="shared" si="247"/>
        <v>0</v>
      </c>
      <c r="BZ134" s="117">
        <f t="shared" si="247"/>
        <v>0</v>
      </c>
      <c r="CA134" s="118">
        <f t="shared" ref="CA134:EL134" si="248">+CA27+CA63+CA99</f>
        <v>0</v>
      </c>
      <c r="CB134" s="116">
        <f t="shared" si="248"/>
        <v>0</v>
      </c>
      <c r="CC134" s="117">
        <f t="shared" si="248"/>
        <v>0</v>
      </c>
      <c r="CD134" s="119">
        <f t="shared" si="248"/>
        <v>0</v>
      </c>
      <c r="CE134" s="194">
        <f t="shared" si="248"/>
        <v>0</v>
      </c>
      <c r="CF134" s="117">
        <f t="shared" si="248"/>
        <v>0</v>
      </c>
      <c r="CG134" s="118">
        <f t="shared" si="248"/>
        <v>0</v>
      </c>
      <c r="CH134" s="116">
        <f t="shared" si="248"/>
        <v>0</v>
      </c>
      <c r="CI134" s="117">
        <f t="shared" si="248"/>
        <v>0</v>
      </c>
      <c r="CJ134" s="118">
        <f t="shared" si="248"/>
        <v>0</v>
      </c>
      <c r="CK134" s="239">
        <f t="shared" si="248"/>
        <v>0</v>
      </c>
      <c r="CL134" s="43">
        <f t="shared" si="248"/>
        <v>0</v>
      </c>
      <c r="CM134" s="283">
        <f t="shared" si="248"/>
        <v>0</v>
      </c>
      <c r="CN134" s="239">
        <f t="shared" si="248"/>
        <v>0</v>
      </c>
      <c r="CO134" s="43">
        <f t="shared" si="248"/>
        <v>0</v>
      </c>
      <c r="CP134" s="57">
        <f t="shared" si="248"/>
        <v>0</v>
      </c>
      <c r="CQ134" s="194">
        <f t="shared" ref="CQ134:CY134" si="249">+CQ27+CQ63+CQ99</f>
        <v>0</v>
      </c>
      <c r="CR134" s="117">
        <f t="shared" si="249"/>
        <v>0</v>
      </c>
      <c r="CS134" s="119">
        <f t="shared" si="249"/>
        <v>0</v>
      </c>
      <c r="CT134" s="194">
        <f t="shared" si="249"/>
        <v>0</v>
      </c>
      <c r="CU134" s="117">
        <f t="shared" si="249"/>
        <v>0</v>
      </c>
      <c r="CV134" s="119">
        <f t="shared" si="249"/>
        <v>0</v>
      </c>
      <c r="CW134" s="194">
        <f t="shared" si="249"/>
        <v>0</v>
      </c>
      <c r="CX134" s="117">
        <f t="shared" si="249"/>
        <v>0</v>
      </c>
      <c r="CY134" s="119">
        <f t="shared" si="249"/>
        <v>0</v>
      </c>
      <c r="CZ134" s="194">
        <f t="shared" si="248"/>
        <v>0</v>
      </c>
      <c r="DA134" s="117">
        <f t="shared" si="248"/>
        <v>0</v>
      </c>
      <c r="DB134" s="119">
        <f t="shared" si="248"/>
        <v>0</v>
      </c>
      <c r="DC134" s="116">
        <f t="shared" si="248"/>
        <v>0</v>
      </c>
      <c r="DD134" s="117">
        <f t="shared" si="248"/>
        <v>0</v>
      </c>
      <c r="DE134" s="119">
        <f t="shared" si="248"/>
        <v>0</v>
      </c>
      <c r="DF134" s="194">
        <f t="shared" si="248"/>
        <v>0</v>
      </c>
      <c r="DG134" s="117">
        <f t="shared" si="248"/>
        <v>0</v>
      </c>
      <c r="DH134" s="118">
        <f t="shared" si="248"/>
        <v>0</v>
      </c>
      <c r="DI134" s="116">
        <f t="shared" si="248"/>
        <v>0</v>
      </c>
      <c r="DJ134" s="117">
        <f t="shared" si="248"/>
        <v>0</v>
      </c>
      <c r="DK134" s="119">
        <f t="shared" si="248"/>
        <v>0</v>
      </c>
      <c r="DL134" s="194">
        <f t="shared" si="248"/>
        <v>0</v>
      </c>
      <c r="DM134" s="117">
        <f t="shared" si="248"/>
        <v>0</v>
      </c>
      <c r="DN134" s="118">
        <f t="shared" si="248"/>
        <v>0</v>
      </c>
      <c r="DO134" s="116">
        <f t="shared" si="248"/>
        <v>0</v>
      </c>
      <c r="DP134" s="117">
        <f t="shared" si="248"/>
        <v>0</v>
      </c>
      <c r="DQ134" s="119">
        <f t="shared" si="248"/>
        <v>0</v>
      </c>
      <c r="DR134" s="194">
        <f t="shared" si="248"/>
        <v>0</v>
      </c>
      <c r="DS134" s="117">
        <f t="shared" si="248"/>
        <v>0</v>
      </c>
      <c r="DT134" s="118">
        <f t="shared" si="248"/>
        <v>0</v>
      </c>
      <c r="DU134" s="116">
        <f t="shared" si="248"/>
        <v>0</v>
      </c>
      <c r="DV134" s="117">
        <f t="shared" si="248"/>
        <v>0</v>
      </c>
      <c r="DW134" s="119">
        <f t="shared" si="248"/>
        <v>0</v>
      </c>
      <c r="DX134" s="194">
        <f t="shared" si="248"/>
        <v>0</v>
      </c>
      <c r="DY134" s="117">
        <f t="shared" si="248"/>
        <v>0</v>
      </c>
      <c r="DZ134" s="118">
        <f t="shared" si="248"/>
        <v>0</v>
      </c>
      <c r="EA134" s="116">
        <f t="shared" si="248"/>
        <v>0</v>
      </c>
      <c r="EB134" s="117">
        <f t="shared" si="248"/>
        <v>0</v>
      </c>
      <c r="EC134" s="119">
        <f t="shared" si="248"/>
        <v>0</v>
      </c>
      <c r="ED134" s="194">
        <f t="shared" si="248"/>
        <v>0</v>
      </c>
      <c r="EE134" s="117">
        <f t="shared" si="248"/>
        <v>0</v>
      </c>
      <c r="EF134" s="118">
        <f t="shared" si="248"/>
        <v>0</v>
      </c>
      <c r="EG134" s="116">
        <f t="shared" si="248"/>
        <v>0</v>
      </c>
      <c r="EH134" s="117">
        <f t="shared" si="248"/>
        <v>0</v>
      </c>
      <c r="EI134" s="119">
        <f t="shared" si="248"/>
        <v>0</v>
      </c>
      <c r="EJ134" s="194">
        <f t="shared" si="248"/>
        <v>0</v>
      </c>
      <c r="EK134" s="117">
        <f t="shared" si="248"/>
        <v>0</v>
      </c>
      <c r="EL134" s="118">
        <f t="shared" si="248"/>
        <v>0</v>
      </c>
      <c r="EM134" s="116">
        <f t="shared" ref="EM134:GX134" si="250">+EM27+EM63+EM99</f>
        <v>0</v>
      </c>
      <c r="EN134" s="117">
        <f t="shared" si="250"/>
        <v>0</v>
      </c>
      <c r="EO134" s="119">
        <f t="shared" si="250"/>
        <v>0</v>
      </c>
      <c r="EP134" s="194">
        <f t="shared" si="250"/>
        <v>0</v>
      </c>
      <c r="EQ134" s="117">
        <f t="shared" si="250"/>
        <v>0</v>
      </c>
      <c r="ER134" s="118">
        <f t="shared" si="250"/>
        <v>0</v>
      </c>
      <c r="ES134" s="116">
        <f t="shared" si="250"/>
        <v>0</v>
      </c>
      <c r="ET134" s="117">
        <f t="shared" si="250"/>
        <v>0</v>
      </c>
      <c r="EU134" s="119">
        <f t="shared" si="250"/>
        <v>0</v>
      </c>
      <c r="EV134" s="194">
        <f t="shared" si="250"/>
        <v>0</v>
      </c>
      <c r="EW134" s="117">
        <f t="shared" si="250"/>
        <v>0</v>
      </c>
      <c r="EX134" s="118">
        <f t="shared" si="250"/>
        <v>0</v>
      </c>
      <c r="EY134" s="116">
        <f t="shared" si="250"/>
        <v>0</v>
      </c>
      <c r="EZ134" s="117">
        <f t="shared" si="250"/>
        <v>0</v>
      </c>
      <c r="FA134" s="119">
        <f t="shared" si="250"/>
        <v>0</v>
      </c>
      <c r="FB134" s="194">
        <f t="shared" si="250"/>
        <v>0</v>
      </c>
      <c r="FC134" s="117">
        <f t="shared" si="250"/>
        <v>0</v>
      </c>
      <c r="FD134" s="118">
        <f t="shared" si="250"/>
        <v>0</v>
      </c>
      <c r="FE134" s="116">
        <f t="shared" si="250"/>
        <v>0</v>
      </c>
      <c r="FF134" s="117">
        <f t="shared" si="250"/>
        <v>0</v>
      </c>
      <c r="FG134" s="119">
        <f t="shared" si="250"/>
        <v>0</v>
      </c>
      <c r="FH134" s="194">
        <f t="shared" si="250"/>
        <v>0</v>
      </c>
      <c r="FI134" s="117">
        <f t="shared" si="250"/>
        <v>0</v>
      </c>
      <c r="FJ134" s="118">
        <f t="shared" si="250"/>
        <v>0</v>
      </c>
      <c r="FK134" s="116">
        <f t="shared" si="250"/>
        <v>0</v>
      </c>
      <c r="FL134" s="117">
        <f t="shared" si="250"/>
        <v>0</v>
      </c>
      <c r="FM134" s="119">
        <f t="shared" si="250"/>
        <v>0</v>
      </c>
      <c r="FN134" s="194">
        <f t="shared" si="250"/>
        <v>0</v>
      </c>
      <c r="FO134" s="117">
        <f t="shared" si="250"/>
        <v>0</v>
      </c>
      <c r="FP134" s="118">
        <f t="shared" si="250"/>
        <v>0</v>
      </c>
      <c r="FQ134" s="116">
        <f t="shared" si="250"/>
        <v>0</v>
      </c>
      <c r="FR134" s="117">
        <f t="shared" si="250"/>
        <v>0</v>
      </c>
      <c r="FS134" s="119">
        <f t="shared" si="250"/>
        <v>0</v>
      </c>
      <c r="FT134" s="194">
        <f t="shared" si="250"/>
        <v>0</v>
      </c>
      <c r="FU134" s="117">
        <f t="shared" si="250"/>
        <v>0</v>
      </c>
      <c r="FV134" s="118">
        <f t="shared" si="250"/>
        <v>0</v>
      </c>
      <c r="FW134" s="116">
        <f t="shared" si="250"/>
        <v>0</v>
      </c>
      <c r="FX134" s="117">
        <f t="shared" si="250"/>
        <v>0</v>
      </c>
      <c r="FY134" s="119">
        <f t="shared" si="250"/>
        <v>0</v>
      </c>
      <c r="FZ134" s="194">
        <f t="shared" si="250"/>
        <v>0</v>
      </c>
      <c r="GA134" s="117">
        <f t="shared" si="250"/>
        <v>0</v>
      </c>
      <c r="GB134" s="118">
        <f t="shared" si="250"/>
        <v>0</v>
      </c>
      <c r="GC134" s="116">
        <f t="shared" si="250"/>
        <v>0</v>
      </c>
      <c r="GD134" s="117">
        <f t="shared" si="250"/>
        <v>0</v>
      </c>
      <c r="GE134" s="119">
        <f t="shared" si="250"/>
        <v>0</v>
      </c>
      <c r="GF134" s="194">
        <f t="shared" si="250"/>
        <v>0</v>
      </c>
      <c r="GG134" s="117">
        <f t="shared" si="250"/>
        <v>0</v>
      </c>
      <c r="GH134" s="118">
        <f t="shared" si="250"/>
        <v>0</v>
      </c>
      <c r="GI134" s="116">
        <f t="shared" si="250"/>
        <v>0</v>
      </c>
      <c r="GJ134" s="117">
        <f t="shared" si="250"/>
        <v>0</v>
      </c>
      <c r="GK134" s="118">
        <f t="shared" si="250"/>
        <v>0</v>
      </c>
      <c r="GL134" s="239">
        <f t="shared" si="250"/>
        <v>0</v>
      </c>
      <c r="GM134" s="43">
        <f t="shared" si="250"/>
        <v>0</v>
      </c>
      <c r="GN134" s="283">
        <f t="shared" si="250"/>
        <v>0</v>
      </c>
      <c r="GO134" s="239">
        <f t="shared" si="250"/>
        <v>0</v>
      </c>
      <c r="GP134" s="43">
        <f t="shared" si="250"/>
        <v>0</v>
      </c>
      <c r="GQ134" s="57">
        <f t="shared" si="250"/>
        <v>0</v>
      </c>
      <c r="GR134" s="194">
        <f t="shared" si="250"/>
        <v>0</v>
      </c>
      <c r="GS134" s="117">
        <f t="shared" si="250"/>
        <v>0</v>
      </c>
      <c r="GT134" s="119">
        <f t="shared" si="250"/>
        <v>0</v>
      </c>
      <c r="GU134" s="194">
        <f t="shared" si="250"/>
        <v>0</v>
      </c>
      <c r="GV134" s="117">
        <f t="shared" si="250"/>
        <v>0</v>
      </c>
      <c r="GW134" s="119">
        <f t="shared" si="250"/>
        <v>0</v>
      </c>
      <c r="GX134" s="194">
        <f t="shared" si="250"/>
        <v>0</v>
      </c>
      <c r="GY134" s="117">
        <f t="shared" ref="GY134:HC134" si="251">+GY27+GY63+GY99</f>
        <v>0</v>
      </c>
      <c r="GZ134" s="119">
        <f t="shared" si="251"/>
        <v>0</v>
      </c>
      <c r="HA134" s="194">
        <f t="shared" si="251"/>
        <v>0</v>
      </c>
      <c r="HB134" s="117">
        <f t="shared" si="251"/>
        <v>0</v>
      </c>
      <c r="HC134" s="119">
        <f t="shared" si="251"/>
        <v>0</v>
      </c>
      <c r="HD134" s="368">
        <f t="shared" si="139"/>
        <v>0</v>
      </c>
      <c r="HE134" s="369">
        <f t="shared" si="140"/>
        <v>0</v>
      </c>
      <c r="HF134" s="369">
        <f t="shared" si="141"/>
        <v>0</v>
      </c>
      <c r="HG134" s="145">
        <f t="shared" si="132"/>
        <v>0</v>
      </c>
    </row>
    <row r="135" spans="1:215" ht="15.75" thickBot="1">
      <c r="A135" s="238">
        <v>21</v>
      </c>
      <c r="B135" s="116">
        <f t="shared" ref="B135:AN135" si="252">+B28+B64+B100</f>
        <v>0</v>
      </c>
      <c r="C135" s="117">
        <f t="shared" si="252"/>
        <v>0</v>
      </c>
      <c r="D135" s="119">
        <f t="shared" si="252"/>
        <v>0</v>
      </c>
      <c r="E135" s="194">
        <f t="shared" si="252"/>
        <v>0</v>
      </c>
      <c r="F135" s="117">
        <f t="shared" si="252"/>
        <v>0</v>
      </c>
      <c r="G135" s="118">
        <f t="shared" si="252"/>
        <v>0</v>
      </c>
      <c r="H135" s="116">
        <f t="shared" si="252"/>
        <v>0</v>
      </c>
      <c r="I135" s="117">
        <f t="shared" si="252"/>
        <v>0</v>
      </c>
      <c r="J135" s="119">
        <f t="shared" si="252"/>
        <v>0</v>
      </c>
      <c r="K135" s="194">
        <f t="shared" si="252"/>
        <v>0</v>
      </c>
      <c r="L135" s="117">
        <f t="shared" si="252"/>
        <v>0</v>
      </c>
      <c r="M135" s="118">
        <f t="shared" si="252"/>
        <v>0</v>
      </c>
      <c r="N135" s="116">
        <f t="shared" si="252"/>
        <v>0</v>
      </c>
      <c r="O135" s="117">
        <f t="shared" si="252"/>
        <v>0</v>
      </c>
      <c r="P135" s="119">
        <f t="shared" si="252"/>
        <v>0</v>
      </c>
      <c r="Q135" s="194">
        <f t="shared" si="252"/>
        <v>0</v>
      </c>
      <c r="R135" s="117">
        <f t="shared" si="252"/>
        <v>0</v>
      </c>
      <c r="S135" s="118">
        <f t="shared" si="252"/>
        <v>0</v>
      </c>
      <c r="T135" s="116">
        <f t="shared" si="252"/>
        <v>0</v>
      </c>
      <c r="U135" s="117">
        <f t="shared" si="252"/>
        <v>0</v>
      </c>
      <c r="V135" s="119">
        <f t="shared" si="252"/>
        <v>0</v>
      </c>
      <c r="W135" s="194">
        <f t="shared" si="252"/>
        <v>0</v>
      </c>
      <c r="X135" s="117">
        <f t="shared" si="252"/>
        <v>0</v>
      </c>
      <c r="Y135" s="118">
        <f t="shared" si="252"/>
        <v>0</v>
      </c>
      <c r="Z135" s="116">
        <f t="shared" si="252"/>
        <v>0</v>
      </c>
      <c r="AA135" s="117">
        <f t="shared" si="252"/>
        <v>0</v>
      </c>
      <c r="AB135" s="119">
        <f t="shared" si="252"/>
        <v>0</v>
      </c>
      <c r="AC135" s="194">
        <f t="shared" si="252"/>
        <v>0</v>
      </c>
      <c r="AD135" s="117">
        <f t="shared" si="252"/>
        <v>0</v>
      </c>
      <c r="AE135" s="118">
        <f t="shared" si="252"/>
        <v>0</v>
      </c>
      <c r="AF135" s="116">
        <f t="shared" si="252"/>
        <v>0</v>
      </c>
      <c r="AG135" s="117">
        <f t="shared" si="252"/>
        <v>0</v>
      </c>
      <c r="AH135" s="119">
        <f t="shared" si="252"/>
        <v>0</v>
      </c>
      <c r="AI135" s="194">
        <f t="shared" si="252"/>
        <v>0</v>
      </c>
      <c r="AJ135" s="117">
        <f t="shared" si="252"/>
        <v>0</v>
      </c>
      <c r="AK135" s="118">
        <f t="shared" si="252"/>
        <v>0</v>
      </c>
      <c r="AL135" s="116">
        <f t="shared" si="252"/>
        <v>0</v>
      </c>
      <c r="AM135" s="117">
        <f t="shared" si="252"/>
        <v>0</v>
      </c>
      <c r="AN135" s="119">
        <f t="shared" si="252"/>
        <v>0</v>
      </c>
      <c r="AO135" s="194">
        <f t="shared" ref="AO135:BZ135" si="253">+AO28+AO64+AO100</f>
        <v>0</v>
      </c>
      <c r="AP135" s="117">
        <f t="shared" si="253"/>
        <v>0</v>
      </c>
      <c r="AQ135" s="118">
        <f t="shared" si="253"/>
        <v>0</v>
      </c>
      <c r="AR135" s="116">
        <f t="shared" si="253"/>
        <v>0</v>
      </c>
      <c r="AS135" s="117">
        <f t="shared" si="253"/>
        <v>0</v>
      </c>
      <c r="AT135" s="119">
        <f t="shared" si="253"/>
        <v>0</v>
      </c>
      <c r="AU135" s="194">
        <f t="shared" si="253"/>
        <v>0</v>
      </c>
      <c r="AV135" s="117">
        <f t="shared" si="253"/>
        <v>0</v>
      </c>
      <c r="AW135" s="118">
        <f t="shared" si="253"/>
        <v>0</v>
      </c>
      <c r="AX135" s="116">
        <f t="shared" si="253"/>
        <v>0</v>
      </c>
      <c r="AY135" s="117">
        <f t="shared" si="253"/>
        <v>0</v>
      </c>
      <c r="AZ135" s="119">
        <f t="shared" si="253"/>
        <v>0</v>
      </c>
      <c r="BA135" s="194">
        <f t="shared" si="253"/>
        <v>0</v>
      </c>
      <c r="BB135" s="117">
        <f t="shared" si="253"/>
        <v>0</v>
      </c>
      <c r="BC135" s="118">
        <f t="shared" si="253"/>
        <v>0</v>
      </c>
      <c r="BD135" s="116">
        <f t="shared" si="253"/>
        <v>0</v>
      </c>
      <c r="BE135" s="117">
        <f t="shared" si="253"/>
        <v>0</v>
      </c>
      <c r="BF135" s="119">
        <f t="shared" si="253"/>
        <v>0</v>
      </c>
      <c r="BG135" s="194">
        <f t="shared" si="253"/>
        <v>0</v>
      </c>
      <c r="BH135" s="117">
        <f t="shared" si="253"/>
        <v>0</v>
      </c>
      <c r="BI135" s="118">
        <f t="shared" si="253"/>
        <v>0</v>
      </c>
      <c r="BJ135" s="116">
        <f t="shared" si="253"/>
        <v>0</v>
      </c>
      <c r="BK135" s="117">
        <f t="shared" si="253"/>
        <v>0</v>
      </c>
      <c r="BL135" s="119">
        <f t="shared" si="253"/>
        <v>0</v>
      </c>
      <c r="BM135" s="194">
        <f t="shared" si="253"/>
        <v>0</v>
      </c>
      <c r="BN135" s="117">
        <f t="shared" si="253"/>
        <v>0</v>
      </c>
      <c r="BO135" s="118">
        <f t="shared" si="253"/>
        <v>0</v>
      </c>
      <c r="BP135" s="116">
        <f t="shared" si="253"/>
        <v>0</v>
      </c>
      <c r="BQ135" s="117">
        <f t="shared" si="253"/>
        <v>0</v>
      </c>
      <c r="BR135" s="119">
        <f t="shared" si="253"/>
        <v>0</v>
      </c>
      <c r="BS135" s="194">
        <f t="shared" si="253"/>
        <v>0</v>
      </c>
      <c r="BT135" s="117">
        <f t="shared" si="253"/>
        <v>0</v>
      </c>
      <c r="BU135" s="118">
        <f t="shared" si="253"/>
        <v>0</v>
      </c>
      <c r="BV135" s="116">
        <f t="shared" si="253"/>
        <v>0</v>
      </c>
      <c r="BW135" s="117">
        <f t="shared" si="253"/>
        <v>0</v>
      </c>
      <c r="BX135" s="119">
        <f t="shared" si="253"/>
        <v>0</v>
      </c>
      <c r="BY135" s="194">
        <f t="shared" si="253"/>
        <v>0</v>
      </c>
      <c r="BZ135" s="117">
        <f t="shared" si="253"/>
        <v>0</v>
      </c>
      <c r="CA135" s="118">
        <f t="shared" ref="CA135:EL135" si="254">+CA28+CA64+CA100</f>
        <v>0</v>
      </c>
      <c r="CB135" s="116">
        <f t="shared" si="254"/>
        <v>0</v>
      </c>
      <c r="CC135" s="117">
        <f t="shared" si="254"/>
        <v>0</v>
      </c>
      <c r="CD135" s="119">
        <f t="shared" si="254"/>
        <v>0</v>
      </c>
      <c r="CE135" s="194">
        <f t="shared" si="254"/>
        <v>0</v>
      </c>
      <c r="CF135" s="117">
        <f t="shared" si="254"/>
        <v>0</v>
      </c>
      <c r="CG135" s="118">
        <f t="shared" si="254"/>
        <v>0</v>
      </c>
      <c r="CH135" s="116">
        <f t="shared" si="254"/>
        <v>0</v>
      </c>
      <c r="CI135" s="117">
        <f t="shared" si="254"/>
        <v>0</v>
      </c>
      <c r="CJ135" s="118">
        <f t="shared" si="254"/>
        <v>0</v>
      </c>
      <c r="CK135" s="239">
        <f t="shared" si="254"/>
        <v>0</v>
      </c>
      <c r="CL135" s="43">
        <f t="shared" si="254"/>
        <v>0</v>
      </c>
      <c r="CM135" s="283">
        <f t="shared" si="254"/>
        <v>0</v>
      </c>
      <c r="CN135" s="239">
        <f t="shared" si="254"/>
        <v>0</v>
      </c>
      <c r="CO135" s="43">
        <f t="shared" si="254"/>
        <v>0</v>
      </c>
      <c r="CP135" s="57">
        <f t="shared" si="254"/>
        <v>0</v>
      </c>
      <c r="CQ135" s="194">
        <f t="shared" ref="CQ135:CY135" si="255">+CQ28+CQ64+CQ100</f>
        <v>0</v>
      </c>
      <c r="CR135" s="117">
        <f t="shared" si="255"/>
        <v>0</v>
      </c>
      <c r="CS135" s="119">
        <f t="shared" si="255"/>
        <v>0</v>
      </c>
      <c r="CT135" s="194">
        <f t="shared" si="255"/>
        <v>0</v>
      </c>
      <c r="CU135" s="117">
        <f t="shared" si="255"/>
        <v>0</v>
      </c>
      <c r="CV135" s="119">
        <f t="shared" si="255"/>
        <v>0</v>
      </c>
      <c r="CW135" s="194">
        <f t="shared" si="255"/>
        <v>0</v>
      </c>
      <c r="CX135" s="117">
        <f t="shared" si="255"/>
        <v>0</v>
      </c>
      <c r="CY135" s="119">
        <f t="shared" si="255"/>
        <v>0</v>
      </c>
      <c r="CZ135" s="194">
        <f t="shared" si="254"/>
        <v>0</v>
      </c>
      <c r="DA135" s="117">
        <f t="shared" si="254"/>
        <v>0</v>
      </c>
      <c r="DB135" s="119">
        <f t="shared" si="254"/>
        <v>0</v>
      </c>
      <c r="DC135" s="116">
        <f t="shared" si="254"/>
        <v>0</v>
      </c>
      <c r="DD135" s="117">
        <f t="shared" si="254"/>
        <v>0</v>
      </c>
      <c r="DE135" s="119">
        <f t="shared" si="254"/>
        <v>0</v>
      </c>
      <c r="DF135" s="194">
        <f t="shared" si="254"/>
        <v>0</v>
      </c>
      <c r="DG135" s="117">
        <f t="shared" si="254"/>
        <v>0</v>
      </c>
      <c r="DH135" s="118">
        <f t="shared" si="254"/>
        <v>0</v>
      </c>
      <c r="DI135" s="116">
        <f t="shared" si="254"/>
        <v>0</v>
      </c>
      <c r="DJ135" s="117">
        <f t="shared" si="254"/>
        <v>0</v>
      </c>
      <c r="DK135" s="119">
        <f t="shared" si="254"/>
        <v>0</v>
      </c>
      <c r="DL135" s="194">
        <f t="shared" si="254"/>
        <v>0</v>
      </c>
      <c r="DM135" s="117">
        <f t="shared" si="254"/>
        <v>0</v>
      </c>
      <c r="DN135" s="118">
        <f t="shared" si="254"/>
        <v>0</v>
      </c>
      <c r="DO135" s="116">
        <f t="shared" si="254"/>
        <v>0</v>
      </c>
      <c r="DP135" s="117">
        <f t="shared" si="254"/>
        <v>0</v>
      </c>
      <c r="DQ135" s="119">
        <f t="shared" si="254"/>
        <v>0</v>
      </c>
      <c r="DR135" s="194">
        <f t="shared" si="254"/>
        <v>0</v>
      </c>
      <c r="DS135" s="117">
        <f t="shared" si="254"/>
        <v>0</v>
      </c>
      <c r="DT135" s="118">
        <f t="shared" si="254"/>
        <v>0</v>
      </c>
      <c r="DU135" s="116">
        <f t="shared" si="254"/>
        <v>0</v>
      </c>
      <c r="DV135" s="117">
        <f t="shared" si="254"/>
        <v>0</v>
      </c>
      <c r="DW135" s="119">
        <f t="shared" si="254"/>
        <v>0</v>
      </c>
      <c r="DX135" s="194">
        <f t="shared" si="254"/>
        <v>0</v>
      </c>
      <c r="DY135" s="117">
        <f t="shared" si="254"/>
        <v>0</v>
      </c>
      <c r="DZ135" s="118">
        <f t="shared" si="254"/>
        <v>0</v>
      </c>
      <c r="EA135" s="116">
        <f t="shared" si="254"/>
        <v>0</v>
      </c>
      <c r="EB135" s="117">
        <f t="shared" si="254"/>
        <v>0</v>
      </c>
      <c r="EC135" s="119">
        <f t="shared" si="254"/>
        <v>0</v>
      </c>
      <c r="ED135" s="194">
        <f t="shared" si="254"/>
        <v>0</v>
      </c>
      <c r="EE135" s="117">
        <f t="shared" si="254"/>
        <v>0</v>
      </c>
      <c r="EF135" s="118">
        <f t="shared" si="254"/>
        <v>0</v>
      </c>
      <c r="EG135" s="116">
        <f t="shared" si="254"/>
        <v>0</v>
      </c>
      <c r="EH135" s="117">
        <f t="shared" si="254"/>
        <v>0</v>
      </c>
      <c r="EI135" s="119">
        <f t="shared" si="254"/>
        <v>0</v>
      </c>
      <c r="EJ135" s="194">
        <f t="shared" si="254"/>
        <v>0</v>
      </c>
      <c r="EK135" s="117">
        <f t="shared" si="254"/>
        <v>0</v>
      </c>
      <c r="EL135" s="118">
        <f t="shared" si="254"/>
        <v>0</v>
      </c>
      <c r="EM135" s="116">
        <f t="shared" ref="EM135:GX135" si="256">+EM28+EM64+EM100</f>
        <v>0</v>
      </c>
      <c r="EN135" s="117">
        <f t="shared" si="256"/>
        <v>0</v>
      </c>
      <c r="EO135" s="119">
        <f t="shared" si="256"/>
        <v>0</v>
      </c>
      <c r="EP135" s="194">
        <f t="shared" si="256"/>
        <v>0</v>
      </c>
      <c r="EQ135" s="117">
        <f t="shared" si="256"/>
        <v>0</v>
      </c>
      <c r="ER135" s="118">
        <f t="shared" si="256"/>
        <v>0</v>
      </c>
      <c r="ES135" s="116">
        <f t="shared" si="256"/>
        <v>0</v>
      </c>
      <c r="ET135" s="117">
        <f t="shared" si="256"/>
        <v>0</v>
      </c>
      <c r="EU135" s="119">
        <f t="shared" si="256"/>
        <v>0</v>
      </c>
      <c r="EV135" s="194">
        <f t="shared" si="256"/>
        <v>0</v>
      </c>
      <c r="EW135" s="117">
        <f t="shared" si="256"/>
        <v>0</v>
      </c>
      <c r="EX135" s="118">
        <f t="shared" si="256"/>
        <v>0</v>
      </c>
      <c r="EY135" s="116">
        <f t="shared" si="256"/>
        <v>0</v>
      </c>
      <c r="EZ135" s="117">
        <f t="shared" si="256"/>
        <v>0</v>
      </c>
      <c r="FA135" s="119">
        <f t="shared" si="256"/>
        <v>0</v>
      </c>
      <c r="FB135" s="194">
        <f t="shared" si="256"/>
        <v>0</v>
      </c>
      <c r="FC135" s="117">
        <f t="shared" si="256"/>
        <v>0</v>
      </c>
      <c r="FD135" s="118">
        <f t="shared" si="256"/>
        <v>0</v>
      </c>
      <c r="FE135" s="116">
        <f t="shared" si="256"/>
        <v>0</v>
      </c>
      <c r="FF135" s="117">
        <f t="shared" si="256"/>
        <v>0</v>
      </c>
      <c r="FG135" s="119">
        <f t="shared" si="256"/>
        <v>0</v>
      </c>
      <c r="FH135" s="194">
        <f t="shared" si="256"/>
        <v>0</v>
      </c>
      <c r="FI135" s="117">
        <f t="shared" si="256"/>
        <v>0</v>
      </c>
      <c r="FJ135" s="118">
        <f t="shared" si="256"/>
        <v>0</v>
      </c>
      <c r="FK135" s="116">
        <f t="shared" si="256"/>
        <v>0</v>
      </c>
      <c r="FL135" s="117">
        <f t="shared" si="256"/>
        <v>0</v>
      </c>
      <c r="FM135" s="119">
        <f t="shared" si="256"/>
        <v>0</v>
      </c>
      <c r="FN135" s="194">
        <f t="shared" si="256"/>
        <v>0</v>
      </c>
      <c r="FO135" s="117">
        <f t="shared" si="256"/>
        <v>0</v>
      </c>
      <c r="FP135" s="118">
        <f t="shared" si="256"/>
        <v>0</v>
      </c>
      <c r="FQ135" s="116">
        <f t="shared" si="256"/>
        <v>0</v>
      </c>
      <c r="FR135" s="117">
        <f t="shared" si="256"/>
        <v>0</v>
      </c>
      <c r="FS135" s="119">
        <f t="shared" si="256"/>
        <v>0</v>
      </c>
      <c r="FT135" s="194">
        <f t="shared" si="256"/>
        <v>0</v>
      </c>
      <c r="FU135" s="117">
        <f t="shared" si="256"/>
        <v>0</v>
      </c>
      <c r="FV135" s="118">
        <f t="shared" si="256"/>
        <v>0</v>
      </c>
      <c r="FW135" s="116">
        <f t="shared" si="256"/>
        <v>0</v>
      </c>
      <c r="FX135" s="117">
        <f t="shared" si="256"/>
        <v>0</v>
      </c>
      <c r="FY135" s="119">
        <f t="shared" si="256"/>
        <v>0</v>
      </c>
      <c r="FZ135" s="194">
        <f t="shared" si="256"/>
        <v>0</v>
      </c>
      <c r="GA135" s="117">
        <f t="shared" si="256"/>
        <v>0</v>
      </c>
      <c r="GB135" s="118">
        <f t="shared" si="256"/>
        <v>0</v>
      </c>
      <c r="GC135" s="116">
        <f t="shared" si="256"/>
        <v>0</v>
      </c>
      <c r="GD135" s="117">
        <f t="shared" si="256"/>
        <v>0</v>
      </c>
      <c r="GE135" s="119">
        <f t="shared" si="256"/>
        <v>0</v>
      </c>
      <c r="GF135" s="194">
        <f t="shared" si="256"/>
        <v>0</v>
      </c>
      <c r="GG135" s="117">
        <f t="shared" si="256"/>
        <v>0</v>
      </c>
      <c r="GH135" s="118">
        <f t="shared" si="256"/>
        <v>0</v>
      </c>
      <c r="GI135" s="116">
        <f t="shared" si="256"/>
        <v>0</v>
      </c>
      <c r="GJ135" s="117">
        <f t="shared" si="256"/>
        <v>0</v>
      </c>
      <c r="GK135" s="118">
        <f t="shared" si="256"/>
        <v>0</v>
      </c>
      <c r="GL135" s="239">
        <f t="shared" si="256"/>
        <v>0</v>
      </c>
      <c r="GM135" s="43">
        <f t="shared" si="256"/>
        <v>0</v>
      </c>
      <c r="GN135" s="283">
        <f t="shared" si="256"/>
        <v>0</v>
      </c>
      <c r="GO135" s="239">
        <f t="shared" si="256"/>
        <v>0</v>
      </c>
      <c r="GP135" s="43">
        <f t="shared" si="256"/>
        <v>0</v>
      </c>
      <c r="GQ135" s="57">
        <f t="shared" si="256"/>
        <v>0</v>
      </c>
      <c r="GR135" s="194">
        <f t="shared" si="256"/>
        <v>0</v>
      </c>
      <c r="GS135" s="117">
        <f t="shared" si="256"/>
        <v>0</v>
      </c>
      <c r="GT135" s="119">
        <f t="shared" si="256"/>
        <v>0</v>
      </c>
      <c r="GU135" s="194">
        <f t="shared" si="256"/>
        <v>0</v>
      </c>
      <c r="GV135" s="117">
        <f t="shared" si="256"/>
        <v>0</v>
      </c>
      <c r="GW135" s="119">
        <f t="shared" si="256"/>
        <v>0</v>
      </c>
      <c r="GX135" s="194">
        <f t="shared" si="256"/>
        <v>0</v>
      </c>
      <c r="GY135" s="117">
        <f t="shared" ref="GY135:HC135" si="257">+GY28+GY64+GY100</f>
        <v>0</v>
      </c>
      <c r="GZ135" s="119">
        <f t="shared" si="257"/>
        <v>0</v>
      </c>
      <c r="HA135" s="194">
        <f t="shared" si="257"/>
        <v>0</v>
      </c>
      <c r="HB135" s="117">
        <f t="shared" si="257"/>
        <v>0</v>
      </c>
      <c r="HC135" s="119">
        <f t="shared" si="257"/>
        <v>0</v>
      </c>
      <c r="HD135" s="368">
        <f t="shared" si="139"/>
        <v>0</v>
      </c>
      <c r="HE135" s="369">
        <f t="shared" si="140"/>
        <v>0</v>
      </c>
      <c r="HF135" s="369">
        <f t="shared" si="141"/>
        <v>0</v>
      </c>
      <c r="HG135" s="145">
        <f t="shared" si="132"/>
        <v>0</v>
      </c>
    </row>
    <row r="136" spans="1:215" ht="15.75" thickBot="1">
      <c r="A136" s="353">
        <v>22</v>
      </c>
      <c r="B136" s="116">
        <f t="shared" ref="B136:AN136" si="258">+B29+B65+B101</f>
        <v>0</v>
      </c>
      <c r="C136" s="117">
        <f t="shared" si="258"/>
        <v>0</v>
      </c>
      <c r="D136" s="119">
        <f t="shared" si="258"/>
        <v>0</v>
      </c>
      <c r="E136" s="194">
        <f t="shared" si="258"/>
        <v>0</v>
      </c>
      <c r="F136" s="117">
        <f t="shared" si="258"/>
        <v>0</v>
      </c>
      <c r="G136" s="118">
        <f t="shared" si="258"/>
        <v>0</v>
      </c>
      <c r="H136" s="116">
        <f t="shared" si="258"/>
        <v>0</v>
      </c>
      <c r="I136" s="117">
        <f t="shared" si="258"/>
        <v>0</v>
      </c>
      <c r="J136" s="119">
        <f t="shared" si="258"/>
        <v>0</v>
      </c>
      <c r="K136" s="194">
        <f t="shared" si="258"/>
        <v>0</v>
      </c>
      <c r="L136" s="117">
        <f t="shared" si="258"/>
        <v>0</v>
      </c>
      <c r="M136" s="118">
        <f t="shared" si="258"/>
        <v>0</v>
      </c>
      <c r="N136" s="116">
        <f t="shared" si="258"/>
        <v>0</v>
      </c>
      <c r="O136" s="117">
        <f t="shared" si="258"/>
        <v>0</v>
      </c>
      <c r="P136" s="119">
        <f t="shared" si="258"/>
        <v>0</v>
      </c>
      <c r="Q136" s="194">
        <f t="shared" si="258"/>
        <v>0</v>
      </c>
      <c r="R136" s="117">
        <f t="shared" si="258"/>
        <v>0</v>
      </c>
      <c r="S136" s="118">
        <f t="shared" si="258"/>
        <v>0</v>
      </c>
      <c r="T136" s="116">
        <f t="shared" si="258"/>
        <v>0</v>
      </c>
      <c r="U136" s="117">
        <f t="shared" si="258"/>
        <v>0</v>
      </c>
      <c r="V136" s="119">
        <f t="shared" si="258"/>
        <v>0</v>
      </c>
      <c r="W136" s="194">
        <f t="shared" si="258"/>
        <v>0</v>
      </c>
      <c r="X136" s="117">
        <f t="shared" si="258"/>
        <v>0</v>
      </c>
      <c r="Y136" s="118">
        <f t="shared" si="258"/>
        <v>0</v>
      </c>
      <c r="Z136" s="116">
        <f t="shared" si="258"/>
        <v>0</v>
      </c>
      <c r="AA136" s="117">
        <f t="shared" si="258"/>
        <v>0</v>
      </c>
      <c r="AB136" s="119">
        <f t="shared" si="258"/>
        <v>0</v>
      </c>
      <c r="AC136" s="194">
        <f t="shared" si="258"/>
        <v>0</v>
      </c>
      <c r="AD136" s="117">
        <f t="shared" si="258"/>
        <v>0</v>
      </c>
      <c r="AE136" s="118">
        <f t="shared" si="258"/>
        <v>0</v>
      </c>
      <c r="AF136" s="116">
        <f t="shared" si="258"/>
        <v>0</v>
      </c>
      <c r="AG136" s="117">
        <f t="shared" si="258"/>
        <v>0</v>
      </c>
      <c r="AH136" s="119">
        <f t="shared" si="258"/>
        <v>0</v>
      </c>
      <c r="AI136" s="194">
        <f t="shared" si="258"/>
        <v>0</v>
      </c>
      <c r="AJ136" s="117">
        <f t="shared" si="258"/>
        <v>0</v>
      </c>
      <c r="AK136" s="118">
        <f t="shared" si="258"/>
        <v>0</v>
      </c>
      <c r="AL136" s="116">
        <f t="shared" si="258"/>
        <v>0</v>
      </c>
      <c r="AM136" s="117">
        <f t="shared" si="258"/>
        <v>0</v>
      </c>
      <c r="AN136" s="119">
        <f t="shared" si="258"/>
        <v>0</v>
      </c>
      <c r="AO136" s="194">
        <f t="shared" ref="AO136:BZ136" si="259">+AO29+AO65+AO101</f>
        <v>0</v>
      </c>
      <c r="AP136" s="117">
        <f t="shared" si="259"/>
        <v>0</v>
      </c>
      <c r="AQ136" s="118">
        <f t="shared" si="259"/>
        <v>0</v>
      </c>
      <c r="AR136" s="116">
        <f t="shared" si="259"/>
        <v>0</v>
      </c>
      <c r="AS136" s="117">
        <f t="shared" si="259"/>
        <v>0</v>
      </c>
      <c r="AT136" s="119">
        <f t="shared" si="259"/>
        <v>0</v>
      </c>
      <c r="AU136" s="194">
        <f t="shared" si="259"/>
        <v>0</v>
      </c>
      <c r="AV136" s="117">
        <f t="shared" si="259"/>
        <v>0</v>
      </c>
      <c r="AW136" s="118">
        <f t="shared" si="259"/>
        <v>0</v>
      </c>
      <c r="AX136" s="116">
        <f t="shared" si="259"/>
        <v>0</v>
      </c>
      <c r="AY136" s="117">
        <f t="shared" si="259"/>
        <v>0</v>
      </c>
      <c r="AZ136" s="119">
        <f t="shared" si="259"/>
        <v>0</v>
      </c>
      <c r="BA136" s="194">
        <f t="shared" si="259"/>
        <v>0</v>
      </c>
      <c r="BB136" s="117">
        <f t="shared" si="259"/>
        <v>0</v>
      </c>
      <c r="BC136" s="118">
        <f t="shared" si="259"/>
        <v>0</v>
      </c>
      <c r="BD136" s="116">
        <f t="shared" si="259"/>
        <v>0</v>
      </c>
      <c r="BE136" s="117">
        <f t="shared" si="259"/>
        <v>0</v>
      </c>
      <c r="BF136" s="119">
        <f t="shared" si="259"/>
        <v>0</v>
      </c>
      <c r="BG136" s="194">
        <f t="shared" si="259"/>
        <v>0</v>
      </c>
      <c r="BH136" s="117">
        <f t="shared" si="259"/>
        <v>0</v>
      </c>
      <c r="BI136" s="118">
        <f t="shared" si="259"/>
        <v>0</v>
      </c>
      <c r="BJ136" s="116">
        <f t="shared" si="259"/>
        <v>0</v>
      </c>
      <c r="BK136" s="117">
        <f t="shared" si="259"/>
        <v>0</v>
      </c>
      <c r="BL136" s="119">
        <f t="shared" si="259"/>
        <v>0</v>
      </c>
      <c r="BM136" s="194">
        <f t="shared" si="259"/>
        <v>0</v>
      </c>
      <c r="BN136" s="117">
        <f t="shared" si="259"/>
        <v>0</v>
      </c>
      <c r="BO136" s="118">
        <f t="shared" si="259"/>
        <v>0</v>
      </c>
      <c r="BP136" s="116">
        <f t="shared" si="259"/>
        <v>0</v>
      </c>
      <c r="BQ136" s="117">
        <f t="shared" si="259"/>
        <v>0</v>
      </c>
      <c r="BR136" s="119">
        <f t="shared" si="259"/>
        <v>0</v>
      </c>
      <c r="BS136" s="194">
        <f t="shared" si="259"/>
        <v>0</v>
      </c>
      <c r="BT136" s="117">
        <f t="shared" si="259"/>
        <v>0</v>
      </c>
      <c r="BU136" s="118">
        <f t="shared" si="259"/>
        <v>0</v>
      </c>
      <c r="BV136" s="116">
        <f t="shared" si="259"/>
        <v>0</v>
      </c>
      <c r="BW136" s="117">
        <f t="shared" si="259"/>
        <v>0</v>
      </c>
      <c r="BX136" s="119">
        <f t="shared" si="259"/>
        <v>0</v>
      </c>
      <c r="BY136" s="194">
        <f t="shared" si="259"/>
        <v>0</v>
      </c>
      <c r="BZ136" s="117">
        <f t="shared" si="259"/>
        <v>0</v>
      </c>
      <c r="CA136" s="118">
        <f t="shared" ref="CA136:EL136" si="260">+CA29+CA65+CA101</f>
        <v>0</v>
      </c>
      <c r="CB136" s="116">
        <f t="shared" si="260"/>
        <v>0</v>
      </c>
      <c r="CC136" s="117">
        <f t="shared" si="260"/>
        <v>0</v>
      </c>
      <c r="CD136" s="119">
        <f t="shared" si="260"/>
        <v>0</v>
      </c>
      <c r="CE136" s="194">
        <f t="shared" si="260"/>
        <v>0</v>
      </c>
      <c r="CF136" s="117">
        <f t="shared" si="260"/>
        <v>0</v>
      </c>
      <c r="CG136" s="118">
        <f t="shared" si="260"/>
        <v>0</v>
      </c>
      <c r="CH136" s="116">
        <f t="shared" si="260"/>
        <v>0</v>
      </c>
      <c r="CI136" s="117">
        <f t="shared" si="260"/>
        <v>0</v>
      </c>
      <c r="CJ136" s="118">
        <f t="shared" si="260"/>
        <v>0</v>
      </c>
      <c r="CK136" s="239">
        <f t="shared" si="260"/>
        <v>0</v>
      </c>
      <c r="CL136" s="43">
        <f t="shared" si="260"/>
        <v>0</v>
      </c>
      <c r="CM136" s="283">
        <f t="shared" si="260"/>
        <v>0</v>
      </c>
      <c r="CN136" s="239">
        <f t="shared" si="260"/>
        <v>0</v>
      </c>
      <c r="CO136" s="43">
        <f t="shared" si="260"/>
        <v>0</v>
      </c>
      <c r="CP136" s="57">
        <f t="shared" si="260"/>
        <v>0</v>
      </c>
      <c r="CQ136" s="194">
        <f t="shared" ref="CQ136:CY136" si="261">+CQ29+CQ65+CQ101</f>
        <v>0</v>
      </c>
      <c r="CR136" s="117">
        <f t="shared" si="261"/>
        <v>0</v>
      </c>
      <c r="CS136" s="119">
        <f t="shared" si="261"/>
        <v>0</v>
      </c>
      <c r="CT136" s="194">
        <f t="shared" si="261"/>
        <v>0</v>
      </c>
      <c r="CU136" s="117">
        <f t="shared" si="261"/>
        <v>0</v>
      </c>
      <c r="CV136" s="119">
        <f t="shared" si="261"/>
        <v>0</v>
      </c>
      <c r="CW136" s="194">
        <f t="shared" si="261"/>
        <v>0</v>
      </c>
      <c r="CX136" s="117">
        <f t="shared" si="261"/>
        <v>0</v>
      </c>
      <c r="CY136" s="119">
        <f t="shared" si="261"/>
        <v>0</v>
      </c>
      <c r="CZ136" s="194">
        <f t="shared" si="260"/>
        <v>0</v>
      </c>
      <c r="DA136" s="117">
        <f t="shared" si="260"/>
        <v>0</v>
      </c>
      <c r="DB136" s="119">
        <f t="shared" si="260"/>
        <v>0</v>
      </c>
      <c r="DC136" s="116">
        <f t="shared" si="260"/>
        <v>0</v>
      </c>
      <c r="DD136" s="117">
        <f t="shared" si="260"/>
        <v>0</v>
      </c>
      <c r="DE136" s="119">
        <f t="shared" si="260"/>
        <v>0</v>
      </c>
      <c r="DF136" s="194">
        <f t="shared" si="260"/>
        <v>0</v>
      </c>
      <c r="DG136" s="117">
        <f t="shared" si="260"/>
        <v>0</v>
      </c>
      <c r="DH136" s="118">
        <f t="shared" si="260"/>
        <v>0</v>
      </c>
      <c r="DI136" s="116">
        <f t="shared" si="260"/>
        <v>0</v>
      </c>
      <c r="DJ136" s="117">
        <f t="shared" si="260"/>
        <v>0</v>
      </c>
      <c r="DK136" s="119">
        <f t="shared" si="260"/>
        <v>0</v>
      </c>
      <c r="DL136" s="194">
        <f t="shared" si="260"/>
        <v>0</v>
      </c>
      <c r="DM136" s="117">
        <f t="shared" si="260"/>
        <v>0</v>
      </c>
      <c r="DN136" s="118">
        <f t="shared" si="260"/>
        <v>0</v>
      </c>
      <c r="DO136" s="116">
        <f t="shared" si="260"/>
        <v>0</v>
      </c>
      <c r="DP136" s="117">
        <f t="shared" si="260"/>
        <v>0</v>
      </c>
      <c r="DQ136" s="119">
        <f t="shared" si="260"/>
        <v>0</v>
      </c>
      <c r="DR136" s="194">
        <f t="shared" si="260"/>
        <v>0</v>
      </c>
      <c r="DS136" s="117">
        <f t="shared" si="260"/>
        <v>0</v>
      </c>
      <c r="DT136" s="118">
        <f t="shared" si="260"/>
        <v>0</v>
      </c>
      <c r="DU136" s="116">
        <f t="shared" si="260"/>
        <v>0</v>
      </c>
      <c r="DV136" s="117">
        <f t="shared" si="260"/>
        <v>0</v>
      </c>
      <c r="DW136" s="119">
        <f t="shared" si="260"/>
        <v>0</v>
      </c>
      <c r="DX136" s="194">
        <f t="shared" si="260"/>
        <v>0</v>
      </c>
      <c r="DY136" s="117">
        <f t="shared" si="260"/>
        <v>0</v>
      </c>
      <c r="DZ136" s="118">
        <f t="shared" si="260"/>
        <v>0</v>
      </c>
      <c r="EA136" s="116">
        <f t="shared" si="260"/>
        <v>0</v>
      </c>
      <c r="EB136" s="117">
        <f t="shared" si="260"/>
        <v>0</v>
      </c>
      <c r="EC136" s="119">
        <f t="shared" si="260"/>
        <v>0</v>
      </c>
      <c r="ED136" s="194">
        <f t="shared" si="260"/>
        <v>0</v>
      </c>
      <c r="EE136" s="117">
        <f t="shared" si="260"/>
        <v>0</v>
      </c>
      <c r="EF136" s="118">
        <f t="shared" si="260"/>
        <v>0</v>
      </c>
      <c r="EG136" s="116">
        <f t="shared" si="260"/>
        <v>0</v>
      </c>
      <c r="EH136" s="117">
        <f t="shared" si="260"/>
        <v>0</v>
      </c>
      <c r="EI136" s="119">
        <f t="shared" si="260"/>
        <v>0</v>
      </c>
      <c r="EJ136" s="194">
        <f t="shared" si="260"/>
        <v>0</v>
      </c>
      <c r="EK136" s="117">
        <f t="shared" si="260"/>
        <v>0</v>
      </c>
      <c r="EL136" s="118">
        <f t="shared" si="260"/>
        <v>0</v>
      </c>
      <c r="EM136" s="116">
        <f t="shared" ref="EM136:GX136" si="262">+EM29+EM65+EM101</f>
        <v>0</v>
      </c>
      <c r="EN136" s="117">
        <f t="shared" si="262"/>
        <v>0</v>
      </c>
      <c r="EO136" s="119">
        <f t="shared" si="262"/>
        <v>0</v>
      </c>
      <c r="EP136" s="194">
        <f t="shared" si="262"/>
        <v>0</v>
      </c>
      <c r="EQ136" s="117">
        <f t="shared" si="262"/>
        <v>0</v>
      </c>
      <c r="ER136" s="118">
        <f t="shared" si="262"/>
        <v>0</v>
      </c>
      <c r="ES136" s="116">
        <f t="shared" si="262"/>
        <v>0</v>
      </c>
      <c r="ET136" s="117">
        <f t="shared" si="262"/>
        <v>0</v>
      </c>
      <c r="EU136" s="119">
        <f t="shared" si="262"/>
        <v>0</v>
      </c>
      <c r="EV136" s="194">
        <f t="shared" si="262"/>
        <v>0</v>
      </c>
      <c r="EW136" s="117">
        <f t="shared" si="262"/>
        <v>0</v>
      </c>
      <c r="EX136" s="118">
        <f t="shared" si="262"/>
        <v>0</v>
      </c>
      <c r="EY136" s="116">
        <f t="shared" si="262"/>
        <v>0</v>
      </c>
      <c r="EZ136" s="117">
        <f t="shared" si="262"/>
        <v>0</v>
      </c>
      <c r="FA136" s="119">
        <f t="shared" si="262"/>
        <v>0</v>
      </c>
      <c r="FB136" s="194">
        <f t="shared" si="262"/>
        <v>0</v>
      </c>
      <c r="FC136" s="117">
        <f t="shared" si="262"/>
        <v>0</v>
      </c>
      <c r="FD136" s="118">
        <f t="shared" si="262"/>
        <v>0</v>
      </c>
      <c r="FE136" s="116">
        <f t="shared" si="262"/>
        <v>0</v>
      </c>
      <c r="FF136" s="117">
        <f t="shared" si="262"/>
        <v>0</v>
      </c>
      <c r="FG136" s="119">
        <f t="shared" si="262"/>
        <v>0</v>
      </c>
      <c r="FH136" s="194">
        <f t="shared" si="262"/>
        <v>0</v>
      </c>
      <c r="FI136" s="117">
        <f t="shared" si="262"/>
        <v>0</v>
      </c>
      <c r="FJ136" s="118">
        <f t="shared" si="262"/>
        <v>0</v>
      </c>
      <c r="FK136" s="116">
        <f t="shared" si="262"/>
        <v>0</v>
      </c>
      <c r="FL136" s="117">
        <f t="shared" si="262"/>
        <v>0</v>
      </c>
      <c r="FM136" s="119">
        <f t="shared" si="262"/>
        <v>0</v>
      </c>
      <c r="FN136" s="194">
        <f t="shared" si="262"/>
        <v>0</v>
      </c>
      <c r="FO136" s="117">
        <f t="shared" si="262"/>
        <v>0</v>
      </c>
      <c r="FP136" s="118">
        <f t="shared" si="262"/>
        <v>0</v>
      </c>
      <c r="FQ136" s="116">
        <f t="shared" si="262"/>
        <v>0</v>
      </c>
      <c r="FR136" s="117">
        <f t="shared" si="262"/>
        <v>0</v>
      </c>
      <c r="FS136" s="119">
        <f t="shared" si="262"/>
        <v>0</v>
      </c>
      <c r="FT136" s="194">
        <f t="shared" si="262"/>
        <v>0</v>
      </c>
      <c r="FU136" s="117">
        <f t="shared" si="262"/>
        <v>0</v>
      </c>
      <c r="FV136" s="118">
        <f t="shared" si="262"/>
        <v>0</v>
      </c>
      <c r="FW136" s="116">
        <f t="shared" si="262"/>
        <v>0</v>
      </c>
      <c r="FX136" s="117">
        <f t="shared" si="262"/>
        <v>0</v>
      </c>
      <c r="FY136" s="119">
        <f t="shared" si="262"/>
        <v>0</v>
      </c>
      <c r="FZ136" s="194">
        <f t="shared" si="262"/>
        <v>0</v>
      </c>
      <c r="GA136" s="117">
        <f t="shared" si="262"/>
        <v>0</v>
      </c>
      <c r="GB136" s="118">
        <f t="shared" si="262"/>
        <v>0</v>
      </c>
      <c r="GC136" s="116">
        <f t="shared" si="262"/>
        <v>0</v>
      </c>
      <c r="GD136" s="117">
        <f t="shared" si="262"/>
        <v>0</v>
      </c>
      <c r="GE136" s="119">
        <f t="shared" si="262"/>
        <v>0</v>
      </c>
      <c r="GF136" s="194">
        <f t="shared" si="262"/>
        <v>0</v>
      </c>
      <c r="GG136" s="117">
        <f t="shared" si="262"/>
        <v>0</v>
      </c>
      <c r="GH136" s="118">
        <f t="shared" si="262"/>
        <v>0</v>
      </c>
      <c r="GI136" s="116">
        <f t="shared" si="262"/>
        <v>0</v>
      </c>
      <c r="GJ136" s="117">
        <f t="shared" si="262"/>
        <v>0</v>
      </c>
      <c r="GK136" s="118">
        <f t="shared" si="262"/>
        <v>0</v>
      </c>
      <c r="GL136" s="239">
        <f t="shared" si="262"/>
        <v>0</v>
      </c>
      <c r="GM136" s="43">
        <f t="shared" si="262"/>
        <v>0</v>
      </c>
      <c r="GN136" s="283">
        <f t="shared" si="262"/>
        <v>0</v>
      </c>
      <c r="GO136" s="239">
        <f t="shared" si="262"/>
        <v>0</v>
      </c>
      <c r="GP136" s="43">
        <f t="shared" si="262"/>
        <v>0</v>
      </c>
      <c r="GQ136" s="57">
        <f t="shared" si="262"/>
        <v>0</v>
      </c>
      <c r="GR136" s="194">
        <f t="shared" si="262"/>
        <v>0</v>
      </c>
      <c r="GS136" s="117">
        <f t="shared" si="262"/>
        <v>0</v>
      </c>
      <c r="GT136" s="119">
        <f t="shared" si="262"/>
        <v>0</v>
      </c>
      <c r="GU136" s="194">
        <f t="shared" si="262"/>
        <v>0</v>
      </c>
      <c r="GV136" s="117">
        <f t="shared" si="262"/>
        <v>0</v>
      </c>
      <c r="GW136" s="119">
        <f t="shared" si="262"/>
        <v>0</v>
      </c>
      <c r="GX136" s="194">
        <f t="shared" si="262"/>
        <v>0</v>
      </c>
      <c r="GY136" s="117">
        <f t="shared" ref="GY136:HC136" si="263">+GY29+GY65+GY101</f>
        <v>0</v>
      </c>
      <c r="GZ136" s="119">
        <f t="shared" si="263"/>
        <v>0</v>
      </c>
      <c r="HA136" s="194">
        <f t="shared" si="263"/>
        <v>0</v>
      </c>
      <c r="HB136" s="117">
        <f t="shared" si="263"/>
        <v>0</v>
      </c>
      <c r="HC136" s="119">
        <f t="shared" si="263"/>
        <v>0</v>
      </c>
      <c r="HD136" s="368">
        <f t="shared" si="139"/>
        <v>0</v>
      </c>
      <c r="HE136" s="369">
        <f t="shared" si="140"/>
        <v>0</v>
      </c>
      <c r="HF136" s="369">
        <f t="shared" si="141"/>
        <v>0</v>
      </c>
      <c r="HG136" s="145">
        <f t="shared" si="132"/>
        <v>0</v>
      </c>
    </row>
    <row r="137" spans="1:215" ht="15.75" thickBot="1">
      <c r="A137" s="238">
        <v>23</v>
      </c>
      <c r="B137" s="116">
        <f t="shared" ref="B137:AN137" si="264">+B30+B66+B102</f>
        <v>0</v>
      </c>
      <c r="C137" s="117">
        <f t="shared" si="264"/>
        <v>0</v>
      </c>
      <c r="D137" s="119">
        <f t="shared" si="264"/>
        <v>0</v>
      </c>
      <c r="E137" s="194">
        <f t="shared" si="264"/>
        <v>0</v>
      </c>
      <c r="F137" s="117">
        <f t="shared" si="264"/>
        <v>0</v>
      </c>
      <c r="G137" s="118">
        <f t="shared" si="264"/>
        <v>0</v>
      </c>
      <c r="H137" s="116">
        <f t="shared" si="264"/>
        <v>0</v>
      </c>
      <c r="I137" s="117">
        <f t="shared" si="264"/>
        <v>0</v>
      </c>
      <c r="J137" s="119">
        <f t="shared" si="264"/>
        <v>0</v>
      </c>
      <c r="K137" s="194">
        <f t="shared" si="264"/>
        <v>0</v>
      </c>
      <c r="L137" s="117">
        <f t="shared" si="264"/>
        <v>0</v>
      </c>
      <c r="M137" s="118">
        <f t="shared" si="264"/>
        <v>0</v>
      </c>
      <c r="N137" s="116">
        <f t="shared" si="264"/>
        <v>0</v>
      </c>
      <c r="O137" s="117">
        <f t="shared" si="264"/>
        <v>0</v>
      </c>
      <c r="P137" s="119">
        <f t="shared" si="264"/>
        <v>0</v>
      </c>
      <c r="Q137" s="194">
        <f t="shared" si="264"/>
        <v>0</v>
      </c>
      <c r="R137" s="117">
        <f t="shared" si="264"/>
        <v>0</v>
      </c>
      <c r="S137" s="118">
        <f t="shared" si="264"/>
        <v>0</v>
      </c>
      <c r="T137" s="116">
        <f t="shared" si="264"/>
        <v>0</v>
      </c>
      <c r="U137" s="117">
        <f t="shared" si="264"/>
        <v>0</v>
      </c>
      <c r="V137" s="119">
        <f t="shared" si="264"/>
        <v>0</v>
      </c>
      <c r="W137" s="194">
        <f t="shared" si="264"/>
        <v>0</v>
      </c>
      <c r="X137" s="117">
        <f t="shared" si="264"/>
        <v>0</v>
      </c>
      <c r="Y137" s="118">
        <f t="shared" si="264"/>
        <v>0</v>
      </c>
      <c r="Z137" s="116">
        <f t="shared" si="264"/>
        <v>0</v>
      </c>
      <c r="AA137" s="117">
        <f t="shared" si="264"/>
        <v>0</v>
      </c>
      <c r="AB137" s="119">
        <f t="shared" si="264"/>
        <v>0</v>
      </c>
      <c r="AC137" s="194">
        <f t="shared" si="264"/>
        <v>0</v>
      </c>
      <c r="AD137" s="117">
        <f t="shared" si="264"/>
        <v>0</v>
      </c>
      <c r="AE137" s="118">
        <f t="shared" si="264"/>
        <v>0</v>
      </c>
      <c r="AF137" s="116">
        <f t="shared" si="264"/>
        <v>0</v>
      </c>
      <c r="AG137" s="117">
        <f t="shared" si="264"/>
        <v>0</v>
      </c>
      <c r="AH137" s="119">
        <f t="shared" si="264"/>
        <v>0</v>
      </c>
      <c r="AI137" s="194">
        <f t="shared" si="264"/>
        <v>0</v>
      </c>
      <c r="AJ137" s="117">
        <f t="shared" si="264"/>
        <v>0</v>
      </c>
      <c r="AK137" s="118">
        <f t="shared" si="264"/>
        <v>0</v>
      </c>
      <c r="AL137" s="116">
        <f t="shared" si="264"/>
        <v>0</v>
      </c>
      <c r="AM137" s="117">
        <f t="shared" si="264"/>
        <v>0</v>
      </c>
      <c r="AN137" s="119">
        <f t="shared" si="264"/>
        <v>0</v>
      </c>
      <c r="AO137" s="194">
        <f t="shared" ref="AO137:BZ137" si="265">+AO30+AO66+AO102</f>
        <v>0</v>
      </c>
      <c r="AP137" s="117">
        <f t="shared" si="265"/>
        <v>0</v>
      </c>
      <c r="AQ137" s="118">
        <f t="shared" si="265"/>
        <v>0</v>
      </c>
      <c r="AR137" s="116">
        <f t="shared" si="265"/>
        <v>0</v>
      </c>
      <c r="AS137" s="117">
        <f t="shared" si="265"/>
        <v>0</v>
      </c>
      <c r="AT137" s="119">
        <f t="shared" si="265"/>
        <v>0</v>
      </c>
      <c r="AU137" s="194">
        <f t="shared" si="265"/>
        <v>0</v>
      </c>
      <c r="AV137" s="117">
        <f t="shared" si="265"/>
        <v>0</v>
      </c>
      <c r="AW137" s="118">
        <f t="shared" si="265"/>
        <v>0</v>
      </c>
      <c r="AX137" s="116">
        <f t="shared" si="265"/>
        <v>0</v>
      </c>
      <c r="AY137" s="117">
        <f t="shared" si="265"/>
        <v>0</v>
      </c>
      <c r="AZ137" s="119">
        <f t="shared" si="265"/>
        <v>0</v>
      </c>
      <c r="BA137" s="194">
        <f t="shared" si="265"/>
        <v>0</v>
      </c>
      <c r="BB137" s="117">
        <f t="shared" si="265"/>
        <v>0</v>
      </c>
      <c r="BC137" s="118">
        <f t="shared" si="265"/>
        <v>0</v>
      </c>
      <c r="BD137" s="116">
        <f t="shared" si="265"/>
        <v>0</v>
      </c>
      <c r="BE137" s="117">
        <f t="shared" si="265"/>
        <v>0</v>
      </c>
      <c r="BF137" s="119">
        <f t="shared" si="265"/>
        <v>0</v>
      </c>
      <c r="BG137" s="194">
        <f t="shared" si="265"/>
        <v>0</v>
      </c>
      <c r="BH137" s="117">
        <f t="shared" si="265"/>
        <v>0</v>
      </c>
      <c r="BI137" s="118">
        <f t="shared" si="265"/>
        <v>0</v>
      </c>
      <c r="BJ137" s="116">
        <f t="shared" si="265"/>
        <v>0</v>
      </c>
      <c r="BK137" s="117">
        <f t="shared" si="265"/>
        <v>0</v>
      </c>
      <c r="BL137" s="119">
        <f t="shared" si="265"/>
        <v>0</v>
      </c>
      <c r="BM137" s="194">
        <f t="shared" si="265"/>
        <v>0</v>
      </c>
      <c r="BN137" s="117">
        <f t="shared" si="265"/>
        <v>0</v>
      </c>
      <c r="BO137" s="118">
        <f t="shared" si="265"/>
        <v>0</v>
      </c>
      <c r="BP137" s="116">
        <f t="shared" si="265"/>
        <v>0</v>
      </c>
      <c r="BQ137" s="117">
        <f t="shared" si="265"/>
        <v>0</v>
      </c>
      <c r="BR137" s="119">
        <f t="shared" si="265"/>
        <v>0</v>
      </c>
      <c r="BS137" s="194">
        <f t="shared" si="265"/>
        <v>0</v>
      </c>
      <c r="BT137" s="117">
        <f t="shared" si="265"/>
        <v>0</v>
      </c>
      <c r="BU137" s="118">
        <f t="shared" si="265"/>
        <v>0</v>
      </c>
      <c r="BV137" s="116">
        <f t="shared" si="265"/>
        <v>0</v>
      </c>
      <c r="BW137" s="117">
        <f t="shared" si="265"/>
        <v>0</v>
      </c>
      <c r="BX137" s="119">
        <f t="shared" si="265"/>
        <v>0</v>
      </c>
      <c r="BY137" s="194">
        <f t="shared" si="265"/>
        <v>0</v>
      </c>
      <c r="BZ137" s="117">
        <f t="shared" si="265"/>
        <v>0</v>
      </c>
      <c r="CA137" s="118">
        <f t="shared" ref="CA137:EL137" si="266">+CA30+CA66+CA102</f>
        <v>0</v>
      </c>
      <c r="CB137" s="116">
        <f t="shared" si="266"/>
        <v>0</v>
      </c>
      <c r="CC137" s="117">
        <f t="shared" si="266"/>
        <v>0</v>
      </c>
      <c r="CD137" s="119">
        <f t="shared" si="266"/>
        <v>0</v>
      </c>
      <c r="CE137" s="194">
        <f t="shared" si="266"/>
        <v>0</v>
      </c>
      <c r="CF137" s="117">
        <f t="shared" si="266"/>
        <v>0</v>
      </c>
      <c r="CG137" s="118">
        <f t="shared" si="266"/>
        <v>0</v>
      </c>
      <c r="CH137" s="116">
        <f t="shared" si="266"/>
        <v>0</v>
      </c>
      <c r="CI137" s="117">
        <f t="shared" si="266"/>
        <v>0</v>
      </c>
      <c r="CJ137" s="118">
        <f t="shared" si="266"/>
        <v>0</v>
      </c>
      <c r="CK137" s="239">
        <f t="shared" si="266"/>
        <v>0</v>
      </c>
      <c r="CL137" s="43">
        <f t="shared" si="266"/>
        <v>0</v>
      </c>
      <c r="CM137" s="283">
        <f t="shared" si="266"/>
        <v>0</v>
      </c>
      <c r="CN137" s="239">
        <f t="shared" si="266"/>
        <v>0</v>
      </c>
      <c r="CO137" s="43">
        <f t="shared" si="266"/>
        <v>0</v>
      </c>
      <c r="CP137" s="57">
        <f t="shared" si="266"/>
        <v>0</v>
      </c>
      <c r="CQ137" s="194">
        <f t="shared" ref="CQ137:CY137" si="267">+CQ30+CQ66+CQ102</f>
        <v>0</v>
      </c>
      <c r="CR137" s="117">
        <f t="shared" si="267"/>
        <v>0</v>
      </c>
      <c r="CS137" s="119">
        <f t="shared" si="267"/>
        <v>0</v>
      </c>
      <c r="CT137" s="194">
        <f t="shared" si="267"/>
        <v>0</v>
      </c>
      <c r="CU137" s="117">
        <f t="shared" si="267"/>
        <v>0</v>
      </c>
      <c r="CV137" s="119">
        <f t="shared" si="267"/>
        <v>0</v>
      </c>
      <c r="CW137" s="194">
        <f t="shared" si="267"/>
        <v>0</v>
      </c>
      <c r="CX137" s="117">
        <f t="shared" si="267"/>
        <v>0</v>
      </c>
      <c r="CY137" s="119">
        <f t="shared" si="267"/>
        <v>0</v>
      </c>
      <c r="CZ137" s="194">
        <f t="shared" si="266"/>
        <v>0</v>
      </c>
      <c r="DA137" s="117">
        <f t="shared" si="266"/>
        <v>0</v>
      </c>
      <c r="DB137" s="119">
        <f t="shared" si="266"/>
        <v>0</v>
      </c>
      <c r="DC137" s="116">
        <f t="shared" si="266"/>
        <v>0</v>
      </c>
      <c r="DD137" s="117">
        <f t="shared" si="266"/>
        <v>0</v>
      </c>
      <c r="DE137" s="119">
        <f t="shared" si="266"/>
        <v>0</v>
      </c>
      <c r="DF137" s="194">
        <f t="shared" si="266"/>
        <v>0</v>
      </c>
      <c r="DG137" s="117">
        <f t="shared" si="266"/>
        <v>0</v>
      </c>
      <c r="DH137" s="118">
        <f t="shared" si="266"/>
        <v>0</v>
      </c>
      <c r="DI137" s="116">
        <f t="shared" si="266"/>
        <v>0</v>
      </c>
      <c r="DJ137" s="117">
        <f t="shared" si="266"/>
        <v>0</v>
      </c>
      <c r="DK137" s="119">
        <f t="shared" si="266"/>
        <v>0</v>
      </c>
      <c r="DL137" s="194">
        <f t="shared" si="266"/>
        <v>0</v>
      </c>
      <c r="DM137" s="117">
        <f t="shared" si="266"/>
        <v>0</v>
      </c>
      <c r="DN137" s="118">
        <f t="shared" si="266"/>
        <v>0</v>
      </c>
      <c r="DO137" s="116">
        <f t="shared" si="266"/>
        <v>0</v>
      </c>
      <c r="DP137" s="117">
        <f t="shared" si="266"/>
        <v>0</v>
      </c>
      <c r="DQ137" s="119">
        <f t="shared" si="266"/>
        <v>0</v>
      </c>
      <c r="DR137" s="194">
        <f t="shared" si="266"/>
        <v>0</v>
      </c>
      <c r="DS137" s="117">
        <f t="shared" si="266"/>
        <v>0</v>
      </c>
      <c r="DT137" s="118">
        <f t="shared" si="266"/>
        <v>0</v>
      </c>
      <c r="DU137" s="116">
        <f t="shared" si="266"/>
        <v>0</v>
      </c>
      <c r="DV137" s="117">
        <f t="shared" si="266"/>
        <v>0</v>
      </c>
      <c r="DW137" s="119">
        <f t="shared" si="266"/>
        <v>0</v>
      </c>
      <c r="DX137" s="194">
        <f t="shared" si="266"/>
        <v>0</v>
      </c>
      <c r="DY137" s="117">
        <f t="shared" si="266"/>
        <v>0</v>
      </c>
      <c r="DZ137" s="118">
        <f t="shared" si="266"/>
        <v>0</v>
      </c>
      <c r="EA137" s="116">
        <f t="shared" si="266"/>
        <v>0</v>
      </c>
      <c r="EB137" s="117">
        <f t="shared" si="266"/>
        <v>0</v>
      </c>
      <c r="EC137" s="119">
        <f t="shared" si="266"/>
        <v>0</v>
      </c>
      <c r="ED137" s="194">
        <f t="shared" si="266"/>
        <v>0</v>
      </c>
      <c r="EE137" s="117">
        <f t="shared" si="266"/>
        <v>0</v>
      </c>
      <c r="EF137" s="118">
        <f t="shared" si="266"/>
        <v>0</v>
      </c>
      <c r="EG137" s="116">
        <f t="shared" si="266"/>
        <v>0</v>
      </c>
      <c r="EH137" s="117">
        <f t="shared" si="266"/>
        <v>0</v>
      </c>
      <c r="EI137" s="119">
        <f t="shared" si="266"/>
        <v>0</v>
      </c>
      <c r="EJ137" s="194">
        <f t="shared" si="266"/>
        <v>0</v>
      </c>
      <c r="EK137" s="117">
        <f t="shared" si="266"/>
        <v>0</v>
      </c>
      <c r="EL137" s="118">
        <f t="shared" si="266"/>
        <v>0</v>
      </c>
      <c r="EM137" s="116">
        <f t="shared" ref="EM137:GX137" si="268">+EM30+EM66+EM102</f>
        <v>0</v>
      </c>
      <c r="EN137" s="117">
        <f t="shared" si="268"/>
        <v>0</v>
      </c>
      <c r="EO137" s="119">
        <f t="shared" si="268"/>
        <v>0</v>
      </c>
      <c r="EP137" s="194">
        <f t="shared" si="268"/>
        <v>0</v>
      </c>
      <c r="EQ137" s="117">
        <f t="shared" si="268"/>
        <v>0</v>
      </c>
      <c r="ER137" s="118">
        <f t="shared" si="268"/>
        <v>0</v>
      </c>
      <c r="ES137" s="116">
        <f t="shared" si="268"/>
        <v>0</v>
      </c>
      <c r="ET137" s="117">
        <f t="shared" si="268"/>
        <v>0</v>
      </c>
      <c r="EU137" s="119">
        <f t="shared" si="268"/>
        <v>0</v>
      </c>
      <c r="EV137" s="194">
        <f t="shared" si="268"/>
        <v>0</v>
      </c>
      <c r="EW137" s="117">
        <f t="shared" si="268"/>
        <v>0</v>
      </c>
      <c r="EX137" s="118">
        <f t="shared" si="268"/>
        <v>0</v>
      </c>
      <c r="EY137" s="116">
        <f t="shared" si="268"/>
        <v>0</v>
      </c>
      <c r="EZ137" s="117">
        <f t="shared" si="268"/>
        <v>0</v>
      </c>
      <c r="FA137" s="119">
        <f t="shared" si="268"/>
        <v>0</v>
      </c>
      <c r="FB137" s="194">
        <f t="shared" si="268"/>
        <v>0</v>
      </c>
      <c r="FC137" s="117">
        <f t="shared" si="268"/>
        <v>0</v>
      </c>
      <c r="FD137" s="118">
        <f t="shared" si="268"/>
        <v>0</v>
      </c>
      <c r="FE137" s="116">
        <f t="shared" si="268"/>
        <v>0</v>
      </c>
      <c r="FF137" s="117">
        <f t="shared" si="268"/>
        <v>0</v>
      </c>
      <c r="FG137" s="119">
        <f t="shared" si="268"/>
        <v>0</v>
      </c>
      <c r="FH137" s="194">
        <f t="shared" si="268"/>
        <v>0</v>
      </c>
      <c r="FI137" s="117">
        <f t="shared" si="268"/>
        <v>0</v>
      </c>
      <c r="FJ137" s="118">
        <f t="shared" si="268"/>
        <v>0</v>
      </c>
      <c r="FK137" s="116">
        <f t="shared" si="268"/>
        <v>0</v>
      </c>
      <c r="FL137" s="117">
        <f t="shared" si="268"/>
        <v>0</v>
      </c>
      <c r="FM137" s="119">
        <f t="shared" si="268"/>
        <v>0</v>
      </c>
      <c r="FN137" s="194">
        <f t="shared" si="268"/>
        <v>0</v>
      </c>
      <c r="FO137" s="117">
        <f t="shared" si="268"/>
        <v>0</v>
      </c>
      <c r="FP137" s="118">
        <f t="shared" si="268"/>
        <v>0</v>
      </c>
      <c r="FQ137" s="116">
        <f t="shared" si="268"/>
        <v>0</v>
      </c>
      <c r="FR137" s="117">
        <f t="shared" si="268"/>
        <v>0</v>
      </c>
      <c r="FS137" s="119">
        <f t="shared" si="268"/>
        <v>0</v>
      </c>
      <c r="FT137" s="194">
        <f t="shared" si="268"/>
        <v>0</v>
      </c>
      <c r="FU137" s="117">
        <f t="shared" si="268"/>
        <v>0</v>
      </c>
      <c r="FV137" s="118">
        <f t="shared" si="268"/>
        <v>0</v>
      </c>
      <c r="FW137" s="116">
        <f t="shared" si="268"/>
        <v>0</v>
      </c>
      <c r="FX137" s="117">
        <f t="shared" si="268"/>
        <v>0</v>
      </c>
      <c r="FY137" s="119">
        <f t="shared" si="268"/>
        <v>0</v>
      </c>
      <c r="FZ137" s="194">
        <f t="shared" si="268"/>
        <v>0</v>
      </c>
      <c r="GA137" s="117">
        <f t="shared" si="268"/>
        <v>0</v>
      </c>
      <c r="GB137" s="118">
        <f t="shared" si="268"/>
        <v>0</v>
      </c>
      <c r="GC137" s="116">
        <f t="shared" si="268"/>
        <v>0</v>
      </c>
      <c r="GD137" s="117">
        <f t="shared" si="268"/>
        <v>0</v>
      </c>
      <c r="GE137" s="119">
        <f t="shared" si="268"/>
        <v>0</v>
      </c>
      <c r="GF137" s="194">
        <f t="shared" si="268"/>
        <v>0</v>
      </c>
      <c r="GG137" s="117">
        <f t="shared" si="268"/>
        <v>0</v>
      </c>
      <c r="GH137" s="118">
        <f t="shared" si="268"/>
        <v>0</v>
      </c>
      <c r="GI137" s="116">
        <f t="shared" si="268"/>
        <v>0</v>
      </c>
      <c r="GJ137" s="117">
        <f t="shared" si="268"/>
        <v>0</v>
      </c>
      <c r="GK137" s="118">
        <f t="shared" si="268"/>
        <v>0</v>
      </c>
      <c r="GL137" s="239">
        <f t="shared" si="268"/>
        <v>0</v>
      </c>
      <c r="GM137" s="43">
        <f t="shared" si="268"/>
        <v>0</v>
      </c>
      <c r="GN137" s="283">
        <f t="shared" si="268"/>
        <v>0</v>
      </c>
      <c r="GO137" s="239">
        <f t="shared" si="268"/>
        <v>0</v>
      </c>
      <c r="GP137" s="43">
        <f t="shared" si="268"/>
        <v>0</v>
      </c>
      <c r="GQ137" s="57">
        <f t="shared" si="268"/>
        <v>0</v>
      </c>
      <c r="GR137" s="194">
        <f t="shared" si="268"/>
        <v>0</v>
      </c>
      <c r="GS137" s="117">
        <f t="shared" si="268"/>
        <v>0</v>
      </c>
      <c r="GT137" s="119">
        <f t="shared" si="268"/>
        <v>0</v>
      </c>
      <c r="GU137" s="194">
        <f t="shared" si="268"/>
        <v>0</v>
      </c>
      <c r="GV137" s="117">
        <f t="shared" si="268"/>
        <v>0</v>
      </c>
      <c r="GW137" s="119">
        <f t="shared" si="268"/>
        <v>0</v>
      </c>
      <c r="GX137" s="194">
        <f t="shared" si="268"/>
        <v>0</v>
      </c>
      <c r="GY137" s="117">
        <f t="shared" ref="GY137:HC137" si="269">+GY30+GY66+GY102</f>
        <v>0</v>
      </c>
      <c r="GZ137" s="119">
        <f t="shared" si="269"/>
        <v>0</v>
      </c>
      <c r="HA137" s="194">
        <f t="shared" si="269"/>
        <v>0</v>
      </c>
      <c r="HB137" s="117">
        <f t="shared" si="269"/>
        <v>0</v>
      </c>
      <c r="HC137" s="119">
        <f t="shared" si="269"/>
        <v>0</v>
      </c>
      <c r="HD137" s="368">
        <f t="shared" si="139"/>
        <v>0</v>
      </c>
      <c r="HE137" s="369">
        <f t="shared" si="140"/>
        <v>0</v>
      </c>
      <c r="HF137" s="369">
        <f t="shared" si="141"/>
        <v>0</v>
      </c>
      <c r="HG137" s="145">
        <f t="shared" si="132"/>
        <v>0</v>
      </c>
    </row>
    <row r="138" spans="1:215" ht="15.75" thickBot="1">
      <c r="A138" s="238">
        <v>24</v>
      </c>
      <c r="B138" s="116">
        <f t="shared" ref="B138:AN138" si="270">+B31+B67+B103</f>
        <v>0</v>
      </c>
      <c r="C138" s="117">
        <f t="shared" si="270"/>
        <v>0</v>
      </c>
      <c r="D138" s="119">
        <f t="shared" si="270"/>
        <v>0</v>
      </c>
      <c r="E138" s="194">
        <f t="shared" si="270"/>
        <v>0</v>
      </c>
      <c r="F138" s="117">
        <f t="shared" si="270"/>
        <v>0</v>
      </c>
      <c r="G138" s="118">
        <f t="shared" si="270"/>
        <v>0</v>
      </c>
      <c r="H138" s="116">
        <f t="shared" si="270"/>
        <v>0</v>
      </c>
      <c r="I138" s="117">
        <f t="shared" si="270"/>
        <v>0</v>
      </c>
      <c r="J138" s="119">
        <f t="shared" si="270"/>
        <v>0</v>
      </c>
      <c r="K138" s="194">
        <f t="shared" si="270"/>
        <v>0</v>
      </c>
      <c r="L138" s="117">
        <f t="shared" si="270"/>
        <v>0</v>
      </c>
      <c r="M138" s="118">
        <f t="shared" si="270"/>
        <v>0</v>
      </c>
      <c r="N138" s="116">
        <f t="shared" si="270"/>
        <v>0</v>
      </c>
      <c r="O138" s="117">
        <f t="shared" si="270"/>
        <v>0</v>
      </c>
      <c r="P138" s="119">
        <f t="shared" si="270"/>
        <v>0</v>
      </c>
      <c r="Q138" s="194">
        <f t="shared" si="270"/>
        <v>0</v>
      </c>
      <c r="R138" s="117">
        <f t="shared" si="270"/>
        <v>0</v>
      </c>
      <c r="S138" s="118">
        <f t="shared" si="270"/>
        <v>0</v>
      </c>
      <c r="T138" s="116">
        <f t="shared" si="270"/>
        <v>0</v>
      </c>
      <c r="U138" s="117">
        <f t="shared" si="270"/>
        <v>0</v>
      </c>
      <c r="V138" s="119">
        <f t="shared" si="270"/>
        <v>0</v>
      </c>
      <c r="W138" s="194">
        <f t="shared" si="270"/>
        <v>0</v>
      </c>
      <c r="X138" s="117">
        <f t="shared" si="270"/>
        <v>0</v>
      </c>
      <c r="Y138" s="118">
        <f t="shared" si="270"/>
        <v>0</v>
      </c>
      <c r="Z138" s="116">
        <f t="shared" si="270"/>
        <v>0</v>
      </c>
      <c r="AA138" s="117">
        <f t="shared" si="270"/>
        <v>0</v>
      </c>
      <c r="AB138" s="119">
        <f t="shared" si="270"/>
        <v>0</v>
      </c>
      <c r="AC138" s="194">
        <f t="shared" si="270"/>
        <v>0</v>
      </c>
      <c r="AD138" s="117">
        <f t="shared" si="270"/>
        <v>0</v>
      </c>
      <c r="AE138" s="118">
        <f t="shared" si="270"/>
        <v>0</v>
      </c>
      <c r="AF138" s="116">
        <f t="shared" si="270"/>
        <v>0</v>
      </c>
      <c r="AG138" s="117">
        <f t="shared" si="270"/>
        <v>0</v>
      </c>
      <c r="AH138" s="119">
        <f t="shared" si="270"/>
        <v>0</v>
      </c>
      <c r="AI138" s="194">
        <f t="shared" si="270"/>
        <v>0</v>
      </c>
      <c r="AJ138" s="117">
        <f t="shared" si="270"/>
        <v>0</v>
      </c>
      <c r="AK138" s="118">
        <f t="shared" si="270"/>
        <v>0</v>
      </c>
      <c r="AL138" s="116">
        <f t="shared" si="270"/>
        <v>0</v>
      </c>
      <c r="AM138" s="117">
        <f t="shared" si="270"/>
        <v>0</v>
      </c>
      <c r="AN138" s="119">
        <f t="shared" si="270"/>
        <v>0</v>
      </c>
      <c r="AO138" s="194">
        <f t="shared" ref="AO138:BZ138" si="271">+AO31+AO67+AO103</f>
        <v>0</v>
      </c>
      <c r="AP138" s="117">
        <f t="shared" si="271"/>
        <v>0</v>
      </c>
      <c r="AQ138" s="118">
        <f t="shared" si="271"/>
        <v>0</v>
      </c>
      <c r="AR138" s="116">
        <f t="shared" si="271"/>
        <v>0</v>
      </c>
      <c r="AS138" s="117">
        <f t="shared" si="271"/>
        <v>0</v>
      </c>
      <c r="AT138" s="119">
        <f t="shared" si="271"/>
        <v>0</v>
      </c>
      <c r="AU138" s="194">
        <f t="shared" si="271"/>
        <v>0</v>
      </c>
      <c r="AV138" s="117">
        <f t="shared" si="271"/>
        <v>0</v>
      </c>
      <c r="AW138" s="118">
        <f t="shared" si="271"/>
        <v>0</v>
      </c>
      <c r="AX138" s="116">
        <f t="shared" si="271"/>
        <v>0</v>
      </c>
      <c r="AY138" s="117">
        <f t="shared" si="271"/>
        <v>0</v>
      </c>
      <c r="AZ138" s="119">
        <f t="shared" si="271"/>
        <v>0</v>
      </c>
      <c r="BA138" s="194">
        <f t="shared" si="271"/>
        <v>0</v>
      </c>
      <c r="BB138" s="117">
        <f t="shared" si="271"/>
        <v>0</v>
      </c>
      <c r="BC138" s="118">
        <f t="shared" si="271"/>
        <v>0</v>
      </c>
      <c r="BD138" s="116">
        <f t="shared" si="271"/>
        <v>0</v>
      </c>
      <c r="BE138" s="117">
        <f t="shared" si="271"/>
        <v>0</v>
      </c>
      <c r="BF138" s="119">
        <f t="shared" si="271"/>
        <v>0</v>
      </c>
      <c r="BG138" s="194">
        <f t="shared" si="271"/>
        <v>0</v>
      </c>
      <c r="BH138" s="117">
        <f t="shared" si="271"/>
        <v>0</v>
      </c>
      <c r="BI138" s="118">
        <f t="shared" si="271"/>
        <v>0</v>
      </c>
      <c r="BJ138" s="116">
        <f t="shared" si="271"/>
        <v>0</v>
      </c>
      <c r="BK138" s="117">
        <f t="shared" si="271"/>
        <v>0</v>
      </c>
      <c r="BL138" s="119">
        <f t="shared" si="271"/>
        <v>0</v>
      </c>
      <c r="BM138" s="194">
        <f t="shared" si="271"/>
        <v>0</v>
      </c>
      <c r="BN138" s="117">
        <f t="shared" si="271"/>
        <v>0</v>
      </c>
      <c r="BO138" s="118">
        <f t="shared" si="271"/>
        <v>0</v>
      </c>
      <c r="BP138" s="116">
        <f t="shared" si="271"/>
        <v>0</v>
      </c>
      <c r="BQ138" s="117">
        <f t="shared" si="271"/>
        <v>0</v>
      </c>
      <c r="BR138" s="119">
        <f t="shared" si="271"/>
        <v>0</v>
      </c>
      <c r="BS138" s="194">
        <f t="shared" si="271"/>
        <v>0</v>
      </c>
      <c r="BT138" s="117">
        <f t="shared" si="271"/>
        <v>0</v>
      </c>
      <c r="BU138" s="118">
        <f t="shared" si="271"/>
        <v>0</v>
      </c>
      <c r="BV138" s="116">
        <f t="shared" si="271"/>
        <v>0</v>
      </c>
      <c r="BW138" s="117">
        <f t="shared" si="271"/>
        <v>0</v>
      </c>
      <c r="BX138" s="119">
        <f t="shared" si="271"/>
        <v>0</v>
      </c>
      <c r="BY138" s="194">
        <f t="shared" si="271"/>
        <v>0</v>
      </c>
      <c r="BZ138" s="117">
        <f t="shared" si="271"/>
        <v>0</v>
      </c>
      <c r="CA138" s="118">
        <f t="shared" ref="CA138:EL138" si="272">+CA31+CA67+CA103</f>
        <v>0</v>
      </c>
      <c r="CB138" s="116">
        <f t="shared" si="272"/>
        <v>0</v>
      </c>
      <c r="CC138" s="117">
        <f t="shared" si="272"/>
        <v>0</v>
      </c>
      <c r="CD138" s="119">
        <f t="shared" si="272"/>
        <v>0</v>
      </c>
      <c r="CE138" s="194">
        <f t="shared" si="272"/>
        <v>0</v>
      </c>
      <c r="CF138" s="117">
        <f t="shared" si="272"/>
        <v>0</v>
      </c>
      <c r="CG138" s="118">
        <f t="shared" si="272"/>
        <v>0</v>
      </c>
      <c r="CH138" s="116">
        <f t="shared" si="272"/>
        <v>0</v>
      </c>
      <c r="CI138" s="117">
        <f t="shared" si="272"/>
        <v>0</v>
      </c>
      <c r="CJ138" s="118">
        <f t="shared" si="272"/>
        <v>0</v>
      </c>
      <c r="CK138" s="239">
        <f t="shared" si="272"/>
        <v>0</v>
      </c>
      <c r="CL138" s="43">
        <f t="shared" si="272"/>
        <v>0</v>
      </c>
      <c r="CM138" s="283">
        <f t="shared" si="272"/>
        <v>0</v>
      </c>
      <c r="CN138" s="239">
        <f t="shared" si="272"/>
        <v>0</v>
      </c>
      <c r="CO138" s="43">
        <f t="shared" si="272"/>
        <v>0</v>
      </c>
      <c r="CP138" s="57">
        <f t="shared" si="272"/>
        <v>0</v>
      </c>
      <c r="CQ138" s="194">
        <f t="shared" ref="CQ138:CY138" si="273">+CQ31+CQ67+CQ103</f>
        <v>0</v>
      </c>
      <c r="CR138" s="117">
        <f t="shared" si="273"/>
        <v>0</v>
      </c>
      <c r="CS138" s="119">
        <f t="shared" si="273"/>
        <v>0</v>
      </c>
      <c r="CT138" s="194">
        <f t="shared" si="273"/>
        <v>0</v>
      </c>
      <c r="CU138" s="117">
        <f t="shared" si="273"/>
        <v>0</v>
      </c>
      <c r="CV138" s="119">
        <f t="shared" si="273"/>
        <v>0</v>
      </c>
      <c r="CW138" s="194">
        <f t="shared" si="273"/>
        <v>0</v>
      </c>
      <c r="CX138" s="117">
        <f t="shared" si="273"/>
        <v>0</v>
      </c>
      <c r="CY138" s="119">
        <f t="shared" si="273"/>
        <v>0</v>
      </c>
      <c r="CZ138" s="194">
        <f t="shared" si="272"/>
        <v>0</v>
      </c>
      <c r="DA138" s="117">
        <f t="shared" si="272"/>
        <v>0</v>
      </c>
      <c r="DB138" s="119">
        <f t="shared" si="272"/>
        <v>0</v>
      </c>
      <c r="DC138" s="116">
        <f t="shared" si="272"/>
        <v>0</v>
      </c>
      <c r="DD138" s="117">
        <f t="shared" si="272"/>
        <v>0</v>
      </c>
      <c r="DE138" s="119">
        <f t="shared" si="272"/>
        <v>0</v>
      </c>
      <c r="DF138" s="194">
        <f t="shared" si="272"/>
        <v>0</v>
      </c>
      <c r="DG138" s="117">
        <f t="shared" si="272"/>
        <v>0</v>
      </c>
      <c r="DH138" s="118">
        <f t="shared" si="272"/>
        <v>0</v>
      </c>
      <c r="DI138" s="116">
        <f t="shared" si="272"/>
        <v>0</v>
      </c>
      <c r="DJ138" s="117">
        <f t="shared" si="272"/>
        <v>0</v>
      </c>
      <c r="DK138" s="119">
        <f t="shared" si="272"/>
        <v>0</v>
      </c>
      <c r="DL138" s="194">
        <f t="shared" si="272"/>
        <v>0</v>
      </c>
      <c r="DM138" s="117">
        <f t="shared" si="272"/>
        <v>0</v>
      </c>
      <c r="DN138" s="118">
        <f t="shared" si="272"/>
        <v>0</v>
      </c>
      <c r="DO138" s="116">
        <f t="shared" si="272"/>
        <v>0</v>
      </c>
      <c r="DP138" s="117">
        <f t="shared" si="272"/>
        <v>0</v>
      </c>
      <c r="DQ138" s="119">
        <f t="shared" si="272"/>
        <v>0</v>
      </c>
      <c r="DR138" s="194">
        <f t="shared" si="272"/>
        <v>0</v>
      </c>
      <c r="DS138" s="117">
        <f t="shared" si="272"/>
        <v>0</v>
      </c>
      <c r="DT138" s="118">
        <f t="shared" si="272"/>
        <v>0</v>
      </c>
      <c r="DU138" s="116">
        <f t="shared" si="272"/>
        <v>0</v>
      </c>
      <c r="DV138" s="117">
        <f t="shared" si="272"/>
        <v>0</v>
      </c>
      <c r="DW138" s="119">
        <f t="shared" si="272"/>
        <v>0</v>
      </c>
      <c r="DX138" s="194">
        <f t="shared" si="272"/>
        <v>0</v>
      </c>
      <c r="DY138" s="117">
        <f t="shared" si="272"/>
        <v>0</v>
      </c>
      <c r="DZ138" s="118">
        <f t="shared" si="272"/>
        <v>0</v>
      </c>
      <c r="EA138" s="116">
        <f t="shared" si="272"/>
        <v>0</v>
      </c>
      <c r="EB138" s="117">
        <f t="shared" si="272"/>
        <v>0</v>
      </c>
      <c r="EC138" s="119">
        <f t="shared" si="272"/>
        <v>0</v>
      </c>
      <c r="ED138" s="194">
        <f t="shared" si="272"/>
        <v>0</v>
      </c>
      <c r="EE138" s="117">
        <f t="shared" si="272"/>
        <v>0</v>
      </c>
      <c r="EF138" s="118">
        <f t="shared" si="272"/>
        <v>0</v>
      </c>
      <c r="EG138" s="116">
        <f t="shared" si="272"/>
        <v>0</v>
      </c>
      <c r="EH138" s="117">
        <f t="shared" si="272"/>
        <v>0</v>
      </c>
      <c r="EI138" s="119">
        <f t="shared" si="272"/>
        <v>0</v>
      </c>
      <c r="EJ138" s="194">
        <f t="shared" si="272"/>
        <v>0</v>
      </c>
      <c r="EK138" s="117">
        <f t="shared" si="272"/>
        <v>0</v>
      </c>
      <c r="EL138" s="118">
        <f t="shared" si="272"/>
        <v>0</v>
      </c>
      <c r="EM138" s="116">
        <f t="shared" ref="EM138:GX138" si="274">+EM31+EM67+EM103</f>
        <v>0</v>
      </c>
      <c r="EN138" s="117">
        <f t="shared" si="274"/>
        <v>0</v>
      </c>
      <c r="EO138" s="119">
        <f t="shared" si="274"/>
        <v>0</v>
      </c>
      <c r="EP138" s="194">
        <f t="shared" si="274"/>
        <v>0</v>
      </c>
      <c r="EQ138" s="117">
        <f t="shared" si="274"/>
        <v>0</v>
      </c>
      <c r="ER138" s="118">
        <f t="shared" si="274"/>
        <v>0</v>
      </c>
      <c r="ES138" s="116">
        <f t="shared" si="274"/>
        <v>0</v>
      </c>
      <c r="ET138" s="117">
        <f t="shared" si="274"/>
        <v>0</v>
      </c>
      <c r="EU138" s="119">
        <f t="shared" si="274"/>
        <v>0</v>
      </c>
      <c r="EV138" s="194">
        <f t="shared" si="274"/>
        <v>0</v>
      </c>
      <c r="EW138" s="117">
        <f t="shared" si="274"/>
        <v>0</v>
      </c>
      <c r="EX138" s="118">
        <f t="shared" si="274"/>
        <v>0</v>
      </c>
      <c r="EY138" s="116">
        <f t="shared" si="274"/>
        <v>0</v>
      </c>
      <c r="EZ138" s="117">
        <f t="shared" si="274"/>
        <v>0</v>
      </c>
      <c r="FA138" s="119">
        <f t="shared" si="274"/>
        <v>0</v>
      </c>
      <c r="FB138" s="194">
        <f t="shared" si="274"/>
        <v>0</v>
      </c>
      <c r="FC138" s="117">
        <f t="shared" si="274"/>
        <v>0</v>
      </c>
      <c r="FD138" s="118">
        <f t="shared" si="274"/>
        <v>0</v>
      </c>
      <c r="FE138" s="116">
        <f t="shared" si="274"/>
        <v>0</v>
      </c>
      <c r="FF138" s="117">
        <f t="shared" si="274"/>
        <v>0</v>
      </c>
      <c r="FG138" s="119">
        <f t="shared" si="274"/>
        <v>0</v>
      </c>
      <c r="FH138" s="194">
        <f t="shared" si="274"/>
        <v>0</v>
      </c>
      <c r="FI138" s="117">
        <f t="shared" si="274"/>
        <v>0</v>
      </c>
      <c r="FJ138" s="118">
        <f t="shared" si="274"/>
        <v>0</v>
      </c>
      <c r="FK138" s="116">
        <f t="shared" si="274"/>
        <v>0</v>
      </c>
      <c r="FL138" s="117">
        <f t="shared" si="274"/>
        <v>0</v>
      </c>
      <c r="FM138" s="119">
        <f t="shared" si="274"/>
        <v>0</v>
      </c>
      <c r="FN138" s="194">
        <f t="shared" si="274"/>
        <v>0</v>
      </c>
      <c r="FO138" s="117">
        <f t="shared" si="274"/>
        <v>0</v>
      </c>
      <c r="FP138" s="118">
        <f t="shared" si="274"/>
        <v>0</v>
      </c>
      <c r="FQ138" s="116">
        <f t="shared" si="274"/>
        <v>0</v>
      </c>
      <c r="FR138" s="117">
        <f t="shared" si="274"/>
        <v>0</v>
      </c>
      <c r="FS138" s="119">
        <f t="shared" si="274"/>
        <v>0</v>
      </c>
      <c r="FT138" s="194">
        <f t="shared" si="274"/>
        <v>0</v>
      </c>
      <c r="FU138" s="117">
        <f t="shared" si="274"/>
        <v>0</v>
      </c>
      <c r="FV138" s="118">
        <f t="shared" si="274"/>
        <v>0</v>
      </c>
      <c r="FW138" s="116">
        <f t="shared" si="274"/>
        <v>0</v>
      </c>
      <c r="FX138" s="117">
        <f t="shared" si="274"/>
        <v>0</v>
      </c>
      <c r="FY138" s="119">
        <f t="shared" si="274"/>
        <v>0</v>
      </c>
      <c r="FZ138" s="194">
        <f t="shared" si="274"/>
        <v>0</v>
      </c>
      <c r="GA138" s="117">
        <f t="shared" si="274"/>
        <v>0</v>
      </c>
      <c r="GB138" s="118">
        <f t="shared" si="274"/>
        <v>0</v>
      </c>
      <c r="GC138" s="116">
        <f t="shared" si="274"/>
        <v>0</v>
      </c>
      <c r="GD138" s="117">
        <f t="shared" si="274"/>
        <v>0</v>
      </c>
      <c r="GE138" s="119">
        <f t="shared" si="274"/>
        <v>0</v>
      </c>
      <c r="GF138" s="194">
        <f t="shared" si="274"/>
        <v>0</v>
      </c>
      <c r="GG138" s="117">
        <f t="shared" si="274"/>
        <v>0</v>
      </c>
      <c r="GH138" s="118">
        <f t="shared" si="274"/>
        <v>0</v>
      </c>
      <c r="GI138" s="116">
        <f t="shared" si="274"/>
        <v>0</v>
      </c>
      <c r="GJ138" s="117">
        <f t="shared" si="274"/>
        <v>0</v>
      </c>
      <c r="GK138" s="118">
        <f t="shared" si="274"/>
        <v>0</v>
      </c>
      <c r="GL138" s="239">
        <f t="shared" si="274"/>
        <v>0</v>
      </c>
      <c r="GM138" s="43">
        <f t="shared" si="274"/>
        <v>0</v>
      </c>
      <c r="GN138" s="283">
        <f t="shared" si="274"/>
        <v>0</v>
      </c>
      <c r="GO138" s="239">
        <f t="shared" si="274"/>
        <v>0</v>
      </c>
      <c r="GP138" s="43">
        <f t="shared" si="274"/>
        <v>0</v>
      </c>
      <c r="GQ138" s="57">
        <f t="shared" si="274"/>
        <v>0</v>
      </c>
      <c r="GR138" s="194">
        <f t="shared" si="274"/>
        <v>0</v>
      </c>
      <c r="GS138" s="117">
        <f t="shared" si="274"/>
        <v>0</v>
      </c>
      <c r="GT138" s="119">
        <f t="shared" si="274"/>
        <v>0</v>
      </c>
      <c r="GU138" s="194">
        <f t="shared" si="274"/>
        <v>0</v>
      </c>
      <c r="GV138" s="117">
        <f t="shared" si="274"/>
        <v>0</v>
      </c>
      <c r="GW138" s="119">
        <f t="shared" si="274"/>
        <v>0</v>
      </c>
      <c r="GX138" s="194">
        <f t="shared" si="274"/>
        <v>0</v>
      </c>
      <c r="GY138" s="117">
        <f t="shared" ref="GY138:HC138" si="275">+GY31+GY67+GY103</f>
        <v>0</v>
      </c>
      <c r="GZ138" s="119">
        <f t="shared" si="275"/>
        <v>0</v>
      </c>
      <c r="HA138" s="194">
        <f t="shared" si="275"/>
        <v>0</v>
      </c>
      <c r="HB138" s="117">
        <f t="shared" si="275"/>
        <v>0</v>
      </c>
      <c r="HC138" s="119">
        <f t="shared" si="275"/>
        <v>0</v>
      </c>
      <c r="HD138" s="368">
        <f t="shared" si="139"/>
        <v>0</v>
      </c>
      <c r="HE138" s="369">
        <f t="shared" si="140"/>
        <v>0</v>
      </c>
      <c r="HF138" s="369">
        <f t="shared" si="141"/>
        <v>0</v>
      </c>
      <c r="HG138" s="145">
        <f t="shared" si="132"/>
        <v>0</v>
      </c>
    </row>
    <row r="139" spans="1:215" ht="15.75" thickBot="1">
      <c r="A139" s="353">
        <v>25</v>
      </c>
      <c r="B139" s="116">
        <f t="shared" ref="B139:AN139" si="276">+B32+B68+B104</f>
        <v>0</v>
      </c>
      <c r="C139" s="117">
        <f t="shared" si="276"/>
        <v>0</v>
      </c>
      <c r="D139" s="119">
        <f t="shared" si="276"/>
        <v>0</v>
      </c>
      <c r="E139" s="194">
        <f t="shared" si="276"/>
        <v>0</v>
      </c>
      <c r="F139" s="117">
        <f t="shared" si="276"/>
        <v>0</v>
      </c>
      <c r="G139" s="118">
        <f t="shared" si="276"/>
        <v>0</v>
      </c>
      <c r="H139" s="116">
        <f t="shared" si="276"/>
        <v>0</v>
      </c>
      <c r="I139" s="117">
        <f t="shared" si="276"/>
        <v>0</v>
      </c>
      <c r="J139" s="119">
        <f t="shared" si="276"/>
        <v>0</v>
      </c>
      <c r="K139" s="194">
        <f t="shared" si="276"/>
        <v>0</v>
      </c>
      <c r="L139" s="117">
        <f t="shared" si="276"/>
        <v>0</v>
      </c>
      <c r="M139" s="118">
        <f t="shared" si="276"/>
        <v>0</v>
      </c>
      <c r="N139" s="116">
        <f t="shared" si="276"/>
        <v>0</v>
      </c>
      <c r="O139" s="117">
        <f t="shared" si="276"/>
        <v>0</v>
      </c>
      <c r="P139" s="119">
        <f t="shared" si="276"/>
        <v>0</v>
      </c>
      <c r="Q139" s="194">
        <f t="shared" si="276"/>
        <v>0</v>
      </c>
      <c r="R139" s="117">
        <f t="shared" si="276"/>
        <v>0</v>
      </c>
      <c r="S139" s="118">
        <f t="shared" si="276"/>
        <v>0</v>
      </c>
      <c r="T139" s="116">
        <f t="shared" si="276"/>
        <v>0</v>
      </c>
      <c r="U139" s="117">
        <f t="shared" si="276"/>
        <v>0</v>
      </c>
      <c r="V139" s="119">
        <f t="shared" si="276"/>
        <v>0</v>
      </c>
      <c r="W139" s="194">
        <f t="shared" si="276"/>
        <v>0</v>
      </c>
      <c r="X139" s="117">
        <f t="shared" si="276"/>
        <v>0</v>
      </c>
      <c r="Y139" s="118">
        <f t="shared" si="276"/>
        <v>0</v>
      </c>
      <c r="Z139" s="116">
        <f t="shared" si="276"/>
        <v>0</v>
      </c>
      <c r="AA139" s="117">
        <f t="shared" si="276"/>
        <v>0</v>
      </c>
      <c r="AB139" s="119">
        <f t="shared" si="276"/>
        <v>0</v>
      </c>
      <c r="AC139" s="194">
        <f t="shared" si="276"/>
        <v>0</v>
      </c>
      <c r="AD139" s="117">
        <f t="shared" si="276"/>
        <v>0</v>
      </c>
      <c r="AE139" s="118">
        <f t="shared" si="276"/>
        <v>0</v>
      </c>
      <c r="AF139" s="116">
        <f t="shared" si="276"/>
        <v>0</v>
      </c>
      <c r="AG139" s="117">
        <f t="shared" si="276"/>
        <v>0</v>
      </c>
      <c r="AH139" s="119">
        <f t="shared" si="276"/>
        <v>0</v>
      </c>
      <c r="AI139" s="194">
        <f t="shared" si="276"/>
        <v>0</v>
      </c>
      <c r="AJ139" s="117">
        <f t="shared" si="276"/>
        <v>0</v>
      </c>
      <c r="AK139" s="118">
        <f t="shared" si="276"/>
        <v>0</v>
      </c>
      <c r="AL139" s="116">
        <f t="shared" si="276"/>
        <v>0</v>
      </c>
      <c r="AM139" s="117">
        <f t="shared" si="276"/>
        <v>0</v>
      </c>
      <c r="AN139" s="119">
        <f t="shared" si="276"/>
        <v>0</v>
      </c>
      <c r="AO139" s="194">
        <f t="shared" ref="AO139:BZ139" si="277">+AO32+AO68+AO104</f>
        <v>0</v>
      </c>
      <c r="AP139" s="117">
        <f t="shared" si="277"/>
        <v>0</v>
      </c>
      <c r="AQ139" s="118">
        <f t="shared" si="277"/>
        <v>0</v>
      </c>
      <c r="AR139" s="116">
        <f t="shared" si="277"/>
        <v>0</v>
      </c>
      <c r="AS139" s="117">
        <f t="shared" si="277"/>
        <v>0</v>
      </c>
      <c r="AT139" s="119">
        <f t="shared" si="277"/>
        <v>0</v>
      </c>
      <c r="AU139" s="194">
        <f t="shared" si="277"/>
        <v>0</v>
      </c>
      <c r="AV139" s="117">
        <f t="shared" si="277"/>
        <v>0</v>
      </c>
      <c r="AW139" s="118">
        <f t="shared" si="277"/>
        <v>0</v>
      </c>
      <c r="AX139" s="116">
        <f t="shared" si="277"/>
        <v>0</v>
      </c>
      <c r="AY139" s="117">
        <f t="shared" si="277"/>
        <v>0</v>
      </c>
      <c r="AZ139" s="119">
        <f t="shared" si="277"/>
        <v>0</v>
      </c>
      <c r="BA139" s="194">
        <f t="shared" si="277"/>
        <v>0</v>
      </c>
      <c r="BB139" s="117">
        <f t="shared" si="277"/>
        <v>0</v>
      </c>
      <c r="BC139" s="118">
        <f t="shared" si="277"/>
        <v>0</v>
      </c>
      <c r="BD139" s="116">
        <f t="shared" si="277"/>
        <v>0</v>
      </c>
      <c r="BE139" s="117">
        <f t="shared" si="277"/>
        <v>0</v>
      </c>
      <c r="BF139" s="119">
        <f t="shared" si="277"/>
        <v>0</v>
      </c>
      <c r="BG139" s="194">
        <f t="shared" si="277"/>
        <v>0</v>
      </c>
      <c r="BH139" s="117">
        <f t="shared" si="277"/>
        <v>0</v>
      </c>
      <c r="BI139" s="118">
        <f t="shared" si="277"/>
        <v>0</v>
      </c>
      <c r="BJ139" s="116">
        <f t="shared" si="277"/>
        <v>0</v>
      </c>
      <c r="BK139" s="117">
        <f t="shared" si="277"/>
        <v>0</v>
      </c>
      <c r="BL139" s="119">
        <f t="shared" si="277"/>
        <v>0</v>
      </c>
      <c r="BM139" s="194">
        <f t="shared" si="277"/>
        <v>0</v>
      </c>
      <c r="BN139" s="117">
        <f t="shared" si="277"/>
        <v>0</v>
      </c>
      <c r="BO139" s="118">
        <f t="shared" si="277"/>
        <v>0</v>
      </c>
      <c r="BP139" s="116">
        <f t="shared" si="277"/>
        <v>0</v>
      </c>
      <c r="BQ139" s="117">
        <f t="shared" si="277"/>
        <v>0</v>
      </c>
      <c r="BR139" s="119">
        <f t="shared" si="277"/>
        <v>0</v>
      </c>
      <c r="BS139" s="194">
        <f t="shared" si="277"/>
        <v>0</v>
      </c>
      <c r="BT139" s="117">
        <f t="shared" si="277"/>
        <v>0</v>
      </c>
      <c r="BU139" s="118">
        <f t="shared" si="277"/>
        <v>0</v>
      </c>
      <c r="BV139" s="116">
        <f t="shared" si="277"/>
        <v>0</v>
      </c>
      <c r="BW139" s="117">
        <f t="shared" si="277"/>
        <v>0</v>
      </c>
      <c r="BX139" s="119">
        <f t="shared" si="277"/>
        <v>0</v>
      </c>
      <c r="BY139" s="194">
        <f t="shared" si="277"/>
        <v>0</v>
      </c>
      <c r="BZ139" s="117">
        <f t="shared" si="277"/>
        <v>0</v>
      </c>
      <c r="CA139" s="118">
        <f t="shared" ref="CA139:EL139" si="278">+CA32+CA68+CA104</f>
        <v>0</v>
      </c>
      <c r="CB139" s="116">
        <f t="shared" si="278"/>
        <v>0</v>
      </c>
      <c r="CC139" s="117">
        <f t="shared" si="278"/>
        <v>0</v>
      </c>
      <c r="CD139" s="119">
        <f t="shared" si="278"/>
        <v>0</v>
      </c>
      <c r="CE139" s="194">
        <f t="shared" si="278"/>
        <v>0</v>
      </c>
      <c r="CF139" s="117">
        <f t="shared" si="278"/>
        <v>0</v>
      </c>
      <c r="CG139" s="118">
        <f t="shared" si="278"/>
        <v>0</v>
      </c>
      <c r="CH139" s="116">
        <f t="shared" si="278"/>
        <v>0</v>
      </c>
      <c r="CI139" s="117">
        <f t="shared" si="278"/>
        <v>0</v>
      </c>
      <c r="CJ139" s="118">
        <f t="shared" si="278"/>
        <v>0</v>
      </c>
      <c r="CK139" s="239">
        <f t="shared" si="278"/>
        <v>0</v>
      </c>
      <c r="CL139" s="43">
        <f t="shared" si="278"/>
        <v>0</v>
      </c>
      <c r="CM139" s="283">
        <f t="shared" si="278"/>
        <v>0</v>
      </c>
      <c r="CN139" s="239">
        <f t="shared" si="278"/>
        <v>0</v>
      </c>
      <c r="CO139" s="43">
        <f t="shared" si="278"/>
        <v>0</v>
      </c>
      <c r="CP139" s="57">
        <f t="shared" si="278"/>
        <v>0</v>
      </c>
      <c r="CQ139" s="194">
        <f t="shared" ref="CQ139:CY139" si="279">+CQ32+CQ68+CQ104</f>
        <v>0</v>
      </c>
      <c r="CR139" s="117">
        <f t="shared" si="279"/>
        <v>0</v>
      </c>
      <c r="CS139" s="119">
        <f t="shared" si="279"/>
        <v>0</v>
      </c>
      <c r="CT139" s="194">
        <f t="shared" si="279"/>
        <v>0</v>
      </c>
      <c r="CU139" s="117">
        <f t="shared" si="279"/>
        <v>0</v>
      </c>
      <c r="CV139" s="119">
        <f t="shared" si="279"/>
        <v>0</v>
      </c>
      <c r="CW139" s="194">
        <f t="shared" si="279"/>
        <v>0</v>
      </c>
      <c r="CX139" s="117">
        <f t="shared" si="279"/>
        <v>0</v>
      </c>
      <c r="CY139" s="119">
        <f t="shared" si="279"/>
        <v>0</v>
      </c>
      <c r="CZ139" s="194">
        <f t="shared" si="278"/>
        <v>0</v>
      </c>
      <c r="DA139" s="117">
        <f t="shared" si="278"/>
        <v>0</v>
      </c>
      <c r="DB139" s="119">
        <f t="shared" si="278"/>
        <v>0</v>
      </c>
      <c r="DC139" s="116">
        <f t="shared" si="278"/>
        <v>0</v>
      </c>
      <c r="DD139" s="117">
        <f t="shared" si="278"/>
        <v>0</v>
      </c>
      <c r="DE139" s="119">
        <f t="shared" si="278"/>
        <v>0</v>
      </c>
      <c r="DF139" s="194">
        <f t="shared" si="278"/>
        <v>0</v>
      </c>
      <c r="DG139" s="117">
        <f t="shared" si="278"/>
        <v>0</v>
      </c>
      <c r="DH139" s="118">
        <f t="shared" si="278"/>
        <v>0</v>
      </c>
      <c r="DI139" s="116">
        <f t="shared" si="278"/>
        <v>0</v>
      </c>
      <c r="DJ139" s="117">
        <f t="shared" si="278"/>
        <v>0</v>
      </c>
      <c r="DK139" s="119">
        <f t="shared" si="278"/>
        <v>0</v>
      </c>
      <c r="DL139" s="194">
        <f t="shared" si="278"/>
        <v>0</v>
      </c>
      <c r="DM139" s="117">
        <f t="shared" si="278"/>
        <v>0</v>
      </c>
      <c r="DN139" s="118">
        <f t="shared" si="278"/>
        <v>0</v>
      </c>
      <c r="DO139" s="116">
        <f t="shared" si="278"/>
        <v>0</v>
      </c>
      <c r="DP139" s="117">
        <f t="shared" si="278"/>
        <v>0</v>
      </c>
      <c r="DQ139" s="119">
        <f t="shared" si="278"/>
        <v>0</v>
      </c>
      <c r="DR139" s="194">
        <f t="shared" si="278"/>
        <v>0</v>
      </c>
      <c r="DS139" s="117">
        <f t="shared" si="278"/>
        <v>0</v>
      </c>
      <c r="DT139" s="118">
        <f t="shared" si="278"/>
        <v>0</v>
      </c>
      <c r="DU139" s="116">
        <f t="shared" si="278"/>
        <v>0</v>
      </c>
      <c r="DV139" s="117">
        <f t="shared" si="278"/>
        <v>0</v>
      </c>
      <c r="DW139" s="119">
        <f t="shared" si="278"/>
        <v>0</v>
      </c>
      <c r="DX139" s="194">
        <f t="shared" si="278"/>
        <v>0</v>
      </c>
      <c r="DY139" s="117">
        <f t="shared" si="278"/>
        <v>0</v>
      </c>
      <c r="DZ139" s="118">
        <f t="shared" si="278"/>
        <v>0</v>
      </c>
      <c r="EA139" s="116">
        <f t="shared" si="278"/>
        <v>0</v>
      </c>
      <c r="EB139" s="117">
        <f t="shared" si="278"/>
        <v>0</v>
      </c>
      <c r="EC139" s="119">
        <f t="shared" si="278"/>
        <v>0</v>
      </c>
      <c r="ED139" s="194">
        <f t="shared" si="278"/>
        <v>0</v>
      </c>
      <c r="EE139" s="117">
        <f t="shared" si="278"/>
        <v>0</v>
      </c>
      <c r="EF139" s="118">
        <f t="shared" si="278"/>
        <v>0</v>
      </c>
      <c r="EG139" s="116">
        <f t="shared" si="278"/>
        <v>0</v>
      </c>
      <c r="EH139" s="117">
        <f t="shared" si="278"/>
        <v>0</v>
      </c>
      <c r="EI139" s="119">
        <f t="shared" si="278"/>
        <v>0</v>
      </c>
      <c r="EJ139" s="194">
        <f t="shared" si="278"/>
        <v>0</v>
      </c>
      <c r="EK139" s="117">
        <f t="shared" si="278"/>
        <v>0</v>
      </c>
      <c r="EL139" s="118">
        <f t="shared" si="278"/>
        <v>0</v>
      </c>
      <c r="EM139" s="116">
        <f t="shared" ref="EM139:GX139" si="280">+EM32+EM68+EM104</f>
        <v>0</v>
      </c>
      <c r="EN139" s="117">
        <f t="shared" si="280"/>
        <v>0</v>
      </c>
      <c r="EO139" s="119">
        <f t="shared" si="280"/>
        <v>0</v>
      </c>
      <c r="EP139" s="194">
        <f t="shared" si="280"/>
        <v>0</v>
      </c>
      <c r="EQ139" s="117">
        <f t="shared" si="280"/>
        <v>0</v>
      </c>
      <c r="ER139" s="118">
        <f t="shared" si="280"/>
        <v>0</v>
      </c>
      <c r="ES139" s="116">
        <f t="shared" si="280"/>
        <v>0</v>
      </c>
      <c r="ET139" s="117">
        <f t="shared" si="280"/>
        <v>0</v>
      </c>
      <c r="EU139" s="119">
        <f t="shared" si="280"/>
        <v>0</v>
      </c>
      <c r="EV139" s="194">
        <f t="shared" si="280"/>
        <v>0</v>
      </c>
      <c r="EW139" s="117">
        <f t="shared" si="280"/>
        <v>0</v>
      </c>
      <c r="EX139" s="118">
        <f t="shared" si="280"/>
        <v>0</v>
      </c>
      <c r="EY139" s="116">
        <f t="shared" si="280"/>
        <v>0</v>
      </c>
      <c r="EZ139" s="117">
        <f t="shared" si="280"/>
        <v>0</v>
      </c>
      <c r="FA139" s="119">
        <f t="shared" si="280"/>
        <v>0</v>
      </c>
      <c r="FB139" s="194">
        <f t="shared" si="280"/>
        <v>0</v>
      </c>
      <c r="FC139" s="117">
        <f t="shared" si="280"/>
        <v>0</v>
      </c>
      <c r="FD139" s="118">
        <f t="shared" si="280"/>
        <v>0</v>
      </c>
      <c r="FE139" s="116">
        <f t="shared" si="280"/>
        <v>0</v>
      </c>
      <c r="FF139" s="117">
        <f t="shared" si="280"/>
        <v>0</v>
      </c>
      <c r="FG139" s="119">
        <f t="shared" si="280"/>
        <v>0</v>
      </c>
      <c r="FH139" s="194">
        <f t="shared" si="280"/>
        <v>0</v>
      </c>
      <c r="FI139" s="117">
        <f t="shared" si="280"/>
        <v>0</v>
      </c>
      <c r="FJ139" s="118">
        <f t="shared" si="280"/>
        <v>0</v>
      </c>
      <c r="FK139" s="116">
        <f t="shared" si="280"/>
        <v>0</v>
      </c>
      <c r="FL139" s="117">
        <f t="shared" si="280"/>
        <v>0</v>
      </c>
      <c r="FM139" s="119">
        <f t="shared" si="280"/>
        <v>0</v>
      </c>
      <c r="FN139" s="194">
        <f t="shared" si="280"/>
        <v>0</v>
      </c>
      <c r="FO139" s="117">
        <f t="shared" si="280"/>
        <v>0</v>
      </c>
      <c r="FP139" s="118">
        <f t="shared" si="280"/>
        <v>0</v>
      </c>
      <c r="FQ139" s="116">
        <f t="shared" si="280"/>
        <v>0</v>
      </c>
      <c r="FR139" s="117">
        <f t="shared" si="280"/>
        <v>0</v>
      </c>
      <c r="FS139" s="119">
        <f t="shared" si="280"/>
        <v>0</v>
      </c>
      <c r="FT139" s="194">
        <f t="shared" si="280"/>
        <v>0</v>
      </c>
      <c r="FU139" s="117">
        <f t="shared" si="280"/>
        <v>0</v>
      </c>
      <c r="FV139" s="118">
        <f t="shared" si="280"/>
        <v>0</v>
      </c>
      <c r="FW139" s="116">
        <f t="shared" si="280"/>
        <v>0</v>
      </c>
      <c r="FX139" s="117">
        <f t="shared" si="280"/>
        <v>0</v>
      </c>
      <c r="FY139" s="119">
        <f t="shared" si="280"/>
        <v>0</v>
      </c>
      <c r="FZ139" s="194">
        <f t="shared" si="280"/>
        <v>0</v>
      </c>
      <c r="GA139" s="117">
        <f t="shared" si="280"/>
        <v>0</v>
      </c>
      <c r="GB139" s="118">
        <f t="shared" si="280"/>
        <v>0</v>
      </c>
      <c r="GC139" s="116">
        <f t="shared" si="280"/>
        <v>0</v>
      </c>
      <c r="GD139" s="117">
        <f t="shared" si="280"/>
        <v>0</v>
      </c>
      <c r="GE139" s="119">
        <f t="shared" si="280"/>
        <v>0</v>
      </c>
      <c r="GF139" s="194">
        <f t="shared" si="280"/>
        <v>0</v>
      </c>
      <c r="GG139" s="117">
        <f t="shared" si="280"/>
        <v>0</v>
      </c>
      <c r="GH139" s="118">
        <f t="shared" si="280"/>
        <v>0</v>
      </c>
      <c r="GI139" s="116">
        <f t="shared" si="280"/>
        <v>0</v>
      </c>
      <c r="GJ139" s="117">
        <f t="shared" si="280"/>
        <v>0</v>
      </c>
      <c r="GK139" s="118">
        <f t="shared" si="280"/>
        <v>0</v>
      </c>
      <c r="GL139" s="239">
        <f t="shared" si="280"/>
        <v>0</v>
      </c>
      <c r="GM139" s="43">
        <f t="shared" si="280"/>
        <v>0</v>
      </c>
      <c r="GN139" s="283">
        <f t="shared" si="280"/>
        <v>0</v>
      </c>
      <c r="GO139" s="239">
        <f t="shared" si="280"/>
        <v>0</v>
      </c>
      <c r="GP139" s="43">
        <f t="shared" si="280"/>
        <v>0</v>
      </c>
      <c r="GQ139" s="57">
        <f t="shared" si="280"/>
        <v>0</v>
      </c>
      <c r="GR139" s="194">
        <f t="shared" si="280"/>
        <v>0</v>
      </c>
      <c r="GS139" s="117">
        <f t="shared" si="280"/>
        <v>0</v>
      </c>
      <c r="GT139" s="119">
        <f t="shared" si="280"/>
        <v>0</v>
      </c>
      <c r="GU139" s="194">
        <f t="shared" si="280"/>
        <v>0</v>
      </c>
      <c r="GV139" s="117">
        <f t="shared" si="280"/>
        <v>0</v>
      </c>
      <c r="GW139" s="119">
        <f t="shared" si="280"/>
        <v>0</v>
      </c>
      <c r="GX139" s="194">
        <f t="shared" si="280"/>
        <v>0</v>
      </c>
      <c r="GY139" s="117">
        <f t="shared" ref="GY139:HC139" si="281">+GY32+GY68+GY104</f>
        <v>0</v>
      </c>
      <c r="GZ139" s="119">
        <f t="shared" si="281"/>
        <v>0</v>
      </c>
      <c r="HA139" s="194">
        <f t="shared" si="281"/>
        <v>0</v>
      </c>
      <c r="HB139" s="117">
        <f t="shared" si="281"/>
        <v>0</v>
      </c>
      <c r="HC139" s="119">
        <f t="shared" si="281"/>
        <v>0</v>
      </c>
      <c r="HD139" s="368">
        <f t="shared" si="139"/>
        <v>0</v>
      </c>
      <c r="HE139" s="369">
        <f t="shared" si="140"/>
        <v>0</v>
      </c>
      <c r="HF139" s="369">
        <f t="shared" si="141"/>
        <v>0</v>
      </c>
      <c r="HG139" s="145">
        <f t="shared" si="132"/>
        <v>0</v>
      </c>
    </row>
    <row r="140" spans="1:215" ht="15.75" thickBot="1">
      <c r="A140" s="238">
        <v>26</v>
      </c>
      <c r="B140" s="116">
        <f t="shared" ref="B140:AN140" si="282">+B33+B69+B105</f>
        <v>0</v>
      </c>
      <c r="C140" s="117">
        <f t="shared" si="282"/>
        <v>0</v>
      </c>
      <c r="D140" s="119">
        <f t="shared" si="282"/>
        <v>0</v>
      </c>
      <c r="E140" s="194">
        <f t="shared" si="282"/>
        <v>0</v>
      </c>
      <c r="F140" s="117">
        <f t="shared" si="282"/>
        <v>0</v>
      </c>
      <c r="G140" s="118">
        <f t="shared" si="282"/>
        <v>0</v>
      </c>
      <c r="H140" s="116">
        <f t="shared" si="282"/>
        <v>0</v>
      </c>
      <c r="I140" s="117">
        <f t="shared" si="282"/>
        <v>0</v>
      </c>
      <c r="J140" s="119">
        <f t="shared" si="282"/>
        <v>0</v>
      </c>
      <c r="K140" s="194">
        <f t="shared" si="282"/>
        <v>0</v>
      </c>
      <c r="L140" s="117">
        <f t="shared" si="282"/>
        <v>0</v>
      </c>
      <c r="M140" s="118">
        <f t="shared" si="282"/>
        <v>0</v>
      </c>
      <c r="N140" s="116">
        <f t="shared" si="282"/>
        <v>0</v>
      </c>
      <c r="O140" s="117">
        <f t="shared" si="282"/>
        <v>0</v>
      </c>
      <c r="P140" s="119">
        <f t="shared" si="282"/>
        <v>0</v>
      </c>
      <c r="Q140" s="194">
        <f t="shared" si="282"/>
        <v>0</v>
      </c>
      <c r="R140" s="117">
        <f t="shared" si="282"/>
        <v>0</v>
      </c>
      <c r="S140" s="118">
        <f t="shared" si="282"/>
        <v>0</v>
      </c>
      <c r="T140" s="116">
        <f t="shared" si="282"/>
        <v>0</v>
      </c>
      <c r="U140" s="117">
        <f t="shared" si="282"/>
        <v>0</v>
      </c>
      <c r="V140" s="119">
        <f t="shared" si="282"/>
        <v>0</v>
      </c>
      <c r="W140" s="194">
        <f t="shared" si="282"/>
        <v>0</v>
      </c>
      <c r="X140" s="117">
        <f t="shared" si="282"/>
        <v>0</v>
      </c>
      <c r="Y140" s="118">
        <f t="shared" si="282"/>
        <v>0</v>
      </c>
      <c r="Z140" s="116">
        <f t="shared" si="282"/>
        <v>0</v>
      </c>
      <c r="AA140" s="117">
        <f t="shared" si="282"/>
        <v>0</v>
      </c>
      <c r="AB140" s="119">
        <f t="shared" si="282"/>
        <v>0</v>
      </c>
      <c r="AC140" s="194">
        <f t="shared" si="282"/>
        <v>0</v>
      </c>
      <c r="AD140" s="117">
        <f t="shared" si="282"/>
        <v>0</v>
      </c>
      <c r="AE140" s="118">
        <f t="shared" si="282"/>
        <v>0</v>
      </c>
      <c r="AF140" s="116">
        <f t="shared" si="282"/>
        <v>0</v>
      </c>
      <c r="AG140" s="117">
        <f t="shared" si="282"/>
        <v>0</v>
      </c>
      <c r="AH140" s="119">
        <f t="shared" si="282"/>
        <v>0</v>
      </c>
      <c r="AI140" s="194">
        <f t="shared" si="282"/>
        <v>0</v>
      </c>
      <c r="AJ140" s="117">
        <f t="shared" si="282"/>
        <v>0</v>
      </c>
      <c r="AK140" s="118">
        <f t="shared" si="282"/>
        <v>0</v>
      </c>
      <c r="AL140" s="116">
        <f t="shared" si="282"/>
        <v>0</v>
      </c>
      <c r="AM140" s="117">
        <f t="shared" si="282"/>
        <v>0</v>
      </c>
      <c r="AN140" s="119">
        <f t="shared" si="282"/>
        <v>0</v>
      </c>
      <c r="AO140" s="194">
        <f t="shared" ref="AO140:BZ140" si="283">+AO33+AO69+AO105</f>
        <v>0</v>
      </c>
      <c r="AP140" s="117">
        <f t="shared" si="283"/>
        <v>0</v>
      </c>
      <c r="AQ140" s="118">
        <f t="shared" si="283"/>
        <v>0</v>
      </c>
      <c r="AR140" s="116">
        <f t="shared" si="283"/>
        <v>0</v>
      </c>
      <c r="AS140" s="117">
        <f t="shared" si="283"/>
        <v>0</v>
      </c>
      <c r="AT140" s="119">
        <f t="shared" si="283"/>
        <v>0</v>
      </c>
      <c r="AU140" s="194">
        <f t="shared" si="283"/>
        <v>0</v>
      </c>
      <c r="AV140" s="117">
        <f t="shared" si="283"/>
        <v>0</v>
      </c>
      <c r="AW140" s="118">
        <f t="shared" si="283"/>
        <v>0</v>
      </c>
      <c r="AX140" s="116">
        <f t="shared" si="283"/>
        <v>0</v>
      </c>
      <c r="AY140" s="117">
        <f t="shared" si="283"/>
        <v>0</v>
      </c>
      <c r="AZ140" s="119">
        <f t="shared" si="283"/>
        <v>0</v>
      </c>
      <c r="BA140" s="194">
        <f t="shared" si="283"/>
        <v>0</v>
      </c>
      <c r="BB140" s="117">
        <f t="shared" si="283"/>
        <v>0</v>
      </c>
      <c r="BC140" s="118">
        <f t="shared" si="283"/>
        <v>0</v>
      </c>
      <c r="BD140" s="116">
        <f t="shared" si="283"/>
        <v>0</v>
      </c>
      <c r="BE140" s="117">
        <f t="shared" si="283"/>
        <v>0</v>
      </c>
      <c r="BF140" s="119">
        <f t="shared" si="283"/>
        <v>0</v>
      </c>
      <c r="BG140" s="194">
        <f t="shared" si="283"/>
        <v>0</v>
      </c>
      <c r="BH140" s="117">
        <f t="shared" si="283"/>
        <v>0</v>
      </c>
      <c r="BI140" s="118">
        <f t="shared" si="283"/>
        <v>0</v>
      </c>
      <c r="BJ140" s="116">
        <f t="shared" si="283"/>
        <v>0</v>
      </c>
      <c r="BK140" s="117">
        <f t="shared" si="283"/>
        <v>0</v>
      </c>
      <c r="BL140" s="119">
        <f t="shared" si="283"/>
        <v>0</v>
      </c>
      <c r="BM140" s="194">
        <f t="shared" si="283"/>
        <v>0</v>
      </c>
      <c r="BN140" s="117">
        <f t="shared" si="283"/>
        <v>0</v>
      </c>
      <c r="BO140" s="118">
        <f t="shared" si="283"/>
        <v>0</v>
      </c>
      <c r="BP140" s="116">
        <f t="shared" si="283"/>
        <v>0</v>
      </c>
      <c r="BQ140" s="117">
        <f t="shared" si="283"/>
        <v>0</v>
      </c>
      <c r="BR140" s="119">
        <f t="shared" si="283"/>
        <v>0</v>
      </c>
      <c r="BS140" s="194">
        <f t="shared" si="283"/>
        <v>0</v>
      </c>
      <c r="BT140" s="117">
        <f t="shared" si="283"/>
        <v>0</v>
      </c>
      <c r="BU140" s="118">
        <f t="shared" si="283"/>
        <v>0</v>
      </c>
      <c r="BV140" s="116">
        <f t="shared" si="283"/>
        <v>0</v>
      </c>
      <c r="BW140" s="117">
        <f t="shared" si="283"/>
        <v>0</v>
      </c>
      <c r="BX140" s="119">
        <f t="shared" si="283"/>
        <v>0</v>
      </c>
      <c r="BY140" s="194">
        <f t="shared" si="283"/>
        <v>0</v>
      </c>
      <c r="BZ140" s="117">
        <f t="shared" si="283"/>
        <v>0</v>
      </c>
      <c r="CA140" s="118">
        <f t="shared" ref="CA140:EL140" si="284">+CA33+CA69+CA105</f>
        <v>0</v>
      </c>
      <c r="CB140" s="116">
        <f t="shared" si="284"/>
        <v>0</v>
      </c>
      <c r="CC140" s="117">
        <f t="shared" si="284"/>
        <v>0</v>
      </c>
      <c r="CD140" s="119">
        <f t="shared" si="284"/>
        <v>0</v>
      </c>
      <c r="CE140" s="194">
        <f t="shared" si="284"/>
        <v>0</v>
      </c>
      <c r="CF140" s="117">
        <f t="shared" si="284"/>
        <v>0</v>
      </c>
      <c r="CG140" s="118">
        <f t="shared" si="284"/>
        <v>0</v>
      </c>
      <c r="CH140" s="116">
        <f t="shared" si="284"/>
        <v>0</v>
      </c>
      <c r="CI140" s="117">
        <f t="shared" si="284"/>
        <v>0</v>
      </c>
      <c r="CJ140" s="118">
        <f t="shared" si="284"/>
        <v>0</v>
      </c>
      <c r="CK140" s="239">
        <f t="shared" si="284"/>
        <v>0</v>
      </c>
      <c r="CL140" s="43">
        <f t="shared" si="284"/>
        <v>0</v>
      </c>
      <c r="CM140" s="283">
        <f t="shared" si="284"/>
        <v>0</v>
      </c>
      <c r="CN140" s="239">
        <f t="shared" si="284"/>
        <v>0</v>
      </c>
      <c r="CO140" s="43">
        <f t="shared" si="284"/>
        <v>0</v>
      </c>
      <c r="CP140" s="57">
        <f t="shared" si="284"/>
        <v>0</v>
      </c>
      <c r="CQ140" s="194">
        <f t="shared" ref="CQ140:CY140" si="285">+CQ33+CQ69+CQ105</f>
        <v>0</v>
      </c>
      <c r="CR140" s="117">
        <f t="shared" si="285"/>
        <v>0</v>
      </c>
      <c r="CS140" s="119">
        <f t="shared" si="285"/>
        <v>0</v>
      </c>
      <c r="CT140" s="194">
        <f t="shared" si="285"/>
        <v>0</v>
      </c>
      <c r="CU140" s="117">
        <f t="shared" si="285"/>
        <v>0</v>
      </c>
      <c r="CV140" s="119">
        <f t="shared" si="285"/>
        <v>0</v>
      </c>
      <c r="CW140" s="194">
        <f t="shared" si="285"/>
        <v>0</v>
      </c>
      <c r="CX140" s="117">
        <f t="shared" si="285"/>
        <v>0</v>
      </c>
      <c r="CY140" s="119">
        <f t="shared" si="285"/>
        <v>0</v>
      </c>
      <c r="CZ140" s="194">
        <f t="shared" si="284"/>
        <v>0</v>
      </c>
      <c r="DA140" s="117">
        <f t="shared" si="284"/>
        <v>0</v>
      </c>
      <c r="DB140" s="119">
        <f t="shared" si="284"/>
        <v>0</v>
      </c>
      <c r="DC140" s="116">
        <f t="shared" si="284"/>
        <v>0</v>
      </c>
      <c r="DD140" s="117">
        <f t="shared" si="284"/>
        <v>0</v>
      </c>
      <c r="DE140" s="119">
        <f t="shared" si="284"/>
        <v>0</v>
      </c>
      <c r="DF140" s="194">
        <f t="shared" si="284"/>
        <v>0</v>
      </c>
      <c r="DG140" s="117">
        <f t="shared" si="284"/>
        <v>0</v>
      </c>
      <c r="DH140" s="118">
        <f t="shared" si="284"/>
        <v>0</v>
      </c>
      <c r="DI140" s="116">
        <f t="shared" si="284"/>
        <v>0</v>
      </c>
      <c r="DJ140" s="117">
        <f t="shared" si="284"/>
        <v>0</v>
      </c>
      <c r="DK140" s="119">
        <f t="shared" si="284"/>
        <v>0</v>
      </c>
      <c r="DL140" s="194">
        <f t="shared" si="284"/>
        <v>0</v>
      </c>
      <c r="DM140" s="117">
        <f t="shared" si="284"/>
        <v>0</v>
      </c>
      <c r="DN140" s="118">
        <f t="shared" si="284"/>
        <v>0</v>
      </c>
      <c r="DO140" s="116">
        <f t="shared" si="284"/>
        <v>0</v>
      </c>
      <c r="DP140" s="117">
        <f t="shared" si="284"/>
        <v>0</v>
      </c>
      <c r="DQ140" s="119">
        <f t="shared" si="284"/>
        <v>0</v>
      </c>
      <c r="DR140" s="194">
        <f t="shared" si="284"/>
        <v>0</v>
      </c>
      <c r="DS140" s="117">
        <f t="shared" si="284"/>
        <v>0</v>
      </c>
      <c r="DT140" s="118">
        <f t="shared" si="284"/>
        <v>0</v>
      </c>
      <c r="DU140" s="116">
        <f t="shared" si="284"/>
        <v>0</v>
      </c>
      <c r="DV140" s="117">
        <f t="shared" si="284"/>
        <v>0</v>
      </c>
      <c r="DW140" s="119">
        <f t="shared" si="284"/>
        <v>0</v>
      </c>
      <c r="DX140" s="194">
        <f t="shared" si="284"/>
        <v>0</v>
      </c>
      <c r="DY140" s="117">
        <f t="shared" si="284"/>
        <v>0</v>
      </c>
      <c r="DZ140" s="118">
        <f t="shared" si="284"/>
        <v>0</v>
      </c>
      <c r="EA140" s="116">
        <f t="shared" si="284"/>
        <v>0</v>
      </c>
      <c r="EB140" s="117">
        <f t="shared" si="284"/>
        <v>0</v>
      </c>
      <c r="EC140" s="119">
        <f t="shared" si="284"/>
        <v>0</v>
      </c>
      <c r="ED140" s="194">
        <f t="shared" si="284"/>
        <v>0</v>
      </c>
      <c r="EE140" s="117">
        <f t="shared" si="284"/>
        <v>0</v>
      </c>
      <c r="EF140" s="118">
        <f t="shared" si="284"/>
        <v>0</v>
      </c>
      <c r="EG140" s="116">
        <f t="shared" si="284"/>
        <v>0</v>
      </c>
      <c r="EH140" s="117">
        <f t="shared" si="284"/>
        <v>0</v>
      </c>
      <c r="EI140" s="119">
        <f t="shared" si="284"/>
        <v>0</v>
      </c>
      <c r="EJ140" s="194">
        <f t="shared" si="284"/>
        <v>0</v>
      </c>
      <c r="EK140" s="117">
        <f t="shared" si="284"/>
        <v>0</v>
      </c>
      <c r="EL140" s="118">
        <f t="shared" si="284"/>
        <v>0</v>
      </c>
      <c r="EM140" s="116">
        <f t="shared" ref="EM140:GX140" si="286">+EM33+EM69+EM105</f>
        <v>0</v>
      </c>
      <c r="EN140" s="117">
        <f t="shared" si="286"/>
        <v>0</v>
      </c>
      <c r="EO140" s="119">
        <f t="shared" si="286"/>
        <v>0</v>
      </c>
      <c r="EP140" s="194">
        <f t="shared" si="286"/>
        <v>0</v>
      </c>
      <c r="EQ140" s="117">
        <f t="shared" si="286"/>
        <v>0</v>
      </c>
      <c r="ER140" s="118">
        <f t="shared" si="286"/>
        <v>0</v>
      </c>
      <c r="ES140" s="116">
        <f t="shared" si="286"/>
        <v>0</v>
      </c>
      <c r="ET140" s="117">
        <f t="shared" si="286"/>
        <v>0</v>
      </c>
      <c r="EU140" s="119">
        <f t="shared" si="286"/>
        <v>0</v>
      </c>
      <c r="EV140" s="194">
        <f t="shared" si="286"/>
        <v>0</v>
      </c>
      <c r="EW140" s="117">
        <f t="shared" si="286"/>
        <v>0</v>
      </c>
      <c r="EX140" s="118">
        <f t="shared" si="286"/>
        <v>0</v>
      </c>
      <c r="EY140" s="116">
        <f t="shared" si="286"/>
        <v>0</v>
      </c>
      <c r="EZ140" s="117">
        <f t="shared" si="286"/>
        <v>0</v>
      </c>
      <c r="FA140" s="119">
        <f t="shared" si="286"/>
        <v>0</v>
      </c>
      <c r="FB140" s="194">
        <f t="shared" si="286"/>
        <v>0</v>
      </c>
      <c r="FC140" s="117">
        <f t="shared" si="286"/>
        <v>0</v>
      </c>
      <c r="FD140" s="118">
        <f t="shared" si="286"/>
        <v>0</v>
      </c>
      <c r="FE140" s="116">
        <f t="shared" si="286"/>
        <v>0</v>
      </c>
      <c r="FF140" s="117">
        <f t="shared" si="286"/>
        <v>0</v>
      </c>
      <c r="FG140" s="119">
        <f t="shared" si="286"/>
        <v>0</v>
      </c>
      <c r="FH140" s="194">
        <f t="shared" si="286"/>
        <v>0</v>
      </c>
      <c r="FI140" s="117">
        <f t="shared" si="286"/>
        <v>0</v>
      </c>
      <c r="FJ140" s="118">
        <f t="shared" si="286"/>
        <v>0</v>
      </c>
      <c r="FK140" s="116">
        <f t="shared" si="286"/>
        <v>0</v>
      </c>
      <c r="FL140" s="117">
        <f t="shared" si="286"/>
        <v>0</v>
      </c>
      <c r="FM140" s="119">
        <f t="shared" si="286"/>
        <v>0</v>
      </c>
      <c r="FN140" s="194">
        <f t="shared" si="286"/>
        <v>0</v>
      </c>
      <c r="FO140" s="117">
        <f t="shared" si="286"/>
        <v>0</v>
      </c>
      <c r="FP140" s="118">
        <f t="shared" si="286"/>
        <v>0</v>
      </c>
      <c r="FQ140" s="116">
        <f t="shared" si="286"/>
        <v>0</v>
      </c>
      <c r="FR140" s="117">
        <f t="shared" si="286"/>
        <v>0</v>
      </c>
      <c r="FS140" s="119">
        <f t="shared" si="286"/>
        <v>0</v>
      </c>
      <c r="FT140" s="194">
        <f t="shared" si="286"/>
        <v>0</v>
      </c>
      <c r="FU140" s="117">
        <f t="shared" si="286"/>
        <v>0</v>
      </c>
      <c r="FV140" s="118">
        <f t="shared" si="286"/>
        <v>0</v>
      </c>
      <c r="FW140" s="116">
        <f t="shared" si="286"/>
        <v>0</v>
      </c>
      <c r="FX140" s="117">
        <f t="shared" si="286"/>
        <v>0</v>
      </c>
      <c r="FY140" s="119">
        <f t="shared" si="286"/>
        <v>0</v>
      </c>
      <c r="FZ140" s="194">
        <f t="shared" si="286"/>
        <v>0</v>
      </c>
      <c r="GA140" s="117">
        <f t="shared" si="286"/>
        <v>0</v>
      </c>
      <c r="GB140" s="118">
        <f t="shared" si="286"/>
        <v>0</v>
      </c>
      <c r="GC140" s="116">
        <f t="shared" si="286"/>
        <v>0</v>
      </c>
      <c r="GD140" s="117">
        <f t="shared" si="286"/>
        <v>0</v>
      </c>
      <c r="GE140" s="119">
        <f t="shared" si="286"/>
        <v>0</v>
      </c>
      <c r="GF140" s="194">
        <f t="shared" si="286"/>
        <v>0</v>
      </c>
      <c r="GG140" s="117">
        <f t="shared" si="286"/>
        <v>0</v>
      </c>
      <c r="GH140" s="118">
        <f t="shared" si="286"/>
        <v>0</v>
      </c>
      <c r="GI140" s="116">
        <f t="shared" si="286"/>
        <v>0</v>
      </c>
      <c r="GJ140" s="117">
        <f t="shared" si="286"/>
        <v>0</v>
      </c>
      <c r="GK140" s="118">
        <f t="shared" si="286"/>
        <v>0</v>
      </c>
      <c r="GL140" s="239">
        <f t="shared" si="286"/>
        <v>0</v>
      </c>
      <c r="GM140" s="43">
        <f t="shared" si="286"/>
        <v>0</v>
      </c>
      <c r="GN140" s="283">
        <f t="shared" si="286"/>
        <v>0</v>
      </c>
      <c r="GO140" s="239">
        <f t="shared" si="286"/>
        <v>0</v>
      </c>
      <c r="GP140" s="43">
        <f t="shared" si="286"/>
        <v>0</v>
      </c>
      <c r="GQ140" s="57">
        <f t="shared" si="286"/>
        <v>0</v>
      </c>
      <c r="GR140" s="194">
        <f t="shared" si="286"/>
        <v>0</v>
      </c>
      <c r="GS140" s="117">
        <f t="shared" si="286"/>
        <v>0</v>
      </c>
      <c r="GT140" s="119">
        <f t="shared" si="286"/>
        <v>0</v>
      </c>
      <c r="GU140" s="194">
        <f t="shared" si="286"/>
        <v>0</v>
      </c>
      <c r="GV140" s="117">
        <f t="shared" si="286"/>
        <v>0</v>
      </c>
      <c r="GW140" s="119">
        <f t="shared" si="286"/>
        <v>0</v>
      </c>
      <c r="GX140" s="194">
        <f t="shared" si="286"/>
        <v>0</v>
      </c>
      <c r="GY140" s="117">
        <f t="shared" ref="GY140:HC140" si="287">+GY33+GY69+GY105</f>
        <v>0</v>
      </c>
      <c r="GZ140" s="119">
        <f t="shared" si="287"/>
        <v>0</v>
      </c>
      <c r="HA140" s="194">
        <f t="shared" si="287"/>
        <v>0</v>
      </c>
      <c r="HB140" s="117">
        <f t="shared" si="287"/>
        <v>0</v>
      </c>
      <c r="HC140" s="119">
        <f t="shared" si="287"/>
        <v>0</v>
      </c>
      <c r="HD140" s="368">
        <f t="shared" si="139"/>
        <v>0</v>
      </c>
      <c r="HE140" s="369">
        <f t="shared" si="140"/>
        <v>0</v>
      </c>
      <c r="HF140" s="369">
        <f t="shared" si="141"/>
        <v>0</v>
      </c>
      <c r="HG140" s="145">
        <f t="shared" si="132"/>
        <v>0</v>
      </c>
    </row>
    <row r="141" spans="1:215" ht="15.75" thickBot="1">
      <c r="A141" s="238">
        <v>27</v>
      </c>
      <c r="B141" s="116">
        <f t="shared" ref="B141:AN141" si="288">+B34+B70+B106</f>
        <v>0</v>
      </c>
      <c r="C141" s="117">
        <f t="shared" si="288"/>
        <v>0</v>
      </c>
      <c r="D141" s="119">
        <f t="shared" si="288"/>
        <v>0</v>
      </c>
      <c r="E141" s="194">
        <f t="shared" si="288"/>
        <v>0</v>
      </c>
      <c r="F141" s="117">
        <f t="shared" si="288"/>
        <v>0</v>
      </c>
      <c r="G141" s="118">
        <f t="shared" si="288"/>
        <v>0</v>
      </c>
      <c r="H141" s="116">
        <f t="shared" si="288"/>
        <v>0</v>
      </c>
      <c r="I141" s="117">
        <f t="shared" si="288"/>
        <v>0</v>
      </c>
      <c r="J141" s="119">
        <f t="shared" si="288"/>
        <v>0</v>
      </c>
      <c r="K141" s="194">
        <f t="shared" si="288"/>
        <v>0</v>
      </c>
      <c r="L141" s="117">
        <f t="shared" si="288"/>
        <v>0</v>
      </c>
      <c r="M141" s="118">
        <f t="shared" si="288"/>
        <v>0</v>
      </c>
      <c r="N141" s="116">
        <f t="shared" si="288"/>
        <v>0</v>
      </c>
      <c r="O141" s="117">
        <f t="shared" si="288"/>
        <v>0</v>
      </c>
      <c r="P141" s="119">
        <f t="shared" si="288"/>
        <v>0</v>
      </c>
      <c r="Q141" s="194">
        <f t="shared" si="288"/>
        <v>0</v>
      </c>
      <c r="R141" s="117">
        <f t="shared" si="288"/>
        <v>0</v>
      </c>
      <c r="S141" s="118">
        <f t="shared" si="288"/>
        <v>0</v>
      </c>
      <c r="T141" s="116">
        <f t="shared" si="288"/>
        <v>0</v>
      </c>
      <c r="U141" s="117">
        <f t="shared" si="288"/>
        <v>0</v>
      </c>
      <c r="V141" s="119">
        <f t="shared" si="288"/>
        <v>0</v>
      </c>
      <c r="W141" s="194">
        <f t="shared" si="288"/>
        <v>0</v>
      </c>
      <c r="X141" s="117">
        <f t="shared" si="288"/>
        <v>0</v>
      </c>
      <c r="Y141" s="118">
        <f t="shared" si="288"/>
        <v>0</v>
      </c>
      <c r="Z141" s="116">
        <f t="shared" si="288"/>
        <v>0</v>
      </c>
      <c r="AA141" s="117">
        <f t="shared" si="288"/>
        <v>0</v>
      </c>
      <c r="AB141" s="119">
        <f t="shared" si="288"/>
        <v>0</v>
      </c>
      <c r="AC141" s="194">
        <f t="shared" si="288"/>
        <v>0</v>
      </c>
      <c r="AD141" s="117">
        <f t="shared" si="288"/>
        <v>0</v>
      </c>
      <c r="AE141" s="118">
        <f t="shared" si="288"/>
        <v>0</v>
      </c>
      <c r="AF141" s="116">
        <f t="shared" si="288"/>
        <v>0</v>
      </c>
      <c r="AG141" s="117">
        <f t="shared" si="288"/>
        <v>0</v>
      </c>
      <c r="AH141" s="119">
        <f t="shared" si="288"/>
        <v>0</v>
      </c>
      <c r="AI141" s="194">
        <f t="shared" si="288"/>
        <v>0</v>
      </c>
      <c r="AJ141" s="117">
        <f t="shared" si="288"/>
        <v>0</v>
      </c>
      <c r="AK141" s="118">
        <f t="shared" si="288"/>
        <v>0</v>
      </c>
      <c r="AL141" s="116">
        <f t="shared" si="288"/>
        <v>0</v>
      </c>
      <c r="AM141" s="117">
        <f t="shared" si="288"/>
        <v>0</v>
      </c>
      <c r="AN141" s="119">
        <f t="shared" si="288"/>
        <v>0</v>
      </c>
      <c r="AO141" s="194">
        <f t="shared" ref="AO141:BZ141" si="289">+AO34+AO70+AO106</f>
        <v>0</v>
      </c>
      <c r="AP141" s="117">
        <f t="shared" si="289"/>
        <v>0</v>
      </c>
      <c r="AQ141" s="118">
        <f t="shared" si="289"/>
        <v>0</v>
      </c>
      <c r="AR141" s="116">
        <f t="shared" si="289"/>
        <v>0</v>
      </c>
      <c r="AS141" s="117">
        <f t="shared" si="289"/>
        <v>0</v>
      </c>
      <c r="AT141" s="119">
        <f t="shared" si="289"/>
        <v>0</v>
      </c>
      <c r="AU141" s="194">
        <f t="shared" si="289"/>
        <v>0</v>
      </c>
      <c r="AV141" s="117">
        <f t="shared" si="289"/>
        <v>0</v>
      </c>
      <c r="AW141" s="118">
        <f t="shared" si="289"/>
        <v>0</v>
      </c>
      <c r="AX141" s="116">
        <f t="shared" si="289"/>
        <v>0</v>
      </c>
      <c r="AY141" s="117">
        <f t="shared" si="289"/>
        <v>0</v>
      </c>
      <c r="AZ141" s="119">
        <f t="shared" si="289"/>
        <v>0</v>
      </c>
      <c r="BA141" s="194">
        <f t="shared" si="289"/>
        <v>0</v>
      </c>
      <c r="BB141" s="117">
        <f t="shared" si="289"/>
        <v>0</v>
      </c>
      <c r="BC141" s="118">
        <f t="shared" si="289"/>
        <v>0</v>
      </c>
      <c r="BD141" s="116">
        <f t="shared" si="289"/>
        <v>0</v>
      </c>
      <c r="BE141" s="117">
        <f t="shared" si="289"/>
        <v>0</v>
      </c>
      <c r="BF141" s="119">
        <f t="shared" si="289"/>
        <v>0</v>
      </c>
      <c r="BG141" s="194">
        <f t="shared" si="289"/>
        <v>0</v>
      </c>
      <c r="BH141" s="117">
        <f t="shared" si="289"/>
        <v>0</v>
      </c>
      <c r="BI141" s="118">
        <f t="shared" si="289"/>
        <v>0</v>
      </c>
      <c r="BJ141" s="116">
        <f t="shared" si="289"/>
        <v>0</v>
      </c>
      <c r="BK141" s="117">
        <f t="shared" si="289"/>
        <v>0</v>
      </c>
      <c r="BL141" s="119">
        <f t="shared" si="289"/>
        <v>0</v>
      </c>
      <c r="BM141" s="194">
        <f t="shared" si="289"/>
        <v>0</v>
      </c>
      <c r="BN141" s="117">
        <f t="shared" si="289"/>
        <v>0</v>
      </c>
      <c r="BO141" s="118">
        <f t="shared" si="289"/>
        <v>0</v>
      </c>
      <c r="BP141" s="116">
        <f t="shared" si="289"/>
        <v>0</v>
      </c>
      <c r="BQ141" s="117">
        <f t="shared" si="289"/>
        <v>0</v>
      </c>
      <c r="BR141" s="119">
        <f t="shared" si="289"/>
        <v>0</v>
      </c>
      <c r="BS141" s="194">
        <f t="shared" si="289"/>
        <v>0</v>
      </c>
      <c r="BT141" s="117">
        <f t="shared" si="289"/>
        <v>0</v>
      </c>
      <c r="BU141" s="118">
        <f t="shared" si="289"/>
        <v>0</v>
      </c>
      <c r="BV141" s="116">
        <f t="shared" si="289"/>
        <v>0</v>
      </c>
      <c r="BW141" s="117">
        <f t="shared" si="289"/>
        <v>0</v>
      </c>
      <c r="BX141" s="119">
        <f t="shared" si="289"/>
        <v>0</v>
      </c>
      <c r="BY141" s="194">
        <f t="shared" si="289"/>
        <v>0</v>
      </c>
      <c r="BZ141" s="117">
        <f t="shared" si="289"/>
        <v>0</v>
      </c>
      <c r="CA141" s="118">
        <f t="shared" ref="CA141:EL141" si="290">+CA34+CA70+CA106</f>
        <v>0</v>
      </c>
      <c r="CB141" s="116">
        <f t="shared" si="290"/>
        <v>0</v>
      </c>
      <c r="CC141" s="117">
        <f t="shared" si="290"/>
        <v>0</v>
      </c>
      <c r="CD141" s="119">
        <f t="shared" si="290"/>
        <v>0</v>
      </c>
      <c r="CE141" s="194">
        <f t="shared" si="290"/>
        <v>0</v>
      </c>
      <c r="CF141" s="117">
        <f t="shared" si="290"/>
        <v>0</v>
      </c>
      <c r="CG141" s="118">
        <f t="shared" si="290"/>
        <v>0</v>
      </c>
      <c r="CH141" s="116">
        <f t="shared" si="290"/>
        <v>0</v>
      </c>
      <c r="CI141" s="117">
        <f t="shared" si="290"/>
        <v>0</v>
      </c>
      <c r="CJ141" s="118">
        <f t="shared" si="290"/>
        <v>0</v>
      </c>
      <c r="CK141" s="239">
        <f t="shared" si="290"/>
        <v>0</v>
      </c>
      <c r="CL141" s="43">
        <f t="shared" si="290"/>
        <v>0</v>
      </c>
      <c r="CM141" s="283">
        <f t="shared" si="290"/>
        <v>0</v>
      </c>
      <c r="CN141" s="239">
        <f t="shared" si="290"/>
        <v>0</v>
      </c>
      <c r="CO141" s="43">
        <f t="shared" si="290"/>
        <v>0</v>
      </c>
      <c r="CP141" s="57">
        <f t="shared" si="290"/>
        <v>0</v>
      </c>
      <c r="CQ141" s="194">
        <f t="shared" ref="CQ141:CY141" si="291">+CQ34+CQ70+CQ106</f>
        <v>0</v>
      </c>
      <c r="CR141" s="117">
        <f t="shared" si="291"/>
        <v>0</v>
      </c>
      <c r="CS141" s="119">
        <f t="shared" si="291"/>
        <v>0</v>
      </c>
      <c r="CT141" s="194">
        <f t="shared" si="291"/>
        <v>0</v>
      </c>
      <c r="CU141" s="117">
        <f t="shared" si="291"/>
        <v>0</v>
      </c>
      <c r="CV141" s="119">
        <f t="shared" si="291"/>
        <v>0</v>
      </c>
      <c r="CW141" s="194">
        <f t="shared" si="291"/>
        <v>0</v>
      </c>
      <c r="CX141" s="117">
        <f t="shared" si="291"/>
        <v>0</v>
      </c>
      <c r="CY141" s="119">
        <f t="shared" si="291"/>
        <v>0</v>
      </c>
      <c r="CZ141" s="194">
        <f t="shared" si="290"/>
        <v>0</v>
      </c>
      <c r="DA141" s="117">
        <f t="shared" si="290"/>
        <v>0</v>
      </c>
      <c r="DB141" s="119">
        <f t="shared" si="290"/>
        <v>0</v>
      </c>
      <c r="DC141" s="116">
        <f t="shared" si="290"/>
        <v>0</v>
      </c>
      <c r="DD141" s="117">
        <f t="shared" si="290"/>
        <v>0</v>
      </c>
      <c r="DE141" s="119">
        <f t="shared" si="290"/>
        <v>0</v>
      </c>
      <c r="DF141" s="194">
        <f t="shared" si="290"/>
        <v>0</v>
      </c>
      <c r="DG141" s="117">
        <f t="shared" si="290"/>
        <v>0</v>
      </c>
      <c r="DH141" s="118">
        <f t="shared" si="290"/>
        <v>0</v>
      </c>
      <c r="DI141" s="116">
        <f t="shared" si="290"/>
        <v>0</v>
      </c>
      <c r="DJ141" s="117">
        <f t="shared" si="290"/>
        <v>0</v>
      </c>
      <c r="DK141" s="119">
        <f t="shared" si="290"/>
        <v>0</v>
      </c>
      <c r="DL141" s="194">
        <f t="shared" si="290"/>
        <v>0</v>
      </c>
      <c r="DM141" s="117">
        <f t="shared" si="290"/>
        <v>0</v>
      </c>
      <c r="DN141" s="118">
        <f t="shared" si="290"/>
        <v>0</v>
      </c>
      <c r="DO141" s="116">
        <f t="shared" si="290"/>
        <v>0</v>
      </c>
      <c r="DP141" s="117">
        <f t="shared" si="290"/>
        <v>0</v>
      </c>
      <c r="DQ141" s="119">
        <f t="shared" si="290"/>
        <v>0</v>
      </c>
      <c r="DR141" s="194">
        <f t="shared" si="290"/>
        <v>0</v>
      </c>
      <c r="DS141" s="117">
        <f t="shared" si="290"/>
        <v>0</v>
      </c>
      <c r="DT141" s="118">
        <f t="shared" si="290"/>
        <v>0</v>
      </c>
      <c r="DU141" s="116">
        <f t="shared" si="290"/>
        <v>0</v>
      </c>
      <c r="DV141" s="117">
        <f t="shared" si="290"/>
        <v>0</v>
      </c>
      <c r="DW141" s="119">
        <f t="shared" si="290"/>
        <v>0</v>
      </c>
      <c r="DX141" s="194">
        <f t="shared" si="290"/>
        <v>0</v>
      </c>
      <c r="DY141" s="117">
        <f t="shared" si="290"/>
        <v>0</v>
      </c>
      <c r="DZ141" s="118">
        <f t="shared" si="290"/>
        <v>0</v>
      </c>
      <c r="EA141" s="116">
        <f t="shared" si="290"/>
        <v>0</v>
      </c>
      <c r="EB141" s="117">
        <f t="shared" si="290"/>
        <v>0</v>
      </c>
      <c r="EC141" s="119">
        <f t="shared" si="290"/>
        <v>0</v>
      </c>
      <c r="ED141" s="194">
        <f t="shared" si="290"/>
        <v>0</v>
      </c>
      <c r="EE141" s="117">
        <f t="shared" si="290"/>
        <v>0</v>
      </c>
      <c r="EF141" s="118">
        <f t="shared" si="290"/>
        <v>0</v>
      </c>
      <c r="EG141" s="116">
        <f t="shared" si="290"/>
        <v>0</v>
      </c>
      <c r="EH141" s="117">
        <f t="shared" si="290"/>
        <v>0</v>
      </c>
      <c r="EI141" s="119">
        <f t="shared" si="290"/>
        <v>0</v>
      </c>
      <c r="EJ141" s="194">
        <f t="shared" si="290"/>
        <v>0</v>
      </c>
      <c r="EK141" s="117">
        <f t="shared" si="290"/>
        <v>0</v>
      </c>
      <c r="EL141" s="118">
        <f t="shared" si="290"/>
        <v>0</v>
      </c>
      <c r="EM141" s="116">
        <f t="shared" ref="EM141:GX141" si="292">+EM34+EM70+EM106</f>
        <v>0</v>
      </c>
      <c r="EN141" s="117">
        <f t="shared" si="292"/>
        <v>0</v>
      </c>
      <c r="EO141" s="119">
        <f t="shared" si="292"/>
        <v>0</v>
      </c>
      <c r="EP141" s="194">
        <f t="shared" si="292"/>
        <v>0</v>
      </c>
      <c r="EQ141" s="117">
        <f t="shared" si="292"/>
        <v>0</v>
      </c>
      <c r="ER141" s="118">
        <f t="shared" si="292"/>
        <v>0</v>
      </c>
      <c r="ES141" s="116">
        <f t="shared" si="292"/>
        <v>0</v>
      </c>
      <c r="ET141" s="117">
        <f t="shared" si="292"/>
        <v>0</v>
      </c>
      <c r="EU141" s="119">
        <f t="shared" si="292"/>
        <v>0</v>
      </c>
      <c r="EV141" s="194">
        <f t="shared" si="292"/>
        <v>0</v>
      </c>
      <c r="EW141" s="117">
        <f t="shared" si="292"/>
        <v>0</v>
      </c>
      <c r="EX141" s="118">
        <f t="shared" si="292"/>
        <v>0</v>
      </c>
      <c r="EY141" s="116">
        <f t="shared" si="292"/>
        <v>0</v>
      </c>
      <c r="EZ141" s="117">
        <f t="shared" si="292"/>
        <v>0</v>
      </c>
      <c r="FA141" s="119">
        <f t="shared" si="292"/>
        <v>0</v>
      </c>
      <c r="FB141" s="194">
        <f t="shared" si="292"/>
        <v>0</v>
      </c>
      <c r="FC141" s="117">
        <f t="shared" si="292"/>
        <v>0</v>
      </c>
      <c r="FD141" s="118">
        <f t="shared" si="292"/>
        <v>0</v>
      </c>
      <c r="FE141" s="116">
        <f t="shared" si="292"/>
        <v>0</v>
      </c>
      <c r="FF141" s="117">
        <f t="shared" si="292"/>
        <v>0</v>
      </c>
      <c r="FG141" s="119">
        <f t="shared" si="292"/>
        <v>0</v>
      </c>
      <c r="FH141" s="194">
        <f t="shared" si="292"/>
        <v>0</v>
      </c>
      <c r="FI141" s="117">
        <f t="shared" si="292"/>
        <v>0</v>
      </c>
      <c r="FJ141" s="118">
        <f t="shared" si="292"/>
        <v>0</v>
      </c>
      <c r="FK141" s="116">
        <f t="shared" si="292"/>
        <v>0</v>
      </c>
      <c r="FL141" s="117">
        <f t="shared" si="292"/>
        <v>0</v>
      </c>
      <c r="FM141" s="119">
        <f t="shared" si="292"/>
        <v>0</v>
      </c>
      <c r="FN141" s="194">
        <f t="shared" si="292"/>
        <v>0</v>
      </c>
      <c r="FO141" s="117">
        <f t="shared" si="292"/>
        <v>0</v>
      </c>
      <c r="FP141" s="118">
        <f t="shared" si="292"/>
        <v>0</v>
      </c>
      <c r="FQ141" s="116">
        <f t="shared" si="292"/>
        <v>0</v>
      </c>
      <c r="FR141" s="117">
        <f t="shared" si="292"/>
        <v>0</v>
      </c>
      <c r="FS141" s="119">
        <f t="shared" si="292"/>
        <v>0</v>
      </c>
      <c r="FT141" s="194">
        <f t="shared" si="292"/>
        <v>0</v>
      </c>
      <c r="FU141" s="117">
        <f t="shared" si="292"/>
        <v>0</v>
      </c>
      <c r="FV141" s="118">
        <f t="shared" si="292"/>
        <v>0</v>
      </c>
      <c r="FW141" s="116">
        <f t="shared" si="292"/>
        <v>0</v>
      </c>
      <c r="FX141" s="117">
        <f t="shared" si="292"/>
        <v>0</v>
      </c>
      <c r="FY141" s="119">
        <f t="shared" si="292"/>
        <v>0</v>
      </c>
      <c r="FZ141" s="194">
        <f t="shared" si="292"/>
        <v>0</v>
      </c>
      <c r="GA141" s="117">
        <f t="shared" si="292"/>
        <v>0</v>
      </c>
      <c r="GB141" s="118">
        <f t="shared" si="292"/>
        <v>0</v>
      </c>
      <c r="GC141" s="116">
        <f t="shared" si="292"/>
        <v>0</v>
      </c>
      <c r="GD141" s="117">
        <f t="shared" si="292"/>
        <v>0</v>
      </c>
      <c r="GE141" s="119">
        <f t="shared" si="292"/>
        <v>0</v>
      </c>
      <c r="GF141" s="194">
        <f t="shared" si="292"/>
        <v>0</v>
      </c>
      <c r="GG141" s="117">
        <f t="shared" si="292"/>
        <v>0</v>
      </c>
      <c r="GH141" s="118">
        <f t="shared" si="292"/>
        <v>0</v>
      </c>
      <c r="GI141" s="116">
        <f t="shared" si="292"/>
        <v>0</v>
      </c>
      <c r="GJ141" s="117">
        <f t="shared" si="292"/>
        <v>0</v>
      </c>
      <c r="GK141" s="118">
        <f t="shared" si="292"/>
        <v>0</v>
      </c>
      <c r="GL141" s="239">
        <f t="shared" si="292"/>
        <v>0</v>
      </c>
      <c r="GM141" s="43">
        <f t="shared" si="292"/>
        <v>0</v>
      </c>
      <c r="GN141" s="283">
        <f t="shared" si="292"/>
        <v>0</v>
      </c>
      <c r="GO141" s="239">
        <f t="shared" si="292"/>
        <v>0</v>
      </c>
      <c r="GP141" s="43">
        <f t="shared" si="292"/>
        <v>0</v>
      </c>
      <c r="GQ141" s="57">
        <f t="shared" si="292"/>
        <v>0</v>
      </c>
      <c r="GR141" s="194">
        <f t="shared" si="292"/>
        <v>0</v>
      </c>
      <c r="GS141" s="117">
        <f t="shared" si="292"/>
        <v>0</v>
      </c>
      <c r="GT141" s="119">
        <f t="shared" si="292"/>
        <v>0</v>
      </c>
      <c r="GU141" s="194">
        <f t="shared" si="292"/>
        <v>0</v>
      </c>
      <c r="GV141" s="117">
        <f t="shared" si="292"/>
        <v>0</v>
      </c>
      <c r="GW141" s="119">
        <f t="shared" si="292"/>
        <v>0</v>
      </c>
      <c r="GX141" s="194">
        <f t="shared" si="292"/>
        <v>0</v>
      </c>
      <c r="GY141" s="117">
        <f t="shared" ref="GY141:HC141" si="293">+GY34+GY70+GY106</f>
        <v>0</v>
      </c>
      <c r="GZ141" s="119">
        <f t="shared" si="293"/>
        <v>0</v>
      </c>
      <c r="HA141" s="194">
        <f t="shared" si="293"/>
        <v>0</v>
      </c>
      <c r="HB141" s="117">
        <f t="shared" si="293"/>
        <v>0</v>
      </c>
      <c r="HC141" s="119">
        <f t="shared" si="293"/>
        <v>0</v>
      </c>
      <c r="HD141" s="368">
        <f t="shared" si="139"/>
        <v>0</v>
      </c>
      <c r="HE141" s="369">
        <f t="shared" si="140"/>
        <v>0</v>
      </c>
      <c r="HF141" s="369">
        <f t="shared" si="141"/>
        <v>0</v>
      </c>
      <c r="HG141" s="145">
        <f t="shared" si="132"/>
        <v>0</v>
      </c>
    </row>
    <row r="142" spans="1:215" ht="15.75" thickBot="1">
      <c r="A142" s="353">
        <v>28</v>
      </c>
      <c r="B142" s="116">
        <f t="shared" ref="B142:AN142" si="294">+B35+B71+B107</f>
        <v>0</v>
      </c>
      <c r="C142" s="117">
        <f t="shared" si="294"/>
        <v>0</v>
      </c>
      <c r="D142" s="119">
        <f t="shared" si="294"/>
        <v>0</v>
      </c>
      <c r="E142" s="194">
        <f t="shared" si="294"/>
        <v>0</v>
      </c>
      <c r="F142" s="117">
        <f t="shared" si="294"/>
        <v>0</v>
      </c>
      <c r="G142" s="118">
        <f t="shared" si="294"/>
        <v>0</v>
      </c>
      <c r="H142" s="116">
        <f t="shared" si="294"/>
        <v>0</v>
      </c>
      <c r="I142" s="117">
        <f t="shared" si="294"/>
        <v>0</v>
      </c>
      <c r="J142" s="119">
        <f t="shared" si="294"/>
        <v>0</v>
      </c>
      <c r="K142" s="194">
        <f t="shared" si="294"/>
        <v>0</v>
      </c>
      <c r="L142" s="117">
        <f t="shared" si="294"/>
        <v>0</v>
      </c>
      <c r="M142" s="118">
        <f t="shared" si="294"/>
        <v>0</v>
      </c>
      <c r="N142" s="116">
        <f t="shared" si="294"/>
        <v>0</v>
      </c>
      <c r="O142" s="117">
        <f t="shared" si="294"/>
        <v>0</v>
      </c>
      <c r="P142" s="119">
        <f t="shared" si="294"/>
        <v>0</v>
      </c>
      <c r="Q142" s="194">
        <f t="shared" si="294"/>
        <v>0</v>
      </c>
      <c r="R142" s="117">
        <f t="shared" si="294"/>
        <v>0</v>
      </c>
      <c r="S142" s="118">
        <f t="shared" si="294"/>
        <v>0</v>
      </c>
      <c r="T142" s="116">
        <f t="shared" si="294"/>
        <v>0</v>
      </c>
      <c r="U142" s="117">
        <f t="shared" si="294"/>
        <v>0</v>
      </c>
      <c r="V142" s="119">
        <f t="shared" si="294"/>
        <v>0</v>
      </c>
      <c r="W142" s="194">
        <f t="shared" si="294"/>
        <v>0</v>
      </c>
      <c r="X142" s="117">
        <f t="shared" si="294"/>
        <v>0</v>
      </c>
      <c r="Y142" s="118">
        <f t="shared" si="294"/>
        <v>0</v>
      </c>
      <c r="Z142" s="116">
        <f t="shared" si="294"/>
        <v>0</v>
      </c>
      <c r="AA142" s="117">
        <f t="shared" si="294"/>
        <v>0</v>
      </c>
      <c r="AB142" s="119">
        <f t="shared" si="294"/>
        <v>0</v>
      </c>
      <c r="AC142" s="194">
        <f t="shared" si="294"/>
        <v>0</v>
      </c>
      <c r="AD142" s="117">
        <f t="shared" si="294"/>
        <v>0</v>
      </c>
      <c r="AE142" s="118">
        <f t="shared" si="294"/>
        <v>0</v>
      </c>
      <c r="AF142" s="116">
        <f t="shared" si="294"/>
        <v>0</v>
      </c>
      <c r="AG142" s="117">
        <f t="shared" si="294"/>
        <v>0</v>
      </c>
      <c r="AH142" s="119">
        <f t="shared" si="294"/>
        <v>0</v>
      </c>
      <c r="AI142" s="194">
        <f t="shared" si="294"/>
        <v>0</v>
      </c>
      <c r="AJ142" s="117">
        <f t="shared" si="294"/>
        <v>0</v>
      </c>
      <c r="AK142" s="118">
        <f t="shared" si="294"/>
        <v>0</v>
      </c>
      <c r="AL142" s="116">
        <f t="shared" si="294"/>
        <v>0</v>
      </c>
      <c r="AM142" s="117">
        <f t="shared" si="294"/>
        <v>0</v>
      </c>
      <c r="AN142" s="119">
        <f t="shared" si="294"/>
        <v>0</v>
      </c>
      <c r="AO142" s="194">
        <f t="shared" ref="AO142:BZ142" si="295">+AO35+AO71+AO107</f>
        <v>0</v>
      </c>
      <c r="AP142" s="117">
        <f t="shared" si="295"/>
        <v>0</v>
      </c>
      <c r="AQ142" s="118">
        <f t="shared" si="295"/>
        <v>0</v>
      </c>
      <c r="AR142" s="116">
        <f t="shared" si="295"/>
        <v>0</v>
      </c>
      <c r="AS142" s="117">
        <f t="shared" si="295"/>
        <v>0</v>
      </c>
      <c r="AT142" s="119">
        <f t="shared" si="295"/>
        <v>0</v>
      </c>
      <c r="AU142" s="194">
        <f t="shared" si="295"/>
        <v>0</v>
      </c>
      <c r="AV142" s="117">
        <f t="shared" si="295"/>
        <v>0</v>
      </c>
      <c r="AW142" s="118">
        <f t="shared" si="295"/>
        <v>0</v>
      </c>
      <c r="AX142" s="116">
        <f t="shared" si="295"/>
        <v>0</v>
      </c>
      <c r="AY142" s="117">
        <f t="shared" si="295"/>
        <v>0</v>
      </c>
      <c r="AZ142" s="119">
        <f t="shared" si="295"/>
        <v>0</v>
      </c>
      <c r="BA142" s="194">
        <f t="shared" si="295"/>
        <v>0</v>
      </c>
      <c r="BB142" s="117">
        <f t="shared" si="295"/>
        <v>0</v>
      </c>
      <c r="BC142" s="118">
        <f t="shared" si="295"/>
        <v>0</v>
      </c>
      <c r="BD142" s="116">
        <f t="shared" si="295"/>
        <v>0</v>
      </c>
      <c r="BE142" s="117">
        <f t="shared" si="295"/>
        <v>0</v>
      </c>
      <c r="BF142" s="119">
        <f t="shared" si="295"/>
        <v>0</v>
      </c>
      <c r="BG142" s="194">
        <f t="shared" si="295"/>
        <v>0</v>
      </c>
      <c r="BH142" s="117">
        <f t="shared" si="295"/>
        <v>0</v>
      </c>
      <c r="BI142" s="118">
        <f t="shared" si="295"/>
        <v>0</v>
      </c>
      <c r="BJ142" s="116">
        <f t="shared" si="295"/>
        <v>0</v>
      </c>
      <c r="BK142" s="117">
        <f t="shared" si="295"/>
        <v>0</v>
      </c>
      <c r="BL142" s="119">
        <f t="shared" si="295"/>
        <v>0</v>
      </c>
      <c r="BM142" s="194">
        <f t="shared" si="295"/>
        <v>0</v>
      </c>
      <c r="BN142" s="117">
        <f t="shared" si="295"/>
        <v>0</v>
      </c>
      <c r="BO142" s="118">
        <f t="shared" si="295"/>
        <v>0</v>
      </c>
      <c r="BP142" s="116">
        <f t="shared" si="295"/>
        <v>0</v>
      </c>
      <c r="BQ142" s="117">
        <f t="shared" si="295"/>
        <v>0</v>
      </c>
      <c r="BR142" s="119">
        <f t="shared" si="295"/>
        <v>0</v>
      </c>
      <c r="BS142" s="194">
        <f t="shared" si="295"/>
        <v>0</v>
      </c>
      <c r="BT142" s="117">
        <f t="shared" si="295"/>
        <v>0</v>
      </c>
      <c r="BU142" s="118">
        <f t="shared" si="295"/>
        <v>0</v>
      </c>
      <c r="BV142" s="116">
        <f t="shared" si="295"/>
        <v>0</v>
      </c>
      <c r="BW142" s="117">
        <f t="shared" si="295"/>
        <v>0</v>
      </c>
      <c r="BX142" s="119">
        <f t="shared" si="295"/>
        <v>0</v>
      </c>
      <c r="BY142" s="194">
        <f t="shared" si="295"/>
        <v>0</v>
      </c>
      <c r="BZ142" s="117">
        <f t="shared" si="295"/>
        <v>0</v>
      </c>
      <c r="CA142" s="118">
        <f t="shared" ref="CA142:EL142" si="296">+CA35+CA71+CA107</f>
        <v>0</v>
      </c>
      <c r="CB142" s="116">
        <f t="shared" si="296"/>
        <v>0</v>
      </c>
      <c r="CC142" s="117">
        <f t="shared" si="296"/>
        <v>0</v>
      </c>
      <c r="CD142" s="119">
        <f t="shared" si="296"/>
        <v>0</v>
      </c>
      <c r="CE142" s="194">
        <f t="shared" si="296"/>
        <v>0</v>
      </c>
      <c r="CF142" s="117">
        <f t="shared" si="296"/>
        <v>0</v>
      </c>
      <c r="CG142" s="118">
        <f t="shared" si="296"/>
        <v>0</v>
      </c>
      <c r="CH142" s="116">
        <f t="shared" si="296"/>
        <v>0</v>
      </c>
      <c r="CI142" s="117">
        <f t="shared" si="296"/>
        <v>0</v>
      </c>
      <c r="CJ142" s="118">
        <f t="shared" si="296"/>
        <v>0</v>
      </c>
      <c r="CK142" s="239">
        <f t="shared" si="296"/>
        <v>0</v>
      </c>
      <c r="CL142" s="43">
        <f t="shared" si="296"/>
        <v>0</v>
      </c>
      <c r="CM142" s="283">
        <f t="shared" si="296"/>
        <v>0</v>
      </c>
      <c r="CN142" s="239">
        <f t="shared" si="296"/>
        <v>0</v>
      </c>
      <c r="CO142" s="43">
        <f t="shared" si="296"/>
        <v>0</v>
      </c>
      <c r="CP142" s="57">
        <f t="shared" si="296"/>
        <v>0</v>
      </c>
      <c r="CQ142" s="194">
        <f t="shared" ref="CQ142:CY142" si="297">+CQ35+CQ71+CQ107</f>
        <v>0</v>
      </c>
      <c r="CR142" s="117">
        <f t="shared" si="297"/>
        <v>0</v>
      </c>
      <c r="CS142" s="119">
        <f t="shared" si="297"/>
        <v>0</v>
      </c>
      <c r="CT142" s="194">
        <f t="shared" si="297"/>
        <v>0</v>
      </c>
      <c r="CU142" s="117">
        <f t="shared" si="297"/>
        <v>0</v>
      </c>
      <c r="CV142" s="119">
        <f t="shared" si="297"/>
        <v>0</v>
      </c>
      <c r="CW142" s="194">
        <f t="shared" si="297"/>
        <v>0</v>
      </c>
      <c r="CX142" s="117">
        <f t="shared" si="297"/>
        <v>0</v>
      </c>
      <c r="CY142" s="119">
        <f t="shared" si="297"/>
        <v>0</v>
      </c>
      <c r="CZ142" s="194">
        <f t="shared" si="296"/>
        <v>0</v>
      </c>
      <c r="DA142" s="117">
        <f t="shared" si="296"/>
        <v>0</v>
      </c>
      <c r="DB142" s="119">
        <f t="shared" si="296"/>
        <v>0</v>
      </c>
      <c r="DC142" s="116">
        <f t="shared" si="296"/>
        <v>0</v>
      </c>
      <c r="DD142" s="117">
        <f t="shared" si="296"/>
        <v>0</v>
      </c>
      <c r="DE142" s="119">
        <f t="shared" si="296"/>
        <v>0</v>
      </c>
      <c r="DF142" s="194">
        <f t="shared" si="296"/>
        <v>0</v>
      </c>
      <c r="DG142" s="117">
        <f t="shared" si="296"/>
        <v>0</v>
      </c>
      <c r="DH142" s="118">
        <f t="shared" si="296"/>
        <v>0</v>
      </c>
      <c r="DI142" s="116">
        <f t="shared" si="296"/>
        <v>0</v>
      </c>
      <c r="DJ142" s="117">
        <f t="shared" si="296"/>
        <v>0</v>
      </c>
      <c r="DK142" s="119">
        <f t="shared" si="296"/>
        <v>0</v>
      </c>
      <c r="DL142" s="194">
        <f t="shared" si="296"/>
        <v>0</v>
      </c>
      <c r="DM142" s="117">
        <f t="shared" si="296"/>
        <v>0</v>
      </c>
      <c r="DN142" s="118">
        <f t="shared" si="296"/>
        <v>0</v>
      </c>
      <c r="DO142" s="116">
        <f t="shared" si="296"/>
        <v>0</v>
      </c>
      <c r="DP142" s="117">
        <f t="shared" si="296"/>
        <v>0</v>
      </c>
      <c r="DQ142" s="119">
        <f t="shared" si="296"/>
        <v>0</v>
      </c>
      <c r="DR142" s="194">
        <f t="shared" si="296"/>
        <v>0</v>
      </c>
      <c r="DS142" s="117">
        <f t="shared" si="296"/>
        <v>0</v>
      </c>
      <c r="DT142" s="118">
        <f t="shared" si="296"/>
        <v>0</v>
      </c>
      <c r="DU142" s="116">
        <f t="shared" si="296"/>
        <v>0</v>
      </c>
      <c r="DV142" s="117">
        <f t="shared" si="296"/>
        <v>0</v>
      </c>
      <c r="DW142" s="119">
        <f t="shared" si="296"/>
        <v>0</v>
      </c>
      <c r="DX142" s="194">
        <f t="shared" si="296"/>
        <v>0</v>
      </c>
      <c r="DY142" s="117">
        <f t="shared" si="296"/>
        <v>0</v>
      </c>
      <c r="DZ142" s="118">
        <f t="shared" si="296"/>
        <v>0</v>
      </c>
      <c r="EA142" s="116">
        <f t="shared" si="296"/>
        <v>0</v>
      </c>
      <c r="EB142" s="117">
        <f t="shared" si="296"/>
        <v>0</v>
      </c>
      <c r="EC142" s="119">
        <f t="shared" si="296"/>
        <v>0</v>
      </c>
      <c r="ED142" s="194">
        <f t="shared" si="296"/>
        <v>0</v>
      </c>
      <c r="EE142" s="117">
        <f t="shared" si="296"/>
        <v>0</v>
      </c>
      <c r="EF142" s="118">
        <f t="shared" si="296"/>
        <v>0</v>
      </c>
      <c r="EG142" s="116">
        <f t="shared" si="296"/>
        <v>0</v>
      </c>
      <c r="EH142" s="117">
        <f t="shared" si="296"/>
        <v>0</v>
      </c>
      <c r="EI142" s="119">
        <f t="shared" si="296"/>
        <v>0</v>
      </c>
      <c r="EJ142" s="194">
        <f t="shared" si="296"/>
        <v>0</v>
      </c>
      <c r="EK142" s="117">
        <f t="shared" si="296"/>
        <v>0</v>
      </c>
      <c r="EL142" s="118">
        <f t="shared" si="296"/>
        <v>0</v>
      </c>
      <c r="EM142" s="116">
        <f t="shared" ref="EM142:GX142" si="298">+EM35+EM71+EM107</f>
        <v>0</v>
      </c>
      <c r="EN142" s="117">
        <f t="shared" si="298"/>
        <v>0</v>
      </c>
      <c r="EO142" s="119">
        <f t="shared" si="298"/>
        <v>0</v>
      </c>
      <c r="EP142" s="194">
        <f t="shared" si="298"/>
        <v>0</v>
      </c>
      <c r="EQ142" s="117">
        <f t="shared" si="298"/>
        <v>0</v>
      </c>
      <c r="ER142" s="118">
        <f t="shared" si="298"/>
        <v>0</v>
      </c>
      <c r="ES142" s="116">
        <f t="shared" si="298"/>
        <v>0</v>
      </c>
      <c r="ET142" s="117">
        <f t="shared" si="298"/>
        <v>0</v>
      </c>
      <c r="EU142" s="119">
        <f t="shared" si="298"/>
        <v>0</v>
      </c>
      <c r="EV142" s="194">
        <f t="shared" si="298"/>
        <v>0</v>
      </c>
      <c r="EW142" s="117">
        <f t="shared" si="298"/>
        <v>0</v>
      </c>
      <c r="EX142" s="118">
        <f t="shared" si="298"/>
        <v>0</v>
      </c>
      <c r="EY142" s="116">
        <f t="shared" si="298"/>
        <v>0</v>
      </c>
      <c r="EZ142" s="117">
        <f t="shared" si="298"/>
        <v>0</v>
      </c>
      <c r="FA142" s="119">
        <f t="shared" si="298"/>
        <v>0</v>
      </c>
      <c r="FB142" s="194">
        <f t="shared" si="298"/>
        <v>0</v>
      </c>
      <c r="FC142" s="117">
        <f t="shared" si="298"/>
        <v>0</v>
      </c>
      <c r="FD142" s="118">
        <f t="shared" si="298"/>
        <v>0</v>
      </c>
      <c r="FE142" s="116">
        <f t="shared" si="298"/>
        <v>0</v>
      </c>
      <c r="FF142" s="117">
        <f t="shared" si="298"/>
        <v>0</v>
      </c>
      <c r="FG142" s="119">
        <f t="shared" si="298"/>
        <v>0</v>
      </c>
      <c r="FH142" s="194">
        <f t="shared" si="298"/>
        <v>0</v>
      </c>
      <c r="FI142" s="117">
        <f t="shared" si="298"/>
        <v>0</v>
      </c>
      <c r="FJ142" s="118">
        <f t="shared" si="298"/>
        <v>0</v>
      </c>
      <c r="FK142" s="116">
        <f t="shared" si="298"/>
        <v>0</v>
      </c>
      <c r="FL142" s="117">
        <f t="shared" si="298"/>
        <v>0</v>
      </c>
      <c r="FM142" s="119">
        <f t="shared" si="298"/>
        <v>0</v>
      </c>
      <c r="FN142" s="194">
        <f t="shared" si="298"/>
        <v>0</v>
      </c>
      <c r="FO142" s="117">
        <f t="shared" si="298"/>
        <v>0</v>
      </c>
      <c r="FP142" s="118">
        <f t="shared" si="298"/>
        <v>0</v>
      </c>
      <c r="FQ142" s="116">
        <f t="shared" si="298"/>
        <v>0</v>
      </c>
      <c r="FR142" s="117">
        <f t="shared" si="298"/>
        <v>0</v>
      </c>
      <c r="FS142" s="119">
        <f t="shared" si="298"/>
        <v>0</v>
      </c>
      <c r="FT142" s="194">
        <f t="shared" si="298"/>
        <v>0</v>
      </c>
      <c r="FU142" s="117">
        <f t="shared" si="298"/>
        <v>0</v>
      </c>
      <c r="FV142" s="118">
        <f t="shared" si="298"/>
        <v>0</v>
      </c>
      <c r="FW142" s="116">
        <f t="shared" si="298"/>
        <v>0</v>
      </c>
      <c r="FX142" s="117">
        <f t="shared" si="298"/>
        <v>0</v>
      </c>
      <c r="FY142" s="119">
        <f t="shared" si="298"/>
        <v>0</v>
      </c>
      <c r="FZ142" s="194">
        <f t="shared" si="298"/>
        <v>0</v>
      </c>
      <c r="GA142" s="117">
        <f t="shared" si="298"/>
        <v>0</v>
      </c>
      <c r="GB142" s="118">
        <f t="shared" si="298"/>
        <v>0</v>
      </c>
      <c r="GC142" s="116">
        <f t="shared" si="298"/>
        <v>0</v>
      </c>
      <c r="GD142" s="117">
        <f t="shared" si="298"/>
        <v>0</v>
      </c>
      <c r="GE142" s="119">
        <f t="shared" si="298"/>
        <v>0</v>
      </c>
      <c r="GF142" s="194">
        <f t="shared" si="298"/>
        <v>0</v>
      </c>
      <c r="GG142" s="117">
        <f t="shared" si="298"/>
        <v>0</v>
      </c>
      <c r="GH142" s="118">
        <f t="shared" si="298"/>
        <v>0</v>
      </c>
      <c r="GI142" s="116">
        <f t="shared" si="298"/>
        <v>0</v>
      </c>
      <c r="GJ142" s="117">
        <f t="shared" si="298"/>
        <v>0</v>
      </c>
      <c r="GK142" s="118">
        <f t="shared" si="298"/>
        <v>0</v>
      </c>
      <c r="GL142" s="239">
        <f t="shared" si="298"/>
        <v>0</v>
      </c>
      <c r="GM142" s="43">
        <f t="shared" si="298"/>
        <v>0</v>
      </c>
      <c r="GN142" s="283">
        <f t="shared" si="298"/>
        <v>0</v>
      </c>
      <c r="GO142" s="239">
        <f t="shared" si="298"/>
        <v>0</v>
      </c>
      <c r="GP142" s="43">
        <f t="shared" si="298"/>
        <v>0</v>
      </c>
      <c r="GQ142" s="57">
        <f t="shared" si="298"/>
        <v>0</v>
      </c>
      <c r="GR142" s="194">
        <f t="shared" si="298"/>
        <v>0</v>
      </c>
      <c r="GS142" s="117">
        <f t="shared" si="298"/>
        <v>0</v>
      </c>
      <c r="GT142" s="119">
        <f t="shared" si="298"/>
        <v>0</v>
      </c>
      <c r="GU142" s="194">
        <f t="shared" si="298"/>
        <v>0</v>
      </c>
      <c r="GV142" s="117">
        <f t="shared" si="298"/>
        <v>0</v>
      </c>
      <c r="GW142" s="119">
        <f t="shared" si="298"/>
        <v>0</v>
      </c>
      <c r="GX142" s="194">
        <f t="shared" si="298"/>
        <v>0</v>
      </c>
      <c r="GY142" s="117">
        <f t="shared" ref="GY142:HC142" si="299">+GY35+GY71+GY107</f>
        <v>0</v>
      </c>
      <c r="GZ142" s="119">
        <f t="shared" si="299"/>
        <v>0</v>
      </c>
      <c r="HA142" s="194">
        <f t="shared" si="299"/>
        <v>0</v>
      </c>
      <c r="HB142" s="117">
        <f t="shared" si="299"/>
        <v>0</v>
      </c>
      <c r="HC142" s="119">
        <f t="shared" si="299"/>
        <v>0</v>
      </c>
      <c r="HD142" s="368">
        <f t="shared" si="139"/>
        <v>0</v>
      </c>
      <c r="HE142" s="369">
        <f t="shared" si="140"/>
        <v>0</v>
      </c>
      <c r="HF142" s="369">
        <f t="shared" si="141"/>
        <v>0</v>
      </c>
      <c r="HG142" s="145">
        <f t="shared" si="132"/>
        <v>0</v>
      </c>
    </row>
    <row r="143" spans="1:215" ht="15.75" thickBot="1">
      <c r="A143" s="238">
        <v>29</v>
      </c>
      <c r="B143" s="116">
        <f t="shared" ref="B143:AN143" si="300">+B36+B72+B108</f>
        <v>0</v>
      </c>
      <c r="C143" s="117">
        <f t="shared" si="300"/>
        <v>0</v>
      </c>
      <c r="D143" s="119">
        <f t="shared" si="300"/>
        <v>0</v>
      </c>
      <c r="E143" s="194">
        <f t="shared" si="300"/>
        <v>0</v>
      </c>
      <c r="F143" s="117">
        <f t="shared" si="300"/>
        <v>0</v>
      </c>
      <c r="G143" s="118">
        <f t="shared" si="300"/>
        <v>0</v>
      </c>
      <c r="H143" s="116">
        <f t="shared" si="300"/>
        <v>0</v>
      </c>
      <c r="I143" s="117">
        <f t="shared" si="300"/>
        <v>0</v>
      </c>
      <c r="J143" s="119">
        <f t="shared" si="300"/>
        <v>0</v>
      </c>
      <c r="K143" s="194">
        <f t="shared" si="300"/>
        <v>0</v>
      </c>
      <c r="L143" s="117">
        <f t="shared" si="300"/>
        <v>0</v>
      </c>
      <c r="M143" s="118">
        <f t="shared" si="300"/>
        <v>0</v>
      </c>
      <c r="N143" s="116">
        <f t="shared" si="300"/>
        <v>0</v>
      </c>
      <c r="O143" s="117">
        <f t="shared" si="300"/>
        <v>0</v>
      </c>
      <c r="P143" s="119">
        <f t="shared" si="300"/>
        <v>0</v>
      </c>
      <c r="Q143" s="194">
        <f t="shared" si="300"/>
        <v>0</v>
      </c>
      <c r="R143" s="117">
        <f t="shared" si="300"/>
        <v>0</v>
      </c>
      <c r="S143" s="118">
        <f t="shared" si="300"/>
        <v>0</v>
      </c>
      <c r="T143" s="116">
        <f t="shared" si="300"/>
        <v>0</v>
      </c>
      <c r="U143" s="117">
        <f t="shared" si="300"/>
        <v>0</v>
      </c>
      <c r="V143" s="119">
        <f t="shared" si="300"/>
        <v>0</v>
      </c>
      <c r="W143" s="194">
        <f t="shared" si="300"/>
        <v>0</v>
      </c>
      <c r="X143" s="117">
        <f t="shared" si="300"/>
        <v>0</v>
      </c>
      <c r="Y143" s="118">
        <f t="shared" si="300"/>
        <v>0</v>
      </c>
      <c r="Z143" s="116">
        <f t="shared" si="300"/>
        <v>0</v>
      </c>
      <c r="AA143" s="117">
        <f t="shared" si="300"/>
        <v>0</v>
      </c>
      <c r="AB143" s="119">
        <f t="shared" si="300"/>
        <v>0</v>
      </c>
      <c r="AC143" s="194">
        <f t="shared" si="300"/>
        <v>0</v>
      </c>
      <c r="AD143" s="117">
        <f t="shared" si="300"/>
        <v>0</v>
      </c>
      <c r="AE143" s="118">
        <f t="shared" si="300"/>
        <v>0</v>
      </c>
      <c r="AF143" s="116">
        <f t="shared" si="300"/>
        <v>0</v>
      </c>
      <c r="AG143" s="117">
        <f t="shared" si="300"/>
        <v>0</v>
      </c>
      <c r="AH143" s="119">
        <f t="shared" si="300"/>
        <v>0</v>
      </c>
      <c r="AI143" s="194">
        <f t="shared" si="300"/>
        <v>0</v>
      </c>
      <c r="AJ143" s="117">
        <f t="shared" si="300"/>
        <v>0</v>
      </c>
      <c r="AK143" s="118">
        <f t="shared" si="300"/>
        <v>0</v>
      </c>
      <c r="AL143" s="116">
        <f t="shared" si="300"/>
        <v>0</v>
      </c>
      <c r="AM143" s="117">
        <f t="shared" si="300"/>
        <v>0</v>
      </c>
      <c r="AN143" s="119">
        <f t="shared" si="300"/>
        <v>0</v>
      </c>
      <c r="AO143" s="194">
        <f t="shared" ref="AO143:BZ143" si="301">+AO36+AO72+AO108</f>
        <v>0</v>
      </c>
      <c r="AP143" s="117">
        <f t="shared" si="301"/>
        <v>0</v>
      </c>
      <c r="AQ143" s="118">
        <f t="shared" si="301"/>
        <v>0</v>
      </c>
      <c r="AR143" s="116">
        <f t="shared" si="301"/>
        <v>0</v>
      </c>
      <c r="AS143" s="117">
        <f t="shared" si="301"/>
        <v>0</v>
      </c>
      <c r="AT143" s="119">
        <f t="shared" si="301"/>
        <v>0</v>
      </c>
      <c r="AU143" s="194">
        <f t="shared" si="301"/>
        <v>0</v>
      </c>
      <c r="AV143" s="117">
        <f t="shared" si="301"/>
        <v>0</v>
      </c>
      <c r="AW143" s="118">
        <f t="shared" si="301"/>
        <v>0</v>
      </c>
      <c r="AX143" s="116">
        <f t="shared" si="301"/>
        <v>0</v>
      </c>
      <c r="AY143" s="117">
        <f t="shared" si="301"/>
        <v>0</v>
      </c>
      <c r="AZ143" s="119">
        <f t="shared" si="301"/>
        <v>0</v>
      </c>
      <c r="BA143" s="194">
        <f t="shared" si="301"/>
        <v>0</v>
      </c>
      <c r="BB143" s="117">
        <f t="shared" si="301"/>
        <v>0</v>
      </c>
      <c r="BC143" s="118">
        <f t="shared" si="301"/>
        <v>0</v>
      </c>
      <c r="BD143" s="116">
        <f t="shared" si="301"/>
        <v>0</v>
      </c>
      <c r="BE143" s="117">
        <f t="shared" si="301"/>
        <v>0</v>
      </c>
      <c r="BF143" s="119">
        <f t="shared" si="301"/>
        <v>0</v>
      </c>
      <c r="BG143" s="194">
        <f t="shared" si="301"/>
        <v>0</v>
      </c>
      <c r="BH143" s="117">
        <f t="shared" si="301"/>
        <v>0</v>
      </c>
      <c r="BI143" s="118">
        <f t="shared" si="301"/>
        <v>0</v>
      </c>
      <c r="BJ143" s="116">
        <f t="shared" si="301"/>
        <v>0</v>
      </c>
      <c r="BK143" s="117">
        <f t="shared" si="301"/>
        <v>0</v>
      </c>
      <c r="BL143" s="119">
        <f t="shared" si="301"/>
        <v>0</v>
      </c>
      <c r="BM143" s="194">
        <f t="shared" si="301"/>
        <v>0</v>
      </c>
      <c r="BN143" s="117">
        <f t="shared" si="301"/>
        <v>0</v>
      </c>
      <c r="BO143" s="118">
        <f t="shared" si="301"/>
        <v>0</v>
      </c>
      <c r="BP143" s="116">
        <f t="shared" si="301"/>
        <v>0</v>
      </c>
      <c r="BQ143" s="117">
        <f t="shared" si="301"/>
        <v>0</v>
      </c>
      <c r="BR143" s="119">
        <f t="shared" si="301"/>
        <v>0</v>
      </c>
      <c r="BS143" s="194">
        <f t="shared" si="301"/>
        <v>0</v>
      </c>
      <c r="BT143" s="117">
        <f t="shared" si="301"/>
        <v>0</v>
      </c>
      <c r="BU143" s="118">
        <f t="shared" si="301"/>
        <v>0</v>
      </c>
      <c r="BV143" s="116">
        <f t="shared" si="301"/>
        <v>0</v>
      </c>
      <c r="BW143" s="117">
        <f t="shared" si="301"/>
        <v>0</v>
      </c>
      <c r="BX143" s="119">
        <f t="shared" si="301"/>
        <v>0</v>
      </c>
      <c r="BY143" s="194">
        <f t="shared" si="301"/>
        <v>0</v>
      </c>
      <c r="BZ143" s="117">
        <f t="shared" si="301"/>
        <v>0</v>
      </c>
      <c r="CA143" s="118">
        <f t="shared" ref="CA143:EL143" si="302">+CA36+CA72+CA108</f>
        <v>0</v>
      </c>
      <c r="CB143" s="116">
        <f t="shared" si="302"/>
        <v>0</v>
      </c>
      <c r="CC143" s="117">
        <f t="shared" si="302"/>
        <v>0</v>
      </c>
      <c r="CD143" s="119">
        <f t="shared" si="302"/>
        <v>0</v>
      </c>
      <c r="CE143" s="194">
        <f t="shared" si="302"/>
        <v>0</v>
      </c>
      <c r="CF143" s="117">
        <f t="shared" si="302"/>
        <v>0</v>
      </c>
      <c r="CG143" s="118">
        <f t="shared" si="302"/>
        <v>0</v>
      </c>
      <c r="CH143" s="116">
        <f t="shared" si="302"/>
        <v>0</v>
      </c>
      <c r="CI143" s="117">
        <f t="shared" si="302"/>
        <v>0</v>
      </c>
      <c r="CJ143" s="118">
        <f t="shared" si="302"/>
        <v>0</v>
      </c>
      <c r="CK143" s="239">
        <f t="shared" si="302"/>
        <v>0</v>
      </c>
      <c r="CL143" s="43">
        <f t="shared" si="302"/>
        <v>0</v>
      </c>
      <c r="CM143" s="283">
        <f t="shared" si="302"/>
        <v>0</v>
      </c>
      <c r="CN143" s="239">
        <f t="shared" si="302"/>
        <v>0</v>
      </c>
      <c r="CO143" s="43">
        <f t="shared" si="302"/>
        <v>0</v>
      </c>
      <c r="CP143" s="57">
        <f t="shared" si="302"/>
        <v>0</v>
      </c>
      <c r="CQ143" s="194">
        <f t="shared" ref="CQ143:CY143" si="303">+CQ36+CQ72+CQ108</f>
        <v>0</v>
      </c>
      <c r="CR143" s="117">
        <f t="shared" si="303"/>
        <v>0</v>
      </c>
      <c r="CS143" s="119">
        <f t="shared" si="303"/>
        <v>0</v>
      </c>
      <c r="CT143" s="194">
        <f t="shared" si="303"/>
        <v>0</v>
      </c>
      <c r="CU143" s="117">
        <f t="shared" si="303"/>
        <v>0</v>
      </c>
      <c r="CV143" s="119">
        <f t="shared" si="303"/>
        <v>0</v>
      </c>
      <c r="CW143" s="194">
        <f t="shared" si="303"/>
        <v>0</v>
      </c>
      <c r="CX143" s="117">
        <f t="shared" si="303"/>
        <v>0</v>
      </c>
      <c r="CY143" s="119">
        <f t="shared" si="303"/>
        <v>0</v>
      </c>
      <c r="CZ143" s="194">
        <f t="shared" si="302"/>
        <v>0</v>
      </c>
      <c r="DA143" s="117">
        <f t="shared" si="302"/>
        <v>0</v>
      </c>
      <c r="DB143" s="119">
        <f t="shared" si="302"/>
        <v>0</v>
      </c>
      <c r="DC143" s="116">
        <f t="shared" si="302"/>
        <v>0</v>
      </c>
      <c r="DD143" s="117">
        <f t="shared" si="302"/>
        <v>0</v>
      </c>
      <c r="DE143" s="119">
        <f t="shared" si="302"/>
        <v>0</v>
      </c>
      <c r="DF143" s="194">
        <f t="shared" si="302"/>
        <v>0</v>
      </c>
      <c r="DG143" s="117">
        <f t="shared" si="302"/>
        <v>0</v>
      </c>
      <c r="DH143" s="118">
        <f t="shared" si="302"/>
        <v>0</v>
      </c>
      <c r="DI143" s="116">
        <f t="shared" si="302"/>
        <v>0</v>
      </c>
      <c r="DJ143" s="117">
        <f t="shared" si="302"/>
        <v>0</v>
      </c>
      <c r="DK143" s="119">
        <f t="shared" si="302"/>
        <v>0</v>
      </c>
      <c r="DL143" s="194">
        <f t="shared" si="302"/>
        <v>0</v>
      </c>
      <c r="DM143" s="117">
        <f t="shared" si="302"/>
        <v>0</v>
      </c>
      <c r="DN143" s="118">
        <f t="shared" si="302"/>
        <v>0</v>
      </c>
      <c r="DO143" s="116">
        <f t="shared" si="302"/>
        <v>0</v>
      </c>
      <c r="DP143" s="117">
        <f t="shared" si="302"/>
        <v>0</v>
      </c>
      <c r="DQ143" s="119">
        <f t="shared" si="302"/>
        <v>0</v>
      </c>
      <c r="DR143" s="194">
        <f t="shared" si="302"/>
        <v>0</v>
      </c>
      <c r="DS143" s="117">
        <f t="shared" si="302"/>
        <v>0</v>
      </c>
      <c r="DT143" s="118">
        <f t="shared" si="302"/>
        <v>0</v>
      </c>
      <c r="DU143" s="116">
        <f t="shared" si="302"/>
        <v>0</v>
      </c>
      <c r="DV143" s="117">
        <f t="shared" si="302"/>
        <v>0</v>
      </c>
      <c r="DW143" s="119">
        <f t="shared" si="302"/>
        <v>0</v>
      </c>
      <c r="DX143" s="194">
        <f t="shared" si="302"/>
        <v>0</v>
      </c>
      <c r="DY143" s="117">
        <f t="shared" si="302"/>
        <v>0</v>
      </c>
      <c r="DZ143" s="118">
        <f t="shared" si="302"/>
        <v>0</v>
      </c>
      <c r="EA143" s="116">
        <f t="shared" si="302"/>
        <v>0</v>
      </c>
      <c r="EB143" s="117">
        <f t="shared" si="302"/>
        <v>0</v>
      </c>
      <c r="EC143" s="119">
        <f t="shared" si="302"/>
        <v>0</v>
      </c>
      <c r="ED143" s="194">
        <f t="shared" si="302"/>
        <v>0</v>
      </c>
      <c r="EE143" s="117">
        <f t="shared" si="302"/>
        <v>0</v>
      </c>
      <c r="EF143" s="118">
        <f t="shared" si="302"/>
        <v>0</v>
      </c>
      <c r="EG143" s="116">
        <f t="shared" si="302"/>
        <v>0</v>
      </c>
      <c r="EH143" s="117">
        <f t="shared" si="302"/>
        <v>0</v>
      </c>
      <c r="EI143" s="119">
        <f t="shared" si="302"/>
        <v>0</v>
      </c>
      <c r="EJ143" s="194">
        <f t="shared" si="302"/>
        <v>0</v>
      </c>
      <c r="EK143" s="117">
        <f t="shared" si="302"/>
        <v>0</v>
      </c>
      <c r="EL143" s="118">
        <f t="shared" si="302"/>
        <v>0</v>
      </c>
      <c r="EM143" s="116">
        <f t="shared" ref="EM143:GX143" si="304">+EM36+EM72+EM108</f>
        <v>0</v>
      </c>
      <c r="EN143" s="117">
        <f t="shared" si="304"/>
        <v>0</v>
      </c>
      <c r="EO143" s="119">
        <f t="shared" si="304"/>
        <v>0</v>
      </c>
      <c r="EP143" s="194">
        <f t="shared" si="304"/>
        <v>0</v>
      </c>
      <c r="EQ143" s="117">
        <f t="shared" si="304"/>
        <v>0</v>
      </c>
      <c r="ER143" s="118">
        <f t="shared" si="304"/>
        <v>0</v>
      </c>
      <c r="ES143" s="116">
        <f t="shared" si="304"/>
        <v>0</v>
      </c>
      <c r="ET143" s="117">
        <f t="shared" si="304"/>
        <v>0</v>
      </c>
      <c r="EU143" s="119">
        <f t="shared" si="304"/>
        <v>0</v>
      </c>
      <c r="EV143" s="194">
        <f t="shared" si="304"/>
        <v>0</v>
      </c>
      <c r="EW143" s="117">
        <f t="shared" si="304"/>
        <v>0</v>
      </c>
      <c r="EX143" s="118">
        <f t="shared" si="304"/>
        <v>0</v>
      </c>
      <c r="EY143" s="116">
        <f t="shared" si="304"/>
        <v>0</v>
      </c>
      <c r="EZ143" s="117">
        <f t="shared" si="304"/>
        <v>0</v>
      </c>
      <c r="FA143" s="119">
        <f t="shared" si="304"/>
        <v>0</v>
      </c>
      <c r="FB143" s="194">
        <f t="shared" si="304"/>
        <v>0</v>
      </c>
      <c r="FC143" s="117">
        <f t="shared" si="304"/>
        <v>0</v>
      </c>
      <c r="FD143" s="118">
        <f t="shared" si="304"/>
        <v>0</v>
      </c>
      <c r="FE143" s="116">
        <f t="shared" si="304"/>
        <v>0</v>
      </c>
      <c r="FF143" s="117">
        <f t="shared" si="304"/>
        <v>0</v>
      </c>
      <c r="FG143" s="119">
        <f t="shared" si="304"/>
        <v>0</v>
      </c>
      <c r="FH143" s="194">
        <f t="shared" si="304"/>
        <v>0</v>
      </c>
      <c r="FI143" s="117">
        <f t="shared" si="304"/>
        <v>0</v>
      </c>
      <c r="FJ143" s="118">
        <f t="shared" si="304"/>
        <v>0</v>
      </c>
      <c r="FK143" s="116">
        <f t="shared" si="304"/>
        <v>0</v>
      </c>
      <c r="FL143" s="117">
        <f t="shared" si="304"/>
        <v>0</v>
      </c>
      <c r="FM143" s="119">
        <f t="shared" si="304"/>
        <v>0</v>
      </c>
      <c r="FN143" s="194">
        <f t="shared" si="304"/>
        <v>0</v>
      </c>
      <c r="FO143" s="117">
        <f t="shared" si="304"/>
        <v>0</v>
      </c>
      <c r="FP143" s="118">
        <f t="shared" si="304"/>
        <v>0</v>
      </c>
      <c r="FQ143" s="116">
        <f t="shared" si="304"/>
        <v>0</v>
      </c>
      <c r="FR143" s="117">
        <f t="shared" si="304"/>
        <v>0</v>
      </c>
      <c r="FS143" s="119">
        <f t="shared" si="304"/>
        <v>0</v>
      </c>
      <c r="FT143" s="194">
        <f t="shared" si="304"/>
        <v>0</v>
      </c>
      <c r="FU143" s="117">
        <f t="shared" si="304"/>
        <v>0</v>
      </c>
      <c r="FV143" s="118">
        <f t="shared" si="304"/>
        <v>0</v>
      </c>
      <c r="FW143" s="116">
        <f t="shared" si="304"/>
        <v>0</v>
      </c>
      <c r="FX143" s="117">
        <f t="shared" si="304"/>
        <v>0</v>
      </c>
      <c r="FY143" s="119">
        <f t="shared" si="304"/>
        <v>0</v>
      </c>
      <c r="FZ143" s="194">
        <f t="shared" si="304"/>
        <v>0</v>
      </c>
      <c r="GA143" s="117">
        <f t="shared" si="304"/>
        <v>0</v>
      </c>
      <c r="GB143" s="118">
        <f t="shared" si="304"/>
        <v>0</v>
      </c>
      <c r="GC143" s="116">
        <f t="shared" si="304"/>
        <v>0</v>
      </c>
      <c r="GD143" s="117">
        <f t="shared" si="304"/>
        <v>0</v>
      </c>
      <c r="GE143" s="119">
        <f t="shared" si="304"/>
        <v>0</v>
      </c>
      <c r="GF143" s="194">
        <f t="shared" si="304"/>
        <v>0</v>
      </c>
      <c r="GG143" s="117">
        <f t="shared" si="304"/>
        <v>0</v>
      </c>
      <c r="GH143" s="118">
        <f t="shared" si="304"/>
        <v>0</v>
      </c>
      <c r="GI143" s="116">
        <f t="shared" si="304"/>
        <v>0</v>
      </c>
      <c r="GJ143" s="117">
        <f t="shared" si="304"/>
        <v>0</v>
      </c>
      <c r="GK143" s="118">
        <f t="shared" si="304"/>
        <v>0</v>
      </c>
      <c r="GL143" s="239">
        <f t="shared" si="304"/>
        <v>0</v>
      </c>
      <c r="GM143" s="43">
        <f t="shared" si="304"/>
        <v>0</v>
      </c>
      <c r="GN143" s="283">
        <f t="shared" si="304"/>
        <v>0</v>
      </c>
      <c r="GO143" s="239">
        <f t="shared" si="304"/>
        <v>0</v>
      </c>
      <c r="GP143" s="43">
        <f t="shared" si="304"/>
        <v>0</v>
      </c>
      <c r="GQ143" s="57">
        <f t="shared" si="304"/>
        <v>0</v>
      </c>
      <c r="GR143" s="194">
        <f t="shared" si="304"/>
        <v>0</v>
      </c>
      <c r="GS143" s="117">
        <f t="shared" si="304"/>
        <v>0</v>
      </c>
      <c r="GT143" s="119">
        <f t="shared" si="304"/>
        <v>0</v>
      </c>
      <c r="GU143" s="194">
        <f t="shared" si="304"/>
        <v>0</v>
      </c>
      <c r="GV143" s="117">
        <f t="shared" si="304"/>
        <v>0</v>
      </c>
      <c r="GW143" s="119">
        <f t="shared" si="304"/>
        <v>0</v>
      </c>
      <c r="GX143" s="194">
        <f t="shared" si="304"/>
        <v>0</v>
      </c>
      <c r="GY143" s="117">
        <f t="shared" ref="GY143:HC143" si="305">+GY36+GY72+GY108</f>
        <v>0</v>
      </c>
      <c r="GZ143" s="119">
        <f t="shared" si="305"/>
        <v>0</v>
      </c>
      <c r="HA143" s="194">
        <f t="shared" si="305"/>
        <v>0</v>
      </c>
      <c r="HB143" s="117">
        <f t="shared" si="305"/>
        <v>0</v>
      </c>
      <c r="HC143" s="119">
        <f t="shared" si="305"/>
        <v>0</v>
      </c>
      <c r="HD143" s="368">
        <f t="shared" si="139"/>
        <v>0</v>
      </c>
      <c r="HE143" s="369">
        <f t="shared" si="140"/>
        <v>0</v>
      </c>
      <c r="HF143" s="369">
        <f t="shared" si="141"/>
        <v>0</v>
      </c>
      <c r="HG143" s="145">
        <f t="shared" si="132"/>
        <v>0</v>
      </c>
    </row>
    <row r="144" spans="1:215" ht="15.75" thickBot="1">
      <c r="A144" s="238">
        <v>30</v>
      </c>
      <c r="B144" s="116">
        <f t="shared" ref="B144:AN144" si="306">+B37+B73+B109</f>
        <v>0</v>
      </c>
      <c r="C144" s="117">
        <f t="shared" si="306"/>
        <v>0</v>
      </c>
      <c r="D144" s="119">
        <f t="shared" si="306"/>
        <v>0</v>
      </c>
      <c r="E144" s="194">
        <f t="shared" si="306"/>
        <v>0</v>
      </c>
      <c r="F144" s="117">
        <f t="shared" si="306"/>
        <v>0</v>
      </c>
      <c r="G144" s="118">
        <f t="shared" si="306"/>
        <v>0</v>
      </c>
      <c r="H144" s="116">
        <f t="shared" si="306"/>
        <v>0</v>
      </c>
      <c r="I144" s="117">
        <f t="shared" si="306"/>
        <v>0</v>
      </c>
      <c r="J144" s="119">
        <f t="shared" si="306"/>
        <v>0</v>
      </c>
      <c r="K144" s="194">
        <f t="shared" si="306"/>
        <v>0</v>
      </c>
      <c r="L144" s="117">
        <f t="shared" si="306"/>
        <v>0</v>
      </c>
      <c r="M144" s="118">
        <f t="shared" si="306"/>
        <v>0</v>
      </c>
      <c r="N144" s="116">
        <f t="shared" si="306"/>
        <v>0</v>
      </c>
      <c r="O144" s="117">
        <f t="shared" si="306"/>
        <v>0</v>
      </c>
      <c r="P144" s="119">
        <f t="shared" si="306"/>
        <v>0</v>
      </c>
      <c r="Q144" s="194">
        <f t="shared" si="306"/>
        <v>0</v>
      </c>
      <c r="R144" s="117">
        <f t="shared" si="306"/>
        <v>0</v>
      </c>
      <c r="S144" s="118">
        <f t="shared" si="306"/>
        <v>0</v>
      </c>
      <c r="T144" s="116">
        <f t="shared" si="306"/>
        <v>0</v>
      </c>
      <c r="U144" s="117">
        <f t="shared" si="306"/>
        <v>0</v>
      </c>
      <c r="V144" s="119">
        <f t="shared" si="306"/>
        <v>0</v>
      </c>
      <c r="W144" s="194">
        <f t="shared" si="306"/>
        <v>0</v>
      </c>
      <c r="X144" s="117">
        <f t="shared" si="306"/>
        <v>0</v>
      </c>
      <c r="Y144" s="118">
        <f t="shared" si="306"/>
        <v>0</v>
      </c>
      <c r="Z144" s="116">
        <f t="shared" si="306"/>
        <v>0</v>
      </c>
      <c r="AA144" s="117">
        <f t="shared" si="306"/>
        <v>0</v>
      </c>
      <c r="AB144" s="119">
        <f t="shared" si="306"/>
        <v>0</v>
      </c>
      <c r="AC144" s="194">
        <f t="shared" si="306"/>
        <v>0</v>
      </c>
      <c r="AD144" s="117">
        <f t="shared" si="306"/>
        <v>0</v>
      </c>
      <c r="AE144" s="118">
        <f t="shared" si="306"/>
        <v>0</v>
      </c>
      <c r="AF144" s="116">
        <f t="shared" si="306"/>
        <v>0</v>
      </c>
      <c r="AG144" s="117">
        <f t="shared" si="306"/>
        <v>0</v>
      </c>
      <c r="AH144" s="119">
        <f t="shared" si="306"/>
        <v>0</v>
      </c>
      <c r="AI144" s="194">
        <f t="shared" si="306"/>
        <v>0</v>
      </c>
      <c r="AJ144" s="117">
        <f t="shared" si="306"/>
        <v>0</v>
      </c>
      <c r="AK144" s="118">
        <f t="shared" si="306"/>
        <v>0</v>
      </c>
      <c r="AL144" s="116">
        <f t="shared" si="306"/>
        <v>0</v>
      </c>
      <c r="AM144" s="117">
        <f t="shared" si="306"/>
        <v>0</v>
      </c>
      <c r="AN144" s="119">
        <f t="shared" si="306"/>
        <v>0</v>
      </c>
      <c r="AO144" s="194">
        <f t="shared" ref="AO144:BZ144" si="307">+AO37+AO73+AO109</f>
        <v>0</v>
      </c>
      <c r="AP144" s="117">
        <f t="shared" si="307"/>
        <v>0</v>
      </c>
      <c r="AQ144" s="118">
        <f t="shared" si="307"/>
        <v>0</v>
      </c>
      <c r="AR144" s="116">
        <f t="shared" si="307"/>
        <v>0</v>
      </c>
      <c r="AS144" s="117">
        <f t="shared" si="307"/>
        <v>0</v>
      </c>
      <c r="AT144" s="119">
        <f t="shared" si="307"/>
        <v>0</v>
      </c>
      <c r="AU144" s="194">
        <f t="shared" si="307"/>
        <v>0</v>
      </c>
      <c r="AV144" s="117">
        <f t="shared" si="307"/>
        <v>0</v>
      </c>
      <c r="AW144" s="118">
        <f t="shared" si="307"/>
        <v>0</v>
      </c>
      <c r="AX144" s="116">
        <f t="shared" si="307"/>
        <v>0</v>
      </c>
      <c r="AY144" s="117">
        <f t="shared" si="307"/>
        <v>0</v>
      </c>
      <c r="AZ144" s="119">
        <f t="shared" si="307"/>
        <v>0</v>
      </c>
      <c r="BA144" s="194">
        <f t="shared" si="307"/>
        <v>0</v>
      </c>
      <c r="BB144" s="117">
        <f t="shared" si="307"/>
        <v>0</v>
      </c>
      <c r="BC144" s="118">
        <f t="shared" si="307"/>
        <v>0</v>
      </c>
      <c r="BD144" s="116">
        <f t="shared" si="307"/>
        <v>0</v>
      </c>
      <c r="BE144" s="117">
        <f t="shared" si="307"/>
        <v>0</v>
      </c>
      <c r="BF144" s="119">
        <f t="shared" si="307"/>
        <v>0</v>
      </c>
      <c r="BG144" s="194">
        <f t="shared" si="307"/>
        <v>0</v>
      </c>
      <c r="BH144" s="117">
        <f t="shared" si="307"/>
        <v>0</v>
      </c>
      <c r="BI144" s="118">
        <f t="shared" si="307"/>
        <v>0</v>
      </c>
      <c r="BJ144" s="116">
        <f t="shared" si="307"/>
        <v>0</v>
      </c>
      <c r="BK144" s="117">
        <f t="shared" si="307"/>
        <v>0</v>
      </c>
      <c r="BL144" s="119">
        <f t="shared" si="307"/>
        <v>0</v>
      </c>
      <c r="BM144" s="194">
        <f t="shared" si="307"/>
        <v>0</v>
      </c>
      <c r="BN144" s="117">
        <f t="shared" si="307"/>
        <v>0</v>
      </c>
      <c r="BO144" s="118">
        <f t="shared" si="307"/>
        <v>0</v>
      </c>
      <c r="BP144" s="116">
        <f t="shared" si="307"/>
        <v>0</v>
      </c>
      <c r="BQ144" s="117">
        <f t="shared" si="307"/>
        <v>0</v>
      </c>
      <c r="BR144" s="119">
        <f t="shared" si="307"/>
        <v>0</v>
      </c>
      <c r="BS144" s="194">
        <f t="shared" si="307"/>
        <v>0</v>
      </c>
      <c r="BT144" s="117">
        <f t="shared" si="307"/>
        <v>0</v>
      </c>
      <c r="BU144" s="118">
        <f t="shared" si="307"/>
        <v>0</v>
      </c>
      <c r="BV144" s="116">
        <f t="shared" si="307"/>
        <v>0</v>
      </c>
      <c r="BW144" s="117">
        <f t="shared" si="307"/>
        <v>0</v>
      </c>
      <c r="BX144" s="119">
        <f t="shared" si="307"/>
        <v>0</v>
      </c>
      <c r="BY144" s="194">
        <f t="shared" si="307"/>
        <v>0</v>
      </c>
      <c r="BZ144" s="117">
        <f t="shared" si="307"/>
        <v>0</v>
      </c>
      <c r="CA144" s="118">
        <f t="shared" ref="CA144:EL144" si="308">+CA37+CA73+CA109</f>
        <v>0</v>
      </c>
      <c r="CB144" s="116">
        <f t="shared" si="308"/>
        <v>0</v>
      </c>
      <c r="CC144" s="117">
        <f t="shared" si="308"/>
        <v>0</v>
      </c>
      <c r="CD144" s="119">
        <f t="shared" si="308"/>
        <v>0</v>
      </c>
      <c r="CE144" s="194">
        <f t="shared" si="308"/>
        <v>0</v>
      </c>
      <c r="CF144" s="117">
        <f t="shared" si="308"/>
        <v>0</v>
      </c>
      <c r="CG144" s="118">
        <f t="shared" si="308"/>
        <v>0</v>
      </c>
      <c r="CH144" s="116">
        <f t="shared" si="308"/>
        <v>0</v>
      </c>
      <c r="CI144" s="117">
        <f t="shared" si="308"/>
        <v>0</v>
      </c>
      <c r="CJ144" s="118">
        <f t="shared" si="308"/>
        <v>0</v>
      </c>
      <c r="CK144" s="239">
        <f t="shared" si="308"/>
        <v>0</v>
      </c>
      <c r="CL144" s="43">
        <f t="shared" si="308"/>
        <v>0</v>
      </c>
      <c r="CM144" s="283">
        <f t="shared" si="308"/>
        <v>0</v>
      </c>
      <c r="CN144" s="239">
        <f t="shared" si="308"/>
        <v>0</v>
      </c>
      <c r="CO144" s="43">
        <f t="shared" si="308"/>
        <v>0</v>
      </c>
      <c r="CP144" s="57">
        <f t="shared" si="308"/>
        <v>0</v>
      </c>
      <c r="CQ144" s="194">
        <f t="shared" ref="CQ144:CY144" si="309">+CQ37+CQ73+CQ109</f>
        <v>0</v>
      </c>
      <c r="CR144" s="117">
        <f t="shared" si="309"/>
        <v>0</v>
      </c>
      <c r="CS144" s="119">
        <f t="shared" si="309"/>
        <v>0</v>
      </c>
      <c r="CT144" s="194">
        <f t="shared" si="309"/>
        <v>0</v>
      </c>
      <c r="CU144" s="117">
        <f t="shared" si="309"/>
        <v>0</v>
      </c>
      <c r="CV144" s="119">
        <f t="shared" si="309"/>
        <v>0</v>
      </c>
      <c r="CW144" s="194">
        <f t="shared" si="309"/>
        <v>0</v>
      </c>
      <c r="CX144" s="117">
        <f t="shared" si="309"/>
        <v>0</v>
      </c>
      <c r="CY144" s="119">
        <f t="shared" si="309"/>
        <v>0</v>
      </c>
      <c r="CZ144" s="194">
        <f t="shared" si="308"/>
        <v>0</v>
      </c>
      <c r="DA144" s="117">
        <f t="shared" si="308"/>
        <v>0</v>
      </c>
      <c r="DB144" s="119">
        <f t="shared" si="308"/>
        <v>0</v>
      </c>
      <c r="DC144" s="116">
        <f t="shared" si="308"/>
        <v>0</v>
      </c>
      <c r="DD144" s="117">
        <f t="shared" si="308"/>
        <v>0</v>
      </c>
      <c r="DE144" s="119">
        <f t="shared" si="308"/>
        <v>0</v>
      </c>
      <c r="DF144" s="194">
        <f t="shared" si="308"/>
        <v>0</v>
      </c>
      <c r="DG144" s="117">
        <f t="shared" si="308"/>
        <v>0</v>
      </c>
      <c r="DH144" s="118">
        <f t="shared" si="308"/>
        <v>0</v>
      </c>
      <c r="DI144" s="116">
        <f t="shared" si="308"/>
        <v>0</v>
      </c>
      <c r="DJ144" s="117">
        <f t="shared" si="308"/>
        <v>0</v>
      </c>
      <c r="DK144" s="119">
        <f t="shared" si="308"/>
        <v>0</v>
      </c>
      <c r="DL144" s="194">
        <f t="shared" si="308"/>
        <v>0</v>
      </c>
      <c r="DM144" s="117">
        <f t="shared" si="308"/>
        <v>0</v>
      </c>
      <c r="DN144" s="118">
        <f t="shared" si="308"/>
        <v>0</v>
      </c>
      <c r="DO144" s="116">
        <f t="shared" si="308"/>
        <v>0</v>
      </c>
      <c r="DP144" s="117">
        <f t="shared" si="308"/>
        <v>0</v>
      </c>
      <c r="DQ144" s="119">
        <f t="shared" si="308"/>
        <v>0</v>
      </c>
      <c r="DR144" s="194">
        <f t="shared" si="308"/>
        <v>0</v>
      </c>
      <c r="DS144" s="117">
        <f t="shared" si="308"/>
        <v>0</v>
      </c>
      <c r="DT144" s="118">
        <f t="shared" si="308"/>
        <v>0</v>
      </c>
      <c r="DU144" s="116">
        <f t="shared" si="308"/>
        <v>0</v>
      </c>
      <c r="DV144" s="117">
        <f t="shared" si="308"/>
        <v>0</v>
      </c>
      <c r="DW144" s="119">
        <f t="shared" si="308"/>
        <v>0</v>
      </c>
      <c r="DX144" s="194">
        <f t="shared" si="308"/>
        <v>0</v>
      </c>
      <c r="DY144" s="117">
        <f t="shared" si="308"/>
        <v>0</v>
      </c>
      <c r="DZ144" s="118">
        <f t="shared" si="308"/>
        <v>0</v>
      </c>
      <c r="EA144" s="116">
        <f t="shared" si="308"/>
        <v>0</v>
      </c>
      <c r="EB144" s="117">
        <f t="shared" si="308"/>
        <v>0</v>
      </c>
      <c r="EC144" s="119">
        <f t="shared" si="308"/>
        <v>0</v>
      </c>
      <c r="ED144" s="194">
        <f t="shared" si="308"/>
        <v>0</v>
      </c>
      <c r="EE144" s="117">
        <f t="shared" si="308"/>
        <v>0</v>
      </c>
      <c r="EF144" s="118">
        <f t="shared" si="308"/>
        <v>0</v>
      </c>
      <c r="EG144" s="116">
        <f t="shared" si="308"/>
        <v>0</v>
      </c>
      <c r="EH144" s="117">
        <f t="shared" si="308"/>
        <v>0</v>
      </c>
      <c r="EI144" s="119">
        <f t="shared" si="308"/>
        <v>0</v>
      </c>
      <c r="EJ144" s="194">
        <f t="shared" si="308"/>
        <v>0</v>
      </c>
      <c r="EK144" s="117">
        <f t="shared" si="308"/>
        <v>0</v>
      </c>
      <c r="EL144" s="118">
        <f t="shared" si="308"/>
        <v>0</v>
      </c>
      <c r="EM144" s="116">
        <f t="shared" ref="EM144:GX144" si="310">+EM37+EM73+EM109</f>
        <v>0</v>
      </c>
      <c r="EN144" s="117">
        <f t="shared" si="310"/>
        <v>0</v>
      </c>
      <c r="EO144" s="119">
        <f t="shared" si="310"/>
        <v>0</v>
      </c>
      <c r="EP144" s="194">
        <f t="shared" si="310"/>
        <v>0</v>
      </c>
      <c r="EQ144" s="117">
        <f t="shared" si="310"/>
        <v>0</v>
      </c>
      <c r="ER144" s="118">
        <f t="shared" si="310"/>
        <v>0</v>
      </c>
      <c r="ES144" s="116">
        <f t="shared" si="310"/>
        <v>0</v>
      </c>
      <c r="ET144" s="117">
        <f t="shared" si="310"/>
        <v>0</v>
      </c>
      <c r="EU144" s="119">
        <f t="shared" si="310"/>
        <v>0</v>
      </c>
      <c r="EV144" s="194">
        <f t="shared" si="310"/>
        <v>0</v>
      </c>
      <c r="EW144" s="117">
        <f t="shared" si="310"/>
        <v>0</v>
      </c>
      <c r="EX144" s="118">
        <f t="shared" si="310"/>
        <v>0</v>
      </c>
      <c r="EY144" s="116">
        <f t="shared" si="310"/>
        <v>0</v>
      </c>
      <c r="EZ144" s="117">
        <f t="shared" si="310"/>
        <v>0</v>
      </c>
      <c r="FA144" s="119">
        <f t="shared" si="310"/>
        <v>0</v>
      </c>
      <c r="FB144" s="194">
        <f t="shared" si="310"/>
        <v>0</v>
      </c>
      <c r="FC144" s="117">
        <f t="shared" si="310"/>
        <v>0</v>
      </c>
      <c r="FD144" s="118">
        <f t="shared" si="310"/>
        <v>0</v>
      </c>
      <c r="FE144" s="116">
        <f t="shared" si="310"/>
        <v>0</v>
      </c>
      <c r="FF144" s="117">
        <f t="shared" si="310"/>
        <v>0</v>
      </c>
      <c r="FG144" s="119">
        <f t="shared" si="310"/>
        <v>0</v>
      </c>
      <c r="FH144" s="194">
        <f t="shared" si="310"/>
        <v>0</v>
      </c>
      <c r="FI144" s="117">
        <f t="shared" si="310"/>
        <v>0</v>
      </c>
      <c r="FJ144" s="118">
        <f t="shared" si="310"/>
        <v>0</v>
      </c>
      <c r="FK144" s="116">
        <f t="shared" si="310"/>
        <v>0</v>
      </c>
      <c r="FL144" s="117">
        <f t="shared" si="310"/>
        <v>0</v>
      </c>
      <c r="FM144" s="119">
        <f t="shared" si="310"/>
        <v>0</v>
      </c>
      <c r="FN144" s="194">
        <f t="shared" si="310"/>
        <v>0</v>
      </c>
      <c r="FO144" s="117">
        <f t="shared" si="310"/>
        <v>0</v>
      </c>
      <c r="FP144" s="118">
        <f t="shared" si="310"/>
        <v>0</v>
      </c>
      <c r="FQ144" s="116">
        <f t="shared" si="310"/>
        <v>0</v>
      </c>
      <c r="FR144" s="117">
        <f t="shared" si="310"/>
        <v>0</v>
      </c>
      <c r="FS144" s="119">
        <f t="shared" si="310"/>
        <v>0</v>
      </c>
      <c r="FT144" s="194">
        <f t="shared" si="310"/>
        <v>0</v>
      </c>
      <c r="FU144" s="117">
        <f t="shared" si="310"/>
        <v>0</v>
      </c>
      <c r="FV144" s="118">
        <f t="shared" si="310"/>
        <v>0</v>
      </c>
      <c r="FW144" s="116">
        <f t="shared" si="310"/>
        <v>0</v>
      </c>
      <c r="FX144" s="117">
        <f t="shared" si="310"/>
        <v>0</v>
      </c>
      <c r="FY144" s="119">
        <f t="shared" si="310"/>
        <v>0</v>
      </c>
      <c r="FZ144" s="194">
        <f t="shared" si="310"/>
        <v>0</v>
      </c>
      <c r="GA144" s="117">
        <f t="shared" si="310"/>
        <v>0</v>
      </c>
      <c r="GB144" s="118">
        <f t="shared" si="310"/>
        <v>0</v>
      </c>
      <c r="GC144" s="116">
        <f t="shared" si="310"/>
        <v>0</v>
      </c>
      <c r="GD144" s="117">
        <f t="shared" si="310"/>
        <v>0</v>
      </c>
      <c r="GE144" s="119">
        <f t="shared" si="310"/>
        <v>0</v>
      </c>
      <c r="GF144" s="194">
        <f t="shared" si="310"/>
        <v>0</v>
      </c>
      <c r="GG144" s="117">
        <f t="shared" si="310"/>
        <v>0</v>
      </c>
      <c r="GH144" s="118">
        <f t="shared" si="310"/>
        <v>0</v>
      </c>
      <c r="GI144" s="116">
        <f t="shared" si="310"/>
        <v>0</v>
      </c>
      <c r="GJ144" s="117">
        <f t="shared" si="310"/>
        <v>0</v>
      </c>
      <c r="GK144" s="118">
        <f t="shared" si="310"/>
        <v>0</v>
      </c>
      <c r="GL144" s="239">
        <f t="shared" si="310"/>
        <v>0</v>
      </c>
      <c r="GM144" s="43">
        <f t="shared" si="310"/>
        <v>0</v>
      </c>
      <c r="GN144" s="283">
        <f t="shared" si="310"/>
        <v>0</v>
      </c>
      <c r="GO144" s="239">
        <f t="shared" si="310"/>
        <v>0</v>
      </c>
      <c r="GP144" s="43">
        <f t="shared" si="310"/>
        <v>0</v>
      </c>
      <c r="GQ144" s="57">
        <f t="shared" si="310"/>
        <v>0</v>
      </c>
      <c r="GR144" s="194">
        <f t="shared" si="310"/>
        <v>0</v>
      </c>
      <c r="GS144" s="117">
        <f t="shared" si="310"/>
        <v>0</v>
      </c>
      <c r="GT144" s="119">
        <f t="shared" si="310"/>
        <v>0</v>
      </c>
      <c r="GU144" s="194">
        <f t="shared" si="310"/>
        <v>0</v>
      </c>
      <c r="GV144" s="117">
        <f t="shared" si="310"/>
        <v>0</v>
      </c>
      <c r="GW144" s="119">
        <f t="shared" si="310"/>
        <v>0</v>
      </c>
      <c r="GX144" s="194">
        <f t="shared" si="310"/>
        <v>0</v>
      </c>
      <c r="GY144" s="117">
        <f t="shared" ref="GY144:HC144" si="311">+GY37+GY73+GY109</f>
        <v>0</v>
      </c>
      <c r="GZ144" s="119">
        <f t="shared" si="311"/>
        <v>0</v>
      </c>
      <c r="HA144" s="194">
        <f t="shared" si="311"/>
        <v>0</v>
      </c>
      <c r="HB144" s="117">
        <f t="shared" si="311"/>
        <v>0</v>
      </c>
      <c r="HC144" s="119">
        <f t="shared" si="311"/>
        <v>0</v>
      </c>
      <c r="HD144" s="368">
        <f t="shared" si="139"/>
        <v>0</v>
      </c>
      <c r="HE144" s="369">
        <f t="shared" si="140"/>
        <v>0</v>
      </c>
      <c r="HF144" s="369">
        <f t="shared" si="141"/>
        <v>0</v>
      </c>
      <c r="HG144" s="145">
        <f t="shared" si="132"/>
        <v>0</v>
      </c>
    </row>
    <row r="145" spans="1:215" ht="15.75" thickBot="1">
      <c r="A145" s="353">
        <v>31</v>
      </c>
      <c r="B145" s="116">
        <f t="shared" ref="B145:AN145" si="312">+B38+B74+B110</f>
        <v>0</v>
      </c>
      <c r="C145" s="117">
        <f t="shared" si="312"/>
        <v>0</v>
      </c>
      <c r="D145" s="119">
        <f t="shared" si="312"/>
        <v>0</v>
      </c>
      <c r="E145" s="194">
        <f t="shared" si="312"/>
        <v>0</v>
      </c>
      <c r="F145" s="117">
        <f t="shared" si="312"/>
        <v>0</v>
      </c>
      <c r="G145" s="118">
        <f t="shared" si="312"/>
        <v>0</v>
      </c>
      <c r="H145" s="116">
        <f t="shared" si="312"/>
        <v>0</v>
      </c>
      <c r="I145" s="117">
        <f t="shared" si="312"/>
        <v>0</v>
      </c>
      <c r="J145" s="119">
        <f t="shared" si="312"/>
        <v>0</v>
      </c>
      <c r="K145" s="194">
        <f t="shared" si="312"/>
        <v>0</v>
      </c>
      <c r="L145" s="117">
        <f t="shared" si="312"/>
        <v>0</v>
      </c>
      <c r="M145" s="118">
        <f t="shared" si="312"/>
        <v>0</v>
      </c>
      <c r="N145" s="116">
        <f t="shared" si="312"/>
        <v>0</v>
      </c>
      <c r="O145" s="117">
        <f t="shared" si="312"/>
        <v>0</v>
      </c>
      <c r="P145" s="119">
        <f t="shared" si="312"/>
        <v>0</v>
      </c>
      <c r="Q145" s="194">
        <f t="shared" si="312"/>
        <v>0</v>
      </c>
      <c r="R145" s="117">
        <f t="shared" si="312"/>
        <v>0</v>
      </c>
      <c r="S145" s="118">
        <f t="shared" si="312"/>
        <v>0</v>
      </c>
      <c r="T145" s="116">
        <f t="shared" si="312"/>
        <v>0</v>
      </c>
      <c r="U145" s="117">
        <f t="shared" si="312"/>
        <v>0</v>
      </c>
      <c r="V145" s="119">
        <f t="shared" si="312"/>
        <v>0</v>
      </c>
      <c r="W145" s="194">
        <f t="shared" si="312"/>
        <v>0</v>
      </c>
      <c r="X145" s="117">
        <f t="shared" si="312"/>
        <v>0</v>
      </c>
      <c r="Y145" s="118">
        <f t="shared" si="312"/>
        <v>0</v>
      </c>
      <c r="Z145" s="116">
        <f t="shared" si="312"/>
        <v>0</v>
      </c>
      <c r="AA145" s="117">
        <f t="shared" si="312"/>
        <v>0</v>
      </c>
      <c r="AB145" s="119">
        <f t="shared" si="312"/>
        <v>0</v>
      </c>
      <c r="AC145" s="194">
        <f t="shared" si="312"/>
        <v>0</v>
      </c>
      <c r="AD145" s="117">
        <f t="shared" si="312"/>
        <v>0</v>
      </c>
      <c r="AE145" s="118">
        <f t="shared" si="312"/>
        <v>0</v>
      </c>
      <c r="AF145" s="116">
        <f t="shared" si="312"/>
        <v>0</v>
      </c>
      <c r="AG145" s="117">
        <f t="shared" si="312"/>
        <v>0</v>
      </c>
      <c r="AH145" s="119">
        <f t="shared" si="312"/>
        <v>0</v>
      </c>
      <c r="AI145" s="194">
        <f t="shared" si="312"/>
        <v>0</v>
      </c>
      <c r="AJ145" s="117">
        <f t="shared" si="312"/>
        <v>0</v>
      </c>
      <c r="AK145" s="118">
        <f t="shared" si="312"/>
        <v>0</v>
      </c>
      <c r="AL145" s="116">
        <f t="shared" si="312"/>
        <v>0</v>
      </c>
      <c r="AM145" s="117">
        <f t="shared" si="312"/>
        <v>0</v>
      </c>
      <c r="AN145" s="119">
        <f t="shared" si="312"/>
        <v>0</v>
      </c>
      <c r="AO145" s="194">
        <f t="shared" ref="AO145:BZ145" si="313">+AO38+AO74+AO110</f>
        <v>0</v>
      </c>
      <c r="AP145" s="117">
        <f t="shared" si="313"/>
        <v>0</v>
      </c>
      <c r="AQ145" s="118">
        <f t="shared" si="313"/>
        <v>0</v>
      </c>
      <c r="AR145" s="116">
        <f t="shared" si="313"/>
        <v>0</v>
      </c>
      <c r="AS145" s="117">
        <f t="shared" si="313"/>
        <v>0</v>
      </c>
      <c r="AT145" s="119">
        <f t="shared" si="313"/>
        <v>0</v>
      </c>
      <c r="AU145" s="194">
        <f t="shared" si="313"/>
        <v>0</v>
      </c>
      <c r="AV145" s="117">
        <f t="shared" si="313"/>
        <v>0</v>
      </c>
      <c r="AW145" s="118">
        <f t="shared" si="313"/>
        <v>0</v>
      </c>
      <c r="AX145" s="116">
        <f t="shared" si="313"/>
        <v>0</v>
      </c>
      <c r="AY145" s="117">
        <f t="shared" si="313"/>
        <v>0</v>
      </c>
      <c r="AZ145" s="119">
        <f t="shared" si="313"/>
        <v>0</v>
      </c>
      <c r="BA145" s="194">
        <f t="shared" si="313"/>
        <v>0</v>
      </c>
      <c r="BB145" s="117">
        <f t="shared" si="313"/>
        <v>0</v>
      </c>
      <c r="BC145" s="118">
        <f t="shared" si="313"/>
        <v>0</v>
      </c>
      <c r="BD145" s="116">
        <f t="shared" si="313"/>
        <v>0</v>
      </c>
      <c r="BE145" s="117">
        <f t="shared" si="313"/>
        <v>0</v>
      </c>
      <c r="BF145" s="119">
        <f t="shared" si="313"/>
        <v>0</v>
      </c>
      <c r="BG145" s="194">
        <f t="shared" si="313"/>
        <v>0</v>
      </c>
      <c r="BH145" s="117">
        <f t="shared" si="313"/>
        <v>0</v>
      </c>
      <c r="BI145" s="118">
        <f t="shared" si="313"/>
        <v>0</v>
      </c>
      <c r="BJ145" s="116">
        <f t="shared" si="313"/>
        <v>0</v>
      </c>
      <c r="BK145" s="117">
        <f t="shared" si="313"/>
        <v>0</v>
      </c>
      <c r="BL145" s="119">
        <f t="shared" si="313"/>
        <v>0</v>
      </c>
      <c r="BM145" s="194">
        <f t="shared" si="313"/>
        <v>0</v>
      </c>
      <c r="BN145" s="117">
        <f t="shared" si="313"/>
        <v>0</v>
      </c>
      <c r="BO145" s="118">
        <f t="shared" si="313"/>
        <v>0</v>
      </c>
      <c r="BP145" s="116">
        <f t="shared" si="313"/>
        <v>0</v>
      </c>
      <c r="BQ145" s="117">
        <f t="shared" si="313"/>
        <v>0</v>
      </c>
      <c r="BR145" s="119">
        <f t="shared" si="313"/>
        <v>0</v>
      </c>
      <c r="BS145" s="194">
        <f t="shared" si="313"/>
        <v>0</v>
      </c>
      <c r="BT145" s="117">
        <f t="shared" si="313"/>
        <v>0</v>
      </c>
      <c r="BU145" s="118">
        <f t="shared" si="313"/>
        <v>0</v>
      </c>
      <c r="BV145" s="116">
        <f t="shared" si="313"/>
        <v>0</v>
      </c>
      <c r="BW145" s="117">
        <f t="shared" si="313"/>
        <v>0</v>
      </c>
      <c r="BX145" s="119">
        <f t="shared" si="313"/>
        <v>0</v>
      </c>
      <c r="BY145" s="194">
        <f t="shared" si="313"/>
        <v>0</v>
      </c>
      <c r="BZ145" s="117">
        <f t="shared" si="313"/>
        <v>0</v>
      </c>
      <c r="CA145" s="118">
        <f t="shared" ref="CA145:EL145" si="314">+CA38+CA74+CA110</f>
        <v>0</v>
      </c>
      <c r="CB145" s="116">
        <f t="shared" si="314"/>
        <v>0</v>
      </c>
      <c r="CC145" s="117">
        <f t="shared" si="314"/>
        <v>0</v>
      </c>
      <c r="CD145" s="119">
        <f t="shared" si="314"/>
        <v>0</v>
      </c>
      <c r="CE145" s="194">
        <f t="shared" si="314"/>
        <v>0</v>
      </c>
      <c r="CF145" s="117">
        <f t="shared" si="314"/>
        <v>0</v>
      </c>
      <c r="CG145" s="118">
        <f t="shared" si="314"/>
        <v>0</v>
      </c>
      <c r="CH145" s="116">
        <f t="shared" si="314"/>
        <v>0</v>
      </c>
      <c r="CI145" s="117">
        <f t="shared" si="314"/>
        <v>0</v>
      </c>
      <c r="CJ145" s="118">
        <f t="shared" si="314"/>
        <v>0</v>
      </c>
      <c r="CK145" s="244">
        <f t="shared" si="314"/>
        <v>0</v>
      </c>
      <c r="CL145" s="60">
        <f t="shared" si="314"/>
        <v>0</v>
      </c>
      <c r="CM145" s="384">
        <f t="shared" si="314"/>
        <v>0</v>
      </c>
      <c r="CN145" s="244">
        <f t="shared" si="314"/>
        <v>0</v>
      </c>
      <c r="CO145" s="60">
        <f t="shared" si="314"/>
        <v>0</v>
      </c>
      <c r="CP145" s="64">
        <f t="shared" si="314"/>
        <v>0</v>
      </c>
      <c r="CQ145" s="194">
        <f t="shared" ref="CQ145:CY145" si="315">+CQ38+CQ74+CQ110</f>
        <v>0</v>
      </c>
      <c r="CR145" s="117">
        <f t="shared" si="315"/>
        <v>0</v>
      </c>
      <c r="CS145" s="119">
        <f t="shared" si="315"/>
        <v>0</v>
      </c>
      <c r="CT145" s="194">
        <f t="shared" si="315"/>
        <v>0</v>
      </c>
      <c r="CU145" s="117">
        <f t="shared" si="315"/>
        <v>0</v>
      </c>
      <c r="CV145" s="119">
        <f t="shared" si="315"/>
        <v>0</v>
      </c>
      <c r="CW145" s="194">
        <f t="shared" si="315"/>
        <v>0</v>
      </c>
      <c r="CX145" s="117">
        <f t="shared" si="315"/>
        <v>0</v>
      </c>
      <c r="CY145" s="119">
        <f t="shared" si="315"/>
        <v>0</v>
      </c>
      <c r="CZ145" s="194">
        <f t="shared" si="314"/>
        <v>0</v>
      </c>
      <c r="DA145" s="117">
        <f t="shared" si="314"/>
        <v>0</v>
      </c>
      <c r="DB145" s="119">
        <f t="shared" si="314"/>
        <v>0</v>
      </c>
      <c r="DC145" s="116">
        <f t="shared" si="314"/>
        <v>0</v>
      </c>
      <c r="DD145" s="117">
        <f t="shared" si="314"/>
        <v>0</v>
      </c>
      <c r="DE145" s="119">
        <f t="shared" si="314"/>
        <v>0</v>
      </c>
      <c r="DF145" s="194">
        <f t="shared" si="314"/>
        <v>0</v>
      </c>
      <c r="DG145" s="117">
        <f t="shared" si="314"/>
        <v>0</v>
      </c>
      <c r="DH145" s="118">
        <f t="shared" si="314"/>
        <v>0</v>
      </c>
      <c r="DI145" s="116">
        <f t="shared" si="314"/>
        <v>0</v>
      </c>
      <c r="DJ145" s="117">
        <f t="shared" si="314"/>
        <v>0</v>
      </c>
      <c r="DK145" s="119">
        <f t="shared" si="314"/>
        <v>0</v>
      </c>
      <c r="DL145" s="194">
        <f t="shared" si="314"/>
        <v>0</v>
      </c>
      <c r="DM145" s="117">
        <f t="shared" si="314"/>
        <v>0</v>
      </c>
      <c r="DN145" s="118">
        <f t="shared" si="314"/>
        <v>0</v>
      </c>
      <c r="DO145" s="116">
        <f t="shared" si="314"/>
        <v>0</v>
      </c>
      <c r="DP145" s="117">
        <f t="shared" si="314"/>
        <v>0</v>
      </c>
      <c r="DQ145" s="119">
        <f t="shared" si="314"/>
        <v>0</v>
      </c>
      <c r="DR145" s="194">
        <f t="shared" si="314"/>
        <v>0</v>
      </c>
      <c r="DS145" s="117">
        <f t="shared" si="314"/>
        <v>0</v>
      </c>
      <c r="DT145" s="118">
        <f t="shared" si="314"/>
        <v>0</v>
      </c>
      <c r="DU145" s="116">
        <f t="shared" si="314"/>
        <v>0</v>
      </c>
      <c r="DV145" s="117">
        <f t="shared" si="314"/>
        <v>0</v>
      </c>
      <c r="DW145" s="119">
        <f t="shared" si="314"/>
        <v>0</v>
      </c>
      <c r="DX145" s="194">
        <f t="shared" si="314"/>
        <v>0</v>
      </c>
      <c r="DY145" s="117">
        <f t="shared" si="314"/>
        <v>0</v>
      </c>
      <c r="DZ145" s="118">
        <f t="shared" si="314"/>
        <v>0</v>
      </c>
      <c r="EA145" s="116">
        <f t="shared" si="314"/>
        <v>0</v>
      </c>
      <c r="EB145" s="117">
        <f t="shared" si="314"/>
        <v>0</v>
      </c>
      <c r="EC145" s="119">
        <f t="shared" si="314"/>
        <v>0</v>
      </c>
      <c r="ED145" s="194">
        <f t="shared" si="314"/>
        <v>0</v>
      </c>
      <c r="EE145" s="117">
        <f t="shared" si="314"/>
        <v>0</v>
      </c>
      <c r="EF145" s="118">
        <f t="shared" si="314"/>
        <v>0</v>
      </c>
      <c r="EG145" s="116">
        <f t="shared" si="314"/>
        <v>0</v>
      </c>
      <c r="EH145" s="117">
        <f t="shared" si="314"/>
        <v>0</v>
      </c>
      <c r="EI145" s="119">
        <f t="shared" si="314"/>
        <v>0</v>
      </c>
      <c r="EJ145" s="194">
        <f t="shared" si="314"/>
        <v>0</v>
      </c>
      <c r="EK145" s="117">
        <f t="shared" si="314"/>
        <v>0</v>
      </c>
      <c r="EL145" s="118">
        <f t="shared" si="314"/>
        <v>0</v>
      </c>
      <c r="EM145" s="116">
        <f t="shared" ref="EM145:GX145" si="316">+EM38+EM74+EM110</f>
        <v>0</v>
      </c>
      <c r="EN145" s="117">
        <f t="shared" si="316"/>
        <v>0</v>
      </c>
      <c r="EO145" s="119">
        <f t="shared" si="316"/>
        <v>0</v>
      </c>
      <c r="EP145" s="194">
        <f t="shared" si="316"/>
        <v>0</v>
      </c>
      <c r="EQ145" s="117">
        <f t="shared" si="316"/>
        <v>0</v>
      </c>
      <c r="ER145" s="118">
        <f t="shared" si="316"/>
        <v>0</v>
      </c>
      <c r="ES145" s="116">
        <f t="shared" si="316"/>
        <v>0</v>
      </c>
      <c r="ET145" s="117">
        <f t="shared" si="316"/>
        <v>0</v>
      </c>
      <c r="EU145" s="119">
        <f t="shared" si="316"/>
        <v>0</v>
      </c>
      <c r="EV145" s="194">
        <f t="shared" si="316"/>
        <v>0</v>
      </c>
      <c r="EW145" s="117">
        <f t="shared" si="316"/>
        <v>0</v>
      </c>
      <c r="EX145" s="118">
        <f t="shared" si="316"/>
        <v>0</v>
      </c>
      <c r="EY145" s="116">
        <f t="shared" si="316"/>
        <v>0</v>
      </c>
      <c r="EZ145" s="117">
        <f t="shared" si="316"/>
        <v>0</v>
      </c>
      <c r="FA145" s="119">
        <f t="shared" si="316"/>
        <v>0</v>
      </c>
      <c r="FB145" s="194">
        <f t="shared" si="316"/>
        <v>0</v>
      </c>
      <c r="FC145" s="117">
        <f t="shared" si="316"/>
        <v>0</v>
      </c>
      <c r="FD145" s="118">
        <f t="shared" si="316"/>
        <v>0</v>
      </c>
      <c r="FE145" s="116">
        <f t="shared" si="316"/>
        <v>0</v>
      </c>
      <c r="FF145" s="117">
        <f t="shared" si="316"/>
        <v>0</v>
      </c>
      <c r="FG145" s="119">
        <f t="shared" si="316"/>
        <v>0</v>
      </c>
      <c r="FH145" s="194">
        <f t="shared" si="316"/>
        <v>0</v>
      </c>
      <c r="FI145" s="117">
        <f t="shared" si="316"/>
        <v>0</v>
      </c>
      <c r="FJ145" s="118">
        <f t="shared" si="316"/>
        <v>0</v>
      </c>
      <c r="FK145" s="116">
        <f t="shared" si="316"/>
        <v>0</v>
      </c>
      <c r="FL145" s="117">
        <f t="shared" si="316"/>
        <v>0</v>
      </c>
      <c r="FM145" s="119">
        <f t="shared" si="316"/>
        <v>0</v>
      </c>
      <c r="FN145" s="194">
        <f t="shared" si="316"/>
        <v>0</v>
      </c>
      <c r="FO145" s="117">
        <f t="shared" si="316"/>
        <v>0</v>
      </c>
      <c r="FP145" s="118">
        <f t="shared" si="316"/>
        <v>0</v>
      </c>
      <c r="FQ145" s="116">
        <f t="shared" si="316"/>
        <v>0</v>
      </c>
      <c r="FR145" s="117">
        <f t="shared" si="316"/>
        <v>0</v>
      </c>
      <c r="FS145" s="119">
        <f t="shared" si="316"/>
        <v>0</v>
      </c>
      <c r="FT145" s="194">
        <f t="shared" si="316"/>
        <v>0</v>
      </c>
      <c r="FU145" s="117">
        <f t="shared" si="316"/>
        <v>0</v>
      </c>
      <c r="FV145" s="118">
        <f t="shared" si="316"/>
        <v>0</v>
      </c>
      <c r="FW145" s="116">
        <f t="shared" si="316"/>
        <v>0</v>
      </c>
      <c r="FX145" s="117">
        <f t="shared" si="316"/>
        <v>0</v>
      </c>
      <c r="FY145" s="119">
        <f t="shared" si="316"/>
        <v>0</v>
      </c>
      <c r="FZ145" s="194">
        <f t="shared" si="316"/>
        <v>0</v>
      </c>
      <c r="GA145" s="117">
        <f t="shared" si="316"/>
        <v>0</v>
      </c>
      <c r="GB145" s="118">
        <f t="shared" si="316"/>
        <v>0</v>
      </c>
      <c r="GC145" s="116">
        <f t="shared" si="316"/>
        <v>0</v>
      </c>
      <c r="GD145" s="117">
        <f t="shared" si="316"/>
        <v>0</v>
      </c>
      <c r="GE145" s="119">
        <f t="shared" si="316"/>
        <v>0</v>
      </c>
      <c r="GF145" s="194">
        <f t="shared" si="316"/>
        <v>0</v>
      </c>
      <c r="GG145" s="117">
        <f t="shared" si="316"/>
        <v>0</v>
      </c>
      <c r="GH145" s="118">
        <f t="shared" si="316"/>
        <v>0</v>
      </c>
      <c r="GI145" s="116">
        <f t="shared" si="316"/>
        <v>0</v>
      </c>
      <c r="GJ145" s="117">
        <f t="shared" si="316"/>
        <v>0</v>
      </c>
      <c r="GK145" s="118">
        <f t="shared" si="316"/>
        <v>0</v>
      </c>
      <c r="GL145" s="244">
        <f t="shared" si="316"/>
        <v>0</v>
      </c>
      <c r="GM145" s="60">
        <f t="shared" si="316"/>
        <v>0</v>
      </c>
      <c r="GN145" s="384">
        <f t="shared" si="316"/>
        <v>0</v>
      </c>
      <c r="GO145" s="244">
        <f t="shared" si="316"/>
        <v>0</v>
      </c>
      <c r="GP145" s="60">
        <f t="shared" si="316"/>
        <v>0</v>
      </c>
      <c r="GQ145" s="64">
        <f t="shared" si="316"/>
        <v>0</v>
      </c>
      <c r="GR145" s="194">
        <f t="shared" si="316"/>
        <v>0</v>
      </c>
      <c r="GS145" s="117">
        <f t="shared" si="316"/>
        <v>0</v>
      </c>
      <c r="GT145" s="119">
        <f t="shared" si="316"/>
        <v>0</v>
      </c>
      <c r="GU145" s="194">
        <f t="shared" si="316"/>
        <v>0</v>
      </c>
      <c r="GV145" s="117">
        <f t="shared" si="316"/>
        <v>0</v>
      </c>
      <c r="GW145" s="119">
        <f t="shared" si="316"/>
        <v>0</v>
      </c>
      <c r="GX145" s="194">
        <f t="shared" si="316"/>
        <v>0</v>
      </c>
      <c r="GY145" s="117">
        <f t="shared" ref="GY145:HC145" si="317">+GY38+GY74+GY110</f>
        <v>0</v>
      </c>
      <c r="GZ145" s="119">
        <f t="shared" si="317"/>
        <v>0</v>
      </c>
      <c r="HA145" s="194">
        <f t="shared" si="317"/>
        <v>0</v>
      </c>
      <c r="HB145" s="117">
        <f t="shared" si="317"/>
        <v>0</v>
      </c>
      <c r="HC145" s="119">
        <f t="shared" si="317"/>
        <v>0</v>
      </c>
      <c r="HD145" s="368">
        <f t="shared" si="139"/>
        <v>0</v>
      </c>
      <c r="HE145" s="369">
        <f t="shared" si="140"/>
        <v>0</v>
      </c>
      <c r="HF145" s="369">
        <f t="shared" si="141"/>
        <v>0</v>
      </c>
      <c r="HG145" s="145">
        <f t="shared" si="132"/>
        <v>0</v>
      </c>
    </row>
    <row r="146" spans="1:215" ht="15.75" thickBot="1">
      <c r="A146" s="352"/>
      <c r="B146" s="113">
        <f>SUM(B115:B145)</f>
        <v>0</v>
      </c>
      <c r="C146" s="113">
        <f t="shared" ref="C146" si="318">SUM(C115:C145)</f>
        <v>0</v>
      </c>
      <c r="D146" s="113">
        <f t="shared" ref="D146" si="319">SUM(D115:D145)</f>
        <v>0</v>
      </c>
      <c r="E146" s="291">
        <f t="shared" ref="E146" si="320">SUM(E115:E145)</f>
        <v>0</v>
      </c>
      <c r="F146" s="113">
        <f t="shared" ref="F146" si="321">SUM(F115:F145)</f>
        <v>0</v>
      </c>
      <c r="G146" s="299">
        <f t="shared" ref="G146" si="322">SUM(G115:G145)</f>
        <v>0</v>
      </c>
      <c r="H146" s="113">
        <f t="shared" ref="H146" si="323">SUM(H115:H145)</f>
        <v>0</v>
      </c>
      <c r="I146" s="113">
        <f t="shared" ref="I146" si="324">SUM(I115:I145)</f>
        <v>0</v>
      </c>
      <c r="J146" s="113">
        <f t="shared" ref="J146" si="325">SUM(J115:J145)</f>
        <v>0</v>
      </c>
      <c r="K146" s="291">
        <f t="shared" ref="K146" si="326">SUM(K115:K145)</f>
        <v>0</v>
      </c>
      <c r="L146" s="113">
        <f t="shared" ref="L146" si="327">SUM(L115:L145)</f>
        <v>0</v>
      </c>
      <c r="M146" s="299">
        <f t="shared" ref="M146" si="328">SUM(M115:M145)</f>
        <v>0</v>
      </c>
      <c r="N146" s="113">
        <f t="shared" ref="N146" si="329">SUM(N115:N145)</f>
        <v>0</v>
      </c>
      <c r="O146" s="113">
        <f t="shared" ref="O146" si="330">SUM(O115:O145)</f>
        <v>0</v>
      </c>
      <c r="P146" s="113">
        <f t="shared" ref="P146" si="331">SUM(P115:P145)</f>
        <v>0</v>
      </c>
      <c r="Q146" s="291">
        <f t="shared" ref="Q146" si="332">SUM(Q115:Q145)</f>
        <v>0</v>
      </c>
      <c r="R146" s="113">
        <f t="shared" ref="R146" si="333">SUM(R115:R145)</f>
        <v>0</v>
      </c>
      <c r="S146" s="299">
        <f t="shared" ref="S146" si="334">SUM(S115:S145)</f>
        <v>0</v>
      </c>
      <c r="T146" s="113">
        <f t="shared" ref="T146" si="335">SUM(T115:T145)</f>
        <v>0</v>
      </c>
      <c r="U146" s="113">
        <f t="shared" ref="U146" si="336">SUM(U115:U145)</f>
        <v>0</v>
      </c>
      <c r="V146" s="113">
        <f t="shared" ref="V146" si="337">SUM(V115:V145)</f>
        <v>0</v>
      </c>
      <c r="W146" s="291">
        <f t="shared" ref="W146" si="338">SUM(W115:W145)</f>
        <v>0</v>
      </c>
      <c r="X146" s="113">
        <f t="shared" ref="X146" si="339">SUM(X115:X145)</f>
        <v>0</v>
      </c>
      <c r="Y146" s="299">
        <f t="shared" ref="Y146" si="340">SUM(Y115:Y145)</f>
        <v>0</v>
      </c>
      <c r="Z146" s="113">
        <f t="shared" ref="Z146" si="341">SUM(Z115:Z145)</f>
        <v>0</v>
      </c>
      <c r="AA146" s="113">
        <f t="shared" ref="AA146" si="342">SUM(AA115:AA145)</f>
        <v>0</v>
      </c>
      <c r="AB146" s="113">
        <f t="shared" ref="AB146" si="343">SUM(AB115:AB145)</f>
        <v>0</v>
      </c>
      <c r="AC146" s="291">
        <f t="shared" ref="AC146" si="344">SUM(AC115:AC145)</f>
        <v>0</v>
      </c>
      <c r="AD146" s="113">
        <f t="shared" ref="AD146" si="345">SUM(AD115:AD145)</f>
        <v>0</v>
      </c>
      <c r="AE146" s="299">
        <f t="shared" ref="AE146" si="346">SUM(AE115:AE145)</f>
        <v>0</v>
      </c>
      <c r="AF146" s="113">
        <f t="shared" ref="AF146" si="347">SUM(AF115:AF145)</f>
        <v>0</v>
      </c>
      <c r="AG146" s="113">
        <f t="shared" ref="AG146" si="348">SUM(AG115:AG145)</f>
        <v>0</v>
      </c>
      <c r="AH146" s="113">
        <f t="shared" ref="AH146" si="349">SUM(AH115:AH145)</f>
        <v>0</v>
      </c>
      <c r="AI146" s="291">
        <f t="shared" ref="AI146" si="350">SUM(AI115:AI145)</f>
        <v>0</v>
      </c>
      <c r="AJ146" s="113">
        <f t="shared" ref="AJ146" si="351">SUM(AJ115:AJ145)</f>
        <v>0</v>
      </c>
      <c r="AK146" s="299">
        <f t="shared" ref="AK146" si="352">SUM(AK115:AK145)</f>
        <v>0</v>
      </c>
      <c r="AL146" s="113">
        <f t="shared" ref="AL146" si="353">SUM(AL115:AL145)</f>
        <v>0</v>
      </c>
      <c r="AM146" s="113">
        <f t="shared" ref="AM146" si="354">SUM(AM115:AM145)</f>
        <v>0</v>
      </c>
      <c r="AN146" s="113">
        <f t="shared" ref="AN146" si="355">SUM(AN115:AN145)</f>
        <v>0</v>
      </c>
      <c r="AO146" s="291">
        <f t="shared" ref="AO146" si="356">SUM(AO115:AO145)</f>
        <v>0</v>
      </c>
      <c r="AP146" s="113">
        <f t="shared" ref="AP146" si="357">SUM(AP115:AP145)</f>
        <v>0</v>
      </c>
      <c r="AQ146" s="299">
        <f t="shared" ref="AQ146" si="358">SUM(AQ115:AQ145)</f>
        <v>0</v>
      </c>
      <c r="AR146" s="113">
        <f t="shared" ref="AR146" si="359">SUM(AR115:AR145)</f>
        <v>0</v>
      </c>
      <c r="AS146" s="113">
        <f t="shared" ref="AS146" si="360">SUM(AS115:AS145)</f>
        <v>0</v>
      </c>
      <c r="AT146" s="113">
        <f t="shared" ref="AT146" si="361">SUM(AT115:AT145)</f>
        <v>0</v>
      </c>
      <c r="AU146" s="291">
        <f t="shared" ref="AU146" si="362">SUM(AU115:AU145)</f>
        <v>0</v>
      </c>
      <c r="AV146" s="113">
        <f t="shared" ref="AV146" si="363">SUM(AV115:AV145)</f>
        <v>0</v>
      </c>
      <c r="AW146" s="299">
        <f t="shared" ref="AW146" si="364">SUM(AW115:AW145)</f>
        <v>0</v>
      </c>
      <c r="AX146" s="113">
        <f t="shared" ref="AX146" si="365">SUM(AX115:AX145)</f>
        <v>0</v>
      </c>
      <c r="AY146" s="113">
        <f t="shared" ref="AY146" si="366">SUM(AY115:AY145)</f>
        <v>0</v>
      </c>
      <c r="AZ146" s="113">
        <f t="shared" ref="AZ146" si="367">SUM(AZ115:AZ145)</f>
        <v>0</v>
      </c>
      <c r="BA146" s="291">
        <f t="shared" ref="BA146" si="368">SUM(BA115:BA145)</f>
        <v>0</v>
      </c>
      <c r="BB146" s="113">
        <f t="shared" ref="BB146" si="369">SUM(BB115:BB145)</f>
        <v>0</v>
      </c>
      <c r="BC146" s="299">
        <f t="shared" ref="BC146" si="370">SUM(BC115:BC145)</f>
        <v>0</v>
      </c>
      <c r="BD146" s="113">
        <f t="shared" ref="BD146" si="371">SUM(BD115:BD145)</f>
        <v>0</v>
      </c>
      <c r="BE146" s="113">
        <f t="shared" ref="BE146" si="372">SUM(BE115:BE145)</f>
        <v>0</v>
      </c>
      <c r="BF146" s="113">
        <f t="shared" ref="BF146" si="373">SUM(BF115:BF145)</f>
        <v>0</v>
      </c>
      <c r="BG146" s="291">
        <f t="shared" ref="BG146" si="374">SUM(BG115:BG145)</f>
        <v>0</v>
      </c>
      <c r="BH146" s="113">
        <f t="shared" ref="BH146" si="375">SUM(BH115:BH145)</f>
        <v>0</v>
      </c>
      <c r="BI146" s="299">
        <f t="shared" ref="BI146" si="376">SUM(BI115:BI145)</f>
        <v>0</v>
      </c>
      <c r="BJ146" s="113">
        <f t="shared" ref="BJ146" si="377">SUM(BJ115:BJ145)</f>
        <v>0</v>
      </c>
      <c r="BK146" s="113">
        <f t="shared" ref="BK146" si="378">SUM(BK115:BK145)</f>
        <v>0</v>
      </c>
      <c r="BL146" s="113">
        <f t="shared" ref="BL146" si="379">SUM(BL115:BL145)</f>
        <v>0</v>
      </c>
      <c r="BM146" s="291">
        <f t="shared" ref="BM146" si="380">SUM(BM115:BM145)</f>
        <v>0</v>
      </c>
      <c r="BN146" s="113">
        <f t="shared" ref="BN146" si="381">SUM(BN115:BN145)</f>
        <v>0</v>
      </c>
      <c r="BO146" s="299">
        <f t="shared" ref="BO146" si="382">SUM(BO115:BO145)</f>
        <v>0</v>
      </c>
      <c r="BP146" s="113">
        <f t="shared" ref="BP146" si="383">SUM(BP115:BP145)</f>
        <v>0</v>
      </c>
      <c r="BQ146" s="113">
        <f t="shared" ref="BQ146" si="384">SUM(BQ115:BQ145)</f>
        <v>0</v>
      </c>
      <c r="BR146" s="113">
        <f t="shared" ref="BR146" si="385">SUM(BR115:BR145)</f>
        <v>0</v>
      </c>
      <c r="BS146" s="291">
        <f t="shared" ref="BS146" si="386">SUM(BS115:BS145)</f>
        <v>0</v>
      </c>
      <c r="BT146" s="113">
        <f t="shared" ref="BT146" si="387">SUM(BT115:BT145)</f>
        <v>0</v>
      </c>
      <c r="BU146" s="299">
        <f t="shared" ref="BU146" si="388">SUM(BU115:BU145)</f>
        <v>0</v>
      </c>
      <c r="BV146" s="113">
        <f t="shared" ref="BV146" si="389">SUM(BV115:BV145)</f>
        <v>0</v>
      </c>
      <c r="BW146" s="113">
        <f t="shared" ref="BW146" si="390">SUM(BW115:BW145)</f>
        <v>0</v>
      </c>
      <c r="BX146" s="113">
        <f t="shared" ref="BX146" si="391">SUM(BX115:BX145)</f>
        <v>0</v>
      </c>
      <c r="BY146" s="291">
        <f t="shared" ref="BY146" si="392">SUM(BY115:BY145)</f>
        <v>0</v>
      </c>
      <c r="BZ146" s="113">
        <f t="shared" ref="BZ146" si="393">SUM(BZ115:BZ145)</f>
        <v>0</v>
      </c>
      <c r="CA146" s="299">
        <f t="shared" ref="CA146" si="394">SUM(CA115:CA145)</f>
        <v>0</v>
      </c>
      <c r="CB146" s="113">
        <f t="shared" ref="CB146" si="395">SUM(CB115:CB145)</f>
        <v>0</v>
      </c>
      <c r="CC146" s="113">
        <f t="shared" ref="CC146" si="396">SUM(CC115:CC145)</f>
        <v>0</v>
      </c>
      <c r="CD146" s="113">
        <f t="shared" ref="CD146" si="397">SUM(CD115:CD145)</f>
        <v>0</v>
      </c>
      <c r="CE146" s="291">
        <f t="shared" ref="CE146" si="398">SUM(CE115:CE145)</f>
        <v>0</v>
      </c>
      <c r="CF146" s="113">
        <f t="shared" ref="CF146" si="399">SUM(CF115:CF145)</f>
        <v>0</v>
      </c>
      <c r="CG146" s="299">
        <f t="shared" ref="CG146" si="400">SUM(CG115:CG145)</f>
        <v>0</v>
      </c>
      <c r="CH146" s="113">
        <f t="shared" ref="CH146" si="401">SUM(CH115:CH145)</f>
        <v>0</v>
      </c>
      <c r="CI146" s="113">
        <f t="shared" ref="CI146" si="402">SUM(CI115:CI145)</f>
        <v>0</v>
      </c>
      <c r="CJ146" s="113">
        <f t="shared" ref="CJ146:CZ146" si="403">SUM(CJ115:CJ145)</f>
        <v>0</v>
      </c>
      <c r="CK146" s="35">
        <f t="shared" si="403"/>
        <v>0</v>
      </c>
      <c r="CL146" s="35">
        <f t="shared" si="403"/>
        <v>0</v>
      </c>
      <c r="CM146" s="35">
        <f t="shared" si="403"/>
        <v>0</v>
      </c>
      <c r="CN146" s="35">
        <f t="shared" si="403"/>
        <v>0</v>
      </c>
      <c r="CO146" s="35">
        <f t="shared" si="403"/>
        <v>0</v>
      </c>
      <c r="CP146" s="35">
        <f t="shared" si="403"/>
        <v>0</v>
      </c>
      <c r="CQ146" s="113">
        <f t="shared" si="403"/>
        <v>0</v>
      </c>
      <c r="CR146" s="113">
        <f t="shared" si="403"/>
        <v>0</v>
      </c>
      <c r="CS146" s="113">
        <f t="shared" si="403"/>
        <v>0</v>
      </c>
      <c r="CT146" s="113">
        <f t="shared" si="403"/>
        <v>0</v>
      </c>
      <c r="CU146" s="113">
        <f t="shared" si="403"/>
        <v>0</v>
      </c>
      <c r="CV146" s="113">
        <f t="shared" si="403"/>
        <v>0</v>
      </c>
      <c r="CW146" s="113">
        <f t="shared" si="403"/>
        <v>0</v>
      </c>
      <c r="CX146" s="113">
        <f t="shared" si="403"/>
        <v>0</v>
      </c>
      <c r="CY146" s="113">
        <f t="shared" si="403"/>
        <v>0</v>
      </c>
      <c r="CZ146" s="113">
        <f t="shared" si="403"/>
        <v>0</v>
      </c>
      <c r="DA146" s="113">
        <f t="shared" ref="DA146" si="404">SUM(DA115:DA145)</f>
        <v>0</v>
      </c>
      <c r="DB146" s="113">
        <f t="shared" ref="DB146" si="405">SUM(DB115:DB145)</f>
        <v>0</v>
      </c>
      <c r="DC146" s="113">
        <f>SUM(DC115:DC145)</f>
        <v>0</v>
      </c>
      <c r="DD146" s="113">
        <f t="shared" ref="DD146:FO146" si="406">SUM(DD115:DD145)</f>
        <v>0</v>
      </c>
      <c r="DE146" s="113">
        <f t="shared" si="406"/>
        <v>0</v>
      </c>
      <c r="DF146" s="397">
        <f t="shared" si="406"/>
        <v>0</v>
      </c>
      <c r="DG146" s="113">
        <f t="shared" si="406"/>
        <v>0</v>
      </c>
      <c r="DH146" s="396">
        <f t="shared" si="406"/>
        <v>0</v>
      </c>
      <c r="DI146" s="113">
        <f t="shared" si="406"/>
        <v>0</v>
      </c>
      <c r="DJ146" s="113">
        <f t="shared" si="406"/>
        <v>0</v>
      </c>
      <c r="DK146" s="113">
        <f t="shared" si="406"/>
        <v>0</v>
      </c>
      <c r="DL146" s="397">
        <f t="shared" si="406"/>
        <v>0</v>
      </c>
      <c r="DM146" s="113">
        <f t="shared" si="406"/>
        <v>0</v>
      </c>
      <c r="DN146" s="396">
        <f t="shared" si="406"/>
        <v>0</v>
      </c>
      <c r="DO146" s="113">
        <f t="shared" si="406"/>
        <v>0</v>
      </c>
      <c r="DP146" s="113">
        <f t="shared" si="406"/>
        <v>0</v>
      </c>
      <c r="DQ146" s="113">
        <f t="shared" si="406"/>
        <v>0</v>
      </c>
      <c r="DR146" s="397">
        <f t="shared" si="406"/>
        <v>0</v>
      </c>
      <c r="DS146" s="113">
        <f t="shared" si="406"/>
        <v>0</v>
      </c>
      <c r="DT146" s="396">
        <f t="shared" si="406"/>
        <v>0</v>
      </c>
      <c r="DU146" s="113">
        <f t="shared" si="406"/>
        <v>0</v>
      </c>
      <c r="DV146" s="113">
        <f t="shared" si="406"/>
        <v>0</v>
      </c>
      <c r="DW146" s="113">
        <f t="shared" si="406"/>
        <v>0</v>
      </c>
      <c r="DX146" s="397">
        <f t="shared" si="406"/>
        <v>0</v>
      </c>
      <c r="DY146" s="113">
        <f t="shared" si="406"/>
        <v>0</v>
      </c>
      <c r="DZ146" s="396">
        <f t="shared" si="406"/>
        <v>0</v>
      </c>
      <c r="EA146" s="113">
        <f t="shared" si="406"/>
        <v>0</v>
      </c>
      <c r="EB146" s="113">
        <f t="shared" si="406"/>
        <v>0</v>
      </c>
      <c r="EC146" s="113">
        <f t="shared" si="406"/>
        <v>0</v>
      </c>
      <c r="ED146" s="397">
        <f t="shared" si="406"/>
        <v>0</v>
      </c>
      <c r="EE146" s="113">
        <f t="shared" si="406"/>
        <v>0</v>
      </c>
      <c r="EF146" s="396">
        <f t="shared" si="406"/>
        <v>0</v>
      </c>
      <c r="EG146" s="113">
        <f t="shared" si="406"/>
        <v>0</v>
      </c>
      <c r="EH146" s="113">
        <f t="shared" si="406"/>
        <v>0</v>
      </c>
      <c r="EI146" s="113">
        <f t="shared" si="406"/>
        <v>0</v>
      </c>
      <c r="EJ146" s="397">
        <f t="shared" si="406"/>
        <v>0</v>
      </c>
      <c r="EK146" s="113">
        <f t="shared" si="406"/>
        <v>0</v>
      </c>
      <c r="EL146" s="396">
        <f t="shared" si="406"/>
        <v>0</v>
      </c>
      <c r="EM146" s="113">
        <f t="shared" si="406"/>
        <v>0</v>
      </c>
      <c r="EN146" s="113">
        <f t="shared" si="406"/>
        <v>0</v>
      </c>
      <c r="EO146" s="113">
        <f t="shared" si="406"/>
        <v>0</v>
      </c>
      <c r="EP146" s="397">
        <f t="shared" si="406"/>
        <v>0</v>
      </c>
      <c r="EQ146" s="113">
        <f t="shared" si="406"/>
        <v>0</v>
      </c>
      <c r="ER146" s="396">
        <f t="shared" si="406"/>
        <v>0</v>
      </c>
      <c r="ES146" s="113">
        <f t="shared" si="406"/>
        <v>0</v>
      </c>
      <c r="ET146" s="113">
        <f t="shared" si="406"/>
        <v>0</v>
      </c>
      <c r="EU146" s="113">
        <f t="shared" si="406"/>
        <v>0</v>
      </c>
      <c r="EV146" s="397">
        <f t="shared" si="406"/>
        <v>0</v>
      </c>
      <c r="EW146" s="113">
        <f t="shared" si="406"/>
        <v>0</v>
      </c>
      <c r="EX146" s="396">
        <f t="shared" si="406"/>
        <v>0</v>
      </c>
      <c r="EY146" s="113">
        <f t="shared" si="406"/>
        <v>0</v>
      </c>
      <c r="EZ146" s="113">
        <f t="shared" si="406"/>
        <v>0</v>
      </c>
      <c r="FA146" s="113">
        <f t="shared" si="406"/>
        <v>0</v>
      </c>
      <c r="FB146" s="397">
        <f t="shared" si="406"/>
        <v>0</v>
      </c>
      <c r="FC146" s="113">
        <f t="shared" si="406"/>
        <v>0</v>
      </c>
      <c r="FD146" s="396">
        <f t="shared" si="406"/>
        <v>0</v>
      </c>
      <c r="FE146" s="113">
        <f t="shared" si="406"/>
        <v>0</v>
      </c>
      <c r="FF146" s="113">
        <f t="shared" si="406"/>
        <v>0</v>
      </c>
      <c r="FG146" s="113">
        <f t="shared" si="406"/>
        <v>0</v>
      </c>
      <c r="FH146" s="397">
        <f t="shared" si="406"/>
        <v>0</v>
      </c>
      <c r="FI146" s="113">
        <f t="shared" si="406"/>
        <v>0</v>
      </c>
      <c r="FJ146" s="396">
        <f t="shared" si="406"/>
        <v>0</v>
      </c>
      <c r="FK146" s="113">
        <f t="shared" si="406"/>
        <v>0</v>
      </c>
      <c r="FL146" s="113">
        <f t="shared" si="406"/>
        <v>0</v>
      </c>
      <c r="FM146" s="113">
        <f t="shared" si="406"/>
        <v>0</v>
      </c>
      <c r="FN146" s="397">
        <f t="shared" si="406"/>
        <v>0</v>
      </c>
      <c r="FO146" s="113">
        <f t="shared" si="406"/>
        <v>0</v>
      </c>
      <c r="FP146" s="396">
        <f t="shared" ref="FP146:HC146" si="407">SUM(FP115:FP145)</f>
        <v>0</v>
      </c>
      <c r="FQ146" s="113">
        <f t="shared" si="407"/>
        <v>0</v>
      </c>
      <c r="FR146" s="113">
        <f t="shared" si="407"/>
        <v>0</v>
      </c>
      <c r="FS146" s="113">
        <f t="shared" si="407"/>
        <v>0</v>
      </c>
      <c r="FT146" s="397">
        <f t="shared" si="407"/>
        <v>0</v>
      </c>
      <c r="FU146" s="113">
        <f t="shared" si="407"/>
        <v>0</v>
      </c>
      <c r="FV146" s="396">
        <f t="shared" si="407"/>
        <v>0</v>
      </c>
      <c r="FW146" s="113">
        <f t="shared" si="407"/>
        <v>0</v>
      </c>
      <c r="FX146" s="113">
        <f t="shared" si="407"/>
        <v>0</v>
      </c>
      <c r="FY146" s="113">
        <f t="shared" si="407"/>
        <v>0</v>
      </c>
      <c r="FZ146" s="397">
        <f t="shared" si="407"/>
        <v>0</v>
      </c>
      <c r="GA146" s="113">
        <f t="shared" si="407"/>
        <v>0</v>
      </c>
      <c r="GB146" s="396">
        <f t="shared" si="407"/>
        <v>0</v>
      </c>
      <c r="GC146" s="113">
        <f t="shared" si="407"/>
        <v>0</v>
      </c>
      <c r="GD146" s="113">
        <f t="shared" si="407"/>
        <v>0</v>
      </c>
      <c r="GE146" s="113">
        <f t="shared" si="407"/>
        <v>0</v>
      </c>
      <c r="GF146" s="397">
        <f t="shared" si="407"/>
        <v>0</v>
      </c>
      <c r="GG146" s="113">
        <f t="shared" si="407"/>
        <v>0</v>
      </c>
      <c r="GH146" s="396">
        <f t="shared" si="407"/>
        <v>0</v>
      </c>
      <c r="GI146" s="113">
        <f t="shared" si="407"/>
        <v>0</v>
      </c>
      <c r="GJ146" s="113">
        <f t="shared" si="407"/>
        <v>0</v>
      </c>
      <c r="GK146" s="113">
        <f t="shared" si="407"/>
        <v>0</v>
      </c>
      <c r="GL146" s="400">
        <f t="shared" si="407"/>
        <v>0</v>
      </c>
      <c r="GM146" s="400">
        <f t="shared" si="407"/>
        <v>0</v>
      </c>
      <c r="GN146" s="400">
        <f t="shared" si="407"/>
        <v>0</v>
      </c>
      <c r="GO146" s="400">
        <f t="shared" si="407"/>
        <v>0</v>
      </c>
      <c r="GP146" s="400">
        <f t="shared" si="407"/>
        <v>0</v>
      </c>
      <c r="GQ146" s="400">
        <f t="shared" si="407"/>
        <v>0</v>
      </c>
      <c r="GR146" s="113">
        <f t="shared" si="407"/>
        <v>0</v>
      </c>
      <c r="GS146" s="113">
        <f t="shared" si="407"/>
        <v>0</v>
      </c>
      <c r="GT146" s="113">
        <f t="shared" si="407"/>
        <v>0</v>
      </c>
      <c r="GU146" s="113">
        <f t="shared" si="407"/>
        <v>0</v>
      </c>
      <c r="GV146" s="113">
        <f t="shared" si="407"/>
        <v>0</v>
      </c>
      <c r="GW146" s="113">
        <f t="shared" si="407"/>
        <v>0</v>
      </c>
      <c r="GX146" s="113">
        <f t="shared" si="407"/>
        <v>0</v>
      </c>
      <c r="GY146" s="113">
        <f t="shared" si="407"/>
        <v>0</v>
      </c>
      <c r="GZ146" s="113">
        <f t="shared" si="407"/>
        <v>0</v>
      </c>
      <c r="HA146" s="113">
        <f t="shared" si="407"/>
        <v>0</v>
      </c>
      <c r="HB146" s="113">
        <f t="shared" si="407"/>
        <v>0</v>
      </c>
      <c r="HC146" s="113">
        <f t="shared" si="407"/>
        <v>0</v>
      </c>
      <c r="HD146" s="370">
        <f t="shared" ref="HD146" si="408">SUM(HD115:HD145)</f>
        <v>0</v>
      </c>
      <c r="HE146" s="382">
        <f t="shared" ref="HE146" si="409">SUM(HE115:HE145)</f>
        <v>0</v>
      </c>
      <c r="HF146" s="382">
        <f t="shared" ref="HF146" si="410">SUM(HF115:HF145)</f>
        <v>0</v>
      </c>
      <c r="HG146" s="145">
        <f t="shared" si="132"/>
        <v>0</v>
      </c>
    </row>
    <row r="148" spans="1:215" ht="15.75" thickBot="1"/>
    <row r="149" spans="1:215" ht="15.75" thickBot="1">
      <c r="A149" s="422" t="s">
        <v>2</v>
      </c>
      <c r="B149" s="425" t="s">
        <v>3</v>
      </c>
      <c r="C149" s="426"/>
      <c r="D149" s="428"/>
      <c r="E149" s="429" t="s">
        <v>4</v>
      </c>
      <c r="F149" s="426"/>
      <c r="G149" s="427"/>
      <c r="H149" s="425" t="s">
        <v>5</v>
      </c>
      <c r="I149" s="426"/>
      <c r="J149" s="428"/>
      <c r="K149" s="429" t="s">
        <v>6</v>
      </c>
      <c r="L149" s="426"/>
      <c r="M149" s="427"/>
      <c r="N149" s="425" t="s">
        <v>7</v>
      </c>
      <c r="O149" s="426"/>
      <c r="P149" s="428"/>
      <c r="Q149" s="429" t="s">
        <v>8</v>
      </c>
      <c r="R149" s="426"/>
      <c r="S149" s="427"/>
      <c r="T149" s="425" t="s">
        <v>9</v>
      </c>
      <c r="U149" s="426"/>
      <c r="V149" s="428"/>
      <c r="W149" s="429" t="s">
        <v>10</v>
      </c>
      <c r="X149" s="426"/>
      <c r="Y149" s="427"/>
      <c r="Z149" s="425" t="s">
        <v>11</v>
      </c>
      <c r="AA149" s="426"/>
      <c r="AB149" s="428"/>
      <c r="AC149" s="429" t="s">
        <v>12</v>
      </c>
      <c r="AD149" s="426"/>
      <c r="AE149" s="427"/>
      <c r="AF149" s="425" t="s">
        <v>13</v>
      </c>
      <c r="AG149" s="426"/>
      <c r="AH149" s="428"/>
      <c r="AI149" s="429" t="s">
        <v>14</v>
      </c>
      <c r="AJ149" s="426"/>
      <c r="AK149" s="427"/>
      <c r="AL149" s="425" t="s">
        <v>15</v>
      </c>
      <c r="AM149" s="426"/>
      <c r="AN149" s="428"/>
      <c r="AO149" s="429" t="s">
        <v>16</v>
      </c>
      <c r="AP149" s="426"/>
      <c r="AQ149" s="427"/>
      <c r="AR149" s="425" t="s">
        <v>17</v>
      </c>
      <c r="AS149" s="426"/>
      <c r="AT149" s="428"/>
      <c r="AU149" s="423" t="s">
        <v>18</v>
      </c>
      <c r="AV149" s="423"/>
      <c r="AW149" s="423"/>
      <c r="AX149" s="422" t="s">
        <v>19</v>
      </c>
      <c r="AY149" s="423"/>
      <c r="AZ149" s="424"/>
      <c r="BA149" s="423" t="s">
        <v>20</v>
      </c>
      <c r="BB149" s="423"/>
      <c r="BC149" s="423"/>
      <c r="BD149" s="422" t="s">
        <v>21</v>
      </c>
      <c r="BE149" s="423"/>
      <c r="BF149" s="424"/>
      <c r="BG149" s="423" t="s">
        <v>22</v>
      </c>
      <c r="BH149" s="423"/>
      <c r="BI149" s="423"/>
      <c r="BJ149" s="422" t="s">
        <v>23</v>
      </c>
      <c r="BK149" s="423"/>
      <c r="BL149" s="424"/>
      <c r="BM149" s="423" t="s">
        <v>24</v>
      </c>
      <c r="BN149" s="423"/>
      <c r="BO149" s="423"/>
      <c r="BP149" s="422" t="s">
        <v>25</v>
      </c>
      <c r="BQ149" s="423"/>
      <c r="BR149" s="424"/>
      <c r="BS149" s="423" t="s">
        <v>26</v>
      </c>
      <c r="BT149" s="423"/>
      <c r="BU149" s="423"/>
      <c r="BV149" s="422" t="s">
        <v>27</v>
      </c>
      <c r="BW149" s="423"/>
      <c r="BX149" s="424"/>
      <c r="BY149" s="423" t="s">
        <v>28</v>
      </c>
      <c r="BZ149" s="423"/>
      <c r="CA149" s="423"/>
      <c r="CB149" s="422" t="s">
        <v>29</v>
      </c>
      <c r="CC149" s="423"/>
      <c r="CD149" s="424"/>
      <c r="CE149" s="423" t="s">
        <v>30</v>
      </c>
      <c r="CF149" s="423"/>
      <c r="CG149" s="423"/>
      <c r="CH149" s="422" t="s">
        <v>31</v>
      </c>
      <c r="CI149" s="423"/>
      <c r="CJ149" s="424"/>
      <c r="CK149" s="433" t="s">
        <v>32</v>
      </c>
      <c r="CL149" s="433"/>
      <c r="CM149" s="433"/>
      <c r="CN149" s="434" t="s">
        <v>33</v>
      </c>
      <c r="CO149" s="433"/>
      <c r="CP149" s="435"/>
      <c r="CQ149" s="422" t="s">
        <v>34</v>
      </c>
      <c r="CR149" s="423"/>
      <c r="CS149" s="424"/>
      <c r="CT149" s="422" t="s">
        <v>35</v>
      </c>
      <c r="CU149" s="423"/>
      <c r="CV149" s="424"/>
      <c r="CW149" s="422" t="s">
        <v>36</v>
      </c>
      <c r="CX149" s="423"/>
      <c r="CY149" s="424"/>
      <c r="CZ149" s="422" t="s">
        <v>37</v>
      </c>
      <c r="DA149" s="423"/>
      <c r="DB149" s="424"/>
      <c r="DC149" s="422" t="s">
        <v>147</v>
      </c>
      <c r="DD149" s="423"/>
      <c r="DE149" s="424"/>
      <c r="DF149" s="422" t="s">
        <v>148</v>
      </c>
      <c r="DG149" s="423"/>
      <c r="DH149" s="424"/>
      <c r="DI149" s="422" t="s">
        <v>149</v>
      </c>
      <c r="DJ149" s="423"/>
      <c r="DK149" s="424"/>
      <c r="DL149" s="422" t="s">
        <v>150</v>
      </c>
      <c r="DM149" s="423"/>
      <c r="DN149" s="424"/>
      <c r="DO149" s="422" t="s">
        <v>151</v>
      </c>
      <c r="DP149" s="423"/>
      <c r="DQ149" s="424"/>
      <c r="DR149" s="422" t="s">
        <v>152</v>
      </c>
      <c r="DS149" s="423"/>
      <c r="DT149" s="424"/>
      <c r="DU149" s="422" t="s">
        <v>153</v>
      </c>
      <c r="DV149" s="423"/>
      <c r="DW149" s="424"/>
      <c r="DX149" s="422" t="s">
        <v>154</v>
      </c>
      <c r="DY149" s="423"/>
      <c r="DZ149" s="424"/>
      <c r="EA149" s="422" t="s">
        <v>155</v>
      </c>
      <c r="EB149" s="423"/>
      <c r="EC149" s="424"/>
      <c r="ED149" s="422" t="s">
        <v>156</v>
      </c>
      <c r="EE149" s="423"/>
      <c r="EF149" s="424"/>
      <c r="EG149" s="422" t="s">
        <v>157</v>
      </c>
      <c r="EH149" s="423"/>
      <c r="EI149" s="424"/>
      <c r="EJ149" s="422" t="s">
        <v>158</v>
      </c>
      <c r="EK149" s="423"/>
      <c r="EL149" s="424"/>
      <c r="EM149" s="422" t="s">
        <v>159</v>
      </c>
      <c r="EN149" s="423"/>
      <c r="EO149" s="424"/>
      <c r="EP149" s="422" t="s">
        <v>160</v>
      </c>
      <c r="EQ149" s="423"/>
      <c r="ER149" s="424"/>
      <c r="ES149" s="422" t="s">
        <v>161</v>
      </c>
      <c r="ET149" s="423"/>
      <c r="EU149" s="424"/>
      <c r="EV149" s="422" t="s">
        <v>162</v>
      </c>
      <c r="EW149" s="423"/>
      <c r="EX149" s="424"/>
      <c r="EY149" s="422" t="s">
        <v>163</v>
      </c>
      <c r="EZ149" s="423"/>
      <c r="FA149" s="424"/>
      <c r="FB149" s="422" t="s">
        <v>164</v>
      </c>
      <c r="FC149" s="423"/>
      <c r="FD149" s="424"/>
      <c r="FE149" s="422" t="s">
        <v>165</v>
      </c>
      <c r="FF149" s="423"/>
      <c r="FG149" s="424"/>
      <c r="FH149" s="422" t="s">
        <v>166</v>
      </c>
      <c r="FI149" s="423"/>
      <c r="FJ149" s="424"/>
      <c r="FK149" s="422" t="s">
        <v>167</v>
      </c>
      <c r="FL149" s="423"/>
      <c r="FM149" s="424"/>
      <c r="FN149" s="422" t="s">
        <v>168</v>
      </c>
      <c r="FO149" s="423"/>
      <c r="FP149" s="424"/>
      <c r="FQ149" s="422" t="s">
        <v>169</v>
      </c>
      <c r="FR149" s="423"/>
      <c r="FS149" s="424"/>
      <c r="FT149" s="422" t="s">
        <v>170</v>
      </c>
      <c r="FU149" s="423"/>
      <c r="FV149" s="424"/>
      <c r="FW149" s="422" t="s">
        <v>171</v>
      </c>
      <c r="FX149" s="423"/>
      <c r="FY149" s="424"/>
      <c r="FZ149" s="422" t="s">
        <v>172</v>
      </c>
      <c r="GA149" s="423"/>
      <c r="GB149" s="424"/>
      <c r="GC149" s="422" t="s">
        <v>173</v>
      </c>
      <c r="GD149" s="423"/>
      <c r="GE149" s="424"/>
      <c r="GF149" s="422" t="s">
        <v>174</v>
      </c>
      <c r="GG149" s="423"/>
      <c r="GH149" s="424"/>
      <c r="GI149" s="422" t="s">
        <v>175</v>
      </c>
      <c r="GJ149" s="423"/>
      <c r="GK149" s="424"/>
      <c r="GL149" s="422" t="s">
        <v>176</v>
      </c>
      <c r="GM149" s="423"/>
      <c r="GN149" s="424"/>
      <c r="GO149" s="422" t="s">
        <v>177</v>
      </c>
      <c r="GP149" s="423"/>
      <c r="GQ149" s="424"/>
      <c r="GR149" s="422" t="s">
        <v>178</v>
      </c>
      <c r="GS149" s="423"/>
      <c r="GT149" s="424"/>
      <c r="GU149" s="422" t="s">
        <v>179</v>
      </c>
      <c r="GV149" s="423"/>
      <c r="GW149" s="424"/>
      <c r="GX149" s="422" t="s">
        <v>180</v>
      </c>
      <c r="GY149" s="423"/>
      <c r="GZ149" s="424"/>
      <c r="HA149" s="422" t="s">
        <v>181</v>
      </c>
      <c r="HB149" s="423"/>
      <c r="HC149" s="424"/>
      <c r="HD149" s="431" t="s">
        <v>44</v>
      </c>
      <c r="HE149" s="431"/>
      <c r="HF149" s="431"/>
    </row>
    <row r="150" spans="1:215" ht="15.75" thickBot="1">
      <c r="A150" s="436"/>
      <c r="B150" s="348" t="s">
        <v>39</v>
      </c>
      <c r="C150" s="349" t="s">
        <v>40</v>
      </c>
      <c r="D150" s="350" t="s">
        <v>41</v>
      </c>
      <c r="E150" s="351" t="s">
        <v>39</v>
      </c>
      <c r="F150" s="349" t="s">
        <v>40</v>
      </c>
      <c r="G150" s="359" t="s">
        <v>41</v>
      </c>
      <c r="H150" s="348" t="s">
        <v>39</v>
      </c>
      <c r="I150" s="349" t="s">
        <v>40</v>
      </c>
      <c r="J150" s="350" t="s">
        <v>41</v>
      </c>
      <c r="K150" s="351" t="s">
        <v>39</v>
      </c>
      <c r="L150" s="349" t="s">
        <v>40</v>
      </c>
      <c r="M150" s="359" t="s">
        <v>41</v>
      </c>
      <c r="N150" s="348" t="s">
        <v>39</v>
      </c>
      <c r="O150" s="349" t="s">
        <v>40</v>
      </c>
      <c r="P150" s="350" t="s">
        <v>41</v>
      </c>
      <c r="Q150" s="351" t="s">
        <v>39</v>
      </c>
      <c r="R150" s="349" t="s">
        <v>40</v>
      </c>
      <c r="S150" s="359" t="s">
        <v>41</v>
      </c>
      <c r="T150" s="348" t="s">
        <v>39</v>
      </c>
      <c r="U150" s="349" t="s">
        <v>40</v>
      </c>
      <c r="V150" s="350" t="s">
        <v>41</v>
      </c>
      <c r="W150" s="351" t="s">
        <v>39</v>
      </c>
      <c r="X150" s="349" t="s">
        <v>40</v>
      </c>
      <c r="Y150" s="359" t="s">
        <v>41</v>
      </c>
      <c r="Z150" s="348" t="s">
        <v>39</v>
      </c>
      <c r="AA150" s="349" t="s">
        <v>40</v>
      </c>
      <c r="AB150" s="350" t="s">
        <v>41</v>
      </c>
      <c r="AC150" s="351" t="s">
        <v>39</v>
      </c>
      <c r="AD150" s="349" t="s">
        <v>40</v>
      </c>
      <c r="AE150" s="359" t="s">
        <v>41</v>
      </c>
      <c r="AF150" s="348" t="s">
        <v>39</v>
      </c>
      <c r="AG150" s="349" t="s">
        <v>40</v>
      </c>
      <c r="AH150" s="350" t="s">
        <v>41</v>
      </c>
      <c r="AI150" s="351" t="s">
        <v>39</v>
      </c>
      <c r="AJ150" s="349" t="s">
        <v>40</v>
      </c>
      <c r="AK150" s="359" t="s">
        <v>41</v>
      </c>
      <c r="AL150" s="348" t="s">
        <v>39</v>
      </c>
      <c r="AM150" s="349" t="s">
        <v>40</v>
      </c>
      <c r="AN150" s="350" t="s">
        <v>41</v>
      </c>
      <c r="AO150" s="351" t="s">
        <v>39</v>
      </c>
      <c r="AP150" s="349" t="s">
        <v>40</v>
      </c>
      <c r="AQ150" s="359" t="s">
        <v>41</v>
      </c>
      <c r="AR150" s="348" t="s">
        <v>39</v>
      </c>
      <c r="AS150" s="349" t="s">
        <v>40</v>
      </c>
      <c r="AT150" s="350" t="s">
        <v>41</v>
      </c>
      <c r="AU150" s="351" t="s">
        <v>39</v>
      </c>
      <c r="AV150" s="349" t="s">
        <v>40</v>
      </c>
      <c r="AW150" s="359" t="s">
        <v>41</v>
      </c>
      <c r="AX150" s="348" t="s">
        <v>39</v>
      </c>
      <c r="AY150" s="349" t="s">
        <v>40</v>
      </c>
      <c r="AZ150" s="350" t="s">
        <v>41</v>
      </c>
      <c r="BA150" s="351" t="s">
        <v>39</v>
      </c>
      <c r="BB150" s="349" t="s">
        <v>40</v>
      </c>
      <c r="BC150" s="359" t="s">
        <v>41</v>
      </c>
      <c r="BD150" s="348" t="s">
        <v>39</v>
      </c>
      <c r="BE150" s="349" t="s">
        <v>40</v>
      </c>
      <c r="BF150" s="350" t="s">
        <v>41</v>
      </c>
      <c r="BG150" s="351" t="s">
        <v>39</v>
      </c>
      <c r="BH150" s="349" t="s">
        <v>40</v>
      </c>
      <c r="BI150" s="359" t="s">
        <v>41</v>
      </c>
      <c r="BJ150" s="348" t="s">
        <v>39</v>
      </c>
      <c r="BK150" s="349" t="s">
        <v>40</v>
      </c>
      <c r="BL150" s="350" t="s">
        <v>41</v>
      </c>
      <c r="BM150" s="351" t="s">
        <v>39</v>
      </c>
      <c r="BN150" s="349" t="s">
        <v>40</v>
      </c>
      <c r="BO150" s="359" t="s">
        <v>41</v>
      </c>
      <c r="BP150" s="348" t="s">
        <v>39</v>
      </c>
      <c r="BQ150" s="349" t="s">
        <v>40</v>
      </c>
      <c r="BR150" s="350" t="s">
        <v>41</v>
      </c>
      <c r="BS150" s="351" t="s">
        <v>39</v>
      </c>
      <c r="BT150" s="349" t="s">
        <v>40</v>
      </c>
      <c r="BU150" s="359" t="s">
        <v>41</v>
      </c>
      <c r="BV150" s="348" t="s">
        <v>39</v>
      </c>
      <c r="BW150" s="349" t="s">
        <v>40</v>
      </c>
      <c r="BX150" s="350" t="s">
        <v>41</v>
      </c>
      <c r="BY150" s="351" t="s">
        <v>39</v>
      </c>
      <c r="BZ150" s="349" t="s">
        <v>40</v>
      </c>
      <c r="CA150" s="359" t="s">
        <v>41</v>
      </c>
      <c r="CB150" s="348" t="s">
        <v>39</v>
      </c>
      <c r="CC150" s="349" t="s">
        <v>40</v>
      </c>
      <c r="CD150" s="350" t="s">
        <v>41</v>
      </c>
      <c r="CE150" s="351" t="s">
        <v>39</v>
      </c>
      <c r="CF150" s="349" t="s">
        <v>40</v>
      </c>
      <c r="CG150" s="359" t="s">
        <v>41</v>
      </c>
      <c r="CH150" s="348" t="s">
        <v>39</v>
      </c>
      <c r="CI150" s="349" t="s">
        <v>40</v>
      </c>
      <c r="CJ150" s="350" t="s">
        <v>41</v>
      </c>
      <c r="CK150" s="200" t="s">
        <v>39</v>
      </c>
      <c r="CL150" s="385" t="s">
        <v>40</v>
      </c>
      <c r="CM150" s="201" t="s">
        <v>41</v>
      </c>
      <c r="CN150" s="304" t="s">
        <v>39</v>
      </c>
      <c r="CO150" s="305" t="s">
        <v>40</v>
      </c>
      <c r="CP150" s="306" t="s">
        <v>41</v>
      </c>
      <c r="CQ150" s="363" t="s">
        <v>39</v>
      </c>
      <c r="CR150" s="364" t="s">
        <v>40</v>
      </c>
      <c r="CS150" s="365" t="s">
        <v>41</v>
      </c>
      <c r="CT150" s="363" t="s">
        <v>39</v>
      </c>
      <c r="CU150" s="364" t="s">
        <v>40</v>
      </c>
      <c r="CV150" s="365" t="s">
        <v>41</v>
      </c>
      <c r="CW150" s="363" t="s">
        <v>39</v>
      </c>
      <c r="CX150" s="364" t="s">
        <v>40</v>
      </c>
      <c r="CY150" s="365" t="s">
        <v>41</v>
      </c>
      <c r="CZ150" s="363" t="s">
        <v>39</v>
      </c>
      <c r="DA150" s="364" t="s">
        <v>40</v>
      </c>
      <c r="DB150" s="365" t="s">
        <v>41</v>
      </c>
      <c r="DC150" s="348" t="s">
        <v>39</v>
      </c>
      <c r="DD150" s="349" t="s">
        <v>40</v>
      </c>
      <c r="DE150" s="350" t="s">
        <v>41</v>
      </c>
      <c r="DF150" s="351" t="s">
        <v>39</v>
      </c>
      <c r="DG150" s="349" t="s">
        <v>40</v>
      </c>
      <c r="DH150" s="359" t="s">
        <v>41</v>
      </c>
      <c r="DI150" s="348" t="s">
        <v>39</v>
      </c>
      <c r="DJ150" s="349" t="s">
        <v>40</v>
      </c>
      <c r="DK150" s="350" t="s">
        <v>41</v>
      </c>
      <c r="DL150" s="351" t="s">
        <v>39</v>
      </c>
      <c r="DM150" s="349" t="s">
        <v>40</v>
      </c>
      <c r="DN150" s="359" t="s">
        <v>41</v>
      </c>
      <c r="DO150" s="348" t="s">
        <v>39</v>
      </c>
      <c r="DP150" s="349" t="s">
        <v>40</v>
      </c>
      <c r="DQ150" s="350" t="s">
        <v>41</v>
      </c>
      <c r="DR150" s="351" t="s">
        <v>39</v>
      </c>
      <c r="DS150" s="349" t="s">
        <v>40</v>
      </c>
      <c r="DT150" s="359" t="s">
        <v>41</v>
      </c>
      <c r="DU150" s="348" t="s">
        <v>39</v>
      </c>
      <c r="DV150" s="349" t="s">
        <v>40</v>
      </c>
      <c r="DW150" s="350" t="s">
        <v>41</v>
      </c>
      <c r="DX150" s="351" t="s">
        <v>39</v>
      </c>
      <c r="DY150" s="349" t="s">
        <v>40</v>
      </c>
      <c r="DZ150" s="359" t="s">
        <v>41</v>
      </c>
      <c r="EA150" s="348" t="s">
        <v>39</v>
      </c>
      <c r="EB150" s="349" t="s">
        <v>40</v>
      </c>
      <c r="EC150" s="350" t="s">
        <v>41</v>
      </c>
      <c r="ED150" s="351" t="s">
        <v>39</v>
      </c>
      <c r="EE150" s="349" t="s">
        <v>40</v>
      </c>
      <c r="EF150" s="359" t="s">
        <v>41</v>
      </c>
      <c r="EG150" s="348" t="s">
        <v>39</v>
      </c>
      <c r="EH150" s="349" t="s">
        <v>40</v>
      </c>
      <c r="EI150" s="350" t="s">
        <v>41</v>
      </c>
      <c r="EJ150" s="351" t="s">
        <v>39</v>
      </c>
      <c r="EK150" s="349" t="s">
        <v>40</v>
      </c>
      <c r="EL150" s="359" t="s">
        <v>41</v>
      </c>
      <c r="EM150" s="348" t="s">
        <v>39</v>
      </c>
      <c r="EN150" s="349" t="s">
        <v>40</v>
      </c>
      <c r="EO150" s="350" t="s">
        <v>41</v>
      </c>
      <c r="EP150" s="351" t="s">
        <v>39</v>
      </c>
      <c r="EQ150" s="349" t="s">
        <v>40</v>
      </c>
      <c r="ER150" s="359" t="s">
        <v>41</v>
      </c>
      <c r="ES150" s="348" t="s">
        <v>39</v>
      </c>
      <c r="ET150" s="349" t="s">
        <v>40</v>
      </c>
      <c r="EU150" s="350" t="s">
        <v>41</v>
      </c>
      <c r="EV150" s="351" t="s">
        <v>39</v>
      </c>
      <c r="EW150" s="349" t="s">
        <v>40</v>
      </c>
      <c r="EX150" s="359" t="s">
        <v>41</v>
      </c>
      <c r="EY150" s="348" t="s">
        <v>39</v>
      </c>
      <c r="EZ150" s="349" t="s">
        <v>40</v>
      </c>
      <c r="FA150" s="350" t="s">
        <v>41</v>
      </c>
      <c r="FB150" s="351" t="s">
        <v>39</v>
      </c>
      <c r="FC150" s="349" t="s">
        <v>40</v>
      </c>
      <c r="FD150" s="359" t="s">
        <v>41</v>
      </c>
      <c r="FE150" s="348" t="s">
        <v>39</v>
      </c>
      <c r="FF150" s="349" t="s">
        <v>40</v>
      </c>
      <c r="FG150" s="350" t="s">
        <v>41</v>
      </c>
      <c r="FH150" s="351" t="s">
        <v>39</v>
      </c>
      <c r="FI150" s="349" t="s">
        <v>40</v>
      </c>
      <c r="FJ150" s="359" t="s">
        <v>41</v>
      </c>
      <c r="FK150" s="348" t="s">
        <v>39</v>
      </c>
      <c r="FL150" s="349" t="s">
        <v>40</v>
      </c>
      <c r="FM150" s="350" t="s">
        <v>41</v>
      </c>
      <c r="FN150" s="351" t="s">
        <v>39</v>
      </c>
      <c r="FO150" s="349" t="s">
        <v>40</v>
      </c>
      <c r="FP150" s="359" t="s">
        <v>41</v>
      </c>
      <c r="FQ150" s="348" t="s">
        <v>39</v>
      </c>
      <c r="FR150" s="349" t="s">
        <v>40</v>
      </c>
      <c r="FS150" s="350" t="s">
        <v>41</v>
      </c>
      <c r="FT150" s="351" t="s">
        <v>39</v>
      </c>
      <c r="FU150" s="349" t="s">
        <v>40</v>
      </c>
      <c r="FV150" s="359" t="s">
        <v>41</v>
      </c>
      <c r="FW150" s="348" t="s">
        <v>39</v>
      </c>
      <c r="FX150" s="349" t="s">
        <v>40</v>
      </c>
      <c r="FY150" s="350" t="s">
        <v>41</v>
      </c>
      <c r="FZ150" s="351" t="s">
        <v>39</v>
      </c>
      <c r="GA150" s="349" t="s">
        <v>40</v>
      </c>
      <c r="GB150" s="359" t="s">
        <v>41</v>
      </c>
      <c r="GC150" s="348" t="s">
        <v>39</v>
      </c>
      <c r="GD150" s="349" t="s">
        <v>40</v>
      </c>
      <c r="GE150" s="350" t="s">
        <v>41</v>
      </c>
      <c r="GF150" s="351" t="s">
        <v>39</v>
      </c>
      <c r="GG150" s="349" t="s">
        <v>40</v>
      </c>
      <c r="GH150" s="359" t="s">
        <v>41</v>
      </c>
      <c r="GI150" s="348" t="s">
        <v>39</v>
      </c>
      <c r="GJ150" s="349" t="s">
        <v>40</v>
      </c>
      <c r="GK150" s="350" t="s">
        <v>41</v>
      </c>
      <c r="GL150" s="200" t="s">
        <v>39</v>
      </c>
      <c r="GM150" s="385" t="s">
        <v>40</v>
      </c>
      <c r="GN150" s="201" t="s">
        <v>41</v>
      </c>
      <c r="GO150" s="304" t="s">
        <v>39</v>
      </c>
      <c r="GP150" s="305" t="s">
        <v>40</v>
      </c>
      <c r="GQ150" s="306" t="s">
        <v>41</v>
      </c>
      <c r="GR150" s="363" t="s">
        <v>39</v>
      </c>
      <c r="GS150" s="364" t="s">
        <v>40</v>
      </c>
      <c r="GT150" s="365" t="s">
        <v>41</v>
      </c>
      <c r="GU150" s="363" t="s">
        <v>39</v>
      </c>
      <c r="GV150" s="364" t="s">
        <v>40</v>
      </c>
      <c r="GW150" s="365" t="s">
        <v>41</v>
      </c>
      <c r="GX150" s="363" t="s">
        <v>39</v>
      </c>
      <c r="GY150" s="364" t="s">
        <v>40</v>
      </c>
      <c r="GZ150" s="365" t="s">
        <v>41</v>
      </c>
      <c r="HA150" s="363" t="s">
        <v>39</v>
      </c>
      <c r="HB150" s="364" t="s">
        <v>40</v>
      </c>
      <c r="HC150" s="365" t="s">
        <v>41</v>
      </c>
      <c r="HD150" s="371" t="s">
        <v>39</v>
      </c>
      <c r="HE150" s="193" t="s">
        <v>40</v>
      </c>
      <c r="HF150" s="193" t="s">
        <v>41</v>
      </c>
    </row>
    <row r="151" spans="1:215" ht="15.75" thickBot="1">
      <c r="A151" s="353">
        <v>1</v>
      </c>
      <c r="B151" s="116">
        <f>+B115/20</f>
        <v>0</v>
      </c>
      <c r="C151" s="117">
        <f>+C115/25</f>
        <v>0</v>
      </c>
      <c r="D151" s="119">
        <f>+D115/30</f>
        <v>0</v>
      </c>
      <c r="E151" s="194">
        <f>+E115/20</f>
        <v>0</v>
      </c>
      <c r="F151" s="117">
        <f>+F115/25</f>
        <v>0</v>
      </c>
      <c r="G151" s="118">
        <f>+G115/30</f>
        <v>0</v>
      </c>
      <c r="H151" s="116">
        <f>+H115/20</f>
        <v>0</v>
      </c>
      <c r="I151" s="117">
        <f>+I115/25</f>
        <v>0</v>
      </c>
      <c r="J151" s="119">
        <f>+J115/30</f>
        <v>0</v>
      </c>
      <c r="K151" s="194">
        <f>+K115/20</f>
        <v>0</v>
      </c>
      <c r="L151" s="117">
        <f>+L115/25</f>
        <v>0</v>
      </c>
      <c r="M151" s="118">
        <f>+M115/30</f>
        <v>0</v>
      </c>
      <c r="N151" s="116">
        <f>+N115/20</f>
        <v>0</v>
      </c>
      <c r="O151" s="117">
        <f>+O115/25</f>
        <v>0</v>
      </c>
      <c r="P151" s="119">
        <f>+P115/30</f>
        <v>0</v>
      </c>
      <c r="Q151" s="194">
        <f>+Q115/20</f>
        <v>0</v>
      </c>
      <c r="R151" s="117">
        <f>+R115/25</f>
        <v>0</v>
      </c>
      <c r="S151" s="118">
        <f>+S115/30</f>
        <v>0</v>
      </c>
      <c r="T151" s="116">
        <f>+T115/20</f>
        <v>0</v>
      </c>
      <c r="U151" s="117">
        <f>+U115/25</f>
        <v>0</v>
      </c>
      <c r="V151" s="119">
        <f>+V115/30</f>
        <v>0</v>
      </c>
      <c r="W151" s="194">
        <f>+W115/20</f>
        <v>0</v>
      </c>
      <c r="X151" s="117">
        <f>+X115/25</f>
        <v>0</v>
      </c>
      <c r="Y151" s="118">
        <f>+Y115/30</f>
        <v>0</v>
      </c>
      <c r="Z151" s="116">
        <f>+Z115/20</f>
        <v>0</v>
      </c>
      <c r="AA151" s="117">
        <f>+AA115/25</f>
        <v>0</v>
      </c>
      <c r="AB151" s="119">
        <f>+AB115/30</f>
        <v>0</v>
      </c>
      <c r="AC151" s="194">
        <f>+AC115/20</f>
        <v>0</v>
      </c>
      <c r="AD151" s="117">
        <f>+AD115/25</f>
        <v>0</v>
      </c>
      <c r="AE151" s="118">
        <f>+AE115/30</f>
        <v>0</v>
      </c>
      <c r="AF151" s="116">
        <f>+AF115/20</f>
        <v>0</v>
      </c>
      <c r="AG151" s="117">
        <f>+AG115/25</f>
        <v>0</v>
      </c>
      <c r="AH151" s="119">
        <f>+AH115/30</f>
        <v>0</v>
      </c>
      <c r="AI151" s="194">
        <f>+AI115/20</f>
        <v>0</v>
      </c>
      <c r="AJ151" s="117">
        <f>+AJ115/25</f>
        <v>0</v>
      </c>
      <c r="AK151" s="118">
        <f>+AK115/30</f>
        <v>0</v>
      </c>
      <c r="AL151" s="116">
        <f>+AL115/20</f>
        <v>0</v>
      </c>
      <c r="AM151" s="117">
        <f>+AM115/25</f>
        <v>0</v>
      </c>
      <c r="AN151" s="119">
        <f>+AN115/30</f>
        <v>0</v>
      </c>
      <c r="AO151" s="194">
        <f>+AO115/20</f>
        <v>0</v>
      </c>
      <c r="AP151" s="117">
        <f>+AP115/25</f>
        <v>0</v>
      </c>
      <c r="AQ151" s="118">
        <f>+AQ115/30</f>
        <v>0</v>
      </c>
      <c r="AR151" s="116">
        <f>+AR115/20</f>
        <v>0</v>
      </c>
      <c r="AS151" s="117">
        <f>+AS115/25</f>
        <v>0</v>
      </c>
      <c r="AT151" s="119">
        <f>+AT115/30</f>
        <v>0</v>
      </c>
      <c r="AU151" s="194">
        <f>+AU115/20</f>
        <v>0</v>
      </c>
      <c r="AV151" s="117">
        <f>+AV115/25</f>
        <v>0</v>
      </c>
      <c r="AW151" s="118">
        <f>+AW115/30</f>
        <v>0</v>
      </c>
      <c r="AX151" s="116">
        <f>+AX115/20</f>
        <v>0</v>
      </c>
      <c r="AY151" s="117">
        <f>+AY115/25</f>
        <v>0</v>
      </c>
      <c r="AZ151" s="119">
        <f>+AZ115/30</f>
        <v>0</v>
      </c>
      <c r="BA151" s="194">
        <f>+BA115/20</f>
        <v>0</v>
      </c>
      <c r="BB151" s="117">
        <f>+BB115/25</f>
        <v>0</v>
      </c>
      <c r="BC151" s="118">
        <f>+BC115/30</f>
        <v>0</v>
      </c>
      <c r="BD151" s="116">
        <f>+BD115/20</f>
        <v>0</v>
      </c>
      <c r="BE151" s="117">
        <f>+BE115/25</f>
        <v>0</v>
      </c>
      <c r="BF151" s="119">
        <f>+BF115/30</f>
        <v>0</v>
      </c>
      <c r="BG151" s="194">
        <f>+BG115/20</f>
        <v>0</v>
      </c>
      <c r="BH151" s="117">
        <f>+BH115/25</f>
        <v>0</v>
      </c>
      <c r="BI151" s="118">
        <f>+BI115/30</f>
        <v>0</v>
      </c>
      <c r="BJ151" s="116">
        <f>+BJ115/20</f>
        <v>0</v>
      </c>
      <c r="BK151" s="117">
        <f>+BK115/25</f>
        <v>0</v>
      </c>
      <c r="BL151" s="119">
        <f>+BL115/30</f>
        <v>0</v>
      </c>
      <c r="BM151" s="194">
        <f>+BM115/20</f>
        <v>0</v>
      </c>
      <c r="BN151" s="117">
        <f>+BN115/25</f>
        <v>0</v>
      </c>
      <c r="BO151" s="118">
        <f>+BO115/30</f>
        <v>0</v>
      </c>
      <c r="BP151" s="116">
        <f>+BP115/20</f>
        <v>0</v>
      </c>
      <c r="BQ151" s="117">
        <f>+BQ115/25</f>
        <v>0</v>
      </c>
      <c r="BR151" s="119">
        <f>+BR115/30</f>
        <v>0</v>
      </c>
      <c r="BS151" s="194">
        <f>+BS115/20</f>
        <v>0</v>
      </c>
      <c r="BT151" s="117">
        <f>+BT115/25</f>
        <v>0</v>
      </c>
      <c r="BU151" s="118">
        <f>+BU115/30</f>
        <v>0</v>
      </c>
      <c r="BV151" s="116">
        <f>+BV115/20</f>
        <v>0</v>
      </c>
      <c r="BW151" s="117">
        <f>+BW115/25</f>
        <v>0</v>
      </c>
      <c r="BX151" s="119">
        <f>+BX115/30</f>
        <v>0</v>
      </c>
      <c r="BY151" s="194">
        <f>+BY115/20</f>
        <v>0</v>
      </c>
      <c r="BZ151" s="117">
        <f>+BZ115/25</f>
        <v>0</v>
      </c>
      <c r="CA151" s="118">
        <f>+CA115/30</f>
        <v>0</v>
      </c>
      <c r="CB151" s="116">
        <f>+CB115/20</f>
        <v>0</v>
      </c>
      <c r="CC151" s="117">
        <f>+CC115/25</f>
        <v>0</v>
      </c>
      <c r="CD151" s="119">
        <f>+CD115/30</f>
        <v>0</v>
      </c>
      <c r="CE151" s="194">
        <f>+CE115/20</f>
        <v>0</v>
      </c>
      <c r="CF151" s="117">
        <f>+CF115/25</f>
        <v>0</v>
      </c>
      <c r="CG151" s="118">
        <f>+CG115/30</f>
        <v>0</v>
      </c>
      <c r="CH151" s="116">
        <f>+CH115/20</f>
        <v>0</v>
      </c>
      <c r="CI151" s="117">
        <f>+CI115/25</f>
        <v>0</v>
      </c>
      <c r="CJ151" s="119">
        <f>+CJ115/30</f>
        <v>0</v>
      </c>
      <c r="CK151" s="194">
        <f>+CK115/20</f>
        <v>0</v>
      </c>
      <c r="CL151" s="194">
        <f>+CL115/25</f>
        <v>0</v>
      </c>
      <c r="CM151" s="386">
        <f>+CM115/30</f>
        <v>0</v>
      </c>
      <c r="CN151" s="120">
        <f>+CN115/20</f>
        <v>0</v>
      </c>
      <c r="CO151" s="41">
        <f>+CO115/25</f>
        <v>0</v>
      </c>
      <c r="CP151" s="122">
        <f>+CP115/30</f>
        <v>0</v>
      </c>
      <c r="CQ151" s="194">
        <f>+CQ115/20</f>
        <v>0</v>
      </c>
      <c r="CR151" s="117">
        <f>+CR115/25</f>
        <v>0</v>
      </c>
      <c r="CS151" s="119">
        <f>+CS115/30</f>
        <v>0</v>
      </c>
      <c r="CT151" s="194">
        <f>+CT115/20</f>
        <v>0</v>
      </c>
      <c r="CU151" s="117">
        <f>+CU115/25</f>
        <v>0</v>
      </c>
      <c r="CV151" s="119">
        <f>+CV115/30</f>
        <v>0</v>
      </c>
      <c r="CW151" s="194">
        <f>+CW115/20</f>
        <v>0</v>
      </c>
      <c r="CX151" s="117">
        <f>+CX115/25</f>
        <v>0</v>
      </c>
      <c r="CY151" s="119">
        <f>+CY115/30</f>
        <v>0</v>
      </c>
      <c r="CZ151" s="194">
        <f>+CZ115/20</f>
        <v>0</v>
      </c>
      <c r="DA151" s="117">
        <f>+DA115/25</f>
        <v>0</v>
      </c>
      <c r="DB151" s="119">
        <f>+DB115/30</f>
        <v>0</v>
      </c>
      <c r="DC151" s="116">
        <f>+DC115/20</f>
        <v>0</v>
      </c>
      <c r="DD151" s="117">
        <f>+DD115/25</f>
        <v>0</v>
      </c>
      <c r="DE151" s="119">
        <f>+DE115/30</f>
        <v>0</v>
      </c>
      <c r="DF151" s="194">
        <f>+DF115/20</f>
        <v>0</v>
      </c>
      <c r="DG151" s="117">
        <f>+DG115/25</f>
        <v>0</v>
      </c>
      <c r="DH151" s="118">
        <f>+DH115/30</f>
        <v>0</v>
      </c>
      <c r="DI151" s="116">
        <f>+DI115/20</f>
        <v>0</v>
      </c>
      <c r="DJ151" s="117">
        <f>+DJ115/25</f>
        <v>0</v>
      </c>
      <c r="DK151" s="119">
        <f>+DK115/30</f>
        <v>0</v>
      </c>
      <c r="DL151" s="194">
        <f>+DL115/20</f>
        <v>0</v>
      </c>
      <c r="DM151" s="117">
        <f>+DM115/25</f>
        <v>0</v>
      </c>
      <c r="DN151" s="118">
        <f>+DN115/30</f>
        <v>0</v>
      </c>
      <c r="DO151" s="116">
        <f>+DO115/20</f>
        <v>0</v>
      </c>
      <c r="DP151" s="117">
        <f>+DP115/25</f>
        <v>0</v>
      </c>
      <c r="DQ151" s="119">
        <f>+DQ115/30</f>
        <v>0</v>
      </c>
      <c r="DR151" s="194">
        <f>+DR115/20</f>
        <v>0</v>
      </c>
      <c r="DS151" s="117">
        <f>+DS115/25</f>
        <v>0</v>
      </c>
      <c r="DT151" s="118">
        <f>+DT115/30</f>
        <v>0</v>
      </c>
      <c r="DU151" s="116">
        <f>+DU115/20</f>
        <v>0</v>
      </c>
      <c r="DV151" s="117">
        <f>+DV115/25</f>
        <v>0</v>
      </c>
      <c r="DW151" s="119">
        <f>+DW115/30</f>
        <v>0</v>
      </c>
      <c r="DX151" s="194">
        <f>+DX115/20</f>
        <v>0</v>
      </c>
      <c r="DY151" s="117">
        <f>+DY115/25</f>
        <v>0</v>
      </c>
      <c r="DZ151" s="118">
        <f>+DZ115/30</f>
        <v>0</v>
      </c>
      <c r="EA151" s="116">
        <f>+EA115/20</f>
        <v>0</v>
      </c>
      <c r="EB151" s="117">
        <f>+EB115/25</f>
        <v>0</v>
      </c>
      <c r="EC151" s="119">
        <f>+EC115/30</f>
        <v>0</v>
      </c>
      <c r="ED151" s="194">
        <f>+ED115/20</f>
        <v>0</v>
      </c>
      <c r="EE151" s="117">
        <f>+EE115/25</f>
        <v>0</v>
      </c>
      <c r="EF151" s="118">
        <f>+EF115/30</f>
        <v>0</v>
      </c>
      <c r="EG151" s="116">
        <f>+EG115/20</f>
        <v>0</v>
      </c>
      <c r="EH151" s="117">
        <f>+EH115/25</f>
        <v>0</v>
      </c>
      <c r="EI151" s="119">
        <f>+EI115/30</f>
        <v>0</v>
      </c>
      <c r="EJ151" s="194">
        <f>+EJ115/20</f>
        <v>0</v>
      </c>
      <c r="EK151" s="117">
        <f>+EK115/25</f>
        <v>0</v>
      </c>
      <c r="EL151" s="118">
        <f>+EL115/30</f>
        <v>0</v>
      </c>
      <c r="EM151" s="116">
        <f>+EM115/20</f>
        <v>0</v>
      </c>
      <c r="EN151" s="117">
        <f>+EN115/25</f>
        <v>0</v>
      </c>
      <c r="EO151" s="119">
        <f>+EO115/30</f>
        <v>0</v>
      </c>
      <c r="EP151" s="194">
        <f>+EP115/20</f>
        <v>0</v>
      </c>
      <c r="EQ151" s="117">
        <f>+EQ115/25</f>
        <v>0</v>
      </c>
      <c r="ER151" s="118">
        <f>+ER115/30</f>
        <v>0</v>
      </c>
      <c r="ES151" s="116">
        <f>+ES115/20</f>
        <v>0</v>
      </c>
      <c r="ET151" s="117">
        <f>+ET115/25</f>
        <v>0</v>
      </c>
      <c r="EU151" s="119">
        <f>+EU115/30</f>
        <v>0</v>
      </c>
      <c r="EV151" s="194">
        <f>+EV115/20</f>
        <v>0</v>
      </c>
      <c r="EW151" s="117">
        <f>+EW115/25</f>
        <v>0</v>
      </c>
      <c r="EX151" s="118">
        <f>+EX115/30</f>
        <v>0</v>
      </c>
      <c r="EY151" s="116">
        <f>+EY115/20</f>
        <v>0</v>
      </c>
      <c r="EZ151" s="117">
        <f>+EZ115/25</f>
        <v>0</v>
      </c>
      <c r="FA151" s="119">
        <f>+FA115/30</f>
        <v>0</v>
      </c>
      <c r="FB151" s="194">
        <f>+FB115/20</f>
        <v>0</v>
      </c>
      <c r="FC151" s="117">
        <f>+FC115/25</f>
        <v>0</v>
      </c>
      <c r="FD151" s="118">
        <f>+FD115/30</f>
        <v>0</v>
      </c>
      <c r="FE151" s="116">
        <f>+FE115/20</f>
        <v>0</v>
      </c>
      <c r="FF151" s="117">
        <f>+FF115/25</f>
        <v>0</v>
      </c>
      <c r="FG151" s="119">
        <f>+FG115/30</f>
        <v>0</v>
      </c>
      <c r="FH151" s="194">
        <f>+FH115/20</f>
        <v>0</v>
      </c>
      <c r="FI151" s="117">
        <f>+FI115/25</f>
        <v>0</v>
      </c>
      <c r="FJ151" s="118">
        <f>+FJ115/30</f>
        <v>0</v>
      </c>
      <c r="FK151" s="116">
        <f>+FK115/20</f>
        <v>0</v>
      </c>
      <c r="FL151" s="117">
        <f>+FL115/25</f>
        <v>0</v>
      </c>
      <c r="FM151" s="119">
        <f>+FM115/30</f>
        <v>0</v>
      </c>
      <c r="FN151" s="194">
        <f>+FN115/20</f>
        <v>0</v>
      </c>
      <c r="FO151" s="117">
        <f>+FO115/25</f>
        <v>0</v>
      </c>
      <c r="FP151" s="118">
        <f>+FP115/30</f>
        <v>0</v>
      </c>
      <c r="FQ151" s="116">
        <f>+FQ115/20</f>
        <v>0</v>
      </c>
      <c r="FR151" s="117">
        <f>+FR115/25</f>
        <v>0</v>
      </c>
      <c r="FS151" s="119">
        <f>+FS115/30</f>
        <v>0</v>
      </c>
      <c r="FT151" s="194">
        <f>+FT115/20</f>
        <v>0</v>
      </c>
      <c r="FU151" s="117">
        <f>+FU115/25</f>
        <v>0</v>
      </c>
      <c r="FV151" s="118">
        <f>+FV115/30</f>
        <v>0</v>
      </c>
      <c r="FW151" s="116">
        <f>+FW115/20</f>
        <v>0</v>
      </c>
      <c r="FX151" s="117">
        <f>+FX115/25</f>
        <v>0</v>
      </c>
      <c r="FY151" s="119">
        <f>+FY115/30</f>
        <v>0</v>
      </c>
      <c r="FZ151" s="194">
        <f>+FZ115/20</f>
        <v>0</v>
      </c>
      <c r="GA151" s="117">
        <f>+GA115/25</f>
        <v>0</v>
      </c>
      <c r="GB151" s="118">
        <f>+GB115/30</f>
        <v>0</v>
      </c>
      <c r="GC151" s="116">
        <f>+GC115/20</f>
        <v>0</v>
      </c>
      <c r="GD151" s="117">
        <f>+GD115/25</f>
        <v>0</v>
      </c>
      <c r="GE151" s="119">
        <f>+GE115/30</f>
        <v>0</v>
      </c>
      <c r="GF151" s="194">
        <f>+GF115/20</f>
        <v>0</v>
      </c>
      <c r="GG151" s="117">
        <f>+GG115/25</f>
        <v>0</v>
      </c>
      <c r="GH151" s="118">
        <f>+GH115/30</f>
        <v>0</v>
      </c>
      <c r="GI151" s="116">
        <f>+GI115/20</f>
        <v>0</v>
      </c>
      <c r="GJ151" s="117">
        <f>+GJ115/25</f>
        <v>0</v>
      </c>
      <c r="GK151" s="119">
        <f>+GK115/30</f>
        <v>0</v>
      </c>
      <c r="GL151" s="194">
        <f>+GL115/20</f>
        <v>0</v>
      </c>
      <c r="GM151" s="194">
        <f>+GM115/25</f>
        <v>0</v>
      </c>
      <c r="GN151" s="386">
        <f>+GN115/30</f>
        <v>0</v>
      </c>
      <c r="GO151" s="120">
        <f>+GO115/20</f>
        <v>0</v>
      </c>
      <c r="GP151" s="41">
        <f>+GP115/25</f>
        <v>0</v>
      </c>
      <c r="GQ151" s="122">
        <f>+GQ115/30</f>
        <v>0</v>
      </c>
      <c r="GR151" s="194">
        <f>+GR115/20</f>
        <v>0</v>
      </c>
      <c r="GS151" s="117">
        <f>+GS115/25</f>
        <v>0</v>
      </c>
      <c r="GT151" s="119">
        <f>+GT115/30</f>
        <v>0</v>
      </c>
      <c r="GU151" s="194">
        <f>+GU115/20</f>
        <v>0</v>
      </c>
      <c r="GV151" s="117">
        <f>+GV115/25</f>
        <v>0</v>
      </c>
      <c r="GW151" s="119">
        <f>+GW115/30</f>
        <v>0</v>
      </c>
      <c r="GX151" s="194">
        <f>+GX115/20</f>
        <v>0</v>
      </c>
      <c r="GY151" s="117">
        <f>+GY115/25</f>
        <v>0</v>
      </c>
      <c r="GZ151" s="119">
        <f>+GZ115/30</f>
        <v>0</v>
      </c>
      <c r="HA151" s="194">
        <f>+HA115/20</f>
        <v>0</v>
      </c>
      <c r="HB151" s="117">
        <f>+HB115/25</f>
        <v>0</v>
      </c>
      <c r="HC151" s="119">
        <f>+HC115/30</f>
        <v>0</v>
      </c>
      <c r="HD151" s="368">
        <f t="shared" ref="HD151" si="411">+B151+E151+H151+K151+N151+Q151+T151+W151+Z151+AC151+AF151+AI151+AL151+AO151+AR151+AU151+AX151+BA151+BD151+BG151+BJ151+BM151+BP151+BS151+BV151+BY151+CB151+CE151+CH151+CK151+CN151+CZ151+CQ151+CT151+CW151+DC151+DF151+DI151+DL151+DO151+DR151+DU151+DX151+EA151+ED151+EG151+EJ151+EM151+EP151+ES151+EV151+EY151+FB151+FE151+FH151+FK151+FN151+FQ151+FT151+FW151+FZ151+GC151+GF151+GI151+GL151+GO151+GR151+GU151+GX151+HA151</f>
        <v>0</v>
      </c>
      <c r="HE151" s="369">
        <f t="shared" ref="HE151" si="412">+C151+F151+I151+L151+O151+R151+U151+X151+AA151+AD151+AG151+AJ151+AM151+AP151+AS151+AV151+AY151+BB151+BE151+BH151+BK151+BN151+BQ151+BT151+BW151+BZ151+CC151+CF151+CI151+CL151+CO151+DA151+CR151+CU151+CX151+DD151+DG151+DJ151+DM151+DP151+DS151+DV151+DY151+EB151+EE151+EH151+EK151+EN151+EQ151+ET151+EW151+EZ151+FC151+FF151+FI151+FL151+FO151+FR151+FU151+FX151+GA151+GD151+GG151+GJ151+GM151+GP151+GS151+GV151+GY151+HB151</f>
        <v>0</v>
      </c>
      <c r="HF151" s="369">
        <f t="shared" ref="HF151" si="413">+D151+G151+J151+M151+P151+S151+V151+Y151+AE151+AH151+AK151+AQ151+AT151+AW151+AZ151+BC151+BF151+BI151+BL151+BO151+BR151+BU151+BX151+CA151+CD151+CG151+CJ151+CM151+CP151+DB151+AB151+AN151+CS151+CV151+CY151+DE151+DH151+DK151+DN151+DQ151+DT151+DW151+DZ151+EC151+EF151+EI151+EL151+EO151+ER151+EU151+EX151+FA151+FD151+FG151+FJ151+FM151+FP151+FS151+FV151+FY151+GB151+GE151+GH151+GK151+GN151+GQ151+GT151+GW151+GZ151+HC151</f>
        <v>0</v>
      </c>
      <c r="HG151" s="147">
        <f>+HF151+HE151+HD151</f>
        <v>0</v>
      </c>
    </row>
    <row r="152" spans="1:215" ht="15.75" thickBot="1">
      <c r="A152" s="238">
        <v>2</v>
      </c>
      <c r="B152" s="116">
        <f t="shared" ref="B152:B181" si="414">+B116/20</f>
        <v>0</v>
      </c>
      <c r="C152" s="117">
        <f t="shared" ref="C152:C181" si="415">+C116/25</f>
        <v>0</v>
      </c>
      <c r="D152" s="119">
        <f t="shared" ref="D152:D181" si="416">+D116/30</f>
        <v>0</v>
      </c>
      <c r="E152" s="194">
        <f t="shared" ref="E152:E181" si="417">+E116/20</f>
        <v>0</v>
      </c>
      <c r="F152" s="117">
        <f t="shared" ref="F152:F181" si="418">+F116/25</f>
        <v>0</v>
      </c>
      <c r="G152" s="118">
        <f t="shared" ref="G152:G181" si="419">+G116/30</f>
        <v>0</v>
      </c>
      <c r="H152" s="116">
        <f t="shared" ref="H152:H181" si="420">+H116/20</f>
        <v>0</v>
      </c>
      <c r="I152" s="117">
        <f t="shared" ref="I152:I181" si="421">+I116/25</f>
        <v>0</v>
      </c>
      <c r="J152" s="119">
        <f t="shared" ref="J152:J181" si="422">+J116/30</f>
        <v>0</v>
      </c>
      <c r="K152" s="194">
        <f t="shared" ref="K152:K181" si="423">+K116/20</f>
        <v>0</v>
      </c>
      <c r="L152" s="117">
        <f t="shared" ref="L152:L181" si="424">+L116/25</f>
        <v>0</v>
      </c>
      <c r="M152" s="118">
        <f t="shared" ref="M152:M181" si="425">+M116/30</f>
        <v>0</v>
      </c>
      <c r="N152" s="116">
        <f t="shared" ref="N152:N181" si="426">+N116/20</f>
        <v>0</v>
      </c>
      <c r="O152" s="117">
        <f t="shared" ref="O152:O181" si="427">+O116/25</f>
        <v>0</v>
      </c>
      <c r="P152" s="119">
        <f t="shared" ref="P152:P181" si="428">+P116/30</f>
        <v>0</v>
      </c>
      <c r="Q152" s="194">
        <f t="shared" ref="Q152:Q181" si="429">+Q116/20</f>
        <v>0</v>
      </c>
      <c r="R152" s="117">
        <f t="shared" ref="R152:R181" si="430">+R116/25</f>
        <v>0</v>
      </c>
      <c r="S152" s="118">
        <f t="shared" ref="S152:S181" si="431">+S116/30</f>
        <v>0</v>
      </c>
      <c r="T152" s="116">
        <f t="shared" ref="T152:T181" si="432">+T116/20</f>
        <v>0</v>
      </c>
      <c r="U152" s="117">
        <f t="shared" ref="U152:U181" si="433">+U116/25</f>
        <v>0</v>
      </c>
      <c r="V152" s="119">
        <f t="shared" ref="V152:V181" si="434">+V116/30</f>
        <v>0</v>
      </c>
      <c r="W152" s="194">
        <f t="shared" ref="W152:W181" si="435">+W116/20</f>
        <v>0</v>
      </c>
      <c r="X152" s="117">
        <f t="shared" ref="X152:X181" si="436">+X116/25</f>
        <v>0</v>
      </c>
      <c r="Y152" s="118">
        <f t="shared" ref="Y152:Y181" si="437">+Y116/30</f>
        <v>0</v>
      </c>
      <c r="Z152" s="116">
        <f t="shared" ref="Z152:Z181" si="438">+Z116/20</f>
        <v>0</v>
      </c>
      <c r="AA152" s="117">
        <f t="shared" ref="AA152:AA181" si="439">+AA116/25</f>
        <v>0</v>
      </c>
      <c r="AB152" s="119">
        <f t="shared" ref="AB152:AB181" si="440">+AB116/30</f>
        <v>0</v>
      </c>
      <c r="AC152" s="194">
        <f t="shared" ref="AC152:AC181" si="441">+AC116/20</f>
        <v>0</v>
      </c>
      <c r="AD152" s="117">
        <f t="shared" ref="AD152:AD181" si="442">+AD116/25</f>
        <v>0</v>
      </c>
      <c r="AE152" s="118">
        <f t="shared" ref="AE152:AE181" si="443">+AE116/30</f>
        <v>0</v>
      </c>
      <c r="AF152" s="116">
        <f t="shared" ref="AF152:AF181" si="444">+AF116/20</f>
        <v>0</v>
      </c>
      <c r="AG152" s="117">
        <f t="shared" ref="AG152:AG181" si="445">+AG116/25</f>
        <v>0</v>
      </c>
      <c r="AH152" s="119">
        <f t="shared" ref="AH152:AH181" si="446">+AH116/30</f>
        <v>0</v>
      </c>
      <c r="AI152" s="194">
        <f t="shared" ref="AI152:AI181" si="447">+AI116/20</f>
        <v>0</v>
      </c>
      <c r="AJ152" s="117">
        <f t="shared" ref="AJ152:AJ181" si="448">+AJ116/25</f>
        <v>0</v>
      </c>
      <c r="AK152" s="118">
        <f t="shared" ref="AK152:AK181" si="449">+AK116/30</f>
        <v>0</v>
      </c>
      <c r="AL152" s="116">
        <f t="shared" ref="AL152:AL181" si="450">+AL116/20</f>
        <v>0</v>
      </c>
      <c r="AM152" s="117">
        <f t="shared" ref="AM152:AM181" si="451">+AM116/25</f>
        <v>0</v>
      </c>
      <c r="AN152" s="119">
        <f t="shared" ref="AN152:AN181" si="452">+AN116/30</f>
        <v>0</v>
      </c>
      <c r="AO152" s="194">
        <f t="shared" ref="AO152:AO181" si="453">+AO116/20</f>
        <v>0</v>
      </c>
      <c r="AP152" s="117">
        <f t="shared" ref="AP152:AP181" si="454">+AP116/25</f>
        <v>0</v>
      </c>
      <c r="AQ152" s="118">
        <f t="shared" ref="AQ152:AQ181" si="455">+AQ116/30</f>
        <v>0</v>
      </c>
      <c r="AR152" s="116">
        <f t="shared" ref="AR152:AR181" si="456">+AR116/20</f>
        <v>0</v>
      </c>
      <c r="AS152" s="117">
        <f t="shared" ref="AS152:AS181" si="457">+AS116/25</f>
        <v>0</v>
      </c>
      <c r="AT152" s="119">
        <f t="shared" ref="AT152:AT181" si="458">+AT116/30</f>
        <v>0</v>
      </c>
      <c r="AU152" s="194">
        <f t="shared" ref="AU152:AU181" si="459">+AU116/20</f>
        <v>0</v>
      </c>
      <c r="AV152" s="117">
        <f t="shared" ref="AV152:AV181" si="460">+AV116/25</f>
        <v>0</v>
      </c>
      <c r="AW152" s="118">
        <f t="shared" ref="AW152:AW181" si="461">+AW116/30</f>
        <v>0</v>
      </c>
      <c r="AX152" s="116">
        <f t="shared" ref="AX152:AX181" si="462">+AX116/20</f>
        <v>0</v>
      </c>
      <c r="AY152" s="117">
        <f t="shared" ref="AY152:AY181" si="463">+AY116/25</f>
        <v>0</v>
      </c>
      <c r="AZ152" s="119">
        <f t="shared" ref="AZ152:AZ181" si="464">+AZ116/30</f>
        <v>0</v>
      </c>
      <c r="BA152" s="194">
        <f t="shared" ref="BA152:BA181" si="465">+BA116/20</f>
        <v>0</v>
      </c>
      <c r="BB152" s="117">
        <f t="shared" ref="BB152:BB181" si="466">+BB116/25</f>
        <v>0</v>
      </c>
      <c r="BC152" s="118">
        <f t="shared" ref="BC152:BC181" si="467">+BC116/30</f>
        <v>0</v>
      </c>
      <c r="BD152" s="116">
        <f t="shared" ref="BD152:BD181" si="468">+BD116/20</f>
        <v>0</v>
      </c>
      <c r="BE152" s="117">
        <f t="shared" ref="BE152:BE181" si="469">+BE116/25</f>
        <v>0</v>
      </c>
      <c r="BF152" s="119">
        <f t="shared" ref="BF152:BF181" si="470">+BF116/30</f>
        <v>0</v>
      </c>
      <c r="BG152" s="194">
        <f t="shared" ref="BG152:BG181" si="471">+BG116/20</f>
        <v>0</v>
      </c>
      <c r="BH152" s="117">
        <f t="shared" ref="BH152:BH181" si="472">+BH116/25</f>
        <v>0</v>
      </c>
      <c r="BI152" s="118">
        <f t="shared" ref="BI152:BI181" si="473">+BI116/30</f>
        <v>0</v>
      </c>
      <c r="BJ152" s="116">
        <f t="shared" ref="BJ152:BJ181" si="474">+BJ116/20</f>
        <v>0</v>
      </c>
      <c r="BK152" s="117">
        <f t="shared" ref="BK152:BK181" si="475">+BK116/25</f>
        <v>0</v>
      </c>
      <c r="BL152" s="119">
        <f t="shared" ref="BL152:BL181" si="476">+BL116/30</f>
        <v>0</v>
      </c>
      <c r="BM152" s="194">
        <f t="shared" ref="BM152:BM181" si="477">+BM116/20</f>
        <v>0</v>
      </c>
      <c r="BN152" s="117">
        <f t="shared" ref="BN152:BN181" si="478">+BN116/25</f>
        <v>0</v>
      </c>
      <c r="BO152" s="118">
        <f t="shared" ref="BO152:BO181" si="479">+BO116/30</f>
        <v>0</v>
      </c>
      <c r="BP152" s="116">
        <f t="shared" ref="BP152:BP181" si="480">+BP116/20</f>
        <v>0</v>
      </c>
      <c r="BQ152" s="117">
        <f t="shared" ref="BQ152:BQ181" si="481">+BQ116/25</f>
        <v>0</v>
      </c>
      <c r="BR152" s="119">
        <f>+BR116/30</f>
        <v>0</v>
      </c>
      <c r="BS152" s="194">
        <f t="shared" ref="BS152:BS181" si="482">+BS116/20</f>
        <v>0</v>
      </c>
      <c r="BT152" s="117">
        <f t="shared" ref="BT152:BT181" si="483">+BT116/25</f>
        <v>0</v>
      </c>
      <c r="BU152" s="118">
        <f t="shared" ref="BU152:BU181" si="484">+BU116/30</f>
        <v>0</v>
      </c>
      <c r="BV152" s="116">
        <f t="shared" ref="BV152:BV181" si="485">+BV116/20</f>
        <v>0</v>
      </c>
      <c r="BW152" s="117">
        <f t="shared" ref="BW152:BW181" si="486">+BW116/25</f>
        <v>0</v>
      </c>
      <c r="BX152" s="119">
        <f t="shared" ref="BX152:BX181" si="487">+BX116/30</f>
        <v>0</v>
      </c>
      <c r="BY152" s="194">
        <f t="shared" ref="BY152:BY181" si="488">+BY116/20</f>
        <v>0</v>
      </c>
      <c r="BZ152" s="117">
        <f t="shared" ref="BZ152:BZ181" si="489">+BZ116/25</f>
        <v>0</v>
      </c>
      <c r="CA152" s="118">
        <f t="shared" ref="CA152:CA181" si="490">+CA116/30</f>
        <v>0</v>
      </c>
      <c r="CB152" s="116">
        <f t="shared" ref="CB152:CB181" si="491">+CB116/20</f>
        <v>0</v>
      </c>
      <c r="CC152" s="117">
        <f t="shared" ref="CC152:CC181" si="492">+CC116/25</f>
        <v>0</v>
      </c>
      <c r="CD152" s="119">
        <f t="shared" ref="CD152:CD181" si="493">+CD116/30</f>
        <v>0</v>
      </c>
      <c r="CE152" s="194">
        <f t="shared" ref="CE152:CE181" si="494">+CE116/20</f>
        <v>0</v>
      </c>
      <c r="CF152" s="117">
        <f t="shared" ref="CF152:CF181" si="495">+CF116/25</f>
        <v>0</v>
      </c>
      <c r="CG152" s="118">
        <f t="shared" ref="CG152:CG181" si="496">+CG116/30</f>
        <v>0</v>
      </c>
      <c r="CH152" s="116">
        <f t="shared" ref="CH152:CH181" si="497">+CH116/20</f>
        <v>0</v>
      </c>
      <c r="CI152" s="117">
        <f t="shared" ref="CI152:CI181" si="498">+CI116/25</f>
        <v>0</v>
      </c>
      <c r="CJ152" s="119">
        <f t="shared" ref="CJ152:CJ181" si="499">+CJ116/30</f>
        <v>0</v>
      </c>
      <c r="CK152" s="194">
        <f t="shared" ref="CK152:CK181" si="500">+CK116/20</f>
        <v>0</v>
      </c>
      <c r="CL152" s="194">
        <f t="shared" ref="CL152:CL181" si="501">+CL116/25</f>
        <v>0</v>
      </c>
      <c r="CM152" s="386">
        <f t="shared" ref="CM152:CM181" si="502">+CM116/30</f>
        <v>0</v>
      </c>
      <c r="CN152" s="239">
        <f t="shared" ref="CN152:CN181" si="503">+CN116/20</f>
        <v>0</v>
      </c>
      <c r="CO152" s="43">
        <f t="shared" ref="CO152:CO181" si="504">+CO116/25</f>
        <v>0</v>
      </c>
      <c r="CP152" s="57">
        <f t="shared" ref="CP152:CP181" si="505">+CP116/30</f>
        <v>0</v>
      </c>
      <c r="CQ152" s="194">
        <f t="shared" ref="CQ152:CQ181" si="506">+CQ116/20</f>
        <v>0</v>
      </c>
      <c r="CR152" s="117">
        <f t="shared" ref="CR152:CR181" si="507">+CR116/25</f>
        <v>0</v>
      </c>
      <c r="CS152" s="119">
        <f t="shared" ref="CS152:CS181" si="508">+CS116/30</f>
        <v>0</v>
      </c>
      <c r="CT152" s="194">
        <f t="shared" ref="CT152:CT181" si="509">+CT116/20</f>
        <v>0</v>
      </c>
      <c r="CU152" s="117">
        <f t="shared" ref="CU152:CU181" si="510">+CU116/25</f>
        <v>0</v>
      </c>
      <c r="CV152" s="119">
        <f t="shared" ref="CV152:CV181" si="511">+CV116/30</f>
        <v>0</v>
      </c>
      <c r="CW152" s="194">
        <f t="shared" ref="CW152:CW181" si="512">+CW116/20</f>
        <v>0</v>
      </c>
      <c r="CX152" s="117">
        <f t="shared" ref="CX152:CX181" si="513">+CX116/25</f>
        <v>0</v>
      </c>
      <c r="CY152" s="119">
        <f t="shared" ref="CY152:CY181" si="514">+CY116/30</f>
        <v>0</v>
      </c>
      <c r="CZ152" s="194">
        <f t="shared" ref="CZ152:CZ181" si="515">+CZ116/20</f>
        <v>0</v>
      </c>
      <c r="DA152" s="117">
        <f t="shared" ref="DA152:DA181" si="516">+DA116/25</f>
        <v>0</v>
      </c>
      <c r="DB152" s="119">
        <f t="shared" ref="DB152:DB181" si="517">+DB116/30</f>
        <v>0</v>
      </c>
      <c r="DC152" s="116">
        <f t="shared" ref="DC152:DC181" si="518">+DC116/20</f>
        <v>0</v>
      </c>
      <c r="DD152" s="117">
        <f t="shared" ref="DD152:DD181" si="519">+DD116/25</f>
        <v>0</v>
      </c>
      <c r="DE152" s="119">
        <f t="shared" ref="DE152:DE181" si="520">+DE116/30</f>
        <v>0</v>
      </c>
      <c r="DF152" s="194">
        <f t="shared" ref="DF152:DF181" si="521">+DF116/20</f>
        <v>0</v>
      </c>
      <c r="DG152" s="117">
        <f t="shared" ref="DG152:DG181" si="522">+DG116/25</f>
        <v>0</v>
      </c>
      <c r="DH152" s="118">
        <f t="shared" ref="DH152:DH181" si="523">+DH116/30</f>
        <v>0</v>
      </c>
      <c r="DI152" s="116">
        <f t="shared" ref="DI152:DI181" si="524">+DI116/20</f>
        <v>0</v>
      </c>
      <c r="DJ152" s="117">
        <f t="shared" ref="DJ152:DJ181" si="525">+DJ116/25</f>
        <v>0</v>
      </c>
      <c r="DK152" s="119">
        <f t="shared" ref="DK152:DK181" si="526">+DK116/30</f>
        <v>0</v>
      </c>
      <c r="DL152" s="194">
        <f t="shared" ref="DL152:DL181" si="527">+DL116/20</f>
        <v>0</v>
      </c>
      <c r="DM152" s="117">
        <f t="shared" ref="DM152:DM181" si="528">+DM116/25</f>
        <v>0</v>
      </c>
      <c r="DN152" s="118">
        <f t="shared" ref="DN152:DN181" si="529">+DN116/30</f>
        <v>0</v>
      </c>
      <c r="DO152" s="116">
        <f t="shared" ref="DO152:DO181" si="530">+DO116/20</f>
        <v>0</v>
      </c>
      <c r="DP152" s="117">
        <f t="shared" ref="DP152:DP181" si="531">+DP116/25</f>
        <v>0</v>
      </c>
      <c r="DQ152" s="119">
        <f t="shared" ref="DQ152:DQ181" si="532">+DQ116/30</f>
        <v>0</v>
      </c>
      <c r="DR152" s="194">
        <f t="shared" ref="DR152:DR181" si="533">+DR116/20</f>
        <v>0</v>
      </c>
      <c r="DS152" s="117">
        <f t="shared" ref="DS152:DS181" si="534">+DS116/25</f>
        <v>0</v>
      </c>
      <c r="DT152" s="118">
        <f t="shared" ref="DT152:DT181" si="535">+DT116/30</f>
        <v>0</v>
      </c>
      <c r="DU152" s="116">
        <f t="shared" ref="DU152:DU181" si="536">+DU116/20</f>
        <v>0</v>
      </c>
      <c r="DV152" s="117">
        <f t="shared" ref="DV152:DV181" si="537">+DV116/25</f>
        <v>0</v>
      </c>
      <c r="DW152" s="119">
        <f t="shared" ref="DW152:DW181" si="538">+DW116/30</f>
        <v>0</v>
      </c>
      <c r="DX152" s="194">
        <f t="shared" ref="DX152:DX181" si="539">+DX116/20</f>
        <v>0</v>
      </c>
      <c r="DY152" s="117">
        <f t="shared" ref="DY152:DY181" si="540">+DY116/25</f>
        <v>0</v>
      </c>
      <c r="DZ152" s="118">
        <f t="shared" ref="DZ152:DZ181" si="541">+DZ116/30</f>
        <v>0</v>
      </c>
      <c r="EA152" s="116">
        <f t="shared" ref="EA152:EA181" si="542">+EA116/20</f>
        <v>0</v>
      </c>
      <c r="EB152" s="117">
        <f t="shared" ref="EB152:EB181" si="543">+EB116/25</f>
        <v>0</v>
      </c>
      <c r="EC152" s="119">
        <f t="shared" ref="EC152:EC181" si="544">+EC116/30</f>
        <v>0</v>
      </c>
      <c r="ED152" s="194">
        <f t="shared" ref="ED152:ED181" si="545">+ED116/20</f>
        <v>0</v>
      </c>
      <c r="EE152" s="117">
        <f t="shared" ref="EE152:EE181" si="546">+EE116/25</f>
        <v>0</v>
      </c>
      <c r="EF152" s="118">
        <f t="shared" ref="EF152:EF181" si="547">+EF116/30</f>
        <v>0</v>
      </c>
      <c r="EG152" s="116">
        <f t="shared" ref="EG152:EG181" si="548">+EG116/20</f>
        <v>0</v>
      </c>
      <c r="EH152" s="117">
        <f t="shared" ref="EH152:EH181" si="549">+EH116/25</f>
        <v>0</v>
      </c>
      <c r="EI152" s="119">
        <f t="shared" ref="EI152:EI181" si="550">+EI116/30</f>
        <v>0</v>
      </c>
      <c r="EJ152" s="194">
        <f t="shared" ref="EJ152:EJ181" si="551">+EJ116/20</f>
        <v>0</v>
      </c>
      <c r="EK152" s="117">
        <f t="shared" ref="EK152:EK181" si="552">+EK116/25</f>
        <v>0</v>
      </c>
      <c r="EL152" s="118">
        <f t="shared" ref="EL152:EL181" si="553">+EL116/30</f>
        <v>0</v>
      </c>
      <c r="EM152" s="116">
        <f t="shared" ref="EM152:EM181" si="554">+EM116/20</f>
        <v>0</v>
      </c>
      <c r="EN152" s="117">
        <f t="shared" ref="EN152:EN181" si="555">+EN116/25</f>
        <v>0</v>
      </c>
      <c r="EO152" s="119">
        <f t="shared" ref="EO152:EO181" si="556">+EO116/30</f>
        <v>0</v>
      </c>
      <c r="EP152" s="194">
        <f t="shared" ref="EP152:EP181" si="557">+EP116/20</f>
        <v>0</v>
      </c>
      <c r="EQ152" s="117">
        <f t="shared" ref="EQ152:EQ181" si="558">+EQ116/25</f>
        <v>0</v>
      </c>
      <c r="ER152" s="118">
        <f t="shared" ref="ER152:ER181" si="559">+ER116/30</f>
        <v>0</v>
      </c>
      <c r="ES152" s="116">
        <f t="shared" ref="ES152:ES181" si="560">+ES116/20</f>
        <v>0</v>
      </c>
      <c r="ET152" s="117">
        <f t="shared" ref="ET152:ET181" si="561">+ET116/25</f>
        <v>0</v>
      </c>
      <c r="EU152" s="119">
        <f t="shared" ref="EU152:EU181" si="562">+EU116/30</f>
        <v>0</v>
      </c>
      <c r="EV152" s="194">
        <f t="shared" ref="EV152:EV181" si="563">+EV116/20</f>
        <v>0</v>
      </c>
      <c r="EW152" s="117">
        <f t="shared" ref="EW152:EW181" si="564">+EW116/25</f>
        <v>0</v>
      </c>
      <c r="EX152" s="118">
        <f t="shared" ref="EX152:EX181" si="565">+EX116/30</f>
        <v>0</v>
      </c>
      <c r="EY152" s="116">
        <f t="shared" ref="EY152:EY181" si="566">+EY116/20</f>
        <v>0</v>
      </c>
      <c r="EZ152" s="117">
        <f t="shared" ref="EZ152:EZ181" si="567">+EZ116/25</f>
        <v>0</v>
      </c>
      <c r="FA152" s="119">
        <f t="shared" ref="FA152:FA181" si="568">+FA116/30</f>
        <v>0</v>
      </c>
      <c r="FB152" s="194">
        <f t="shared" ref="FB152:FB181" si="569">+FB116/20</f>
        <v>0</v>
      </c>
      <c r="FC152" s="117">
        <f t="shared" ref="FC152:FC181" si="570">+FC116/25</f>
        <v>0</v>
      </c>
      <c r="FD152" s="118">
        <f t="shared" ref="FD152:FD181" si="571">+FD116/30</f>
        <v>0</v>
      </c>
      <c r="FE152" s="116">
        <f t="shared" ref="FE152:FE181" si="572">+FE116/20</f>
        <v>0</v>
      </c>
      <c r="FF152" s="117">
        <f t="shared" ref="FF152:FF181" si="573">+FF116/25</f>
        <v>0</v>
      </c>
      <c r="FG152" s="119">
        <f t="shared" ref="FG152:FG181" si="574">+FG116/30</f>
        <v>0</v>
      </c>
      <c r="FH152" s="194">
        <f t="shared" ref="FH152:FH181" si="575">+FH116/20</f>
        <v>0</v>
      </c>
      <c r="FI152" s="117">
        <f t="shared" ref="FI152:FI181" si="576">+FI116/25</f>
        <v>0</v>
      </c>
      <c r="FJ152" s="118">
        <f t="shared" ref="FJ152:FJ181" si="577">+FJ116/30</f>
        <v>0</v>
      </c>
      <c r="FK152" s="116">
        <f t="shared" ref="FK152:FK181" si="578">+FK116/20</f>
        <v>0</v>
      </c>
      <c r="FL152" s="117">
        <f t="shared" ref="FL152:FL181" si="579">+FL116/25</f>
        <v>0</v>
      </c>
      <c r="FM152" s="119">
        <f t="shared" ref="FM152:FM181" si="580">+FM116/30</f>
        <v>0</v>
      </c>
      <c r="FN152" s="194">
        <f t="shared" ref="FN152:FN181" si="581">+FN116/20</f>
        <v>0</v>
      </c>
      <c r="FO152" s="117">
        <f t="shared" ref="FO152:FO181" si="582">+FO116/25</f>
        <v>0</v>
      </c>
      <c r="FP152" s="118">
        <f t="shared" ref="FP152:FP181" si="583">+FP116/30</f>
        <v>0</v>
      </c>
      <c r="FQ152" s="116">
        <f t="shared" ref="FQ152:FQ181" si="584">+FQ116/20</f>
        <v>0</v>
      </c>
      <c r="FR152" s="117">
        <f t="shared" ref="FR152:FR181" si="585">+FR116/25</f>
        <v>0</v>
      </c>
      <c r="FS152" s="119">
        <f>+FS116/30</f>
        <v>0</v>
      </c>
      <c r="FT152" s="194">
        <f t="shared" ref="FT152:FT181" si="586">+FT116/20</f>
        <v>0</v>
      </c>
      <c r="FU152" s="117">
        <f t="shared" ref="FU152:FU181" si="587">+FU116/25</f>
        <v>0</v>
      </c>
      <c r="FV152" s="118">
        <f t="shared" ref="FV152:FV181" si="588">+FV116/30</f>
        <v>0</v>
      </c>
      <c r="FW152" s="116">
        <f t="shared" ref="FW152:FW181" si="589">+FW116/20</f>
        <v>0</v>
      </c>
      <c r="FX152" s="117">
        <f t="shared" ref="FX152:FX181" si="590">+FX116/25</f>
        <v>0</v>
      </c>
      <c r="FY152" s="119">
        <f t="shared" ref="FY152:FY181" si="591">+FY116/30</f>
        <v>0</v>
      </c>
      <c r="FZ152" s="194">
        <f t="shared" ref="FZ152:FZ181" si="592">+FZ116/20</f>
        <v>0</v>
      </c>
      <c r="GA152" s="117">
        <f t="shared" ref="GA152:GA181" si="593">+GA116/25</f>
        <v>0</v>
      </c>
      <c r="GB152" s="118">
        <f t="shared" ref="GB152:GB181" si="594">+GB116/30</f>
        <v>0</v>
      </c>
      <c r="GC152" s="116">
        <f t="shared" ref="GC152:GC181" si="595">+GC116/20</f>
        <v>0</v>
      </c>
      <c r="GD152" s="117">
        <f t="shared" ref="GD152:GD181" si="596">+GD116/25</f>
        <v>0</v>
      </c>
      <c r="GE152" s="119">
        <f t="shared" ref="GE152:GE181" si="597">+GE116/30</f>
        <v>0</v>
      </c>
      <c r="GF152" s="194">
        <f t="shared" ref="GF152:GF181" si="598">+GF116/20</f>
        <v>0</v>
      </c>
      <c r="GG152" s="117">
        <f t="shared" ref="GG152:GG181" si="599">+GG116/25</f>
        <v>0</v>
      </c>
      <c r="GH152" s="118">
        <f t="shared" ref="GH152:GH181" si="600">+GH116/30</f>
        <v>0</v>
      </c>
      <c r="GI152" s="116">
        <f t="shared" ref="GI152:GI181" si="601">+GI116/20</f>
        <v>0</v>
      </c>
      <c r="GJ152" s="117">
        <f t="shared" ref="GJ152:GJ181" si="602">+GJ116/25</f>
        <v>0</v>
      </c>
      <c r="GK152" s="119">
        <f t="shared" ref="GK152:GK181" si="603">+GK116/30</f>
        <v>0</v>
      </c>
      <c r="GL152" s="194">
        <f t="shared" ref="GL152:GL181" si="604">+GL116/20</f>
        <v>0</v>
      </c>
      <c r="GM152" s="194">
        <f t="shared" ref="GM152:GM181" si="605">+GM116/25</f>
        <v>0</v>
      </c>
      <c r="GN152" s="386">
        <f t="shared" ref="GN152:GN181" si="606">+GN116/30</f>
        <v>0</v>
      </c>
      <c r="GO152" s="239">
        <f t="shared" ref="GO152:GO181" si="607">+GO116/20</f>
        <v>0</v>
      </c>
      <c r="GP152" s="43">
        <f t="shared" ref="GP152:GP181" si="608">+GP116/25</f>
        <v>0</v>
      </c>
      <c r="GQ152" s="57">
        <f t="shared" ref="GQ152:GQ181" si="609">+GQ116/30</f>
        <v>0</v>
      </c>
      <c r="GR152" s="194">
        <f t="shared" ref="GR152:GR181" si="610">+GR116/20</f>
        <v>0</v>
      </c>
      <c r="GS152" s="117">
        <f t="shared" ref="GS152:GS181" si="611">+GS116/25</f>
        <v>0</v>
      </c>
      <c r="GT152" s="119">
        <f t="shared" ref="GT152:GT181" si="612">+GT116/30</f>
        <v>0</v>
      </c>
      <c r="GU152" s="194">
        <f t="shared" ref="GU152:GU181" si="613">+GU116/20</f>
        <v>0</v>
      </c>
      <c r="GV152" s="117">
        <f t="shared" ref="GV152:GV181" si="614">+GV116/25</f>
        <v>0</v>
      </c>
      <c r="GW152" s="119">
        <f t="shared" ref="GW152:GW181" si="615">+GW116/30</f>
        <v>0</v>
      </c>
      <c r="GX152" s="194">
        <f t="shared" ref="GX152:GX181" si="616">+GX116/20</f>
        <v>0</v>
      </c>
      <c r="GY152" s="117">
        <f t="shared" ref="GY152:GY181" si="617">+GY116/25</f>
        <v>0</v>
      </c>
      <c r="GZ152" s="119">
        <f t="shared" ref="GZ152:GZ181" si="618">+GZ116/30</f>
        <v>0</v>
      </c>
      <c r="HA152" s="194">
        <f t="shared" ref="HA152:HA181" si="619">+HA116/20</f>
        <v>0</v>
      </c>
      <c r="HB152" s="117">
        <f t="shared" ref="HB152:HB181" si="620">+HB116/25</f>
        <v>0</v>
      </c>
      <c r="HC152" s="119">
        <f t="shared" ref="HC152:HC181" si="621">+HC116/30</f>
        <v>0</v>
      </c>
      <c r="HD152" s="368">
        <f t="shared" ref="HD152:HD181" si="622">+B152+E152+H152+K152+N152+Q152+T152+W152+Z152+AC152+AF152+AI152+AL152+AO152+AR152+AU152+AX152+BA152+BD152+BG152+BJ152+BM152+BP152+BS152+BV152+BY152+CB152+CE152+CH152+CK152+CN152+CZ152+CQ152+CT152+CW152+DC152+DF152+DI152+DL152+DO152+DR152+DU152+DX152+EA152+ED152+EG152+EJ152+EM152+EP152+ES152+EV152+EY152+FB152+FE152+FH152+FK152+FN152+FQ152+FT152+FW152+FZ152+GC152+GF152+GI152+GL152+GO152+GR152+GU152+GX152+HA152</f>
        <v>0</v>
      </c>
      <c r="HE152" s="369">
        <f t="shared" ref="HE152:HE181" si="623">+C152+F152+I152+L152+O152+R152+U152+X152+AA152+AD152+AG152+AJ152+AM152+AP152+AS152+AV152+AY152+BB152+BE152+BH152+BK152+BN152+BQ152+BT152+BW152+BZ152+CC152+CF152+CI152+CL152+CO152+DA152+CR152+CU152+CX152+DD152+DG152+DJ152+DM152+DP152+DS152+DV152+DY152+EB152+EE152+EH152+EK152+EN152+EQ152+ET152+EW152+EZ152+FC152+FF152+FI152+FL152+FO152+FR152+FU152+FX152+GA152+GD152+GG152+GJ152+GM152+GP152+GS152+GV152+GY152+HB152</f>
        <v>0</v>
      </c>
      <c r="HF152" s="369">
        <f t="shared" ref="HF152:HF180" si="624">+D152+G152+J152+M152+P152+S152+V152+Y152+AE152+AH152+AK152+AQ152+AT152+AW152+AZ152+BC152+BF152+BI152+BL152+BO152+BR152+BU152+BX152+CA152+CD152+CG152+CJ152+CM152+CP152+DB152+AB152+AN152+CS152+CV152+CY152+DE152+DH152+DK152+DN152+DQ152+DT152+DW152+DZ152+EC152+EF152+EI152+EL152+EO152+ER152+EU152+EX152+FA152+FD152+FG152+FJ152+FM152+FP152+FS152+FV152+FY152+GB152+GE152+GH152+GK152+GN152+GQ152+GT152+GW152+GZ152+HC152</f>
        <v>0</v>
      </c>
      <c r="HG152" s="147">
        <f t="shared" ref="HG152:HG181" si="625">+HF152+HE152+HD152</f>
        <v>0</v>
      </c>
    </row>
    <row r="153" spans="1:215" ht="15.75" thickBot="1">
      <c r="A153" s="238">
        <v>3</v>
      </c>
      <c r="B153" s="116">
        <f t="shared" si="414"/>
        <v>0</v>
      </c>
      <c r="C153" s="117">
        <f t="shared" si="415"/>
        <v>0</v>
      </c>
      <c r="D153" s="119">
        <f t="shared" si="416"/>
        <v>0</v>
      </c>
      <c r="E153" s="194">
        <f t="shared" si="417"/>
        <v>0</v>
      </c>
      <c r="F153" s="117">
        <f t="shared" si="418"/>
        <v>0</v>
      </c>
      <c r="G153" s="118">
        <f t="shared" si="419"/>
        <v>0</v>
      </c>
      <c r="H153" s="116">
        <f t="shared" si="420"/>
        <v>0</v>
      </c>
      <c r="I153" s="117">
        <f t="shared" si="421"/>
        <v>0</v>
      </c>
      <c r="J153" s="119">
        <f t="shared" si="422"/>
        <v>0</v>
      </c>
      <c r="K153" s="194">
        <f t="shared" si="423"/>
        <v>0</v>
      </c>
      <c r="L153" s="117">
        <f t="shared" si="424"/>
        <v>0</v>
      </c>
      <c r="M153" s="118">
        <f t="shared" si="425"/>
        <v>0</v>
      </c>
      <c r="N153" s="116">
        <f t="shared" si="426"/>
        <v>0</v>
      </c>
      <c r="O153" s="117">
        <f t="shared" si="427"/>
        <v>0</v>
      </c>
      <c r="P153" s="119">
        <f t="shared" si="428"/>
        <v>0</v>
      </c>
      <c r="Q153" s="194">
        <f t="shared" si="429"/>
        <v>0</v>
      </c>
      <c r="R153" s="117">
        <f t="shared" si="430"/>
        <v>0</v>
      </c>
      <c r="S153" s="118">
        <f t="shared" si="431"/>
        <v>0</v>
      </c>
      <c r="T153" s="116">
        <f t="shared" si="432"/>
        <v>0</v>
      </c>
      <c r="U153" s="117">
        <f t="shared" si="433"/>
        <v>0</v>
      </c>
      <c r="V153" s="119">
        <f t="shared" si="434"/>
        <v>0</v>
      </c>
      <c r="W153" s="194">
        <f t="shared" si="435"/>
        <v>0</v>
      </c>
      <c r="X153" s="117">
        <f t="shared" si="436"/>
        <v>0</v>
      </c>
      <c r="Y153" s="118">
        <f t="shared" si="437"/>
        <v>0</v>
      </c>
      <c r="Z153" s="116">
        <f t="shared" si="438"/>
        <v>0</v>
      </c>
      <c r="AA153" s="117">
        <f t="shared" si="439"/>
        <v>0</v>
      </c>
      <c r="AB153" s="119">
        <f t="shared" si="440"/>
        <v>0</v>
      </c>
      <c r="AC153" s="194">
        <f t="shared" si="441"/>
        <v>0</v>
      </c>
      <c r="AD153" s="117">
        <f t="shared" si="442"/>
        <v>0</v>
      </c>
      <c r="AE153" s="118">
        <f t="shared" si="443"/>
        <v>0</v>
      </c>
      <c r="AF153" s="116">
        <f t="shared" si="444"/>
        <v>0</v>
      </c>
      <c r="AG153" s="117">
        <f t="shared" si="445"/>
        <v>0</v>
      </c>
      <c r="AH153" s="119">
        <f t="shared" si="446"/>
        <v>0</v>
      </c>
      <c r="AI153" s="194">
        <f t="shared" si="447"/>
        <v>0</v>
      </c>
      <c r="AJ153" s="117">
        <f t="shared" si="448"/>
        <v>0</v>
      </c>
      <c r="AK153" s="118">
        <f t="shared" si="449"/>
        <v>0</v>
      </c>
      <c r="AL153" s="116">
        <f t="shared" si="450"/>
        <v>0</v>
      </c>
      <c r="AM153" s="117">
        <f t="shared" si="451"/>
        <v>0</v>
      </c>
      <c r="AN153" s="119">
        <f t="shared" si="452"/>
        <v>0</v>
      </c>
      <c r="AO153" s="194">
        <f t="shared" si="453"/>
        <v>0</v>
      </c>
      <c r="AP153" s="117">
        <f t="shared" si="454"/>
        <v>0</v>
      </c>
      <c r="AQ153" s="118">
        <f t="shared" si="455"/>
        <v>0</v>
      </c>
      <c r="AR153" s="116">
        <f t="shared" si="456"/>
        <v>0</v>
      </c>
      <c r="AS153" s="117">
        <f t="shared" si="457"/>
        <v>0</v>
      </c>
      <c r="AT153" s="119">
        <f t="shared" si="458"/>
        <v>0</v>
      </c>
      <c r="AU153" s="194">
        <f t="shared" si="459"/>
        <v>0</v>
      </c>
      <c r="AV153" s="117">
        <f t="shared" si="460"/>
        <v>0</v>
      </c>
      <c r="AW153" s="118">
        <f t="shared" si="461"/>
        <v>0</v>
      </c>
      <c r="AX153" s="116">
        <f t="shared" si="462"/>
        <v>0</v>
      </c>
      <c r="AY153" s="117">
        <f t="shared" si="463"/>
        <v>0</v>
      </c>
      <c r="AZ153" s="119">
        <f t="shared" si="464"/>
        <v>0</v>
      </c>
      <c r="BA153" s="194">
        <f t="shared" si="465"/>
        <v>0</v>
      </c>
      <c r="BB153" s="117">
        <f t="shared" si="466"/>
        <v>0</v>
      </c>
      <c r="BC153" s="118">
        <f t="shared" si="467"/>
        <v>0</v>
      </c>
      <c r="BD153" s="116">
        <f t="shared" si="468"/>
        <v>0</v>
      </c>
      <c r="BE153" s="117">
        <f t="shared" si="469"/>
        <v>0</v>
      </c>
      <c r="BF153" s="119">
        <f t="shared" si="470"/>
        <v>0</v>
      </c>
      <c r="BG153" s="194">
        <f t="shared" si="471"/>
        <v>0</v>
      </c>
      <c r="BH153" s="117">
        <f t="shared" si="472"/>
        <v>0</v>
      </c>
      <c r="BI153" s="118">
        <f t="shared" si="473"/>
        <v>0</v>
      </c>
      <c r="BJ153" s="116">
        <f t="shared" si="474"/>
        <v>0</v>
      </c>
      <c r="BK153" s="117">
        <f t="shared" si="475"/>
        <v>0</v>
      </c>
      <c r="BL153" s="119">
        <f t="shared" si="476"/>
        <v>0</v>
      </c>
      <c r="BM153" s="194">
        <f t="shared" si="477"/>
        <v>0</v>
      </c>
      <c r="BN153" s="117">
        <f t="shared" si="478"/>
        <v>0</v>
      </c>
      <c r="BO153" s="118">
        <f t="shared" si="479"/>
        <v>0</v>
      </c>
      <c r="BP153" s="116">
        <f t="shared" si="480"/>
        <v>0</v>
      </c>
      <c r="BQ153" s="117">
        <f t="shared" si="481"/>
        <v>0</v>
      </c>
      <c r="BR153" s="119">
        <f t="shared" ref="BR153:BR181" si="626">+BR117/30</f>
        <v>0</v>
      </c>
      <c r="BS153" s="194">
        <f t="shared" si="482"/>
        <v>0</v>
      </c>
      <c r="BT153" s="117">
        <f t="shared" si="483"/>
        <v>0</v>
      </c>
      <c r="BU153" s="118">
        <f t="shared" si="484"/>
        <v>0</v>
      </c>
      <c r="BV153" s="116">
        <f t="shared" si="485"/>
        <v>0</v>
      </c>
      <c r="BW153" s="117">
        <f t="shared" si="486"/>
        <v>0</v>
      </c>
      <c r="BX153" s="119">
        <f t="shared" si="487"/>
        <v>0</v>
      </c>
      <c r="BY153" s="194">
        <f t="shared" si="488"/>
        <v>0</v>
      </c>
      <c r="BZ153" s="117">
        <f t="shared" si="489"/>
        <v>0</v>
      </c>
      <c r="CA153" s="118">
        <f t="shared" si="490"/>
        <v>0</v>
      </c>
      <c r="CB153" s="116">
        <f t="shared" si="491"/>
        <v>0</v>
      </c>
      <c r="CC153" s="117">
        <f t="shared" si="492"/>
        <v>0</v>
      </c>
      <c r="CD153" s="119">
        <f t="shared" si="493"/>
        <v>0</v>
      </c>
      <c r="CE153" s="194">
        <f t="shared" si="494"/>
        <v>0</v>
      </c>
      <c r="CF153" s="117">
        <f t="shared" si="495"/>
        <v>0</v>
      </c>
      <c r="CG153" s="118">
        <f t="shared" si="496"/>
        <v>0</v>
      </c>
      <c r="CH153" s="116">
        <f t="shared" si="497"/>
        <v>0</v>
      </c>
      <c r="CI153" s="117">
        <f t="shared" si="498"/>
        <v>0</v>
      </c>
      <c r="CJ153" s="119">
        <f t="shared" si="499"/>
        <v>0</v>
      </c>
      <c r="CK153" s="194">
        <f t="shared" si="500"/>
        <v>0</v>
      </c>
      <c r="CL153" s="194">
        <f t="shared" si="501"/>
        <v>0</v>
      </c>
      <c r="CM153" s="386">
        <f t="shared" si="502"/>
        <v>0</v>
      </c>
      <c r="CN153" s="239">
        <f t="shared" si="503"/>
        <v>0</v>
      </c>
      <c r="CO153" s="43">
        <f t="shared" si="504"/>
        <v>0</v>
      </c>
      <c r="CP153" s="57">
        <f t="shared" si="505"/>
        <v>0</v>
      </c>
      <c r="CQ153" s="194">
        <f t="shared" si="506"/>
        <v>0</v>
      </c>
      <c r="CR153" s="117">
        <f t="shared" si="507"/>
        <v>0</v>
      </c>
      <c r="CS153" s="119">
        <f t="shared" si="508"/>
        <v>0</v>
      </c>
      <c r="CT153" s="194">
        <f t="shared" si="509"/>
        <v>0</v>
      </c>
      <c r="CU153" s="117">
        <f t="shared" si="510"/>
        <v>0</v>
      </c>
      <c r="CV153" s="119">
        <f t="shared" si="511"/>
        <v>0</v>
      </c>
      <c r="CW153" s="194">
        <f t="shared" si="512"/>
        <v>0</v>
      </c>
      <c r="CX153" s="117">
        <f t="shared" si="513"/>
        <v>0</v>
      </c>
      <c r="CY153" s="119">
        <f t="shared" si="514"/>
        <v>0</v>
      </c>
      <c r="CZ153" s="194">
        <f t="shared" si="515"/>
        <v>0</v>
      </c>
      <c r="DA153" s="117">
        <f t="shared" si="516"/>
        <v>0</v>
      </c>
      <c r="DB153" s="119">
        <f t="shared" si="517"/>
        <v>0</v>
      </c>
      <c r="DC153" s="116">
        <f t="shared" si="518"/>
        <v>0</v>
      </c>
      <c r="DD153" s="117">
        <f t="shared" si="519"/>
        <v>0</v>
      </c>
      <c r="DE153" s="119">
        <f t="shared" si="520"/>
        <v>0</v>
      </c>
      <c r="DF153" s="194">
        <f t="shared" si="521"/>
        <v>0</v>
      </c>
      <c r="DG153" s="117">
        <f t="shared" si="522"/>
        <v>0</v>
      </c>
      <c r="DH153" s="118">
        <f t="shared" si="523"/>
        <v>0</v>
      </c>
      <c r="DI153" s="116">
        <f t="shared" si="524"/>
        <v>0</v>
      </c>
      <c r="DJ153" s="117">
        <f t="shared" si="525"/>
        <v>0</v>
      </c>
      <c r="DK153" s="119">
        <f t="shared" si="526"/>
        <v>0</v>
      </c>
      <c r="DL153" s="194">
        <f t="shared" si="527"/>
        <v>0</v>
      </c>
      <c r="DM153" s="117">
        <f t="shared" si="528"/>
        <v>0</v>
      </c>
      <c r="DN153" s="118">
        <f t="shared" si="529"/>
        <v>0</v>
      </c>
      <c r="DO153" s="116">
        <f t="shared" si="530"/>
        <v>0</v>
      </c>
      <c r="DP153" s="117">
        <f t="shared" si="531"/>
        <v>0</v>
      </c>
      <c r="DQ153" s="119">
        <f t="shared" si="532"/>
        <v>0</v>
      </c>
      <c r="DR153" s="194">
        <f t="shared" si="533"/>
        <v>0</v>
      </c>
      <c r="DS153" s="117">
        <f t="shared" si="534"/>
        <v>0</v>
      </c>
      <c r="DT153" s="118">
        <f t="shared" si="535"/>
        <v>0</v>
      </c>
      <c r="DU153" s="116">
        <f t="shared" si="536"/>
        <v>0</v>
      </c>
      <c r="DV153" s="117">
        <f t="shared" si="537"/>
        <v>0</v>
      </c>
      <c r="DW153" s="119">
        <f t="shared" si="538"/>
        <v>0</v>
      </c>
      <c r="DX153" s="194">
        <f t="shared" si="539"/>
        <v>0</v>
      </c>
      <c r="DY153" s="117">
        <f t="shared" si="540"/>
        <v>0</v>
      </c>
      <c r="DZ153" s="118">
        <f t="shared" si="541"/>
        <v>0</v>
      </c>
      <c r="EA153" s="116">
        <f t="shared" si="542"/>
        <v>0</v>
      </c>
      <c r="EB153" s="117">
        <f t="shared" si="543"/>
        <v>0</v>
      </c>
      <c r="EC153" s="119">
        <f t="shared" si="544"/>
        <v>0</v>
      </c>
      <c r="ED153" s="194">
        <f t="shared" si="545"/>
        <v>0</v>
      </c>
      <c r="EE153" s="117">
        <f t="shared" si="546"/>
        <v>0</v>
      </c>
      <c r="EF153" s="118">
        <f t="shared" si="547"/>
        <v>0</v>
      </c>
      <c r="EG153" s="116">
        <f t="shared" si="548"/>
        <v>0</v>
      </c>
      <c r="EH153" s="117">
        <f t="shared" si="549"/>
        <v>0</v>
      </c>
      <c r="EI153" s="119">
        <f t="shared" si="550"/>
        <v>0</v>
      </c>
      <c r="EJ153" s="194">
        <f t="shared" si="551"/>
        <v>0</v>
      </c>
      <c r="EK153" s="117">
        <f t="shared" si="552"/>
        <v>0</v>
      </c>
      <c r="EL153" s="118">
        <f t="shared" si="553"/>
        <v>0</v>
      </c>
      <c r="EM153" s="116">
        <f t="shared" si="554"/>
        <v>0</v>
      </c>
      <c r="EN153" s="117">
        <f t="shared" si="555"/>
        <v>0</v>
      </c>
      <c r="EO153" s="119">
        <f t="shared" si="556"/>
        <v>0</v>
      </c>
      <c r="EP153" s="194">
        <f t="shared" si="557"/>
        <v>0</v>
      </c>
      <c r="EQ153" s="117">
        <f t="shared" si="558"/>
        <v>0</v>
      </c>
      <c r="ER153" s="118">
        <f t="shared" si="559"/>
        <v>0</v>
      </c>
      <c r="ES153" s="116">
        <f t="shared" si="560"/>
        <v>0</v>
      </c>
      <c r="ET153" s="117">
        <f t="shared" si="561"/>
        <v>0</v>
      </c>
      <c r="EU153" s="119">
        <f t="shared" si="562"/>
        <v>0</v>
      </c>
      <c r="EV153" s="194">
        <f t="shared" si="563"/>
        <v>0</v>
      </c>
      <c r="EW153" s="117">
        <f t="shared" si="564"/>
        <v>0</v>
      </c>
      <c r="EX153" s="118">
        <f t="shared" si="565"/>
        <v>0</v>
      </c>
      <c r="EY153" s="116">
        <f t="shared" si="566"/>
        <v>0</v>
      </c>
      <c r="EZ153" s="117">
        <f t="shared" si="567"/>
        <v>0</v>
      </c>
      <c r="FA153" s="119">
        <f t="shared" si="568"/>
        <v>0</v>
      </c>
      <c r="FB153" s="194">
        <f t="shared" si="569"/>
        <v>0</v>
      </c>
      <c r="FC153" s="117">
        <f t="shared" si="570"/>
        <v>0</v>
      </c>
      <c r="FD153" s="118">
        <f t="shared" si="571"/>
        <v>0</v>
      </c>
      <c r="FE153" s="116">
        <f t="shared" si="572"/>
        <v>0</v>
      </c>
      <c r="FF153" s="117">
        <f t="shared" si="573"/>
        <v>0</v>
      </c>
      <c r="FG153" s="119">
        <f t="shared" si="574"/>
        <v>0</v>
      </c>
      <c r="FH153" s="194">
        <f t="shared" si="575"/>
        <v>0</v>
      </c>
      <c r="FI153" s="117">
        <f t="shared" si="576"/>
        <v>0</v>
      </c>
      <c r="FJ153" s="118">
        <f t="shared" si="577"/>
        <v>0</v>
      </c>
      <c r="FK153" s="116">
        <f t="shared" si="578"/>
        <v>0</v>
      </c>
      <c r="FL153" s="117">
        <f t="shared" si="579"/>
        <v>0</v>
      </c>
      <c r="FM153" s="119">
        <f t="shared" si="580"/>
        <v>0</v>
      </c>
      <c r="FN153" s="194">
        <f t="shared" si="581"/>
        <v>0</v>
      </c>
      <c r="FO153" s="117">
        <f t="shared" si="582"/>
        <v>0</v>
      </c>
      <c r="FP153" s="118">
        <f t="shared" si="583"/>
        <v>0</v>
      </c>
      <c r="FQ153" s="116">
        <f t="shared" si="584"/>
        <v>0</v>
      </c>
      <c r="FR153" s="117">
        <f t="shared" si="585"/>
        <v>0</v>
      </c>
      <c r="FS153" s="119">
        <f t="shared" ref="FS153:FS181" si="627">+FS117/30</f>
        <v>0</v>
      </c>
      <c r="FT153" s="194">
        <f t="shared" si="586"/>
        <v>0</v>
      </c>
      <c r="FU153" s="117">
        <f t="shared" si="587"/>
        <v>0</v>
      </c>
      <c r="FV153" s="118">
        <f t="shared" si="588"/>
        <v>0</v>
      </c>
      <c r="FW153" s="116">
        <f t="shared" si="589"/>
        <v>0</v>
      </c>
      <c r="FX153" s="117">
        <f t="shared" si="590"/>
        <v>0</v>
      </c>
      <c r="FY153" s="119">
        <f t="shared" si="591"/>
        <v>0</v>
      </c>
      <c r="FZ153" s="194">
        <f t="shared" si="592"/>
        <v>0</v>
      </c>
      <c r="GA153" s="117">
        <f t="shared" si="593"/>
        <v>0</v>
      </c>
      <c r="GB153" s="118">
        <f t="shared" si="594"/>
        <v>0</v>
      </c>
      <c r="GC153" s="116">
        <f t="shared" si="595"/>
        <v>0</v>
      </c>
      <c r="GD153" s="117">
        <f t="shared" si="596"/>
        <v>0</v>
      </c>
      <c r="GE153" s="119">
        <f t="shared" si="597"/>
        <v>0</v>
      </c>
      <c r="GF153" s="194">
        <f t="shared" si="598"/>
        <v>0</v>
      </c>
      <c r="GG153" s="117">
        <f t="shared" si="599"/>
        <v>0</v>
      </c>
      <c r="GH153" s="118">
        <f t="shared" si="600"/>
        <v>0</v>
      </c>
      <c r="GI153" s="116">
        <f t="shared" si="601"/>
        <v>0</v>
      </c>
      <c r="GJ153" s="117">
        <f t="shared" si="602"/>
        <v>0</v>
      </c>
      <c r="GK153" s="119">
        <f t="shared" si="603"/>
        <v>0</v>
      </c>
      <c r="GL153" s="194">
        <f t="shared" si="604"/>
        <v>0</v>
      </c>
      <c r="GM153" s="194">
        <f t="shared" si="605"/>
        <v>0</v>
      </c>
      <c r="GN153" s="386">
        <f t="shared" si="606"/>
        <v>0</v>
      </c>
      <c r="GO153" s="239">
        <f t="shared" si="607"/>
        <v>0</v>
      </c>
      <c r="GP153" s="43">
        <f t="shared" si="608"/>
        <v>0</v>
      </c>
      <c r="GQ153" s="57">
        <f t="shared" si="609"/>
        <v>0</v>
      </c>
      <c r="GR153" s="194">
        <f t="shared" si="610"/>
        <v>0</v>
      </c>
      <c r="GS153" s="117">
        <f t="shared" si="611"/>
        <v>0</v>
      </c>
      <c r="GT153" s="119">
        <f t="shared" si="612"/>
        <v>0</v>
      </c>
      <c r="GU153" s="194">
        <f t="shared" si="613"/>
        <v>0</v>
      </c>
      <c r="GV153" s="117">
        <f t="shared" si="614"/>
        <v>0</v>
      </c>
      <c r="GW153" s="119">
        <f t="shared" si="615"/>
        <v>0</v>
      </c>
      <c r="GX153" s="194">
        <f t="shared" si="616"/>
        <v>0</v>
      </c>
      <c r="GY153" s="117">
        <f t="shared" si="617"/>
        <v>0</v>
      </c>
      <c r="GZ153" s="119">
        <f t="shared" si="618"/>
        <v>0</v>
      </c>
      <c r="HA153" s="194">
        <f t="shared" si="619"/>
        <v>0</v>
      </c>
      <c r="HB153" s="117">
        <f t="shared" si="620"/>
        <v>0</v>
      </c>
      <c r="HC153" s="119">
        <f t="shared" si="621"/>
        <v>0</v>
      </c>
      <c r="HD153" s="368">
        <f t="shared" si="622"/>
        <v>0</v>
      </c>
      <c r="HE153" s="369">
        <f t="shared" si="623"/>
        <v>0</v>
      </c>
      <c r="HF153" s="369">
        <f t="shared" si="624"/>
        <v>0</v>
      </c>
      <c r="HG153" s="147">
        <f t="shared" si="625"/>
        <v>0</v>
      </c>
    </row>
    <row r="154" spans="1:215" ht="15.75" thickBot="1">
      <c r="A154" s="353">
        <v>4</v>
      </c>
      <c r="B154" s="116">
        <f t="shared" si="414"/>
        <v>0</v>
      </c>
      <c r="C154" s="117">
        <f t="shared" si="415"/>
        <v>0</v>
      </c>
      <c r="D154" s="119">
        <f t="shared" si="416"/>
        <v>0</v>
      </c>
      <c r="E154" s="194">
        <f t="shared" si="417"/>
        <v>0</v>
      </c>
      <c r="F154" s="117">
        <f t="shared" si="418"/>
        <v>0</v>
      </c>
      <c r="G154" s="118">
        <f t="shared" si="419"/>
        <v>0</v>
      </c>
      <c r="H154" s="116">
        <f t="shared" si="420"/>
        <v>0</v>
      </c>
      <c r="I154" s="117">
        <f t="shared" si="421"/>
        <v>0</v>
      </c>
      <c r="J154" s="119">
        <f t="shared" si="422"/>
        <v>0</v>
      </c>
      <c r="K154" s="194">
        <f t="shared" si="423"/>
        <v>0</v>
      </c>
      <c r="L154" s="117">
        <f t="shared" si="424"/>
        <v>0</v>
      </c>
      <c r="M154" s="118">
        <f t="shared" si="425"/>
        <v>0</v>
      </c>
      <c r="N154" s="116">
        <f t="shared" si="426"/>
        <v>0</v>
      </c>
      <c r="O154" s="117">
        <f t="shared" si="427"/>
        <v>0</v>
      </c>
      <c r="P154" s="119">
        <f t="shared" si="428"/>
        <v>0</v>
      </c>
      <c r="Q154" s="194">
        <f t="shared" si="429"/>
        <v>0</v>
      </c>
      <c r="R154" s="117">
        <f t="shared" si="430"/>
        <v>0</v>
      </c>
      <c r="S154" s="118">
        <f t="shared" si="431"/>
        <v>0</v>
      </c>
      <c r="T154" s="116">
        <f t="shared" si="432"/>
        <v>0</v>
      </c>
      <c r="U154" s="117">
        <f t="shared" si="433"/>
        <v>0</v>
      </c>
      <c r="V154" s="119">
        <f t="shared" si="434"/>
        <v>0</v>
      </c>
      <c r="W154" s="194">
        <f t="shared" si="435"/>
        <v>0</v>
      </c>
      <c r="X154" s="117">
        <f t="shared" si="436"/>
        <v>0</v>
      </c>
      <c r="Y154" s="118">
        <f t="shared" si="437"/>
        <v>0</v>
      </c>
      <c r="Z154" s="116">
        <f t="shared" si="438"/>
        <v>0</v>
      </c>
      <c r="AA154" s="117">
        <f t="shared" si="439"/>
        <v>0</v>
      </c>
      <c r="AB154" s="119">
        <f t="shared" si="440"/>
        <v>0</v>
      </c>
      <c r="AC154" s="194">
        <f t="shared" si="441"/>
        <v>0</v>
      </c>
      <c r="AD154" s="117">
        <f t="shared" si="442"/>
        <v>0</v>
      </c>
      <c r="AE154" s="118">
        <f t="shared" si="443"/>
        <v>0</v>
      </c>
      <c r="AF154" s="116">
        <f t="shared" si="444"/>
        <v>0</v>
      </c>
      <c r="AG154" s="117">
        <f t="shared" si="445"/>
        <v>0</v>
      </c>
      <c r="AH154" s="119">
        <f t="shared" si="446"/>
        <v>0</v>
      </c>
      <c r="AI154" s="194">
        <f t="shared" si="447"/>
        <v>0</v>
      </c>
      <c r="AJ154" s="117">
        <f t="shared" si="448"/>
        <v>0</v>
      </c>
      <c r="AK154" s="118">
        <f t="shared" si="449"/>
        <v>0</v>
      </c>
      <c r="AL154" s="116">
        <f t="shared" si="450"/>
        <v>0</v>
      </c>
      <c r="AM154" s="117">
        <f t="shared" si="451"/>
        <v>0</v>
      </c>
      <c r="AN154" s="119">
        <f t="shared" si="452"/>
        <v>0</v>
      </c>
      <c r="AO154" s="194">
        <f t="shared" si="453"/>
        <v>0</v>
      </c>
      <c r="AP154" s="117">
        <f t="shared" si="454"/>
        <v>0</v>
      </c>
      <c r="AQ154" s="118">
        <f t="shared" si="455"/>
        <v>0</v>
      </c>
      <c r="AR154" s="116">
        <f t="shared" si="456"/>
        <v>0</v>
      </c>
      <c r="AS154" s="117">
        <f t="shared" si="457"/>
        <v>0</v>
      </c>
      <c r="AT154" s="119">
        <f t="shared" si="458"/>
        <v>0</v>
      </c>
      <c r="AU154" s="194">
        <f t="shared" si="459"/>
        <v>0</v>
      </c>
      <c r="AV154" s="117">
        <f t="shared" si="460"/>
        <v>0</v>
      </c>
      <c r="AW154" s="118">
        <f t="shared" si="461"/>
        <v>0</v>
      </c>
      <c r="AX154" s="116">
        <f t="shared" si="462"/>
        <v>0</v>
      </c>
      <c r="AY154" s="117">
        <f t="shared" si="463"/>
        <v>0</v>
      </c>
      <c r="AZ154" s="119">
        <f t="shared" si="464"/>
        <v>0</v>
      </c>
      <c r="BA154" s="194">
        <f t="shared" si="465"/>
        <v>0</v>
      </c>
      <c r="BB154" s="117">
        <f t="shared" si="466"/>
        <v>0</v>
      </c>
      <c r="BC154" s="118">
        <f t="shared" si="467"/>
        <v>0</v>
      </c>
      <c r="BD154" s="116">
        <f t="shared" si="468"/>
        <v>0</v>
      </c>
      <c r="BE154" s="117">
        <f t="shared" si="469"/>
        <v>0</v>
      </c>
      <c r="BF154" s="119">
        <f t="shared" si="470"/>
        <v>0</v>
      </c>
      <c r="BG154" s="194">
        <f t="shared" si="471"/>
        <v>0</v>
      </c>
      <c r="BH154" s="117">
        <f t="shared" si="472"/>
        <v>0</v>
      </c>
      <c r="BI154" s="118">
        <f t="shared" si="473"/>
        <v>0</v>
      </c>
      <c r="BJ154" s="116">
        <f t="shared" si="474"/>
        <v>0</v>
      </c>
      <c r="BK154" s="117">
        <f t="shared" si="475"/>
        <v>0</v>
      </c>
      <c r="BL154" s="119">
        <f t="shared" si="476"/>
        <v>0</v>
      </c>
      <c r="BM154" s="194">
        <f t="shared" si="477"/>
        <v>0</v>
      </c>
      <c r="BN154" s="117">
        <f t="shared" si="478"/>
        <v>0</v>
      </c>
      <c r="BO154" s="118">
        <f t="shared" si="479"/>
        <v>0</v>
      </c>
      <c r="BP154" s="116">
        <f t="shared" si="480"/>
        <v>0</v>
      </c>
      <c r="BQ154" s="117">
        <f t="shared" si="481"/>
        <v>0</v>
      </c>
      <c r="BR154" s="119">
        <f t="shared" si="626"/>
        <v>0</v>
      </c>
      <c r="BS154" s="194">
        <f t="shared" si="482"/>
        <v>0</v>
      </c>
      <c r="BT154" s="117">
        <f t="shared" si="483"/>
        <v>0</v>
      </c>
      <c r="BU154" s="118">
        <f t="shared" si="484"/>
        <v>0</v>
      </c>
      <c r="BV154" s="116">
        <f t="shared" si="485"/>
        <v>0</v>
      </c>
      <c r="BW154" s="117">
        <f t="shared" si="486"/>
        <v>0</v>
      </c>
      <c r="BX154" s="119">
        <f t="shared" si="487"/>
        <v>0</v>
      </c>
      <c r="BY154" s="194">
        <f t="shared" si="488"/>
        <v>0</v>
      </c>
      <c r="BZ154" s="117">
        <f t="shared" si="489"/>
        <v>0</v>
      </c>
      <c r="CA154" s="118">
        <f t="shared" si="490"/>
        <v>0</v>
      </c>
      <c r="CB154" s="116">
        <f t="shared" si="491"/>
        <v>0</v>
      </c>
      <c r="CC154" s="117">
        <f t="shared" si="492"/>
        <v>0</v>
      </c>
      <c r="CD154" s="119">
        <f t="shared" si="493"/>
        <v>0</v>
      </c>
      <c r="CE154" s="194">
        <f t="shared" si="494"/>
        <v>0</v>
      </c>
      <c r="CF154" s="117">
        <f t="shared" si="495"/>
        <v>0</v>
      </c>
      <c r="CG154" s="118">
        <f t="shared" si="496"/>
        <v>0</v>
      </c>
      <c r="CH154" s="116">
        <f t="shared" si="497"/>
        <v>0</v>
      </c>
      <c r="CI154" s="117">
        <f t="shared" si="498"/>
        <v>0</v>
      </c>
      <c r="CJ154" s="119">
        <f t="shared" si="499"/>
        <v>0</v>
      </c>
      <c r="CK154" s="194">
        <f t="shared" si="500"/>
        <v>0</v>
      </c>
      <c r="CL154" s="194">
        <f t="shared" si="501"/>
        <v>0</v>
      </c>
      <c r="CM154" s="386">
        <f t="shared" si="502"/>
        <v>0</v>
      </c>
      <c r="CN154" s="239">
        <f t="shared" si="503"/>
        <v>0</v>
      </c>
      <c r="CO154" s="43">
        <f t="shared" si="504"/>
        <v>0</v>
      </c>
      <c r="CP154" s="57">
        <f t="shared" si="505"/>
        <v>0</v>
      </c>
      <c r="CQ154" s="194">
        <f t="shared" si="506"/>
        <v>0</v>
      </c>
      <c r="CR154" s="117">
        <f t="shared" si="507"/>
        <v>0</v>
      </c>
      <c r="CS154" s="119">
        <f t="shared" si="508"/>
        <v>0</v>
      </c>
      <c r="CT154" s="194">
        <f t="shared" si="509"/>
        <v>0</v>
      </c>
      <c r="CU154" s="117">
        <f t="shared" si="510"/>
        <v>0</v>
      </c>
      <c r="CV154" s="119">
        <f t="shared" si="511"/>
        <v>0</v>
      </c>
      <c r="CW154" s="194">
        <f t="shared" si="512"/>
        <v>0</v>
      </c>
      <c r="CX154" s="117">
        <f t="shared" si="513"/>
        <v>0</v>
      </c>
      <c r="CY154" s="119">
        <f t="shared" si="514"/>
        <v>0</v>
      </c>
      <c r="CZ154" s="194">
        <f t="shared" si="515"/>
        <v>0</v>
      </c>
      <c r="DA154" s="117">
        <f t="shared" si="516"/>
        <v>0</v>
      </c>
      <c r="DB154" s="119">
        <f t="shared" si="517"/>
        <v>0</v>
      </c>
      <c r="DC154" s="116">
        <f t="shared" si="518"/>
        <v>0</v>
      </c>
      <c r="DD154" s="117">
        <f t="shared" si="519"/>
        <v>0</v>
      </c>
      <c r="DE154" s="119">
        <f t="shared" si="520"/>
        <v>0</v>
      </c>
      <c r="DF154" s="194">
        <f t="shared" si="521"/>
        <v>0</v>
      </c>
      <c r="DG154" s="117">
        <f t="shared" si="522"/>
        <v>0</v>
      </c>
      <c r="DH154" s="118">
        <f t="shared" si="523"/>
        <v>0</v>
      </c>
      <c r="DI154" s="116">
        <f t="shared" si="524"/>
        <v>0</v>
      </c>
      <c r="DJ154" s="117">
        <f t="shared" si="525"/>
        <v>0</v>
      </c>
      <c r="DK154" s="119">
        <f t="shared" si="526"/>
        <v>0</v>
      </c>
      <c r="DL154" s="194">
        <f t="shared" si="527"/>
        <v>0</v>
      </c>
      <c r="DM154" s="117">
        <f t="shared" si="528"/>
        <v>0</v>
      </c>
      <c r="DN154" s="118">
        <f t="shared" si="529"/>
        <v>0</v>
      </c>
      <c r="DO154" s="116">
        <f t="shared" si="530"/>
        <v>0</v>
      </c>
      <c r="DP154" s="117">
        <f t="shared" si="531"/>
        <v>0</v>
      </c>
      <c r="DQ154" s="119">
        <f t="shared" si="532"/>
        <v>0</v>
      </c>
      <c r="DR154" s="194">
        <f t="shared" si="533"/>
        <v>0</v>
      </c>
      <c r="DS154" s="117">
        <f t="shared" si="534"/>
        <v>0</v>
      </c>
      <c r="DT154" s="118">
        <f t="shared" si="535"/>
        <v>0</v>
      </c>
      <c r="DU154" s="116">
        <f t="shared" si="536"/>
        <v>0</v>
      </c>
      <c r="DV154" s="117">
        <f t="shared" si="537"/>
        <v>0</v>
      </c>
      <c r="DW154" s="119">
        <f t="shared" si="538"/>
        <v>0</v>
      </c>
      <c r="DX154" s="194">
        <f t="shared" si="539"/>
        <v>0</v>
      </c>
      <c r="DY154" s="117">
        <f t="shared" si="540"/>
        <v>0</v>
      </c>
      <c r="DZ154" s="118">
        <f t="shared" si="541"/>
        <v>0</v>
      </c>
      <c r="EA154" s="116">
        <f t="shared" si="542"/>
        <v>0</v>
      </c>
      <c r="EB154" s="117">
        <f t="shared" si="543"/>
        <v>0</v>
      </c>
      <c r="EC154" s="119">
        <f t="shared" si="544"/>
        <v>0</v>
      </c>
      <c r="ED154" s="194">
        <f t="shared" si="545"/>
        <v>0</v>
      </c>
      <c r="EE154" s="117">
        <f t="shared" si="546"/>
        <v>0</v>
      </c>
      <c r="EF154" s="118">
        <f t="shared" si="547"/>
        <v>0</v>
      </c>
      <c r="EG154" s="116">
        <f t="shared" si="548"/>
        <v>0</v>
      </c>
      <c r="EH154" s="117">
        <f t="shared" si="549"/>
        <v>0</v>
      </c>
      <c r="EI154" s="119">
        <f t="shared" si="550"/>
        <v>0</v>
      </c>
      <c r="EJ154" s="194">
        <f t="shared" si="551"/>
        <v>0</v>
      </c>
      <c r="EK154" s="117">
        <f t="shared" si="552"/>
        <v>0</v>
      </c>
      <c r="EL154" s="118">
        <f t="shared" si="553"/>
        <v>0</v>
      </c>
      <c r="EM154" s="116">
        <f t="shared" si="554"/>
        <v>0</v>
      </c>
      <c r="EN154" s="117">
        <f t="shared" si="555"/>
        <v>0</v>
      </c>
      <c r="EO154" s="119">
        <f t="shared" si="556"/>
        <v>0</v>
      </c>
      <c r="EP154" s="194">
        <f t="shared" si="557"/>
        <v>0</v>
      </c>
      <c r="EQ154" s="117">
        <f t="shared" si="558"/>
        <v>0</v>
      </c>
      <c r="ER154" s="118">
        <f t="shared" si="559"/>
        <v>0</v>
      </c>
      <c r="ES154" s="116">
        <f t="shared" si="560"/>
        <v>0</v>
      </c>
      <c r="ET154" s="117">
        <f t="shared" si="561"/>
        <v>0</v>
      </c>
      <c r="EU154" s="119">
        <f t="shared" si="562"/>
        <v>0</v>
      </c>
      <c r="EV154" s="194">
        <f t="shared" si="563"/>
        <v>0</v>
      </c>
      <c r="EW154" s="117">
        <f t="shared" si="564"/>
        <v>0</v>
      </c>
      <c r="EX154" s="118">
        <f t="shared" si="565"/>
        <v>0</v>
      </c>
      <c r="EY154" s="116">
        <f t="shared" si="566"/>
        <v>0</v>
      </c>
      <c r="EZ154" s="117">
        <f t="shared" si="567"/>
        <v>0</v>
      </c>
      <c r="FA154" s="119">
        <f t="shared" si="568"/>
        <v>0</v>
      </c>
      <c r="FB154" s="194">
        <f t="shared" si="569"/>
        <v>0</v>
      </c>
      <c r="FC154" s="117">
        <f t="shared" si="570"/>
        <v>0</v>
      </c>
      <c r="FD154" s="118">
        <f t="shared" si="571"/>
        <v>0</v>
      </c>
      <c r="FE154" s="116">
        <f t="shared" si="572"/>
        <v>0</v>
      </c>
      <c r="FF154" s="117">
        <f t="shared" si="573"/>
        <v>0</v>
      </c>
      <c r="FG154" s="119">
        <f t="shared" si="574"/>
        <v>0</v>
      </c>
      <c r="FH154" s="194">
        <f t="shared" si="575"/>
        <v>0</v>
      </c>
      <c r="FI154" s="117">
        <f t="shared" si="576"/>
        <v>0</v>
      </c>
      <c r="FJ154" s="118">
        <f t="shared" si="577"/>
        <v>0</v>
      </c>
      <c r="FK154" s="116">
        <f t="shared" si="578"/>
        <v>0</v>
      </c>
      <c r="FL154" s="117">
        <f t="shared" si="579"/>
        <v>0</v>
      </c>
      <c r="FM154" s="119">
        <f t="shared" si="580"/>
        <v>0</v>
      </c>
      <c r="FN154" s="194">
        <f t="shared" si="581"/>
        <v>0</v>
      </c>
      <c r="FO154" s="117">
        <f t="shared" si="582"/>
        <v>0</v>
      </c>
      <c r="FP154" s="118">
        <f t="shared" si="583"/>
        <v>0</v>
      </c>
      <c r="FQ154" s="116">
        <f t="shared" si="584"/>
        <v>0</v>
      </c>
      <c r="FR154" s="117">
        <f t="shared" si="585"/>
        <v>0</v>
      </c>
      <c r="FS154" s="119">
        <f t="shared" si="627"/>
        <v>0</v>
      </c>
      <c r="FT154" s="194">
        <f t="shared" si="586"/>
        <v>0</v>
      </c>
      <c r="FU154" s="117">
        <f t="shared" si="587"/>
        <v>0</v>
      </c>
      <c r="FV154" s="118">
        <f t="shared" si="588"/>
        <v>0</v>
      </c>
      <c r="FW154" s="116">
        <f t="shared" si="589"/>
        <v>0</v>
      </c>
      <c r="FX154" s="117">
        <f t="shared" si="590"/>
        <v>0</v>
      </c>
      <c r="FY154" s="119">
        <f t="shared" si="591"/>
        <v>0</v>
      </c>
      <c r="FZ154" s="194">
        <f t="shared" si="592"/>
        <v>0</v>
      </c>
      <c r="GA154" s="117">
        <f t="shared" si="593"/>
        <v>0</v>
      </c>
      <c r="GB154" s="118">
        <f t="shared" si="594"/>
        <v>0</v>
      </c>
      <c r="GC154" s="116">
        <f t="shared" si="595"/>
        <v>0</v>
      </c>
      <c r="GD154" s="117">
        <f t="shared" si="596"/>
        <v>0</v>
      </c>
      <c r="GE154" s="119">
        <f t="shared" si="597"/>
        <v>0</v>
      </c>
      <c r="GF154" s="194">
        <f t="shared" si="598"/>
        <v>0</v>
      </c>
      <c r="GG154" s="117">
        <f t="shared" si="599"/>
        <v>0</v>
      </c>
      <c r="GH154" s="118">
        <f t="shared" si="600"/>
        <v>0</v>
      </c>
      <c r="GI154" s="116">
        <f t="shared" si="601"/>
        <v>0</v>
      </c>
      <c r="GJ154" s="117">
        <f t="shared" si="602"/>
        <v>0</v>
      </c>
      <c r="GK154" s="119">
        <f t="shared" si="603"/>
        <v>0</v>
      </c>
      <c r="GL154" s="194">
        <f t="shared" si="604"/>
        <v>0</v>
      </c>
      <c r="GM154" s="194">
        <f t="shared" si="605"/>
        <v>0</v>
      </c>
      <c r="GN154" s="386">
        <f t="shared" si="606"/>
        <v>0</v>
      </c>
      <c r="GO154" s="239">
        <f t="shared" si="607"/>
        <v>0</v>
      </c>
      <c r="GP154" s="43">
        <f t="shared" si="608"/>
        <v>0</v>
      </c>
      <c r="GQ154" s="57">
        <f t="shared" si="609"/>
        <v>0</v>
      </c>
      <c r="GR154" s="194">
        <f t="shared" si="610"/>
        <v>0</v>
      </c>
      <c r="GS154" s="117">
        <f t="shared" si="611"/>
        <v>0</v>
      </c>
      <c r="GT154" s="119">
        <f t="shared" si="612"/>
        <v>0</v>
      </c>
      <c r="GU154" s="194">
        <f t="shared" si="613"/>
        <v>0</v>
      </c>
      <c r="GV154" s="117">
        <f t="shared" si="614"/>
        <v>0</v>
      </c>
      <c r="GW154" s="119">
        <f t="shared" si="615"/>
        <v>0</v>
      </c>
      <c r="GX154" s="194">
        <f t="shared" si="616"/>
        <v>0</v>
      </c>
      <c r="GY154" s="117">
        <f t="shared" si="617"/>
        <v>0</v>
      </c>
      <c r="GZ154" s="119">
        <f t="shared" si="618"/>
        <v>0</v>
      </c>
      <c r="HA154" s="194">
        <f t="shared" si="619"/>
        <v>0</v>
      </c>
      <c r="HB154" s="117">
        <f t="shared" si="620"/>
        <v>0</v>
      </c>
      <c r="HC154" s="119">
        <f t="shared" si="621"/>
        <v>0</v>
      </c>
      <c r="HD154" s="368">
        <f t="shared" si="622"/>
        <v>0</v>
      </c>
      <c r="HE154" s="369">
        <f t="shared" si="623"/>
        <v>0</v>
      </c>
      <c r="HF154" s="369">
        <f t="shared" si="624"/>
        <v>0</v>
      </c>
      <c r="HG154" s="147">
        <f t="shared" si="625"/>
        <v>0</v>
      </c>
    </row>
    <row r="155" spans="1:215" ht="15.75" thickBot="1">
      <c r="A155" s="238">
        <v>5</v>
      </c>
      <c r="B155" s="116">
        <f t="shared" si="414"/>
        <v>0</v>
      </c>
      <c r="C155" s="117">
        <f t="shared" si="415"/>
        <v>0</v>
      </c>
      <c r="D155" s="119">
        <f t="shared" si="416"/>
        <v>0</v>
      </c>
      <c r="E155" s="194">
        <f t="shared" si="417"/>
        <v>0</v>
      </c>
      <c r="F155" s="117">
        <f t="shared" si="418"/>
        <v>0</v>
      </c>
      <c r="G155" s="118">
        <f t="shared" si="419"/>
        <v>0</v>
      </c>
      <c r="H155" s="116">
        <f t="shared" si="420"/>
        <v>0</v>
      </c>
      <c r="I155" s="117">
        <f t="shared" si="421"/>
        <v>0</v>
      </c>
      <c r="J155" s="119">
        <f t="shared" si="422"/>
        <v>0</v>
      </c>
      <c r="K155" s="194">
        <f t="shared" si="423"/>
        <v>0</v>
      </c>
      <c r="L155" s="117">
        <f t="shared" si="424"/>
        <v>0</v>
      </c>
      <c r="M155" s="118">
        <f t="shared" si="425"/>
        <v>0</v>
      </c>
      <c r="N155" s="116">
        <f t="shared" si="426"/>
        <v>0</v>
      </c>
      <c r="O155" s="117">
        <f t="shared" si="427"/>
        <v>0</v>
      </c>
      <c r="P155" s="119">
        <f t="shared" si="428"/>
        <v>0</v>
      </c>
      <c r="Q155" s="194">
        <f t="shared" si="429"/>
        <v>0</v>
      </c>
      <c r="R155" s="117">
        <f t="shared" si="430"/>
        <v>0</v>
      </c>
      <c r="S155" s="118">
        <f t="shared" si="431"/>
        <v>0</v>
      </c>
      <c r="T155" s="116">
        <f t="shared" si="432"/>
        <v>0</v>
      </c>
      <c r="U155" s="117">
        <f t="shared" si="433"/>
        <v>0</v>
      </c>
      <c r="V155" s="119">
        <f t="shared" si="434"/>
        <v>0</v>
      </c>
      <c r="W155" s="194">
        <f t="shared" si="435"/>
        <v>0</v>
      </c>
      <c r="X155" s="117">
        <f t="shared" si="436"/>
        <v>0</v>
      </c>
      <c r="Y155" s="118">
        <f t="shared" si="437"/>
        <v>0</v>
      </c>
      <c r="Z155" s="116">
        <f t="shared" si="438"/>
        <v>0</v>
      </c>
      <c r="AA155" s="117">
        <f t="shared" si="439"/>
        <v>0</v>
      </c>
      <c r="AB155" s="119">
        <f t="shared" si="440"/>
        <v>0</v>
      </c>
      <c r="AC155" s="194">
        <f t="shared" si="441"/>
        <v>0</v>
      </c>
      <c r="AD155" s="117">
        <f t="shared" si="442"/>
        <v>0</v>
      </c>
      <c r="AE155" s="118">
        <f t="shared" si="443"/>
        <v>0</v>
      </c>
      <c r="AF155" s="116">
        <f t="shared" si="444"/>
        <v>0</v>
      </c>
      <c r="AG155" s="117">
        <f t="shared" si="445"/>
        <v>0</v>
      </c>
      <c r="AH155" s="119">
        <f t="shared" si="446"/>
        <v>0</v>
      </c>
      <c r="AI155" s="194">
        <f t="shared" si="447"/>
        <v>0</v>
      </c>
      <c r="AJ155" s="117">
        <f t="shared" si="448"/>
        <v>0</v>
      </c>
      <c r="AK155" s="118">
        <f t="shared" si="449"/>
        <v>0</v>
      </c>
      <c r="AL155" s="116">
        <f t="shared" si="450"/>
        <v>0</v>
      </c>
      <c r="AM155" s="117">
        <f t="shared" si="451"/>
        <v>0</v>
      </c>
      <c r="AN155" s="119">
        <f t="shared" si="452"/>
        <v>0</v>
      </c>
      <c r="AO155" s="194">
        <f t="shared" si="453"/>
        <v>0</v>
      </c>
      <c r="AP155" s="117">
        <f t="shared" si="454"/>
        <v>0</v>
      </c>
      <c r="AQ155" s="118">
        <f t="shared" si="455"/>
        <v>0</v>
      </c>
      <c r="AR155" s="116">
        <f t="shared" si="456"/>
        <v>0</v>
      </c>
      <c r="AS155" s="117">
        <f t="shared" si="457"/>
        <v>0</v>
      </c>
      <c r="AT155" s="119">
        <f t="shared" si="458"/>
        <v>0</v>
      </c>
      <c r="AU155" s="194">
        <f t="shared" si="459"/>
        <v>0</v>
      </c>
      <c r="AV155" s="117">
        <f t="shared" si="460"/>
        <v>0</v>
      </c>
      <c r="AW155" s="118">
        <f t="shared" si="461"/>
        <v>0</v>
      </c>
      <c r="AX155" s="116">
        <f t="shared" si="462"/>
        <v>0</v>
      </c>
      <c r="AY155" s="117">
        <f t="shared" si="463"/>
        <v>0</v>
      </c>
      <c r="AZ155" s="119">
        <f t="shared" si="464"/>
        <v>0</v>
      </c>
      <c r="BA155" s="194">
        <f t="shared" si="465"/>
        <v>0</v>
      </c>
      <c r="BB155" s="117">
        <f t="shared" si="466"/>
        <v>0</v>
      </c>
      <c r="BC155" s="118">
        <f t="shared" si="467"/>
        <v>0</v>
      </c>
      <c r="BD155" s="116">
        <f t="shared" si="468"/>
        <v>0</v>
      </c>
      <c r="BE155" s="117">
        <f t="shared" si="469"/>
        <v>0</v>
      </c>
      <c r="BF155" s="119">
        <f t="shared" si="470"/>
        <v>0</v>
      </c>
      <c r="BG155" s="194">
        <f t="shared" si="471"/>
        <v>0</v>
      </c>
      <c r="BH155" s="117">
        <f t="shared" si="472"/>
        <v>0</v>
      </c>
      <c r="BI155" s="118">
        <f t="shared" si="473"/>
        <v>0</v>
      </c>
      <c r="BJ155" s="116">
        <f t="shared" si="474"/>
        <v>0</v>
      </c>
      <c r="BK155" s="117">
        <f t="shared" si="475"/>
        <v>0</v>
      </c>
      <c r="BL155" s="119">
        <f t="shared" si="476"/>
        <v>0</v>
      </c>
      <c r="BM155" s="194">
        <f t="shared" si="477"/>
        <v>0</v>
      </c>
      <c r="BN155" s="117">
        <f t="shared" si="478"/>
        <v>0</v>
      </c>
      <c r="BO155" s="118">
        <f t="shared" si="479"/>
        <v>0</v>
      </c>
      <c r="BP155" s="116">
        <f t="shared" si="480"/>
        <v>0</v>
      </c>
      <c r="BQ155" s="117">
        <f t="shared" si="481"/>
        <v>0</v>
      </c>
      <c r="BR155" s="119">
        <f t="shared" si="626"/>
        <v>0</v>
      </c>
      <c r="BS155" s="194">
        <f t="shared" si="482"/>
        <v>0</v>
      </c>
      <c r="BT155" s="117">
        <f t="shared" si="483"/>
        <v>0</v>
      </c>
      <c r="BU155" s="118">
        <f t="shared" si="484"/>
        <v>0</v>
      </c>
      <c r="BV155" s="116">
        <f t="shared" si="485"/>
        <v>0</v>
      </c>
      <c r="BW155" s="117">
        <f t="shared" si="486"/>
        <v>0</v>
      </c>
      <c r="BX155" s="119">
        <f t="shared" si="487"/>
        <v>0</v>
      </c>
      <c r="BY155" s="194">
        <f t="shared" si="488"/>
        <v>0</v>
      </c>
      <c r="BZ155" s="117">
        <f t="shared" si="489"/>
        <v>0</v>
      </c>
      <c r="CA155" s="118">
        <f t="shared" si="490"/>
        <v>0</v>
      </c>
      <c r="CB155" s="116">
        <f t="shared" si="491"/>
        <v>0</v>
      </c>
      <c r="CC155" s="117">
        <f t="shared" si="492"/>
        <v>0</v>
      </c>
      <c r="CD155" s="119">
        <f t="shared" si="493"/>
        <v>0</v>
      </c>
      <c r="CE155" s="194">
        <f t="shared" si="494"/>
        <v>0</v>
      </c>
      <c r="CF155" s="117">
        <f t="shared" si="495"/>
        <v>0</v>
      </c>
      <c r="CG155" s="118">
        <f t="shared" si="496"/>
        <v>0</v>
      </c>
      <c r="CH155" s="116">
        <f t="shared" si="497"/>
        <v>0</v>
      </c>
      <c r="CI155" s="117">
        <f t="shared" si="498"/>
        <v>0</v>
      </c>
      <c r="CJ155" s="119">
        <f t="shared" si="499"/>
        <v>0</v>
      </c>
      <c r="CK155" s="194">
        <f t="shared" si="500"/>
        <v>0</v>
      </c>
      <c r="CL155" s="194">
        <f t="shared" si="501"/>
        <v>0</v>
      </c>
      <c r="CM155" s="386">
        <f t="shared" si="502"/>
        <v>0</v>
      </c>
      <c r="CN155" s="239">
        <f t="shared" si="503"/>
        <v>0</v>
      </c>
      <c r="CO155" s="43">
        <f t="shared" si="504"/>
        <v>0</v>
      </c>
      <c r="CP155" s="57">
        <f t="shared" si="505"/>
        <v>0</v>
      </c>
      <c r="CQ155" s="194">
        <f t="shared" si="506"/>
        <v>0</v>
      </c>
      <c r="CR155" s="117">
        <f t="shared" si="507"/>
        <v>0</v>
      </c>
      <c r="CS155" s="119">
        <f t="shared" si="508"/>
        <v>0</v>
      </c>
      <c r="CT155" s="194">
        <f t="shared" si="509"/>
        <v>0</v>
      </c>
      <c r="CU155" s="117">
        <f t="shared" si="510"/>
        <v>0</v>
      </c>
      <c r="CV155" s="119">
        <f t="shared" si="511"/>
        <v>0</v>
      </c>
      <c r="CW155" s="194">
        <f t="shared" si="512"/>
        <v>0</v>
      </c>
      <c r="CX155" s="117">
        <f t="shared" si="513"/>
        <v>0</v>
      </c>
      <c r="CY155" s="119">
        <f t="shared" si="514"/>
        <v>0</v>
      </c>
      <c r="CZ155" s="194">
        <f t="shared" si="515"/>
        <v>0</v>
      </c>
      <c r="DA155" s="117">
        <f t="shared" si="516"/>
        <v>0</v>
      </c>
      <c r="DB155" s="119">
        <f t="shared" si="517"/>
        <v>0</v>
      </c>
      <c r="DC155" s="116">
        <f t="shared" si="518"/>
        <v>0</v>
      </c>
      <c r="DD155" s="117">
        <f t="shared" si="519"/>
        <v>0</v>
      </c>
      <c r="DE155" s="119">
        <f t="shared" si="520"/>
        <v>0</v>
      </c>
      <c r="DF155" s="194">
        <f t="shared" si="521"/>
        <v>0</v>
      </c>
      <c r="DG155" s="117">
        <f t="shared" si="522"/>
        <v>0</v>
      </c>
      <c r="DH155" s="118">
        <f t="shared" si="523"/>
        <v>0</v>
      </c>
      <c r="DI155" s="116">
        <f t="shared" si="524"/>
        <v>0</v>
      </c>
      <c r="DJ155" s="117">
        <f t="shared" si="525"/>
        <v>0</v>
      </c>
      <c r="DK155" s="119">
        <f t="shared" si="526"/>
        <v>0</v>
      </c>
      <c r="DL155" s="194">
        <f t="shared" si="527"/>
        <v>0</v>
      </c>
      <c r="DM155" s="117">
        <f t="shared" si="528"/>
        <v>0</v>
      </c>
      <c r="DN155" s="118">
        <f t="shared" si="529"/>
        <v>0</v>
      </c>
      <c r="DO155" s="116">
        <f t="shared" si="530"/>
        <v>0</v>
      </c>
      <c r="DP155" s="117">
        <f t="shared" si="531"/>
        <v>0</v>
      </c>
      <c r="DQ155" s="119">
        <f t="shared" si="532"/>
        <v>0</v>
      </c>
      <c r="DR155" s="194">
        <f t="shared" si="533"/>
        <v>0</v>
      </c>
      <c r="DS155" s="117">
        <f t="shared" si="534"/>
        <v>0</v>
      </c>
      <c r="DT155" s="118">
        <f t="shared" si="535"/>
        <v>0</v>
      </c>
      <c r="DU155" s="116">
        <f t="shared" si="536"/>
        <v>0</v>
      </c>
      <c r="DV155" s="117">
        <f t="shared" si="537"/>
        <v>0</v>
      </c>
      <c r="DW155" s="119">
        <f t="shared" si="538"/>
        <v>0</v>
      </c>
      <c r="DX155" s="194">
        <f t="shared" si="539"/>
        <v>0</v>
      </c>
      <c r="DY155" s="117">
        <f t="shared" si="540"/>
        <v>0</v>
      </c>
      <c r="DZ155" s="118">
        <f t="shared" si="541"/>
        <v>0</v>
      </c>
      <c r="EA155" s="116">
        <f t="shared" si="542"/>
        <v>0</v>
      </c>
      <c r="EB155" s="117">
        <f t="shared" si="543"/>
        <v>0</v>
      </c>
      <c r="EC155" s="119">
        <f t="shared" si="544"/>
        <v>0</v>
      </c>
      <c r="ED155" s="194">
        <f t="shared" si="545"/>
        <v>0</v>
      </c>
      <c r="EE155" s="117">
        <f t="shared" si="546"/>
        <v>0</v>
      </c>
      <c r="EF155" s="118">
        <f t="shared" si="547"/>
        <v>0</v>
      </c>
      <c r="EG155" s="116">
        <f t="shared" si="548"/>
        <v>0</v>
      </c>
      <c r="EH155" s="117">
        <f t="shared" si="549"/>
        <v>0</v>
      </c>
      <c r="EI155" s="119">
        <f t="shared" si="550"/>
        <v>0</v>
      </c>
      <c r="EJ155" s="194">
        <f t="shared" si="551"/>
        <v>0</v>
      </c>
      <c r="EK155" s="117">
        <f t="shared" si="552"/>
        <v>0</v>
      </c>
      <c r="EL155" s="118">
        <f t="shared" si="553"/>
        <v>0</v>
      </c>
      <c r="EM155" s="116">
        <f t="shared" si="554"/>
        <v>0</v>
      </c>
      <c r="EN155" s="117">
        <f t="shared" si="555"/>
        <v>0</v>
      </c>
      <c r="EO155" s="119">
        <f t="shared" si="556"/>
        <v>0</v>
      </c>
      <c r="EP155" s="194">
        <f t="shared" si="557"/>
        <v>0</v>
      </c>
      <c r="EQ155" s="117">
        <f t="shared" si="558"/>
        <v>0</v>
      </c>
      <c r="ER155" s="118">
        <f t="shared" si="559"/>
        <v>0</v>
      </c>
      <c r="ES155" s="116">
        <f t="shared" si="560"/>
        <v>0</v>
      </c>
      <c r="ET155" s="117">
        <f t="shared" si="561"/>
        <v>0</v>
      </c>
      <c r="EU155" s="119">
        <f t="shared" si="562"/>
        <v>0</v>
      </c>
      <c r="EV155" s="194">
        <f t="shared" si="563"/>
        <v>0</v>
      </c>
      <c r="EW155" s="117">
        <f t="shared" si="564"/>
        <v>0</v>
      </c>
      <c r="EX155" s="118">
        <f t="shared" si="565"/>
        <v>0</v>
      </c>
      <c r="EY155" s="116">
        <f t="shared" si="566"/>
        <v>0</v>
      </c>
      <c r="EZ155" s="117">
        <f t="shared" si="567"/>
        <v>0</v>
      </c>
      <c r="FA155" s="119">
        <f t="shared" si="568"/>
        <v>0</v>
      </c>
      <c r="FB155" s="194">
        <f t="shared" si="569"/>
        <v>0</v>
      </c>
      <c r="FC155" s="117">
        <f t="shared" si="570"/>
        <v>0</v>
      </c>
      <c r="FD155" s="118">
        <f t="shared" si="571"/>
        <v>0</v>
      </c>
      <c r="FE155" s="116">
        <f t="shared" si="572"/>
        <v>0</v>
      </c>
      <c r="FF155" s="117">
        <f t="shared" si="573"/>
        <v>0</v>
      </c>
      <c r="FG155" s="119">
        <f t="shared" si="574"/>
        <v>0</v>
      </c>
      <c r="FH155" s="194">
        <f t="shared" si="575"/>
        <v>0</v>
      </c>
      <c r="FI155" s="117">
        <f t="shared" si="576"/>
        <v>0</v>
      </c>
      <c r="FJ155" s="118">
        <f t="shared" si="577"/>
        <v>0</v>
      </c>
      <c r="FK155" s="116">
        <f t="shared" si="578"/>
        <v>0</v>
      </c>
      <c r="FL155" s="117">
        <f t="shared" si="579"/>
        <v>0</v>
      </c>
      <c r="FM155" s="119">
        <f t="shared" si="580"/>
        <v>0</v>
      </c>
      <c r="FN155" s="194">
        <f t="shared" si="581"/>
        <v>0</v>
      </c>
      <c r="FO155" s="117">
        <f t="shared" si="582"/>
        <v>0</v>
      </c>
      <c r="FP155" s="118">
        <f t="shared" si="583"/>
        <v>0</v>
      </c>
      <c r="FQ155" s="116">
        <f t="shared" si="584"/>
        <v>0</v>
      </c>
      <c r="FR155" s="117">
        <f t="shared" si="585"/>
        <v>0</v>
      </c>
      <c r="FS155" s="119">
        <f t="shared" si="627"/>
        <v>0</v>
      </c>
      <c r="FT155" s="194">
        <f t="shared" si="586"/>
        <v>0</v>
      </c>
      <c r="FU155" s="117">
        <f t="shared" si="587"/>
        <v>0</v>
      </c>
      <c r="FV155" s="118">
        <f t="shared" si="588"/>
        <v>0</v>
      </c>
      <c r="FW155" s="116">
        <f t="shared" si="589"/>
        <v>0</v>
      </c>
      <c r="FX155" s="117">
        <f t="shared" si="590"/>
        <v>0</v>
      </c>
      <c r="FY155" s="119">
        <f t="shared" si="591"/>
        <v>0</v>
      </c>
      <c r="FZ155" s="194">
        <f t="shared" si="592"/>
        <v>0</v>
      </c>
      <c r="GA155" s="117">
        <f t="shared" si="593"/>
        <v>0</v>
      </c>
      <c r="GB155" s="118">
        <f t="shared" si="594"/>
        <v>0</v>
      </c>
      <c r="GC155" s="116">
        <f t="shared" si="595"/>
        <v>0</v>
      </c>
      <c r="GD155" s="117">
        <f t="shared" si="596"/>
        <v>0</v>
      </c>
      <c r="GE155" s="119">
        <f t="shared" si="597"/>
        <v>0</v>
      </c>
      <c r="GF155" s="194">
        <f t="shared" si="598"/>
        <v>0</v>
      </c>
      <c r="GG155" s="117">
        <f t="shared" si="599"/>
        <v>0</v>
      </c>
      <c r="GH155" s="118">
        <f t="shared" si="600"/>
        <v>0</v>
      </c>
      <c r="GI155" s="116">
        <f t="shared" si="601"/>
        <v>0</v>
      </c>
      <c r="GJ155" s="117">
        <f t="shared" si="602"/>
        <v>0</v>
      </c>
      <c r="GK155" s="119">
        <f t="shared" si="603"/>
        <v>0</v>
      </c>
      <c r="GL155" s="194">
        <f t="shared" si="604"/>
        <v>0</v>
      </c>
      <c r="GM155" s="194">
        <f t="shared" si="605"/>
        <v>0</v>
      </c>
      <c r="GN155" s="386">
        <f t="shared" si="606"/>
        <v>0</v>
      </c>
      <c r="GO155" s="239">
        <f t="shared" si="607"/>
        <v>0</v>
      </c>
      <c r="GP155" s="43">
        <f t="shared" si="608"/>
        <v>0</v>
      </c>
      <c r="GQ155" s="57">
        <f t="shared" si="609"/>
        <v>0</v>
      </c>
      <c r="GR155" s="194">
        <f t="shared" si="610"/>
        <v>0</v>
      </c>
      <c r="GS155" s="117">
        <f t="shared" si="611"/>
        <v>0</v>
      </c>
      <c r="GT155" s="119">
        <f t="shared" si="612"/>
        <v>0</v>
      </c>
      <c r="GU155" s="194">
        <f t="shared" si="613"/>
        <v>0</v>
      </c>
      <c r="GV155" s="117">
        <f t="shared" si="614"/>
        <v>0</v>
      </c>
      <c r="GW155" s="119">
        <f t="shared" si="615"/>
        <v>0</v>
      </c>
      <c r="GX155" s="194">
        <f t="shared" si="616"/>
        <v>0</v>
      </c>
      <c r="GY155" s="117">
        <f t="shared" si="617"/>
        <v>0</v>
      </c>
      <c r="GZ155" s="119">
        <f t="shared" si="618"/>
        <v>0</v>
      </c>
      <c r="HA155" s="194">
        <f t="shared" si="619"/>
        <v>0</v>
      </c>
      <c r="HB155" s="117">
        <f t="shared" si="620"/>
        <v>0</v>
      </c>
      <c r="HC155" s="119">
        <f t="shared" si="621"/>
        <v>0</v>
      </c>
      <c r="HD155" s="368">
        <f t="shared" si="622"/>
        <v>0</v>
      </c>
      <c r="HE155" s="369">
        <f t="shared" si="623"/>
        <v>0</v>
      </c>
      <c r="HF155" s="369">
        <f t="shared" si="624"/>
        <v>0</v>
      </c>
      <c r="HG155" s="147">
        <f t="shared" si="625"/>
        <v>0</v>
      </c>
    </row>
    <row r="156" spans="1:215" ht="15.75" thickBot="1">
      <c r="A156" s="238">
        <v>6</v>
      </c>
      <c r="B156" s="116">
        <f t="shared" si="414"/>
        <v>0</v>
      </c>
      <c r="C156" s="117">
        <f t="shared" si="415"/>
        <v>0</v>
      </c>
      <c r="D156" s="119">
        <f t="shared" si="416"/>
        <v>0</v>
      </c>
      <c r="E156" s="194">
        <f t="shared" si="417"/>
        <v>0</v>
      </c>
      <c r="F156" s="117">
        <f t="shared" si="418"/>
        <v>0</v>
      </c>
      <c r="G156" s="118">
        <f t="shared" si="419"/>
        <v>0</v>
      </c>
      <c r="H156" s="116">
        <f t="shared" si="420"/>
        <v>0</v>
      </c>
      <c r="I156" s="117">
        <f t="shared" si="421"/>
        <v>0</v>
      </c>
      <c r="J156" s="119">
        <f t="shared" si="422"/>
        <v>0</v>
      </c>
      <c r="K156" s="194">
        <f t="shared" si="423"/>
        <v>0</v>
      </c>
      <c r="L156" s="117">
        <f t="shared" si="424"/>
        <v>0</v>
      </c>
      <c r="M156" s="118">
        <f t="shared" si="425"/>
        <v>0</v>
      </c>
      <c r="N156" s="116">
        <f t="shared" si="426"/>
        <v>0</v>
      </c>
      <c r="O156" s="117">
        <f t="shared" si="427"/>
        <v>0</v>
      </c>
      <c r="P156" s="119">
        <f t="shared" si="428"/>
        <v>0</v>
      </c>
      <c r="Q156" s="194">
        <f t="shared" si="429"/>
        <v>0</v>
      </c>
      <c r="R156" s="117">
        <f t="shared" si="430"/>
        <v>0</v>
      </c>
      <c r="S156" s="118">
        <f t="shared" si="431"/>
        <v>0</v>
      </c>
      <c r="T156" s="116">
        <f t="shared" si="432"/>
        <v>0</v>
      </c>
      <c r="U156" s="117">
        <f t="shared" si="433"/>
        <v>0</v>
      </c>
      <c r="V156" s="119">
        <f t="shared" si="434"/>
        <v>0</v>
      </c>
      <c r="W156" s="194">
        <f t="shared" si="435"/>
        <v>0</v>
      </c>
      <c r="X156" s="117">
        <f t="shared" si="436"/>
        <v>0</v>
      </c>
      <c r="Y156" s="118">
        <f t="shared" si="437"/>
        <v>0</v>
      </c>
      <c r="Z156" s="116">
        <f t="shared" si="438"/>
        <v>0</v>
      </c>
      <c r="AA156" s="117">
        <f t="shared" si="439"/>
        <v>0</v>
      </c>
      <c r="AB156" s="119">
        <f t="shared" si="440"/>
        <v>0</v>
      </c>
      <c r="AC156" s="194">
        <f t="shared" si="441"/>
        <v>0</v>
      </c>
      <c r="AD156" s="117">
        <f t="shared" si="442"/>
        <v>0</v>
      </c>
      <c r="AE156" s="118">
        <f t="shared" si="443"/>
        <v>0</v>
      </c>
      <c r="AF156" s="116">
        <f t="shared" si="444"/>
        <v>0</v>
      </c>
      <c r="AG156" s="117">
        <f t="shared" si="445"/>
        <v>0</v>
      </c>
      <c r="AH156" s="119">
        <f t="shared" si="446"/>
        <v>0</v>
      </c>
      <c r="AI156" s="194">
        <f t="shared" si="447"/>
        <v>0</v>
      </c>
      <c r="AJ156" s="117">
        <f t="shared" si="448"/>
        <v>0</v>
      </c>
      <c r="AK156" s="118">
        <f t="shared" si="449"/>
        <v>0</v>
      </c>
      <c r="AL156" s="116">
        <f t="shared" si="450"/>
        <v>0</v>
      </c>
      <c r="AM156" s="117">
        <f t="shared" si="451"/>
        <v>0</v>
      </c>
      <c r="AN156" s="119">
        <f t="shared" si="452"/>
        <v>0</v>
      </c>
      <c r="AO156" s="194">
        <f t="shared" si="453"/>
        <v>0</v>
      </c>
      <c r="AP156" s="117">
        <f t="shared" si="454"/>
        <v>0</v>
      </c>
      <c r="AQ156" s="118">
        <f t="shared" si="455"/>
        <v>0</v>
      </c>
      <c r="AR156" s="116">
        <f t="shared" si="456"/>
        <v>0</v>
      </c>
      <c r="AS156" s="117">
        <f t="shared" si="457"/>
        <v>0</v>
      </c>
      <c r="AT156" s="119">
        <f t="shared" si="458"/>
        <v>0</v>
      </c>
      <c r="AU156" s="194">
        <f t="shared" si="459"/>
        <v>0</v>
      </c>
      <c r="AV156" s="117">
        <f t="shared" si="460"/>
        <v>0</v>
      </c>
      <c r="AW156" s="118">
        <f t="shared" si="461"/>
        <v>0</v>
      </c>
      <c r="AX156" s="116">
        <f t="shared" si="462"/>
        <v>0</v>
      </c>
      <c r="AY156" s="117">
        <f t="shared" si="463"/>
        <v>0</v>
      </c>
      <c r="AZ156" s="119">
        <f t="shared" si="464"/>
        <v>0</v>
      </c>
      <c r="BA156" s="194">
        <f t="shared" si="465"/>
        <v>0</v>
      </c>
      <c r="BB156" s="117">
        <f t="shared" si="466"/>
        <v>0</v>
      </c>
      <c r="BC156" s="118">
        <f t="shared" si="467"/>
        <v>0</v>
      </c>
      <c r="BD156" s="116">
        <f t="shared" si="468"/>
        <v>0</v>
      </c>
      <c r="BE156" s="117">
        <f t="shared" si="469"/>
        <v>0</v>
      </c>
      <c r="BF156" s="119">
        <f t="shared" si="470"/>
        <v>0</v>
      </c>
      <c r="BG156" s="194">
        <f t="shared" si="471"/>
        <v>0</v>
      </c>
      <c r="BH156" s="117">
        <f t="shared" si="472"/>
        <v>0</v>
      </c>
      <c r="BI156" s="118">
        <f t="shared" si="473"/>
        <v>0</v>
      </c>
      <c r="BJ156" s="116">
        <f t="shared" si="474"/>
        <v>0</v>
      </c>
      <c r="BK156" s="117">
        <f t="shared" si="475"/>
        <v>0</v>
      </c>
      <c r="BL156" s="119">
        <f t="shared" si="476"/>
        <v>0</v>
      </c>
      <c r="BM156" s="194">
        <f t="shared" si="477"/>
        <v>0</v>
      </c>
      <c r="BN156" s="117">
        <f t="shared" si="478"/>
        <v>0</v>
      </c>
      <c r="BO156" s="118">
        <f t="shared" si="479"/>
        <v>0</v>
      </c>
      <c r="BP156" s="116">
        <f t="shared" si="480"/>
        <v>0</v>
      </c>
      <c r="BQ156" s="117">
        <f t="shared" si="481"/>
        <v>0</v>
      </c>
      <c r="BR156" s="119">
        <f t="shared" si="626"/>
        <v>0</v>
      </c>
      <c r="BS156" s="194">
        <f t="shared" si="482"/>
        <v>0</v>
      </c>
      <c r="BT156" s="117">
        <f t="shared" si="483"/>
        <v>0</v>
      </c>
      <c r="BU156" s="118">
        <f t="shared" si="484"/>
        <v>0</v>
      </c>
      <c r="BV156" s="116">
        <f t="shared" si="485"/>
        <v>0</v>
      </c>
      <c r="BW156" s="117">
        <f t="shared" si="486"/>
        <v>0</v>
      </c>
      <c r="BX156" s="119">
        <f t="shared" si="487"/>
        <v>0</v>
      </c>
      <c r="BY156" s="194">
        <f t="shared" si="488"/>
        <v>0</v>
      </c>
      <c r="BZ156" s="117">
        <f t="shared" si="489"/>
        <v>0</v>
      </c>
      <c r="CA156" s="118">
        <f t="shared" si="490"/>
        <v>0</v>
      </c>
      <c r="CB156" s="116">
        <f t="shared" si="491"/>
        <v>0</v>
      </c>
      <c r="CC156" s="117">
        <f t="shared" si="492"/>
        <v>0</v>
      </c>
      <c r="CD156" s="119">
        <f t="shared" si="493"/>
        <v>0</v>
      </c>
      <c r="CE156" s="194">
        <f t="shared" si="494"/>
        <v>0</v>
      </c>
      <c r="CF156" s="117">
        <f t="shared" si="495"/>
        <v>0</v>
      </c>
      <c r="CG156" s="118">
        <f t="shared" si="496"/>
        <v>0</v>
      </c>
      <c r="CH156" s="116">
        <f t="shared" si="497"/>
        <v>0</v>
      </c>
      <c r="CI156" s="117">
        <f t="shared" si="498"/>
        <v>0</v>
      </c>
      <c r="CJ156" s="119">
        <f t="shared" si="499"/>
        <v>0</v>
      </c>
      <c r="CK156" s="194">
        <f t="shared" si="500"/>
        <v>0</v>
      </c>
      <c r="CL156" s="194">
        <f t="shared" si="501"/>
        <v>0</v>
      </c>
      <c r="CM156" s="386">
        <f t="shared" si="502"/>
        <v>0</v>
      </c>
      <c r="CN156" s="239">
        <f t="shared" si="503"/>
        <v>0</v>
      </c>
      <c r="CO156" s="43">
        <f t="shared" si="504"/>
        <v>0</v>
      </c>
      <c r="CP156" s="57">
        <f t="shared" si="505"/>
        <v>0</v>
      </c>
      <c r="CQ156" s="194">
        <f t="shared" si="506"/>
        <v>0</v>
      </c>
      <c r="CR156" s="117">
        <f t="shared" si="507"/>
        <v>0</v>
      </c>
      <c r="CS156" s="119">
        <f t="shared" si="508"/>
        <v>0</v>
      </c>
      <c r="CT156" s="194">
        <f t="shared" si="509"/>
        <v>0</v>
      </c>
      <c r="CU156" s="117">
        <f t="shared" si="510"/>
        <v>0</v>
      </c>
      <c r="CV156" s="119">
        <f t="shared" si="511"/>
        <v>0</v>
      </c>
      <c r="CW156" s="194">
        <f t="shared" si="512"/>
        <v>0</v>
      </c>
      <c r="CX156" s="117">
        <f t="shared" si="513"/>
        <v>0</v>
      </c>
      <c r="CY156" s="119">
        <f t="shared" si="514"/>
        <v>0</v>
      </c>
      <c r="CZ156" s="194">
        <f t="shared" si="515"/>
        <v>0</v>
      </c>
      <c r="DA156" s="117">
        <f t="shared" si="516"/>
        <v>0</v>
      </c>
      <c r="DB156" s="119">
        <f t="shared" si="517"/>
        <v>0</v>
      </c>
      <c r="DC156" s="116">
        <f t="shared" si="518"/>
        <v>0</v>
      </c>
      <c r="DD156" s="117">
        <f t="shared" si="519"/>
        <v>0</v>
      </c>
      <c r="DE156" s="119">
        <f t="shared" si="520"/>
        <v>0</v>
      </c>
      <c r="DF156" s="194">
        <f t="shared" si="521"/>
        <v>0</v>
      </c>
      <c r="DG156" s="117">
        <f t="shared" si="522"/>
        <v>0</v>
      </c>
      <c r="DH156" s="118">
        <f t="shared" si="523"/>
        <v>0</v>
      </c>
      <c r="DI156" s="116">
        <f t="shared" si="524"/>
        <v>0</v>
      </c>
      <c r="DJ156" s="117">
        <f t="shared" si="525"/>
        <v>0</v>
      </c>
      <c r="DK156" s="119">
        <f t="shared" si="526"/>
        <v>0</v>
      </c>
      <c r="DL156" s="194">
        <f t="shared" si="527"/>
        <v>0</v>
      </c>
      <c r="DM156" s="117">
        <f t="shared" si="528"/>
        <v>0</v>
      </c>
      <c r="DN156" s="118">
        <f t="shared" si="529"/>
        <v>0</v>
      </c>
      <c r="DO156" s="116">
        <f t="shared" si="530"/>
        <v>0</v>
      </c>
      <c r="DP156" s="117">
        <f t="shared" si="531"/>
        <v>0</v>
      </c>
      <c r="DQ156" s="119">
        <f t="shared" si="532"/>
        <v>0</v>
      </c>
      <c r="DR156" s="194">
        <f t="shared" si="533"/>
        <v>0</v>
      </c>
      <c r="DS156" s="117">
        <f t="shared" si="534"/>
        <v>0</v>
      </c>
      <c r="DT156" s="118">
        <f t="shared" si="535"/>
        <v>0</v>
      </c>
      <c r="DU156" s="116">
        <f t="shared" si="536"/>
        <v>0</v>
      </c>
      <c r="DV156" s="117">
        <f t="shared" si="537"/>
        <v>0</v>
      </c>
      <c r="DW156" s="119">
        <f t="shared" si="538"/>
        <v>0</v>
      </c>
      <c r="DX156" s="194">
        <f t="shared" si="539"/>
        <v>0</v>
      </c>
      <c r="DY156" s="117">
        <f t="shared" si="540"/>
        <v>0</v>
      </c>
      <c r="DZ156" s="118">
        <f t="shared" si="541"/>
        <v>0</v>
      </c>
      <c r="EA156" s="116">
        <f t="shared" si="542"/>
        <v>0</v>
      </c>
      <c r="EB156" s="117">
        <f t="shared" si="543"/>
        <v>0</v>
      </c>
      <c r="EC156" s="119">
        <f t="shared" si="544"/>
        <v>0</v>
      </c>
      <c r="ED156" s="194">
        <f t="shared" si="545"/>
        <v>0</v>
      </c>
      <c r="EE156" s="117">
        <f t="shared" si="546"/>
        <v>0</v>
      </c>
      <c r="EF156" s="118">
        <f t="shared" si="547"/>
        <v>0</v>
      </c>
      <c r="EG156" s="116">
        <f t="shared" si="548"/>
        <v>0</v>
      </c>
      <c r="EH156" s="117">
        <f t="shared" si="549"/>
        <v>0</v>
      </c>
      <c r="EI156" s="119">
        <f t="shared" si="550"/>
        <v>0</v>
      </c>
      <c r="EJ156" s="194">
        <f t="shared" si="551"/>
        <v>0</v>
      </c>
      <c r="EK156" s="117">
        <f t="shared" si="552"/>
        <v>0</v>
      </c>
      <c r="EL156" s="118">
        <f t="shared" si="553"/>
        <v>0</v>
      </c>
      <c r="EM156" s="116">
        <f t="shared" si="554"/>
        <v>0</v>
      </c>
      <c r="EN156" s="117">
        <f t="shared" si="555"/>
        <v>0</v>
      </c>
      <c r="EO156" s="119">
        <f t="shared" si="556"/>
        <v>0</v>
      </c>
      <c r="EP156" s="194">
        <f t="shared" si="557"/>
        <v>0</v>
      </c>
      <c r="EQ156" s="117">
        <f t="shared" si="558"/>
        <v>0</v>
      </c>
      <c r="ER156" s="118">
        <f t="shared" si="559"/>
        <v>0</v>
      </c>
      <c r="ES156" s="116">
        <f t="shared" si="560"/>
        <v>0</v>
      </c>
      <c r="ET156" s="117">
        <f t="shared" si="561"/>
        <v>0</v>
      </c>
      <c r="EU156" s="119">
        <f t="shared" si="562"/>
        <v>0</v>
      </c>
      <c r="EV156" s="194">
        <f t="shared" si="563"/>
        <v>0</v>
      </c>
      <c r="EW156" s="117">
        <f t="shared" si="564"/>
        <v>0</v>
      </c>
      <c r="EX156" s="118">
        <f t="shared" si="565"/>
        <v>0</v>
      </c>
      <c r="EY156" s="116">
        <f t="shared" si="566"/>
        <v>0</v>
      </c>
      <c r="EZ156" s="117">
        <f t="shared" si="567"/>
        <v>0</v>
      </c>
      <c r="FA156" s="119">
        <f t="shared" si="568"/>
        <v>0</v>
      </c>
      <c r="FB156" s="194">
        <f t="shared" si="569"/>
        <v>0</v>
      </c>
      <c r="FC156" s="117">
        <f t="shared" si="570"/>
        <v>0</v>
      </c>
      <c r="FD156" s="118">
        <f t="shared" si="571"/>
        <v>0</v>
      </c>
      <c r="FE156" s="116">
        <f t="shared" si="572"/>
        <v>0</v>
      </c>
      <c r="FF156" s="117">
        <f t="shared" si="573"/>
        <v>0</v>
      </c>
      <c r="FG156" s="119">
        <f t="shared" si="574"/>
        <v>0</v>
      </c>
      <c r="FH156" s="194">
        <f t="shared" si="575"/>
        <v>0</v>
      </c>
      <c r="FI156" s="117">
        <f t="shared" si="576"/>
        <v>0</v>
      </c>
      <c r="FJ156" s="118">
        <f t="shared" si="577"/>
        <v>0</v>
      </c>
      <c r="FK156" s="116">
        <f t="shared" si="578"/>
        <v>0</v>
      </c>
      <c r="FL156" s="117">
        <f t="shared" si="579"/>
        <v>0</v>
      </c>
      <c r="FM156" s="119">
        <f t="shared" si="580"/>
        <v>0</v>
      </c>
      <c r="FN156" s="194">
        <f t="shared" si="581"/>
        <v>0</v>
      </c>
      <c r="FO156" s="117">
        <f t="shared" si="582"/>
        <v>0</v>
      </c>
      <c r="FP156" s="118">
        <f t="shared" si="583"/>
        <v>0</v>
      </c>
      <c r="FQ156" s="116">
        <f t="shared" si="584"/>
        <v>0</v>
      </c>
      <c r="FR156" s="117">
        <f t="shared" si="585"/>
        <v>0</v>
      </c>
      <c r="FS156" s="119">
        <f t="shared" si="627"/>
        <v>0</v>
      </c>
      <c r="FT156" s="194">
        <f t="shared" si="586"/>
        <v>0</v>
      </c>
      <c r="FU156" s="117">
        <f t="shared" si="587"/>
        <v>0</v>
      </c>
      <c r="FV156" s="118">
        <f t="shared" si="588"/>
        <v>0</v>
      </c>
      <c r="FW156" s="116">
        <f t="shared" si="589"/>
        <v>0</v>
      </c>
      <c r="FX156" s="117">
        <f t="shared" si="590"/>
        <v>0</v>
      </c>
      <c r="FY156" s="119">
        <f t="shared" si="591"/>
        <v>0</v>
      </c>
      <c r="FZ156" s="194">
        <f t="shared" si="592"/>
        <v>0</v>
      </c>
      <c r="GA156" s="117">
        <f t="shared" si="593"/>
        <v>0</v>
      </c>
      <c r="GB156" s="118">
        <f t="shared" si="594"/>
        <v>0</v>
      </c>
      <c r="GC156" s="116">
        <f t="shared" si="595"/>
        <v>0</v>
      </c>
      <c r="GD156" s="117">
        <f t="shared" si="596"/>
        <v>0</v>
      </c>
      <c r="GE156" s="119">
        <f t="shared" si="597"/>
        <v>0</v>
      </c>
      <c r="GF156" s="194">
        <f t="shared" si="598"/>
        <v>0</v>
      </c>
      <c r="GG156" s="117">
        <f t="shared" si="599"/>
        <v>0</v>
      </c>
      <c r="GH156" s="118">
        <f t="shared" si="600"/>
        <v>0</v>
      </c>
      <c r="GI156" s="116">
        <f t="shared" si="601"/>
        <v>0</v>
      </c>
      <c r="GJ156" s="117">
        <f t="shared" si="602"/>
        <v>0</v>
      </c>
      <c r="GK156" s="119">
        <f t="shared" si="603"/>
        <v>0</v>
      </c>
      <c r="GL156" s="194">
        <f t="shared" si="604"/>
        <v>0</v>
      </c>
      <c r="GM156" s="194">
        <f t="shared" si="605"/>
        <v>0</v>
      </c>
      <c r="GN156" s="386">
        <f t="shared" si="606"/>
        <v>0</v>
      </c>
      <c r="GO156" s="239">
        <f t="shared" si="607"/>
        <v>0</v>
      </c>
      <c r="GP156" s="43">
        <f t="shared" si="608"/>
        <v>0</v>
      </c>
      <c r="GQ156" s="57">
        <f t="shared" si="609"/>
        <v>0</v>
      </c>
      <c r="GR156" s="194">
        <f t="shared" si="610"/>
        <v>0</v>
      </c>
      <c r="GS156" s="117">
        <f t="shared" si="611"/>
        <v>0</v>
      </c>
      <c r="GT156" s="119">
        <f t="shared" si="612"/>
        <v>0</v>
      </c>
      <c r="GU156" s="194">
        <f t="shared" si="613"/>
        <v>0</v>
      </c>
      <c r="GV156" s="117">
        <f t="shared" si="614"/>
        <v>0</v>
      </c>
      <c r="GW156" s="119">
        <f t="shared" si="615"/>
        <v>0</v>
      </c>
      <c r="GX156" s="194">
        <f t="shared" si="616"/>
        <v>0</v>
      </c>
      <c r="GY156" s="117">
        <f t="shared" si="617"/>
        <v>0</v>
      </c>
      <c r="GZ156" s="119">
        <f t="shared" si="618"/>
        <v>0</v>
      </c>
      <c r="HA156" s="194">
        <f t="shared" si="619"/>
        <v>0</v>
      </c>
      <c r="HB156" s="117">
        <f t="shared" si="620"/>
        <v>0</v>
      </c>
      <c r="HC156" s="119">
        <f t="shared" si="621"/>
        <v>0</v>
      </c>
      <c r="HD156" s="368">
        <f t="shared" si="622"/>
        <v>0</v>
      </c>
      <c r="HE156" s="369">
        <f t="shared" si="623"/>
        <v>0</v>
      </c>
      <c r="HF156" s="369">
        <f t="shared" si="624"/>
        <v>0</v>
      </c>
      <c r="HG156" s="147">
        <f t="shared" si="625"/>
        <v>0</v>
      </c>
    </row>
    <row r="157" spans="1:215" ht="15.75" thickBot="1">
      <c r="A157" s="353">
        <v>7</v>
      </c>
      <c r="B157" s="116">
        <f t="shared" si="414"/>
        <v>0</v>
      </c>
      <c r="C157" s="117">
        <f t="shared" si="415"/>
        <v>0</v>
      </c>
      <c r="D157" s="119">
        <f t="shared" si="416"/>
        <v>0</v>
      </c>
      <c r="E157" s="194">
        <f t="shared" si="417"/>
        <v>0</v>
      </c>
      <c r="F157" s="117">
        <f t="shared" si="418"/>
        <v>0</v>
      </c>
      <c r="G157" s="118">
        <f t="shared" si="419"/>
        <v>0</v>
      </c>
      <c r="H157" s="116">
        <f t="shared" si="420"/>
        <v>0</v>
      </c>
      <c r="I157" s="117">
        <f t="shared" si="421"/>
        <v>0</v>
      </c>
      <c r="J157" s="119">
        <f t="shared" si="422"/>
        <v>0</v>
      </c>
      <c r="K157" s="194">
        <f t="shared" si="423"/>
        <v>0</v>
      </c>
      <c r="L157" s="117">
        <f t="shared" si="424"/>
        <v>0</v>
      </c>
      <c r="M157" s="118">
        <f t="shared" si="425"/>
        <v>0</v>
      </c>
      <c r="N157" s="116">
        <f t="shared" si="426"/>
        <v>0</v>
      </c>
      <c r="O157" s="117">
        <f t="shared" si="427"/>
        <v>0</v>
      </c>
      <c r="P157" s="119">
        <f t="shared" si="428"/>
        <v>0</v>
      </c>
      <c r="Q157" s="194">
        <f t="shared" si="429"/>
        <v>0</v>
      </c>
      <c r="R157" s="117">
        <f t="shared" si="430"/>
        <v>0</v>
      </c>
      <c r="S157" s="118">
        <f t="shared" si="431"/>
        <v>0</v>
      </c>
      <c r="T157" s="116">
        <f t="shared" si="432"/>
        <v>0</v>
      </c>
      <c r="U157" s="117">
        <f t="shared" si="433"/>
        <v>0</v>
      </c>
      <c r="V157" s="119">
        <f t="shared" si="434"/>
        <v>0</v>
      </c>
      <c r="W157" s="194">
        <f t="shared" si="435"/>
        <v>0</v>
      </c>
      <c r="X157" s="117">
        <f t="shared" si="436"/>
        <v>0</v>
      </c>
      <c r="Y157" s="118">
        <f t="shared" si="437"/>
        <v>0</v>
      </c>
      <c r="Z157" s="116">
        <f t="shared" si="438"/>
        <v>0</v>
      </c>
      <c r="AA157" s="117">
        <f t="shared" si="439"/>
        <v>0</v>
      </c>
      <c r="AB157" s="119">
        <f t="shared" si="440"/>
        <v>0</v>
      </c>
      <c r="AC157" s="194">
        <f t="shared" si="441"/>
        <v>0</v>
      </c>
      <c r="AD157" s="117">
        <f t="shared" si="442"/>
        <v>0</v>
      </c>
      <c r="AE157" s="118">
        <f t="shared" si="443"/>
        <v>0</v>
      </c>
      <c r="AF157" s="116">
        <f t="shared" si="444"/>
        <v>0</v>
      </c>
      <c r="AG157" s="117">
        <f t="shared" si="445"/>
        <v>0</v>
      </c>
      <c r="AH157" s="119">
        <f t="shared" si="446"/>
        <v>0</v>
      </c>
      <c r="AI157" s="194">
        <f t="shared" si="447"/>
        <v>0</v>
      </c>
      <c r="AJ157" s="117">
        <f t="shared" si="448"/>
        <v>0</v>
      </c>
      <c r="AK157" s="118">
        <f t="shared" si="449"/>
        <v>0</v>
      </c>
      <c r="AL157" s="116">
        <f t="shared" si="450"/>
        <v>0</v>
      </c>
      <c r="AM157" s="117">
        <f t="shared" si="451"/>
        <v>0</v>
      </c>
      <c r="AN157" s="119">
        <f t="shared" si="452"/>
        <v>0</v>
      </c>
      <c r="AO157" s="194">
        <f t="shared" si="453"/>
        <v>0</v>
      </c>
      <c r="AP157" s="117">
        <f t="shared" si="454"/>
        <v>0</v>
      </c>
      <c r="AQ157" s="118">
        <f t="shared" si="455"/>
        <v>0</v>
      </c>
      <c r="AR157" s="116">
        <f t="shared" si="456"/>
        <v>0</v>
      </c>
      <c r="AS157" s="117">
        <f t="shared" si="457"/>
        <v>0</v>
      </c>
      <c r="AT157" s="119">
        <f t="shared" si="458"/>
        <v>0</v>
      </c>
      <c r="AU157" s="194">
        <f t="shared" si="459"/>
        <v>0</v>
      </c>
      <c r="AV157" s="117">
        <f t="shared" si="460"/>
        <v>0</v>
      </c>
      <c r="AW157" s="118">
        <f t="shared" si="461"/>
        <v>0</v>
      </c>
      <c r="AX157" s="116">
        <f t="shared" si="462"/>
        <v>0</v>
      </c>
      <c r="AY157" s="117">
        <f t="shared" si="463"/>
        <v>0</v>
      </c>
      <c r="AZ157" s="119">
        <f t="shared" si="464"/>
        <v>0</v>
      </c>
      <c r="BA157" s="194">
        <f t="shared" si="465"/>
        <v>0</v>
      </c>
      <c r="BB157" s="117">
        <f t="shared" si="466"/>
        <v>0</v>
      </c>
      <c r="BC157" s="118">
        <f t="shared" si="467"/>
        <v>0</v>
      </c>
      <c r="BD157" s="116">
        <f t="shared" si="468"/>
        <v>0</v>
      </c>
      <c r="BE157" s="117">
        <f t="shared" si="469"/>
        <v>0</v>
      </c>
      <c r="BF157" s="119">
        <f t="shared" si="470"/>
        <v>0</v>
      </c>
      <c r="BG157" s="194">
        <f t="shared" si="471"/>
        <v>0</v>
      </c>
      <c r="BH157" s="117">
        <f t="shared" si="472"/>
        <v>0</v>
      </c>
      <c r="BI157" s="118">
        <f t="shared" si="473"/>
        <v>0</v>
      </c>
      <c r="BJ157" s="116">
        <f t="shared" si="474"/>
        <v>0</v>
      </c>
      <c r="BK157" s="117">
        <f t="shared" si="475"/>
        <v>0</v>
      </c>
      <c r="BL157" s="119">
        <f t="shared" si="476"/>
        <v>0</v>
      </c>
      <c r="BM157" s="194">
        <f t="shared" si="477"/>
        <v>0</v>
      </c>
      <c r="BN157" s="117">
        <f t="shared" si="478"/>
        <v>0</v>
      </c>
      <c r="BO157" s="118">
        <f t="shared" si="479"/>
        <v>0</v>
      </c>
      <c r="BP157" s="116">
        <f t="shared" si="480"/>
        <v>0</v>
      </c>
      <c r="BQ157" s="117">
        <f t="shared" si="481"/>
        <v>0</v>
      </c>
      <c r="BR157" s="119">
        <f t="shared" si="626"/>
        <v>0</v>
      </c>
      <c r="BS157" s="194">
        <f t="shared" si="482"/>
        <v>0</v>
      </c>
      <c r="BT157" s="117">
        <f t="shared" si="483"/>
        <v>0</v>
      </c>
      <c r="BU157" s="118">
        <f t="shared" si="484"/>
        <v>0</v>
      </c>
      <c r="BV157" s="116">
        <f t="shared" si="485"/>
        <v>0</v>
      </c>
      <c r="BW157" s="117">
        <f t="shared" si="486"/>
        <v>0</v>
      </c>
      <c r="BX157" s="119">
        <f t="shared" si="487"/>
        <v>0</v>
      </c>
      <c r="BY157" s="194">
        <f t="shared" si="488"/>
        <v>0</v>
      </c>
      <c r="BZ157" s="117">
        <f t="shared" si="489"/>
        <v>0</v>
      </c>
      <c r="CA157" s="118">
        <f t="shared" si="490"/>
        <v>0</v>
      </c>
      <c r="CB157" s="116">
        <f t="shared" si="491"/>
        <v>0</v>
      </c>
      <c r="CC157" s="117">
        <f t="shared" si="492"/>
        <v>0</v>
      </c>
      <c r="CD157" s="119">
        <f t="shared" si="493"/>
        <v>0</v>
      </c>
      <c r="CE157" s="194">
        <f t="shared" si="494"/>
        <v>0</v>
      </c>
      <c r="CF157" s="117">
        <f t="shared" si="495"/>
        <v>0</v>
      </c>
      <c r="CG157" s="118">
        <f t="shared" si="496"/>
        <v>0</v>
      </c>
      <c r="CH157" s="116">
        <f t="shared" si="497"/>
        <v>0</v>
      </c>
      <c r="CI157" s="117">
        <f t="shared" si="498"/>
        <v>0</v>
      </c>
      <c r="CJ157" s="119">
        <f t="shared" si="499"/>
        <v>0</v>
      </c>
      <c r="CK157" s="194">
        <f t="shared" si="500"/>
        <v>0</v>
      </c>
      <c r="CL157" s="194">
        <f t="shared" si="501"/>
        <v>0</v>
      </c>
      <c r="CM157" s="386">
        <f t="shared" si="502"/>
        <v>0</v>
      </c>
      <c r="CN157" s="239">
        <f t="shared" si="503"/>
        <v>0</v>
      </c>
      <c r="CO157" s="43">
        <f t="shared" si="504"/>
        <v>0</v>
      </c>
      <c r="CP157" s="57">
        <f t="shared" si="505"/>
        <v>0</v>
      </c>
      <c r="CQ157" s="194">
        <f t="shared" si="506"/>
        <v>0</v>
      </c>
      <c r="CR157" s="117">
        <f t="shared" si="507"/>
        <v>0</v>
      </c>
      <c r="CS157" s="119">
        <f t="shared" si="508"/>
        <v>0</v>
      </c>
      <c r="CT157" s="194">
        <f t="shared" si="509"/>
        <v>0</v>
      </c>
      <c r="CU157" s="117">
        <f t="shared" si="510"/>
        <v>0</v>
      </c>
      <c r="CV157" s="119">
        <f t="shared" si="511"/>
        <v>0</v>
      </c>
      <c r="CW157" s="194">
        <f t="shared" si="512"/>
        <v>0</v>
      </c>
      <c r="CX157" s="117">
        <f t="shared" si="513"/>
        <v>0</v>
      </c>
      <c r="CY157" s="119">
        <f t="shared" si="514"/>
        <v>0</v>
      </c>
      <c r="CZ157" s="194">
        <f t="shared" si="515"/>
        <v>0</v>
      </c>
      <c r="DA157" s="117">
        <f t="shared" si="516"/>
        <v>0</v>
      </c>
      <c r="DB157" s="119">
        <f t="shared" si="517"/>
        <v>0</v>
      </c>
      <c r="DC157" s="116">
        <f t="shared" si="518"/>
        <v>0</v>
      </c>
      <c r="DD157" s="117">
        <f t="shared" si="519"/>
        <v>0</v>
      </c>
      <c r="DE157" s="119">
        <f t="shared" si="520"/>
        <v>0</v>
      </c>
      <c r="DF157" s="194">
        <f t="shared" si="521"/>
        <v>0</v>
      </c>
      <c r="DG157" s="117">
        <f t="shared" si="522"/>
        <v>0</v>
      </c>
      <c r="DH157" s="118">
        <f t="shared" si="523"/>
        <v>0</v>
      </c>
      <c r="DI157" s="116">
        <f t="shared" si="524"/>
        <v>0</v>
      </c>
      <c r="DJ157" s="117">
        <f t="shared" si="525"/>
        <v>0</v>
      </c>
      <c r="DK157" s="119">
        <f t="shared" si="526"/>
        <v>0</v>
      </c>
      <c r="DL157" s="194">
        <f t="shared" si="527"/>
        <v>0</v>
      </c>
      <c r="DM157" s="117">
        <f t="shared" si="528"/>
        <v>0</v>
      </c>
      <c r="DN157" s="118">
        <f t="shared" si="529"/>
        <v>0</v>
      </c>
      <c r="DO157" s="116">
        <f t="shared" si="530"/>
        <v>0</v>
      </c>
      <c r="DP157" s="117">
        <f t="shared" si="531"/>
        <v>0</v>
      </c>
      <c r="DQ157" s="119">
        <f t="shared" si="532"/>
        <v>0</v>
      </c>
      <c r="DR157" s="194">
        <f t="shared" si="533"/>
        <v>0</v>
      </c>
      <c r="DS157" s="117">
        <f t="shared" si="534"/>
        <v>0</v>
      </c>
      <c r="DT157" s="118">
        <f t="shared" si="535"/>
        <v>0</v>
      </c>
      <c r="DU157" s="116">
        <f t="shared" si="536"/>
        <v>0</v>
      </c>
      <c r="DV157" s="117">
        <f t="shared" si="537"/>
        <v>0</v>
      </c>
      <c r="DW157" s="119">
        <f t="shared" si="538"/>
        <v>0</v>
      </c>
      <c r="DX157" s="194">
        <f t="shared" si="539"/>
        <v>0</v>
      </c>
      <c r="DY157" s="117">
        <f t="shared" si="540"/>
        <v>0</v>
      </c>
      <c r="DZ157" s="118">
        <f t="shared" si="541"/>
        <v>0</v>
      </c>
      <c r="EA157" s="116">
        <f t="shared" si="542"/>
        <v>0</v>
      </c>
      <c r="EB157" s="117">
        <f t="shared" si="543"/>
        <v>0</v>
      </c>
      <c r="EC157" s="119">
        <f t="shared" si="544"/>
        <v>0</v>
      </c>
      <c r="ED157" s="194">
        <f t="shared" si="545"/>
        <v>0</v>
      </c>
      <c r="EE157" s="117">
        <f t="shared" si="546"/>
        <v>0</v>
      </c>
      <c r="EF157" s="118">
        <f t="shared" si="547"/>
        <v>0</v>
      </c>
      <c r="EG157" s="116">
        <f t="shared" si="548"/>
        <v>0</v>
      </c>
      <c r="EH157" s="117">
        <f t="shared" si="549"/>
        <v>0</v>
      </c>
      <c r="EI157" s="119">
        <f t="shared" si="550"/>
        <v>0</v>
      </c>
      <c r="EJ157" s="194">
        <f t="shared" si="551"/>
        <v>0</v>
      </c>
      <c r="EK157" s="117">
        <f t="shared" si="552"/>
        <v>0</v>
      </c>
      <c r="EL157" s="118">
        <f t="shared" si="553"/>
        <v>0</v>
      </c>
      <c r="EM157" s="116">
        <f t="shared" si="554"/>
        <v>0</v>
      </c>
      <c r="EN157" s="117">
        <f t="shared" si="555"/>
        <v>0</v>
      </c>
      <c r="EO157" s="119">
        <f t="shared" si="556"/>
        <v>0</v>
      </c>
      <c r="EP157" s="194">
        <f t="shared" si="557"/>
        <v>0</v>
      </c>
      <c r="EQ157" s="117">
        <f t="shared" si="558"/>
        <v>0</v>
      </c>
      <c r="ER157" s="118">
        <f t="shared" si="559"/>
        <v>0</v>
      </c>
      <c r="ES157" s="116">
        <f t="shared" si="560"/>
        <v>0</v>
      </c>
      <c r="ET157" s="117">
        <f t="shared" si="561"/>
        <v>0</v>
      </c>
      <c r="EU157" s="119">
        <f t="shared" si="562"/>
        <v>0</v>
      </c>
      <c r="EV157" s="194">
        <f t="shared" si="563"/>
        <v>0</v>
      </c>
      <c r="EW157" s="117">
        <f t="shared" si="564"/>
        <v>0</v>
      </c>
      <c r="EX157" s="118">
        <f t="shared" si="565"/>
        <v>0</v>
      </c>
      <c r="EY157" s="116">
        <f t="shared" si="566"/>
        <v>0</v>
      </c>
      <c r="EZ157" s="117">
        <f t="shared" si="567"/>
        <v>0</v>
      </c>
      <c r="FA157" s="119">
        <f t="shared" si="568"/>
        <v>0</v>
      </c>
      <c r="FB157" s="194">
        <f t="shared" si="569"/>
        <v>0</v>
      </c>
      <c r="FC157" s="117">
        <f t="shared" si="570"/>
        <v>0</v>
      </c>
      <c r="FD157" s="118">
        <f t="shared" si="571"/>
        <v>0</v>
      </c>
      <c r="FE157" s="116">
        <f t="shared" si="572"/>
        <v>0</v>
      </c>
      <c r="FF157" s="117">
        <f t="shared" si="573"/>
        <v>0</v>
      </c>
      <c r="FG157" s="119">
        <f t="shared" si="574"/>
        <v>0</v>
      </c>
      <c r="FH157" s="194">
        <f t="shared" si="575"/>
        <v>0</v>
      </c>
      <c r="FI157" s="117">
        <f t="shared" si="576"/>
        <v>0</v>
      </c>
      <c r="FJ157" s="118">
        <f t="shared" si="577"/>
        <v>0</v>
      </c>
      <c r="FK157" s="116">
        <f t="shared" si="578"/>
        <v>0</v>
      </c>
      <c r="FL157" s="117">
        <f t="shared" si="579"/>
        <v>0</v>
      </c>
      <c r="FM157" s="119">
        <f t="shared" si="580"/>
        <v>0</v>
      </c>
      <c r="FN157" s="194">
        <f t="shared" si="581"/>
        <v>0</v>
      </c>
      <c r="FO157" s="117">
        <f t="shared" si="582"/>
        <v>0</v>
      </c>
      <c r="FP157" s="118">
        <f t="shared" si="583"/>
        <v>0</v>
      </c>
      <c r="FQ157" s="116">
        <f t="shared" si="584"/>
        <v>0</v>
      </c>
      <c r="FR157" s="117">
        <f t="shared" si="585"/>
        <v>0</v>
      </c>
      <c r="FS157" s="119">
        <f t="shared" si="627"/>
        <v>0</v>
      </c>
      <c r="FT157" s="194">
        <f t="shared" si="586"/>
        <v>0</v>
      </c>
      <c r="FU157" s="117">
        <f t="shared" si="587"/>
        <v>0</v>
      </c>
      <c r="FV157" s="118">
        <f t="shared" si="588"/>
        <v>0</v>
      </c>
      <c r="FW157" s="116">
        <f t="shared" si="589"/>
        <v>0</v>
      </c>
      <c r="FX157" s="117">
        <f t="shared" si="590"/>
        <v>0</v>
      </c>
      <c r="FY157" s="119">
        <f t="shared" si="591"/>
        <v>0</v>
      </c>
      <c r="FZ157" s="194">
        <f t="shared" si="592"/>
        <v>0</v>
      </c>
      <c r="GA157" s="117">
        <f t="shared" si="593"/>
        <v>0</v>
      </c>
      <c r="GB157" s="118">
        <f t="shared" si="594"/>
        <v>0</v>
      </c>
      <c r="GC157" s="116">
        <f t="shared" si="595"/>
        <v>0</v>
      </c>
      <c r="GD157" s="117">
        <f t="shared" si="596"/>
        <v>0</v>
      </c>
      <c r="GE157" s="119">
        <f t="shared" si="597"/>
        <v>0</v>
      </c>
      <c r="GF157" s="194">
        <f t="shared" si="598"/>
        <v>0</v>
      </c>
      <c r="GG157" s="117">
        <f t="shared" si="599"/>
        <v>0</v>
      </c>
      <c r="GH157" s="118">
        <f t="shared" si="600"/>
        <v>0</v>
      </c>
      <c r="GI157" s="116">
        <f t="shared" si="601"/>
        <v>0</v>
      </c>
      <c r="GJ157" s="117">
        <f t="shared" si="602"/>
        <v>0</v>
      </c>
      <c r="GK157" s="119">
        <f t="shared" si="603"/>
        <v>0</v>
      </c>
      <c r="GL157" s="194">
        <f t="shared" si="604"/>
        <v>0</v>
      </c>
      <c r="GM157" s="194">
        <f t="shared" si="605"/>
        <v>0</v>
      </c>
      <c r="GN157" s="386">
        <f t="shared" si="606"/>
        <v>0</v>
      </c>
      <c r="GO157" s="239">
        <f t="shared" si="607"/>
        <v>0</v>
      </c>
      <c r="GP157" s="43">
        <f t="shared" si="608"/>
        <v>0</v>
      </c>
      <c r="GQ157" s="57">
        <f t="shared" si="609"/>
        <v>0</v>
      </c>
      <c r="GR157" s="194">
        <f t="shared" si="610"/>
        <v>0</v>
      </c>
      <c r="GS157" s="117">
        <f t="shared" si="611"/>
        <v>0</v>
      </c>
      <c r="GT157" s="119">
        <f t="shared" si="612"/>
        <v>0</v>
      </c>
      <c r="GU157" s="194">
        <f t="shared" si="613"/>
        <v>0</v>
      </c>
      <c r="GV157" s="117">
        <f t="shared" si="614"/>
        <v>0</v>
      </c>
      <c r="GW157" s="119">
        <f t="shared" si="615"/>
        <v>0</v>
      </c>
      <c r="GX157" s="194">
        <f t="shared" si="616"/>
        <v>0</v>
      </c>
      <c r="GY157" s="117">
        <f t="shared" si="617"/>
        <v>0</v>
      </c>
      <c r="GZ157" s="119">
        <f t="shared" si="618"/>
        <v>0</v>
      </c>
      <c r="HA157" s="194">
        <f t="shared" si="619"/>
        <v>0</v>
      </c>
      <c r="HB157" s="117">
        <f t="shared" si="620"/>
        <v>0</v>
      </c>
      <c r="HC157" s="119">
        <f t="shared" si="621"/>
        <v>0</v>
      </c>
      <c r="HD157" s="368">
        <f t="shared" si="622"/>
        <v>0</v>
      </c>
      <c r="HE157" s="369">
        <f t="shared" si="623"/>
        <v>0</v>
      </c>
      <c r="HF157" s="369">
        <f t="shared" si="624"/>
        <v>0</v>
      </c>
      <c r="HG157" s="147">
        <f t="shared" si="625"/>
        <v>0</v>
      </c>
    </row>
    <row r="158" spans="1:215" ht="15.75" thickBot="1">
      <c r="A158" s="238">
        <v>8</v>
      </c>
      <c r="B158" s="116">
        <f t="shared" si="414"/>
        <v>0</v>
      </c>
      <c r="C158" s="117">
        <f t="shared" si="415"/>
        <v>0</v>
      </c>
      <c r="D158" s="119">
        <f t="shared" si="416"/>
        <v>0</v>
      </c>
      <c r="E158" s="194">
        <f t="shared" si="417"/>
        <v>0</v>
      </c>
      <c r="F158" s="117">
        <f t="shared" si="418"/>
        <v>0</v>
      </c>
      <c r="G158" s="118">
        <f t="shared" si="419"/>
        <v>0</v>
      </c>
      <c r="H158" s="116">
        <f t="shared" si="420"/>
        <v>0</v>
      </c>
      <c r="I158" s="117">
        <f t="shared" si="421"/>
        <v>0</v>
      </c>
      <c r="J158" s="119">
        <f t="shared" si="422"/>
        <v>0</v>
      </c>
      <c r="K158" s="194">
        <f t="shared" si="423"/>
        <v>0</v>
      </c>
      <c r="L158" s="117">
        <f t="shared" si="424"/>
        <v>0</v>
      </c>
      <c r="M158" s="118">
        <f t="shared" si="425"/>
        <v>0</v>
      </c>
      <c r="N158" s="116">
        <f t="shared" si="426"/>
        <v>0</v>
      </c>
      <c r="O158" s="117">
        <f t="shared" si="427"/>
        <v>0</v>
      </c>
      <c r="P158" s="119">
        <f t="shared" si="428"/>
        <v>0</v>
      </c>
      <c r="Q158" s="194">
        <f t="shared" si="429"/>
        <v>0</v>
      </c>
      <c r="R158" s="117">
        <f t="shared" si="430"/>
        <v>0</v>
      </c>
      <c r="S158" s="118">
        <f t="shared" si="431"/>
        <v>0</v>
      </c>
      <c r="T158" s="116">
        <f t="shared" si="432"/>
        <v>0</v>
      </c>
      <c r="U158" s="117">
        <f t="shared" si="433"/>
        <v>0</v>
      </c>
      <c r="V158" s="119">
        <f t="shared" si="434"/>
        <v>0</v>
      </c>
      <c r="W158" s="194">
        <f t="shared" si="435"/>
        <v>0</v>
      </c>
      <c r="X158" s="117">
        <f t="shared" si="436"/>
        <v>0</v>
      </c>
      <c r="Y158" s="118">
        <f t="shared" si="437"/>
        <v>0</v>
      </c>
      <c r="Z158" s="116">
        <f t="shared" si="438"/>
        <v>0</v>
      </c>
      <c r="AA158" s="117">
        <f t="shared" si="439"/>
        <v>0</v>
      </c>
      <c r="AB158" s="119">
        <f t="shared" si="440"/>
        <v>0</v>
      </c>
      <c r="AC158" s="194">
        <f t="shared" si="441"/>
        <v>0</v>
      </c>
      <c r="AD158" s="117">
        <f t="shared" si="442"/>
        <v>0</v>
      </c>
      <c r="AE158" s="118">
        <f t="shared" si="443"/>
        <v>0</v>
      </c>
      <c r="AF158" s="116">
        <f t="shared" si="444"/>
        <v>0</v>
      </c>
      <c r="AG158" s="117">
        <f t="shared" si="445"/>
        <v>0</v>
      </c>
      <c r="AH158" s="119">
        <f t="shared" si="446"/>
        <v>0</v>
      </c>
      <c r="AI158" s="194">
        <f t="shared" si="447"/>
        <v>0</v>
      </c>
      <c r="AJ158" s="117">
        <f t="shared" si="448"/>
        <v>0</v>
      </c>
      <c r="AK158" s="118">
        <f t="shared" si="449"/>
        <v>0</v>
      </c>
      <c r="AL158" s="116">
        <f t="shared" si="450"/>
        <v>0</v>
      </c>
      <c r="AM158" s="117">
        <f t="shared" si="451"/>
        <v>0</v>
      </c>
      <c r="AN158" s="119">
        <f t="shared" si="452"/>
        <v>0</v>
      </c>
      <c r="AO158" s="194">
        <f t="shared" si="453"/>
        <v>0</v>
      </c>
      <c r="AP158" s="117">
        <f t="shared" si="454"/>
        <v>0</v>
      </c>
      <c r="AQ158" s="118">
        <f t="shared" si="455"/>
        <v>0</v>
      </c>
      <c r="AR158" s="116">
        <f t="shared" si="456"/>
        <v>0</v>
      </c>
      <c r="AS158" s="117">
        <f t="shared" si="457"/>
        <v>0</v>
      </c>
      <c r="AT158" s="119">
        <f t="shared" si="458"/>
        <v>0</v>
      </c>
      <c r="AU158" s="194">
        <f t="shared" si="459"/>
        <v>0</v>
      </c>
      <c r="AV158" s="117">
        <f t="shared" si="460"/>
        <v>0</v>
      </c>
      <c r="AW158" s="118">
        <f t="shared" si="461"/>
        <v>0</v>
      </c>
      <c r="AX158" s="116">
        <f t="shared" si="462"/>
        <v>0</v>
      </c>
      <c r="AY158" s="117">
        <f t="shared" si="463"/>
        <v>0</v>
      </c>
      <c r="AZ158" s="119">
        <f t="shared" si="464"/>
        <v>0</v>
      </c>
      <c r="BA158" s="194">
        <f t="shared" si="465"/>
        <v>0</v>
      </c>
      <c r="BB158" s="117">
        <f t="shared" si="466"/>
        <v>0</v>
      </c>
      <c r="BC158" s="118">
        <f t="shared" si="467"/>
        <v>0</v>
      </c>
      <c r="BD158" s="116">
        <f t="shared" si="468"/>
        <v>0</v>
      </c>
      <c r="BE158" s="117">
        <f t="shared" si="469"/>
        <v>0</v>
      </c>
      <c r="BF158" s="119">
        <f t="shared" si="470"/>
        <v>0</v>
      </c>
      <c r="BG158" s="194">
        <f t="shared" si="471"/>
        <v>0</v>
      </c>
      <c r="BH158" s="117">
        <f t="shared" si="472"/>
        <v>0</v>
      </c>
      <c r="BI158" s="118">
        <f t="shared" si="473"/>
        <v>0</v>
      </c>
      <c r="BJ158" s="116">
        <f t="shared" si="474"/>
        <v>0</v>
      </c>
      <c r="BK158" s="117">
        <f t="shared" si="475"/>
        <v>0</v>
      </c>
      <c r="BL158" s="119">
        <f t="shared" si="476"/>
        <v>0</v>
      </c>
      <c r="BM158" s="194">
        <f t="shared" si="477"/>
        <v>0</v>
      </c>
      <c r="BN158" s="117">
        <f t="shared" si="478"/>
        <v>0</v>
      </c>
      <c r="BO158" s="118">
        <f t="shared" si="479"/>
        <v>0</v>
      </c>
      <c r="BP158" s="116">
        <f t="shared" si="480"/>
        <v>0</v>
      </c>
      <c r="BQ158" s="117">
        <f t="shared" si="481"/>
        <v>0</v>
      </c>
      <c r="BR158" s="119">
        <f t="shared" si="626"/>
        <v>0</v>
      </c>
      <c r="BS158" s="194">
        <f t="shared" si="482"/>
        <v>0</v>
      </c>
      <c r="BT158" s="117">
        <f t="shared" si="483"/>
        <v>0</v>
      </c>
      <c r="BU158" s="118">
        <f t="shared" si="484"/>
        <v>0</v>
      </c>
      <c r="BV158" s="116">
        <f t="shared" si="485"/>
        <v>0</v>
      </c>
      <c r="BW158" s="117">
        <f t="shared" si="486"/>
        <v>0</v>
      </c>
      <c r="BX158" s="119">
        <f t="shared" si="487"/>
        <v>0</v>
      </c>
      <c r="BY158" s="194">
        <f t="shared" si="488"/>
        <v>0</v>
      </c>
      <c r="BZ158" s="117">
        <f t="shared" si="489"/>
        <v>0</v>
      </c>
      <c r="CA158" s="118">
        <f t="shared" si="490"/>
        <v>0</v>
      </c>
      <c r="CB158" s="116">
        <f t="shared" si="491"/>
        <v>0</v>
      </c>
      <c r="CC158" s="117">
        <f t="shared" si="492"/>
        <v>0</v>
      </c>
      <c r="CD158" s="119">
        <f t="shared" si="493"/>
        <v>0</v>
      </c>
      <c r="CE158" s="194">
        <f t="shared" si="494"/>
        <v>0</v>
      </c>
      <c r="CF158" s="117">
        <f t="shared" si="495"/>
        <v>0</v>
      </c>
      <c r="CG158" s="118">
        <f t="shared" si="496"/>
        <v>0</v>
      </c>
      <c r="CH158" s="116">
        <f t="shared" si="497"/>
        <v>0</v>
      </c>
      <c r="CI158" s="117">
        <f t="shared" si="498"/>
        <v>0</v>
      </c>
      <c r="CJ158" s="119">
        <f t="shared" si="499"/>
        <v>0</v>
      </c>
      <c r="CK158" s="194">
        <f t="shared" si="500"/>
        <v>0</v>
      </c>
      <c r="CL158" s="194">
        <f t="shared" si="501"/>
        <v>0</v>
      </c>
      <c r="CM158" s="386">
        <f t="shared" si="502"/>
        <v>0</v>
      </c>
      <c r="CN158" s="239">
        <f t="shared" si="503"/>
        <v>0</v>
      </c>
      <c r="CO158" s="43">
        <f t="shared" si="504"/>
        <v>0</v>
      </c>
      <c r="CP158" s="57">
        <f t="shared" si="505"/>
        <v>0</v>
      </c>
      <c r="CQ158" s="194">
        <f t="shared" si="506"/>
        <v>0</v>
      </c>
      <c r="CR158" s="117">
        <f t="shared" si="507"/>
        <v>0</v>
      </c>
      <c r="CS158" s="119">
        <f t="shared" si="508"/>
        <v>0</v>
      </c>
      <c r="CT158" s="194">
        <f t="shared" si="509"/>
        <v>0</v>
      </c>
      <c r="CU158" s="117">
        <f t="shared" si="510"/>
        <v>0</v>
      </c>
      <c r="CV158" s="119">
        <f t="shared" si="511"/>
        <v>0</v>
      </c>
      <c r="CW158" s="194">
        <f t="shared" si="512"/>
        <v>0</v>
      </c>
      <c r="CX158" s="117">
        <f t="shared" si="513"/>
        <v>0</v>
      </c>
      <c r="CY158" s="119">
        <f t="shared" si="514"/>
        <v>0</v>
      </c>
      <c r="CZ158" s="194">
        <f t="shared" si="515"/>
        <v>0</v>
      </c>
      <c r="DA158" s="117">
        <f t="shared" si="516"/>
        <v>0</v>
      </c>
      <c r="DB158" s="119">
        <f t="shared" si="517"/>
        <v>0</v>
      </c>
      <c r="DC158" s="116">
        <f t="shared" si="518"/>
        <v>0</v>
      </c>
      <c r="DD158" s="117">
        <f t="shared" si="519"/>
        <v>0</v>
      </c>
      <c r="DE158" s="119">
        <f t="shared" si="520"/>
        <v>0</v>
      </c>
      <c r="DF158" s="194">
        <f t="shared" si="521"/>
        <v>0</v>
      </c>
      <c r="DG158" s="117">
        <f t="shared" si="522"/>
        <v>0</v>
      </c>
      <c r="DH158" s="118">
        <f t="shared" si="523"/>
        <v>0</v>
      </c>
      <c r="DI158" s="116">
        <f t="shared" si="524"/>
        <v>0</v>
      </c>
      <c r="DJ158" s="117">
        <f t="shared" si="525"/>
        <v>0</v>
      </c>
      <c r="DK158" s="119">
        <f t="shared" si="526"/>
        <v>0</v>
      </c>
      <c r="DL158" s="194">
        <f t="shared" si="527"/>
        <v>0</v>
      </c>
      <c r="DM158" s="117">
        <f t="shared" si="528"/>
        <v>0</v>
      </c>
      <c r="DN158" s="118">
        <f t="shared" si="529"/>
        <v>0</v>
      </c>
      <c r="DO158" s="116">
        <f t="shared" si="530"/>
        <v>0</v>
      </c>
      <c r="DP158" s="117">
        <f t="shared" si="531"/>
        <v>0</v>
      </c>
      <c r="DQ158" s="119">
        <f t="shared" si="532"/>
        <v>0</v>
      </c>
      <c r="DR158" s="194">
        <f t="shared" si="533"/>
        <v>0</v>
      </c>
      <c r="DS158" s="117">
        <f t="shared" si="534"/>
        <v>0</v>
      </c>
      <c r="DT158" s="118">
        <f t="shared" si="535"/>
        <v>0</v>
      </c>
      <c r="DU158" s="116">
        <f t="shared" si="536"/>
        <v>0</v>
      </c>
      <c r="DV158" s="117">
        <f t="shared" si="537"/>
        <v>0</v>
      </c>
      <c r="DW158" s="119">
        <f t="shared" si="538"/>
        <v>0</v>
      </c>
      <c r="DX158" s="194">
        <f t="shared" si="539"/>
        <v>0</v>
      </c>
      <c r="DY158" s="117">
        <f t="shared" si="540"/>
        <v>0</v>
      </c>
      <c r="DZ158" s="118">
        <f t="shared" si="541"/>
        <v>0</v>
      </c>
      <c r="EA158" s="116">
        <f t="shared" si="542"/>
        <v>0</v>
      </c>
      <c r="EB158" s="117">
        <f t="shared" si="543"/>
        <v>0</v>
      </c>
      <c r="EC158" s="119">
        <f t="shared" si="544"/>
        <v>0</v>
      </c>
      <c r="ED158" s="194">
        <f t="shared" si="545"/>
        <v>0</v>
      </c>
      <c r="EE158" s="117">
        <f t="shared" si="546"/>
        <v>0</v>
      </c>
      <c r="EF158" s="118">
        <f t="shared" si="547"/>
        <v>0</v>
      </c>
      <c r="EG158" s="116">
        <f t="shared" si="548"/>
        <v>0</v>
      </c>
      <c r="EH158" s="117">
        <f t="shared" si="549"/>
        <v>0</v>
      </c>
      <c r="EI158" s="119">
        <f t="shared" si="550"/>
        <v>0</v>
      </c>
      <c r="EJ158" s="194">
        <f t="shared" si="551"/>
        <v>0</v>
      </c>
      <c r="EK158" s="117">
        <f t="shared" si="552"/>
        <v>0</v>
      </c>
      <c r="EL158" s="118">
        <f t="shared" si="553"/>
        <v>0</v>
      </c>
      <c r="EM158" s="116">
        <f t="shared" si="554"/>
        <v>0</v>
      </c>
      <c r="EN158" s="117">
        <f t="shared" si="555"/>
        <v>0</v>
      </c>
      <c r="EO158" s="119">
        <f t="shared" si="556"/>
        <v>0</v>
      </c>
      <c r="EP158" s="194">
        <f t="shared" si="557"/>
        <v>0</v>
      </c>
      <c r="EQ158" s="117">
        <f t="shared" si="558"/>
        <v>0</v>
      </c>
      <c r="ER158" s="118">
        <f t="shared" si="559"/>
        <v>0</v>
      </c>
      <c r="ES158" s="116">
        <f t="shared" si="560"/>
        <v>0</v>
      </c>
      <c r="ET158" s="117">
        <f t="shared" si="561"/>
        <v>0</v>
      </c>
      <c r="EU158" s="119">
        <f t="shared" si="562"/>
        <v>0</v>
      </c>
      <c r="EV158" s="194">
        <f t="shared" si="563"/>
        <v>0</v>
      </c>
      <c r="EW158" s="117">
        <f t="shared" si="564"/>
        <v>0</v>
      </c>
      <c r="EX158" s="118">
        <f t="shared" si="565"/>
        <v>0</v>
      </c>
      <c r="EY158" s="116">
        <f t="shared" si="566"/>
        <v>0</v>
      </c>
      <c r="EZ158" s="117">
        <f t="shared" si="567"/>
        <v>0</v>
      </c>
      <c r="FA158" s="119">
        <f t="shared" si="568"/>
        <v>0</v>
      </c>
      <c r="FB158" s="194">
        <f t="shared" si="569"/>
        <v>0</v>
      </c>
      <c r="FC158" s="117">
        <f t="shared" si="570"/>
        <v>0</v>
      </c>
      <c r="FD158" s="118">
        <f t="shared" si="571"/>
        <v>0</v>
      </c>
      <c r="FE158" s="116">
        <f t="shared" si="572"/>
        <v>0</v>
      </c>
      <c r="FF158" s="117">
        <f t="shared" si="573"/>
        <v>0</v>
      </c>
      <c r="FG158" s="119">
        <f t="shared" si="574"/>
        <v>0</v>
      </c>
      <c r="FH158" s="194">
        <f t="shared" si="575"/>
        <v>0</v>
      </c>
      <c r="FI158" s="117">
        <f t="shared" si="576"/>
        <v>0</v>
      </c>
      <c r="FJ158" s="118">
        <f t="shared" si="577"/>
        <v>0</v>
      </c>
      <c r="FK158" s="116">
        <f t="shared" si="578"/>
        <v>0</v>
      </c>
      <c r="FL158" s="117">
        <f t="shared" si="579"/>
        <v>0</v>
      </c>
      <c r="FM158" s="119">
        <f t="shared" si="580"/>
        <v>0</v>
      </c>
      <c r="FN158" s="194">
        <f t="shared" si="581"/>
        <v>0</v>
      </c>
      <c r="FO158" s="117">
        <f t="shared" si="582"/>
        <v>0</v>
      </c>
      <c r="FP158" s="118">
        <f t="shared" si="583"/>
        <v>0</v>
      </c>
      <c r="FQ158" s="116">
        <f t="shared" si="584"/>
        <v>0</v>
      </c>
      <c r="FR158" s="117">
        <f t="shared" si="585"/>
        <v>0</v>
      </c>
      <c r="FS158" s="119">
        <f t="shared" si="627"/>
        <v>0</v>
      </c>
      <c r="FT158" s="194">
        <f t="shared" si="586"/>
        <v>0</v>
      </c>
      <c r="FU158" s="117">
        <f t="shared" si="587"/>
        <v>0</v>
      </c>
      <c r="FV158" s="118">
        <f t="shared" si="588"/>
        <v>0</v>
      </c>
      <c r="FW158" s="116">
        <f t="shared" si="589"/>
        <v>0</v>
      </c>
      <c r="FX158" s="117">
        <f t="shared" si="590"/>
        <v>0</v>
      </c>
      <c r="FY158" s="119">
        <f t="shared" si="591"/>
        <v>0</v>
      </c>
      <c r="FZ158" s="194">
        <f t="shared" si="592"/>
        <v>0</v>
      </c>
      <c r="GA158" s="117">
        <f t="shared" si="593"/>
        <v>0</v>
      </c>
      <c r="GB158" s="118">
        <f t="shared" si="594"/>
        <v>0</v>
      </c>
      <c r="GC158" s="116">
        <f t="shared" si="595"/>
        <v>0</v>
      </c>
      <c r="GD158" s="117">
        <f t="shared" si="596"/>
        <v>0</v>
      </c>
      <c r="GE158" s="119">
        <f t="shared" si="597"/>
        <v>0</v>
      </c>
      <c r="GF158" s="194">
        <f t="shared" si="598"/>
        <v>0</v>
      </c>
      <c r="GG158" s="117">
        <f t="shared" si="599"/>
        <v>0</v>
      </c>
      <c r="GH158" s="118">
        <f t="shared" si="600"/>
        <v>0</v>
      </c>
      <c r="GI158" s="116">
        <f t="shared" si="601"/>
        <v>0</v>
      </c>
      <c r="GJ158" s="117">
        <f t="shared" si="602"/>
        <v>0</v>
      </c>
      <c r="GK158" s="119">
        <f t="shared" si="603"/>
        <v>0</v>
      </c>
      <c r="GL158" s="194">
        <f t="shared" si="604"/>
        <v>0</v>
      </c>
      <c r="GM158" s="194">
        <f t="shared" si="605"/>
        <v>0</v>
      </c>
      <c r="GN158" s="386">
        <f t="shared" si="606"/>
        <v>0</v>
      </c>
      <c r="GO158" s="239">
        <f t="shared" si="607"/>
        <v>0</v>
      </c>
      <c r="GP158" s="43">
        <f t="shared" si="608"/>
        <v>0</v>
      </c>
      <c r="GQ158" s="57">
        <f t="shared" si="609"/>
        <v>0</v>
      </c>
      <c r="GR158" s="194">
        <f t="shared" si="610"/>
        <v>0</v>
      </c>
      <c r="GS158" s="117">
        <f t="shared" si="611"/>
        <v>0</v>
      </c>
      <c r="GT158" s="119">
        <f t="shared" si="612"/>
        <v>0</v>
      </c>
      <c r="GU158" s="194">
        <f t="shared" si="613"/>
        <v>0</v>
      </c>
      <c r="GV158" s="117">
        <f t="shared" si="614"/>
        <v>0</v>
      </c>
      <c r="GW158" s="119">
        <f t="shared" si="615"/>
        <v>0</v>
      </c>
      <c r="GX158" s="194">
        <f t="shared" si="616"/>
        <v>0</v>
      </c>
      <c r="GY158" s="117">
        <f t="shared" si="617"/>
        <v>0</v>
      </c>
      <c r="GZ158" s="119">
        <f t="shared" si="618"/>
        <v>0</v>
      </c>
      <c r="HA158" s="194">
        <f t="shared" si="619"/>
        <v>0</v>
      </c>
      <c r="HB158" s="117">
        <f t="shared" si="620"/>
        <v>0</v>
      </c>
      <c r="HC158" s="119">
        <f t="shared" si="621"/>
        <v>0</v>
      </c>
      <c r="HD158" s="368">
        <f t="shared" si="622"/>
        <v>0</v>
      </c>
      <c r="HE158" s="369">
        <f t="shared" si="623"/>
        <v>0</v>
      </c>
      <c r="HF158" s="369">
        <f t="shared" si="624"/>
        <v>0</v>
      </c>
      <c r="HG158" s="147">
        <f t="shared" si="625"/>
        <v>0</v>
      </c>
    </row>
    <row r="159" spans="1:215" ht="15.75" thickBot="1">
      <c r="A159" s="238">
        <v>9</v>
      </c>
      <c r="B159" s="116">
        <f t="shared" si="414"/>
        <v>0</v>
      </c>
      <c r="C159" s="117">
        <f t="shared" si="415"/>
        <v>0</v>
      </c>
      <c r="D159" s="119">
        <f t="shared" si="416"/>
        <v>0</v>
      </c>
      <c r="E159" s="194">
        <f t="shared" si="417"/>
        <v>0</v>
      </c>
      <c r="F159" s="117">
        <f t="shared" si="418"/>
        <v>0</v>
      </c>
      <c r="G159" s="118">
        <f t="shared" si="419"/>
        <v>0</v>
      </c>
      <c r="H159" s="116">
        <f t="shared" si="420"/>
        <v>0</v>
      </c>
      <c r="I159" s="117">
        <f t="shared" si="421"/>
        <v>0</v>
      </c>
      <c r="J159" s="119">
        <f t="shared" si="422"/>
        <v>0</v>
      </c>
      <c r="K159" s="194">
        <f t="shared" si="423"/>
        <v>0</v>
      </c>
      <c r="L159" s="117">
        <f t="shared" si="424"/>
        <v>0</v>
      </c>
      <c r="M159" s="118">
        <f t="shared" si="425"/>
        <v>0</v>
      </c>
      <c r="N159" s="116">
        <f t="shared" si="426"/>
        <v>0</v>
      </c>
      <c r="O159" s="117">
        <f t="shared" si="427"/>
        <v>0</v>
      </c>
      <c r="P159" s="119">
        <f t="shared" si="428"/>
        <v>0</v>
      </c>
      <c r="Q159" s="194">
        <f t="shared" si="429"/>
        <v>0</v>
      </c>
      <c r="R159" s="117">
        <f t="shared" si="430"/>
        <v>0</v>
      </c>
      <c r="S159" s="118">
        <f t="shared" si="431"/>
        <v>0</v>
      </c>
      <c r="T159" s="116">
        <f t="shared" si="432"/>
        <v>0</v>
      </c>
      <c r="U159" s="117">
        <f t="shared" si="433"/>
        <v>0</v>
      </c>
      <c r="V159" s="119">
        <f t="shared" si="434"/>
        <v>0</v>
      </c>
      <c r="W159" s="194">
        <f t="shared" si="435"/>
        <v>0</v>
      </c>
      <c r="X159" s="117">
        <f t="shared" si="436"/>
        <v>0</v>
      </c>
      <c r="Y159" s="118">
        <f t="shared" si="437"/>
        <v>0</v>
      </c>
      <c r="Z159" s="116">
        <f t="shared" si="438"/>
        <v>0</v>
      </c>
      <c r="AA159" s="117">
        <f t="shared" si="439"/>
        <v>0</v>
      </c>
      <c r="AB159" s="119">
        <f t="shared" si="440"/>
        <v>0</v>
      </c>
      <c r="AC159" s="194">
        <f t="shared" si="441"/>
        <v>0</v>
      </c>
      <c r="AD159" s="117">
        <f t="shared" si="442"/>
        <v>0</v>
      </c>
      <c r="AE159" s="118">
        <f t="shared" si="443"/>
        <v>0</v>
      </c>
      <c r="AF159" s="116">
        <f t="shared" si="444"/>
        <v>0</v>
      </c>
      <c r="AG159" s="117">
        <f t="shared" si="445"/>
        <v>0</v>
      </c>
      <c r="AH159" s="119">
        <f t="shared" si="446"/>
        <v>0</v>
      </c>
      <c r="AI159" s="194">
        <f t="shared" si="447"/>
        <v>0</v>
      </c>
      <c r="AJ159" s="117">
        <f t="shared" si="448"/>
        <v>0</v>
      </c>
      <c r="AK159" s="118">
        <f t="shared" si="449"/>
        <v>0</v>
      </c>
      <c r="AL159" s="116">
        <f t="shared" si="450"/>
        <v>0</v>
      </c>
      <c r="AM159" s="117">
        <f t="shared" si="451"/>
        <v>0</v>
      </c>
      <c r="AN159" s="119">
        <f t="shared" si="452"/>
        <v>0</v>
      </c>
      <c r="AO159" s="194">
        <f t="shared" si="453"/>
        <v>0</v>
      </c>
      <c r="AP159" s="117">
        <f t="shared" si="454"/>
        <v>0</v>
      </c>
      <c r="AQ159" s="118">
        <f t="shared" si="455"/>
        <v>0</v>
      </c>
      <c r="AR159" s="116">
        <f t="shared" si="456"/>
        <v>0</v>
      </c>
      <c r="AS159" s="117">
        <f t="shared" si="457"/>
        <v>0</v>
      </c>
      <c r="AT159" s="119">
        <f t="shared" si="458"/>
        <v>0</v>
      </c>
      <c r="AU159" s="194">
        <f t="shared" si="459"/>
        <v>0</v>
      </c>
      <c r="AV159" s="117">
        <f t="shared" si="460"/>
        <v>0</v>
      </c>
      <c r="AW159" s="118">
        <f t="shared" si="461"/>
        <v>0</v>
      </c>
      <c r="AX159" s="116">
        <f t="shared" si="462"/>
        <v>0</v>
      </c>
      <c r="AY159" s="117">
        <f t="shared" si="463"/>
        <v>0</v>
      </c>
      <c r="AZ159" s="119">
        <f t="shared" si="464"/>
        <v>0</v>
      </c>
      <c r="BA159" s="194">
        <f t="shared" si="465"/>
        <v>0</v>
      </c>
      <c r="BB159" s="117">
        <f t="shared" si="466"/>
        <v>0</v>
      </c>
      <c r="BC159" s="118">
        <f t="shared" si="467"/>
        <v>0</v>
      </c>
      <c r="BD159" s="116">
        <f t="shared" si="468"/>
        <v>0</v>
      </c>
      <c r="BE159" s="117">
        <f t="shared" si="469"/>
        <v>0</v>
      </c>
      <c r="BF159" s="119">
        <f t="shared" si="470"/>
        <v>0</v>
      </c>
      <c r="BG159" s="194">
        <f t="shared" si="471"/>
        <v>0</v>
      </c>
      <c r="BH159" s="117">
        <f t="shared" si="472"/>
        <v>0</v>
      </c>
      <c r="BI159" s="118">
        <f t="shared" si="473"/>
        <v>0</v>
      </c>
      <c r="BJ159" s="116">
        <f t="shared" si="474"/>
        <v>0</v>
      </c>
      <c r="BK159" s="117">
        <f t="shared" si="475"/>
        <v>0</v>
      </c>
      <c r="BL159" s="119">
        <f t="shared" si="476"/>
        <v>0</v>
      </c>
      <c r="BM159" s="194">
        <f t="shared" si="477"/>
        <v>0</v>
      </c>
      <c r="BN159" s="117">
        <f t="shared" si="478"/>
        <v>0</v>
      </c>
      <c r="BO159" s="118">
        <f t="shared" si="479"/>
        <v>0</v>
      </c>
      <c r="BP159" s="116">
        <f t="shared" si="480"/>
        <v>0</v>
      </c>
      <c r="BQ159" s="117">
        <f t="shared" si="481"/>
        <v>0</v>
      </c>
      <c r="BR159" s="119">
        <f t="shared" si="626"/>
        <v>0</v>
      </c>
      <c r="BS159" s="194">
        <f t="shared" si="482"/>
        <v>0</v>
      </c>
      <c r="BT159" s="117">
        <f t="shared" si="483"/>
        <v>0</v>
      </c>
      <c r="BU159" s="118">
        <f t="shared" si="484"/>
        <v>0</v>
      </c>
      <c r="BV159" s="116">
        <f t="shared" si="485"/>
        <v>0</v>
      </c>
      <c r="BW159" s="117">
        <f t="shared" si="486"/>
        <v>0</v>
      </c>
      <c r="BX159" s="119">
        <f t="shared" si="487"/>
        <v>0</v>
      </c>
      <c r="BY159" s="194">
        <f t="shared" si="488"/>
        <v>0</v>
      </c>
      <c r="BZ159" s="117">
        <f t="shared" si="489"/>
        <v>0</v>
      </c>
      <c r="CA159" s="118">
        <f t="shared" si="490"/>
        <v>0</v>
      </c>
      <c r="CB159" s="116">
        <f t="shared" si="491"/>
        <v>0</v>
      </c>
      <c r="CC159" s="117">
        <f t="shared" si="492"/>
        <v>0</v>
      </c>
      <c r="CD159" s="119">
        <f t="shared" si="493"/>
        <v>0</v>
      </c>
      <c r="CE159" s="194">
        <f t="shared" si="494"/>
        <v>0</v>
      </c>
      <c r="CF159" s="117">
        <f t="shared" si="495"/>
        <v>0</v>
      </c>
      <c r="CG159" s="118">
        <f t="shared" si="496"/>
        <v>0</v>
      </c>
      <c r="CH159" s="116">
        <f t="shared" si="497"/>
        <v>0</v>
      </c>
      <c r="CI159" s="117">
        <f t="shared" si="498"/>
        <v>0</v>
      </c>
      <c r="CJ159" s="119">
        <f t="shared" si="499"/>
        <v>0</v>
      </c>
      <c r="CK159" s="194">
        <f t="shared" si="500"/>
        <v>0</v>
      </c>
      <c r="CL159" s="194">
        <f t="shared" si="501"/>
        <v>0</v>
      </c>
      <c r="CM159" s="386">
        <f t="shared" si="502"/>
        <v>0</v>
      </c>
      <c r="CN159" s="239">
        <f t="shared" si="503"/>
        <v>0</v>
      </c>
      <c r="CO159" s="43">
        <f t="shared" si="504"/>
        <v>0</v>
      </c>
      <c r="CP159" s="57">
        <f t="shared" si="505"/>
        <v>0</v>
      </c>
      <c r="CQ159" s="194">
        <f t="shared" si="506"/>
        <v>0</v>
      </c>
      <c r="CR159" s="117">
        <f t="shared" si="507"/>
        <v>0</v>
      </c>
      <c r="CS159" s="119">
        <f t="shared" si="508"/>
        <v>0</v>
      </c>
      <c r="CT159" s="194">
        <f t="shared" si="509"/>
        <v>0</v>
      </c>
      <c r="CU159" s="117">
        <f t="shared" si="510"/>
        <v>0</v>
      </c>
      <c r="CV159" s="119">
        <f t="shared" si="511"/>
        <v>0</v>
      </c>
      <c r="CW159" s="194">
        <f t="shared" si="512"/>
        <v>0</v>
      </c>
      <c r="CX159" s="117">
        <f t="shared" si="513"/>
        <v>0</v>
      </c>
      <c r="CY159" s="119">
        <f t="shared" si="514"/>
        <v>0</v>
      </c>
      <c r="CZ159" s="194">
        <f t="shared" si="515"/>
        <v>0</v>
      </c>
      <c r="DA159" s="117">
        <f t="shared" si="516"/>
        <v>0</v>
      </c>
      <c r="DB159" s="119">
        <f t="shared" si="517"/>
        <v>0</v>
      </c>
      <c r="DC159" s="116">
        <f t="shared" si="518"/>
        <v>0</v>
      </c>
      <c r="DD159" s="117">
        <f t="shared" si="519"/>
        <v>0</v>
      </c>
      <c r="DE159" s="119">
        <f t="shared" si="520"/>
        <v>0</v>
      </c>
      <c r="DF159" s="194">
        <f t="shared" si="521"/>
        <v>0</v>
      </c>
      <c r="DG159" s="117">
        <f t="shared" si="522"/>
        <v>0</v>
      </c>
      <c r="DH159" s="118">
        <f t="shared" si="523"/>
        <v>0</v>
      </c>
      <c r="DI159" s="116">
        <f t="shared" si="524"/>
        <v>0</v>
      </c>
      <c r="DJ159" s="117">
        <f t="shared" si="525"/>
        <v>0</v>
      </c>
      <c r="DK159" s="119">
        <f t="shared" si="526"/>
        <v>0</v>
      </c>
      <c r="DL159" s="194">
        <f t="shared" si="527"/>
        <v>0</v>
      </c>
      <c r="DM159" s="117">
        <f t="shared" si="528"/>
        <v>0</v>
      </c>
      <c r="DN159" s="118">
        <f t="shared" si="529"/>
        <v>0</v>
      </c>
      <c r="DO159" s="116">
        <f t="shared" si="530"/>
        <v>0</v>
      </c>
      <c r="DP159" s="117">
        <f t="shared" si="531"/>
        <v>0</v>
      </c>
      <c r="DQ159" s="119">
        <f t="shared" si="532"/>
        <v>0</v>
      </c>
      <c r="DR159" s="194">
        <f t="shared" si="533"/>
        <v>0</v>
      </c>
      <c r="DS159" s="117">
        <f t="shared" si="534"/>
        <v>0</v>
      </c>
      <c r="DT159" s="118">
        <f t="shared" si="535"/>
        <v>0</v>
      </c>
      <c r="DU159" s="116">
        <f t="shared" si="536"/>
        <v>0</v>
      </c>
      <c r="DV159" s="117">
        <f t="shared" si="537"/>
        <v>0</v>
      </c>
      <c r="DW159" s="119">
        <f t="shared" si="538"/>
        <v>0</v>
      </c>
      <c r="DX159" s="194">
        <f t="shared" si="539"/>
        <v>0</v>
      </c>
      <c r="DY159" s="117">
        <f t="shared" si="540"/>
        <v>0</v>
      </c>
      <c r="DZ159" s="118">
        <f t="shared" si="541"/>
        <v>0</v>
      </c>
      <c r="EA159" s="116">
        <f t="shared" si="542"/>
        <v>0</v>
      </c>
      <c r="EB159" s="117">
        <f t="shared" si="543"/>
        <v>0</v>
      </c>
      <c r="EC159" s="119">
        <f t="shared" si="544"/>
        <v>0</v>
      </c>
      <c r="ED159" s="194">
        <f t="shared" si="545"/>
        <v>0</v>
      </c>
      <c r="EE159" s="117">
        <f t="shared" si="546"/>
        <v>0</v>
      </c>
      <c r="EF159" s="118">
        <f t="shared" si="547"/>
        <v>0</v>
      </c>
      <c r="EG159" s="116">
        <f t="shared" si="548"/>
        <v>0</v>
      </c>
      <c r="EH159" s="117">
        <f t="shared" si="549"/>
        <v>0</v>
      </c>
      <c r="EI159" s="119">
        <f t="shared" si="550"/>
        <v>0</v>
      </c>
      <c r="EJ159" s="194">
        <f t="shared" si="551"/>
        <v>0</v>
      </c>
      <c r="EK159" s="117">
        <f t="shared" si="552"/>
        <v>0</v>
      </c>
      <c r="EL159" s="118">
        <f t="shared" si="553"/>
        <v>0</v>
      </c>
      <c r="EM159" s="116">
        <f t="shared" si="554"/>
        <v>0</v>
      </c>
      <c r="EN159" s="117">
        <f t="shared" si="555"/>
        <v>0</v>
      </c>
      <c r="EO159" s="119">
        <f t="shared" si="556"/>
        <v>0</v>
      </c>
      <c r="EP159" s="194">
        <f t="shared" si="557"/>
        <v>0</v>
      </c>
      <c r="EQ159" s="117">
        <f t="shared" si="558"/>
        <v>0</v>
      </c>
      <c r="ER159" s="118">
        <f t="shared" si="559"/>
        <v>0</v>
      </c>
      <c r="ES159" s="116">
        <f t="shared" si="560"/>
        <v>0</v>
      </c>
      <c r="ET159" s="117">
        <f t="shared" si="561"/>
        <v>0</v>
      </c>
      <c r="EU159" s="119">
        <f t="shared" si="562"/>
        <v>0</v>
      </c>
      <c r="EV159" s="194">
        <f t="shared" si="563"/>
        <v>0</v>
      </c>
      <c r="EW159" s="117">
        <f t="shared" si="564"/>
        <v>0</v>
      </c>
      <c r="EX159" s="118">
        <f t="shared" si="565"/>
        <v>0</v>
      </c>
      <c r="EY159" s="116">
        <f t="shared" si="566"/>
        <v>0</v>
      </c>
      <c r="EZ159" s="117">
        <f t="shared" si="567"/>
        <v>0</v>
      </c>
      <c r="FA159" s="119">
        <f t="shared" si="568"/>
        <v>0</v>
      </c>
      <c r="FB159" s="194">
        <f t="shared" si="569"/>
        <v>0</v>
      </c>
      <c r="FC159" s="117">
        <f t="shared" si="570"/>
        <v>0</v>
      </c>
      <c r="FD159" s="118">
        <f t="shared" si="571"/>
        <v>0</v>
      </c>
      <c r="FE159" s="116">
        <f t="shared" si="572"/>
        <v>0</v>
      </c>
      <c r="FF159" s="117">
        <f t="shared" si="573"/>
        <v>0</v>
      </c>
      <c r="FG159" s="119">
        <f t="shared" si="574"/>
        <v>0</v>
      </c>
      <c r="FH159" s="194">
        <f t="shared" si="575"/>
        <v>0</v>
      </c>
      <c r="FI159" s="117">
        <f t="shared" si="576"/>
        <v>0</v>
      </c>
      <c r="FJ159" s="118">
        <f t="shared" si="577"/>
        <v>0</v>
      </c>
      <c r="FK159" s="116">
        <f t="shared" si="578"/>
        <v>0</v>
      </c>
      <c r="FL159" s="117">
        <f t="shared" si="579"/>
        <v>0</v>
      </c>
      <c r="FM159" s="119">
        <f t="shared" si="580"/>
        <v>0</v>
      </c>
      <c r="FN159" s="194">
        <f t="shared" si="581"/>
        <v>0</v>
      </c>
      <c r="FO159" s="117">
        <f t="shared" si="582"/>
        <v>0</v>
      </c>
      <c r="FP159" s="118">
        <f t="shared" si="583"/>
        <v>0</v>
      </c>
      <c r="FQ159" s="116">
        <f t="shared" si="584"/>
        <v>0</v>
      </c>
      <c r="FR159" s="117">
        <f t="shared" si="585"/>
        <v>0</v>
      </c>
      <c r="FS159" s="119">
        <f t="shared" si="627"/>
        <v>0</v>
      </c>
      <c r="FT159" s="194">
        <f t="shared" si="586"/>
        <v>0</v>
      </c>
      <c r="FU159" s="117">
        <f t="shared" si="587"/>
        <v>0</v>
      </c>
      <c r="FV159" s="118">
        <f t="shared" si="588"/>
        <v>0</v>
      </c>
      <c r="FW159" s="116">
        <f t="shared" si="589"/>
        <v>0</v>
      </c>
      <c r="FX159" s="117">
        <f t="shared" si="590"/>
        <v>0</v>
      </c>
      <c r="FY159" s="119">
        <f t="shared" si="591"/>
        <v>0</v>
      </c>
      <c r="FZ159" s="194">
        <f t="shared" si="592"/>
        <v>0</v>
      </c>
      <c r="GA159" s="117">
        <f t="shared" si="593"/>
        <v>0</v>
      </c>
      <c r="GB159" s="118">
        <f t="shared" si="594"/>
        <v>0</v>
      </c>
      <c r="GC159" s="116">
        <f t="shared" si="595"/>
        <v>0</v>
      </c>
      <c r="GD159" s="117">
        <f t="shared" si="596"/>
        <v>0</v>
      </c>
      <c r="GE159" s="119">
        <f t="shared" si="597"/>
        <v>0</v>
      </c>
      <c r="GF159" s="194">
        <f t="shared" si="598"/>
        <v>0</v>
      </c>
      <c r="GG159" s="117">
        <f t="shared" si="599"/>
        <v>0</v>
      </c>
      <c r="GH159" s="118">
        <f t="shared" si="600"/>
        <v>0</v>
      </c>
      <c r="GI159" s="116">
        <f t="shared" si="601"/>
        <v>0</v>
      </c>
      <c r="GJ159" s="117">
        <f t="shared" si="602"/>
        <v>0</v>
      </c>
      <c r="GK159" s="119">
        <f t="shared" si="603"/>
        <v>0</v>
      </c>
      <c r="GL159" s="194">
        <f t="shared" si="604"/>
        <v>0</v>
      </c>
      <c r="GM159" s="194">
        <f t="shared" si="605"/>
        <v>0</v>
      </c>
      <c r="GN159" s="386">
        <f t="shared" si="606"/>
        <v>0</v>
      </c>
      <c r="GO159" s="239">
        <f t="shared" si="607"/>
        <v>0</v>
      </c>
      <c r="GP159" s="43">
        <f t="shared" si="608"/>
        <v>0</v>
      </c>
      <c r="GQ159" s="57">
        <f t="shared" si="609"/>
        <v>0</v>
      </c>
      <c r="GR159" s="194">
        <f t="shared" si="610"/>
        <v>0</v>
      </c>
      <c r="GS159" s="117">
        <f t="shared" si="611"/>
        <v>0</v>
      </c>
      <c r="GT159" s="119">
        <f t="shared" si="612"/>
        <v>0</v>
      </c>
      <c r="GU159" s="194">
        <f t="shared" si="613"/>
        <v>0</v>
      </c>
      <c r="GV159" s="117">
        <f t="shared" si="614"/>
        <v>0</v>
      </c>
      <c r="GW159" s="119">
        <f t="shared" si="615"/>
        <v>0</v>
      </c>
      <c r="GX159" s="194">
        <f t="shared" si="616"/>
        <v>0</v>
      </c>
      <c r="GY159" s="117">
        <f t="shared" si="617"/>
        <v>0</v>
      </c>
      <c r="GZ159" s="119">
        <f t="shared" si="618"/>
        <v>0</v>
      </c>
      <c r="HA159" s="194">
        <f t="shared" si="619"/>
        <v>0</v>
      </c>
      <c r="HB159" s="117">
        <f t="shared" si="620"/>
        <v>0</v>
      </c>
      <c r="HC159" s="119">
        <f t="shared" si="621"/>
        <v>0</v>
      </c>
      <c r="HD159" s="368">
        <f t="shared" si="622"/>
        <v>0</v>
      </c>
      <c r="HE159" s="369">
        <f t="shared" si="623"/>
        <v>0</v>
      </c>
      <c r="HF159" s="369">
        <f t="shared" si="624"/>
        <v>0</v>
      </c>
      <c r="HG159" s="147">
        <f t="shared" si="625"/>
        <v>0</v>
      </c>
    </row>
    <row r="160" spans="1:215" ht="15.75" thickBot="1">
      <c r="A160" s="353">
        <v>10</v>
      </c>
      <c r="B160" s="116">
        <f t="shared" si="414"/>
        <v>0</v>
      </c>
      <c r="C160" s="117">
        <f t="shared" si="415"/>
        <v>0</v>
      </c>
      <c r="D160" s="119">
        <f t="shared" si="416"/>
        <v>0</v>
      </c>
      <c r="E160" s="194">
        <f t="shared" si="417"/>
        <v>0</v>
      </c>
      <c r="F160" s="117">
        <f t="shared" si="418"/>
        <v>0</v>
      </c>
      <c r="G160" s="118">
        <f t="shared" si="419"/>
        <v>0</v>
      </c>
      <c r="H160" s="116">
        <f t="shared" si="420"/>
        <v>0</v>
      </c>
      <c r="I160" s="117">
        <f t="shared" si="421"/>
        <v>0</v>
      </c>
      <c r="J160" s="119">
        <f t="shared" si="422"/>
        <v>0</v>
      </c>
      <c r="K160" s="194">
        <f t="shared" si="423"/>
        <v>0</v>
      </c>
      <c r="L160" s="117">
        <f t="shared" si="424"/>
        <v>0</v>
      </c>
      <c r="M160" s="118">
        <f t="shared" si="425"/>
        <v>0</v>
      </c>
      <c r="N160" s="116">
        <f t="shared" si="426"/>
        <v>0</v>
      </c>
      <c r="O160" s="117">
        <f t="shared" si="427"/>
        <v>0</v>
      </c>
      <c r="P160" s="119">
        <f t="shared" si="428"/>
        <v>0</v>
      </c>
      <c r="Q160" s="194">
        <f t="shared" si="429"/>
        <v>0</v>
      </c>
      <c r="R160" s="117">
        <f t="shared" si="430"/>
        <v>0</v>
      </c>
      <c r="S160" s="118">
        <f t="shared" si="431"/>
        <v>0</v>
      </c>
      <c r="T160" s="116">
        <f t="shared" si="432"/>
        <v>0</v>
      </c>
      <c r="U160" s="117">
        <f t="shared" si="433"/>
        <v>0</v>
      </c>
      <c r="V160" s="119">
        <f t="shared" si="434"/>
        <v>0</v>
      </c>
      <c r="W160" s="194">
        <f t="shared" si="435"/>
        <v>0</v>
      </c>
      <c r="X160" s="117">
        <f t="shared" si="436"/>
        <v>0</v>
      </c>
      <c r="Y160" s="118">
        <f t="shared" si="437"/>
        <v>0</v>
      </c>
      <c r="Z160" s="116">
        <f t="shared" si="438"/>
        <v>0</v>
      </c>
      <c r="AA160" s="117">
        <f t="shared" si="439"/>
        <v>0</v>
      </c>
      <c r="AB160" s="119">
        <f t="shared" si="440"/>
        <v>0</v>
      </c>
      <c r="AC160" s="194">
        <f t="shared" si="441"/>
        <v>0</v>
      </c>
      <c r="AD160" s="117">
        <f t="shared" si="442"/>
        <v>0</v>
      </c>
      <c r="AE160" s="118">
        <f t="shared" si="443"/>
        <v>0</v>
      </c>
      <c r="AF160" s="116">
        <f t="shared" si="444"/>
        <v>0</v>
      </c>
      <c r="AG160" s="117">
        <f t="shared" si="445"/>
        <v>0</v>
      </c>
      <c r="AH160" s="119">
        <f t="shared" si="446"/>
        <v>0</v>
      </c>
      <c r="AI160" s="194">
        <f t="shared" si="447"/>
        <v>0</v>
      </c>
      <c r="AJ160" s="117">
        <f t="shared" si="448"/>
        <v>0</v>
      </c>
      <c r="AK160" s="118">
        <f t="shared" si="449"/>
        <v>0</v>
      </c>
      <c r="AL160" s="116">
        <f t="shared" si="450"/>
        <v>0</v>
      </c>
      <c r="AM160" s="117">
        <f t="shared" si="451"/>
        <v>0</v>
      </c>
      <c r="AN160" s="119">
        <f t="shared" si="452"/>
        <v>0</v>
      </c>
      <c r="AO160" s="194">
        <f t="shared" si="453"/>
        <v>0</v>
      </c>
      <c r="AP160" s="117">
        <f t="shared" si="454"/>
        <v>0</v>
      </c>
      <c r="AQ160" s="118">
        <f t="shared" si="455"/>
        <v>0</v>
      </c>
      <c r="AR160" s="116">
        <f t="shared" si="456"/>
        <v>0</v>
      </c>
      <c r="AS160" s="117">
        <f t="shared" si="457"/>
        <v>0</v>
      </c>
      <c r="AT160" s="119">
        <f t="shared" si="458"/>
        <v>0</v>
      </c>
      <c r="AU160" s="194">
        <f t="shared" si="459"/>
        <v>0</v>
      </c>
      <c r="AV160" s="117">
        <f t="shared" si="460"/>
        <v>0</v>
      </c>
      <c r="AW160" s="118">
        <f t="shared" si="461"/>
        <v>0</v>
      </c>
      <c r="AX160" s="116">
        <f t="shared" si="462"/>
        <v>0</v>
      </c>
      <c r="AY160" s="117">
        <f t="shared" si="463"/>
        <v>0</v>
      </c>
      <c r="AZ160" s="119">
        <f t="shared" si="464"/>
        <v>0</v>
      </c>
      <c r="BA160" s="194">
        <f t="shared" si="465"/>
        <v>0</v>
      </c>
      <c r="BB160" s="117">
        <f t="shared" si="466"/>
        <v>0</v>
      </c>
      <c r="BC160" s="118">
        <f t="shared" si="467"/>
        <v>0</v>
      </c>
      <c r="BD160" s="116">
        <f t="shared" si="468"/>
        <v>0</v>
      </c>
      <c r="BE160" s="117">
        <f t="shared" si="469"/>
        <v>0</v>
      </c>
      <c r="BF160" s="119">
        <f t="shared" si="470"/>
        <v>0</v>
      </c>
      <c r="BG160" s="194">
        <f t="shared" si="471"/>
        <v>0</v>
      </c>
      <c r="BH160" s="117">
        <f t="shared" si="472"/>
        <v>0</v>
      </c>
      <c r="BI160" s="118">
        <f t="shared" si="473"/>
        <v>0</v>
      </c>
      <c r="BJ160" s="116">
        <f t="shared" si="474"/>
        <v>0</v>
      </c>
      <c r="BK160" s="117">
        <f t="shared" si="475"/>
        <v>0</v>
      </c>
      <c r="BL160" s="119">
        <f t="shared" si="476"/>
        <v>0</v>
      </c>
      <c r="BM160" s="194">
        <f t="shared" si="477"/>
        <v>0</v>
      </c>
      <c r="BN160" s="117">
        <f t="shared" si="478"/>
        <v>0</v>
      </c>
      <c r="BO160" s="118">
        <f t="shared" si="479"/>
        <v>0</v>
      </c>
      <c r="BP160" s="116">
        <f t="shared" si="480"/>
        <v>0</v>
      </c>
      <c r="BQ160" s="117">
        <f t="shared" si="481"/>
        <v>0</v>
      </c>
      <c r="BR160" s="119">
        <f t="shared" si="626"/>
        <v>0</v>
      </c>
      <c r="BS160" s="194">
        <f t="shared" si="482"/>
        <v>0</v>
      </c>
      <c r="BT160" s="117">
        <f t="shared" si="483"/>
        <v>0</v>
      </c>
      <c r="BU160" s="118">
        <f t="shared" si="484"/>
        <v>0</v>
      </c>
      <c r="BV160" s="116">
        <f t="shared" si="485"/>
        <v>0</v>
      </c>
      <c r="BW160" s="117">
        <f t="shared" si="486"/>
        <v>0</v>
      </c>
      <c r="BX160" s="119">
        <f t="shared" si="487"/>
        <v>0</v>
      </c>
      <c r="BY160" s="194">
        <f t="shared" si="488"/>
        <v>0</v>
      </c>
      <c r="BZ160" s="117">
        <f t="shared" si="489"/>
        <v>0</v>
      </c>
      <c r="CA160" s="118">
        <f t="shared" si="490"/>
        <v>0</v>
      </c>
      <c r="CB160" s="116">
        <f t="shared" si="491"/>
        <v>0</v>
      </c>
      <c r="CC160" s="117">
        <f t="shared" si="492"/>
        <v>0</v>
      </c>
      <c r="CD160" s="119">
        <f t="shared" si="493"/>
        <v>0</v>
      </c>
      <c r="CE160" s="194">
        <f t="shared" si="494"/>
        <v>0</v>
      </c>
      <c r="CF160" s="117">
        <f t="shared" si="495"/>
        <v>0</v>
      </c>
      <c r="CG160" s="118">
        <f t="shared" si="496"/>
        <v>0</v>
      </c>
      <c r="CH160" s="116">
        <f t="shared" si="497"/>
        <v>0</v>
      </c>
      <c r="CI160" s="117">
        <f t="shared" si="498"/>
        <v>0</v>
      </c>
      <c r="CJ160" s="119">
        <f t="shared" si="499"/>
        <v>0</v>
      </c>
      <c r="CK160" s="194">
        <f t="shared" si="500"/>
        <v>0</v>
      </c>
      <c r="CL160" s="194">
        <f t="shared" si="501"/>
        <v>0</v>
      </c>
      <c r="CM160" s="386">
        <f t="shared" si="502"/>
        <v>0</v>
      </c>
      <c r="CN160" s="239">
        <f t="shared" si="503"/>
        <v>0</v>
      </c>
      <c r="CO160" s="43">
        <f t="shared" si="504"/>
        <v>0</v>
      </c>
      <c r="CP160" s="57">
        <f t="shared" si="505"/>
        <v>0</v>
      </c>
      <c r="CQ160" s="194">
        <f t="shared" si="506"/>
        <v>0</v>
      </c>
      <c r="CR160" s="117">
        <f t="shared" si="507"/>
        <v>0</v>
      </c>
      <c r="CS160" s="119">
        <f t="shared" si="508"/>
        <v>0</v>
      </c>
      <c r="CT160" s="194">
        <f t="shared" si="509"/>
        <v>0</v>
      </c>
      <c r="CU160" s="117">
        <f t="shared" si="510"/>
        <v>0</v>
      </c>
      <c r="CV160" s="119">
        <f t="shared" si="511"/>
        <v>0</v>
      </c>
      <c r="CW160" s="194">
        <f t="shared" si="512"/>
        <v>0</v>
      </c>
      <c r="CX160" s="117">
        <f t="shared" si="513"/>
        <v>0</v>
      </c>
      <c r="CY160" s="119">
        <f t="shared" si="514"/>
        <v>0</v>
      </c>
      <c r="CZ160" s="194">
        <f t="shared" si="515"/>
        <v>0</v>
      </c>
      <c r="DA160" s="117">
        <f t="shared" si="516"/>
        <v>0</v>
      </c>
      <c r="DB160" s="119">
        <f t="shared" si="517"/>
        <v>0</v>
      </c>
      <c r="DC160" s="116">
        <f t="shared" si="518"/>
        <v>0</v>
      </c>
      <c r="DD160" s="117">
        <f t="shared" si="519"/>
        <v>0</v>
      </c>
      <c r="DE160" s="119">
        <f t="shared" si="520"/>
        <v>0</v>
      </c>
      <c r="DF160" s="194">
        <f t="shared" si="521"/>
        <v>0</v>
      </c>
      <c r="DG160" s="117">
        <f t="shared" si="522"/>
        <v>0</v>
      </c>
      <c r="DH160" s="118">
        <f t="shared" si="523"/>
        <v>0</v>
      </c>
      <c r="DI160" s="116">
        <f t="shared" si="524"/>
        <v>0</v>
      </c>
      <c r="DJ160" s="117">
        <f t="shared" si="525"/>
        <v>0</v>
      </c>
      <c r="DK160" s="119">
        <f t="shared" si="526"/>
        <v>0</v>
      </c>
      <c r="DL160" s="194">
        <f t="shared" si="527"/>
        <v>0</v>
      </c>
      <c r="DM160" s="117">
        <f t="shared" si="528"/>
        <v>0</v>
      </c>
      <c r="DN160" s="118">
        <f t="shared" si="529"/>
        <v>0</v>
      </c>
      <c r="DO160" s="116">
        <f t="shared" si="530"/>
        <v>0</v>
      </c>
      <c r="DP160" s="117">
        <f t="shared" si="531"/>
        <v>0</v>
      </c>
      <c r="DQ160" s="119">
        <f t="shared" si="532"/>
        <v>0</v>
      </c>
      <c r="DR160" s="194">
        <f t="shared" si="533"/>
        <v>0</v>
      </c>
      <c r="DS160" s="117">
        <f t="shared" si="534"/>
        <v>0</v>
      </c>
      <c r="DT160" s="118">
        <f t="shared" si="535"/>
        <v>0</v>
      </c>
      <c r="DU160" s="116">
        <f t="shared" si="536"/>
        <v>0</v>
      </c>
      <c r="DV160" s="117">
        <f t="shared" si="537"/>
        <v>0</v>
      </c>
      <c r="DW160" s="119">
        <f t="shared" si="538"/>
        <v>0</v>
      </c>
      <c r="DX160" s="194">
        <f t="shared" si="539"/>
        <v>0</v>
      </c>
      <c r="DY160" s="117">
        <f t="shared" si="540"/>
        <v>0</v>
      </c>
      <c r="DZ160" s="118">
        <f t="shared" si="541"/>
        <v>0</v>
      </c>
      <c r="EA160" s="116">
        <f t="shared" si="542"/>
        <v>0</v>
      </c>
      <c r="EB160" s="117">
        <f t="shared" si="543"/>
        <v>0</v>
      </c>
      <c r="EC160" s="119">
        <f t="shared" si="544"/>
        <v>0</v>
      </c>
      <c r="ED160" s="194">
        <f t="shared" si="545"/>
        <v>0</v>
      </c>
      <c r="EE160" s="117">
        <f t="shared" si="546"/>
        <v>0</v>
      </c>
      <c r="EF160" s="118">
        <f t="shared" si="547"/>
        <v>0</v>
      </c>
      <c r="EG160" s="116">
        <f t="shared" si="548"/>
        <v>0</v>
      </c>
      <c r="EH160" s="117">
        <f t="shared" si="549"/>
        <v>0</v>
      </c>
      <c r="EI160" s="119">
        <f t="shared" si="550"/>
        <v>0</v>
      </c>
      <c r="EJ160" s="194">
        <f t="shared" si="551"/>
        <v>0</v>
      </c>
      <c r="EK160" s="117">
        <f t="shared" si="552"/>
        <v>0</v>
      </c>
      <c r="EL160" s="118">
        <f t="shared" si="553"/>
        <v>0</v>
      </c>
      <c r="EM160" s="116">
        <f t="shared" si="554"/>
        <v>0</v>
      </c>
      <c r="EN160" s="117">
        <f t="shared" si="555"/>
        <v>0</v>
      </c>
      <c r="EO160" s="119">
        <f t="shared" si="556"/>
        <v>0</v>
      </c>
      <c r="EP160" s="194">
        <f t="shared" si="557"/>
        <v>0</v>
      </c>
      <c r="EQ160" s="117">
        <f t="shared" si="558"/>
        <v>0</v>
      </c>
      <c r="ER160" s="118">
        <f t="shared" si="559"/>
        <v>0</v>
      </c>
      <c r="ES160" s="116">
        <f t="shared" si="560"/>
        <v>0</v>
      </c>
      <c r="ET160" s="117">
        <f t="shared" si="561"/>
        <v>0</v>
      </c>
      <c r="EU160" s="119">
        <f t="shared" si="562"/>
        <v>0</v>
      </c>
      <c r="EV160" s="194">
        <f t="shared" si="563"/>
        <v>0</v>
      </c>
      <c r="EW160" s="117">
        <f t="shared" si="564"/>
        <v>0</v>
      </c>
      <c r="EX160" s="118">
        <f t="shared" si="565"/>
        <v>0</v>
      </c>
      <c r="EY160" s="116">
        <f t="shared" si="566"/>
        <v>0</v>
      </c>
      <c r="EZ160" s="117">
        <f t="shared" si="567"/>
        <v>0</v>
      </c>
      <c r="FA160" s="119">
        <f t="shared" si="568"/>
        <v>0</v>
      </c>
      <c r="FB160" s="194">
        <f t="shared" si="569"/>
        <v>0</v>
      </c>
      <c r="FC160" s="117">
        <f t="shared" si="570"/>
        <v>0</v>
      </c>
      <c r="FD160" s="118">
        <f t="shared" si="571"/>
        <v>0</v>
      </c>
      <c r="FE160" s="116">
        <f t="shared" si="572"/>
        <v>0</v>
      </c>
      <c r="FF160" s="117">
        <f t="shared" si="573"/>
        <v>0</v>
      </c>
      <c r="FG160" s="119">
        <f t="shared" si="574"/>
        <v>0</v>
      </c>
      <c r="FH160" s="194">
        <f t="shared" si="575"/>
        <v>0</v>
      </c>
      <c r="FI160" s="117">
        <f t="shared" si="576"/>
        <v>0</v>
      </c>
      <c r="FJ160" s="118">
        <f t="shared" si="577"/>
        <v>0</v>
      </c>
      <c r="FK160" s="116">
        <f t="shared" si="578"/>
        <v>0</v>
      </c>
      <c r="FL160" s="117">
        <f t="shared" si="579"/>
        <v>0</v>
      </c>
      <c r="FM160" s="119">
        <f t="shared" si="580"/>
        <v>0</v>
      </c>
      <c r="FN160" s="194">
        <f t="shared" si="581"/>
        <v>0</v>
      </c>
      <c r="FO160" s="117">
        <f t="shared" si="582"/>
        <v>0</v>
      </c>
      <c r="FP160" s="118">
        <f t="shared" si="583"/>
        <v>0</v>
      </c>
      <c r="FQ160" s="116">
        <f t="shared" si="584"/>
        <v>0</v>
      </c>
      <c r="FR160" s="117">
        <f t="shared" si="585"/>
        <v>0</v>
      </c>
      <c r="FS160" s="119">
        <f t="shared" si="627"/>
        <v>0</v>
      </c>
      <c r="FT160" s="194">
        <f t="shared" si="586"/>
        <v>0</v>
      </c>
      <c r="FU160" s="117">
        <f t="shared" si="587"/>
        <v>0</v>
      </c>
      <c r="FV160" s="118">
        <f t="shared" si="588"/>
        <v>0</v>
      </c>
      <c r="FW160" s="116">
        <f t="shared" si="589"/>
        <v>0</v>
      </c>
      <c r="FX160" s="117">
        <f t="shared" si="590"/>
        <v>0</v>
      </c>
      <c r="FY160" s="119">
        <f t="shared" si="591"/>
        <v>0</v>
      </c>
      <c r="FZ160" s="194">
        <f t="shared" si="592"/>
        <v>0</v>
      </c>
      <c r="GA160" s="117">
        <f t="shared" si="593"/>
        <v>0</v>
      </c>
      <c r="GB160" s="118">
        <f t="shared" si="594"/>
        <v>0</v>
      </c>
      <c r="GC160" s="116">
        <f t="shared" si="595"/>
        <v>0</v>
      </c>
      <c r="GD160" s="117">
        <f t="shared" si="596"/>
        <v>0</v>
      </c>
      <c r="GE160" s="119">
        <f t="shared" si="597"/>
        <v>0</v>
      </c>
      <c r="GF160" s="194">
        <f t="shared" si="598"/>
        <v>0</v>
      </c>
      <c r="GG160" s="117">
        <f t="shared" si="599"/>
        <v>0</v>
      </c>
      <c r="GH160" s="118">
        <f t="shared" si="600"/>
        <v>0</v>
      </c>
      <c r="GI160" s="116">
        <f t="shared" si="601"/>
        <v>0</v>
      </c>
      <c r="GJ160" s="117">
        <f t="shared" si="602"/>
        <v>0</v>
      </c>
      <c r="GK160" s="119">
        <f t="shared" si="603"/>
        <v>0</v>
      </c>
      <c r="GL160" s="194">
        <f t="shared" si="604"/>
        <v>0</v>
      </c>
      <c r="GM160" s="194">
        <f t="shared" si="605"/>
        <v>0</v>
      </c>
      <c r="GN160" s="386">
        <f t="shared" si="606"/>
        <v>0</v>
      </c>
      <c r="GO160" s="239">
        <f t="shared" si="607"/>
        <v>0</v>
      </c>
      <c r="GP160" s="43">
        <f t="shared" si="608"/>
        <v>0</v>
      </c>
      <c r="GQ160" s="57">
        <f t="shared" si="609"/>
        <v>0</v>
      </c>
      <c r="GR160" s="194">
        <f t="shared" si="610"/>
        <v>0</v>
      </c>
      <c r="GS160" s="117">
        <f t="shared" si="611"/>
        <v>0</v>
      </c>
      <c r="GT160" s="119">
        <f t="shared" si="612"/>
        <v>0</v>
      </c>
      <c r="GU160" s="194">
        <f t="shared" si="613"/>
        <v>0</v>
      </c>
      <c r="GV160" s="117">
        <f t="shared" si="614"/>
        <v>0</v>
      </c>
      <c r="GW160" s="119">
        <f t="shared" si="615"/>
        <v>0</v>
      </c>
      <c r="GX160" s="194">
        <f t="shared" si="616"/>
        <v>0</v>
      </c>
      <c r="GY160" s="117">
        <f t="shared" si="617"/>
        <v>0</v>
      </c>
      <c r="GZ160" s="119">
        <f t="shared" si="618"/>
        <v>0</v>
      </c>
      <c r="HA160" s="194">
        <f t="shared" si="619"/>
        <v>0</v>
      </c>
      <c r="HB160" s="117">
        <f t="shared" si="620"/>
        <v>0</v>
      </c>
      <c r="HC160" s="119">
        <f t="shared" si="621"/>
        <v>0</v>
      </c>
      <c r="HD160" s="368">
        <f t="shared" si="622"/>
        <v>0</v>
      </c>
      <c r="HE160" s="369">
        <f t="shared" si="623"/>
        <v>0</v>
      </c>
      <c r="HF160" s="369">
        <f t="shared" si="624"/>
        <v>0</v>
      </c>
      <c r="HG160" s="147">
        <f t="shared" si="625"/>
        <v>0</v>
      </c>
    </row>
    <row r="161" spans="1:215" ht="15.75" thickBot="1">
      <c r="A161" s="238">
        <v>11</v>
      </c>
      <c r="B161" s="116">
        <f t="shared" si="414"/>
        <v>0</v>
      </c>
      <c r="C161" s="117">
        <f t="shared" si="415"/>
        <v>0</v>
      </c>
      <c r="D161" s="119">
        <f t="shared" si="416"/>
        <v>0</v>
      </c>
      <c r="E161" s="194">
        <f t="shared" si="417"/>
        <v>0</v>
      </c>
      <c r="F161" s="117">
        <f t="shared" si="418"/>
        <v>0</v>
      </c>
      <c r="G161" s="118">
        <f t="shared" si="419"/>
        <v>0</v>
      </c>
      <c r="H161" s="116">
        <f t="shared" si="420"/>
        <v>0</v>
      </c>
      <c r="I161" s="117">
        <f t="shared" si="421"/>
        <v>0</v>
      </c>
      <c r="J161" s="119">
        <f t="shared" si="422"/>
        <v>0</v>
      </c>
      <c r="K161" s="194">
        <f t="shared" si="423"/>
        <v>0</v>
      </c>
      <c r="L161" s="117">
        <f t="shared" si="424"/>
        <v>0</v>
      </c>
      <c r="M161" s="118">
        <f t="shared" si="425"/>
        <v>0</v>
      </c>
      <c r="N161" s="116">
        <f t="shared" si="426"/>
        <v>0</v>
      </c>
      <c r="O161" s="117">
        <f t="shared" si="427"/>
        <v>0</v>
      </c>
      <c r="P161" s="119">
        <f t="shared" si="428"/>
        <v>0</v>
      </c>
      <c r="Q161" s="194">
        <f t="shared" si="429"/>
        <v>0</v>
      </c>
      <c r="R161" s="117">
        <f t="shared" si="430"/>
        <v>0</v>
      </c>
      <c r="S161" s="118">
        <f t="shared" si="431"/>
        <v>0</v>
      </c>
      <c r="T161" s="116">
        <f t="shared" si="432"/>
        <v>0</v>
      </c>
      <c r="U161" s="117">
        <f t="shared" si="433"/>
        <v>0</v>
      </c>
      <c r="V161" s="119">
        <f t="shared" si="434"/>
        <v>0</v>
      </c>
      <c r="W161" s="194">
        <f t="shared" si="435"/>
        <v>0</v>
      </c>
      <c r="X161" s="117">
        <f t="shared" si="436"/>
        <v>0</v>
      </c>
      <c r="Y161" s="118">
        <f t="shared" si="437"/>
        <v>0</v>
      </c>
      <c r="Z161" s="116">
        <f t="shared" si="438"/>
        <v>0</v>
      </c>
      <c r="AA161" s="117">
        <f t="shared" si="439"/>
        <v>0</v>
      </c>
      <c r="AB161" s="119">
        <f t="shared" si="440"/>
        <v>0</v>
      </c>
      <c r="AC161" s="194">
        <f t="shared" si="441"/>
        <v>0</v>
      </c>
      <c r="AD161" s="117">
        <f t="shared" si="442"/>
        <v>0</v>
      </c>
      <c r="AE161" s="118">
        <f t="shared" si="443"/>
        <v>0</v>
      </c>
      <c r="AF161" s="116">
        <f t="shared" si="444"/>
        <v>0</v>
      </c>
      <c r="AG161" s="117">
        <f t="shared" si="445"/>
        <v>0</v>
      </c>
      <c r="AH161" s="119">
        <f t="shared" si="446"/>
        <v>0</v>
      </c>
      <c r="AI161" s="194">
        <f t="shared" si="447"/>
        <v>0</v>
      </c>
      <c r="AJ161" s="117">
        <f t="shared" si="448"/>
        <v>0</v>
      </c>
      <c r="AK161" s="118">
        <f t="shared" si="449"/>
        <v>0</v>
      </c>
      <c r="AL161" s="116">
        <f t="shared" si="450"/>
        <v>0</v>
      </c>
      <c r="AM161" s="117">
        <f t="shared" si="451"/>
        <v>0</v>
      </c>
      <c r="AN161" s="119">
        <f t="shared" si="452"/>
        <v>0</v>
      </c>
      <c r="AO161" s="194">
        <f t="shared" si="453"/>
        <v>0</v>
      </c>
      <c r="AP161" s="117">
        <f t="shared" si="454"/>
        <v>0</v>
      </c>
      <c r="AQ161" s="118">
        <f t="shared" si="455"/>
        <v>0</v>
      </c>
      <c r="AR161" s="116">
        <f t="shared" si="456"/>
        <v>0</v>
      </c>
      <c r="AS161" s="117">
        <f t="shared" si="457"/>
        <v>0</v>
      </c>
      <c r="AT161" s="119">
        <f t="shared" si="458"/>
        <v>0</v>
      </c>
      <c r="AU161" s="194">
        <f t="shared" si="459"/>
        <v>0</v>
      </c>
      <c r="AV161" s="117">
        <f t="shared" si="460"/>
        <v>0</v>
      </c>
      <c r="AW161" s="118">
        <f t="shared" si="461"/>
        <v>0</v>
      </c>
      <c r="AX161" s="116">
        <f t="shared" si="462"/>
        <v>0</v>
      </c>
      <c r="AY161" s="117">
        <f t="shared" si="463"/>
        <v>0</v>
      </c>
      <c r="AZ161" s="119">
        <f t="shared" si="464"/>
        <v>0</v>
      </c>
      <c r="BA161" s="194">
        <f t="shared" si="465"/>
        <v>0</v>
      </c>
      <c r="BB161" s="117">
        <f t="shared" si="466"/>
        <v>0</v>
      </c>
      <c r="BC161" s="118">
        <f t="shared" si="467"/>
        <v>0</v>
      </c>
      <c r="BD161" s="116">
        <f t="shared" si="468"/>
        <v>0</v>
      </c>
      <c r="BE161" s="117">
        <f t="shared" si="469"/>
        <v>0</v>
      </c>
      <c r="BF161" s="119">
        <f t="shared" si="470"/>
        <v>0</v>
      </c>
      <c r="BG161" s="194">
        <f t="shared" si="471"/>
        <v>0</v>
      </c>
      <c r="BH161" s="117">
        <f t="shared" si="472"/>
        <v>0</v>
      </c>
      <c r="BI161" s="118">
        <f t="shared" si="473"/>
        <v>0</v>
      </c>
      <c r="BJ161" s="116">
        <f t="shared" si="474"/>
        <v>0</v>
      </c>
      <c r="BK161" s="117">
        <f t="shared" si="475"/>
        <v>0</v>
      </c>
      <c r="BL161" s="119">
        <f t="shared" si="476"/>
        <v>0</v>
      </c>
      <c r="BM161" s="194">
        <f t="shared" si="477"/>
        <v>0</v>
      </c>
      <c r="BN161" s="117">
        <f t="shared" si="478"/>
        <v>0</v>
      </c>
      <c r="BO161" s="118">
        <f t="shared" si="479"/>
        <v>0</v>
      </c>
      <c r="BP161" s="116">
        <f t="shared" si="480"/>
        <v>0</v>
      </c>
      <c r="BQ161" s="117">
        <f t="shared" si="481"/>
        <v>0</v>
      </c>
      <c r="BR161" s="119">
        <f t="shared" si="626"/>
        <v>0</v>
      </c>
      <c r="BS161" s="194">
        <f t="shared" si="482"/>
        <v>0</v>
      </c>
      <c r="BT161" s="117">
        <f t="shared" si="483"/>
        <v>0</v>
      </c>
      <c r="BU161" s="118">
        <f t="shared" si="484"/>
        <v>0</v>
      </c>
      <c r="BV161" s="116">
        <f t="shared" si="485"/>
        <v>0</v>
      </c>
      <c r="BW161" s="117">
        <f t="shared" si="486"/>
        <v>0</v>
      </c>
      <c r="BX161" s="119">
        <f t="shared" si="487"/>
        <v>0</v>
      </c>
      <c r="BY161" s="194">
        <f t="shared" si="488"/>
        <v>0</v>
      </c>
      <c r="BZ161" s="117">
        <f t="shared" si="489"/>
        <v>0</v>
      </c>
      <c r="CA161" s="118">
        <f t="shared" si="490"/>
        <v>0</v>
      </c>
      <c r="CB161" s="116">
        <f t="shared" si="491"/>
        <v>0</v>
      </c>
      <c r="CC161" s="117">
        <f t="shared" si="492"/>
        <v>0</v>
      </c>
      <c r="CD161" s="119">
        <f t="shared" si="493"/>
        <v>0</v>
      </c>
      <c r="CE161" s="194">
        <f t="shared" si="494"/>
        <v>0</v>
      </c>
      <c r="CF161" s="117">
        <f t="shared" si="495"/>
        <v>0</v>
      </c>
      <c r="CG161" s="118">
        <f t="shared" si="496"/>
        <v>0</v>
      </c>
      <c r="CH161" s="116">
        <f t="shared" si="497"/>
        <v>0</v>
      </c>
      <c r="CI161" s="117">
        <f t="shared" si="498"/>
        <v>0</v>
      </c>
      <c r="CJ161" s="119">
        <f t="shared" si="499"/>
        <v>0</v>
      </c>
      <c r="CK161" s="194">
        <f t="shared" si="500"/>
        <v>0</v>
      </c>
      <c r="CL161" s="194">
        <f t="shared" si="501"/>
        <v>0</v>
      </c>
      <c r="CM161" s="386">
        <f t="shared" si="502"/>
        <v>0</v>
      </c>
      <c r="CN161" s="239">
        <f t="shared" si="503"/>
        <v>0</v>
      </c>
      <c r="CO161" s="43">
        <f t="shared" si="504"/>
        <v>0</v>
      </c>
      <c r="CP161" s="57">
        <f t="shared" si="505"/>
        <v>0</v>
      </c>
      <c r="CQ161" s="194">
        <f t="shared" si="506"/>
        <v>0</v>
      </c>
      <c r="CR161" s="117">
        <f t="shared" si="507"/>
        <v>0</v>
      </c>
      <c r="CS161" s="119">
        <f t="shared" si="508"/>
        <v>0</v>
      </c>
      <c r="CT161" s="194">
        <f t="shared" si="509"/>
        <v>0</v>
      </c>
      <c r="CU161" s="117">
        <f t="shared" si="510"/>
        <v>0</v>
      </c>
      <c r="CV161" s="119">
        <f t="shared" si="511"/>
        <v>0</v>
      </c>
      <c r="CW161" s="194">
        <f t="shared" si="512"/>
        <v>0</v>
      </c>
      <c r="CX161" s="117">
        <f t="shared" si="513"/>
        <v>0</v>
      </c>
      <c r="CY161" s="119">
        <f t="shared" si="514"/>
        <v>0</v>
      </c>
      <c r="CZ161" s="194">
        <f t="shared" si="515"/>
        <v>0</v>
      </c>
      <c r="DA161" s="117">
        <f t="shared" si="516"/>
        <v>0</v>
      </c>
      <c r="DB161" s="119">
        <f t="shared" si="517"/>
        <v>0</v>
      </c>
      <c r="DC161" s="116">
        <f t="shared" si="518"/>
        <v>0</v>
      </c>
      <c r="DD161" s="117">
        <f t="shared" si="519"/>
        <v>0</v>
      </c>
      <c r="DE161" s="119">
        <f t="shared" si="520"/>
        <v>0</v>
      </c>
      <c r="DF161" s="194">
        <f t="shared" si="521"/>
        <v>0</v>
      </c>
      <c r="DG161" s="117">
        <f t="shared" si="522"/>
        <v>0</v>
      </c>
      <c r="DH161" s="118">
        <f t="shared" si="523"/>
        <v>0</v>
      </c>
      <c r="DI161" s="116">
        <f t="shared" si="524"/>
        <v>0</v>
      </c>
      <c r="DJ161" s="117">
        <f t="shared" si="525"/>
        <v>0</v>
      </c>
      <c r="DK161" s="119">
        <f t="shared" si="526"/>
        <v>0</v>
      </c>
      <c r="DL161" s="194">
        <f t="shared" si="527"/>
        <v>0</v>
      </c>
      <c r="DM161" s="117">
        <f t="shared" si="528"/>
        <v>0</v>
      </c>
      <c r="DN161" s="118">
        <f t="shared" si="529"/>
        <v>0</v>
      </c>
      <c r="DO161" s="116">
        <f t="shared" si="530"/>
        <v>0</v>
      </c>
      <c r="DP161" s="117">
        <f t="shared" si="531"/>
        <v>0</v>
      </c>
      <c r="DQ161" s="119">
        <f t="shared" si="532"/>
        <v>0</v>
      </c>
      <c r="DR161" s="194">
        <f t="shared" si="533"/>
        <v>0</v>
      </c>
      <c r="DS161" s="117">
        <f t="shared" si="534"/>
        <v>0</v>
      </c>
      <c r="DT161" s="118">
        <f t="shared" si="535"/>
        <v>0</v>
      </c>
      <c r="DU161" s="116">
        <f t="shared" si="536"/>
        <v>0</v>
      </c>
      <c r="DV161" s="117">
        <f t="shared" si="537"/>
        <v>0</v>
      </c>
      <c r="DW161" s="119">
        <f t="shared" si="538"/>
        <v>0</v>
      </c>
      <c r="DX161" s="194">
        <f t="shared" si="539"/>
        <v>0</v>
      </c>
      <c r="DY161" s="117">
        <f t="shared" si="540"/>
        <v>0</v>
      </c>
      <c r="DZ161" s="118">
        <f t="shared" si="541"/>
        <v>0</v>
      </c>
      <c r="EA161" s="116">
        <f t="shared" si="542"/>
        <v>0</v>
      </c>
      <c r="EB161" s="117">
        <f t="shared" si="543"/>
        <v>0</v>
      </c>
      <c r="EC161" s="119">
        <f t="shared" si="544"/>
        <v>0</v>
      </c>
      <c r="ED161" s="194">
        <f t="shared" si="545"/>
        <v>0</v>
      </c>
      <c r="EE161" s="117">
        <f t="shared" si="546"/>
        <v>0</v>
      </c>
      <c r="EF161" s="118">
        <f t="shared" si="547"/>
        <v>0</v>
      </c>
      <c r="EG161" s="116">
        <f t="shared" si="548"/>
        <v>0</v>
      </c>
      <c r="EH161" s="117">
        <f t="shared" si="549"/>
        <v>0</v>
      </c>
      <c r="EI161" s="119">
        <f t="shared" si="550"/>
        <v>0</v>
      </c>
      <c r="EJ161" s="194">
        <f t="shared" si="551"/>
        <v>0</v>
      </c>
      <c r="EK161" s="117">
        <f t="shared" si="552"/>
        <v>0</v>
      </c>
      <c r="EL161" s="118">
        <f t="shared" si="553"/>
        <v>0</v>
      </c>
      <c r="EM161" s="116">
        <f t="shared" si="554"/>
        <v>0</v>
      </c>
      <c r="EN161" s="117">
        <f t="shared" si="555"/>
        <v>0</v>
      </c>
      <c r="EO161" s="119">
        <f t="shared" si="556"/>
        <v>0</v>
      </c>
      <c r="EP161" s="194">
        <f t="shared" si="557"/>
        <v>0</v>
      </c>
      <c r="EQ161" s="117">
        <f t="shared" si="558"/>
        <v>0</v>
      </c>
      <c r="ER161" s="118">
        <f t="shared" si="559"/>
        <v>0</v>
      </c>
      <c r="ES161" s="116">
        <f t="shared" si="560"/>
        <v>0</v>
      </c>
      <c r="ET161" s="117">
        <f t="shared" si="561"/>
        <v>0</v>
      </c>
      <c r="EU161" s="119">
        <f t="shared" si="562"/>
        <v>0</v>
      </c>
      <c r="EV161" s="194">
        <f t="shared" si="563"/>
        <v>0</v>
      </c>
      <c r="EW161" s="117">
        <f t="shared" si="564"/>
        <v>0</v>
      </c>
      <c r="EX161" s="118">
        <f t="shared" si="565"/>
        <v>0</v>
      </c>
      <c r="EY161" s="116">
        <f t="shared" si="566"/>
        <v>0</v>
      </c>
      <c r="EZ161" s="117">
        <f t="shared" si="567"/>
        <v>0</v>
      </c>
      <c r="FA161" s="119">
        <f t="shared" si="568"/>
        <v>0</v>
      </c>
      <c r="FB161" s="194">
        <f t="shared" si="569"/>
        <v>0</v>
      </c>
      <c r="FC161" s="117">
        <f t="shared" si="570"/>
        <v>0</v>
      </c>
      <c r="FD161" s="118">
        <f t="shared" si="571"/>
        <v>0</v>
      </c>
      <c r="FE161" s="116">
        <f t="shared" si="572"/>
        <v>0</v>
      </c>
      <c r="FF161" s="117">
        <f t="shared" si="573"/>
        <v>0</v>
      </c>
      <c r="FG161" s="119">
        <f t="shared" si="574"/>
        <v>0</v>
      </c>
      <c r="FH161" s="194">
        <f t="shared" si="575"/>
        <v>0</v>
      </c>
      <c r="FI161" s="117">
        <f t="shared" si="576"/>
        <v>0</v>
      </c>
      <c r="FJ161" s="118">
        <f t="shared" si="577"/>
        <v>0</v>
      </c>
      <c r="FK161" s="116">
        <f t="shared" si="578"/>
        <v>0</v>
      </c>
      <c r="FL161" s="117">
        <f t="shared" si="579"/>
        <v>0</v>
      </c>
      <c r="FM161" s="119">
        <f t="shared" si="580"/>
        <v>0</v>
      </c>
      <c r="FN161" s="194">
        <f t="shared" si="581"/>
        <v>0</v>
      </c>
      <c r="FO161" s="117">
        <f t="shared" si="582"/>
        <v>0</v>
      </c>
      <c r="FP161" s="118">
        <f t="shared" si="583"/>
        <v>0</v>
      </c>
      <c r="FQ161" s="116">
        <f t="shared" si="584"/>
        <v>0</v>
      </c>
      <c r="FR161" s="117">
        <f t="shared" si="585"/>
        <v>0</v>
      </c>
      <c r="FS161" s="119">
        <f t="shared" si="627"/>
        <v>0</v>
      </c>
      <c r="FT161" s="194">
        <f t="shared" si="586"/>
        <v>0</v>
      </c>
      <c r="FU161" s="117">
        <f t="shared" si="587"/>
        <v>0</v>
      </c>
      <c r="FV161" s="118">
        <f t="shared" si="588"/>
        <v>0</v>
      </c>
      <c r="FW161" s="116">
        <f t="shared" si="589"/>
        <v>0</v>
      </c>
      <c r="FX161" s="117">
        <f t="shared" si="590"/>
        <v>0</v>
      </c>
      <c r="FY161" s="119">
        <f t="shared" si="591"/>
        <v>0</v>
      </c>
      <c r="FZ161" s="194">
        <f t="shared" si="592"/>
        <v>0</v>
      </c>
      <c r="GA161" s="117">
        <f t="shared" si="593"/>
        <v>0</v>
      </c>
      <c r="GB161" s="118">
        <f t="shared" si="594"/>
        <v>0</v>
      </c>
      <c r="GC161" s="116">
        <f t="shared" si="595"/>
        <v>0</v>
      </c>
      <c r="GD161" s="117">
        <f t="shared" si="596"/>
        <v>0</v>
      </c>
      <c r="GE161" s="119">
        <f t="shared" si="597"/>
        <v>0</v>
      </c>
      <c r="GF161" s="194">
        <f t="shared" si="598"/>
        <v>0</v>
      </c>
      <c r="GG161" s="117">
        <f t="shared" si="599"/>
        <v>0</v>
      </c>
      <c r="GH161" s="118">
        <f t="shared" si="600"/>
        <v>0</v>
      </c>
      <c r="GI161" s="116">
        <f t="shared" si="601"/>
        <v>0</v>
      </c>
      <c r="GJ161" s="117">
        <f t="shared" si="602"/>
        <v>0</v>
      </c>
      <c r="GK161" s="119">
        <f t="shared" si="603"/>
        <v>0</v>
      </c>
      <c r="GL161" s="194">
        <f t="shared" si="604"/>
        <v>0</v>
      </c>
      <c r="GM161" s="194">
        <f t="shared" si="605"/>
        <v>0</v>
      </c>
      <c r="GN161" s="386">
        <f t="shared" si="606"/>
        <v>0</v>
      </c>
      <c r="GO161" s="239">
        <f t="shared" si="607"/>
        <v>0</v>
      </c>
      <c r="GP161" s="43">
        <f t="shared" si="608"/>
        <v>0</v>
      </c>
      <c r="GQ161" s="57">
        <f t="shared" si="609"/>
        <v>0</v>
      </c>
      <c r="GR161" s="194">
        <f t="shared" si="610"/>
        <v>0</v>
      </c>
      <c r="GS161" s="117">
        <f t="shared" si="611"/>
        <v>0</v>
      </c>
      <c r="GT161" s="119">
        <f t="shared" si="612"/>
        <v>0</v>
      </c>
      <c r="GU161" s="194">
        <f t="shared" si="613"/>
        <v>0</v>
      </c>
      <c r="GV161" s="117">
        <f t="shared" si="614"/>
        <v>0</v>
      </c>
      <c r="GW161" s="119">
        <f t="shared" si="615"/>
        <v>0</v>
      </c>
      <c r="GX161" s="194">
        <f t="shared" si="616"/>
        <v>0</v>
      </c>
      <c r="GY161" s="117">
        <f t="shared" si="617"/>
        <v>0</v>
      </c>
      <c r="GZ161" s="119">
        <f t="shared" si="618"/>
        <v>0</v>
      </c>
      <c r="HA161" s="194">
        <f t="shared" si="619"/>
        <v>0</v>
      </c>
      <c r="HB161" s="117">
        <f t="shared" si="620"/>
        <v>0</v>
      </c>
      <c r="HC161" s="119">
        <f t="shared" si="621"/>
        <v>0</v>
      </c>
      <c r="HD161" s="368">
        <f t="shared" si="622"/>
        <v>0</v>
      </c>
      <c r="HE161" s="369">
        <f t="shared" si="623"/>
        <v>0</v>
      </c>
      <c r="HF161" s="369">
        <f t="shared" si="624"/>
        <v>0</v>
      </c>
      <c r="HG161" s="147">
        <f t="shared" si="625"/>
        <v>0</v>
      </c>
    </row>
    <row r="162" spans="1:215" ht="15.75" thickBot="1">
      <c r="A162" s="238">
        <v>12</v>
      </c>
      <c r="B162" s="116">
        <f t="shared" si="414"/>
        <v>0</v>
      </c>
      <c r="C162" s="117">
        <f t="shared" si="415"/>
        <v>0</v>
      </c>
      <c r="D162" s="119">
        <f t="shared" si="416"/>
        <v>0</v>
      </c>
      <c r="E162" s="194">
        <f t="shared" si="417"/>
        <v>0</v>
      </c>
      <c r="F162" s="117">
        <f t="shared" si="418"/>
        <v>0</v>
      </c>
      <c r="G162" s="118">
        <f t="shared" si="419"/>
        <v>0</v>
      </c>
      <c r="H162" s="116">
        <f t="shared" si="420"/>
        <v>0</v>
      </c>
      <c r="I162" s="117">
        <f t="shared" si="421"/>
        <v>0</v>
      </c>
      <c r="J162" s="119">
        <f t="shared" si="422"/>
        <v>0</v>
      </c>
      <c r="K162" s="194">
        <f t="shared" si="423"/>
        <v>0</v>
      </c>
      <c r="L162" s="117">
        <f t="shared" si="424"/>
        <v>0</v>
      </c>
      <c r="M162" s="118">
        <f t="shared" si="425"/>
        <v>0</v>
      </c>
      <c r="N162" s="116">
        <f t="shared" si="426"/>
        <v>0</v>
      </c>
      <c r="O162" s="117">
        <f t="shared" si="427"/>
        <v>0</v>
      </c>
      <c r="P162" s="119">
        <f t="shared" si="428"/>
        <v>0</v>
      </c>
      <c r="Q162" s="194">
        <f t="shared" si="429"/>
        <v>0</v>
      </c>
      <c r="R162" s="117">
        <f t="shared" si="430"/>
        <v>0</v>
      </c>
      <c r="S162" s="118">
        <f t="shared" si="431"/>
        <v>0</v>
      </c>
      <c r="T162" s="116">
        <f t="shared" si="432"/>
        <v>0</v>
      </c>
      <c r="U162" s="117">
        <f t="shared" si="433"/>
        <v>0</v>
      </c>
      <c r="V162" s="119">
        <f t="shared" si="434"/>
        <v>0</v>
      </c>
      <c r="W162" s="194">
        <f t="shared" si="435"/>
        <v>0</v>
      </c>
      <c r="X162" s="117">
        <f t="shared" si="436"/>
        <v>0</v>
      </c>
      <c r="Y162" s="118">
        <f t="shared" si="437"/>
        <v>0</v>
      </c>
      <c r="Z162" s="116">
        <f t="shared" si="438"/>
        <v>0</v>
      </c>
      <c r="AA162" s="117">
        <f t="shared" si="439"/>
        <v>0</v>
      </c>
      <c r="AB162" s="119">
        <f t="shared" si="440"/>
        <v>0</v>
      </c>
      <c r="AC162" s="194">
        <f t="shared" si="441"/>
        <v>0</v>
      </c>
      <c r="AD162" s="117">
        <f t="shared" si="442"/>
        <v>0</v>
      </c>
      <c r="AE162" s="118">
        <f t="shared" si="443"/>
        <v>0</v>
      </c>
      <c r="AF162" s="116">
        <f t="shared" si="444"/>
        <v>0</v>
      </c>
      <c r="AG162" s="117">
        <f t="shared" si="445"/>
        <v>0</v>
      </c>
      <c r="AH162" s="119">
        <f t="shared" si="446"/>
        <v>0</v>
      </c>
      <c r="AI162" s="194">
        <f t="shared" si="447"/>
        <v>0</v>
      </c>
      <c r="AJ162" s="117">
        <f t="shared" si="448"/>
        <v>0</v>
      </c>
      <c r="AK162" s="118">
        <f t="shared" si="449"/>
        <v>0</v>
      </c>
      <c r="AL162" s="116">
        <f t="shared" si="450"/>
        <v>0</v>
      </c>
      <c r="AM162" s="117">
        <f t="shared" si="451"/>
        <v>0</v>
      </c>
      <c r="AN162" s="119">
        <f t="shared" si="452"/>
        <v>0</v>
      </c>
      <c r="AO162" s="194">
        <f t="shared" si="453"/>
        <v>0</v>
      </c>
      <c r="AP162" s="117">
        <f t="shared" si="454"/>
        <v>0</v>
      </c>
      <c r="AQ162" s="118">
        <f t="shared" si="455"/>
        <v>0</v>
      </c>
      <c r="AR162" s="116">
        <f t="shared" si="456"/>
        <v>0</v>
      </c>
      <c r="AS162" s="117">
        <f t="shared" si="457"/>
        <v>0</v>
      </c>
      <c r="AT162" s="119">
        <f t="shared" si="458"/>
        <v>0</v>
      </c>
      <c r="AU162" s="194">
        <f t="shared" si="459"/>
        <v>0</v>
      </c>
      <c r="AV162" s="117">
        <f t="shared" si="460"/>
        <v>0</v>
      </c>
      <c r="AW162" s="118">
        <f t="shared" si="461"/>
        <v>0</v>
      </c>
      <c r="AX162" s="116">
        <f t="shared" si="462"/>
        <v>0</v>
      </c>
      <c r="AY162" s="117">
        <f t="shared" si="463"/>
        <v>0</v>
      </c>
      <c r="AZ162" s="119">
        <f t="shared" si="464"/>
        <v>0</v>
      </c>
      <c r="BA162" s="194">
        <f t="shared" si="465"/>
        <v>0</v>
      </c>
      <c r="BB162" s="117">
        <f t="shared" si="466"/>
        <v>0</v>
      </c>
      <c r="BC162" s="118">
        <f t="shared" si="467"/>
        <v>0</v>
      </c>
      <c r="BD162" s="116">
        <f t="shared" si="468"/>
        <v>0</v>
      </c>
      <c r="BE162" s="117">
        <f t="shared" si="469"/>
        <v>0</v>
      </c>
      <c r="BF162" s="119">
        <f t="shared" si="470"/>
        <v>0</v>
      </c>
      <c r="BG162" s="194">
        <f t="shared" si="471"/>
        <v>0</v>
      </c>
      <c r="BH162" s="117">
        <f t="shared" si="472"/>
        <v>0</v>
      </c>
      <c r="BI162" s="118">
        <f t="shared" si="473"/>
        <v>0</v>
      </c>
      <c r="BJ162" s="116">
        <f t="shared" si="474"/>
        <v>0</v>
      </c>
      <c r="BK162" s="117">
        <f t="shared" si="475"/>
        <v>0</v>
      </c>
      <c r="BL162" s="119">
        <f t="shared" si="476"/>
        <v>0</v>
      </c>
      <c r="BM162" s="194">
        <f t="shared" si="477"/>
        <v>0</v>
      </c>
      <c r="BN162" s="117">
        <f t="shared" si="478"/>
        <v>0</v>
      </c>
      <c r="BO162" s="118">
        <f t="shared" si="479"/>
        <v>0</v>
      </c>
      <c r="BP162" s="116">
        <f t="shared" si="480"/>
        <v>0</v>
      </c>
      <c r="BQ162" s="117">
        <f t="shared" si="481"/>
        <v>0</v>
      </c>
      <c r="BR162" s="119">
        <f t="shared" si="626"/>
        <v>0</v>
      </c>
      <c r="BS162" s="194">
        <f t="shared" si="482"/>
        <v>0</v>
      </c>
      <c r="BT162" s="117">
        <f t="shared" si="483"/>
        <v>0</v>
      </c>
      <c r="BU162" s="118">
        <f t="shared" si="484"/>
        <v>0</v>
      </c>
      <c r="BV162" s="116">
        <f t="shared" si="485"/>
        <v>0</v>
      </c>
      <c r="BW162" s="117">
        <f t="shared" si="486"/>
        <v>0</v>
      </c>
      <c r="BX162" s="119">
        <f t="shared" si="487"/>
        <v>0</v>
      </c>
      <c r="BY162" s="194">
        <f t="shared" si="488"/>
        <v>0</v>
      </c>
      <c r="BZ162" s="117">
        <f t="shared" si="489"/>
        <v>0</v>
      </c>
      <c r="CA162" s="118">
        <f t="shared" si="490"/>
        <v>0</v>
      </c>
      <c r="CB162" s="116">
        <f t="shared" si="491"/>
        <v>0</v>
      </c>
      <c r="CC162" s="117">
        <f t="shared" si="492"/>
        <v>0</v>
      </c>
      <c r="CD162" s="119">
        <f t="shared" si="493"/>
        <v>0</v>
      </c>
      <c r="CE162" s="194">
        <f t="shared" si="494"/>
        <v>0</v>
      </c>
      <c r="CF162" s="117">
        <f t="shared" si="495"/>
        <v>0</v>
      </c>
      <c r="CG162" s="118">
        <f t="shared" si="496"/>
        <v>0</v>
      </c>
      <c r="CH162" s="116">
        <f t="shared" si="497"/>
        <v>0</v>
      </c>
      <c r="CI162" s="117">
        <f t="shared" si="498"/>
        <v>0</v>
      </c>
      <c r="CJ162" s="119">
        <f t="shared" si="499"/>
        <v>0</v>
      </c>
      <c r="CK162" s="194">
        <f t="shared" si="500"/>
        <v>0</v>
      </c>
      <c r="CL162" s="194">
        <f t="shared" si="501"/>
        <v>0</v>
      </c>
      <c r="CM162" s="386">
        <f t="shared" si="502"/>
        <v>0</v>
      </c>
      <c r="CN162" s="239">
        <f t="shared" si="503"/>
        <v>0</v>
      </c>
      <c r="CO162" s="43">
        <f t="shared" si="504"/>
        <v>0</v>
      </c>
      <c r="CP162" s="57">
        <f t="shared" si="505"/>
        <v>0</v>
      </c>
      <c r="CQ162" s="194">
        <f t="shared" si="506"/>
        <v>0</v>
      </c>
      <c r="CR162" s="117">
        <f t="shared" si="507"/>
        <v>0</v>
      </c>
      <c r="CS162" s="119">
        <f t="shared" si="508"/>
        <v>0</v>
      </c>
      <c r="CT162" s="194">
        <f t="shared" si="509"/>
        <v>0</v>
      </c>
      <c r="CU162" s="117">
        <f t="shared" si="510"/>
        <v>0</v>
      </c>
      <c r="CV162" s="119">
        <f t="shared" si="511"/>
        <v>0</v>
      </c>
      <c r="CW162" s="194">
        <f t="shared" si="512"/>
        <v>0</v>
      </c>
      <c r="CX162" s="117">
        <f t="shared" si="513"/>
        <v>0</v>
      </c>
      <c r="CY162" s="119">
        <f t="shared" si="514"/>
        <v>0</v>
      </c>
      <c r="CZ162" s="194">
        <f t="shared" si="515"/>
        <v>0</v>
      </c>
      <c r="DA162" s="117">
        <f t="shared" si="516"/>
        <v>0</v>
      </c>
      <c r="DB162" s="119">
        <f t="shared" si="517"/>
        <v>0</v>
      </c>
      <c r="DC162" s="116">
        <f t="shared" si="518"/>
        <v>0</v>
      </c>
      <c r="DD162" s="117">
        <f t="shared" si="519"/>
        <v>0</v>
      </c>
      <c r="DE162" s="119">
        <f t="shared" si="520"/>
        <v>0</v>
      </c>
      <c r="DF162" s="194">
        <f t="shared" si="521"/>
        <v>0</v>
      </c>
      <c r="DG162" s="117">
        <f t="shared" si="522"/>
        <v>0</v>
      </c>
      <c r="DH162" s="118">
        <f t="shared" si="523"/>
        <v>0</v>
      </c>
      <c r="DI162" s="116">
        <f t="shared" si="524"/>
        <v>0</v>
      </c>
      <c r="DJ162" s="117">
        <f t="shared" si="525"/>
        <v>0</v>
      </c>
      <c r="DK162" s="119">
        <f t="shared" si="526"/>
        <v>0</v>
      </c>
      <c r="DL162" s="194">
        <f t="shared" si="527"/>
        <v>0</v>
      </c>
      <c r="DM162" s="117">
        <f t="shared" si="528"/>
        <v>0</v>
      </c>
      <c r="DN162" s="118">
        <f t="shared" si="529"/>
        <v>0</v>
      </c>
      <c r="DO162" s="116">
        <f t="shared" si="530"/>
        <v>0</v>
      </c>
      <c r="DP162" s="117">
        <f t="shared" si="531"/>
        <v>0</v>
      </c>
      <c r="DQ162" s="119">
        <f t="shared" si="532"/>
        <v>0</v>
      </c>
      <c r="DR162" s="194">
        <f t="shared" si="533"/>
        <v>0</v>
      </c>
      <c r="DS162" s="117">
        <f t="shared" si="534"/>
        <v>0</v>
      </c>
      <c r="DT162" s="118">
        <f t="shared" si="535"/>
        <v>0</v>
      </c>
      <c r="DU162" s="116">
        <f t="shared" si="536"/>
        <v>0</v>
      </c>
      <c r="DV162" s="117">
        <f t="shared" si="537"/>
        <v>0</v>
      </c>
      <c r="DW162" s="119">
        <f t="shared" si="538"/>
        <v>0</v>
      </c>
      <c r="DX162" s="194">
        <f t="shared" si="539"/>
        <v>0</v>
      </c>
      <c r="DY162" s="117">
        <f t="shared" si="540"/>
        <v>0</v>
      </c>
      <c r="DZ162" s="118">
        <f t="shared" si="541"/>
        <v>0</v>
      </c>
      <c r="EA162" s="116">
        <f t="shared" si="542"/>
        <v>0</v>
      </c>
      <c r="EB162" s="117">
        <f t="shared" si="543"/>
        <v>0</v>
      </c>
      <c r="EC162" s="119">
        <f t="shared" si="544"/>
        <v>0</v>
      </c>
      <c r="ED162" s="194">
        <f t="shared" si="545"/>
        <v>0</v>
      </c>
      <c r="EE162" s="117">
        <f t="shared" si="546"/>
        <v>0</v>
      </c>
      <c r="EF162" s="118">
        <f t="shared" si="547"/>
        <v>0</v>
      </c>
      <c r="EG162" s="116">
        <f t="shared" si="548"/>
        <v>0</v>
      </c>
      <c r="EH162" s="117">
        <f t="shared" si="549"/>
        <v>0</v>
      </c>
      <c r="EI162" s="119">
        <f t="shared" si="550"/>
        <v>0</v>
      </c>
      <c r="EJ162" s="194">
        <f t="shared" si="551"/>
        <v>0</v>
      </c>
      <c r="EK162" s="117">
        <f t="shared" si="552"/>
        <v>0</v>
      </c>
      <c r="EL162" s="118">
        <f t="shared" si="553"/>
        <v>0</v>
      </c>
      <c r="EM162" s="116">
        <f t="shared" si="554"/>
        <v>0</v>
      </c>
      <c r="EN162" s="117">
        <f t="shared" si="555"/>
        <v>0</v>
      </c>
      <c r="EO162" s="119">
        <f t="shared" si="556"/>
        <v>0</v>
      </c>
      <c r="EP162" s="194">
        <f t="shared" si="557"/>
        <v>0</v>
      </c>
      <c r="EQ162" s="117">
        <f t="shared" si="558"/>
        <v>0</v>
      </c>
      <c r="ER162" s="118">
        <f t="shared" si="559"/>
        <v>0</v>
      </c>
      <c r="ES162" s="116">
        <f t="shared" si="560"/>
        <v>0</v>
      </c>
      <c r="ET162" s="117">
        <f t="shared" si="561"/>
        <v>0</v>
      </c>
      <c r="EU162" s="119">
        <f t="shared" si="562"/>
        <v>0</v>
      </c>
      <c r="EV162" s="194">
        <f t="shared" si="563"/>
        <v>0</v>
      </c>
      <c r="EW162" s="117">
        <f t="shared" si="564"/>
        <v>0</v>
      </c>
      <c r="EX162" s="118">
        <f t="shared" si="565"/>
        <v>0</v>
      </c>
      <c r="EY162" s="116">
        <f t="shared" si="566"/>
        <v>0</v>
      </c>
      <c r="EZ162" s="117">
        <f t="shared" si="567"/>
        <v>0</v>
      </c>
      <c r="FA162" s="119">
        <f t="shared" si="568"/>
        <v>0</v>
      </c>
      <c r="FB162" s="194">
        <f t="shared" si="569"/>
        <v>0</v>
      </c>
      <c r="FC162" s="117">
        <f t="shared" si="570"/>
        <v>0</v>
      </c>
      <c r="FD162" s="118">
        <f t="shared" si="571"/>
        <v>0</v>
      </c>
      <c r="FE162" s="116">
        <f t="shared" si="572"/>
        <v>0</v>
      </c>
      <c r="FF162" s="117">
        <f t="shared" si="573"/>
        <v>0</v>
      </c>
      <c r="FG162" s="119">
        <f t="shared" si="574"/>
        <v>0</v>
      </c>
      <c r="FH162" s="194">
        <f t="shared" si="575"/>
        <v>0</v>
      </c>
      <c r="FI162" s="117">
        <f t="shared" si="576"/>
        <v>0</v>
      </c>
      <c r="FJ162" s="118">
        <f t="shared" si="577"/>
        <v>0</v>
      </c>
      <c r="FK162" s="116">
        <f t="shared" si="578"/>
        <v>0</v>
      </c>
      <c r="FL162" s="117">
        <f t="shared" si="579"/>
        <v>0</v>
      </c>
      <c r="FM162" s="119">
        <f t="shared" si="580"/>
        <v>0</v>
      </c>
      <c r="FN162" s="194">
        <f t="shared" si="581"/>
        <v>0</v>
      </c>
      <c r="FO162" s="117">
        <f t="shared" si="582"/>
        <v>0</v>
      </c>
      <c r="FP162" s="118">
        <f t="shared" si="583"/>
        <v>0</v>
      </c>
      <c r="FQ162" s="116">
        <f t="shared" si="584"/>
        <v>0</v>
      </c>
      <c r="FR162" s="117">
        <f t="shared" si="585"/>
        <v>0</v>
      </c>
      <c r="FS162" s="119">
        <f t="shared" si="627"/>
        <v>0</v>
      </c>
      <c r="FT162" s="194">
        <f t="shared" si="586"/>
        <v>0</v>
      </c>
      <c r="FU162" s="117">
        <f t="shared" si="587"/>
        <v>0</v>
      </c>
      <c r="FV162" s="118">
        <f t="shared" si="588"/>
        <v>0</v>
      </c>
      <c r="FW162" s="116">
        <f t="shared" si="589"/>
        <v>0</v>
      </c>
      <c r="FX162" s="117">
        <f t="shared" si="590"/>
        <v>0</v>
      </c>
      <c r="FY162" s="119">
        <f t="shared" si="591"/>
        <v>0</v>
      </c>
      <c r="FZ162" s="194">
        <f t="shared" si="592"/>
        <v>0</v>
      </c>
      <c r="GA162" s="117">
        <f t="shared" si="593"/>
        <v>0</v>
      </c>
      <c r="GB162" s="118">
        <f t="shared" si="594"/>
        <v>0</v>
      </c>
      <c r="GC162" s="116">
        <f t="shared" si="595"/>
        <v>0</v>
      </c>
      <c r="GD162" s="117">
        <f t="shared" si="596"/>
        <v>0</v>
      </c>
      <c r="GE162" s="119">
        <f t="shared" si="597"/>
        <v>0</v>
      </c>
      <c r="GF162" s="194">
        <f t="shared" si="598"/>
        <v>0</v>
      </c>
      <c r="GG162" s="117">
        <f t="shared" si="599"/>
        <v>0</v>
      </c>
      <c r="GH162" s="118">
        <f t="shared" si="600"/>
        <v>0</v>
      </c>
      <c r="GI162" s="116">
        <f t="shared" si="601"/>
        <v>0</v>
      </c>
      <c r="GJ162" s="117">
        <f t="shared" si="602"/>
        <v>0</v>
      </c>
      <c r="GK162" s="119">
        <f t="shared" si="603"/>
        <v>0</v>
      </c>
      <c r="GL162" s="194">
        <f t="shared" si="604"/>
        <v>0</v>
      </c>
      <c r="GM162" s="194">
        <f t="shared" si="605"/>
        <v>0</v>
      </c>
      <c r="GN162" s="386">
        <f t="shared" si="606"/>
        <v>0</v>
      </c>
      <c r="GO162" s="239">
        <f t="shared" si="607"/>
        <v>0</v>
      </c>
      <c r="GP162" s="43">
        <f t="shared" si="608"/>
        <v>0</v>
      </c>
      <c r="GQ162" s="57">
        <f t="shared" si="609"/>
        <v>0</v>
      </c>
      <c r="GR162" s="194">
        <f t="shared" si="610"/>
        <v>0</v>
      </c>
      <c r="GS162" s="117">
        <f t="shared" si="611"/>
        <v>0</v>
      </c>
      <c r="GT162" s="119">
        <f t="shared" si="612"/>
        <v>0</v>
      </c>
      <c r="GU162" s="194">
        <f t="shared" si="613"/>
        <v>0</v>
      </c>
      <c r="GV162" s="117">
        <f t="shared" si="614"/>
        <v>0</v>
      </c>
      <c r="GW162" s="119">
        <f t="shared" si="615"/>
        <v>0</v>
      </c>
      <c r="GX162" s="194">
        <f t="shared" si="616"/>
        <v>0</v>
      </c>
      <c r="GY162" s="117">
        <f t="shared" si="617"/>
        <v>0</v>
      </c>
      <c r="GZ162" s="119">
        <f t="shared" si="618"/>
        <v>0</v>
      </c>
      <c r="HA162" s="194">
        <f t="shared" si="619"/>
        <v>0</v>
      </c>
      <c r="HB162" s="117">
        <f t="shared" si="620"/>
        <v>0</v>
      </c>
      <c r="HC162" s="119">
        <f t="shared" si="621"/>
        <v>0</v>
      </c>
      <c r="HD162" s="368">
        <f t="shared" si="622"/>
        <v>0</v>
      </c>
      <c r="HE162" s="369">
        <f t="shared" si="623"/>
        <v>0</v>
      </c>
      <c r="HF162" s="369">
        <f t="shared" si="624"/>
        <v>0</v>
      </c>
      <c r="HG162" s="147">
        <f t="shared" si="625"/>
        <v>0</v>
      </c>
    </row>
    <row r="163" spans="1:215" ht="15.75" thickBot="1">
      <c r="A163" s="353">
        <v>13</v>
      </c>
      <c r="B163" s="116">
        <f t="shared" si="414"/>
        <v>0</v>
      </c>
      <c r="C163" s="117">
        <f t="shared" si="415"/>
        <v>0</v>
      </c>
      <c r="D163" s="119">
        <f t="shared" si="416"/>
        <v>0</v>
      </c>
      <c r="E163" s="194">
        <f t="shared" si="417"/>
        <v>0</v>
      </c>
      <c r="F163" s="117">
        <f t="shared" si="418"/>
        <v>0</v>
      </c>
      <c r="G163" s="118">
        <f t="shared" si="419"/>
        <v>0</v>
      </c>
      <c r="H163" s="116">
        <f t="shared" si="420"/>
        <v>0</v>
      </c>
      <c r="I163" s="117">
        <f t="shared" si="421"/>
        <v>0</v>
      </c>
      <c r="J163" s="119">
        <f t="shared" si="422"/>
        <v>0</v>
      </c>
      <c r="K163" s="194">
        <f t="shared" si="423"/>
        <v>0</v>
      </c>
      <c r="L163" s="117">
        <f t="shared" si="424"/>
        <v>0</v>
      </c>
      <c r="M163" s="118">
        <f t="shared" si="425"/>
        <v>0</v>
      </c>
      <c r="N163" s="116">
        <f t="shared" si="426"/>
        <v>0</v>
      </c>
      <c r="O163" s="117">
        <f t="shared" si="427"/>
        <v>0</v>
      </c>
      <c r="P163" s="119">
        <f t="shared" si="428"/>
        <v>0</v>
      </c>
      <c r="Q163" s="194">
        <f t="shared" si="429"/>
        <v>0</v>
      </c>
      <c r="R163" s="117">
        <f t="shared" si="430"/>
        <v>0</v>
      </c>
      <c r="S163" s="118">
        <f t="shared" si="431"/>
        <v>0</v>
      </c>
      <c r="T163" s="116">
        <f t="shared" si="432"/>
        <v>0</v>
      </c>
      <c r="U163" s="117">
        <f t="shared" si="433"/>
        <v>0</v>
      </c>
      <c r="V163" s="119">
        <f t="shared" si="434"/>
        <v>0</v>
      </c>
      <c r="W163" s="194">
        <f t="shared" si="435"/>
        <v>0</v>
      </c>
      <c r="X163" s="117">
        <f t="shared" si="436"/>
        <v>0</v>
      </c>
      <c r="Y163" s="118">
        <f t="shared" si="437"/>
        <v>0</v>
      </c>
      <c r="Z163" s="116">
        <f t="shared" si="438"/>
        <v>0</v>
      </c>
      <c r="AA163" s="117">
        <f t="shared" si="439"/>
        <v>0</v>
      </c>
      <c r="AB163" s="119">
        <f t="shared" si="440"/>
        <v>0</v>
      </c>
      <c r="AC163" s="194">
        <f t="shared" si="441"/>
        <v>0</v>
      </c>
      <c r="AD163" s="117">
        <f t="shared" si="442"/>
        <v>0</v>
      </c>
      <c r="AE163" s="118">
        <f t="shared" si="443"/>
        <v>0</v>
      </c>
      <c r="AF163" s="116">
        <f t="shared" si="444"/>
        <v>0</v>
      </c>
      <c r="AG163" s="117">
        <f t="shared" si="445"/>
        <v>0</v>
      </c>
      <c r="AH163" s="119">
        <f t="shared" si="446"/>
        <v>0</v>
      </c>
      <c r="AI163" s="194">
        <f t="shared" si="447"/>
        <v>0</v>
      </c>
      <c r="AJ163" s="117">
        <f t="shared" si="448"/>
        <v>0</v>
      </c>
      <c r="AK163" s="118">
        <f t="shared" si="449"/>
        <v>0</v>
      </c>
      <c r="AL163" s="116">
        <f t="shared" si="450"/>
        <v>0</v>
      </c>
      <c r="AM163" s="117">
        <f t="shared" si="451"/>
        <v>0</v>
      </c>
      <c r="AN163" s="119">
        <f t="shared" si="452"/>
        <v>0</v>
      </c>
      <c r="AO163" s="194">
        <f t="shared" si="453"/>
        <v>0</v>
      </c>
      <c r="AP163" s="117">
        <f t="shared" si="454"/>
        <v>0</v>
      </c>
      <c r="AQ163" s="118">
        <f t="shared" si="455"/>
        <v>0</v>
      </c>
      <c r="AR163" s="116">
        <f t="shared" si="456"/>
        <v>0</v>
      </c>
      <c r="AS163" s="117">
        <f t="shared" si="457"/>
        <v>0</v>
      </c>
      <c r="AT163" s="119">
        <f t="shared" si="458"/>
        <v>0</v>
      </c>
      <c r="AU163" s="194">
        <f t="shared" si="459"/>
        <v>0</v>
      </c>
      <c r="AV163" s="117">
        <f t="shared" si="460"/>
        <v>0</v>
      </c>
      <c r="AW163" s="118">
        <f t="shared" si="461"/>
        <v>0</v>
      </c>
      <c r="AX163" s="116">
        <f t="shared" si="462"/>
        <v>0</v>
      </c>
      <c r="AY163" s="117">
        <f t="shared" si="463"/>
        <v>0</v>
      </c>
      <c r="AZ163" s="119">
        <f t="shared" si="464"/>
        <v>0</v>
      </c>
      <c r="BA163" s="194">
        <f t="shared" si="465"/>
        <v>0</v>
      </c>
      <c r="BB163" s="117">
        <f t="shared" si="466"/>
        <v>0</v>
      </c>
      <c r="BC163" s="118">
        <f t="shared" si="467"/>
        <v>0</v>
      </c>
      <c r="BD163" s="116">
        <f t="shared" si="468"/>
        <v>0</v>
      </c>
      <c r="BE163" s="117">
        <f t="shared" si="469"/>
        <v>0</v>
      </c>
      <c r="BF163" s="119">
        <f t="shared" si="470"/>
        <v>0</v>
      </c>
      <c r="BG163" s="194">
        <f t="shared" si="471"/>
        <v>0</v>
      </c>
      <c r="BH163" s="117">
        <f t="shared" si="472"/>
        <v>0</v>
      </c>
      <c r="BI163" s="118">
        <f t="shared" si="473"/>
        <v>0</v>
      </c>
      <c r="BJ163" s="116">
        <f t="shared" si="474"/>
        <v>0</v>
      </c>
      <c r="BK163" s="117">
        <f t="shared" si="475"/>
        <v>0</v>
      </c>
      <c r="BL163" s="119">
        <f t="shared" si="476"/>
        <v>0</v>
      </c>
      <c r="BM163" s="194">
        <f t="shared" si="477"/>
        <v>0</v>
      </c>
      <c r="BN163" s="117">
        <f t="shared" si="478"/>
        <v>0</v>
      </c>
      <c r="BO163" s="118">
        <f t="shared" si="479"/>
        <v>0</v>
      </c>
      <c r="BP163" s="116">
        <f t="shared" si="480"/>
        <v>0</v>
      </c>
      <c r="BQ163" s="117">
        <f t="shared" si="481"/>
        <v>0</v>
      </c>
      <c r="BR163" s="119">
        <f t="shared" si="626"/>
        <v>0</v>
      </c>
      <c r="BS163" s="194">
        <f t="shared" si="482"/>
        <v>0</v>
      </c>
      <c r="BT163" s="117">
        <f t="shared" si="483"/>
        <v>0</v>
      </c>
      <c r="BU163" s="118">
        <f t="shared" si="484"/>
        <v>0</v>
      </c>
      <c r="BV163" s="116">
        <f t="shared" si="485"/>
        <v>0</v>
      </c>
      <c r="BW163" s="117">
        <f t="shared" si="486"/>
        <v>0</v>
      </c>
      <c r="BX163" s="119">
        <f t="shared" si="487"/>
        <v>0</v>
      </c>
      <c r="BY163" s="194">
        <f t="shared" si="488"/>
        <v>0</v>
      </c>
      <c r="BZ163" s="117">
        <f t="shared" si="489"/>
        <v>0</v>
      </c>
      <c r="CA163" s="118">
        <f t="shared" si="490"/>
        <v>0</v>
      </c>
      <c r="CB163" s="116">
        <f t="shared" si="491"/>
        <v>0</v>
      </c>
      <c r="CC163" s="117">
        <f t="shared" si="492"/>
        <v>0</v>
      </c>
      <c r="CD163" s="119">
        <f t="shared" si="493"/>
        <v>0</v>
      </c>
      <c r="CE163" s="194">
        <f t="shared" si="494"/>
        <v>0</v>
      </c>
      <c r="CF163" s="117">
        <f t="shared" si="495"/>
        <v>0</v>
      </c>
      <c r="CG163" s="118">
        <f t="shared" si="496"/>
        <v>0</v>
      </c>
      <c r="CH163" s="116">
        <f t="shared" si="497"/>
        <v>0</v>
      </c>
      <c r="CI163" s="117">
        <f t="shared" si="498"/>
        <v>0</v>
      </c>
      <c r="CJ163" s="119">
        <f t="shared" si="499"/>
        <v>0</v>
      </c>
      <c r="CK163" s="194">
        <f t="shared" si="500"/>
        <v>0</v>
      </c>
      <c r="CL163" s="194">
        <f t="shared" si="501"/>
        <v>0</v>
      </c>
      <c r="CM163" s="386">
        <f t="shared" si="502"/>
        <v>0</v>
      </c>
      <c r="CN163" s="239">
        <f t="shared" si="503"/>
        <v>0</v>
      </c>
      <c r="CO163" s="43">
        <f t="shared" si="504"/>
        <v>0</v>
      </c>
      <c r="CP163" s="57">
        <f t="shared" si="505"/>
        <v>0</v>
      </c>
      <c r="CQ163" s="194">
        <f t="shared" si="506"/>
        <v>0</v>
      </c>
      <c r="CR163" s="117">
        <f t="shared" si="507"/>
        <v>0</v>
      </c>
      <c r="CS163" s="119">
        <f t="shared" si="508"/>
        <v>0</v>
      </c>
      <c r="CT163" s="194">
        <f t="shared" si="509"/>
        <v>0</v>
      </c>
      <c r="CU163" s="117">
        <f t="shared" si="510"/>
        <v>0</v>
      </c>
      <c r="CV163" s="119">
        <f t="shared" si="511"/>
        <v>0</v>
      </c>
      <c r="CW163" s="194">
        <f t="shared" si="512"/>
        <v>0</v>
      </c>
      <c r="CX163" s="117">
        <f t="shared" si="513"/>
        <v>0</v>
      </c>
      <c r="CY163" s="119">
        <f t="shared" si="514"/>
        <v>0</v>
      </c>
      <c r="CZ163" s="194">
        <f t="shared" si="515"/>
        <v>0</v>
      </c>
      <c r="DA163" s="117">
        <f t="shared" si="516"/>
        <v>0</v>
      </c>
      <c r="DB163" s="119">
        <f t="shared" si="517"/>
        <v>0</v>
      </c>
      <c r="DC163" s="116">
        <f t="shared" si="518"/>
        <v>0</v>
      </c>
      <c r="DD163" s="117">
        <f t="shared" si="519"/>
        <v>0</v>
      </c>
      <c r="DE163" s="119">
        <f t="shared" si="520"/>
        <v>0</v>
      </c>
      <c r="DF163" s="194">
        <f t="shared" si="521"/>
        <v>0</v>
      </c>
      <c r="DG163" s="117">
        <f t="shared" si="522"/>
        <v>0</v>
      </c>
      <c r="DH163" s="118">
        <f t="shared" si="523"/>
        <v>0</v>
      </c>
      <c r="DI163" s="116">
        <f t="shared" si="524"/>
        <v>0</v>
      </c>
      <c r="DJ163" s="117">
        <f t="shared" si="525"/>
        <v>0</v>
      </c>
      <c r="DK163" s="119">
        <f t="shared" si="526"/>
        <v>0</v>
      </c>
      <c r="DL163" s="194">
        <f t="shared" si="527"/>
        <v>0</v>
      </c>
      <c r="DM163" s="117">
        <f t="shared" si="528"/>
        <v>0</v>
      </c>
      <c r="DN163" s="118">
        <f t="shared" si="529"/>
        <v>0</v>
      </c>
      <c r="DO163" s="116">
        <f t="shared" si="530"/>
        <v>0</v>
      </c>
      <c r="DP163" s="117">
        <f t="shared" si="531"/>
        <v>0</v>
      </c>
      <c r="DQ163" s="119">
        <f t="shared" si="532"/>
        <v>0</v>
      </c>
      <c r="DR163" s="194">
        <f t="shared" si="533"/>
        <v>0</v>
      </c>
      <c r="DS163" s="117">
        <f t="shared" si="534"/>
        <v>0</v>
      </c>
      <c r="DT163" s="118">
        <f t="shared" si="535"/>
        <v>0</v>
      </c>
      <c r="DU163" s="116">
        <f t="shared" si="536"/>
        <v>0</v>
      </c>
      <c r="DV163" s="117">
        <f t="shared" si="537"/>
        <v>0</v>
      </c>
      <c r="DW163" s="119">
        <f t="shared" si="538"/>
        <v>0</v>
      </c>
      <c r="DX163" s="194">
        <f t="shared" si="539"/>
        <v>0</v>
      </c>
      <c r="DY163" s="117">
        <f t="shared" si="540"/>
        <v>0</v>
      </c>
      <c r="DZ163" s="118">
        <f t="shared" si="541"/>
        <v>0</v>
      </c>
      <c r="EA163" s="116">
        <f t="shared" si="542"/>
        <v>0</v>
      </c>
      <c r="EB163" s="117">
        <f t="shared" si="543"/>
        <v>0</v>
      </c>
      <c r="EC163" s="119">
        <f t="shared" si="544"/>
        <v>0</v>
      </c>
      <c r="ED163" s="194">
        <f t="shared" si="545"/>
        <v>0</v>
      </c>
      <c r="EE163" s="117">
        <f t="shared" si="546"/>
        <v>0</v>
      </c>
      <c r="EF163" s="118">
        <f t="shared" si="547"/>
        <v>0</v>
      </c>
      <c r="EG163" s="116">
        <f t="shared" si="548"/>
        <v>0</v>
      </c>
      <c r="EH163" s="117">
        <f t="shared" si="549"/>
        <v>0</v>
      </c>
      <c r="EI163" s="119">
        <f t="shared" si="550"/>
        <v>0</v>
      </c>
      <c r="EJ163" s="194">
        <f t="shared" si="551"/>
        <v>0</v>
      </c>
      <c r="EK163" s="117">
        <f t="shared" si="552"/>
        <v>0</v>
      </c>
      <c r="EL163" s="118">
        <f t="shared" si="553"/>
        <v>0</v>
      </c>
      <c r="EM163" s="116">
        <f t="shared" si="554"/>
        <v>0</v>
      </c>
      <c r="EN163" s="117">
        <f t="shared" si="555"/>
        <v>0</v>
      </c>
      <c r="EO163" s="119">
        <f t="shared" si="556"/>
        <v>0</v>
      </c>
      <c r="EP163" s="194">
        <f t="shared" si="557"/>
        <v>0</v>
      </c>
      <c r="EQ163" s="117">
        <f t="shared" si="558"/>
        <v>0</v>
      </c>
      <c r="ER163" s="118">
        <f t="shared" si="559"/>
        <v>0</v>
      </c>
      <c r="ES163" s="116">
        <f t="shared" si="560"/>
        <v>0</v>
      </c>
      <c r="ET163" s="117">
        <f t="shared" si="561"/>
        <v>0</v>
      </c>
      <c r="EU163" s="119">
        <f t="shared" si="562"/>
        <v>0</v>
      </c>
      <c r="EV163" s="194">
        <f t="shared" si="563"/>
        <v>0</v>
      </c>
      <c r="EW163" s="117">
        <f t="shared" si="564"/>
        <v>0</v>
      </c>
      <c r="EX163" s="118">
        <f t="shared" si="565"/>
        <v>0</v>
      </c>
      <c r="EY163" s="116">
        <f t="shared" si="566"/>
        <v>0</v>
      </c>
      <c r="EZ163" s="117">
        <f t="shared" si="567"/>
        <v>0</v>
      </c>
      <c r="FA163" s="119">
        <f t="shared" si="568"/>
        <v>0</v>
      </c>
      <c r="FB163" s="194">
        <f t="shared" si="569"/>
        <v>0</v>
      </c>
      <c r="FC163" s="117">
        <f t="shared" si="570"/>
        <v>0</v>
      </c>
      <c r="FD163" s="118">
        <f t="shared" si="571"/>
        <v>0</v>
      </c>
      <c r="FE163" s="116">
        <f t="shared" si="572"/>
        <v>0</v>
      </c>
      <c r="FF163" s="117">
        <f t="shared" si="573"/>
        <v>0</v>
      </c>
      <c r="FG163" s="119">
        <f t="shared" si="574"/>
        <v>0</v>
      </c>
      <c r="FH163" s="194">
        <f t="shared" si="575"/>
        <v>0</v>
      </c>
      <c r="FI163" s="117">
        <f t="shared" si="576"/>
        <v>0</v>
      </c>
      <c r="FJ163" s="118">
        <f t="shared" si="577"/>
        <v>0</v>
      </c>
      <c r="FK163" s="116">
        <f t="shared" si="578"/>
        <v>0</v>
      </c>
      <c r="FL163" s="117">
        <f t="shared" si="579"/>
        <v>0</v>
      </c>
      <c r="FM163" s="119">
        <f t="shared" si="580"/>
        <v>0</v>
      </c>
      <c r="FN163" s="194">
        <f t="shared" si="581"/>
        <v>0</v>
      </c>
      <c r="FO163" s="117">
        <f t="shared" si="582"/>
        <v>0</v>
      </c>
      <c r="FP163" s="118">
        <f t="shared" si="583"/>
        <v>0</v>
      </c>
      <c r="FQ163" s="116">
        <f t="shared" si="584"/>
        <v>0</v>
      </c>
      <c r="FR163" s="117">
        <f t="shared" si="585"/>
        <v>0</v>
      </c>
      <c r="FS163" s="119">
        <f t="shared" si="627"/>
        <v>0</v>
      </c>
      <c r="FT163" s="194">
        <f t="shared" si="586"/>
        <v>0</v>
      </c>
      <c r="FU163" s="117">
        <f t="shared" si="587"/>
        <v>0</v>
      </c>
      <c r="FV163" s="118">
        <f t="shared" si="588"/>
        <v>0</v>
      </c>
      <c r="FW163" s="116">
        <f t="shared" si="589"/>
        <v>0</v>
      </c>
      <c r="FX163" s="117">
        <f t="shared" si="590"/>
        <v>0</v>
      </c>
      <c r="FY163" s="119">
        <f t="shared" si="591"/>
        <v>0</v>
      </c>
      <c r="FZ163" s="194">
        <f t="shared" si="592"/>
        <v>0</v>
      </c>
      <c r="GA163" s="117">
        <f t="shared" si="593"/>
        <v>0</v>
      </c>
      <c r="GB163" s="118">
        <f t="shared" si="594"/>
        <v>0</v>
      </c>
      <c r="GC163" s="116">
        <f t="shared" si="595"/>
        <v>0</v>
      </c>
      <c r="GD163" s="117">
        <f t="shared" si="596"/>
        <v>0</v>
      </c>
      <c r="GE163" s="119">
        <f t="shared" si="597"/>
        <v>0</v>
      </c>
      <c r="GF163" s="194">
        <f t="shared" si="598"/>
        <v>0</v>
      </c>
      <c r="GG163" s="117">
        <f t="shared" si="599"/>
        <v>0</v>
      </c>
      <c r="GH163" s="118">
        <f t="shared" si="600"/>
        <v>0</v>
      </c>
      <c r="GI163" s="116">
        <f t="shared" si="601"/>
        <v>0</v>
      </c>
      <c r="GJ163" s="117">
        <f t="shared" si="602"/>
        <v>0</v>
      </c>
      <c r="GK163" s="119">
        <f t="shared" si="603"/>
        <v>0</v>
      </c>
      <c r="GL163" s="194">
        <f t="shared" si="604"/>
        <v>0</v>
      </c>
      <c r="GM163" s="194">
        <f t="shared" si="605"/>
        <v>0</v>
      </c>
      <c r="GN163" s="386">
        <f t="shared" si="606"/>
        <v>0</v>
      </c>
      <c r="GO163" s="239">
        <f t="shared" si="607"/>
        <v>0</v>
      </c>
      <c r="GP163" s="43">
        <f t="shared" si="608"/>
        <v>0</v>
      </c>
      <c r="GQ163" s="57">
        <f t="shared" si="609"/>
        <v>0</v>
      </c>
      <c r="GR163" s="194">
        <f t="shared" si="610"/>
        <v>0</v>
      </c>
      <c r="GS163" s="117">
        <f t="shared" si="611"/>
        <v>0</v>
      </c>
      <c r="GT163" s="119">
        <f t="shared" si="612"/>
        <v>0</v>
      </c>
      <c r="GU163" s="194">
        <f t="shared" si="613"/>
        <v>0</v>
      </c>
      <c r="GV163" s="117">
        <f t="shared" si="614"/>
        <v>0</v>
      </c>
      <c r="GW163" s="119">
        <f t="shared" si="615"/>
        <v>0</v>
      </c>
      <c r="GX163" s="194">
        <f t="shared" si="616"/>
        <v>0</v>
      </c>
      <c r="GY163" s="117">
        <f t="shared" si="617"/>
        <v>0</v>
      </c>
      <c r="GZ163" s="119">
        <f t="shared" si="618"/>
        <v>0</v>
      </c>
      <c r="HA163" s="194">
        <f t="shared" si="619"/>
        <v>0</v>
      </c>
      <c r="HB163" s="117">
        <f t="shared" si="620"/>
        <v>0</v>
      </c>
      <c r="HC163" s="119">
        <f t="shared" si="621"/>
        <v>0</v>
      </c>
      <c r="HD163" s="368">
        <f t="shared" si="622"/>
        <v>0</v>
      </c>
      <c r="HE163" s="369">
        <f t="shared" si="623"/>
        <v>0</v>
      </c>
      <c r="HF163" s="369">
        <f t="shared" si="624"/>
        <v>0</v>
      </c>
      <c r="HG163" s="147">
        <f t="shared" si="625"/>
        <v>0</v>
      </c>
    </row>
    <row r="164" spans="1:215" ht="15.75" thickBot="1">
      <c r="A164" s="238">
        <v>14</v>
      </c>
      <c r="B164" s="116">
        <f t="shared" si="414"/>
        <v>0</v>
      </c>
      <c r="C164" s="117">
        <f t="shared" si="415"/>
        <v>0</v>
      </c>
      <c r="D164" s="119">
        <f t="shared" si="416"/>
        <v>0</v>
      </c>
      <c r="E164" s="194">
        <f t="shared" si="417"/>
        <v>0</v>
      </c>
      <c r="F164" s="117">
        <f t="shared" si="418"/>
        <v>0</v>
      </c>
      <c r="G164" s="118">
        <f t="shared" si="419"/>
        <v>0</v>
      </c>
      <c r="H164" s="116">
        <f t="shared" si="420"/>
        <v>0</v>
      </c>
      <c r="I164" s="117">
        <f t="shared" si="421"/>
        <v>0</v>
      </c>
      <c r="J164" s="119">
        <f t="shared" si="422"/>
        <v>0</v>
      </c>
      <c r="K164" s="194">
        <f t="shared" si="423"/>
        <v>0</v>
      </c>
      <c r="L164" s="117">
        <f t="shared" si="424"/>
        <v>0</v>
      </c>
      <c r="M164" s="118">
        <f t="shared" si="425"/>
        <v>0</v>
      </c>
      <c r="N164" s="116">
        <f t="shared" si="426"/>
        <v>0</v>
      </c>
      <c r="O164" s="117">
        <f t="shared" si="427"/>
        <v>0</v>
      </c>
      <c r="P164" s="119">
        <f t="shared" si="428"/>
        <v>0</v>
      </c>
      <c r="Q164" s="194">
        <f t="shared" si="429"/>
        <v>0</v>
      </c>
      <c r="R164" s="117">
        <f t="shared" si="430"/>
        <v>0</v>
      </c>
      <c r="S164" s="118">
        <f t="shared" si="431"/>
        <v>0</v>
      </c>
      <c r="T164" s="116">
        <f t="shared" si="432"/>
        <v>0</v>
      </c>
      <c r="U164" s="117">
        <f t="shared" si="433"/>
        <v>0</v>
      </c>
      <c r="V164" s="119">
        <f t="shared" si="434"/>
        <v>0</v>
      </c>
      <c r="W164" s="194">
        <f t="shared" si="435"/>
        <v>0</v>
      </c>
      <c r="X164" s="117">
        <f t="shared" si="436"/>
        <v>0</v>
      </c>
      <c r="Y164" s="118">
        <f t="shared" si="437"/>
        <v>0</v>
      </c>
      <c r="Z164" s="116">
        <f t="shared" si="438"/>
        <v>0</v>
      </c>
      <c r="AA164" s="117">
        <f t="shared" si="439"/>
        <v>0</v>
      </c>
      <c r="AB164" s="119">
        <f t="shared" si="440"/>
        <v>0</v>
      </c>
      <c r="AC164" s="194">
        <f t="shared" si="441"/>
        <v>0</v>
      </c>
      <c r="AD164" s="117">
        <f t="shared" si="442"/>
        <v>0</v>
      </c>
      <c r="AE164" s="118">
        <f t="shared" si="443"/>
        <v>0</v>
      </c>
      <c r="AF164" s="116">
        <f t="shared" si="444"/>
        <v>0</v>
      </c>
      <c r="AG164" s="117">
        <f t="shared" si="445"/>
        <v>0</v>
      </c>
      <c r="AH164" s="119">
        <f t="shared" si="446"/>
        <v>0</v>
      </c>
      <c r="AI164" s="194">
        <f t="shared" si="447"/>
        <v>0</v>
      </c>
      <c r="AJ164" s="117">
        <f t="shared" si="448"/>
        <v>0</v>
      </c>
      <c r="AK164" s="118">
        <f t="shared" si="449"/>
        <v>0</v>
      </c>
      <c r="AL164" s="116">
        <f t="shared" si="450"/>
        <v>0</v>
      </c>
      <c r="AM164" s="117">
        <f t="shared" si="451"/>
        <v>0</v>
      </c>
      <c r="AN164" s="119">
        <f t="shared" si="452"/>
        <v>0</v>
      </c>
      <c r="AO164" s="194">
        <f t="shared" si="453"/>
        <v>0</v>
      </c>
      <c r="AP164" s="117">
        <f t="shared" si="454"/>
        <v>0</v>
      </c>
      <c r="AQ164" s="118">
        <f t="shared" si="455"/>
        <v>0</v>
      </c>
      <c r="AR164" s="116">
        <f t="shared" si="456"/>
        <v>0</v>
      </c>
      <c r="AS164" s="117">
        <f t="shared" si="457"/>
        <v>0</v>
      </c>
      <c r="AT164" s="119">
        <f t="shared" si="458"/>
        <v>0</v>
      </c>
      <c r="AU164" s="194">
        <f t="shared" si="459"/>
        <v>0</v>
      </c>
      <c r="AV164" s="117">
        <f t="shared" si="460"/>
        <v>0</v>
      </c>
      <c r="AW164" s="118">
        <f t="shared" si="461"/>
        <v>0</v>
      </c>
      <c r="AX164" s="116">
        <f t="shared" si="462"/>
        <v>0</v>
      </c>
      <c r="AY164" s="117">
        <f t="shared" si="463"/>
        <v>0</v>
      </c>
      <c r="AZ164" s="119">
        <f t="shared" si="464"/>
        <v>0</v>
      </c>
      <c r="BA164" s="194">
        <f t="shared" si="465"/>
        <v>0</v>
      </c>
      <c r="BB164" s="117">
        <f t="shared" si="466"/>
        <v>0</v>
      </c>
      <c r="BC164" s="118">
        <f t="shared" si="467"/>
        <v>0</v>
      </c>
      <c r="BD164" s="116">
        <f t="shared" si="468"/>
        <v>0</v>
      </c>
      <c r="BE164" s="117">
        <f t="shared" si="469"/>
        <v>0</v>
      </c>
      <c r="BF164" s="119">
        <f t="shared" si="470"/>
        <v>0</v>
      </c>
      <c r="BG164" s="194">
        <f t="shared" si="471"/>
        <v>0</v>
      </c>
      <c r="BH164" s="117">
        <f t="shared" si="472"/>
        <v>0</v>
      </c>
      <c r="BI164" s="118">
        <f t="shared" si="473"/>
        <v>0</v>
      </c>
      <c r="BJ164" s="116">
        <f t="shared" si="474"/>
        <v>0</v>
      </c>
      <c r="BK164" s="117">
        <f t="shared" si="475"/>
        <v>0</v>
      </c>
      <c r="BL164" s="119">
        <f t="shared" si="476"/>
        <v>0</v>
      </c>
      <c r="BM164" s="194">
        <f t="shared" si="477"/>
        <v>0</v>
      </c>
      <c r="BN164" s="117">
        <f t="shared" si="478"/>
        <v>0</v>
      </c>
      <c r="BO164" s="118">
        <f t="shared" si="479"/>
        <v>0</v>
      </c>
      <c r="BP164" s="116">
        <f t="shared" si="480"/>
        <v>0</v>
      </c>
      <c r="BQ164" s="117">
        <f t="shared" si="481"/>
        <v>0</v>
      </c>
      <c r="BR164" s="119">
        <f t="shared" si="626"/>
        <v>0</v>
      </c>
      <c r="BS164" s="194">
        <f t="shared" si="482"/>
        <v>0</v>
      </c>
      <c r="BT164" s="117">
        <f t="shared" si="483"/>
        <v>0</v>
      </c>
      <c r="BU164" s="118">
        <f t="shared" si="484"/>
        <v>0</v>
      </c>
      <c r="BV164" s="116">
        <f t="shared" si="485"/>
        <v>0</v>
      </c>
      <c r="BW164" s="117">
        <f t="shared" si="486"/>
        <v>0</v>
      </c>
      <c r="BX164" s="119">
        <f t="shared" si="487"/>
        <v>0</v>
      </c>
      <c r="BY164" s="194">
        <f t="shared" si="488"/>
        <v>0</v>
      </c>
      <c r="BZ164" s="117">
        <f t="shared" si="489"/>
        <v>0</v>
      </c>
      <c r="CA164" s="118">
        <f t="shared" si="490"/>
        <v>0</v>
      </c>
      <c r="CB164" s="116">
        <f t="shared" si="491"/>
        <v>0</v>
      </c>
      <c r="CC164" s="117">
        <f t="shared" si="492"/>
        <v>0</v>
      </c>
      <c r="CD164" s="119">
        <f t="shared" si="493"/>
        <v>0</v>
      </c>
      <c r="CE164" s="194">
        <f t="shared" si="494"/>
        <v>0</v>
      </c>
      <c r="CF164" s="117">
        <f t="shared" si="495"/>
        <v>0</v>
      </c>
      <c r="CG164" s="118">
        <f t="shared" si="496"/>
        <v>0</v>
      </c>
      <c r="CH164" s="116">
        <f t="shared" si="497"/>
        <v>0</v>
      </c>
      <c r="CI164" s="117">
        <f t="shared" si="498"/>
        <v>0</v>
      </c>
      <c r="CJ164" s="119">
        <f t="shared" si="499"/>
        <v>0</v>
      </c>
      <c r="CK164" s="194">
        <f t="shared" si="500"/>
        <v>0</v>
      </c>
      <c r="CL164" s="194">
        <f t="shared" si="501"/>
        <v>0</v>
      </c>
      <c r="CM164" s="386">
        <f t="shared" si="502"/>
        <v>0</v>
      </c>
      <c r="CN164" s="239">
        <f t="shared" si="503"/>
        <v>0</v>
      </c>
      <c r="CO164" s="43">
        <f t="shared" si="504"/>
        <v>0</v>
      </c>
      <c r="CP164" s="57">
        <f t="shared" si="505"/>
        <v>0</v>
      </c>
      <c r="CQ164" s="194">
        <f t="shared" si="506"/>
        <v>0</v>
      </c>
      <c r="CR164" s="117">
        <f t="shared" si="507"/>
        <v>0</v>
      </c>
      <c r="CS164" s="119">
        <f t="shared" si="508"/>
        <v>0</v>
      </c>
      <c r="CT164" s="194">
        <f t="shared" si="509"/>
        <v>0</v>
      </c>
      <c r="CU164" s="117">
        <f t="shared" si="510"/>
        <v>0</v>
      </c>
      <c r="CV164" s="119">
        <f t="shared" si="511"/>
        <v>0</v>
      </c>
      <c r="CW164" s="194">
        <f t="shared" si="512"/>
        <v>0</v>
      </c>
      <c r="CX164" s="117">
        <f t="shared" si="513"/>
        <v>0</v>
      </c>
      <c r="CY164" s="119">
        <f t="shared" si="514"/>
        <v>0</v>
      </c>
      <c r="CZ164" s="194">
        <f t="shared" si="515"/>
        <v>0</v>
      </c>
      <c r="DA164" s="117">
        <f t="shared" si="516"/>
        <v>0</v>
      </c>
      <c r="DB164" s="119">
        <f t="shared" si="517"/>
        <v>0</v>
      </c>
      <c r="DC164" s="116">
        <f t="shared" si="518"/>
        <v>0</v>
      </c>
      <c r="DD164" s="117">
        <f t="shared" si="519"/>
        <v>0</v>
      </c>
      <c r="DE164" s="119">
        <f t="shared" si="520"/>
        <v>0</v>
      </c>
      <c r="DF164" s="194">
        <f t="shared" si="521"/>
        <v>0</v>
      </c>
      <c r="DG164" s="117">
        <f t="shared" si="522"/>
        <v>0</v>
      </c>
      <c r="DH164" s="118">
        <f t="shared" si="523"/>
        <v>0</v>
      </c>
      <c r="DI164" s="116">
        <f t="shared" si="524"/>
        <v>0</v>
      </c>
      <c r="DJ164" s="117">
        <f t="shared" si="525"/>
        <v>0</v>
      </c>
      <c r="DK164" s="119">
        <f t="shared" si="526"/>
        <v>0</v>
      </c>
      <c r="DL164" s="194">
        <f t="shared" si="527"/>
        <v>0</v>
      </c>
      <c r="DM164" s="117">
        <f t="shared" si="528"/>
        <v>0</v>
      </c>
      <c r="DN164" s="118">
        <f t="shared" si="529"/>
        <v>0</v>
      </c>
      <c r="DO164" s="116">
        <f t="shared" si="530"/>
        <v>0</v>
      </c>
      <c r="DP164" s="117">
        <f t="shared" si="531"/>
        <v>0</v>
      </c>
      <c r="DQ164" s="119">
        <f t="shared" si="532"/>
        <v>0</v>
      </c>
      <c r="DR164" s="194">
        <f t="shared" si="533"/>
        <v>0</v>
      </c>
      <c r="DS164" s="117">
        <f t="shared" si="534"/>
        <v>0</v>
      </c>
      <c r="DT164" s="118">
        <f t="shared" si="535"/>
        <v>0</v>
      </c>
      <c r="DU164" s="116">
        <f t="shared" si="536"/>
        <v>0</v>
      </c>
      <c r="DV164" s="117">
        <f t="shared" si="537"/>
        <v>0</v>
      </c>
      <c r="DW164" s="119">
        <f t="shared" si="538"/>
        <v>0</v>
      </c>
      <c r="DX164" s="194">
        <f t="shared" si="539"/>
        <v>0</v>
      </c>
      <c r="DY164" s="117">
        <f t="shared" si="540"/>
        <v>0</v>
      </c>
      <c r="DZ164" s="118">
        <f t="shared" si="541"/>
        <v>0</v>
      </c>
      <c r="EA164" s="116">
        <f t="shared" si="542"/>
        <v>0</v>
      </c>
      <c r="EB164" s="117">
        <f t="shared" si="543"/>
        <v>0</v>
      </c>
      <c r="EC164" s="119">
        <f t="shared" si="544"/>
        <v>0</v>
      </c>
      <c r="ED164" s="194">
        <f t="shared" si="545"/>
        <v>0</v>
      </c>
      <c r="EE164" s="117">
        <f t="shared" si="546"/>
        <v>0</v>
      </c>
      <c r="EF164" s="118">
        <f t="shared" si="547"/>
        <v>0</v>
      </c>
      <c r="EG164" s="116">
        <f t="shared" si="548"/>
        <v>0</v>
      </c>
      <c r="EH164" s="117">
        <f t="shared" si="549"/>
        <v>0</v>
      </c>
      <c r="EI164" s="119">
        <f t="shared" si="550"/>
        <v>0</v>
      </c>
      <c r="EJ164" s="194">
        <f t="shared" si="551"/>
        <v>0</v>
      </c>
      <c r="EK164" s="117">
        <f t="shared" si="552"/>
        <v>0</v>
      </c>
      <c r="EL164" s="118">
        <f t="shared" si="553"/>
        <v>0</v>
      </c>
      <c r="EM164" s="116">
        <f t="shared" si="554"/>
        <v>0</v>
      </c>
      <c r="EN164" s="117">
        <f t="shared" si="555"/>
        <v>0</v>
      </c>
      <c r="EO164" s="119">
        <f t="shared" si="556"/>
        <v>0</v>
      </c>
      <c r="EP164" s="194">
        <f t="shared" si="557"/>
        <v>0</v>
      </c>
      <c r="EQ164" s="117">
        <f t="shared" si="558"/>
        <v>0</v>
      </c>
      <c r="ER164" s="118">
        <f t="shared" si="559"/>
        <v>0</v>
      </c>
      <c r="ES164" s="116">
        <f t="shared" si="560"/>
        <v>0</v>
      </c>
      <c r="ET164" s="117">
        <f t="shared" si="561"/>
        <v>0</v>
      </c>
      <c r="EU164" s="119">
        <f t="shared" si="562"/>
        <v>0</v>
      </c>
      <c r="EV164" s="194">
        <f t="shared" si="563"/>
        <v>0</v>
      </c>
      <c r="EW164" s="117">
        <f t="shared" si="564"/>
        <v>0</v>
      </c>
      <c r="EX164" s="118">
        <f t="shared" si="565"/>
        <v>0</v>
      </c>
      <c r="EY164" s="116">
        <f t="shared" si="566"/>
        <v>0</v>
      </c>
      <c r="EZ164" s="117">
        <f t="shared" si="567"/>
        <v>0</v>
      </c>
      <c r="FA164" s="119">
        <f t="shared" si="568"/>
        <v>0</v>
      </c>
      <c r="FB164" s="194">
        <f t="shared" si="569"/>
        <v>0</v>
      </c>
      <c r="FC164" s="117">
        <f t="shared" si="570"/>
        <v>0</v>
      </c>
      <c r="FD164" s="118">
        <f t="shared" si="571"/>
        <v>0</v>
      </c>
      <c r="FE164" s="116">
        <f t="shared" si="572"/>
        <v>0</v>
      </c>
      <c r="FF164" s="117">
        <f t="shared" si="573"/>
        <v>0</v>
      </c>
      <c r="FG164" s="119">
        <f t="shared" si="574"/>
        <v>0</v>
      </c>
      <c r="FH164" s="194">
        <f t="shared" si="575"/>
        <v>0</v>
      </c>
      <c r="FI164" s="117">
        <f t="shared" si="576"/>
        <v>0</v>
      </c>
      <c r="FJ164" s="118">
        <f t="shared" si="577"/>
        <v>0</v>
      </c>
      <c r="FK164" s="116">
        <f t="shared" si="578"/>
        <v>0</v>
      </c>
      <c r="FL164" s="117">
        <f t="shared" si="579"/>
        <v>0</v>
      </c>
      <c r="FM164" s="119">
        <f t="shared" si="580"/>
        <v>0</v>
      </c>
      <c r="FN164" s="194">
        <f t="shared" si="581"/>
        <v>0</v>
      </c>
      <c r="FO164" s="117">
        <f t="shared" si="582"/>
        <v>0</v>
      </c>
      <c r="FP164" s="118">
        <f t="shared" si="583"/>
        <v>0</v>
      </c>
      <c r="FQ164" s="116">
        <f t="shared" si="584"/>
        <v>0</v>
      </c>
      <c r="FR164" s="117">
        <f t="shared" si="585"/>
        <v>0</v>
      </c>
      <c r="FS164" s="119">
        <f t="shared" si="627"/>
        <v>0</v>
      </c>
      <c r="FT164" s="194">
        <f t="shared" si="586"/>
        <v>0</v>
      </c>
      <c r="FU164" s="117">
        <f t="shared" si="587"/>
        <v>0</v>
      </c>
      <c r="FV164" s="118">
        <f t="shared" si="588"/>
        <v>0</v>
      </c>
      <c r="FW164" s="116">
        <f t="shared" si="589"/>
        <v>0</v>
      </c>
      <c r="FX164" s="117">
        <f t="shared" si="590"/>
        <v>0</v>
      </c>
      <c r="FY164" s="119">
        <f t="shared" si="591"/>
        <v>0</v>
      </c>
      <c r="FZ164" s="194">
        <f t="shared" si="592"/>
        <v>0</v>
      </c>
      <c r="GA164" s="117">
        <f t="shared" si="593"/>
        <v>0</v>
      </c>
      <c r="GB164" s="118">
        <f t="shared" si="594"/>
        <v>0</v>
      </c>
      <c r="GC164" s="116">
        <f t="shared" si="595"/>
        <v>0</v>
      </c>
      <c r="GD164" s="117">
        <f t="shared" si="596"/>
        <v>0</v>
      </c>
      <c r="GE164" s="119">
        <f t="shared" si="597"/>
        <v>0</v>
      </c>
      <c r="GF164" s="194">
        <f t="shared" si="598"/>
        <v>0</v>
      </c>
      <c r="GG164" s="117">
        <f t="shared" si="599"/>
        <v>0</v>
      </c>
      <c r="GH164" s="118">
        <f t="shared" si="600"/>
        <v>0</v>
      </c>
      <c r="GI164" s="116">
        <f t="shared" si="601"/>
        <v>0</v>
      </c>
      <c r="GJ164" s="117">
        <f t="shared" si="602"/>
        <v>0</v>
      </c>
      <c r="GK164" s="119">
        <f t="shared" si="603"/>
        <v>0</v>
      </c>
      <c r="GL164" s="194">
        <f t="shared" si="604"/>
        <v>0</v>
      </c>
      <c r="GM164" s="194">
        <f t="shared" si="605"/>
        <v>0</v>
      </c>
      <c r="GN164" s="386">
        <f t="shared" si="606"/>
        <v>0</v>
      </c>
      <c r="GO164" s="239">
        <f t="shared" si="607"/>
        <v>0</v>
      </c>
      <c r="GP164" s="43">
        <f t="shared" si="608"/>
        <v>0</v>
      </c>
      <c r="GQ164" s="57">
        <f t="shared" si="609"/>
        <v>0</v>
      </c>
      <c r="GR164" s="194">
        <f t="shared" si="610"/>
        <v>0</v>
      </c>
      <c r="GS164" s="117">
        <f t="shared" si="611"/>
        <v>0</v>
      </c>
      <c r="GT164" s="119">
        <f t="shared" si="612"/>
        <v>0</v>
      </c>
      <c r="GU164" s="194">
        <f t="shared" si="613"/>
        <v>0</v>
      </c>
      <c r="GV164" s="117">
        <f t="shared" si="614"/>
        <v>0</v>
      </c>
      <c r="GW164" s="119">
        <f t="shared" si="615"/>
        <v>0</v>
      </c>
      <c r="GX164" s="194">
        <f t="shared" si="616"/>
        <v>0</v>
      </c>
      <c r="GY164" s="117">
        <f t="shared" si="617"/>
        <v>0</v>
      </c>
      <c r="GZ164" s="119">
        <f t="shared" si="618"/>
        <v>0</v>
      </c>
      <c r="HA164" s="194">
        <f t="shared" si="619"/>
        <v>0</v>
      </c>
      <c r="HB164" s="117">
        <f t="shared" si="620"/>
        <v>0</v>
      </c>
      <c r="HC164" s="119">
        <f t="shared" si="621"/>
        <v>0</v>
      </c>
      <c r="HD164" s="368">
        <f t="shared" si="622"/>
        <v>0</v>
      </c>
      <c r="HE164" s="369">
        <f t="shared" si="623"/>
        <v>0</v>
      </c>
      <c r="HF164" s="369">
        <f t="shared" si="624"/>
        <v>0</v>
      </c>
      <c r="HG164" s="147">
        <f t="shared" si="625"/>
        <v>0</v>
      </c>
    </row>
    <row r="165" spans="1:215" ht="15.75" thickBot="1">
      <c r="A165" s="238">
        <v>15</v>
      </c>
      <c r="B165" s="116">
        <f t="shared" si="414"/>
        <v>0</v>
      </c>
      <c r="C165" s="117">
        <f t="shared" si="415"/>
        <v>0</v>
      </c>
      <c r="D165" s="119">
        <f t="shared" si="416"/>
        <v>0</v>
      </c>
      <c r="E165" s="194">
        <f t="shared" si="417"/>
        <v>0</v>
      </c>
      <c r="F165" s="117">
        <f t="shared" si="418"/>
        <v>0</v>
      </c>
      <c r="G165" s="118">
        <f t="shared" si="419"/>
        <v>0</v>
      </c>
      <c r="H165" s="116">
        <f t="shared" si="420"/>
        <v>0</v>
      </c>
      <c r="I165" s="117">
        <f t="shared" si="421"/>
        <v>0</v>
      </c>
      <c r="J165" s="119">
        <f t="shared" si="422"/>
        <v>0</v>
      </c>
      <c r="K165" s="194">
        <f t="shared" si="423"/>
        <v>0</v>
      </c>
      <c r="L165" s="117">
        <f t="shared" si="424"/>
        <v>0</v>
      </c>
      <c r="M165" s="118">
        <f t="shared" si="425"/>
        <v>0</v>
      </c>
      <c r="N165" s="116">
        <f t="shared" si="426"/>
        <v>0</v>
      </c>
      <c r="O165" s="117">
        <f t="shared" si="427"/>
        <v>0</v>
      </c>
      <c r="P165" s="119">
        <f t="shared" si="428"/>
        <v>0</v>
      </c>
      <c r="Q165" s="194">
        <f t="shared" si="429"/>
        <v>0</v>
      </c>
      <c r="R165" s="117">
        <f t="shared" si="430"/>
        <v>0</v>
      </c>
      <c r="S165" s="118">
        <f t="shared" si="431"/>
        <v>0</v>
      </c>
      <c r="T165" s="116">
        <f t="shared" si="432"/>
        <v>0</v>
      </c>
      <c r="U165" s="117">
        <f t="shared" si="433"/>
        <v>0</v>
      </c>
      <c r="V165" s="119">
        <f t="shared" si="434"/>
        <v>0</v>
      </c>
      <c r="W165" s="194">
        <f t="shared" si="435"/>
        <v>0</v>
      </c>
      <c r="X165" s="117">
        <f t="shared" si="436"/>
        <v>0</v>
      </c>
      <c r="Y165" s="118">
        <f t="shared" si="437"/>
        <v>0</v>
      </c>
      <c r="Z165" s="116">
        <f t="shared" si="438"/>
        <v>0</v>
      </c>
      <c r="AA165" s="117">
        <f t="shared" si="439"/>
        <v>0</v>
      </c>
      <c r="AB165" s="119">
        <f t="shared" si="440"/>
        <v>0</v>
      </c>
      <c r="AC165" s="194">
        <f t="shared" si="441"/>
        <v>0</v>
      </c>
      <c r="AD165" s="117">
        <f t="shared" si="442"/>
        <v>0</v>
      </c>
      <c r="AE165" s="118">
        <f t="shared" si="443"/>
        <v>0</v>
      </c>
      <c r="AF165" s="116">
        <f t="shared" si="444"/>
        <v>0</v>
      </c>
      <c r="AG165" s="117">
        <f t="shared" si="445"/>
        <v>0</v>
      </c>
      <c r="AH165" s="119">
        <f t="shared" si="446"/>
        <v>0</v>
      </c>
      <c r="AI165" s="194">
        <f t="shared" si="447"/>
        <v>0</v>
      </c>
      <c r="AJ165" s="117">
        <f t="shared" si="448"/>
        <v>0</v>
      </c>
      <c r="AK165" s="118">
        <f t="shared" si="449"/>
        <v>0</v>
      </c>
      <c r="AL165" s="116">
        <f t="shared" si="450"/>
        <v>0</v>
      </c>
      <c r="AM165" s="117">
        <f t="shared" si="451"/>
        <v>0</v>
      </c>
      <c r="AN165" s="119">
        <f t="shared" si="452"/>
        <v>0</v>
      </c>
      <c r="AO165" s="194">
        <f t="shared" si="453"/>
        <v>0</v>
      </c>
      <c r="AP165" s="117">
        <f t="shared" si="454"/>
        <v>0</v>
      </c>
      <c r="AQ165" s="118">
        <f t="shared" si="455"/>
        <v>0</v>
      </c>
      <c r="AR165" s="116">
        <f t="shared" si="456"/>
        <v>0</v>
      </c>
      <c r="AS165" s="117">
        <f t="shared" si="457"/>
        <v>0</v>
      </c>
      <c r="AT165" s="119">
        <f t="shared" si="458"/>
        <v>0</v>
      </c>
      <c r="AU165" s="194">
        <f t="shared" si="459"/>
        <v>0</v>
      </c>
      <c r="AV165" s="117">
        <f t="shared" si="460"/>
        <v>0</v>
      </c>
      <c r="AW165" s="118">
        <f t="shared" si="461"/>
        <v>0</v>
      </c>
      <c r="AX165" s="116">
        <f t="shared" si="462"/>
        <v>0</v>
      </c>
      <c r="AY165" s="117">
        <f t="shared" si="463"/>
        <v>0</v>
      </c>
      <c r="AZ165" s="119">
        <f t="shared" si="464"/>
        <v>0</v>
      </c>
      <c r="BA165" s="194">
        <f t="shared" si="465"/>
        <v>0</v>
      </c>
      <c r="BB165" s="117">
        <f t="shared" si="466"/>
        <v>0</v>
      </c>
      <c r="BC165" s="118">
        <f t="shared" si="467"/>
        <v>0</v>
      </c>
      <c r="BD165" s="116">
        <f t="shared" si="468"/>
        <v>0</v>
      </c>
      <c r="BE165" s="117">
        <f t="shared" si="469"/>
        <v>0</v>
      </c>
      <c r="BF165" s="119">
        <f t="shared" si="470"/>
        <v>0</v>
      </c>
      <c r="BG165" s="194">
        <f t="shared" si="471"/>
        <v>0</v>
      </c>
      <c r="BH165" s="117">
        <f t="shared" si="472"/>
        <v>0</v>
      </c>
      <c r="BI165" s="118">
        <f t="shared" si="473"/>
        <v>0</v>
      </c>
      <c r="BJ165" s="116">
        <f t="shared" si="474"/>
        <v>0</v>
      </c>
      <c r="BK165" s="117">
        <f t="shared" si="475"/>
        <v>0</v>
      </c>
      <c r="BL165" s="119">
        <f t="shared" si="476"/>
        <v>0</v>
      </c>
      <c r="BM165" s="194">
        <f t="shared" si="477"/>
        <v>0</v>
      </c>
      <c r="BN165" s="117">
        <f t="shared" si="478"/>
        <v>0</v>
      </c>
      <c r="BO165" s="118">
        <f t="shared" si="479"/>
        <v>0</v>
      </c>
      <c r="BP165" s="116">
        <f t="shared" si="480"/>
        <v>0</v>
      </c>
      <c r="BQ165" s="117">
        <f t="shared" si="481"/>
        <v>0</v>
      </c>
      <c r="BR165" s="119">
        <f t="shared" si="626"/>
        <v>0</v>
      </c>
      <c r="BS165" s="194">
        <f t="shared" si="482"/>
        <v>0</v>
      </c>
      <c r="BT165" s="117">
        <f t="shared" si="483"/>
        <v>0</v>
      </c>
      <c r="BU165" s="118">
        <f t="shared" si="484"/>
        <v>0</v>
      </c>
      <c r="BV165" s="116">
        <f t="shared" si="485"/>
        <v>0</v>
      </c>
      <c r="BW165" s="117">
        <f t="shared" si="486"/>
        <v>0</v>
      </c>
      <c r="BX165" s="119">
        <f t="shared" si="487"/>
        <v>0</v>
      </c>
      <c r="BY165" s="194">
        <f t="shared" si="488"/>
        <v>0</v>
      </c>
      <c r="BZ165" s="117">
        <f t="shared" si="489"/>
        <v>0</v>
      </c>
      <c r="CA165" s="118">
        <f t="shared" si="490"/>
        <v>0</v>
      </c>
      <c r="CB165" s="116">
        <f t="shared" si="491"/>
        <v>0</v>
      </c>
      <c r="CC165" s="117">
        <f t="shared" si="492"/>
        <v>0</v>
      </c>
      <c r="CD165" s="119">
        <f t="shared" si="493"/>
        <v>0</v>
      </c>
      <c r="CE165" s="194">
        <f t="shared" si="494"/>
        <v>0</v>
      </c>
      <c r="CF165" s="117">
        <f t="shared" si="495"/>
        <v>0</v>
      </c>
      <c r="CG165" s="118">
        <f t="shared" si="496"/>
        <v>0</v>
      </c>
      <c r="CH165" s="116">
        <f t="shared" si="497"/>
        <v>0</v>
      </c>
      <c r="CI165" s="117">
        <f t="shared" si="498"/>
        <v>0</v>
      </c>
      <c r="CJ165" s="119">
        <f t="shared" si="499"/>
        <v>0</v>
      </c>
      <c r="CK165" s="194">
        <f t="shared" si="500"/>
        <v>0</v>
      </c>
      <c r="CL165" s="194">
        <f t="shared" si="501"/>
        <v>0</v>
      </c>
      <c r="CM165" s="386">
        <f t="shared" si="502"/>
        <v>0</v>
      </c>
      <c r="CN165" s="239">
        <f t="shared" si="503"/>
        <v>0</v>
      </c>
      <c r="CO165" s="43">
        <f t="shared" si="504"/>
        <v>0</v>
      </c>
      <c r="CP165" s="57">
        <f t="shared" si="505"/>
        <v>0</v>
      </c>
      <c r="CQ165" s="194">
        <f t="shared" si="506"/>
        <v>0</v>
      </c>
      <c r="CR165" s="117">
        <f t="shared" si="507"/>
        <v>0</v>
      </c>
      <c r="CS165" s="119">
        <f t="shared" si="508"/>
        <v>0</v>
      </c>
      <c r="CT165" s="194">
        <f t="shared" si="509"/>
        <v>0</v>
      </c>
      <c r="CU165" s="117">
        <f t="shared" si="510"/>
        <v>0</v>
      </c>
      <c r="CV165" s="119">
        <f t="shared" si="511"/>
        <v>0</v>
      </c>
      <c r="CW165" s="194">
        <f t="shared" si="512"/>
        <v>0</v>
      </c>
      <c r="CX165" s="117">
        <f t="shared" si="513"/>
        <v>0</v>
      </c>
      <c r="CY165" s="119">
        <f t="shared" si="514"/>
        <v>0</v>
      </c>
      <c r="CZ165" s="194">
        <f t="shared" si="515"/>
        <v>0</v>
      </c>
      <c r="DA165" s="117">
        <f t="shared" si="516"/>
        <v>0</v>
      </c>
      <c r="DB165" s="119">
        <f t="shared" si="517"/>
        <v>0</v>
      </c>
      <c r="DC165" s="116">
        <f t="shared" si="518"/>
        <v>0</v>
      </c>
      <c r="DD165" s="117">
        <f t="shared" si="519"/>
        <v>0</v>
      </c>
      <c r="DE165" s="119">
        <f t="shared" si="520"/>
        <v>0</v>
      </c>
      <c r="DF165" s="194">
        <f t="shared" si="521"/>
        <v>0</v>
      </c>
      <c r="DG165" s="117">
        <f t="shared" si="522"/>
        <v>0</v>
      </c>
      <c r="DH165" s="118">
        <f t="shared" si="523"/>
        <v>0</v>
      </c>
      <c r="DI165" s="116">
        <f t="shared" si="524"/>
        <v>0</v>
      </c>
      <c r="DJ165" s="117">
        <f t="shared" si="525"/>
        <v>0</v>
      </c>
      <c r="DK165" s="119">
        <f t="shared" si="526"/>
        <v>0</v>
      </c>
      <c r="DL165" s="194">
        <f t="shared" si="527"/>
        <v>0</v>
      </c>
      <c r="DM165" s="117">
        <f t="shared" si="528"/>
        <v>0</v>
      </c>
      <c r="DN165" s="118">
        <f t="shared" si="529"/>
        <v>0</v>
      </c>
      <c r="DO165" s="116">
        <f t="shared" si="530"/>
        <v>0</v>
      </c>
      <c r="DP165" s="117">
        <f t="shared" si="531"/>
        <v>0</v>
      </c>
      <c r="DQ165" s="119">
        <f t="shared" si="532"/>
        <v>0</v>
      </c>
      <c r="DR165" s="194">
        <f t="shared" si="533"/>
        <v>0</v>
      </c>
      <c r="DS165" s="117">
        <f t="shared" si="534"/>
        <v>0</v>
      </c>
      <c r="DT165" s="118">
        <f t="shared" si="535"/>
        <v>0</v>
      </c>
      <c r="DU165" s="116">
        <f t="shared" si="536"/>
        <v>0</v>
      </c>
      <c r="DV165" s="117">
        <f t="shared" si="537"/>
        <v>0</v>
      </c>
      <c r="DW165" s="119">
        <f t="shared" si="538"/>
        <v>0</v>
      </c>
      <c r="DX165" s="194">
        <f t="shared" si="539"/>
        <v>0</v>
      </c>
      <c r="DY165" s="117">
        <f t="shared" si="540"/>
        <v>0</v>
      </c>
      <c r="DZ165" s="118">
        <f t="shared" si="541"/>
        <v>0</v>
      </c>
      <c r="EA165" s="116">
        <f t="shared" si="542"/>
        <v>0</v>
      </c>
      <c r="EB165" s="117">
        <f t="shared" si="543"/>
        <v>0</v>
      </c>
      <c r="EC165" s="119">
        <f t="shared" si="544"/>
        <v>0</v>
      </c>
      <c r="ED165" s="194">
        <f t="shared" si="545"/>
        <v>0</v>
      </c>
      <c r="EE165" s="117">
        <f t="shared" si="546"/>
        <v>0</v>
      </c>
      <c r="EF165" s="118">
        <f t="shared" si="547"/>
        <v>0</v>
      </c>
      <c r="EG165" s="116">
        <f t="shared" si="548"/>
        <v>0</v>
      </c>
      <c r="EH165" s="117">
        <f t="shared" si="549"/>
        <v>0</v>
      </c>
      <c r="EI165" s="119">
        <f t="shared" si="550"/>
        <v>0</v>
      </c>
      <c r="EJ165" s="194">
        <f t="shared" si="551"/>
        <v>0</v>
      </c>
      <c r="EK165" s="117">
        <f t="shared" si="552"/>
        <v>0</v>
      </c>
      <c r="EL165" s="118">
        <f t="shared" si="553"/>
        <v>0</v>
      </c>
      <c r="EM165" s="116">
        <f t="shared" si="554"/>
        <v>0</v>
      </c>
      <c r="EN165" s="117">
        <f t="shared" si="555"/>
        <v>0</v>
      </c>
      <c r="EO165" s="119">
        <f t="shared" si="556"/>
        <v>0</v>
      </c>
      <c r="EP165" s="194">
        <f t="shared" si="557"/>
        <v>0</v>
      </c>
      <c r="EQ165" s="117">
        <f t="shared" si="558"/>
        <v>0</v>
      </c>
      <c r="ER165" s="118">
        <f t="shared" si="559"/>
        <v>0</v>
      </c>
      <c r="ES165" s="116">
        <f t="shared" si="560"/>
        <v>0</v>
      </c>
      <c r="ET165" s="117">
        <f t="shared" si="561"/>
        <v>0</v>
      </c>
      <c r="EU165" s="119">
        <f t="shared" si="562"/>
        <v>0</v>
      </c>
      <c r="EV165" s="194">
        <f t="shared" si="563"/>
        <v>0</v>
      </c>
      <c r="EW165" s="117">
        <f t="shared" si="564"/>
        <v>0</v>
      </c>
      <c r="EX165" s="118">
        <f t="shared" si="565"/>
        <v>0</v>
      </c>
      <c r="EY165" s="116">
        <f t="shared" si="566"/>
        <v>0</v>
      </c>
      <c r="EZ165" s="117">
        <f t="shared" si="567"/>
        <v>0</v>
      </c>
      <c r="FA165" s="119">
        <f t="shared" si="568"/>
        <v>0</v>
      </c>
      <c r="FB165" s="194">
        <f t="shared" si="569"/>
        <v>0</v>
      </c>
      <c r="FC165" s="117">
        <f t="shared" si="570"/>
        <v>0</v>
      </c>
      <c r="FD165" s="118">
        <f t="shared" si="571"/>
        <v>0</v>
      </c>
      <c r="FE165" s="116">
        <f t="shared" si="572"/>
        <v>0</v>
      </c>
      <c r="FF165" s="117">
        <f t="shared" si="573"/>
        <v>0</v>
      </c>
      <c r="FG165" s="119">
        <f t="shared" si="574"/>
        <v>0</v>
      </c>
      <c r="FH165" s="194">
        <f t="shared" si="575"/>
        <v>0</v>
      </c>
      <c r="FI165" s="117">
        <f t="shared" si="576"/>
        <v>0</v>
      </c>
      <c r="FJ165" s="118">
        <f t="shared" si="577"/>
        <v>0</v>
      </c>
      <c r="FK165" s="116">
        <f t="shared" si="578"/>
        <v>0</v>
      </c>
      <c r="FL165" s="117">
        <f t="shared" si="579"/>
        <v>0</v>
      </c>
      <c r="FM165" s="119">
        <f t="shared" si="580"/>
        <v>0</v>
      </c>
      <c r="FN165" s="194">
        <f t="shared" si="581"/>
        <v>0</v>
      </c>
      <c r="FO165" s="117">
        <f t="shared" si="582"/>
        <v>0</v>
      </c>
      <c r="FP165" s="118">
        <f t="shared" si="583"/>
        <v>0</v>
      </c>
      <c r="FQ165" s="116">
        <f t="shared" si="584"/>
        <v>0</v>
      </c>
      <c r="FR165" s="117">
        <f t="shared" si="585"/>
        <v>0</v>
      </c>
      <c r="FS165" s="119">
        <f t="shared" si="627"/>
        <v>0</v>
      </c>
      <c r="FT165" s="194">
        <f t="shared" si="586"/>
        <v>0</v>
      </c>
      <c r="FU165" s="117">
        <f t="shared" si="587"/>
        <v>0</v>
      </c>
      <c r="FV165" s="118">
        <f t="shared" si="588"/>
        <v>0</v>
      </c>
      <c r="FW165" s="116">
        <f t="shared" si="589"/>
        <v>0</v>
      </c>
      <c r="FX165" s="117">
        <f t="shared" si="590"/>
        <v>0</v>
      </c>
      <c r="FY165" s="119">
        <f t="shared" si="591"/>
        <v>0</v>
      </c>
      <c r="FZ165" s="194">
        <f t="shared" si="592"/>
        <v>0</v>
      </c>
      <c r="GA165" s="117">
        <f t="shared" si="593"/>
        <v>0</v>
      </c>
      <c r="GB165" s="118">
        <f t="shared" si="594"/>
        <v>0</v>
      </c>
      <c r="GC165" s="116">
        <f t="shared" si="595"/>
        <v>0</v>
      </c>
      <c r="GD165" s="117">
        <f t="shared" si="596"/>
        <v>0</v>
      </c>
      <c r="GE165" s="119">
        <f t="shared" si="597"/>
        <v>0</v>
      </c>
      <c r="GF165" s="194">
        <f t="shared" si="598"/>
        <v>0</v>
      </c>
      <c r="GG165" s="117">
        <f t="shared" si="599"/>
        <v>0</v>
      </c>
      <c r="GH165" s="118">
        <f t="shared" si="600"/>
        <v>0</v>
      </c>
      <c r="GI165" s="116">
        <f t="shared" si="601"/>
        <v>0</v>
      </c>
      <c r="GJ165" s="117">
        <f t="shared" si="602"/>
        <v>0</v>
      </c>
      <c r="GK165" s="119">
        <f t="shared" si="603"/>
        <v>0</v>
      </c>
      <c r="GL165" s="194">
        <f t="shared" si="604"/>
        <v>0</v>
      </c>
      <c r="GM165" s="194">
        <f t="shared" si="605"/>
        <v>0</v>
      </c>
      <c r="GN165" s="386">
        <f t="shared" si="606"/>
        <v>0</v>
      </c>
      <c r="GO165" s="239">
        <f t="shared" si="607"/>
        <v>0</v>
      </c>
      <c r="GP165" s="43">
        <f t="shared" si="608"/>
        <v>0</v>
      </c>
      <c r="GQ165" s="57">
        <f t="shared" si="609"/>
        <v>0</v>
      </c>
      <c r="GR165" s="194">
        <f t="shared" si="610"/>
        <v>0</v>
      </c>
      <c r="GS165" s="117">
        <f t="shared" si="611"/>
        <v>0</v>
      </c>
      <c r="GT165" s="119">
        <f t="shared" si="612"/>
        <v>0</v>
      </c>
      <c r="GU165" s="194">
        <f t="shared" si="613"/>
        <v>0</v>
      </c>
      <c r="GV165" s="117">
        <f t="shared" si="614"/>
        <v>0</v>
      </c>
      <c r="GW165" s="119">
        <f t="shared" si="615"/>
        <v>0</v>
      </c>
      <c r="GX165" s="194">
        <f t="shared" si="616"/>
        <v>0</v>
      </c>
      <c r="GY165" s="117">
        <f t="shared" si="617"/>
        <v>0</v>
      </c>
      <c r="GZ165" s="119">
        <f t="shared" si="618"/>
        <v>0</v>
      </c>
      <c r="HA165" s="194">
        <f t="shared" si="619"/>
        <v>0</v>
      </c>
      <c r="HB165" s="117">
        <f t="shared" si="620"/>
        <v>0</v>
      </c>
      <c r="HC165" s="119">
        <f t="shared" si="621"/>
        <v>0</v>
      </c>
      <c r="HD165" s="368">
        <f t="shared" si="622"/>
        <v>0</v>
      </c>
      <c r="HE165" s="369">
        <f t="shared" si="623"/>
        <v>0</v>
      </c>
      <c r="HF165" s="369">
        <f t="shared" si="624"/>
        <v>0</v>
      </c>
      <c r="HG165" s="147">
        <f t="shared" si="625"/>
        <v>0</v>
      </c>
    </row>
    <row r="166" spans="1:215" ht="15.75" thickBot="1">
      <c r="A166" s="353">
        <v>16</v>
      </c>
      <c r="B166" s="116">
        <f t="shared" si="414"/>
        <v>0</v>
      </c>
      <c r="C166" s="117">
        <f t="shared" si="415"/>
        <v>0</v>
      </c>
      <c r="D166" s="119">
        <f t="shared" si="416"/>
        <v>0</v>
      </c>
      <c r="E166" s="194">
        <f t="shared" si="417"/>
        <v>0</v>
      </c>
      <c r="F166" s="117">
        <f t="shared" si="418"/>
        <v>0</v>
      </c>
      <c r="G166" s="118">
        <f t="shared" si="419"/>
        <v>0</v>
      </c>
      <c r="H166" s="116">
        <f t="shared" si="420"/>
        <v>0</v>
      </c>
      <c r="I166" s="117">
        <f t="shared" si="421"/>
        <v>0</v>
      </c>
      <c r="J166" s="119">
        <f t="shared" si="422"/>
        <v>0</v>
      </c>
      <c r="K166" s="194">
        <f t="shared" si="423"/>
        <v>0</v>
      </c>
      <c r="L166" s="117">
        <f t="shared" si="424"/>
        <v>0</v>
      </c>
      <c r="M166" s="118">
        <f t="shared" si="425"/>
        <v>0</v>
      </c>
      <c r="N166" s="116">
        <f t="shared" si="426"/>
        <v>0</v>
      </c>
      <c r="O166" s="117">
        <f t="shared" si="427"/>
        <v>0</v>
      </c>
      <c r="P166" s="119">
        <f t="shared" si="428"/>
        <v>0</v>
      </c>
      <c r="Q166" s="194">
        <f t="shared" si="429"/>
        <v>0</v>
      </c>
      <c r="R166" s="117">
        <f t="shared" si="430"/>
        <v>0</v>
      </c>
      <c r="S166" s="118">
        <f t="shared" si="431"/>
        <v>0</v>
      </c>
      <c r="T166" s="116">
        <f t="shared" si="432"/>
        <v>0</v>
      </c>
      <c r="U166" s="117">
        <f t="shared" si="433"/>
        <v>0</v>
      </c>
      <c r="V166" s="119">
        <f t="shared" si="434"/>
        <v>0</v>
      </c>
      <c r="W166" s="194">
        <f t="shared" si="435"/>
        <v>0</v>
      </c>
      <c r="X166" s="117">
        <f t="shared" si="436"/>
        <v>0</v>
      </c>
      <c r="Y166" s="118">
        <f t="shared" si="437"/>
        <v>0</v>
      </c>
      <c r="Z166" s="116">
        <f t="shared" si="438"/>
        <v>0</v>
      </c>
      <c r="AA166" s="117">
        <f t="shared" si="439"/>
        <v>0</v>
      </c>
      <c r="AB166" s="119">
        <f t="shared" si="440"/>
        <v>0</v>
      </c>
      <c r="AC166" s="194">
        <f t="shared" si="441"/>
        <v>0</v>
      </c>
      <c r="AD166" s="117">
        <f t="shared" si="442"/>
        <v>0</v>
      </c>
      <c r="AE166" s="118">
        <f t="shared" si="443"/>
        <v>0</v>
      </c>
      <c r="AF166" s="116">
        <f t="shared" si="444"/>
        <v>0</v>
      </c>
      <c r="AG166" s="117">
        <f t="shared" si="445"/>
        <v>0</v>
      </c>
      <c r="AH166" s="119">
        <f t="shared" si="446"/>
        <v>0</v>
      </c>
      <c r="AI166" s="194">
        <f t="shared" si="447"/>
        <v>0</v>
      </c>
      <c r="AJ166" s="117">
        <f t="shared" si="448"/>
        <v>0</v>
      </c>
      <c r="AK166" s="118">
        <f t="shared" si="449"/>
        <v>0</v>
      </c>
      <c r="AL166" s="116">
        <f t="shared" si="450"/>
        <v>0</v>
      </c>
      <c r="AM166" s="117">
        <f t="shared" si="451"/>
        <v>0</v>
      </c>
      <c r="AN166" s="119">
        <f t="shared" si="452"/>
        <v>0</v>
      </c>
      <c r="AO166" s="194">
        <f t="shared" si="453"/>
        <v>0</v>
      </c>
      <c r="AP166" s="117">
        <f t="shared" si="454"/>
        <v>0</v>
      </c>
      <c r="AQ166" s="118">
        <f t="shared" si="455"/>
        <v>0</v>
      </c>
      <c r="AR166" s="116">
        <f t="shared" si="456"/>
        <v>0</v>
      </c>
      <c r="AS166" s="117">
        <f t="shared" si="457"/>
        <v>0</v>
      </c>
      <c r="AT166" s="119">
        <f t="shared" si="458"/>
        <v>0</v>
      </c>
      <c r="AU166" s="194">
        <f t="shared" si="459"/>
        <v>0</v>
      </c>
      <c r="AV166" s="117">
        <f t="shared" si="460"/>
        <v>0</v>
      </c>
      <c r="AW166" s="118">
        <f t="shared" si="461"/>
        <v>0</v>
      </c>
      <c r="AX166" s="116">
        <f t="shared" si="462"/>
        <v>0</v>
      </c>
      <c r="AY166" s="117">
        <f t="shared" si="463"/>
        <v>0</v>
      </c>
      <c r="AZ166" s="119">
        <f t="shared" si="464"/>
        <v>0</v>
      </c>
      <c r="BA166" s="194">
        <f t="shared" si="465"/>
        <v>0</v>
      </c>
      <c r="BB166" s="117">
        <f t="shared" si="466"/>
        <v>0</v>
      </c>
      <c r="BC166" s="118">
        <f t="shared" si="467"/>
        <v>0</v>
      </c>
      <c r="BD166" s="116">
        <f t="shared" si="468"/>
        <v>0</v>
      </c>
      <c r="BE166" s="117">
        <f t="shared" si="469"/>
        <v>0</v>
      </c>
      <c r="BF166" s="119">
        <f t="shared" si="470"/>
        <v>0</v>
      </c>
      <c r="BG166" s="194">
        <f t="shared" si="471"/>
        <v>0</v>
      </c>
      <c r="BH166" s="117">
        <f t="shared" si="472"/>
        <v>0</v>
      </c>
      <c r="BI166" s="118">
        <f t="shared" si="473"/>
        <v>0</v>
      </c>
      <c r="BJ166" s="116">
        <f t="shared" si="474"/>
        <v>0</v>
      </c>
      <c r="BK166" s="117">
        <f t="shared" si="475"/>
        <v>0</v>
      </c>
      <c r="BL166" s="119">
        <f t="shared" si="476"/>
        <v>0</v>
      </c>
      <c r="BM166" s="194">
        <f t="shared" si="477"/>
        <v>0</v>
      </c>
      <c r="BN166" s="117">
        <f t="shared" si="478"/>
        <v>0</v>
      </c>
      <c r="BO166" s="118">
        <f t="shared" si="479"/>
        <v>0</v>
      </c>
      <c r="BP166" s="116">
        <f t="shared" si="480"/>
        <v>0</v>
      </c>
      <c r="BQ166" s="117">
        <f t="shared" si="481"/>
        <v>0</v>
      </c>
      <c r="BR166" s="119">
        <f t="shared" si="626"/>
        <v>0</v>
      </c>
      <c r="BS166" s="194">
        <f t="shared" si="482"/>
        <v>0</v>
      </c>
      <c r="BT166" s="117">
        <f t="shared" si="483"/>
        <v>0</v>
      </c>
      <c r="BU166" s="118">
        <f t="shared" si="484"/>
        <v>0</v>
      </c>
      <c r="BV166" s="116">
        <f t="shared" si="485"/>
        <v>0</v>
      </c>
      <c r="BW166" s="117">
        <f t="shared" si="486"/>
        <v>0</v>
      </c>
      <c r="BX166" s="119">
        <f t="shared" si="487"/>
        <v>0</v>
      </c>
      <c r="BY166" s="194">
        <f t="shared" si="488"/>
        <v>0</v>
      </c>
      <c r="BZ166" s="117">
        <f t="shared" si="489"/>
        <v>0</v>
      </c>
      <c r="CA166" s="118">
        <f t="shared" si="490"/>
        <v>0</v>
      </c>
      <c r="CB166" s="116">
        <f t="shared" si="491"/>
        <v>0</v>
      </c>
      <c r="CC166" s="117">
        <f t="shared" si="492"/>
        <v>0</v>
      </c>
      <c r="CD166" s="119">
        <f t="shared" si="493"/>
        <v>0</v>
      </c>
      <c r="CE166" s="194">
        <f t="shared" si="494"/>
        <v>0</v>
      </c>
      <c r="CF166" s="117">
        <f t="shared" si="495"/>
        <v>0</v>
      </c>
      <c r="CG166" s="118">
        <f t="shared" si="496"/>
        <v>0</v>
      </c>
      <c r="CH166" s="116">
        <f t="shared" si="497"/>
        <v>0</v>
      </c>
      <c r="CI166" s="117">
        <f t="shared" si="498"/>
        <v>0</v>
      </c>
      <c r="CJ166" s="119">
        <f t="shared" si="499"/>
        <v>0</v>
      </c>
      <c r="CK166" s="194">
        <f t="shared" si="500"/>
        <v>0</v>
      </c>
      <c r="CL166" s="194">
        <f t="shared" si="501"/>
        <v>0</v>
      </c>
      <c r="CM166" s="386">
        <f t="shared" si="502"/>
        <v>0</v>
      </c>
      <c r="CN166" s="239">
        <f t="shared" si="503"/>
        <v>0</v>
      </c>
      <c r="CO166" s="43">
        <f t="shared" si="504"/>
        <v>0</v>
      </c>
      <c r="CP166" s="57">
        <f t="shared" si="505"/>
        <v>0</v>
      </c>
      <c r="CQ166" s="194">
        <f t="shared" si="506"/>
        <v>0</v>
      </c>
      <c r="CR166" s="117">
        <f t="shared" si="507"/>
        <v>0</v>
      </c>
      <c r="CS166" s="119">
        <f t="shared" si="508"/>
        <v>0</v>
      </c>
      <c r="CT166" s="194">
        <f t="shared" si="509"/>
        <v>0</v>
      </c>
      <c r="CU166" s="117">
        <f t="shared" si="510"/>
        <v>0</v>
      </c>
      <c r="CV166" s="119">
        <f t="shared" si="511"/>
        <v>0</v>
      </c>
      <c r="CW166" s="194">
        <f t="shared" si="512"/>
        <v>0</v>
      </c>
      <c r="CX166" s="117">
        <f t="shared" si="513"/>
        <v>0</v>
      </c>
      <c r="CY166" s="119">
        <f t="shared" si="514"/>
        <v>0</v>
      </c>
      <c r="CZ166" s="194">
        <f t="shared" si="515"/>
        <v>0</v>
      </c>
      <c r="DA166" s="117">
        <f t="shared" si="516"/>
        <v>0</v>
      </c>
      <c r="DB166" s="119">
        <f t="shared" si="517"/>
        <v>0</v>
      </c>
      <c r="DC166" s="116">
        <f t="shared" si="518"/>
        <v>0</v>
      </c>
      <c r="DD166" s="117">
        <f t="shared" si="519"/>
        <v>0</v>
      </c>
      <c r="DE166" s="119">
        <f t="shared" si="520"/>
        <v>0</v>
      </c>
      <c r="DF166" s="194">
        <f t="shared" si="521"/>
        <v>0</v>
      </c>
      <c r="DG166" s="117">
        <f t="shared" si="522"/>
        <v>0</v>
      </c>
      <c r="DH166" s="118">
        <f t="shared" si="523"/>
        <v>0</v>
      </c>
      <c r="DI166" s="116">
        <f t="shared" si="524"/>
        <v>0</v>
      </c>
      <c r="DJ166" s="117">
        <f t="shared" si="525"/>
        <v>0</v>
      </c>
      <c r="DK166" s="119">
        <f t="shared" si="526"/>
        <v>0</v>
      </c>
      <c r="DL166" s="194">
        <f t="shared" si="527"/>
        <v>0</v>
      </c>
      <c r="DM166" s="117">
        <f t="shared" si="528"/>
        <v>0</v>
      </c>
      <c r="DN166" s="118">
        <f t="shared" si="529"/>
        <v>0</v>
      </c>
      <c r="DO166" s="116">
        <f t="shared" si="530"/>
        <v>0</v>
      </c>
      <c r="DP166" s="117">
        <f t="shared" si="531"/>
        <v>0</v>
      </c>
      <c r="DQ166" s="119">
        <f t="shared" si="532"/>
        <v>0</v>
      </c>
      <c r="DR166" s="194">
        <f t="shared" si="533"/>
        <v>0</v>
      </c>
      <c r="DS166" s="117">
        <f t="shared" si="534"/>
        <v>0</v>
      </c>
      <c r="DT166" s="118">
        <f t="shared" si="535"/>
        <v>0</v>
      </c>
      <c r="DU166" s="116">
        <f t="shared" si="536"/>
        <v>0</v>
      </c>
      <c r="DV166" s="117">
        <f t="shared" si="537"/>
        <v>0</v>
      </c>
      <c r="DW166" s="119">
        <f t="shared" si="538"/>
        <v>0</v>
      </c>
      <c r="DX166" s="194">
        <f t="shared" si="539"/>
        <v>0</v>
      </c>
      <c r="DY166" s="117">
        <f t="shared" si="540"/>
        <v>0</v>
      </c>
      <c r="DZ166" s="118">
        <f t="shared" si="541"/>
        <v>0</v>
      </c>
      <c r="EA166" s="116">
        <f t="shared" si="542"/>
        <v>0</v>
      </c>
      <c r="EB166" s="117">
        <f t="shared" si="543"/>
        <v>0</v>
      </c>
      <c r="EC166" s="119">
        <f t="shared" si="544"/>
        <v>0</v>
      </c>
      <c r="ED166" s="194">
        <f t="shared" si="545"/>
        <v>0</v>
      </c>
      <c r="EE166" s="117">
        <f t="shared" si="546"/>
        <v>0</v>
      </c>
      <c r="EF166" s="118">
        <f t="shared" si="547"/>
        <v>0</v>
      </c>
      <c r="EG166" s="116">
        <f t="shared" si="548"/>
        <v>0</v>
      </c>
      <c r="EH166" s="117">
        <f t="shared" si="549"/>
        <v>0</v>
      </c>
      <c r="EI166" s="119">
        <f t="shared" si="550"/>
        <v>0</v>
      </c>
      <c r="EJ166" s="194">
        <f t="shared" si="551"/>
        <v>0</v>
      </c>
      <c r="EK166" s="117">
        <f t="shared" si="552"/>
        <v>0</v>
      </c>
      <c r="EL166" s="118">
        <f t="shared" si="553"/>
        <v>0</v>
      </c>
      <c r="EM166" s="116">
        <f t="shared" si="554"/>
        <v>0</v>
      </c>
      <c r="EN166" s="117">
        <f t="shared" si="555"/>
        <v>0</v>
      </c>
      <c r="EO166" s="119">
        <f t="shared" si="556"/>
        <v>0</v>
      </c>
      <c r="EP166" s="194">
        <f t="shared" si="557"/>
        <v>0</v>
      </c>
      <c r="EQ166" s="117">
        <f t="shared" si="558"/>
        <v>0</v>
      </c>
      <c r="ER166" s="118">
        <f t="shared" si="559"/>
        <v>0</v>
      </c>
      <c r="ES166" s="116">
        <f t="shared" si="560"/>
        <v>0</v>
      </c>
      <c r="ET166" s="117">
        <f t="shared" si="561"/>
        <v>0</v>
      </c>
      <c r="EU166" s="119">
        <f t="shared" si="562"/>
        <v>0</v>
      </c>
      <c r="EV166" s="194">
        <f t="shared" si="563"/>
        <v>0</v>
      </c>
      <c r="EW166" s="117">
        <f t="shared" si="564"/>
        <v>0</v>
      </c>
      <c r="EX166" s="118">
        <f t="shared" si="565"/>
        <v>0</v>
      </c>
      <c r="EY166" s="116">
        <f t="shared" si="566"/>
        <v>0</v>
      </c>
      <c r="EZ166" s="117">
        <f t="shared" si="567"/>
        <v>0</v>
      </c>
      <c r="FA166" s="119">
        <f t="shared" si="568"/>
        <v>0</v>
      </c>
      <c r="FB166" s="194">
        <f t="shared" si="569"/>
        <v>0</v>
      </c>
      <c r="FC166" s="117">
        <f t="shared" si="570"/>
        <v>0</v>
      </c>
      <c r="FD166" s="118">
        <f t="shared" si="571"/>
        <v>0</v>
      </c>
      <c r="FE166" s="116">
        <f t="shared" si="572"/>
        <v>0</v>
      </c>
      <c r="FF166" s="117">
        <f t="shared" si="573"/>
        <v>0</v>
      </c>
      <c r="FG166" s="119">
        <f t="shared" si="574"/>
        <v>0</v>
      </c>
      <c r="FH166" s="194">
        <f t="shared" si="575"/>
        <v>0</v>
      </c>
      <c r="FI166" s="117">
        <f t="shared" si="576"/>
        <v>0</v>
      </c>
      <c r="FJ166" s="118">
        <f t="shared" si="577"/>
        <v>0</v>
      </c>
      <c r="FK166" s="116">
        <f t="shared" si="578"/>
        <v>0</v>
      </c>
      <c r="FL166" s="117">
        <f t="shared" si="579"/>
        <v>0</v>
      </c>
      <c r="FM166" s="119">
        <f t="shared" si="580"/>
        <v>0</v>
      </c>
      <c r="FN166" s="194">
        <f t="shared" si="581"/>
        <v>0</v>
      </c>
      <c r="FO166" s="117">
        <f t="shared" si="582"/>
        <v>0</v>
      </c>
      <c r="FP166" s="118">
        <f t="shared" si="583"/>
        <v>0</v>
      </c>
      <c r="FQ166" s="116">
        <f t="shared" si="584"/>
        <v>0</v>
      </c>
      <c r="FR166" s="117">
        <f t="shared" si="585"/>
        <v>0</v>
      </c>
      <c r="FS166" s="119">
        <f t="shared" si="627"/>
        <v>0</v>
      </c>
      <c r="FT166" s="194">
        <f t="shared" si="586"/>
        <v>0</v>
      </c>
      <c r="FU166" s="117">
        <f t="shared" si="587"/>
        <v>0</v>
      </c>
      <c r="FV166" s="118">
        <f t="shared" si="588"/>
        <v>0</v>
      </c>
      <c r="FW166" s="116">
        <f t="shared" si="589"/>
        <v>0</v>
      </c>
      <c r="FX166" s="117">
        <f t="shared" si="590"/>
        <v>0</v>
      </c>
      <c r="FY166" s="119">
        <f t="shared" si="591"/>
        <v>0</v>
      </c>
      <c r="FZ166" s="194">
        <f t="shared" si="592"/>
        <v>0</v>
      </c>
      <c r="GA166" s="117">
        <f t="shared" si="593"/>
        <v>0</v>
      </c>
      <c r="GB166" s="118">
        <f t="shared" si="594"/>
        <v>0</v>
      </c>
      <c r="GC166" s="116">
        <f t="shared" si="595"/>
        <v>0</v>
      </c>
      <c r="GD166" s="117">
        <f t="shared" si="596"/>
        <v>0</v>
      </c>
      <c r="GE166" s="119">
        <f t="shared" si="597"/>
        <v>0</v>
      </c>
      <c r="GF166" s="194">
        <f t="shared" si="598"/>
        <v>0</v>
      </c>
      <c r="GG166" s="117">
        <f t="shared" si="599"/>
        <v>0</v>
      </c>
      <c r="GH166" s="118">
        <f t="shared" si="600"/>
        <v>0</v>
      </c>
      <c r="GI166" s="116">
        <f t="shared" si="601"/>
        <v>0</v>
      </c>
      <c r="GJ166" s="117">
        <f t="shared" si="602"/>
        <v>0</v>
      </c>
      <c r="GK166" s="119">
        <f t="shared" si="603"/>
        <v>0</v>
      </c>
      <c r="GL166" s="194">
        <f t="shared" si="604"/>
        <v>0</v>
      </c>
      <c r="GM166" s="194">
        <f t="shared" si="605"/>
        <v>0</v>
      </c>
      <c r="GN166" s="386">
        <f t="shared" si="606"/>
        <v>0</v>
      </c>
      <c r="GO166" s="239">
        <f t="shared" si="607"/>
        <v>0</v>
      </c>
      <c r="GP166" s="43">
        <f t="shared" si="608"/>
        <v>0</v>
      </c>
      <c r="GQ166" s="57">
        <f t="shared" si="609"/>
        <v>0</v>
      </c>
      <c r="GR166" s="194">
        <f t="shared" si="610"/>
        <v>0</v>
      </c>
      <c r="GS166" s="117">
        <f t="shared" si="611"/>
        <v>0</v>
      </c>
      <c r="GT166" s="119">
        <f t="shared" si="612"/>
        <v>0</v>
      </c>
      <c r="GU166" s="194">
        <f t="shared" si="613"/>
        <v>0</v>
      </c>
      <c r="GV166" s="117">
        <f t="shared" si="614"/>
        <v>0</v>
      </c>
      <c r="GW166" s="119">
        <f t="shared" si="615"/>
        <v>0</v>
      </c>
      <c r="GX166" s="194">
        <f t="shared" si="616"/>
        <v>0</v>
      </c>
      <c r="GY166" s="117">
        <f t="shared" si="617"/>
        <v>0</v>
      </c>
      <c r="GZ166" s="119">
        <f t="shared" si="618"/>
        <v>0</v>
      </c>
      <c r="HA166" s="194">
        <f t="shared" si="619"/>
        <v>0</v>
      </c>
      <c r="HB166" s="117">
        <f t="shared" si="620"/>
        <v>0</v>
      </c>
      <c r="HC166" s="119">
        <f t="shared" si="621"/>
        <v>0</v>
      </c>
      <c r="HD166" s="368">
        <f t="shared" si="622"/>
        <v>0</v>
      </c>
      <c r="HE166" s="369">
        <f t="shared" si="623"/>
        <v>0</v>
      </c>
      <c r="HF166" s="369">
        <f t="shared" si="624"/>
        <v>0</v>
      </c>
      <c r="HG166" s="147">
        <f t="shared" si="625"/>
        <v>0</v>
      </c>
    </row>
    <row r="167" spans="1:215" ht="15.75" thickBot="1">
      <c r="A167" s="238">
        <v>17</v>
      </c>
      <c r="B167" s="116">
        <f t="shared" si="414"/>
        <v>0</v>
      </c>
      <c r="C167" s="117">
        <f t="shared" si="415"/>
        <v>0</v>
      </c>
      <c r="D167" s="119">
        <f t="shared" si="416"/>
        <v>0</v>
      </c>
      <c r="E167" s="194">
        <f t="shared" si="417"/>
        <v>0</v>
      </c>
      <c r="F167" s="117">
        <f t="shared" si="418"/>
        <v>0</v>
      </c>
      <c r="G167" s="118">
        <f t="shared" si="419"/>
        <v>0</v>
      </c>
      <c r="H167" s="116">
        <f t="shared" si="420"/>
        <v>0</v>
      </c>
      <c r="I167" s="117">
        <f t="shared" si="421"/>
        <v>0</v>
      </c>
      <c r="J167" s="119">
        <f t="shared" si="422"/>
        <v>0</v>
      </c>
      <c r="K167" s="194">
        <f t="shared" si="423"/>
        <v>0</v>
      </c>
      <c r="L167" s="117">
        <f t="shared" si="424"/>
        <v>0</v>
      </c>
      <c r="M167" s="118">
        <f t="shared" si="425"/>
        <v>0</v>
      </c>
      <c r="N167" s="116">
        <f t="shared" si="426"/>
        <v>0</v>
      </c>
      <c r="O167" s="117">
        <f t="shared" si="427"/>
        <v>0</v>
      </c>
      <c r="P167" s="119">
        <f t="shared" si="428"/>
        <v>0</v>
      </c>
      <c r="Q167" s="194">
        <f t="shared" si="429"/>
        <v>0</v>
      </c>
      <c r="R167" s="117">
        <f t="shared" si="430"/>
        <v>0</v>
      </c>
      <c r="S167" s="118">
        <f t="shared" si="431"/>
        <v>0</v>
      </c>
      <c r="T167" s="116">
        <f t="shared" si="432"/>
        <v>0</v>
      </c>
      <c r="U167" s="117">
        <f t="shared" si="433"/>
        <v>0</v>
      </c>
      <c r="V167" s="119">
        <f t="shared" si="434"/>
        <v>0</v>
      </c>
      <c r="W167" s="194">
        <f t="shared" si="435"/>
        <v>0</v>
      </c>
      <c r="X167" s="117">
        <f t="shared" si="436"/>
        <v>0</v>
      </c>
      <c r="Y167" s="118">
        <f t="shared" si="437"/>
        <v>0</v>
      </c>
      <c r="Z167" s="116">
        <f t="shared" si="438"/>
        <v>0</v>
      </c>
      <c r="AA167" s="117">
        <f t="shared" si="439"/>
        <v>0</v>
      </c>
      <c r="AB167" s="119">
        <f t="shared" si="440"/>
        <v>0</v>
      </c>
      <c r="AC167" s="194">
        <f t="shared" si="441"/>
        <v>0</v>
      </c>
      <c r="AD167" s="117">
        <f t="shared" si="442"/>
        <v>0</v>
      </c>
      <c r="AE167" s="118">
        <f t="shared" si="443"/>
        <v>0</v>
      </c>
      <c r="AF167" s="116">
        <f t="shared" si="444"/>
        <v>0</v>
      </c>
      <c r="AG167" s="117">
        <f t="shared" si="445"/>
        <v>0</v>
      </c>
      <c r="AH167" s="119">
        <f t="shared" si="446"/>
        <v>0</v>
      </c>
      <c r="AI167" s="194">
        <f t="shared" si="447"/>
        <v>0</v>
      </c>
      <c r="AJ167" s="117">
        <f t="shared" si="448"/>
        <v>0</v>
      </c>
      <c r="AK167" s="118">
        <f t="shared" si="449"/>
        <v>0</v>
      </c>
      <c r="AL167" s="116">
        <f t="shared" si="450"/>
        <v>0</v>
      </c>
      <c r="AM167" s="117">
        <f t="shared" si="451"/>
        <v>0</v>
      </c>
      <c r="AN167" s="119">
        <f t="shared" si="452"/>
        <v>0</v>
      </c>
      <c r="AO167" s="194">
        <f t="shared" si="453"/>
        <v>0</v>
      </c>
      <c r="AP167" s="117">
        <f t="shared" si="454"/>
        <v>0</v>
      </c>
      <c r="AQ167" s="118">
        <f t="shared" si="455"/>
        <v>0</v>
      </c>
      <c r="AR167" s="116">
        <f t="shared" si="456"/>
        <v>0</v>
      </c>
      <c r="AS167" s="117">
        <f t="shared" si="457"/>
        <v>0</v>
      </c>
      <c r="AT167" s="119">
        <f t="shared" si="458"/>
        <v>0</v>
      </c>
      <c r="AU167" s="194">
        <f t="shared" si="459"/>
        <v>0</v>
      </c>
      <c r="AV167" s="117">
        <f t="shared" si="460"/>
        <v>0</v>
      </c>
      <c r="AW167" s="118">
        <f t="shared" si="461"/>
        <v>0</v>
      </c>
      <c r="AX167" s="116">
        <f t="shared" si="462"/>
        <v>0</v>
      </c>
      <c r="AY167" s="117">
        <f t="shared" si="463"/>
        <v>0</v>
      </c>
      <c r="AZ167" s="119">
        <f t="shared" si="464"/>
        <v>0</v>
      </c>
      <c r="BA167" s="194">
        <f t="shared" si="465"/>
        <v>0</v>
      </c>
      <c r="BB167" s="117">
        <f t="shared" si="466"/>
        <v>0</v>
      </c>
      <c r="BC167" s="118">
        <f t="shared" si="467"/>
        <v>0</v>
      </c>
      <c r="BD167" s="116">
        <f t="shared" si="468"/>
        <v>0</v>
      </c>
      <c r="BE167" s="117">
        <f t="shared" si="469"/>
        <v>0</v>
      </c>
      <c r="BF167" s="119">
        <f t="shared" si="470"/>
        <v>0</v>
      </c>
      <c r="BG167" s="194">
        <f t="shared" si="471"/>
        <v>0</v>
      </c>
      <c r="BH167" s="117">
        <f t="shared" si="472"/>
        <v>0</v>
      </c>
      <c r="BI167" s="118">
        <f t="shared" si="473"/>
        <v>0</v>
      </c>
      <c r="BJ167" s="116">
        <f t="shared" si="474"/>
        <v>0</v>
      </c>
      <c r="BK167" s="117">
        <f t="shared" si="475"/>
        <v>0</v>
      </c>
      <c r="BL167" s="119">
        <f t="shared" si="476"/>
        <v>0</v>
      </c>
      <c r="BM167" s="194">
        <f t="shared" si="477"/>
        <v>0</v>
      </c>
      <c r="BN167" s="117">
        <f t="shared" si="478"/>
        <v>0</v>
      </c>
      <c r="BO167" s="118">
        <f t="shared" si="479"/>
        <v>0</v>
      </c>
      <c r="BP167" s="116">
        <f t="shared" si="480"/>
        <v>0</v>
      </c>
      <c r="BQ167" s="117">
        <f t="shared" si="481"/>
        <v>0</v>
      </c>
      <c r="BR167" s="119">
        <f t="shared" si="626"/>
        <v>0</v>
      </c>
      <c r="BS167" s="194">
        <f t="shared" si="482"/>
        <v>0</v>
      </c>
      <c r="BT167" s="117">
        <f t="shared" si="483"/>
        <v>0</v>
      </c>
      <c r="BU167" s="118">
        <f t="shared" si="484"/>
        <v>0</v>
      </c>
      <c r="BV167" s="116">
        <f t="shared" si="485"/>
        <v>0</v>
      </c>
      <c r="BW167" s="117">
        <f t="shared" si="486"/>
        <v>0</v>
      </c>
      <c r="BX167" s="119">
        <f t="shared" si="487"/>
        <v>0</v>
      </c>
      <c r="BY167" s="194">
        <f t="shared" si="488"/>
        <v>0</v>
      </c>
      <c r="BZ167" s="117">
        <f t="shared" si="489"/>
        <v>0</v>
      </c>
      <c r="CA167" s="118">
        <f t="shared" si="490"/>
        <v>0</v>
      </c>
      <c r="CB167" s="116">
        <f t="shared" si="491"/>
        <v>0</v>
      </c>
      <c r="CC167" s="117">
        <f t="shared" si="492"/>
        <v>0</v>
      </c>
      <c r="CD167" s="119">
        <f t="shared" si="493"/>
        <v>0</v>
      </c>
      <c r="CE167" s="194">
        <f t="shared" si="494"/>
        <v>0</v>
      </c>
      <c r="CF167" s="117">
        <f t="shared" si="495"/>
        <v>0</v>
      </c>
      <c r="CG167" s="118">
        <f t="shared" si="496"/>
        <v>0</v>
      </c>
      <c r="CH167" s="116">
        <f t="shared" si="497"/>
        <v>0</v>
      </c>
      <c r="CI167" s="117">
        <f t="shared" si="498"/>
        <v>0</v>
      </c>
      <c r="CJ167" s="119">
        <f t="shared" si="499"/>
        <v>0</v>
      </c>
      <c r="CK167" s="194">
        <f t="shared" si="500"/>
        <v>0</v>
      </c>
      <c r="CL167" s="194">
        <f t="shared" si="501"/>
        <v>0</v>
      </c>
      <c r="CM167" s="386">
        <f t="shared" si="502"/>
        <v>0</v>
      </c>
      <c r="CN167" s="239">
        <f t="shared" si="503"/>
        <v>0</v>
      </c>
      <c r="CO167" s="43">
        <f t="shared" si="504"/>
        <v>0</v>
      </c>
      <c r="CP167" s="57">
        <f t="shared" si="505"/>
        <v>0</v>
      </c>
      <c r="CQ167" s="194">
        <f t="shared" si="506"/>
        <v>0</v>
      </c>
      <c r="CR167" s="117">
        <f t="shared" si="507"/>
        <v>0</v>
      </c>
      <c r="CS167" s="119">
        <f t="shared" si="508"/>
        <v>0</v>
      </c>
      <c r="CT167" s="194">
        <f t="shared" si="509"/>
        <v>0</v>
      </c>
      <c r="CU167" s="117">
        <f t="shared" si="510"/>
        <v>0</v>
      </c>
      <c r="CV167" s="119">
        <f t="shared" si="511"/>
        <v>0</v>
      </c>
      <c r="CW167" s="194">
        <f t="shared" si="512"/>
        <v>0</v>
      </c>
      <c r="CX167" s="117">
        <f t="shared" si="513"/>
        <v>0</v>
      </c>
      <c r="CY167" s="119">
        <f t="shared" si="514"/>
        <v>0</v>
      </c>
      <c r="CZ167" s="194">
        <f t="shared" si="515"/>
        <v>0</v>
      </c>
      <c r="DA167" s="117">
        <f t="shared" si="516"/>
        <v>0</v>
      </c>
      <c r="DB167" s="119">
        <f t="shared" si="517"/>
        <v>0</v>
      </c>
      <c r="DC167" s="116">
        <f t="shared" si="518"/>
        <v>0</v>
      </c>
      <c r="DD167" s="117">
        <f t="shared" si="519"/>
        <v>0</v>
      </c>
      <c r="DE167" s="119">
        <f t="shared" si="520"/>
        <v>0</v>
      </c>
      <c r="DF167" s="194">
        <f t="shared" si="521"/>
        <v>0</v>
      </c>
      <c r="DG167" s="117">
        <f t="shared" si="522"/>
        <v>0</v>
      </c>
      <c r="DH167" s="118">
        <f t="shared" si="523"/>
        <v>0</v>
      </c>
      <c r="DI167" s="116">
        <f t="shared" si="524"/>
        <v>0</v>
      </c>
      <c r="DJ167" s="117">
        <f t="shared" si="525"/>
        <v>0</v>
      </c>
      <c r="DK167" s="119">
        <f t="shared" si="526"/>
        <v>0</v>
      </c>
      <c r="DL167" s="194">
        <f t="shared" si="527"/>
        <v>0</v>
      </c>
      <c r="DM167" s="117">
        <f t="shared" si="528"/>
        <v>0</v>
      </c>
      <c r="DN167" s="118">
        <f t="shared" si="529"/>
        <v>0</v>
      </c>
      <c r="DO167" s="116">
        <f t="shared" si="530"/>
        <v>0</v>
      </c>
      <c r="DP167" s="117">
        <f t="shared" si="531"/>
        <v>0</v>
      </c>
      <c r="DQ167" s="119">
        <f t="shared" si="532"/>
        <v>0</v>
      </c>
      <c r="DR167" s="194">
        <f t="shared" si="533"/>
        <v>0</v>
      </c>
      <c r="DS167" s="117">
        <f t="shared" si="534"/>
        <v>0</v>
      </c>
      <c r="DT167" s="118">
        <f t="shared" si="535"/>
        <v>0</v>
      </c>
      <c r="DU167" s="116">
        <f t="shared" si="536"/>
        <v>0</v>
      </c>
      <c r="DV167" s="117">
        <f t="shared" si="537"/>
        <v>0</v>
      </c>
      <c r="DW167" s="119">
        <f t="shared" si="538"/>
        <v>0</v>
      </c>
      <c r="DX167" s="194">
        <f t="shared" si="539"/>
        <v>0</v>
      </c>
      <c r="DY167" s="117">
        <f t="shared" si="540"/>
        <v>0</v>
      </c>
      <c r="DZ167" s="118">
        <f t="shared" si="541"/>
        <v>0</v>
      </c>
      <c r="EA167" s="116">
        <f t="shared" si="542"/>
        <v>0</v>
      </c>
      <c r="EB167" s="117">
        <f t="shared" si="543"/>
        <v>0</v>
      </c>
      <c r="EC167" s="119">
        <f t="shared" si="544"/>
        <v>0</v>
      </c>
      <c r="ED167" s="194">
        <f t="shared" si="545"/>
        <v>0</v>
      </c>
      <c r="EE167" s="117">
        <f t="shared" si="546"/>
        <v>0</v>
      </c>
      <c r="EF167" s="118">
        <f t="shared" si="547"/>
        <v>0</v>
      </c>
      <c r="EG167" s="116">
        <f t="shared" si="548"/>
        <v>0</v>
      </c>
      <c r="EH167" s="117">
        <f t="shared" si="549"/>
        <v>0</v>
      </c>
      <c r="EI167" s="119">
        <f t="shared" si="550"/>
        <v>0</v>
      </c>
      <c r="EJ167" s="194">
        <f t="shared" si="551"/>
        <v>0</v>
      </c>
      <c r="EK167" s="117">
        <f t="shared" si="552"/>
        <v>0</v>
      </c>
      <c r="EL167" s="118">
        <f t="shared" si="553"/>
        <v>0</v>
      </c>
      <c r="EM167" s="116">
        <f t="shared" si="554"/>
        <v>0</v>
      </c>
      <c r="EN167" s="117">
        <f t="shared" si="555"/>
        <v>0</v>
      </c>
      <c r="EO167" s="119">
        <f t="shared" si="556"/>
        <v>0</v>
      </c>
      <c r="EP167" s="194">
        <f t="shared" si="557"/>
        <v>0</v>
      </c>
      <c r="EQ167" s="117">
        <f t="shared" si="558"/>
        <v>0</v>
      </c>
      <c r="ER167" s="118">
        <f t="shared" si="559"/>
        <v>0</v>
      </c>
      <c r="ES167" s="116">
        <f t="shared" si="560"/>
        <v>0</v>
      </c>
      <c r="ET167" s="117">
        <f t="shared" si="561"/>
        <v>0</v>
      </c>
      <c r="EU167" s="119">
        <f t="shared" si="562"/>
        <v>0</v>
      </c>
      <c r="EV167" s="194">
        <f t="shared" si="563"/>
        <v>0</v>
      </c>
      <c r="EW167" s="117">
        <f t="shared" si="564"/>
        <v>0</v>
      </c>
      <c r="EX167" s="118">
        <f t="shared" si="565"/>
        <v>0</v>
      </c>
      <c r="EY167" s="116">
        <f t="shared" si="566"/>
        <v>0</v>
      </c>
      <c r="EZ167" s="117">
        <f t="shared" si="567"/>
        <v>0</v>
      </c>
      <c r="FA167" s="119">
        <f t="shared" si="568"/>
        <v>0</v>
      </c>
      <c r="FB167" s="194">
        <f t="shared" si="569"/>
        <v>0</v>
      </c>
      <c r="FC167" s="117">
        <f t="shared" si="570"/>
        <v>0</v>
      </c>
      <c r="FD167" s="118">
        <f t="shared" si="571"/>
        <v>0</v>
      </c>
      <c r="FE167" s="116">
        <f t="shared" si="572"/>
        <v>0</v>
      </c>
      <c r="FF167" s="117">
        <f t="shared" si="573"/>
        <v>0</v>
      </c>
      <c r="FG167" s="119">
        <f t="shared" si="574"/>
        <v>0</v>
      </c>
      <c r="FH167" s="194">
        <f t="shared" si="575"/>
        <v>0</v>
      </c>
      <c r="FI167" s="117">
        <f t="shared" si="576"/>
        <v>0</v>
      </c>
      <c r="FJ167" s="118">
        <f t="shared" si="577"/>
        <v>0</v>
      </c>
      <c r="FK167" s="116">
        <f t="shared" si="578"/>
        <v>0</v>
      </c>
      <c r="FL167" s="117">
        <f t="shared" si="579"/>
        <v>0</v>
      </c>
      <c r="FM167" s="119">
        <f t="shared" si="580"/>
        <v>0</v>
      </c>
      <c r="FN167" s="194">
        <f t="shared" si="581"/>
        <v>0</v>
      </c>
      <c r="FO167" s="117">
        <f t="shared" si="582"/>
        <v>0</v>
      </c>
      <c r="FP167" s="118">
        <f t="shared" si="583"/>
        <v>0</v>
      </c>
      <c r="FQ167" s="116">
        <f t="shared" si="584"/>
        <v>0</v>
      </c>
      <c r="FR167" s="117">
        <f t="shared" si="585"/>
        <v>0</v>
      </c>
      <c r="FS167" s="119">
        <f t="shared" si="627"/>
        <v>0</v>
      </c>
      <c r="FT167" s="194">
        <f t="shared" si="586"/>
        <v>0</v>
      </c>
      <c r="FU167" s="117">
        <f t="shared" si="587"/>
        <v>0</v>
      </c>
      <c r="FV167" s="118">
        <f t="shared" si="588"/>
        <v>0</v>
      </c>
      <c r="FW167" s="116">
        <f t="shared" si="589"/>
        <v>0</v>
      </c>
      <c r="FX167" s="117">
        <f t="shared" si="590"/>
        <v>0</v>
      </c>
      <c r="FY167" s="119">
        <f t="shared" si="591"/>
        <v>0</v>
      </c>
      <c r="FZ167" s="194">
        <f t="shared" si="592"/>
        <v>0</v>
      </c>
      <c r="GA167" s="117">
        <f t="shared" si="593"/>
        <v>0</v>
      </c>
      <c r="GB167" s="118">
        <f t="shared" si="594"/>
        <v>0</v>
      </c>
      <c r="GC167" s="116">
        <f t="shared" si="595"/>
        <v>0</v>
      </c>
      <c r="GD167" s="117">
        <f t="shared" si="596"/>
        <v>0</v>
      </c>
      <c r="GE167" s="119">
        <f t="shared" si="597"/>
        <v>0</v>
      </c>
      <c r="GF167" s="194">
        <f t="shared" si="598"/>
        <v>0</v>
      </c>
      <c r="GG167" s="117">
        <f t="shared" si="599"/>
        <v>0</v>
      </c>
      <c r="GH167" s="118">
        <f t="shared" si="600"/>
        <v>0</v>
      </c>
      <c r="GI167" s="116">
        <f t="shared" si="601"/>
        <v>0</v>
      </c>
      <c r="GJ167" s="117">
        <f t="shared" si="602"/>
        <v>0</v>
      </c>
      <c r="GK167" s="119">
        <f t="shared" si="603"/>
        <v>0</v>
      </c>
      <c r="GL167" s="194">
        <f t="shared" si="604"/>
        <v>0</v>
      </c>
      <c r="GM167" s="194">
        <f t="shared" si="605"/>
        <v>0</v>
      </c>
      <c r="GN167" s="386">
        <f t="shared" si="606"/>
        <v>0</v>
      </c>
      <c r="GO167" s="239">
        <f t="shared" si="607"/>
        <v>0</v>
      </c>
      <c r="GP167" s="43">
        <f t="shared" si="608"/>
        <v>0</v>
      </c>
      <c r="GQ167" s="57">
        <f t="shared" si="609"/>
        <v>0</v>
      </c>
      <c r="GR167" s="194">
        <f t="shared" si="610"/>
        <v>0</v>
      </c>
      <c r="GS167" s="117">
        <f t="shared" si="611"/>
        <v>0</v>
      </c>
      <c r="GT167" s="119">
        <f t="shared" si="612"/>
        <v>0</v>
      </c>
      <c r="GU167" s="194">
        <f t="shared" si="613"/>
        <v>0</v>
      </c>
      <c r="GV167" s="117">
        <f t="shared" si="614"/>
        <v>0</v>
      </c>
      <c r="GW167" s="119">
        <f t="shared" si="615"/>
        <v>0</v>
      </c>
      <c r="GX167" s="194">
        <f t="shared" si="616"/>
        <v>0</v>
      </c>
      <c r="GY167" s="117">
        <f t="shared" si="617"/>
        <v>0</v>
      </c>
      <c r="GZ167" s="119">
        <f t="shared" si="618"/>
        <v>0</v>
      </c>
      <c r="HA167" s="194">
        <f t="shared" si="619"/>
        <v>0</v>
      </c>
      <c r="HB167" s="117">
        <f t="shared" si="620"/>
        <v>0</v>
      </c>
      <c r="HC167" s="119">
        <f t="shared" si="621"/>
        <v>0</v>
      </c>
      <c r="HD167" s="368">
        <f t="shared" si="622"/>
        <v>0</v>
      </c>
      <c r="HE167" s="369">
        <f t="shared" si="623"/>
        <v>0</v>
      </c>
      <c r="HF167" s="369">
        <f t="shared" si="624"/>
        <v>0</v>
      </c>
      <c r="HG167" s="147">
        <f t="shared" si="625"/>
        <v>0</v>
      </c>
    </row>
    <row r="168" spans="1:215" ht="15.75" thickBot="1">
      <c r="A168" s="238">
        <v>18</v>
      </c>
      <c r="B168" s="116">
        <f t="shared" si="414"/>
        <v>0</v>
      </c>
      <c r="C168" s="117">
        <f t="shared" si="415"/>
        <v>0</v>
      </c>
      <c r="D168" s="119">
        <f t="shared" si="416"/>
        <v>0</v>
      </c>
      <c r="E168" s="194">
        <f t="shared" si="417"/>
        <v>0</v>
      </c>
      <c r="F168" s="117">
        <f t="shared" si="418"/>
        <v>0</v>
      </c>
      <c r="G168" s="118">
        <f t="shared" si="419"/>
        <v>0</v>
      </c>
      <c r="H168" s="116">
        <f t="shared" si="420"/>
        <v>0</v>
      </c>
      <c r="I168" s="117">
        <f t="shared" si="421"/>
        <v>0</v>
      </c>
      <c r="J168" s="119">
        <f t="shared" si="422"/>
        <v>0</v>
      </c>
      <c r="K168" s="194">
        <f t="shared" si="423"/>
        <v>0</v>
      </c>
      <c r="L168" s="117">
        <f t="shared" si="424"/>
        <v>0</v>
      </c>
      <c r="M168" s="118">
        <f t="shared" si="425"/>
        <v>0</v>
      </c>
      <c r="N168" s="116">
        <f t="shared" si="426"/>
        <v>0</v>
      </c>
      <c r="O168" s="117">
        <f t="shared" si="427"/>
        <v>0</v>
      </c>
      <c r="P168" s="119">
        <f t="shared" si="428"/>
        <v>0</v>
      </c>
      <c r="Q168" s="194">
        <f t="shared" si="429"/>
        <v>0</v>
      </c>
      <c r="R168" s="117">
        <f t="shared" si="430"/>
        <v>0</v>
      </c>
      <c r="S168" s="118">
        <f t="shared" si="431"/>
        <v>0</v>
      </c>
      <c r="T168" s="116">
        <f t="shared" si="432"/>
        <v>0</v>
      </c>
      <c r="U168" s="117">
        <f t="shared" si="433"/>
        <v>0</v>
      </c>
      <c r="V168" s="119">
        <f t="shared" si="434"/>
        <v>0</v>
      </c>
      <c r="W168" s="194">
        <f t="shared" si="435"/>
        <v>0</v>
      </c>
      <c r="X168" s="117">
        <f t="shared" si="436"/>
        <v>0</v>
      </c>
      <c r="Y168" s="118">
        <f t="shared" si="437"/>
        <v>0</v>
      </c>
      <c r="Z168" s="116">
        <f t="shared" si="438"/>
        <v>0</v>
      </c>
      <c r="AA168" s="117">
        <f t="shared" si="439"/>
        <v>0</v>
      </c>
      <c r="AB168" s="119">
        <f t="shared" si="440"/>
        <v>0</v>
      </c>
      <c r="AC168" s="194">
        <f t="shared" si="441"/>
        <v>0</v>
      </c>
      <c r="AD168" s="117">
        <f t="shared" si="442"/>
        <v>0</v>
      </c>
      <c r="AE168" s="118">
        <f t="shared" si="443"/>
        <v>0</v>
      </c>
      <c r="AF168" s="116">
        <f t="shared" si="444"/>
        <v>0</v>
      </c>
      <c r="AG168" s="117">
        <f t="shared" si="445"/>
        <v>0</v>
      </c>
      <c r="AH168" s="119">
        <f t="shared" si="446"/>
        <v>0</v>
      </c>
      <c r="AI168" s="194">
        <f t="shared" si="447"/>
        <v>0</v>
      </c>
      <c r="AJ168" s="117">
        <f t="shared" si="448"/>
        <v>0</v>
      </c>
      <c r="AK168" s="118">
        <f t="shared" si="449"/>
        <v>0</v>
      </c>
      <c r="AL168" s="116">
        <f t="shared" si="450"/>
        <v>0</v>
      </c>
      <c r="AM168" s="117">
        <f t="shared" si="451"/>
        <v>0</v>
      </c>
      <c r="AN168" s="119">
        <f t="shared" si="452"/>
        <v>0</v>
      </c>
      <c r="AO168" s="194">
        <f t="shared" si="453"/>
        <v>0</v>
      </c>
      <c r="AP168" s="117">
        <f t="shared" si="454"/>
        <v>0</v>
      </c>
      <c r="AQ168" s="118">
        <f t="shared" si="455"/>
        <v>0</v>
      </c>
      <c r="AR168" s="116">
        <f t="shared" si="456"/>
        <v>0</v>
      </c>
      <c r="AS168" s="117">
        <f t="shared" si="457"/>
        <v>0</v>
      </c>
      <c r="AT168" s="119">
        <f t="shared" si="458"/>
        <v>0</v>
      </c>
      <c r="AU168" s="194">
        <f t="shared" si="459"/>
        <v>0</v>
      </c>
      <c r="AV168" s="117">
        <f t="shared" si="460"/>
        <v>0</v>
      </c>
      <c r="AW168" s="118">
        <f t="shared" si="461"/>
        <v>0</v>
      </c>
      <c r="AX168" s="116">
        <f t="shared" si="462"/>
        <v>0</v>
      </c>
      <c r="AY168" s="117">
        <f t="shared" si="463"/>
        <v>0</v>
      </c>
      <c r="AZ168" s="119">
        <f t="shared" si="464"/>
        <v>0</v>
      </c>
      <c r="BA168" s="194">
        <f t="shared" si="465"/>
        <v>0</v>
      </c>
      <c r="BB168" s="117">
        <f t="shared" si="466"/>
        <v>0</v>
      </c>
      <c r="BC168" s="118">
        <f t="shared" si="467"/>
        <v>0</v>
      </c>
      <c r="BD168" s="116">
        <f t="shared" si="468"/>
        <v>0</v>
      </c>
      <c r="BE168" s="117">
        <f t="shared" si="469"/>
        <v>0</v>
      </c>
      <c r="BF168" s="119">
        <f t="shared" si="470"/>
        <v>0</v>
      </c>
      <c r="BG168" s="194">
        <f t="shared" si="471"/>
        <v>0</v>
      </c>
      <c r="BH168" s="117">
        <f t="shared" si="472"/>
        <v>0</v>
      </c>
      <c r="BI168" s="118">
        <f t="shared" si="473"/>
        <v>0</v>
      </c>
      <c r="BJ168" s="116">
        <f t="shared" si="474"/>
        <v>0</v>
      </c>
      <c r="BK168" s="117">
        <f t="shared" si="475"/>
        <v>0</v>
      </c>
      <c r="BL168" s="119">
        <f t="shared" si="476"/>
        <v>0</v>
      </c>
      <c r="BM168" s="194">
        <f t="shared" si="477"/>
        <v>0</v>
      </c>
      <c r="BN168" s="117">
        <f t="shared" si="478"/>
        <v>0</v>
      </c>
      <c r="BO168" s="118">
        <f t="shared" si="479"/>
        <v>0</v>
      </c>
      <c r="BP168" s="116">
        <f t="shared" si="480"/>
        <v>0</v>
      </c>
      <c r="BQ168" s="117">
        <f t="shared" si="481"/>
        <v>0</v>
      </c>
      <c r="BR168" s="119">
        <f t="shared" si="626"/>
        <v>0</v>
      </c>
      <c r="BS168" s="194">
        <f t="shared" si="482"/>
        <v>0</v>
      </c>
      <c r="BT168" s="117">
        <f t="shared" si="483"/>
        <v>0</v>
      </c>
      <c r="BU168" s="118">
        <f t="shared" si="484"/>
        <v>0</v>
      </c>
      <c r="BV168" s="116">
        <f t="shared" si="485"/>
        <v>0</v>
      </c>
      <c r="BW168" s="117">
        <f t="shared" si="486"/>
        <v>0</v>
      </c>
      <c r="BX168" s="119">
        <f t="shared" si="487"/>
        <v>0</v>
      </c>
      <c r="BY168" s="194">
        <f t="shared" si="488"/>
        <v>0</v>
      </c>
      <c r="BZ168" s="117">
        <f t="shared" si="489"/>
        <v>0</v>
      </c>
      <c r="CA168" s="118">
        <f t="shared" si="490"/>
        <v>0</v>
      </c>
      <c r="CB168" s="116">
        <f t="shared" si="491"/>
        <v>0</v>
      </c>
      <c r="CC168" s="117">
        <f t="shared" si="492"/>
        <v>0</v>
      </c>
      <c r="CD168" s="119">
        <f t="shared" si="493"/>
        <v>0</v>
      </c>
      <c r="CE168" s="194">
        <f t="shared" si="494"/>
        <v>0</v>
      </c>
      <c r="CF168" s="117">
        <f t="shared" si="495"/>
        <v>0</v>
      </c>
      <c r="CG168" s="118">
        <f t="shared" si="496"/>
        <v>0</v>
      </c>
      <c r="CH168" s="116">
        <f t="shared" si="497"/>
        <v>0</v>
      </c>
      <c r="CI168" s="117">
        <f t="shared" si="498"/>
        <v>0</v>
      </c>
      <c r="CJ168" s="119">
        <f t="shared" si="499"/>
        <v>0</v>
      </c>
      <c r="CK168" s="194">
        <f t="shared" si="500"/>
        <v>0</v>
      </c>
      <c r="CL168" s="194">
        <f t="shared" si="501"/>
        <v>0</v>
      </c>
      <c r="CM168" s="386">
        <f t="shared" si="502"/>
        <v>0</v>
      </c>
      <c r="CN168" s="239">
        <f t="shared" si="503"/>
        <v>0</v>
      </c>
      <c r="CO168" s="43">
        <f t="shared" si="504"/>
        <v>0</v>
      </c>
      <c r="CP168" s="57">
        <f t="shared" si="505"/>
        <v>0</v>
      </c>
      <c r="CQ168" s="194">
        <f t="shared" si="506"/>
        <v>0</v>
      </c>
      <c r="CR168" s="117">
        <f t="shared" si="507"/>
        <v>0</v>
      </c>
      <c r="CS168" s="119">
        <f t="shared" si="508"/>
        <v>0</v>
      </c>
      <c r="CT168" s="194">
        <f t="shared" si="509"/>
        <v>0</v>
      </c>
      <c r="CU168" s="117">
        <f t="shared" si="510"/>
        <v>0</v>
      </c>
      <c r="CV168" s="119">
        <f t="shared" si="511"/>
        <v>0</v>
      </c>
      <c r="CW168" s="194">
        <f t="shared" si="512"/>
        <v>0</v>
      </c>
      <c r="CX168" s="117">
        <f t="shared" si="513"/>
        <v>0</v>
      </c>
      <c r="CY168" s="119">
        <f t="shared" si="514"/>
        <v>0</v>
      </c>
      <c r="CZ168" s="194">
        <f t="shared" si="515"/>
        <v>0</v>
      </c>
      <c r="DA168" s="117">
        <f t="shared" si="516"/>
        <v>0</v>
      </c>
      <c r="DB168" s="119">
        <f t="shared" si="517"/>
        <v>0</v>
      </c>
      <c r="DC168" s="116">
        <f t="shared" si="518"/>
        <v>0</v>
      </c>
      <c r="DD168" s="117">
        <f t="shared" si="519"/>
        <v>0</v>
      </c>
      <c r="DE168" s="119">
        <f t="shared" si="520"/>
        <v>0</v>
      </c>
      <c r="DF168" s="194">
        <f t="shared" si="521"/>
        <v>0</v>
      </c>
      <c r="DG168" s="117">
        <f t="shared" si="522"/>
        <v>0</v>
      </c>
      <c r="DH168" s="118">
        <f t="shared" si="523"/>
        <v>0</v>
      </c>
      <c r="DI168" s="116">
        <f t="shared" si="524"/>
        <v>0</v>
      </c>
      <c r="DJ168" s="117">
        <f t="shared" si="525"/>
        <v>0</v>
      </c>
      <c r="DK168" s="119">
        <f t="shared" si="526"/>
        <v>0</v>
      </c>
      <c r="DL168" s="194">
        <f t="shared" si="527"/>
        <v>0</v>
      </c>
      <c r="DM168" s="117">
        <f t="shared" si="528"/>
        <v>0</v>
      </c>
      <c r="DN168" s="118">
        <f t="shared" si="529"/>
        <v>0</v>
      </c>
      <c r="DO168" s="116">
        <f t="shared" si="530"/>
        <v>0</v>
      </c>
      <c r="DP168" s="117">
        <f t="shared" si="531"/>
        <v>0</v>
      </c>
      <c r="DQ168" s="119">
        <f t="shared" si="532"/>
        <v>0</v>
      </c>
      <c r="DR168" s="194">
        <f t="shared" si="533"/>
        <v>0</v>
      </c>
      <c r="DS168" s="117">
        <f t="shared" si="534"/>
        <v>0</v>
      </c>
      <c r="DT168" s="118">
        <f t="shared" si="535"/>
        <v>0</v>
      </c>
      <c r="DU168" s="116">
        <f t="shared" si="536"/>
        <v>0</v>
      </c>
      <c r="DV168" s="117">
        <f t="shared" si="537"/>
        <v>0</v>
      </c>
      <c r="DW168" s="119">
        <f t="shared" si="538"/>
        <v>0</v>
      </c>
      <c r="DX168" s="194">
        <f t="shared" si="539"/>
        <v>0</v>
      </c>
      <c r="DY168" s="117">
        <f t="shared" si="540"/>
        <v>0</v>
      </c>
      <c r="DZ168" s="118">
        <f t="shared" si="541"/>
        <v>0</v>
      </c>
      <c r="EA168" s="116">
        <f t="shared" si="542"/>
        <v>0</v>
      </c>
      <c r="EB168" s="117">
        <f t="shared" si="543"/>
        <v>0</v>
      </c>
      <c r="EC168" s="119">
        <f t="shared" si="544"/>
        <v>0</v>
      </c>
      <c r="ED168" s="194">
        <f t="shared" si="545"/>
        <v>0</v>
      </c>
      <c r="EE168" s="117">
        <f t="shared" si="546"/>
        <v>0</v>
      </c>
      <c r="EF168" s="118">
        <f t="shared" si="547"/>
        <v>0</v>
      </c>
      <c r="EG168" s="116">
        <f t="shared" si="548"/>
        <v>0</v>
      </c>
      <c r="EH168" s="117">
        <f t="shared" si="549"/>
        <v>0</v>
      </c>
      <c r="EI168" s="119">
        <f t="shared" si="550"/>
        <v>0</v>
      </c>
      <c r="EJ168" s="194">
        <f t="shared" si="551"/>
        <v>0</v>
      </c>
      <c r="EK168" s="117">
        <f t="shared" si="552"/>
        <v>0</v>
      </c>
      <c r="EL168" s="118">
        <f t="shared" si="553"/>
        <v>0</v>
      </c>
      <c r="EM168" s="116">
        <f t="shared" si="554"/>
        <v>0</v>
      </c>
      <c r="EN168" s="117">
        <f t="shared" si="555"/>
        <v>0</v>
      </c>
      <c r="EO168" s="119">
        <f t="shared" si="556"/>
        <v>0</v>
      </c>
      <c r="EP168" s="194">
        <f t="shared" si="557"/>
        <v>0</v>
      </c>
      <c r="EQ168" s="117">
        <f t="shared" si="558"/>
        <v>0</v>
      </c>
      <c r="ER168" s="118">
        <f t="shared" si="559"/>
        <v>0</v>
      </c>
      <c r="ES168" s="116">
        <f t="shared" si="560"/>
        <v>0</v>
      </c>
      <c r="ET168" s="117">
        <f t="shared" si="561"/>
        <v>0</v>
      </c>
      <c r="EU168" s="119">
        <f t="shared" si="562"/>
        <v>0</v>
      </c>
      <c r="EV168" s="194">
        <f t="shared" si="563"/>
        <v>0</v>
      </c>
      <c r="EW168" s="117">
        <f t="shared" si="564"/>
        <v>0</v>
      </c>
      <c r="EX168" s="118">
        <f t="shared" si="565"/>
        <v>0</v>
      </c>
      <c r="EY168" s="116">
        <f t="shared" si="566"/>
        <v>0</v>
      </c>
      <c r="EZ168" s="117">
        <f t="shared" si="567"/>
        <v>0</v>
      </c>
      <c r="FA168" s="119">
        <f t="shared" si="568"/>
        <v>0</v>
      </c>
      <c r="FB168" s="194">
        <f t="shared" si="569"/>
        <v>0</v>
      </c>
      <c r="FC168" s="117">
        <f t="shared" si="570"/>
        <v>0</v>
      </c>
      <c r="FD168" s="118">
        <f t="shared" si="571"/>
        <v>0</v>
      </c>
      <c r="FE168" s="116">
        <f t="shared" si="572"/>
        <v>0</v>
      </c>
      <c r="FF168" s="117">
        <f t="shared" si="573"/>
        <v>0</v>
      </c>
      <c r="FG168" s="119">
        <f t="shared" si="574"/>
        <v>0</v>
      </c>
      <c r="FH168" s="194">
        <f t="shared" si="575"/>
        <v>0</v>
      </c>
      <c r="FI168" s="117">
        <f t="shared" si="576"/>
        <v>0</v>
      </c>
      <c r="FJ168" s="118">
        <f t="shared" si="577"/>
        <v>0</v>
      </c>
      <c r="FK168" s="116">
        <f t="shared" si="578"/>
        <v>0</v>
      </c>
      <c r="FL168" s="117">
        <f t="shared" si="579"/>
        <v>0</v>
      </c>
      <c r="FM168" s="119">
        <f t="shared" si="580"/>
        <v>0</v>
      </c>
      <c r="FN168" s="194">
        <f t="shared" si="581"/>
        <v>0</v>
      </c>
      <c r="FO168" s="117">
        <f t="shared" si="582"/>
        <v>0</v>
      </c>
      <c r="FP168" s="118">
        <f t="shared" si="583"/>
        <v>0</v>
      </c>
      <c r="FQ168" s="116">
        <f t="shared" si="584"/>
        <v>0</v>
      </c>
      <c r="FR168" s="117">
        <f t="shared" si="585"/>
        <v>0</v>
      </c>
      <c r="FS168" s="119">
        <f t="shared" si="627"/>
        <v>0</v>
      </c>
      <c r="FT168" s="194">
        <f t="shared" si="586"/>
        <v>0</v>
      </c>
      <c r="FU168" s="117">
        <f t="shared" si="587"/>
        <v>0</v>
      </c>
      <c r="FV168" s="118">
        <f t="shared" si="588"/>
        <v>0</v>
      </c>
      <c r="FW168" s="116">
        <f t="shared" si="589"/>
        <v>0</v>
      </c>
      <c r="FX168" s="117">
        <f t="shared" si="590"/>
        <v>0</v>
      </c>
      <c r="FY168" s="119">
        <f t="shared" si="591"/>
        <v>0</v>
      </c>
      <c r="FZ168" s="194">
        <f t="shared" si="592"/>
        <v>0</v>
      </c>
      <c r="GA168" s="117">
        <f t="shared" si="593"/>
        <v>0</v>
      </c>
      <c r="GB168" s="118">
        <f t="shared" si="594"/>
        <v>0</v>
      </c>
      <c r="GC168" s="116">
        <f t="shared" si="595"/>
        <v>0</v>
      </c>
      <c r="GD168" s="117">
        <f t="shared" si="596"/>
        <v>0</v>
      </c>
      <c r="GE168" s="119">
        <f t="shared" si="597"/>
        <v>0</v>
      </c>
      <c r="GF168" s="194">
        <f t="shared" si="598"/>
        <v>0</v>
      </c>
      <c r="GG168" s="117">
        <f t="shared" si="599"/>
        <v>0</v>
      </c>
      <c r="GH168" s="118">
        <f t="shared" si="600"/>
        <v>0</v>
      </c>
      <c r="GI168" s="116">
        <f t="shared" si="601"/>
        <v>0</v>
      </c>
      <c r="GJ168" s="117">
        <f t="shared" si="602"/>
        <v>0</v>
      </c>
      <c r="GK168" s="119">
        <f t="shared" si="603"/>
        <v>0</v>
      </c>
      <c r="GL168" s="194">
        <f t="shared" si="604"/>
        <v>0</v>
      </c>
      <c r="GM168" s="194">
        <f t="shared" si="605"/>
        <v>0</v>
      </c>
      <c r="GN168" s="386">
        <f t="shared" si="606"/>
        <v>0</v>
      </c>
      <c r="GO168" s="239">
        <f t="shared" si="607"/>
        <v>0</v>
      </c>
      <c r="GP168" s="43">
        <f t="shared" si="608"/>
        <v>0</v>
      </c>
      <c r="GQ168" s="57">
        <f t="shared" si="609"/>
        <v>0</v>
      </c>
      <c r="GR168" s="194">
        <f t="shared" si="610"/>
        <v>0</v>
      </c>
      <c r="GS168" s="117">
        <f t="shared" si="611"/>
        <v>0</v>
      </c>
      <c r="GT168" s="119">
        <f t="shared" si="612"/>
        <v>0</v>
      </c>
      <c r="GU168" s="194">
        <f t="shared" si="613"/>
        <v>0</v>
      </c>
      <c r="GV168" s="117">
        <f t="shared" si="614"/>
        <v>0</v>
      </c>
      <c r="GW168" s="119">
        <f t="shared" si="615"/>
        <v>0</v>
      </c>
      <c r="GX168" s="194">
        <f t="shared" si="616"/>
        <v>0</v>
      </c>
      <c r="GY168" s="117">
        <f t="shared" si="617"/>
        <v>0</v>
      </c>
      <c r="GZ168" s="119">
        <f t="shared" si="618"/>
        <v>0</v>
      </c>
      <c r="HA168" s="194">
        <f t="shared" si="619"/>
        <v>0</v>
      </c>
      <c r="HB168" s="117">
        <f t="shared" si="620"/>
        <v>0</v>
      </c>
      <c r="HC168" s="119">
        <f t="shared" si="621"/>
        <v>0</v>
      </c>
      <c r="HD168" s="368">
        <f t="shared" si="622"/>
        <v>0</v>
      </c>
      <c r="HE168" s="369">
        <f t="shared" si="623"/>
        <v>0</v>
      </c>
      <c r="HF168" s="369">
        <f t="shared" si="624"/>
        <v>0</v>
      </c>
      <c r="HG168" s="147">
        <f t="shared" si="625"/>
        <v>0</v>
      </c>
    </row>
    <row r="169" spans="1:215" ht="15.75" thickBot="1">
      <c r="A169" s="353">
        <v>19</v>
      </c>
      <c r="B169" s="116">
        <f t="shared" si="414"/>
        <v>0</v>
      </c>
      <c r="C169" s="117">
        <f t="shared" si="415"/>
        <v>0</v>
      </c>
      <c r="D169" s="119">
        <f t="shared" si="416"/>
        <v>0</v>
      </c>
      <c r="E169" s="194">
        <f t="shared" si="417"/>
        <v>0</v>
      </c>
      <c r="F169" s="117">
        <f t="shared" si="418"/>
        <v>0</v>
      </c>
      <c r="G169" s="118">
        <f t="shared" si="419"/>
        <v>0</v>
      </c>
      <c r="H169" s="116">
        <f t="shared" si="420"/>
        <v>0</v>
      </c>
      <c r="I169" s="117">
        <f t="shared" si="421"/>
        <v>0</v>
      </c>
      <c r="J169" s="119">
        <f t="shared" si="422"/>
        <v>0</v>
      </c>
      <c r="K169" s="194">
        <f t="shared" si="423"/>
        <v>0</v>
      </c>
      <c r="L169" s="117">
        <f t="shared" si="424"/>
        <v>0</v>
      </c>
      <c r="M169" s="118">
        <f t="shared" si="425"/>
        <v>0</v>
      </c>
      <c r="N169" s="116">
        <f t="shared" si="426"/>
        <v>0</v>
      </c>
      <c r="O169" s="117">
        <f t="shared" si="427"/>
        <v>0</v>
      </c>
      <c r="P169" s="119">
        <f t="shared" si="428"/>
        <v>0</v>
      </c>
      <c r="Q169" s="194">
        <f t="shared" si="429"/>
        <v>0</v>
      </c>
      <c r="R169" s="117">
        <f t="shared" si="430"/>
        <v>0</v>
      </c>
      <c r="S169" s="118">
        <f t="shared" si="431"/>
        <v>0</v>
      </c>
      <c r="T169" s="116">
        <f t="shared" si="432"/>
        <v>0</v>
      </c>
      <c r="U169" s="117">
        <f t="shared" si="433"/>
        <v>0</v>
      </c>
      <c r="V169" s="119">
        <f t="shared" si="434"/>
        <v>0</v>
      </c>
      <c r="W169" s="194">
        <f t="shared" si="435"/>
        <v>0</v>
      </c>
      <c r="X169" s="117">
        <f t="shared" si="436"/>
        <v>0</v>
      </c>
      <c r="Y169" s="118">
        <f t="shared" si="437"/>
        <v>0</v>
      </c>
      <c r="Z169" s="116">
        <f t="shared" si="438"/>
        <v>0</v>
      </c>
      <c r="AA169" s="117">
        <f t="shared" si="439"/>
        <v>0</v>
      </c>
      <c r="AB169" s="119">
        <f t="shared" si="440"/>
        <v>0</v>
      </c>
      <c r="AC169" s="194">
        <f t="shared" si="441"/>
        <v>0</v>
      </c>
      <c r="AD169" s="117">
        <f t="shared" si="442"/>
        <v>0</v>
      </c>
      <c r="AE169" s="118">
        <f t="shared" si="443"/>
        <v>0</v>
      </c>
      <c r="AF169" s="116">
        <f t="shared" si="444"/>
        <v>0</v>
      </c>
      <c r="AG169" s="117">
        <f t="shared" si="445"/>
        <v>0</v>
      </c>
      <c r="AH169" s="119">
        <f t="shared" si="446"/>
        <v>0</v>
      </c>
      <c r="AI169" s="194">
        <f t="shared" si="447"/>
        <v>0</v>
      </c>
      <c r="AJ169" s="117">
        <f t="shared" si="448"/>
        <v>0</v>
      </c>
      <c r="AK169" s="118">
        <f t="shared" si="449"/>
        <v>0</v>
      </c>
      <c r="AL169" s="116">
        <f t="shared" si="450"/>
        <v>0</v>
      </c>
      <c r="AM169" s="117">
        <f t="shared" si="451"/>
        <v>0</v>
      </c>
      <c r="AN169" s="119">
        <f t="shared" si="452"/>
        <v>0</v>
      </c>
      <c r="AO169" s="194">
        <f t="shared" si="453"/>
        <v>0</v>
      </c>
      <c r="AP169" s="117">
        <f t="shared" si="454"/>
        <v>0</v>
      </c>
      <c r="AQ169" s="118">
        <f t="shared" si="455"/>
        <v>0</v>
      </c>
      <c r="AR169" s="116">
        <f t="shared" si="456"/>
        <v>0</v>
      </c>
      <c r="AS169" s="117">
        <f t="shared" si="457"/>
        <v>0</v>
      </c>
      <c r="AT169" s="119">
        <f t="shared" si="458"/>
        <v>0</v>
      </c>
      <c r="AU169" s="194">
        <f t="shared" si="459"/>
        <v>0</v>
      </c>
      <c r="AV169" s="117">
        <f t="shared" si="460"/>
        <v>0</v>
      </c>
      <c r="AW169" s="118">
        <f t="shared" si="461"/>
        <v>0</v>
      </c>
      <c r="AX169" s="116">
        <f t="shared" si="462"/>
        <v>0</v>
      </c>
      <c r="AY169" s="117">
        <f t="shared" si="463"/>
        <v>0</v>
      </c>
      <c r="AZ169" s="119">
        <f t="shared" si="464"/>
        <v>0</v>
      </c>
      <c r="BA169" s="194">
        <f t="shared" si="465"/>
        <v>0</v>
      </c>
      <c r="BB169" s="117">
        <f t="shared" si="466"/>
        <v>0</v>
      </c>
      <c r="BC169" s="118">
        <f t="shared" si="467"/>
        <v>0</v>
      </c>
      <c r="BD169" s="116">
        <f t="shared" si="468"/>
        <v>0</v>
      </c>
      <c r="BE169" s="117">
        <f t="shared" si="469"/>
        <v>0</v>
      </c>
      <c r="BF169" s="119">
        <f t="shared" si="470"/>
        <v>0</v>
      </c>
      <c r="BG169" s="194">
        <f t="shared" si="471"/>
        <v>0</v>
      </c>
      <c r="BH169" s="117">
        <f t="shared" si="472"/>
        <v>0</v>
      </c>
      <c r="BI169" s="118">
        <f t="shared" si="473"/>
        <v>0</v>
      </c>
      <c r="BJ169" s="116">
        <f t="shared" si="474"/>
        <v>0</v>
      </c>
      <c r="BK169" s="117">
        <f t="shared" si="475"/>
        <v>0</v>
      </c>
      <c r="BL169" s="119">
        <f t="shared" si="476"/>
        <v>0</v>
      </c>
      <c r="BM169" s="194">
        <f t="shared" si="477"/>
        <v>0</v>
      </c>
      <c r="BN169" s="117">
        <f t="shared" si="478"/>
        <v>0</v>
      </c>
      <c r="BO169" s="118">
        <f t="shared" si="479"/>
        <v>0</v>
      </c>
      <c r="BP169" s="116">
        <f t="shared" si="480"/>
        <v>0</v>
      </c>
      <c r="BQ169" s="117">
        <f t="shared" si="481"/>
        <v>0</v>
      </c>
      <c r="BR169" s="119">
        <f t="shared" si="626"/>
        <v>0</v>
      </c>
      <c r="BS169" s="194">
        <f t="shared" si="482"/>
        <v>0</v>
      </c>
      <c r="BT169" s="117">
        <f t="shared" si="483"/>
        <v>0</v>
      </c>
      <c r="BU169" s="118">
        <f t="shared" si="484"/>
        <v>0</v>
      </c>
      <c r="BV169" s="116">
        <f t="shared" si="485"/>
        <v>0</v>
      </c>
      <c r="BW169" s="117">
        <f t="shared" si="486"/>
        <v>0</v>
      </c>
      <c r="BX169" s="119">
        <f t="shared" si="487"/>
        <v>0</v>
      </c>
      <c r="BY169" s="194">
        <f t="shared" si="488"/>
        <v>0</v>
      </c>
      <c r="BZ169" s="117">
        <f t="shared" si="489"/>
        <v>0</v>
      </c>
      <c r="CA169" s="118">
        <f t="shared" si="490"/>
        <v>0</v>
      </c>
      <c r="CB169" s="116">
        <f t="shared" si="491"/>
        <v>0</v>
      </c>
      <c r="CC169" s="117">
        <f t="shared" si="492"/>
        <v>0</v>
      </c>
      <c r="CD169" s="119">
        <f t="shared" si="493"/>
        <v>0</v>
      </c>
      <c r="CE169" s="194">
        <f t="shared" si="494"/>
        <v>0</v>
      </c>
      <c r="CF169" s="117">
        <f t="shared" si="495"/>
        <v>0</v>
      </c>
      <c r="CG169" s="118">
        <f t="shared" si="496"/>
        <v>0</v>
      </c>
      <c r="CH169" s="116">
        <f t="shared" si="497"/>
        <v>0</v>
      </c>
      <c r="CI169" s="117">
        <f t="shared" si="498"/>
        <v>0</v>
      </c>
      <c r="CJ169" s="119">
        <f t="shared" si="499"/>
        <v>0</v>
      </c>
      <c r="CK169" s="194">
        <f t="shared" si="500"/>
        <v>0</v>
      </c>
      <c r="CL169" s="194">
        <f t="shared" si="501"/>
        <v>0</v>
      </c>
      <c r="CM169" s="386">
        <f t="shared" si="502"/>
        <v>0</v>
      </c>
      <c r="CN169" s="239">
        <f t="shared" si="503"/>
        <v>0</v>
      </c>
      <c r="CO169" s="43">
        <f t="shared" si="504"/>
        <v>0</v>
      </c>
      <c r="CP169" s="57">
        <f t="shared" si="505"/>
        <v>0</v>
      </c>
      <c r="CQ169" s="194">
        <f t="shared" si="506"/>
        <v>0</v>
      </c>
      <c r="CR169" s="117">
        <f t="shared" si="507"/>
        <v>0</v>
      </c>
      <c r="CS169" s="119">
        <f t="shared" si="508"/>
        <v>0</v>
      </c>
      <c r="CT169" s="194">
        <f t="shared" si="509"/>
        <v>0</v>
      </c>
      <c r="CU169" s="117">
        <f t="shared" si="510"/>
        <v>0</v>
      </c>
      <c r="CV169" s="119">
        <f t="shared" si="511"/>
        <v>0</v>
      </c>
      <c r="CW169" s="194">
        <f t="shared" si="512"/>
        <v>0</v>
      </c>
      <c r="CX169" s="117">
        <f t="shared" si="513"/>
        <v>0</v>
      </c>
      <c r="CY169" s="119">
        <f t="shared" si="514"/>
        <v>0</v>
      </c>
      <c r="CZ169" s="194">
        <f t="shared" si="515"/>
        <v>0</v>
      </c>
      <c r="DA169" s="117">
        <f t="shared" si="516"/>
        <v>0</v>
      </c>
      <c r="DB169" s="119">
        <f t="shared" si="517"/>
        <v>0</v>
      </c>
      <c r="DC169" s="116">
        <f t="shared" si="518"/>
        <v>0</v>
      </c>
      <c r="DD169" s="117">
        <f t="shared" si="519"/>
        <v>0</v>
      </c>
      <c r="DE169" s="119">
        <f t="shared" si="520"/>
        <v>0</v>
      </c>
      <c r="DF169" s="194">
        <f t="shared" si="521"/>
        <v>0</v>
      </c>
      <c r="DG169" s="117">
        <f t="shared" si="522"/>
        <v>0</v>
      </c>
      <c r="DH169" s="118">
        <f t="shared" si="523"/>
        <v>0</v>
      </c>
      <c r="DI169" s="116">
        <f t="shared" si="524"/>
        <v>0</v>
      </c>
      <c r="DJ169" s="117">
        <f t="shared" si="525"/>
        <v>0</v>
      </c>
      <c r="DK169" s="119">
        <f t="shared" si="526"/>
        <v>0</v>
      </c>
      <c r="DL169" s="194">
        <f t="shared" si="527"/>
        <v>0</v>
      </c>
      <c r="DM169" s="117">
        <f t="shared" si="528"/>
        <v>0</v>
      </c>
      <c r="DN169" s="118">
        <f t="shared" si="529"/>
        <v>0</v>
      </c>
      <c r="DO169" s="116">
        <f t="shared" si="530"/>
        <v>0</v>
      </c>
      <c r="DP169" s="117">
        <f t="shared" si="531"/>
        <v>0</v>
      </c>
      <c r="DQ169" s="119">
        <f t="shared" si="532"/>
        <v>0</v>
      </c>
      <c r="DR169" s="194">
        <f t="shared" si="533"/>
        <v>0</v>
      </c>
      <c r="DS169" s="117">
        <f t="shared" si="534"/>
        <v>0</v>
      </c>
      <c r="DT169" s="118">
        <f t="shared" si="535"/>
        <v>0</v>
      </c>
      <c r="DU169" s="116">
        <f t="shared" si="536"/>
        <v>0</v>
      </c>
      <c r="DV169" s="117">
        <f t="shared" si="537"/>
        <v>0</v>
      </c>
      <c r="DW169" s="119">
        <f t="shared" si="538"/>
        <v>0</v>
      </c>
      <c r="DX169" s="194">
        <f t="shared" si="539"/>
        <v>0</v>
      </c>
      <c r="DY169" s="117">
        <f t="shared" si="540"/>
        <v>0</v>
      </c>
      <c r="DZ169" s="118">
        <f t="shared" si="541"/>
        <v>0</v>
      </c>
      <c r="EA169" s="116">
        <f t="shared" si="542"/>
        <v>0</v>
      </c>
      <c r="EB169" s="117">
        <f t="shared" si="543"/>
        <v>0</v>
      </c>
      <c r="EC169" s="119">
        <f t="shared" si="544"/>
        <v>0</v>
      </c>
      <c r="ED169" s="194">
        <f t="shared" si="545"/>
        <v>0</v>
      </c>
      <c r="EE169" s="117">
        <f t="shared" si="546"/>
        <v>0</v>
      </c>
      <c r="EF169" s="118">
        <f t="shared" si="547"/>
        <v>0</v>
      </c>
      <c r="EG169" s="116">
        <f t="shared" si="548"/>
        <v>0</v>
      </c>
      <c r="EH169" s="117">
        <f t="shared" si="549"/>
        <v>0</v>
      </c>
      <c r="EI169" s="119">
        <f t="shared" si="550"/>
        <v>0</v>
      </c>
      <c r="EJ169" s="194">
        <f t="shared" si="551"/>
        <v>0</v>
      </c>
      <c r="EK169" s="117">
        <f t="shared" si="552"/>
        <v>0</v>
      </c>
      <c r="EL169" s="118">
        <f t="shared" si="553"/>
        <v>0</v>
      </c>
      <c r="EM169" s="116">
        <f t="shared" si="554"/>
        <v>0</v>
      </c>
      <c r="EN169" s="117">
        <f t="shared" si="555"/>
        <v>0</v>
      </c>
      <c r="EO169" s="119">
        <f t="shared" si="556"/>
        <v>0</v>
      </c>
      <c r="EP169" s="194">
        <f t="shared" si="557"/>
        <v>0</v>
      </c>
      <c r="EQ169" s="117">
        <f t="shared" si="558"/>
        <v>0</v>
      </c>
      <c r="ER169" s="118">
        <f t="shared" si="559"/>
        <v>0</v>
      </c>
      <c r="ES169" s="116">
        <f t="shared" si="560"/>
        <v>0</v>
      </c>
      <c r="ET169" s="117">
        <f t="shared" si="561"/>
        <v>0</v>
      </c>
      <c r="EU169" s="119">
        <f t="shared" si="562"/>
        <v>0</v>
      </c>
      <c r="EV169" s="194">
        <f t="shared" si="563"/>
        <v>0</v>
      </c>
      <c r="EW169" s="117">
        <f t="shared" si="564"/>
        <v>0</v>
      </c>
      <c r="EX169" s="118">
        <f t="shared" si="565"/>
        <v>0</v>
      </c>
      <c r="EY169" s="116">
        <f t="shared" si="566"/>
        <v>0</v>
      </c>
      <c r="EZ169" s="117">
        <f t="shared" si="567"/>
        <v>0</v>
      </c>
      <c r="FA169" s="119">
        <f t="shared" si="568"/>
        <v>0</v>
      </c>
      <c r="FB169" s="194">
        <f t="shared" si="569"/>
        <v>0</v>
      </c>
      <c r="FC169" s="117">
        <f t="shared" si="570"/>
        <v>0</v>
      </c>
      <c r="FD169" s="118">
        <f t="shared" si="571"/>
        <v>0</v>
      </c>
      <c r="FE169" s="116">
        <f t="shared" si="572"/>
        <v>0</v>
      </c>
      <c r="FF169" s="117">
        <f t="shared" si="573"/>
        <v>0</v>
      </c>
      <c r="FG169" s="119">
        <f t="shared" si="574"/>
        <v>0</v>
      </c>
      <c r="FH169" s="194">
        <f t="shared" si="575"/>
        <v>0</v>
      </c>
      <c r="FI169" s="117">
        <f t="shared" si="576"/>
        <v>0</v>
      </c>
      <c r="FJ169" s="118">
        <f t="shared" si="577"/>
        <v>0</v>
      </c>
      <c r="FK169" s="116">
        <f t="shared" si="578"/>
        <v>0</v>
      </c>
      <c r="FL169" s="117">
        <f t="shared" si="579"/>
        <v>0</v>
      </c>
      <c r="FM169" s="119">
        <f t="shared" si="580"/>
        <v>0</v>
      </c>
      <c r="FN169" s="194">
        <f t="shared" si="581"/>
        <v>0</v>
      </c>
      <c r="FO169" s="117">
        <f t="shared" si="582"/>
        <v>0</v>
      </c>
      <c r="FP169" s="118">
        <f t="shared" si="583"/>
        <v>0</v>
      </c>
      <c r="FQ169" s="116">
        <f t="shared" si="584"/>
        <v>0</v>
      </c>
      <c r="FR169" s="117">
        <f t="shared" si="585"/>
        <v>0</v>
      </c>
      <c r="FS169" s="119">
        <f t="shared" si="627"/>
        <v>0</v>
      </c>
      <c r="FT169" s="194">
        <f t="shared" si="586"/>
        <v>0</v>
      </c>
      <c r="FU169" s="117">
        <f t="shared" si="587"/>
        <v>0</v>
      </c>
      <c r="FV169" s="118">
        <f t="shared" si="588"/>
        <v>0</v>
      </c>
      <c r="FW169" s="116">
        <f t="shared" si="589"/>
        <v>0</v>
      </c>
      <c r="FX169" s="117">
        <f t="shared" si="590"/>
        <v>0</v>
      </c>
      <c r="FY169" s="119">
        <f t="shared" si="591"/>
        <v>0</v>
      </c>
      <c r="FZ169" s="194">
        <f t="shared" si="592"/>
        <v>0</v>
      </c>
      <c r="GA169" s="117">
        <f t="shared" si="593"/>
        <v>0</v>
      </c>
      <c r="GB169" s="118">
        <f t="shared" si="594"/>
        <v>0</v>
      </c>
      <c r="GC169" s="116">
        <f t="shared" si="595"/>
        <v>0</v>
      </c>
      <c r="GD169" s="117">
        <f t="shared" si="596"/>
        <v>0</v>
      </c>
      <c r="GE169" s="119">
        <f t="shared" si="597"/>
        <v>0</v>
      </c>
      <c r="GF169" s="194">
        <f t="shared" si="598"/>
        <v>0</v>
      </c>
      <c r="GG169" s="117">
        <f t="shared" si="599"/>
        <v>0</v>
      </c>
      <c r="GH169" s="118">
        <f t="shared" si="600"/>
        <v>0</v>
      </c>
      <c r="GI169" s="116">
        <f t="shared" si="601"/>
        <v>0</v>
      </c>
      <c r="GJ169" s="117">
        <f t="shared" si="602"/>
        <v>0</v>
      </c>
      <c r="GK169" s="119">
        <f t="shared" si="603"/>
        <v>0</v>
      </c>
      <c r="GL169" s="194">
        <f t="shared" si="604"/>
        <v>0</v>
      </c>
      <c r="GM169" s="194">
        <f t="shared" si="605"/>
        <v>0</v>
      </c>
      <c r="GN169" s="386">
        <f t="shared" si="606"/>
        <v>0</v>
      </c>
      <c r="GO169" s="239">
        <f t="shared" si="607"/>
        <v>0</v>
      </c>
      <c r="GP169" s="43">
        <f t="shared" si="608"/>
        <v>0</v>
      </c>
      <c r="GQ169" s="57">
        <f t="shared" si="609"/>
        <v>0</v>
      </c>
      <c r="GR169" s="194">
        <f t="shared" si="610"/>
        <v>0</v>
      </c>
      <c r="GS169" s="117">
        <f t="shared" si="611"/>
        <v>0</v>
      </c>
      <c r="GT169" s="119">
        <f t="shared" si="612"/>
        <v>0</v>
      </c>
      <c r="GU169" s="194">
        <f t="shared" si="613"/>
        <v>0</v>
      </c>
      <c r="GV169" s="117">
        <f t="shared" si="614"/>
        <v>0</v>
      </c>
      <c r="GW169" s="119">
        <f t="shared" si="615"/>
        <v>0</v>
      </c>
      <c r="GX169" s="194">
        <f t="shared" si="616"/>
        <v>0</v>
      </c>
      <c r="GY169" s="117">
        <f t="shared" si="617"/>
        <v>0</v>
      </c>
      <c r="GZ169" s="119">
        <f t="shared" si="618"/>
        <v>0</v>
      </c>
      <c r="HA169" s="194">
        <f t="shared" si="619"/>
        <v>0</v>
      </c>
      <c r="HB169" s="117">
        <f t="shared" si="620"/>
        <v>0</v>
      </c>
      <c r="HC169" s="119">
        <f t="shared" si="621"/>
        <v>0</v>
      </c>
      <c r="HD169" s="368">
        <f t="shared" si="622"/>
        <v>0</v>
      </c>
      <c r="HE169" s="369">
        <f t="shared" si="623"/>
        <v>0</v>
      </c>
      <c r="HF169" s="369">
        <f t="shared" si="624"/>
        <v>0</v>
      </c>
      <c r="HG169" s="147">
        <f t="shared" si="625"/>
        <v>0</v>
      </c>
    </row>
    <row r="170" spans="1:215" ht="15.75" thickBot="1">
      <c r="A170" s="238">
        <v>20</v>
      </c>
      <c r="B170" s="116">
        <f t="shared" si="414"/>
        <v>0</v>
      </c>
      <c r="C170" s="117">
        <f t="shared" si="415"/>
        <v>0</v>
      </c>
      <c r="D170" s="119">
        <f t="shared" si="416"/>
        <v>0</v>
      </c>
      <c r="E170" s="194">
        <f t="shared" si="417"/>
        <v>0</v>
      </c>
      <c r="F170" s="117">
        <f t="shared" si="418"/>
        <v>0</v>
      </c>
      <c r="G170" s="118">
        <f t="shared" si="419"/>
        <v>0</v>
      </c>
      <c r="H170" s="116">
        <f t="shared" si="420"/>
        <v>0</v>
      </c>
      <c r="I170" s="117">
        <f t="shared" si="421"/>
        <v>0</v>
      </c>
      <c r="J170" s="119">
        <f t="shared" si="422"/>
        <v>0</v>
      </c>
      <c r="K170" s="194">
        <f t="shared" si="423"/>
        <v>0</v>
      </c>
      <c r="L170" s="117">
        <f t="shared" si="424"/>
        <v>0</v>
      </c>
      <c r="M170" s="118">
        <f t="shared" si="425"/>
        <v>0</v>
      </c>
      <c r="N170" s="116">
        <f t="shared" si="426"/>
        <v>0</v>
      </c>
      <c r="O170" s="117">
        <f t="shared" si="427"/>
        <v>0</v>
      </c>
      <c r="P170" s="119">
        <f t="shared" si="428"/>
        <v>0</v>
      </c>
      <c r="Q170" s="194">
        <f t="shared" si="429"/>
        <v>0</v>
      </c>
      <c r="R170" s="117">
        <f t="shared" si="430"/>
        <v>0</v>
      </c>
      <c r="S170" s="118">
        <f t="shared" si="431"/>
        <v>0</v>
      </c>
      <c r="T170" s="116">
        <f t="shared" si="432"/>
        <v>0</v>
      </c>
      <c r="U170" s="117">
        <f t="shared" si="433"/>
        <v>0</v>
      </c>
      <c r="V170" s="119">
        <f t="shared" si="434"/>
        <v>0</v>
      </c>
      <c r="W170" s="194">
        <f t="shared" si="435"/>
        <v>0</v>
      </c>
      <c r="X170" s="117">
        <f t="shared" si="436"/>
        <v>0</v>
      </c>
      <c r="Y170" s="118">
        <f t="shared" si="437"/>
        <v>0</v>
      </c>
      <c r="Z170" s="116">
        <f t="shared" si="438"/>
        <v>0</v>
      </c>
      <c r="AA170" s="117">
        <f t="shared" si="439"/>
        <v>0</v>
      </c>
      <c r="AB170" s="119">
        <f t="shared" si="440"/>
        <v>0</v>
      </c>
      <c r="AC170" s="194">
        <f t="shared" si="441"/>
        <v>0</v>
      </c>
      <c r="AD170" s="117">
        <f t="shared" si="442"/>
        <v>0</v>
      </c>
      <c r="AE170" s="118">
        <f t="shared" si="443"/>
        <v>0</v>
      </c>
      <c r="AF170" s="116">
        <f t="shared" si="444"/>
        <v>0</v>
      </c>
      <c r="AG170" s="117">
        <f t="shared" si="445"/>
        <v>0</v>
      </c>
      <c r="AH170" s="119">
        <f t="shared" si="446"/>
        <v>0</v>
      </c>
      <c r="AI170" s="194">
        <f t="shared" si="447"/>
        <v>0</v>
      </c>
      <c r="AJ170" s="117">
        <f t="shared" si="448"/>
        <v>0</v>
      </c>
      <c r="AK170" s="118">
        <f t="shared" si="449"/>
        <v>0</v>
      </c>
      <c r="AL170" s="116">
        <f t="shared" si="450"/>
        <v>0</v>
      </c>
      <c r="AM170" s="117">
        <f t="shared" si="451"/>
        <v>0</v>
      </c>
      <c r="AN170" s="119">
        <f t="shared" si="452"/>
        <v>0</v>
      </c>
      <c r="AO170" s="194">
        <f t="shared" si="453"/>
        <v>0</v>
      </c>
      <c r="AP170" s="117">
        <f t="shared" si="454"/>
        <v>0</v>
      </c>
      <c r="AQ170" s="118">
        <f t="shared" si="455"/>
        <v>0</v>
      </c>
      <c r="AR170" s="116">
        <f t="shared" si="456"/>
        <v>0</v>
      </c>
      <c r="AS170" s="117">
        <f t="shared" si="457"/>
        <v>0</v>
      </c>
      <c r="AT170" s="119">
        <f t="shared" si="458"/>
        <v>0</v>
      </c>
      <c r="AU170" s="194">
        <f t="shared" si="459"/>
        <v>0</v>
      </c>
      <c r="AV170" s="117">
        <f t="shared" si="460"/>
        <v>0</v>
      </c>
      <c r="AW170" s="118">
        <f t="shared" si="461"/>
        <v>0</v>
      </c>
      <c r="AX170" s="116">
        <f t="shared" si="462"/>
        <v>0</v>
      </c>
      <c r="AY170" s="117">
        <f t="shared" si="463"/>
        <v>0</v>
      </c>
      <c r="AZ170" s="119">
        <f t="shared" si="464"/>
        <v>0</v>
      </c>
      <c r="BA170" s="194">
        <f t="shared" si="465"/>
        <v>0</v>
      </c>
      <c r="BB170" s="117">
        <f t="shared" si="466"/>
        <v>0</v>
      </c>
      <c r="BC170" s="118">
        <f t="shared" si="467"/>
        <v>0</v>
      </c>
      <c r="BD170" s="116">
        <f t="shared" si="468"/>
        <v>0</v>
      </c>
      <c r="BE170" s="117">
        <f t="shared" si="469"/>
        <v>0</v>
      </c>
      <c r="BF170" s="119">
        <f t="shared" si="470"/>
        <v>0</v>
      </c>
      <c r="BG170" s="194">
        <f t="shared" si="471"/>
        <v>0</v>
      </c>
      <c r="BH170" s="117">
        <f t="shared" si="472"/>
        <v>0</v>
      </c>
      <c r="BI170" s="118">
        <f t="shared" si="473"/>
        <v>0</v>
      </c>
      <c r="BJ170" s="116">
        <f t="shared" si="474"/>
        <v>0</v>
      </c>
      <c r="BK170" s="117">
        <f t="shared" si="475"/>
        <v>0</v>
      </c>
      <c r="BL170" s="119">
        <f t="shared" si="476"/>
        <v>0</v>
      </c>
      <c r="BM170" s="194">
        <f t="shared" si="477"/>
        <v>0</v>
      </c>
      <c r="BN170" s="117">
        <f t="shared" si="478"/>
        <v>0</v>
      </c>
      <c r="BO170" s="118">
        <f t="shared" si="479"/>
        <v>0</v>
      </c>
      <c r="BP170" s="116">
        <f t="shared" si="480"/>
        <v>0</v>
      </c>
      <c r="BQ170" s="117">
        <f t="shared" si="481"/>
        <v>0</v>
      </c>
      <c r="BR170" s="119">
        <f t="shared" si="626"/>
        <v>0</v>
      </c>
      <c r="BS170" s="194">
        <f t="shared" si="482"/>
        <v>0</v>
      </c>
      <c r="BT170" s="117">
        <f t="shared" si="483"/>
        <v>0</v>
      </c>
      <c r="BU170" s="118">
        <f t="shared" si="484"/>
        <v>0</v>
      </c>
      <c r="BV170" s="116">
        <f t="shared" si="485"/>
        <v>0</v>
      </c>
      <c r="BW170" s="117">
        <f t="shared" si="486"/>
        <v>0</v>
      </c>
      <c r="BX170" s="119">
        <f t="shared" si="487"/>
        <v>0</v>
      </c>
      <c r="BY170" s="194">
        <f t="shared" si="488"/>
        <v>0</v>
      </c>
      <c r="BZ170" s="117">
        <f t="shared" si="489"/>
        <v>0</v>
      </c>
      <c r="CA170" s="118">
        <f t="shared" si="490"/>
        <v>0</v>
      </c>
      <c r="CB170" s="116">
        <f t="shared" si="491"/>
        <v>0</v>
      </c>
      <c r="CC170" s="117">
        <f t="shared" si="492"/>
        <v>0</v>
      </c>
      <c r="CD170" s="119">
        <f t="shared" si="493"/>
        <v>0</v>
      </c>
      <c r="CE170" s="194">
        <f t="shared" si="494"/>
        <v>0</v>
      </c>
      <c r="CF170" s="117">
        <f t="shared" si="495"/>
        <v>0</v>
      </c>
      <c r="CG170" s="118">
        <f t="shared" si="496"/>
        <v>0</v>
      </c>
      <c r="CH170" s="116">
        <f t="shared" si="497"/>
        <v>0</v>
      </c>
      <c r="CI170" s="117">
        <f t="shared" si="498"/>
        <v>0</v>
      </c>
      <c r="CJ170" s="119">
        <f t="shared" si="499"/>
        <v>0</v>
      </c>
      <c r="CK170" s="194">
        <f t="shared" si="500"/>
        <v>0</v>
      </c>
      <c r="CL170" s="194">
        <f t="shared" si="501"/>
        <v>0</v>
      </c>
      <c r="CM170" s="386">
        <f t="shared" si="502"/>
        <v>0</v>
      </c>
      <c r="CN170" s="239">
        <f t="shared" si="503"/>
        <v>0</v>
      </c>
      <c r="CO170" s="43">
        <f t="shared" si="504"/>
        <v>0</v>
      </c>
      <c r="CP170" s="57">
        <f t="shared" si="505"/>
        <v>0</v>
      </c>
      <c r="CQ170" s="194">
        <f t="shared" si="506"/>
        <v>0</v>
      </c>
      <c r="CR170" s="117">
        <f t="shared" si="507"/>
        <v>0</v>
      </c>
      <c r="CS170" s="119">
        <f t="shared" si="508"/>
        <v>0</v>
      </c>
      <c r="CT170" s="194">
        <f t="shared" si="509"/>
        <v>0</v>
      </c>
      <c r="CU170" s="117">
        <f t="shared" si="510"/>
        <v>0</v>
      </c>
      <c r="CV170" s="119">
        <f t="shared" si="511"/>
        <v>0</v>
      </c>
      <c r="CW170" s="194">
        <f t="shared" si="512"/>
        <v>0</v>
      </c>
      <c r="CX170" s="117">
        <f t="shared" si="513"/>
        <v>0</v>
      </c>
      <c r="CY170" s="119">
        <f t="shared" si="514"/>
        <v>0</v>
      </c>
      <c r="CZ170" s="194">
        <f t="shared" si="515"/>
        <v>0</v>
      </c>
      <c r="DA170" s="117">
        <f t="shared" si="516"/>
        <v>0</v>
      </c>
      <c r="DB170" s="119">
        <f t="shared" si="517"/>
        <v>0</v>
      </c>
      <c r="DC170" s="116">
        <f t="shared" si="518"/>
        <v>0</v>
      </c>
      <c r="DD170" s="117">
        <f t="shared" si="519"/>
        <v>0</v>
      </c>
      <c r="DE170" s="119">
        <f t="shared" si="520"/>
        <v>0</v>
      </c>
      <c r="DF170" s="194">
        <f t="shared" si="521"/>
        <v>0</v>
      </c>
      <c r="DG170" s="117">
        <f t="shared" si="522"/>
        <v>0</v>
      </c>
      <c r="DH170" s="118">
        <f t="shared" si="523"/>
        <v>0</v>
      </c>
      <c r="DI170" s="116">
        <f t="shared" si="524"/>
        <v>0</v>
      </c>
      <c r="DJ170" s="117">
        <f t="shared" si="525"/>
        <v>0</v>
      </c>
      <c r="DK170" s="119">
        <f t="shared" si="526"/>
        <v>0</v>
      </c>
      <c r="DL170" s="194">
        <f t="shared" si="527"/>
        <v>0</v>
      </c>
      <c r="DM170" s="117">
        <f t="shared" si="528"/>
        <v>0</v>
      </c>
      <c r="DN170" s="118">
        <f t="shared" si="529"/>
        <v>0</v>
      </c>
      <c r="DO170" s="116">
        <f t="shared" si="530"/>
        <v>0</v>
      </c>
      <c r="DP170" s="117">
        <f t="shared" si="531"/>
        <v>0</v>
      </c>
      <c r="DQ170" s="119">
        <f t="shared" si="532"/>
        <v>0</v>
      </c>
      <c r="DR170" s="194">
        <f t="shared" si="533"/>
        <v>0</v>
      </c>
      <c r="DS170" s="117">
        <f t="shared" si="534"/>
        <v>0</v>
      </c>
      <c r="DT170" s="118">
        <f t="shared" si="535"/>
        <v>0</v>
      </c>
      <c r="DU170" s="116">
        <f t="shared" si="536"/>
        <v>0</v>
      </c>
      <c r="DV170" s="117">
        <f t="shared" si="537"/>
        <v>0</v>
      </c>
      <c r="DW170" s="119">
        <f t="shared" si="538"/>
        <v>0</v>
      </c>
      <c r="DX170" s="194">
        <f t="shared" si="539"/>
        <v>0</v>
      </c>
      <c r="DY170" s="117">
        <f t="shared" si="540"/>
        <v>0</v>
      </c>
      <c r="DZ170" s="118">
        <f t="shared" si="541"/>
        <v>0</v>
      </c>
      <c r="EA170" s="116">
        <f t="shared" si="542"/>
        <v>0</v>
      </c>
      <c r="EB170" s="117">
        <f t="shared" si="543"/>
        <v>0</v>
      </c>
      <c r="EC170" s="119">
        <f t="shared" si="544"/>
        <v>0</v>
      </c>
      <c r="ED170" s="194">
        <f t="shared" si="545"/>
        <v>0</v>
      </c>
      <c r="EE170" s="117">
        <f t="shared" si="546"/>
        <v>0</v>
      </c>
      <c r="EF170" s="118">
        <f t="shared" si="547"/>
        <v>0</v>
      </c>
      <c r="EG170" s="116">
        <f t="shared" si="548"/>
        <v>0</v>
      </c>
      <c r="EH170" s="117">
        <f t="shared" si="549"/>
        <v>0</v>
      </c>
      <c r="EI170" s="119">
        <f t="shared" si="550"/>
        <v>0</v>
      </c>
      <c r="EJ170" s="194">
        <f t="shared" si="551"/>
        <v>0</v>
      </c>
      <c r="EK170" s="117">
        <f t="shared" si="552"/>
        <v>0</v>
      </c>
      <c r="EL170" s="118">
        <f t="shared" si="553"/>
        <v>0</v>
      </c>
      <c r="EM170" s="116">
        <f t="shared" si="554"/>
        <v>0</v>
      </c>
      <c r="EN170" s="117">
        <f t="shared" si="555"/>
        <v>0</v>
      </c>
      <c r="EO170" s="119">
        <f t="shared" si="556"/>
        <v>0</v>
      </c>
      <c r="EP170" s="194">
        <f t="shared" si="557"/>
        <v>0</v>
      </c>
      <c r="EQ170" s="117">
        <f t="shared" si="558"/>
        <v>0</v>
      </c>
      <c r="ER170" s="118">
        <f t="shared" si="559"/>
        <v>0</v>
      </c>
      <c r="ES170" s="116">
        <f t="shared" si="560"/>
        <v>0</v>
      </c>
      <c r="ET170" s="117">
        <f t="shared" si="561"/>
        <v>0</v>
      </c>
      <c r="EU170" s="119">
        <f t="shared" si="562"/>
        <v>0</v>
      </c>
      <c r="EV170" s="194">
        <f t="shared" si="563"/>
        <v>0</v>
      </c>
      <c r="EW170" s="117">
        <f t="shared" si="564"/>
        <v>0</v>
      </c>
      <c r="EX170" s="118">
        <f t="shared" si="565"/>
        <v>0</v>
      </c>
      <c r="EY170" s="116">
        <f t="shared" si="566"/>
        <v>0</v>
      </c>
      <c r="EZ170" s="117">
        <f t="shared" si="567"/>
        <v>0</v>
      </c>
      <c r="FA170" s="119">
        <f t="shared" si="568"/>
        <v>0</v>
      </c>
      <c r="FB170" s="194">
        <f t="shared" si="569"/>
        <v>0</v>
      </c>
      <c r="FC170" s="117">
        <f t="shared" si="570"/>
        <v>0</v>
      </c>
      <c r="FD170" s="118">
        <f t="shared" si="571"/>
        <v>0</v>
      </c>
      <c r="FE170" s="116">
        <f t="shared" si="572"/>
        <v>0</v>
      </c>
      <c r="FF170" s="117">
        <f t="shared" si="573"/>
        <v>0</v>
      </c>
      <c r="FG170" s="119">
        <f t="shared" si="574"/>
        <v>0</v>
      </c>
      <c r="FH170" s="194">
        <f t="shared" si="575"/>
        <v>0</v>
      </c>
      <c r="FI170" s="117">
        <f t="shared" si="576"/>
        <v>0</v>
      </c>
      <c r="FJ170" s="118">
        <f t="shared" si="577"/>
        <v>0</v>
      </c>
      <c r="FK170" s="116">
        <f t="shared" si="578"/>
        <v>0</v>
      </c>
      <c r="FL170" s="117">
        <f t="shared" si="579"/>
        <v>0</v>
      </c>
      <c r="FM170" s="119">
        <f t="shared" si="580"/>
        <v>0</v>
      </c>
      <c r="FN170" s="194">
        <f t="shared" si="581"/>
        <v>0</v>
      </c>
      <c r="FO170" s="117">
        <f t="shared" si="582"/>
        <v>0</v>
      </c>
      <c r="FP170" s="118">
        <f t="shared" si="583"/>
        <v>0</v>
      </c>
      <c r="FQ170" s="116">
        <f t="shared" si="584"/>
        <v>0</v>
      </c>
      <c r="FR170" s="117">
        <f t="shared" si="585"/>
        <v>0</v>
      </c>
      <c r="FS170" s="119">
        <f t="shared" si="627"/>
        <v>0</v>
      </c>
      <c r="FT170" s="194">
        <f t="shared" si="586"/>
        <v>0</v>
      </c>
      <c r="FU170" s="117">
        <f t="shared" si="587"/>
        <v>0</v>
      </c>
      <c r="FV170" s="118">
        <f t="shared" si="588"/>
        <v>0</v>
      </c>
      <c r="FW170" s="116">
        <f t="shared" si="589"/>
        <v>0</v>
      </c>
      <c r="FX170" s="117">
        <f t="shared" si="590"/>
        <v>0</v>
      </c>
      <c r="FY170" s="119">
        <f t="shared" si="591"/>
        <v>0</v>
      </c>
      <c r="FZ170" s="194">
        <f t="shared" si="592"/>
        <v>0</v>
      </c>
      <c r="GA170" s="117">
        <f t="shared" si="593"/>
        <v>0</v>
      </c>
      <c r="GB170" s="118">
        <f t="shared" si="594"/>
        <v>0</v>
      </c>
      <c r="GC170" s="116">
        <f t="shared" si="595"/>
        <v>0</v>
      </c>
      <c r="GD170" s="117">
        <f t="shared" si="596"/>
        <v>0</v>
      </c>
      <c r="GE170" s="119">
        <f t="shared" si="597"/>
        <v>0</v>
      </c>
      <c r="GF170" s="194">
        <f t="shared" si="598"/>
        <v>0</v>
      </c>
      <c r="GG170" s="117">
        <f t="shared" si="599"/>
        <v>0</v>
      </c>
      <c r="GH170" s="118">
        <f t="shared" si="600"/>
        <v>0</v>
      </c>
      <c r="GI170" s="116">
        <f t="shared" si="601"/>
        <v>0</v>
      </c>
      <c r="GJ170" s="117">
        <f t="shared" si="602"/>
        <v>0</v>
      </c>
      <c r="GK170" s="119">
        <f t="shared" si="603"/>
        <v>0</v>
      </c>
      <c r="GL170" s="194">
        <f t="shared" si="604"/>
        <v>0</v>
      </c>
      <c r="GM170" s="194">
        <f t="shared" si="605"/>
        <v>0</v>
      </c>
      <c r="GN170" s="386">
        <f t="shared" si="606"/>
        <v>0</v>
      </c>
      <c r="GO170" s="239">
        <f t="shared" si="607"/>
        <v>0</v>
      </c>
      <c r="GP170" s="43">
        <f t="shared" si="608"/>
        <v>0</v>
      </c>
      <c r="GQ170" s="57">
        <f t="shared" si="609"/>
        <v>0</v>
      </c>
      <c r="GR170" s="194">
        <f t="shared" si="610"/>
        <v>0</v>
      </c>
      <c r="GS170" s="117">
        <f t="shared" si="611"/>
        <v>0</v>
      </c>
      <c r="GT170" s="119">
        <f t="shared" si="612"/>
        <v>0</v>
      </c>
      <c r="GU170" s="194">
        <f t="shared" si="613"/>
        <v>0</v>
      </c>
      <c r="GV170" s="117">
        <f t="shared" si="614"/>
        <v>0</v>
      </c>
      <c r="GW170" s="119">
        <f t="shared" si="615"/>
        <v>0</v>
      </c>
      <c r="GX170" s="194">
        <f t="shared" si="616"/>
        <v>0</v>
      </c>
      <c r="GY170" s="117">
        <f t="shared" si="617"/>
        <v>0</v>
      </c>
      <c r="GZ170" s="119">
        <f t="shared" si="618"/>
        <v>0</v>
      </c>
      <c r="HA170" s="194">
        <f t="shared" si="619"/>
        <v>0</v>
      </c>
      <c r="HB170" s="117">
        <f t="shared" si="620"/>
        <v>0</v>
      </c>
      <c r="HC170" s="119">
        <f t="shared" si="621"/>
        <v>0</v>
      </c>
      <c r="HD170" s="368">
        <f t="shared" si="622"/>
        <v>0</v>
      </c>
      <c r="HE170" s="369">
        <f t="shared" si="623"/>
        <v>0</v>
      </c>
      <c r="HF170" s="369">
        <f t="shared" si="624"/>
        <v>0</v>
      </c>
      <c r="HG170" s="147">
        <f t="shared" si="625"/>
        <v>0</v>
      </c>
    </row>
    <row r="171" spans="1:215" ht="15.75" thickBot="1">
      <c r="A171" s="238">
        <v>21</v>
      </c>
      <c r="B171" s="116">
        <f t="shared" si="414"/>
        <v>0</v>
      </c>
      <c r="C171" s="117">
        <f t="shared" si="415"/>
        <v>0</v>
      </c>
      <c r="D171" s="119">
        <f t="shared" si="416"/>
        <v>0</v>
      </c>
      <c r="E171" s="194">
        <f t="shared" si="417"/>
        <v>0</v>
      </c>
      <c r="F171" s="117">
        <f t="shared" si="418"/>
        <v>0</v>
      </c>
      <c r="G171" s="118">
        <f t="shared" si="419"/>
        <v>0</v>
      </c>
      <c r="H171" s="116">
        <f t="shared" si="420"/>
        <v>0</v>
      </c>
      <c r="I171" s="117">
        <f t="shared" si="421"/>
        <v>0</v>
      </c>
      <c r="J171" s="119">
        <f t="shared" si="422"/>
        <v>0</v>
      </c>
      <c r="K171" s="194">
        <f t="shared" si="423"/>
        <v>0</v>
      </c>
      <c r="L171" s="117">
        <f t="shared" si="424"/>
        <v>0</v>
      </c>
      <c r="M171" s="118">
        <f t="shared" si="425"/>
        <v>0</v>
      </c>
      <c r="N171" s="116">
        <f t="shared" si="426"/>
        <v>0</v>
      </c>
      <c r="O171" s="117">
        <f t="shared" si="427"/>
        <v>0</v>
      </c>
      <c r="P171" s="119">
        <f t="shared" si="428"/>
        <v>0</v>
      </c>
      <c r="Q171" s="194">
        <f t="shared" si="429"/>
        <v>0</v>
      </c>
      <c r="R171" s="117">
        <f t="shared" si="430"/>
        <v>0</v>
      </c>
      <c r="S171" s="118">
        <f t="shared" si="431"/>
        <v>0</v>
      </c>
      <c r="T171" s="116">
        <f t="shared" si="432"/>
        <v>0</v>
      </c>
      <c r="U171" s="117">
        <f t="shared" si="433"/>
        <v>0</v>
      </c>
      <c r="V171" s="119">
        <f t="shared" si="434"/>
        <v>0</v>
      </c>
      <c r="W171" s="194">
        <f t="shared" si="435"/>
        <v>0</v>
      </c>
      <c r="X171" s="117">
        <f t="shared" si="436"/>
        <v>0</v>
      </c>
      <c r="Y171" s="118">
        <f t="shared" si="437"/>
        <v>0</v>
      </c>
      <c r="Z171" s="116">
        <f t="shared" si="438"/>
        <v>0</v>
      </c>
      <c r="AA171" s="117">
        <f t="shared" si="439"/>
        <v>0</v>
      </c>
      <c r="AB171" s="119">
        <f t="shared" si="440"/>
        <v>0</v>
      </c>
      <c r="AC171" s="194">
        <f t="shared" si="441"/>
        <v>0</v>
      </c>
      <c r="AD171" s="117">
        <f t="shared" si="442"/>
        <v>0</v>
      </c>
      <c r="AE171" s="118">
        <f t="shared" si="443"/>
        <v>0</v>
      </c>
      <c r="AF171" s="116">
        <f t="shared" si="444"/>
        <v>0</v>
      </c>
      <c r="AG171" s="117">
        <f t="shared" si="445"/>
        <v>0</v>
      </c>
      <c r="AH171" s="119">
        <f t="shared" si="446"/>
        <v>0</v>
      </c>
      <c r="AI171" s="194">
        <f t="shared" si="447"/>
        <v>0</v>
      </c>
      <c r="AJ171" s="117">
        <f t="shared" si="448"/>
        <v>0</v>
      </c>
      <c r="AK171" s="118">
        <f t="shared" si="449"/>
        <v>0</v>
      </c>
      <c r="AL171" s="116">
        <f t="shared" si="450"/>
        <v>0</v>
      </c>
      <c r="AM171" s="117">
        <f t="shared" si="451"/>
        <v>0</v>
      </c>
      <c r="AN171" s="119">
        <f t="shared" si="452"/>
        <v>0</v>
      </c>
      <c r="AO171" s="194">
        <f t="shared" si="453"/>
        <v>0</v>
      </c>
      <c r="AP171" s="117">
        <f t="shared" si="454"/>
        <v>0</v>
      </c>
      <c r="AQ171" s="118">
        <f t="shared" si="455"/>
        <v>0</v>
      </c>
      <c r="AR171" s="116">
        <f t="shared" si="456"/>
        <v>0</v>
      </c>
      <c r="AS171" s="117">
        <f t="shared" si="457"/>
        <v>0</v>
      </c>
      <c r="AT171" s="119">
        <f t="shared" si="458"/>
        <v>0</v>
      </c>
      <c r="AU171" s="194">
        <f t="shared" si="459"/>
        <v>0</v>
      </c>
      <c r="AV171" s="117">
        <f t="shared" si="460"/>
        <v>0</v>
      </c>
      <c r="AW171" s="118">
        <f t="shared" si="461"/>
        <v>0</v>
      </c>
      <c r="AX171" s="116">
        <f t="shared" si="462"/>
        <v>0</v>
      </c>
      <c r="AY171" s="117">
        <f t="shared" si="463"/>
        <v>0</v>
      </c>
      <c r="AZ171" s="119">
        <f t="shared" si="464"/>
        <v>0</v>
      </c>
      <c r="BA171" s="194">
        <f t="shared" si="465"/>
        <v>0</v>
      </c>
      <c r="BB171" s="117">
        <f t="shared" si="466"/>
        <v>0</v>
      </c>
      <c r="BC171" s="118">
        <f t="shared" si="467"/>
        <v>0</v>
      </c>
      <c r="BD171" s="116">
        <f t="shared" si="468"/>
        <v>0</v>
      </c>
      <c r="BE171" s="117">
        <f t="shared" si="469"/>
        <v>0</v>
      </c>
      <c r="BF171" s="119">
        <f t="shared" si="470"/>
        <v>0</v>
      </c>
      <c r="BG171" s="194">
        <f t="shared" si="471"/>
        <v>0</v>
      </c>
      <c r="BH171" s="117">
        <f t="shared" si="472"/>
        <v>0</v>
      </c>
      <c r="BI171" s="118">
        <f t="shared" si="473"/>
        <v>0</v>
      </c>
      <c r="BJ171" s="116">
        <f t="shared" si="474"/>
        <v>0</v>
      </c>
      <c r="BK171" s="117">
        <f t="shared" si="475"/>
        <v>0</v>
      </c>
      <c r="BL171" s="119">
        <f t="shared" si="476"/>
        <v>0</v>
      </c>
      <c r="BM171" s="194">
        <f t="shared" si="477"/>
        <v>0</v>
      </c>
      <c r="BN171" s="117">
        <f t="shared" si="478"/>
        <v>0</v>
      </c>
      <c r="BO171" s="118">
        <f t="shared" si="479"/>
        <v>0</v>
      </c>
      <c r="BP171" s="116">
        <f t="shared" si="480"/>
        <v>0</v>
      </c>
      <c r="BQ171" s="117">
        <f t="shared" si="481"/>
        <v>0</v>
      </c>
      <c r="BR171" s="119">
        <f t="shared" si="626"/>
        <v>0</v>
      </c>
      <c r="BS171" s="194">
        <f t="shared" si="482"/>
        <v>0</v>
      </c>
      <c r="BT171" s="117">
        <f t="shared" si="483"/>
        <v>0</v>
      </c>
      <c r="BU171" s="118">
        <f t="shared" si="484"/>
        <v>0</v>
      </c>
      <c r="BV171" s="116">
        <f t="shared" si="485"/>
        <v>0</v>
      </c>
      <c r="BW171" s="117">
        <f t="shared" si="486"/>
        <v>0</v>
      </c>
      <c r="BX171" s="119">
        <f t="shared" si="487"/>
        <v>0</v>
      </c>
      <c r="BY171" s="194">
        <f t="shared" si="488"/>
        <v>0</v>
      </c>
      <c r="BZ171" s="117">
        <f t="shared" si="489"/>
        <v>0</v>
      </c>
      <c r="CA171" s="118">
        <f t="shared" si="490"/>
        <v>0</v>
      </c>
      <c r="CB171" s="116">
        <f t="shared" si="491"/>
        <v>0</v>
      </c>
      <c r="CC171" s="117">
        <f t="shared" si="492"/>
        <v>0</v>
      </c>
      <c r="CD171" s="119">
        <f t="shared" si="493"/>
        <v>0</v>
      </c>
      <c r="CE171" s="194">
        <f t="shared" si="494"/>
        <v>0</v>
      </c>
      <c r="CF171" s="117">
        <f t="shared" si="495"/>
        <v>0</v>
      </c>
      <c r="CG171" s="118">
        <f t="shared" si="496"/>
        <v>0</v>
      </c>
      <c r="CH171" s="116">
        <f t="shared" si="497"/>
        <v>0</v>
      </c>
      <c r="CI171" s="117">
        <f t="shared" si="498"/>
        <v>0</v>
      </c>
      <c r="CJ171" s="119">
        <f t="shared" si="499"/>
        <v>0</v>
      </c>
      <c r="CK171" s="194">
        <f t="shared" si="500"/>
        <v>0</v>
      </c>
      <c r="CL171" s="194">
        <f t="shared" si="501"/>
        <v>0</v>
      </c>
      <c r="CM171" s="386">
        <f t="shared" si="502"/>
        <v>0</v>
      </c>
      <c r="CN171" s="239">
        <f t="shared" si="503"/>
        <v>0</v>
      </c>
      <c r="CO171" s="43">
        <f t="shared" si="504"/>
        <v>0</v>
      </c>
      <c r="CP171" s="57">
        <f t="shared" si="505"/>
        <v>0</v>
      </c>
      <c r="CQ171" s="194">
        <f t="shared" si="506"/>
        <v>0</v>
      </c>
      <c r="CR171" s="117">
        <f t="shared" si="507"/>
        <v>0</v>
      </c>
      <c r="CS171" s="119">
        <f t="shared" si="508"/>
        <v>0</v>
      </c>
      <c r="CT171" s="194">
        <f t="shared" si="509"/>
        <v>0</v>
      </c>
      <c r="CU171" s="117">
        <f t="shared" si="510"/>
        <v>0</v>
      </c>
      <c r="CV171" s="119">
        <f t="shared" si="511"/>
        <v>0</v>
      </c>
      <c r="CW171" s="194">
        <f t="shared" si="512"/>
        <v>0</v>
      </c>
      <c r="CX171" s="117">
        <f t="shared" si="513"/>
        <v>0</v>
      </c>
      <c r="CY171" s="119">
        <f t="shared" si="514"/>
        <v>0</v>
      </c>
      <c r="CZ171" s="194">
        <f t="shared" si="515"/>
        <v>0</v>
      </c>
      <c r="DA171" s="117">
        <f t="shared" si="516"/>
        <v>0</v>
      </c>
      <c r="DB171" s="119">
        <f t="shared" si="517"/>
        <v>0</v>
      </c>
      <c r="DC171" s="116">
        <f t="shared" si="518"/>
        <v>0</v>
      </c>
      <c r="DD171" s="117">
        <f t="shared" si="519"/>
        <v>0</v>
      </c>
      <c r="DE171" s="119">
        <f t="shared" si="520"/>
        <v>0</v>
      </c>
      <c r="DF171" s="194">
        <f t="shared" si="521"/>
        <v>0</v>
      </c>
      <c r="DG171" s="117">
        <f t="shared" si="522"/>
        <v>0</v>
      </c>
      <c r="DH171" s="118">
        <f t="shared" si="523"/>
        <v>0</v>
      </c>
      <c r="DI171" s="116">
        <f t="shared" si="524"/>
        <v>0</v>
      </c>
      <c r="DJ171" s="117">
        <f t="shared" si="525"/>
        <v>0</v>
      </c>
      <c r="DK171" s="119">
        <f t="shared" si="526"/>
        <v>0</v>
      </c>
      <c r="DL171" s="194">
        <f t="shared" si="527"/>
        <v>0</v>
      </c>
      <c r="DM171" s="117">
        <f t="shared" si="528"/>
        <v>0</v>
      </c>
      <c r="DN171" s="118">
        <f t="shared" si="529"/>
        <v>0</v>
      </c>
      <c r="DO171" s="116">
        <f t="shared" si="530"/>
        <v>0</v>
      </c>
      <c r="DP171" s="117">
        <f t="shared" si="531"/>
        <v>0</v>
      </c>
      <c r="DQ171" s="119">
        <f t="shared" si="532"/>
        <v>0</v>
      </c>
      <c r="DR171" s="194">
        <f t="shared" si="533"/>
        <v>0</v>
      </c>
      <c r="DS171" s="117">
        <f t="shared" si="534"/>
        <v>0</v>
      </c>
      <c r="DT171" s="118">
        <f t="shared" si="535"/>
        <v>0</v>
      </c>
      <c r="DU171" s="116">
        <f t="shared" si="536"/>
        <v>0</v>
      </c>
      <c r="DV171" s="117">
        <f t="shared" si="537"/>
        <v>0</v>
      </c>
      <c r="DW171" s="119">
        <f t="shared" si="538"/>
        <v>0</v>
      </c>
      <c r="DX171" s="194">
        <f t="shared" si="539"/>
        <v>0</v>
      </c>
      <c r="DY171" s="117">
        <f t="shared" si="540"/>
        <v>0</v>
      </c>
      <c r="DZ171" s="118">
        <f t="shared" si="541"/>
        <v>0</v>
      </c>
      <c r="EA171" s="116">
        <f t="shared" si="542"/>
        <v>0</v>
      </c>
      <c r="EB171" s="117">
        <f t="shared" si="543"/>
        <v>0</v>
      </c>
      <c r="EC171" s="119">
        <f t="shared" si="544"/>
        <v>0</v>
      </c>
      <c r="ED171" s="194">
        <f t="shared" si="545"/>
        <v>0</v>
      </c>
      <c r="EE171" s="117">
        <f t="shared" si="546"/>
        <v>0</v>
      </c>
      <c r="EF171" s="118">
        <f t="shared" si="547"/>
        <v>0</v>
      </c>
      <c r="EG171" s="116">
        <f t="shared" si="548"/>
        <v>0</v>
      </c>
      <c r="EH171" s="117">
        <f t="shared" si="549"/>
        <v>0</v>
      </c>
      <c r="EI171" s="119">
        <f t="shared" si="550"/>
        <v>0</v>
      </c>
      <c r="EJ171" s="194">
        <f t="shared" si="551"/>
        <v>0</v>
      </c>
      <c r="EK171" s="117">
        <f t="shared" si="552"/>
        <v>0</v>
      </c>
      <c r="EL171" s="118">
        <f t="shared" si="553"/>
        <v>0</v>
      </c>
      <c r="EM171" s="116">
        <f t="shared" si="554"/>
        <v>0</v>
      </c>
      <c r="EN171" s="117">
        <f t="shared" si="555"/>
        <v>0</v>
      </c>
      <c r="EO171" s="119">
        <f t="shared" si="556"/>
        <v>0</v>
      </c>
      <c r="EP171" s="194">
        <f t="shared" si="557"/>
        <v>0</v>
      </c>
      <c r="EQ171" s="117">
        <f t="shared" si="558"/>
        <v>0</v>
      </c>
      <c r="ER171" s="118">
        <f t="shared" si="559"/>
        <v>0</v>
      </c>
      <c r="ES171" s="116">
        <f t="shared" si="560"/>
        <v>0</v>
      </c>
      <c r="ET171" s="117">
        <f t="shared" si="561"/>
        <v>0</v>
      </c>
      <c r="EU171" s="119">
        <f t="shared" si="562"/>
        <v>0</v>
      </c>
      <c r="EV171" s="194">
        <f t="shared" si="563"/>
        <v>0</v>
      </c>
      <c r="EW171" s="117">
        <f t="shared" si="564"/>
        <v>0</v>
      </c>
      <c r="EX171" s="118">
        <f t="shared" si="565"/>
        <v>0</v>
      </c>
      <c r="EY171" s="116">
        <f t="shared" si="566"/>
        <v>0</v>
      </c>
      <c r="EZ171" s="117">
        <f t="shared" si="567"/>
        <v>0</v>
      </c>
      <c r="FA171" s="119">
        <f t="shared" si="568"/>
        <v>0</v>
      </c>
      <c r="FB171" s="194">
        <f t="shared" si="569"/>
        <v>0</v>
      </c>
      <c r="FC171" s="117">
        <f t="shared" si="570"/>
        <v>0</v>
      </c>
      <c r="FD171" s="118">
        <f t="shared" si="571"/>
        <v>0</v>
      </c>
      <c r="FE171" s="116">
        <f t="shared" si="572"/>
        <v>0</v>
      </c>
      <c r="FF171" s="117">
        <f t="shared" si="573"/>
        <v>0</v>
      </c>
      <c r="FG171" s="119">
        <f t="shared" si="574"/>
        <v>0</v>
      </c>
      <c r="FH171" s="194">
        <f t="shared" si="575"/>
        <v>0</v>
      </c>
      <c r="FI171" s="117">
        <f t="shared" si="576"/>
        <v>0</v>
      </c>
      <c r="FJ171" s="118">
        <f t="shared" si="577"/>
        <v>0</v>
      </c>
      <c r="FK171" s="116">
        <f t="shared" si="578"/>
        <v>0</v>
      </c>
      <c r="FL171" s="117">
        <f t="shared" si="579"/>
        <v>0</v>
      </c>
      <c r="FM171" s="119">
        <f t="shared" si="580"/>
        <v>0</v>
      </c>
      <c r="FN171" s="194">
        <f t="shared" si="581"/>
        <v>0</v>
      </c>
      <c r="FO171" s="117">
        <f t="shared" si="582"/>
        <v>0</v>
      </c>
      <c r="FP171" s="118">
        <f t="shared" si="583"/>
        <v>0</v>
      </c>
      <c r="FQ171" s="116">
        <f t="shared" si="584"/>
        <v>0</v>
      </c>
      <c r="FR171" s="117">
        <f t="shared" si="585"/>
        <v>0</v>
      </c>
      <c r="FS171" s="119">
        <f t="shared" si="627"/>
        <v>0</v>
      </c>
      <c r="FT171" s="194">
        <f t="shared" si="586"/>
        <v>0</v>
      </c>
      <c r="FU171" s="117">
        <f t="shared" si="587"/>
        <v>0</v>
      </c>
      <c r="FV171" s="118">
        <f t="shared" si="588"/>
        <v>0</v>
      </c>
      <c r="FW171" s="116">
        <f t="shared" si="589"/>
        <v>0</v>
      </c>
      <c r="FX171" s="117">
        <f t="shared" si="590"/>
        <v>0</v>
      </c>
      <c r="FY171" s="119">
        <f t="shared" si="591"/>
        <v>0</v>
      </c>
      <c r="FZ171" s="194">
        <f t="shared" si="592"/>
        <v>0</v>
      </c>
      <c r="GA171" s="117">
        <f t="shared" si="593"/>
        <v>0</v>
      </c>
      <c r="GB171" s="118">
        <f t="shared" si="594"/>
        <v>0</v>
      </c>
      <c r="GC171" s="116">
        <f t="shared" si="595"/>
        <v>0</v>
      </c>
      <c r="GD171" s="117">
        <f t="shared" si="596"/>
        <v>0</v>
      </c>
      <c r="GE171" s="119">
        <f t="shared" si="597"/>
        <v>0</v>
      </c>
      <c r="GF171" s="194">
        <f t="shared" si="598"/>
        <v>0</v>
      </c>
      <c r="GG171" s="117">
        <f t="shared" si="599"/>
        <v>0</v>
      </c>
      <c r="GH171" s="118">
        <f t="shared" si="600"/>
        <v>0</v>
      </c>
      <c r="GI171" s="116">
        <f t="shared" si="601"/>
        <v>0</v>
      </c>
      <c r="GJ171" s="117">
        <f t="shared" si="602"/>
        <v>0</v>
      </c>
      <c r="GK171" s="119">
        <f t="shared" si="603"/>
        <v>0</v>
      </c>
      <c r="GL171" s="194">
        <f t="shared" si="604"/>
        <v>0</v>
      </c>
      <c r="GM171" s="194">
        <f t="shared" si="605"/>
        <v>0</v>
      </c>
      <c r="GN171" s="386">
        <f t="shared" si="606"/>
        <v>0</v>
      </c>
      <c r="GO171" s="239">
        <f t="shared" si="607"/>
        <v>0</v>
      </c>
      <c r="GP171" s="43">
        <f t="shared" si="608"/>
        <v>0</v>
      </c>
      <c r="GQ171" s="57">
        <f t="shared" si="609"/>
        <v>0</v>
      </c>
      <c r="GR171" s="194">
        <f t="shared" si="610"/>
        <v>0</v>
      </c>
      <c r="GS171" s="117">
        <f t="shared" si="611"/>
        <v>0</v>
      </c>
      <c r="GT171" s="119">
        <f t="shared" si="612"/>
        <v>0</v>
      </c>
      <c r="GU171" s="194">
        <f t="shared" si="613"/>
        <v>0</v>
      </c>
      <c r="GV171" s="117">
        <f t="shared" si="614"/>
        <v>0</v>
      </c>
      <c r="GW171" s="119">
        <f t="shared" si="615"/>
        <v>0</v>
      </c>
      <c r="GX171" s="194">
        <f t="shared" si="616"/>
        <v>0</v>
      </c>
      <c r="GY171" s="117">
        <f t="shared" si="617"/>
        <v>0</v>
      </c>
      <c r="GZ171" s="119">
        <f t="shared" si="618"/>
        <v>0</v>
      </c>
      <c r="HA171" s="194">
        <f t="shared" si="619"/>
        <v>0</v>
      </c>
      <c r="HB171" s="117">
        <f t="shared" si="620"/>
        <v>0</v>
      </c>
      <c r="HC171" s="119">
        <f t="shared" si="621"/>
        <v>0</v>
      </c>
      <c r="HD171" s="368">
        <f t="shared" si="622"/>
        <v>0</v>
      </c>
      <c r="HE171" s="369">
        <f t="shared" si="623"/>
        <v>0</v>
      </c>
      <c r="HF171" s="369">
        <f t="shared" si="624"/>
        <v>0</v>
      </c>
      <c r="HG171" s="147">
        <f t="shared" si="625"/>
        <v>0</v>
      </c>
    </row>
    <row r="172" spans="1:215" ht="15.75" thickBot="1">
      <c r="A172" s="353">
        <v>22</v>
      </c>
      <c r="B172" s="116">
        <f t="shared" si="414"/>
        <v>0</v>
      </c>
      <c r="C172" s="117">
        <f t="shared" si="415"/>
        <v>0</v>
      </c>
      <c r="D172" s="119">
        <f t="shared" si="416"/>
        <v>0</v>
      </c>
      <c r="E172" s="194">
        <f t="shared" si="417"/>
        <v>0</v>
      </c>
      <c r="F172" s="117">
        <f t="shared" si="418"/>
        <v>0</v>
      </c>
      <c r="G172" s="118">
        <f t="shared" si="419"/>
        <v>0</v>
      </c>
      <c r="H172" s="116">
        <f t="shared" si="420"/>
        <v>0</v>
      </c>
      <c r="I172" s="117">
        <f t="shared" si="421"/>
        <v>0</v>
      </c>
      <c r="J172" s="119">
        <f t="shared" si="422"/>
        <v>0</v>
      </c>
      <c r="K172" s="194">
        <f t="shared" si="423"/>
        <v>0</v>
      </c>
      <c r="L172" s="117">
        <f t="shared" si="424"/>
        <v>0</v>
      </c>
      <c r="M172" s="118">
        <f t="shared" si="425"/>
        <v>0</v>
      </c>
      <c r="N172" s="116">
        <f t="shared" si="426"/>
        <v>0</v>
      </c>
      <c r="O172" s="117">
        <f t="shared" si="427"/>
        <v>0</v>
      </c>
      <c r="P172" s="119">
        <f t="shared" si="428"/>
        <v>0</v>
      </c>
      <c r="Q172" s="194">
        <f t="shared" si="429"/>
        <v>0</v>
      </c>
      <c r="R172" s="117">
        <f t="shared" si="430"/>
        <v>0</v>
      </c>
      <c r="S172" s="118">
        <f t="shared" si="431"/>
        <v>0</v>
      </c>
      <c r="T172" s="116">
        <f t="shared" si="432"/>
        <v>0</v>
      </c>
      <c r="U172" s="117">
        <f t="shared" si="433"/>
        <v>0</v>
      </c>
      <c r="V172" s="119">
        <f t="shared" si="434"/>
        <v>0</v>
      </c>
      <c r="W172" s="194">
        <f t="shared" si="435"/>
        <v>0</v>
      </c>
      <c r="X172" s="117">
        <f t="shared" si="436"/>
        <v>0</v>
      </c>
      <c r="Y172" s="118">
        <f t="shared" si="437"/>
        <v>0</v>
      </c>
      <c r="Z172" s="116">
        <f t="shared" si="438"/>
        <v>0</v>
      </c>
      <c r="AA172" s="117">
        <f t="shared" si="439"/>
        <v>0</v>
      </c>
      <c r="AB172" s="119">
        <f t="shared" si="440"/>
        <v>0</v>
      </c>
      <c r="AC172" s="194">
        <f t="shared" si="441"/>
        <v>0</v>
      </c>
      <c r="AD172" s="117">
        <f t="shared" si="442"/>
        <v>0</v>
      </c>
      <c r="AE172" s="118">
        <f t="shared" si="443"/>
        <v>0</v>
      </c>
      <c r="AF172" s="116">
        <f t="shared" si="444"/>
        <v>0</v>
      </c>
      <c r="AG172" s="117">
        <f t="shared" si="445"/>
        <v>0</v>
      </c>
      <c r="AH172" s="119">
        <f t="shared" si="446"/>
        <v>0</v>
      </c>
      <c r="AI172" s="194">
        <f t="shared" si="447"/>
        <v>0</v>
      </c>
      <c r="AJ172" s="117">
        <f t="shared" si="448"/>
        <v>0</v>
      </c>
      <c r="AK172" s="118">
        <f t="shared" si="449"/>
        <v>0</v>
      </c>
      <c r="AL172" s="116">
        <f t="shared" si="450"/>
        <v>0</v>
      </c>
      <c r="AM172" s="117">
        <f t="shared" si="451"/>
        <v>0</v>
      </c>
      <c r="AN172" s="119">
        <f t="shared" si="452"/>
        <v>0</v>
      </c>
      <c r="AO172" s="194">
        <f t="shared" si="453"/>
        <v>0</v>
      </c>
      <c r="AP172" s="117">
        <f t="shared" si="454"/>
        <v>0</v>
      </c>
      <c r="AQ172" s="118">
        <f t="shared" si="455"/>
        <v>0</v>
      </c>
      <c r="AR172" s="116">
        <f t="shared" si="456"/>
        <v>0</v>
      </c>
      <c r="AS172" s="117">
        <f t="shared" si="457"/>
        <v>0</v>
      </c>
      <c r="AT172" s="119">
        <f t="shared" si="458"/>
        <v>0</v>
      </c>
      <c r="AU172" s="194">
        <f t="shared" si="459"/>
        <v>0</v>
      </c>
      <c r="AV172" s="117">
        <f t="shared" si="460"/>
        <v>0</v>
      </c>
      <c r="AW172" s="118">
        <f t="shared" si="461"/>
        <v>0</v>
      </c>
      <c r="AX172" s="116">
        <f t="shared" si="462"/>
        <v>0</v>
      </c>
      <c r="AY172" s="117">
        <f t="shared" si="463"/>
        <v>0</v>
      </c>
      <c r="AZ172" s="119">
        <f t="shared" si="464"/>
        <v>0</v>
      </c>
      <c r="BA172" s="194">
        <f t="shared" si="465"/>
        <v>0</v>
      </c>
      <c r="BB172" s="117">
        <f t="shared" si="466"/>
        <v>0</v>
      </c>
      <c r="BC172" s="118">
        <f t="shared" si="467"/>
        <v>0</v>
      </c>
      <c r="BD172" s="116">
        <f t="shared" si="468"/>
        <v>0</v>
      </c>
      <c r="BE172" s="117">
        <f t="shared" si="469"/>
        <v>0</v>
      </c>
      <c r="BF172" s="119">
        <f t="shared" si="470"/>
        <v>0</v>
      </c>
      <c r="BG172" s="194">
        <f t="shared" si="471"/>
        <v>0</v>
      </c>
      <c r="BH172" s="117">
        <f t="shared" si="472"/>
        <v>0</v>
      </c>
      <c r="BI172" s="118">
        <f t="shared" si="473"/>
        <v>0</v>
      </c>
      <c r="BJ172" s="116">
        <f t="shared" si="474"/>
        <v>0</v>
      </c>
      <c r="BK172" s="117">
        <f t="shared" si="475"/>
        <v>0</v>
      </c>
      <c r="BL172" s="119">
        <f t="shared" si="476"/>
        <v>0</v>
      </c>
      <c r="BM172" s="194">
        <f t="shared" si="477"/>
        <v>0</v>
      </c>
      <c r="BN172" s="117">
        <f t="shared" si="478"/>
        <v>0</v>
      </c>
      <c r="BO172" s="118">
        <f t="shared" si="479"/>
        <v>0</v>
      </c>
      <c r="BP172" s="116">
        <f t="shared" si="480"/>
        <v>0</v>
      </c>
      <c r="BQ172" s="117">
        <f t="shared" si="481"/>
        <v>0</v>
      </c>
      <c r="BR172" s="119">
        <f t="shared" si="626"/>
        <v>0</v>
      </c>
      <c r="BS172" s="194">
        <f t="shared" si="482"/>
        <v>0</v>
      </c>
      <c r="BT172" s="117">
        <f t="shared" si="483"/>
        <v>0</v>
      </c>
      <c r="BU172" s="118">
        <f t="shared" si="484"/>
        <v>0</v>
      </c>
      <c r="BV172" s="116">
        <f t="shared" si="485"/>
        <v>0</v>
      </c>
      <c r="BW172" s="117">
        <f t="shared" si="486"/>
        <v>0</v>
      </c>
      <c r="BX172" s="119">
        <f t="shared" si="487"/>
        <v>0</v>
      </c>
      <c r="BY172" s="194">
        <f t="shared" si="488"/>
        <v>0</v>
      </c>
      <c r="BZ172" s="117">
        <f t="shared" si="489"/>
        <v>0</v>
      </c>
      <c r="CA172" s="118">
        <f t="shared" si="490"/>
        <v>0</v>
      </c>
      <c r="CB172" s="116">
        <f t="shared" si="491"/>
        <v>0</v>
      </c>
      <c r="CC172" s="117">
        <f t="shared" si="492"/>
        <v>0</v>
      </c>
      <c r="CD172" s="119">
        <f t="shared" si="493"/>
        <v>0</v>
      </c>
      <c r="CE172" s="194">
        <f t="shared" si="494"/>
        <v>0</v>
      </c>
      <c r="CF172" s="117">
        <f t="shared" si="495"/>
        <v>0</v>
      </c>
      <c r="CG172" s="118">
        <f t="shared" si="496"/>
        <v>0</v>
      </c>
      <c r="CH172" s="116">
        <f t="shared" si="497"/>
        <v>0</v>
      </c>
      <c r="CI172" s="117">
        <f t="shared" si="498"/>
        <v>0</v>
      </c>
      <c r="CJ172" s="119">
        <f t="shared" si="499"/>
        <v>0</v>
      </c>
      <c r="CK172" s="194">
        <f t="shared" si="500"/>
        <v>0</v>
      </c>
      <c r="CL172" s="194">
        <f t="shared" si="501"/>
        <v>0</v>
      </c>
      <c r="CM172" s="386">
        <f t="shared" si="502"/>
        <v>0</v>
      </c>
      <c r="CN172" s="239">
        <f t="shared" si="503"/>
        <v>0</v>
      </c>
      <c r="CO172" s="43">
        <f t="shared" si="504"/>
        <v>0</v>
      </c>
      <c r="CP172" s="57">
        <f t="shared" si="505"/>
        <v>0</v>
      </c>
      <c r="CQ172" s="194">
        <f t="shared" si="506"/>
        <v>0</v>
      </c>
      <c r="CR172" s="117">
        <f t="shared" si="507"/>
        <v>0</v>
      </c>
      <c r="CS172" s="119">
        <f t="shared" si="508"/>
        <v>0</v>
      </c>
      <c r="CT172" s="194">
        <f t="shared" si="509"/>
        <v>0</v>
      </c>
      <c r="CU172" s="117">
        <f t="shared" si="510"/>
        <v>0</v>
      </c>
      <c r="CV172" s="119">
        <f t="shared" si="511"/>
        <v>0</v>
      </c>
      <c r="CW172" s="194">
        <f t="shared" si="512"/>
        <v>0</v>
      </c>
      <c r="CX172" s="117">
        <f t="shared" si="513"/>
        <v>0</v>
      </c>
      <c r="CY172" s="119">
        <f t="shared" si="514"/>
        <v>0</v>
      </c>
      <c r="CZ172" s="194">
        <f t="shared" si="515"/>
        <v>0</v>
      </c>
      <c r="DA172" s="117">
        <f t="shared" si="516"/>
        <v>0</v>
      </c>
      <c r="DB172" s="119">
        <f t="shared" si="517"/>
        <v>0</v>
      </c>
      <c r="DC172" s="116">
        <f t="shared" si="518"/>
        <v>0</v>
      </c>
      <c r="DD172" s="117">
        <f t="shared" si="519"/>
        <v>0</v>
      </c>
      <c r="DE172" s="119">
        <f t="shared" si="520"/>
        <v>0</v>
      </c>
      <c r="DF172" s="194">
        <f t="shared" si="521"/>
        <v>0</v>
      </c>
      <c r="DG172" s="117">
        <f t="shared" si="522"/>
        <v>0</v>
      </c>
      <c r="DH172" s="118">
        <f t="shared" si="523"/>
        <v>0</v>
      </c>
      <c r="DI172" s="116">
        <f t="shared" si="524"/>
        <v>0</v>
      </c>
      <c r="DJ172" s="117">
        <f t="shared" si="525"/>
        <v>0</v>
      </c>
      <c r="DK172" s="119">
        <f t="shared" si="526"/>
        <v>0</v>
      </c>
      <c r="DL172" s="194">
        <f t="shared" si="527"/>
        <v>0</v>
      </c>
      <c r="DM172" s="117">
        <f t="shared" si="528"/>
        <v>0</v>
      </c>
      <c r="DN172" s="118">
        <f t="shared" si="529"/>
        <v>0</v>
      </c>
      <c r="DO172" s="116">
        <f t="shared" si="530"/>
        <v>0</v>
      </c>
      <c r="DP172" s="117">
        <f t="shared" si="531"/>
        <v>0</v>
      </c>
      <c r="DQ172" s="119">
        <f t="shared" si="532"/>
        <v>0</v>
      </c>
      <c r="DR172" s="194">
        <f t="shared" si="533"/>
        <v>0</v>
      </c>
      <c r="DS172" s="117">
        <f t="shared" si="534"/>
        <v>0</v>
      </c>
      <c r="DT172" s="118">
        <f t="shared" si="535"/>
        <v>0</v>
      </c>
      <c r="DU172" s="116">
        <f t="shared" si="536"/>
        <v>0</v>
      </c>
      <c r="DV172" s="117">
        <f t="shared" si="537"/>
        <v>0</v>
      </c>
      <c r="DW172" s="119">
        <f t="shared" si="538"/>
        <v>0</v>
      </c>
      <c r="DX172" s="194">
        <f t="shared" si="539"/>
        <v>0</v>
      </c>
      <c r="DY172" s="117">
        <f t="shared" si="540"/>
        <v>0</v>
      </c>
      <c r="DZ172" s="118">
        <f t="shared" si="541"/>
        <v>0</v>
      </c>
      <c r="EA172" s="116">
        <f t="shared" si="542"/>
        <v>0</v>
      </c>
      <c r="EB172" s="117">
        <f t="shared" si="543"/>
        <v>0</v>
      </c>
      <c r="EC172" s="119">
        <f t="shared" si="544"/>
        <v>0</v>
      </c>
      <c r="ED172" s="194">
        <f t="shared" si="545"/>
        <v>0</v>
      </c>
      <c r="EE172" s="117">
        <f t="shared" si="546"/>
        <v>0</v>
      </c>
      <c r="EF172" s="118">
        <f t="shared" si="547"/>
        <v>0</v>
      </c>
      <c r="EG172" s="116">
        <f t="shared" si="548"/>
        <v>0</v>
      </c>
      <c r="EH172" s="117">
        <f t="shared" si="549"/>
        <v>0</v>
      </c>
      <c r="EI172" s="119">
        <f t="shared" si="550"/>
        <v>0</v>
      </c>
      <c r="EJ172" s="194">
        <f t="shared" si="551"/>
        <v>0</v>
      </c>
      <c r="EK172" s="117">
        <f t="shared" si="552"/>
        <v>0</v>
      </c>
      <c r="EL172" s="118">
        <f t="shared" si="553"/>
        <v>0</v>
      </c>
      <c r="EM172" s="116">
        <f t="shared" si="554"/>
        <v>0</v>
      </c>
      <c r="EN172" s="117">
        <f t="shared" si="555"/>
        <v>0</v>
      </c>
      <c r="EO172" s="119">
        <f t="shared" si="556"/>
        <v>0</v>
      </c>
      <c r="EP172" s="194">
        <f t="shared" si="557"/>
        <v>0</v>
      </c>
      <c r="EQ172" s="117">
        <f t="shared" si="558"/>
        <v>0</v>
      </c>
      <c r="ER172" s="118">
        <f t="shared" si="559"/>
        <v>0</v>
      </c>
      <c r="ES172" s="116">
        <f t="shared" si="560"/>
        <v>0</v>
      </c>
      <c r="ET172" s="117">
        <f t="shared" si="561"/>
        <v>0</v>
      </c>
      <c r="EU172" s="119">
        <f t="shared" si="562"/>
        <v>0</v>
      </c>
      <c r="EV172" s="194">
        <f t="shared" si="563"/>
        <v>0</v>
      </c>
      <c r="EW172" s="117">
        <f t="shared" si="564"/>
        <v>0</v>
      </c>
      <c r="EX172" s="118">
        <f t="shared" si="565"/>
        <v>0</v>
      </c>
      <c r="EY172" s="116">
        <f t="shared" si="566"/>
        <v>0</v>
      </c>
      <c r="EZ172" s="117">
        <f t="shared" si="567"/>
        <v>0</v>
      </c>
      <c r="FA172" s="119">
        <f t="shared" si="568"/>
        <v>0</v>
      </c>
      <c r="FB172" s="194">
        <f t="shared" si="569"/>
        <v>0</v>
      </c>
      <c r="FC172" s="117">
        <f t="shared" si="570"/>
        <v>0</v>
      </c>
      <c r="FD172" s="118">
        <f t="shared" si="571"/>
        <v>0</v>
      </c>
      <c r="FE172" s="116">
        <f t="shared" si="572"/>
        <v>0</v>
      </c>
      <c r="FF172" s="117">
        <f t="shared" si="573"/>
        <v>0</v>
      </c>
      <c r="FG172" s="119">
        <f t="shared" si="574"/>
        <v>0</v>
      </c>
      <c r="FH172" s="194">
        <f t="shared" si="575"/>
        <v>0</v>
      </c>
      <c r="FI172" s="117">
        <f t="shared" si="576"/>
        <v>0</v>
      </c>
      <c r="FJ172" s="118">
        <f t="shared" si="577"/>
        <v>0</v>
      </c>
      <c r="FK172" s="116">
        <f t="shared" si="578"/>
        <v>0</v>
      </c>
      <c r="FL172" s="117">
        <f t="shared" si="579"/>
        <v>0</v>
      </c>
      <c r="FM172" s="119">
        <f t="shared" si="580"/>
        <v>0</v>
      </c>
      <c r="FN172" s="194">
        <f t="shared" si="581"/>
        <v>0</v>
      </c>
      <c r="FO172" s="117">
        <f t="shared" si="582"/>
        <v>0</v>
      </c>
      <c r="FP172" s="118">
        <f t="shared" si="583"/>
        <v>0</v>
      </c>
      <c r="FQ172" s="116">
        <f t="shared" si="584"/>
        <v>0</v>
      </c>
      <c r="FR172" s="117">
        <f t="shared" si="585"/>
        <v>0</v>
      </c>
      <c r="FS172" s="119">
        <f t="shared" si="627"/>
        <v>0</v>
      </c>
      <c r="FT172" s="194">
        <f t="shared" si="586"/>
        <v>0</v>
      </c>
      <c r="FU172" s="117">
        <f t="shared" si="587"/>
        <v>0</v>
      </c>
      <c r="FV172" s="118">
        <f t="shared" si="588"/>
        <v>0</v>
      </c>
      <c r="FW172" s="116">
        <f t="shared" si="589"/>
        <v>0</v>
      </c>
      <c r="FX172" s="117">
        <f t="shared" si="590"/>
        <v>0</v>
      </c>
      <c r="FY172" s="119">
        <f t="shared" si="591"/>
        <v>0</v>
      </c>
      <c r="FZ172" s="194">
        <f t="shared" si="592"/>
        <v>0</v>
      </c>
      <c r="GA172" s="117">
        <f t="shared" si="593"/>
        <v>0</v>
      </c>
      <c r="GB172" s="118">
        <f t="shared" si="594"/>
        <v>0</v>
      </c>
      <c r="GC172" s="116">
        <f t="shared" si="595"/>
        <v>0</v>
      </c>
      <c r="GD172" s="117">
        <f t="shared" si="596"/>
        <v>0</v>
      </c>
      <c r="GE172" s="119">
        <f t="shared" si="597"/>
        <v>0</v>
      </c>
      <c r="GF172" s="194">
        <f t="shared" si="598"/>
        <v>0</v>
      </c>
      <c r="GG172" s="117">
        <f t="shared" si="599"/>
        <v>0</v>
      </c>
      <c r="GH172" s="118">
        <f t="shared" si="600"/>
        <v>0</v>
      </c>
      <c r="GI172" s="116">
        <f t="shared" si="601"/>
        <v>0</v>
      </c>
      <c r="GJ172" s="117">
        <f t="shared" si="602"/>
        <v>0</v>
      </c>
      <c r="GK172" s="119">
        <f t="shared" si="603"/>
        <v>0</v>
      </c>
      <c r="GL172" s="194">
        <f t="shared" si="604"/>
        <v>0</v>
      </c>
      <c r="GM172" s="194">
        <f t="shared" si="605"/>
        <v>0</v>
      </c>
      <c r="GN172" s="386">
        <f t="shared" si="606"/>
        <v>0</v>
      </c>
      <c r="GO172" s="239">
        <f t="shared" si="607"/>
        <v>0</v>
      </c>
      <c r="GP172" s="43">
        <f t="shared" si="608"/>
        <v>0</v>
      </c>
      <c r="GQ172" s="57">
        <f t="shared" si="609"/>
        <v>0</v>
      </c>
      <c r="GR172" s="194">
        <f t="shared" si="610"/>
        <v>0</v>
      </c>
      <c r="GS172" s="117">
        <f t="shared" si="611"/>
        <v>0</v>
      </c>
      <c r="GT172" s="119">
        <f t="shared" si="612"/>
        <v>0</v>
      </c>
      <c r="GU172" s="194">
        <f t="shared" si="613"/>
        <v>0</v>
      </c>
      <c r="GV172" s="117">
        <f t="shared" si="614"/>
        <v>0</v>
      </c>
      <c r="GW172" s="119">
        <f t="shared" si="615"/>
        <v>0</v>
      </c>
      <c r="GX172" s="194">
        <f t="shared" si="616"/>
        <v>0</v>
      </c>
      <c r="GY172" s="117">
        <f t="shared" si="617"/>
        <v>0</v>
      </c>
      <c r="GZ172" s="119">
        <f t="shared" si="618"/>
        <v>0</v>
      </c>
      <c r="HA172" s="194">
        <f t="shared" si="619"/>
        <v>0</v>
      </c>
      <c r="HB172" s="117">
        <f t="shared" si="620"/>
        <v>0</v>
      </c>
      <c r="HC172" s="119">
        <f t="shared" si="621"/>
        <v>0</v>
      </c>
      <c r="HD172" s="368">
        <f t="shared" si="622"/>
        <v>0</v>
      </c>
      <c r="HE172" s="369">
        <f t="shared" si="623"/>
        <v>0</v>
      </c>
      <c r="HF172" s="369">
        <f t="shared" si="624"/>
        <v>0</v>
      </c>
      <c r="HG172" s="147">
        <f t="shared" si="625"/>
        <v>0</v>
      </c>
    </row>
    <row r="173" spans="1:215" ht="15.75" thickBot="1">
      <c r="A173" s="238">
        <v>23</v>
      </c>
      <c r="B173" s="116">
        <f t="shared" si="414"/>
        <v>0</v>
      </c>
      <c r="C173" s="117">
        <f t="shared" si="415"/>
        <v>0</v>
      </c>
      <c r="D173" s="119">
        <f t="shared" si="416"/>
        <v>0</v>
      </c>
      <c r="E173" s="194">
        <f t="shared" si="417"/>
        <v>0</v>
      </c>
      <c r="F173" s="117">
        <f t="shared" si="418"/>
        <v>0</v>
      </c>
      <c r="G173" s="118">
        <f t="shared" si="419"/>
        <v>0</v>
      </c>
      <c r="H173" s="116">
        <f t="shared" si="420"/>
        <v>0</v>
      </c>
      <c r="I173" s="117">
        <f t="shared" si="421"/>
        <v>0</v>
      </c>
      <c r="J173" s="119">
        <f t="shared" si="422"/>
        <v>0</v>
      </c>
      <c r="K173" s="194">
        <f t="shared" si="423"/>
        <v>0</v>
      </c>
      <c r="L173" s="117">
        <f t="shared" si="424"/>
        <v>0</v>
      </c>
      <c r="M173" s="118">
        <f t="shared" si="425"/>
        <v>0</v>
      </c>
      <c r="N173" s="116">
        <f t="shared" si="426"/>
        <v>0</v>
      </c>
      <c r="O173" s="117">
        <f t="shared" si="427"/>
        <v>0</v>
      </c>
      <c r="P173" s="119">
        <f t="shared" si="428"/>
        <v>0</v>
      </c>
      <c r="Q173" s="194">
        <f t="shared" si="429"/>
        <v>0</v>
      </c>
      <c r="R173" s="117">
        <f t="shared" si="430"/>
        <v>0</v>
      </c>
      <c r="S173" s="118">
        <f t="shared" si="431"/>
        <v>0</v>
      </c>
      <c r="T173" s="116">
        <f t="shared" si="432"/>
        <v>0</v>
      </c>
      <c r="U173" s="117">
        <f t="shared" si="433"/>
        <v>0</v>
      </c>
      <c r="V173" s="119">
        <f t="shared" si="434"/>
        <v>0</v>
      </c>
      <c r="W173" s="194">
        <f t="shared" si="435"/>
        <v>0</v>
      </c>
      <c r="X173" s="117">
        <f t="shared" si="436"/>
        <v>0</v>
      </c>
      <c r="Y173" s="118">
        <f t="shared" si="437"/>
        <v>0</v>
      </c>
      <c r="Z173" s="116">
        <f t="shared" si="438"/>
        <v>0</v>
      </c>
      <c r="AA173" s="117">
        <f t="shared" si="439"/>
        <v>0</v>
      </c>
      <c r="AB173" s="119">
        <f t="shared" si="440"/>
        <v>0</v>
      </c>
      <c r="AC173" s="194">
        <f t="shared" si="441"/>
        <v>0</v>
      </c>
      <c r="AD173" s="117">
        <f t="shared" si="442"/>
        <v>0</v>
      </c>
      <c r="AE173" s="118">
        <f t="shared" si="443"/>
        <v>0</v>
      </c>
      <c r="AF173" s="116">
        <f t="shared" si="444"/>
        <v>0</v>
      </c>
      <c r="AG173" s="117">
        <f t="shared" si="445"/>
        <v>0</v>
      </c>
      <c r="AH173" s="119">
        <f t="shared" si="446"/>
        <v>0</v>
      </c>
      <c r="AI173" s="194">
        <f t="shared" si="447"/>
        <v>0</v>
      </c>
      <c r="AJ173" s="117">
        <f t="shared" si="448"/>
        <v>0</v>
      </c>
      <c r="AK173" s="118">
        <f t="shared" si="449"/>
        <v>0</v>
      </c>
      <c r="AL173" s="116">
        <f t="shared" si="450"/>
        <v>0</v>
      </c>
      <c r="AM173" s="117">
        <f t="shared" si="451"/>
        <v>0</v>
      </c>
      <c r="AN173" s="119">
        <f t="shared" si="452"/>
        <v>0</v>
      </c>
      <c r="AO173" s="194">
        <f t="shared" si="453"/>
        <v>0</v>
      </c>
      <c r="AP173" s="117">
        <f t="shared" si="454"/>
        <v>0</v>
      </c>
      <c r="AQ173" s="118">
        <f t="shared" si="455"/>
        <v>0</v>
      </c>
      <c r="AR173" s="116">
        <f t="shared" si="456"/>
        <v>0</v>
      </c>
      <c r="AS173" s="117">
        <f t="shared" si="457"/>
        <v>0</v>
      </c>
      <c r="AT173" s="119">
        <f t="shared" si="458"/>
        <v>0</v>
      </c>
      <c r="AU173" s="194">
        <f t="shared" si="459"/>
        <v>0</v>
      </c>
      <c r="AV173" s="117">
        <f t="shared" si="460"/>
        <v>0</v>
      </c>
      <c r="AW173" s="118">
        <f t="shared" si="461"/>
        <v>0</v>
      </c>
      <c r="AX173" s="116">
        <f t="shared" si="462"/>
        <v>0</v>
      </c>
      <c r="AY173" s="117">
        <f t="shared" si="463"/>
        <v>0</v>
      </c>
      <c r="AZ173" s="119">
        <f t="shared" si="464"/>
        <v>0</v>
      </c>
      <c r="BA173" s="194">
        <f t="shared" si="465"/>
        <v>0</v>
      </c>
      <c r="BB173" s="117">
        <f t="shared" si="466"/>
        <v>0</v>
      </c>
      <c r="BC173" s="118">
        <f t="shared" si="467"/>
        <v>0</v>
      </c>
      <c r="BD173" s="116">
        <f t="shared" si="468"/>
        <v>0</v>
      </c>
      <c r="BE173" s="117">
        <f t="shared" si="469"/>
        <v>0</v>
      </c>
      <c r="BF173" s="119">
        <f t="shared" si="470"/>
        <v>0</v>
      </c>
      <c r="BG173" s="194">
        <f t="shared" si="471"/>
        <v>0</v>
      </c>
      <c r="BH173" s="117">
        <f t="shared" si="472"/>
        <v>0</v>
      </c>
      <c r="BI173" s="118">
        <f t="shared" si="473"/>
        <v>0</v>
      </c>
      <c r="BJ173" s="116">
        <f t="shared" si="474"/>
        <v>0</v>
      </c>
      <c r="BK173" s="117">
        <f t="shared" si="475"/>
        <v>0</v>
      </c>
      <c r="BL173" s="119">
        <f t="shared" si="476"/>
        <v>0</v>
      </c>
      <c r="BM173" s="194">
        <f t="shared" si="477"/>
        <v>0</v>
      </c>
      <c r="BN173" s="117">
        <f t="shared" si="478"/>
        <v>0</v>
      </c>
      <c r="BO173" s="118">
        <f t="shared" si="479"/>
        <v>0</v>
      </c>
      <c r="BP173" s="116">
        <f t="shared" si="480"/>
        <v>0</v>
      </c>
      <c r="BQ173" s="117">
        <f t="shared" si="481"/>
        <v>0</v>
      </c>
      <c r="BR173" s="119">
        <f t="shared" si="626"/>
        <v>0</v>
      </c>
      <c r="BS173" s="194">
        <f t="shared" si="482"/>
        <v>0</v>
      </c>
      <c r="BT173" s="117">
        <f t="shared" si="483"/>
        <v>0</v>
      </c>
      <c r="BU173" s="118">
        <f t="shared" si="484"/>
        <v>0</v>
      </c>
      <c r="BV173" s="116">
        <f t="shared" si="485"/>
        <v>0</v>
      </c>
      <c r="BW173" s="117">
        <f t="shared" si="486"/>
        <v>0</v>
      </c>
      <c r="BX173" s="119">
        <f t="shared" si="487"/>
        <v>0</v>
      </c>
      <c r="BY173" s="194">
        <f t="shared" si="488"/>
        <v>0</v>
      </c>
      <c r="BZ173" s="117">
        <f t="shared" si="489"/>
        <v>0</v>
      </c>
      <c r="CA173" s="118">
        <f t="shared" si="490"/>
        <v>0</v>
      </c>
      <c r="CB173" s="116">
        <f t="shared" si="491"/>
        <v>0</v>
      </c>
      <c r="CC173" s="117">
        <f t="shared" si="492"/>
        <v>0</v>
      </c>
      <c r="CD173" s="119">
        <f t="shared" si="493"/>
        <v>0</v>
      </c>
      <c r="CE173" s="194">
        <f t="shared" si="494"/>
        <v>0</v>
      </c>
      <c r="CF173" s="117">
        <f t="shared" si="495"/>
        <v>0</v>
      </c>
      <c r="CG173" s="118">
        <f t="shared" si="496"/>
        <v>0</v>
      </c>
      <c r="CH173" s="116">
        <f t="shared" si="497"/>
        <v>0</v>
      </c>
      <c r="CI173" s="117">
        <f t="shared" si="498"/>
        <v>0</v>
      </c>
      <c r="CJ173" s="119">
        <f t="shared" si="499"/>
        <v>0</v>
      </c>
      <c r="CK173" s="194">
        <f t="shared" si="500"/>
        <v>0</v>
      </c>
      <c r="CL173" s="194">
        <f t="shared" si="501"/>
        <v>0</v>
      </c>
      <c r="CM173" s="386">
        <f t="shared" si="502"/>
        <v>0</v>
      </c>
      <c r="CN173" s="239">
        <f t="shared" si="503"/>
        <v>0</v>
      </c>
      <c r="CO173" s="43">
        <f t="shared" si="504"/>
        <v>0</v>
      </c>
      <c r="CP173" s="57">
        <f t="shared" si="505"/>
        <v>0</v>
      </c>
      <c r="CQ173" s="194">
        <f t="shared" si="506"/>
        <v>0</v>
      </c>
      <c r="CR173" s="117">
        <f t="shared" si="507"/>
        <v>0</v>
      </c>
      <c r="CS173" s="119">
        <f t="shared" si="508"/>
        <v>0</v>
      </c>
      <c r="CT173" s="194">
        <f t="shared" si="509"/>
        <v>0</v>
      </c>
      <c r="CU173" s="117">
        <f t="shared" si="510"/>
        <v>0</v>
      </c>
      <c r="CV173" s="119">
        <f t="shared" si="511"/>
        <v>0</v>
      </c>
      <c r="CW173" s="194">
        <f t="shared" si="512"/>
        <v>0</v>
      </c>
      <c r="CX173" s="117">
        <f t="shared" si="513"/>
        <v>0</v>
      </c>
      <c r="CY173" s="119">
        <f t="shared" si="514"/>
        <v>0</v>
      </c>
      <c r="CZ173" s="194">
        <f t="shared" si="515"/>
        <v>0</v>
      </c>
      <c r="DA173" s="117">
        <f t="shared" si="516"/>
        <v>0</v>
      </c>
      <c r="DB173" s="119">
        <f t="shared" si="517"/>
        <v>0</v>
      </c>
      <c r="DC173" s="116">
        <f t="shared" si="518"/>
        <v>0</v>
      </c>
      <c r="DD173" s="117">
        <f t="shared" si="519"/>
        <v>0</v>
      </c>
      <c r="DE173" s="119">
        <f t="shared" si="520"/>
        <v>0</v>
      </c>
      <c r="DF173" s="194">
        <f t="shared" si="521"/>
        <v>0</v>
      </c>
      <c r="DG173" s="117">
        <f t="shared" si="522"/>
        <v>0</v>
      </c>
      <c r="DH173" s="118">
        <f t="shared" si="523"/>
        <v>0</v>
      </c>
      <c r="DI173" s="116">
        <f t="shared" si="524"/>
        <v>0</v>
      </c>
      <c r="DJ173" s="117">
        <f t="shared" si="525"/>
        <v>0</v>
      </c>
      <c r="DK173" s="119">
        <f t="shared" si="526"/>
        <v>0</v>
      </c>
      <c r="DL173" s="194">
        <f t="shared" si="527"/>
        <v>0</v>
      </c>
      <c r="DM173" s="117">
        <f t="shared" si="528"/>
        <v>0</v>
      </c>
      <c r="DN173" s="118">
        <f t="shared" si="529"/>
        <v>0</v>
      </c>
      <c r="DO173" s="116">
        <f t="shared" si="530"/>
        <v>0</v>
      </c>
      <c r="DP173" s="117">
        <f t="shared" si="531"/>
        <v>0</v>
      </c>
      <c r="DQ173" s="119">
        <f t="shared" si="532"/>
        <v>0</v>
      </c>
      <c r="DR173" s="194">
        <f t="shared" si="533"/>
        <v>0</v>
      </c>
      <c r="DS173" s="117">
        <f t="shared" si="534"/>
        <v>0</v>
      </c>
      <c r="DT173" s="118">
        <f t="shared" si="535"/>
        <v>0</v>
      </c>
      <c r="DU173" s="116">
        <f t="shared" si="536"/>
        <v>0</v>
      </c>
      <c r="DV173" s="117">
        <f t="shared" si="537"/>
        <v>0</v>
      </c>
      <c r="DW173" s="119">
        <f t="shared" si="538"/>
        <v>0</v>
      </c>
      <c r="DX173" s="194">
        <f t="shared" si="539"/>
        <v>0</v>
      </c>
      <c r="DY173" s="117">
        <f t="shared" si="540"/>
        <v>0</v>
      </c>
      <c r="DZ173" s="118">
        <f t="shared" si="541"/>
        <v>0</v>
      </c>
      <c r="EA173" s="116">
        <f t="shared" si="542"/>
        <v>0</v>
      </c>
      <c r="EB173" s="117">
        <f t="shared" si="543"/>
        <v>0</v>
      </c>
      <c r="EC173" s="119">
        <f t="shared" si="544"/>
        <v>0</v>
      </c>
      <c r="ED173" s="194">
        <f t="shared" si="545"/>
        <v>0</v>
      </c>
      <c r="EE173" s="117">
        <f t="shared" si="546"/>
        <v>0</v>
      </c>
      <c r="EF173" s="118">
        <f t="shared" si="547"/>
        <v>0</v>
      </c>
      <c r="EG173" s="116">
        <f t="shared" si="548"/>
        <v>0</v>
      </c>
      <c r="EH173" s="117">
        <f t="shared" si="549"/>
        <v>0</v>
      </c>
      <c r="EI173" s="119">
        <f t="shared" si="550"/>
        <v>0</v>
      </c>
      <c r="EJ173" s="194">
        <f t="shared" si="551"/>
        <v>0</v>
      </c>
      <c r="EK173" s="117">
        <f t="shared" si="552"/>
        <v>0</v>
      </c>
      <c r="EL173" s="118">
        <f t="shared" si="553"/>
        <v>0</v>
      </c>
      <c r="EM173" s="116">
        <f t="shared" si="554"/>
        <v>0</v>
      </c>
      <c r="EN173" s="117">
        <f t="shared" si="555"/>
        <v>0</v>
      </c>
      <c r="EO173" s="119">
        <f t="shared" si="556"/>
        <v>0</v>
      </c>
      <c r="EP173" s="194">
        <f t="shared" si="557"/>
        <v>0</v>
      </c>
      <c r="EQ173" s="117">
        <f t="shared" si="558"/>
        <v>0</v>
      </c>
      <c r="ER173" s="118">
        <f t="shared" si="559"/>
        <v>0</v>
      </c>
      <c r="ES173" s="116">
        <f t="shared" si="560"/>
        <v>0</v>
      </c>
      <c r="ET173" s="117">
        <f t="shared" si="561"/>
        <v>0</v>
      </c>
      <c r="EU173" s="119">
        <f t="shared" si="562"/>
        <v>0</v>
      </c>
      <c r="EV173" s="194">
        <f t="shared" si="563"/>
        <v>0</v>
      </c>
      <c r="EW173" s="117">
        <f t="shared" si="564"/>
        <v>0</v>
      </c>
      <c r="EX173" s="118">
        <f t="shared" si="565"/>
        <v>0</v>
      </c>
      <c r="EY173" s="116">
        <f t="shared" si="566"/>
        <v>0</v>
      </c>
      <c r="EZ173" s="117">
        <f t="shared" si="567"/>
        <v>0</v>
      </c>
      <c r="FA173" s="119">
        <f t="shared" si="568"/>
        <v>0</v>
      </c>
      <c r="FB173" s="194">
        <f t="shared" si="569"/>
        <v>0</v>
      </c>
      <c r="FC173" s="117">
        <f t="shared" si="570"/>
        <v>0</v>
      </c>
      <c r="FD173" s="118">
        <f t="shared" si="571"/>
        <v>0</v>
      </c>
      <c r="FE173" s="116">
        <f t="shared" si="572"/>
        <v>0</v>
      </c>
      <c r="FF173" s="117">
        <f t="shared" si="573"/>
        <v>0</v>
      </c>
      <c r="FG173" s="119">
        <f t="shared" si="574"/>
        <v>0</v>
      </c>
      <c r="FH173" s="194">
        <f t="shared" si="575"/>
        <v>0</v>
      </c>
      <c r="FI173" s="117">
        <f t="shared" si="576"/>
        <v>0</v>
      </c>
      <c r="FJ173" s="118">
        <f t="shared" si="577"/>
        <v>0</v>
      </c>
      <c r="FK173" s="116">
        <f t="shared" si="578"/>
        <v>0</v>
      </c>
      <c r="FL173" s="117">
        <f t="shared" si="579"/>
        <v>0</v>
      </c>
      <c r="FM173" s="119">
        <f t="shared" si="580"/>
        <v>0</v>
      </c>
      <c r="FN173" s="194">
        <f t="shared" si="581"/>
        <v>0</v>
      </c>
      <c r="FO173" s="117">
        <f t="shared" si="582"/>
        <v>0</v>
      </c>
      <c r="FP173" s="118">
        <f t="shared" si="583"/>
        <v>0</v>
      </c>
      <c r="FQ173" s="116">
        <f t="shared" si="584"/>
        <v>0</v>
      </c>
      <c r="FR173" s="117">
        <f t="shared" si="585"/>
        <v>0</v>
      </c>
      <c r="FS173" s="119">
        <f t="shared" si="627"/>
        <v>0</v>
      </c>
      <c r="FT173" s="194">
        <f t="shared" si="586"/>
        <v>0</v>
      </c>
      <c r="FU173" s="117">
        <f t="shared" si="587"/>
        <v>0</v>
      </c>
      <c r="FV173" s="118">
        <f t="shared" si="588"/>
        <v>0</v>
      </c>
      <c r="FW173" s="116">
        <f t="shared" si="589"/>
        <v>0</v>
      </c>
      <c r="FX173" s="117">
        <f t="shared" si="590"/>
        <v>0</v>
      </c>
      <c r="FY173" s="119">
        <f t="shared" si="591"/>
        <v>0</v>
      </c>
      <c r="FZ173" s="194">
        <f t="shared" si="592"/>
        <v>0</v>
      </c>
      <c r="GA173" s="117">
        <f t="shared" si="593"/>
        <v>0</v>
      </c>
      <c r="GB173" s="118">
        <f t="shared" si="594"/>
        <v>0</v>
      </c>
      <c r="GC173" s="116">
        <f t="shared" si="595"/>
        <v>0</v>
      </c>
      <c r="GD173" s="117">
        <f t="shared" si="596"/>
        <v>0</v>
      </c>
      <c r="GE173" s="119">
        <f t="shared" si="597"/>
        <v>0</v>
      </c>
      <c r="GF173" s="194">
        <f t="shared" si="598"/>
        <v>0</v>
      </c>
      <c r="GG173" s="117">
        <f t="shared" si="599"/>
        <v>0</v>
      </c>
      <c r="GH173" s="118">
        <f t="shared" si="600"/>
        <v>0</v>
      </c>
      <c r="GI173" s="116">
        <f t="shared" si="601"/>
        <v>0</v>
      </c>
      <c r="GJ173" s="117">
        <f t="shared" si="602"/>
        <v>0</v>
      </c>
      <c r="GK173" s="119">
        <f t="shared" si="603"/>
        <v>0</v>
      </c>
      <c r="GL173" s="194">
        <f t="shared" si="604"/>
        <v>0</v>
      </c>
      <c r="GM173" s="194">
        <f t="shared" si="605"/>
        <v>0</v>
      </c>
      <c r="GN173" s="386">
        <f t="shared" si="606"/>
        <v>0</v>
      </c>
      <c r="GO173" s="239">
        <f t="shared" si="607"/>
        <v>0</v>
      </c>
      <c r="GP173" s="43">
        <f t="shared" si="608"/>
        <v>0</v>
      </c>
      <c r="GQ173" s="57">
        <f t="shared" si="609"/>
        <v>0</v>
      </c>
      <c r="GR173" s="194">
        <f t="shared" si="610"/>
        <v>0</v>
      </c>
      <c r="GS173" s="117">
        <f t="shared" si="611"/>
        <v>0</v>
      </c>
      <c r="GT173" s="119">
        <f t="shared" si="612"/>
        <v>0</v>
      </c>
      <c r="GU173" s="194">
        <f t="shared" si="613"/>
        <v>0</v>
      </c>
      <c r="GV173" s="117">
        <f t="shared" si="614"/>
        <v>0</v>
      </c>
      <c r="GW173" s="119">
        <f t="shared" si="615"/>
        <v>0</v>
      </c>
      <c r="GX173" s="194">
        <f t="shared" si="616"/>
        <v>0</v>
      </c>
      <c r="GY173" s="117">
        <f t="shared" si="617"/>
        <v>0</v>
      </c>
      <c r="GZ173" s="119">
        <f t="shared" si="618"/>
        <v>0</v>
      </c>
      <c r="HA173" s="194">
        <f t="shared" si="619"/>
        <v>0</v>
      </c>
      <c r="HB173" s="117">
        <f t="shared" si="620"/>
        <v>0</v>
      </c>
      <c r="HC173" s="119">
        <f t="shared" si="621"/>
        <v>0</v>
      </c>
      <c r="HD173" s="368">
        <f t="shared" si="622"/>
        <v>0</v>
      </c>
      <c r="HE173" s="369">
        <f t="shared" si="623"/>
        <v>0</v>
      </c>
      <c r="HF173" s="369">
        <f t="shared" si="624"/>
        <v>0</v>
      </c>
      <c r="HG173" s="147">
        <f t="shared" si="625"/>
        <v>0</v>
      </c>
    </row>
    <row r="174" spans="1:215" ht="15.75" thickBot="1">
      <c r="A174" s="238">
        <v>24</v>
      </c>
      <c r="B174" s="116">
        <f t="shared" si="414"/>
        <v>0</v>
      </c>
      <c r="C174" s="117">
        <f t="shared" si="415"/>
        <v>0</v>
      </c>
      <c r="D174" s="119">
        <f t="shared" si="416"/>
        <v>0</v>
      </c>
      <c r="E174" s="194">
        <f t="shared" si="417"/>
        <v>0</v>
      </c>
      <c r="F174" s="117">
        <f t="shared" si="418"/>
        <v>0</v>
      </c>
      <c r="G174" s="118">
        <f t="shared" si="419"/>
        <v>0</v>
      </c>
      <c r="H174" s="116">
        <f t="shared" si="420"/>
        <v>0</v>
      </c>
      <c r="I174" s="117">
        <f t="shared" si="421"/>
        <v>0</v>
      </c>
      <c r="J174" s="119">
        <f t="shared" si="422"/>
        <v>0</v>
      </c>
      <c r="K174" s="194">
        <f t="shared" si="423"/>
        <v>0</v>
      </c>
      <c r="L174" s="117">
        <f t="shared" si="424"/>
        <v>0</v>
      </c>
      <c r="M174" s="118">
        <f t="shared" si="425"/>
        <v>0</v>
      </c>
      <c r="N174" s="116">
        <f t="shared" si="426"/>
        <v>0</v>
      </c>
      <c r="O174" s="117">
        <f t="shared" si="427"/>
        <v>0</v>
      </c>
      <c r="P174" s="119">
        <f t="shared" si="428"/>
        <v>0</v>
      </c>
      <c r="Q174" s="194">
        <f t="shared" si="429"/>
        <v>0</v>
      </c>
      <c r="R174" s="117">
        <f t="shared" si="430"/>
        <v>0</v>
      </c>
      <c r="S174" s="118">
        <f t="shared" si="431"/>
        <v>0</v>
      </c>
      <c r="T174" s="116">
        <f t="shared" si="432"/>
        <v>0</v>
      </c>
      <c r="U174" s="117">
        <f t="shared" si="433"/>
        <v>0</v>
      </c>
      <c r="V174" s="119">
        <f t="shared" si="434"/>
        <v>0</v>
      </c>
      <c r="W174" s="194">
        <f t="shared" si="435"/>
        <v>0</v>
      </c>
      <c r="X174" s="117">
        <f t="shared" si="436"/>
        <v>0</v>
      </c>
      <c r="Y174" s="118">
        <f t="shared" si="437"/>
        <v>0</v>
      </c>
      <c r="Z174" s="116">
        <f t="shared" si="438"/>
        <v>0</v>
      </c>
      <c r="AA174" s="117">
        <f t="shared" si="439"/>
        <v>0</v>
      </c>
      <c r="AB174" s="119">
        <f t="shared" si="440"/>
        <v>0</v>
      </c>
      <c r="AC174" s="194">
        <f t="shared" si="441"/>
        <v>0</v>
      </c>
      <c r="AD174" s="117">
        <f t="shared" si="442"/>
        <v>0</v>
      </c>
      <c r="AE174" s="118">
        <f t="shared" si="443"/>
        <v>0</v>
      </c>
      <c r="AF174" s="116">
        <f t="shared" si="444"/>
        <v>0</v>
      </c>
      <c r="AG174" s="117">
        <f t="shared" si="445"/>
        <v>0</v>
      </c>
      <c r="AH174" s="119">
        <f t="shared" si="446"/>
        <v>0</v>
      </c>
      <c r="AI174" s="194">
        <f t="shared" si="447"/>
        <v>0</v>
      </c>
      <c r="AJ174" s="117">
        <f t="shared" si="448"/>
        <v>0</v>
      </c>
      <c r="AK174" s="118">
        <f t="shared" si="449"/>
        <v>0</v>
      </c>
      <c r="AL174" s="116">
        <f t="shared" si="450"/>
        <v>0</v>
      </c>
      <c r="AM174" s="117">
        <f t="shared" si="451"/>
        <v>0</v>
      </c>
      <c r="AN174" s="119">
        <f t="shared" si="452"/>
        <v>0</v>
      </c>
      <c r="AO174" s="194">
        <f t="shared" si="453"/>
        <v>0</v>
      </c>
      <c r="AP174" s="117">
        <f t="shared" si="454"/>
        <v>0</v>
      </c>
      <c r="AQ174" s="118">
        <f t="shared" si="455"/>
        <v>0</v>
      </c>
      <c r="AR174" s="116">
        <f t="shared" si="456"/>
        <v>0</v>
      </c>
      <c r="AS174" s="117">
        <f t="shared" si="457"/>
        <v>0</v>
      </c>
      <c r="AT174" s="119">
        <f t="shared" si="458"/>
        <v>0</v>
      </c>
      <c r="AU174" s="194">
        <f t="shared" si="459"/>
        <v>0</v>
      </c>
      <c r="AV174" s="117">
        <f t="shared" si="460"/>
        <v>0</v>
      </c>
      <c r="AW174" s="118">
        <f t="shared" si="461"/>
        <v>0</v>
      </c>
      <c r="AX174" s="116">
        <f t="shared" si="462"/>
        <v>0</v>
      </c>
      <c r="AY174" s="117">
        <f t="shared" si="463"/>
        <v>0</v>
      </c>
      <c r="AZ174" s="119">
        <f t="shared" si="464"/>
        <v>0</v>
      </c>
      <c r="BA174" s="194">
        <f t="shared" si="465"/>
        <v>0</v>
      </c>
      <c r="BB174" s="117">
        <f t="shared" si="466"/>
        <v>0</v>
      </c>
      <c r="BC174" s="118">
        <f t="shared" si="467"/>
        <v>0</v>
      </c>
      <c r="BD174" s="116">
        <f t="shared" si="468"/>
        <v>0</v>
      </c>
      <c r="BE174" s="117">
        <f t="shared" si="469"/>
        <v>0</v>
      </c>
      <c r="BF174" s="119">
        <f t="shared" si="470"/>
        <v>0</v>
      </c>
      <c r="BG174" s="194">
        <f t="shared" si="471"/>
        <v>0</v>
      </c>
      <c r="BH174" s="117">
        <f t="shared" si="472"/>
        <v>0</v>
      </c>
      <c r="BI174" s="118">
        <f t="shared" si="473"/>
        <v>0</v>
      </c>
      <c r="BJ174" s="116">
        <f t="shared" si="474"/>
        <v>0</v>
      </c>
      <c r="BK174" s="117">
        <f t="shared" si="475"/>
        <v>0</v>
      </c>
      <c r="BL174" s="119">
        <f t="shared" si="476"/>
        <v>0</v>
      </c>
      <c r="BM174" s="194">
        <f t="shared" si="477"/>
        <v>0</v>
      </c>
      <c r="BN174" s="117">
        <f t="shared" si="478"/>
        <v>0</v>
      </c>
      <c r="BO174" s="118">
        <f t="shared" si="479"/>
        <v>0</v>
      </c>
      <c r="BP174" s="116">
        <f t="shared" si="480"/>
        <v>0</v>
      </c>
      <c r="BQ174" s="117">
        <f t="shared" si="481"/>
        <v>0</v>
      </c>
      <c r="BR174" s="119">
        <f t="shared" si="626"/>
        <v>0</v>
      </c>
      <c r="BS174" s="194">
        <f t="shared" si="482"/>
        <v>0</v>
      </c>
      <c r="BT174" s="117">
        <f t="shared" si="483"/>
        <v>0</v>
      </c>
      <c r="BU174" s="118">
        <f t="shared" si="484"/>
        <v>0</v>
      </c>
      <c r="BV174" s="116">
        <f t="shared" si="485"/>
        <v>0</v>
      </c>
      <c r="BW174" s="117">
        <f t="shared" si="486"/>
        <v>0</v>
      </c>
      <c r="BX174" s="119">
        <f t="shared" si="487"/>
        <v>0</v>
      </c>
      <c r="BY174" s="194">
        <f t="shared" si="488"/>
        <v>0</v>
      </c>
      <c r="BZ174" s="117">
        <f t="shared" si="489"/>
        <v>0</v>
      </c>
      <c r="CA174" s="118">
        <f t="shared" si="490"/>
        <v>0</v>
      </c>
      <c r="CB174" s="116">
        <f t="shared" si="491"/>
        <v>0</v>
      </c>
      <c r="CC174" s="117">
        <f t="shared" si="492"/>
        <v>0</v>
      </c>
      <c r="CD174" s="119">
        <f t="shared" si="493"/>
        <v>0</v>
      </c>
      <c r="CE174" s="194">
        <f t="shared" si="494"/>
        <v>0</v>
      </c>
      <c r="CF174" s="117">
        <f t="shared" si="495"/>
        <v>0</v>
      </c>
      <c r="CG174" s="118">
        <f t="shared" si="496"/>
        <v>0</v>
      </c>
      <c r="CH174" s="116">
        <f t="shared" si="497"/>
        <v>0</v>
      </c>
      <c r="CI174" s="117">
        <f t="shared" si="498"/>
        <v>0</v>
      </c>
      <c r="CJ174" s="119">
        <f t="shared" si="499"/>
        <v>0</v>
      </c>
      <c r="CK174" s="194">
        <f t="shared" si="500"/>
        <v>0</v>
      </c>
      <c r="CL174" s="194">
        <f t="shared" si="501"/>
        <v>0</v>
      </c>
      <c r="CM174" s="386">
        <f t="shared" si="502"/>
        <v>0</v>
      </c>
      <c r="CN174" s="239">
        <f t="shared" si="503"/>
        <v>0</v>
      </c>
      <c r="CO174" s="43">
        <f t="shared" si="504"/>
        <v>0</v>
      </c>
      <c r="CP174" s="57">
        <f t="shared" si="505"/>
        <v>0</v>
      </c>
      <c r="CQ174" s="194">
        <f t="shared" si="506"/>
        <v>0</v>
      </c>
      <c r="CR174" s="117">
        <f t="shared" si="507"/>
        <v>0</v>
      </c>
      <c r="CS174" s="119">
        <f t="shared" si="508"/>
        <v>0</v>
      </c>
      <c r="CT174" s="194">
        <f t="shared" si="509"/>
        <v>0</v>
      </c>
      <c r="CU174" s="117">
        <f t="shared" si="510"/>
        <v>0</v>
      </c>
      <c r="CV174" s="119">
        <f t="shared" si="511"/>
        <v>0</v>
      </c>
      <c r="CW174" s="194">
        <f t="shared" si="512"/>
        <v>0</v>
      </c>
      <c r="CX174" s="117">
        <f t="shared" si="513"/>
        <v>0</v>
      </c>
      <c r="CY174" s="119">
        <f t="shared" si="514"/>
        <v>0</v>
      </c>
      <c r="CZ174" s="194">
        <f t="shared" si="515"/>
        <v>0</v>
      </c>
      <c r="DA174" s="117">
        <f t="shared" si="516"/>
        <v>0</v>
      </c>
      <c r="DB174" s="119">
        <f t="shared" si="517"/>
        <v>0</v>
      </c>
      <c r="DC174" s="116">
        <f t="shared" si="518"/>
        <v>0</v>
      </c>
      <c r="DD174" s="117">
        <f t="shared" si="519"/>
        <v>0</v>
      </c>
      <c r="DE174" s="119">
        <f t="shared" si="520"/>
        <v>0</v>
      </c>
      <c r="DF174" s="194">
        <f t="shared" si="521"/>
        <v>0</v>
      </c>
      <c r="DG174" s="117">
        <f t="shared" si="522"/>
        <v>0</v>
      </c>
      <c r="DH174" s="118">
        <f t="shared" si="523"/>
        <v>0</v>
      </c>
      <c r="DI174" s="116">
        <f t="shared" si="524"/>
        <v>0</v>
      </c>
      <c r="DJ174" s="117">
        <f t="shared" si="525"/>
        <v>0</v>
      </c>
      <c r="DK174" s="119">
        <f t="shared" si="526"/>
        <v>0</v>
      </c>
      <c r="DL174" s="194">
        <f t="shared" si="527"/>
        <v>0</v>
      </c>
      <c r="DM174" s="117">
        <f t="shared" si="528"/>
        <v>0</v>
      </c>
      <c r="DN174" s="118">
        <f t="shared" si="529"/>
        <v>0</v>
      </c>
      <c r="DO174" s="116">
        <f t="shared" si="530"/>
        <v>0</v>
      </c>
      <c r="DP174" s="117">
        <f t="shared" si="531"/>
        <v>0</v>
      </c>
      <c r="DQ174" s="119">
        <f t="shared" si="532"/>
        <v>0</v>
      </c>
      <c r="DR174" s="194">
        <f t="shared" si="533"/>
        <v>0</v>
      </c>
      <c r="DS174" s="117">
        <f t="shared" si="534"/>
        <v>0</v>
      </c>
      <c r="DT174" s="118">
        <f t="shared" si="535"/>
        <v>0</v>
      </c>
      <c r="DU174" s="116">
        <f t="shared" si="536"/>
        <v>0</v>
      </c>
      <c r="DV174" s="117">
        <f t="shared" si="537"/>
        <v>0</v>
      </c>
      <c r="DW174" s="119">
        <f t="shared" si="538"/>
        <v>0</v>
      </c>
      <c r="DX174" s="194">
        <f t="shared" si="539"/>
        <v>0</v>
      </c>
      <c r="DY174" s="117">
        <f t="shared" si="540"/>
        <v>0</v>
      </c>
      <c r="DZ174" s="118">
        <f t="shared" si="541"/>
        <v>0</v>
      </c>
      <c r="EA174" s="116">
        <f t="shared" si="542"/>
        <v>0</v>
      </c>
      <c r="EB174" s="117">
        <f t="shared" si="543"/>
        <v>0</v>
      </c>
      <c r="EC174" s="119">
        <f t="shared" si="544"/>
        <v>0</v>
      </c>
      <c r="ED174" s="194">
        <f t="shared" si="545"/>
        <v>0</v>
      </c>
      <c r="EE174" s="117">
        <f t="shared" si="546"/>
        <v>0</v>
      </c>
      <c r="EF174" s="118">
        <f t="shared" si="547"/>
        <v>0</v>
      </c>
      <c r="EG174" s="116">
        <f t="shared" si="548"/>
        <v>0</v>
      </c>
      <c r="EH174" s="117">
        <f t="shared" si="549"/>
        <v>0</v>
      </c>
      <c r="EI174" s="119">
        <f t="shared" si="550"/>
        <v>0</v>
      </c>
      <c r="EJ174" s="194">
        <f t="shared" si="551"/>
        <v>0</v>
      </c>
      <c r="EK174" s="117">
        <f t="shared" si="552"/>
        <v>0</v>
      </c>
      <c r="EL174" s="118">
        <f t="shared" si="553"/>
        <v>0</v>
      </c>
      <c r="EM174" s="116">
        <f t="shared" si="554"/>
        <v>0</v>
      </c>
      <c r="EN174" s="117">
        <f t="shared" si="555"/>
        <v>0</v>
      </c>
      <c r="EO174" s="119">
        <f t="shared" si="556"/>
        <v>0</v>
      </c>
      <c r="EP174" s="194">
        <f t="shared" si="557"/>
        <v>0</v>
      </c>
      <c r="EQ174" s="117">
        <f t="shared" si="558"/>
        <v>0</v>
      </c>
      <c r="ER174" s="118">
        <f t="shared" si="559"/>
        <v>0</v>
      </c>
      <c r="ES174" s="116">
        <f t="shared" si="560"/>
        <v>0</v>
      </c>
      <c r="ET174" s="117">
        <f t="shared" si="561"/>
        <v>0</v>
      </c>
      <c r="EU174" s="119">
        <f t="shared" si="562"/>
        <v>0</v>
      </c>
      <c r="EV174" s="194">
        <f t="shared" si="563"/>
        <v>0</v>
      </c>
      <c r="EW174" s="117">
        <f t="shared" si="564"/>
        <v>0</v>
      </c>
      <c r="EX174" s="118">
        <f t="shared" si="565"/>
        <v>0</v>
      </c>
      <c r="EY174" s="116">
        <f t="shared" si="566"/>
        <v>0</v>
      </c>
      <c r="EZ174" s="117">
        <f t="shared" si="567"/>
        <v>0</v>
      </c>
      <c r="FA174" s="119">
        <f t="shared" si="568"/>
        <v>0</v>
      </c>
      <c r="FB174" s="194">
        <f t="shared" si="569"/>
        <v>0</v>
      </c>
      <c r="FC174" s="117">
        <f t="shared" si="570"/>
        <v>0</v>
      </c>
      <c r="FD174" s="118">
        <f t="shared" si="571"/>
        <v>0</v>
      </c>
      <c r="FE174" s="116">
        <f t="shared" si="572"/>
        <v>0</v>
      </c>
      <c r="FF174" s="117">
        <f t="shared" si="573"/>
        <v>0</v>
      </c>
      <c r="FG174" s="119">
        <f t="shared" si="574"/>
        <v>0</v>
      </c>
      <c r="FH174" s="194">
        <f t="shared" si="575"/>
        <v>0</v>
      </c>
      <c r="FI174" s="117">
        <f t="shared" si="576"/>
        <v>0</v>
      </c>
      <c r="FJ174" s="118">
        <f t="shared" si="577"/>
        <v>0</v>
      </c>
      <c r="FK174" s="116">
        <f t="shared" si="578"/>
        <v>0</v>
      </c>
      <c r="FL174" s="117">
        <f t="shared" si="579"/>
        <v>0</v>
      </c>
      <c r="FM174" s="119">
        <f t="shared" si="580"/>
        <v>0</v>
      </c>
      <c r="FN174" s="194">
        <f t="shared" si="581"/>
        <v>0</v>
      </c>
      <c r="FO174" s="117">
        <f t="shared" si="582"/>
        <v>0</v>
      </c>
      <c r="FP174" s="118">
        <f t="shared" si="583"/>
        <v>0</v>
      </c>
      <c r="FQ174" s="116">
        <f t="shared" si="584"/>
        <v>0</v>
      </c>
      <c r="FR174" s="117">
        <f t="shared" si="585"/>
        <v>0</v>
      </c>
      <c r="FS174" s="119">
        <f t="shared" si="627"/>
        <v>0</v>
      </c>
      <c r="FT174" s="194">
        <f t="shared" si="586"/>
        <v>0</v>
      </c>
      <c r="FU174" s="117">
        <f t="shared" si="587"/>
        <v>0</v>
      </c>
      <c r="FV174" s="118">
        <f t="shared" si="588"/>
        <v>0</v>
      </c>
      <c r="FW174" s="116">
        <f t="shared" si="589"/>
        <v>0</v>
      </c>
      <c r="FX174" s="117">
        <f t="shared" si="590"/>
        <v>0</v>
      </c>
      <c r="FY174" s="119">
        <f t="shared" si="591"/>
        <v>0</v>
      </c>
      <c r="FZ174" s="194">
        <f t="shared" si="592"/>
        <v>0</v>
      </c>
      <c r="GA174" s="117">
        <f t="shared" si="593"/>
        <v>0</v>
      </c>
      <c r="GB174" s="118">
        <f t="shared" si="594"/>
        <v>0</v>
      </c>
      <c r="GC174" s="116">
        <f t="shared" si="595"/>
        <v>0</v>
      </c>
      <c r="GD174" s="117">
        <f t="shared" si="596"/>
        <v>0</v>
      </c>
      <c r="GE174" s="119">
        <f t="shared" si="597"/>
        <v>0</v>
      </c>
      <c r="GF174" s="194">
        <f t="shared" si="598"/>
        <v>0</v>
      </c>
      <c r="GG174" s="117">
        <f t="shared" si="599"/>
        <v>0</v>
      </c>
      <c r="GH174" s="118">
        <f t="shared" si="600"/>
        <v>0</v>
      </c>
      <c r="GI174" s="116">
        <f t="shared" si="601"/>
        <v>0</v>
      </c>
      <c r="GJ174" s="117">
        <f t="shared" si="602"/>
        <v>0</v>
      </c>
      <c r="GK174" s="119">
        <f t="shared" si="603"/>
        <v>0</v>
      </c>
      <c r="GL174" s="194">
        <f t="shared" si="604"/>
        <v>0</v>
      </c>
      <c r="GM174" s="194">
        <f t="shared" si="605"/>
        <v>0</v>
      </c>
      <c r="GN174" s="386">
        <f t="shared" si="606"/>
        <v>0</v>
      </c>
      <c r="GO174" s="239">
        <f t="shared" si="607"/>
        <v>0</v>
      </c>
      <c r="GP174" s="43">
        <f t="shared" si="608"/>
        <v>0</v>
      </c>
      <c r="GQ174" s="57">
        <f t="shared" si="609"/>
        <v>0</v>
      </c>
      <c r="GR174" s="194">
        <f t="shared" si="610"/>
        <v>0</v>
      </c>
      <c r="GS174" s="117">
        <f t="shared" si="611"/>
        <v>0</v>
      </c>
      <c r="GT174" s="119">
        <f t="shared" si="612"/>
        <v>0</v>
      </c>
      <c r="GU174" s="194">
        <f t="shared" si="613"/>
        <v>0</v>
      </c>
      <c r="GV174" s="117">
        <f t="shared" si="614"/>
        <v>0</v>
      </c>
      <c r="GW174" s="119">
        <f t="shared" si="615"/>
        <v>0</v>
      </c>
      <c r="GX174" s="194">
        <f t="shared" si="616"/>
        <v>0</v>
      </c>
      <c r="GY174" s="117">
        <f t="shared" si="617"/>
        <v>0</v>
      </c>
      <c r="GZ174" s="119">
        <f t="shared" si="618"/>
        <v>0</v>
      </c>
      <c r="HA174" s="194">
        <f t="shared" si="619"/>
        <v>0</v>
      </c>
      <c r="HB174" s="117">
        <f t="shared" si="620"/>
        <v>0</v>
      </c>
      <c r="HC174" s="119">
        <f t="shared" si="621"/>
        <v>0</v>
      </c>
      <c r="HD174" s="368">
        <f t="shared" si="622"/>
        <v>0</v>
      </c>
      <c r="HE174" s="369">
        <f t="shared" si="623"/>
        <v>0</v>
      </c>
      <c r="HF174" s="369">
        <f t="shared" si="624"/>
        <v>0</v>
      </c>
      <c r="HG174" s="147">
        <f t="shared" si="625"/>
        <v>0</v>
      </c>
    </row>
    <row r="175" spans="1:215" ht="15.75" thickBot="1">
      <c r="A175" s="353">
        <v>25</v>
      </c>
      <c r="B175" s="116">
        <f t="shared" si="414"/>
        <v>0</v>
      </c>
      <c r="C175" s="117">
        <f t="shared" si="415"/>
        <v>0</v>
      </c>
      <c r="D175" s="119">
        <f t="shared" si="416"/>
        <v>0</v>
      </c>
      <c r="E175" s="194">
        <f t="shared" si="417"/>
        <v>0</v>
      </c>
      <c r="F175" s="117">
        <f t="shared" si="418"/>
        <v>0</v>
      </c>
      <c r="G175" s="118">
        <f t="shared" si="419"/>
        <v>0</v>
      </c>
      <c r="H175" s="116">
        <f t="shared" si="420"/>
        <v>0</v>
      </c>
      <c r="I175" s="117">
        <f t="shared" si="421"/>
        <v>0</v>
      </c>
      <c r="J175" s="119">
        <f t="shared" si="422"/>
        <v>0</v>
      </c>
      <c r="K175" s="194">
        <f t="shared" si="423"/>
        <v>0</v>
      </c>
      <c r="L175" s="117">
        <f t="shared" si="424"/>
        <v>0</v>
      </c>
      <c r="M175" s="118">
        <f t="shared" si="425"/>
        <v>0</v>
      </c>
      <c r="N175" s="116">
        <f t="shared" si="426"/>
        <v>0</v>
      </c>
      <c r="O175" s="117">
        <f t="shared" si="427"/>
        <v>0</v>
      </c>
      <c r="P175" s="119">
        <f t="shared" si="428"/>
        <v>0</v>
      </c>
      <c r="Q175" s="194">
        <f t="shared" si="429"/>
        <v>0</v>
      </c>
      <c r="R175" s="117">
        <f t="shared" si="430"/>
        <v>0</v>
      </c>
      <c r="S175" s="118">
        <f t="shared" si="431"/>
        <v>0</v>
      </c>
      <c r="T175" s="116">
        <f t="shared" si="432"/>
        <v>0</v>
      </c>
      <c r="U175" s="117">
        <f t="shared" si="433"/>
        <v>0</v>
      </c>
      <c r="V175" s="119">
        <f t="shared" si="434"/>
        <v>0</v>
      </c>
      <c r="W175" s="194">
        <f t="shared" si="435"/>
        <v>0</v>
      </c>
      <c r="X175" s="117">
        <f t="shared" si="436"/>
        <v>0</v>
      </c>
      <c r="Y175" s="118">
        <f t="shared" si="437"/>
        <v>0</v>
      </c>
      <c r="Z175" s="116">
        <f t="shared" si="438"/>
        <v>0</v>
      </c>
      <c r="AA175" s="117">
        <f t="shared" si="439"/>
        <v>0</v>
      </c>
      <c r="AB175" s="119">
        <f t="shared" si="440"/>
        <v>0</v>
      </c>
      <c r="AC175" s="194">
        <f t="shared" si="441"/>
        <v>0</v>
      </c>
      <c r="AD175" s="117">
        <f t="shared" si="442"/>
        <v>0</v>
      </c>
      <c r="AE175" s="118">
        <f t="shared" si="443"/>
        <v>0</v>
      </c>
      <c r="AF175" s="116">
        <f t="shared" si="444"/>
        <v>0</v>
      </c>
      <c r="AG175" s="117">
        <f t="shared" si="445"/>
        <v>0</v>
      </c>
      <c r="AH175" s="119">
        <f t="shared" si="446"/>
        <v>0</v>
      </c>
      <c r="AI175" s="194">
        <f t="shared" si="447"/>
        <v>0</v>
      </c>
      <c r="AJ175" s="117">
        <f t="shared" si="448"/>
        <v>0</v>
      </c>
      <c r="AK175" s="118">
        <f t="shared" si="449"/>
        <v>0</v>
      </c>
      <c r="AL175" s="116">
        <f t="shared" si="450"/>
        <v>0</v>
      </c>
      <c r="AM175" s="117">
        <f t="shared" si="451"/>
        <v>0</v>
      </c>
      <c r="AN175" s="119">
        <f t="shared" si="452"/>
        <v>0</v>
      </c>
      <c r="AO175" s="194">
        <f t="shared" si="453"/>
        <v>0</v>
      </c>
      <c r="AP175" s="117">
        <f t="shared" si="454"/>
        <v>0</v>
      </c>
      <c r="AQ175" s="118">
        <f t="shared" si="455"/>
        <v>0</v>
      </c>
      <c r="AR175" s="116">
        <f t="shared" si="456"/>
        <v>0</v>
      </c>
      <c r="AS175" s="117">
        <f t="shared" si="457"/>
        <v>0</v>
      </c>
      <c r="AT175" s="119">
        <f t="shared" si="458"/>
        <v>0</v>
      </c>
      <c r="AU175" s="194">
        <f t="shared" si="459"/>
        <v>0</v>
      </c>
      <c r="AV175" s="117">
        <f t="shared" si="460"/>
        <v>0</v>
      </c>
      <c r="AW175" s="118">
        <f t="shared" si="461"/>
        <v>0</v>
      </c>
      <c r="AX175" s="116">
        <f t="shared" si="462"/>
        <v>0</v>
      </c>
      <c r="AY175" s="117">
        <f t="shared" si="463"/>
        <v>0</v>
      </c>
      <c r="AZ175" s="119">
        <f t="shared" si="464"/>
        <v>0</v>
      </c>
      <c r="BA175" s="194">
        <f t="shared" si="465"/>
        <v>0</v>
      </c>
      <c r="BB175" s="117">
        <f t="shared" si="466"/>
        <v>0</v>
      </c>
      <c r="BC175" s="118">
        <f t="shared" si="467"/>
        <v>0</v>
      </c>
      <c r="BD175" s="116">
        <f t="shared" si="468"/>
        <v>0</v>
      </c>
      <c r="BE175" s="117">
        <f t="shared" si="469"/>
        <v>0</v>
      </c>
      <c r="BF175" s="119">
        <f t="shared" si="470"/>
        <v>0</v>
      </c>
      <c r="BG175" s="194">
        <f t="shared" si="471"/>
        <v>0</v>
      </c>
      <c r="BH175" s="117">
        <f t="shared" si="472"/>
        <v>0</v>
      </c>
      <c r="BI175" s="118">
        <f t="shared" si="473"/>
        <v>0</v>
      </c>
      <c r="BJ175" s="116">
        <f t="shared" si="474"/>
        <v>0</v>
      </c>
      <c r="BK175" s="117">
        <f t="shared" si="475"/>
        <v>0</v>
      </c>
      <c r="BL175" s="119">
        <f t="shared" si="476"/>
        <v>0</v>
      </c>
      <c r="BM175" s="194">
        <f t="shared" si="477"/>
        <v>0</v>
      </c>
      <c r="BN175" s="117">
        <f t="shared" si="478"/>
        <v>0</v>
      </c>
      <c r="BO175" s="118">
        <f t="shared" si="479"/>
        <v>0</v>
      </c>
      <c r="BP175" s="116">
        <f t="shared" si="480"/>
        <v>0</v>
      </c>
      <c r="BQ175" s="117">
        <f t="shared" si="481"/>
        <v>0</v>
      </c>
      <c r="BR175" s="119">
        <f t="shared" si="626"/>
        <v>0</v>
      </c>
      <c r="BS175" s="194">
        <f t="shared" si="482"/>
        <v>0</v>
      </c>
      <c r="BT175" s="117">
        <f t="shared" si="483"/>
        <v>0</v>
      </c>
      <c r="BU175" s="118">
        <f t="shared" si="484"/>
        <v>0</v>
      </c>
      <c r="BV175" s="116">
        <f t="shared" si="485"/>
        <v>0</v>
      </c>
      <c r="BW175" s="117">
        <f t="shared" si="486"/>
        <v>0</v>
      </c>
      <c r="BX175" s="119">
        <f t="shared" si="487"/>
        <v>0</v>
      </c>
      <c r="BY175" s="194">
        <f t="shared" si="488"/>
        <v>0</v>
      </c>
      <c r="BZ175" s="117">
        <f t="shared" si="489"/>
        <v>0</v>
      </c>
      <c r="CA175" s="118">
        <f t="shared" si="490"/>
        <v>0</v>
      </c>
      <c r="CB175" s="116">
        <f t="shared" si="491"/>
        <v>0</v>
      </c>
      <c r="CC175" s="117">
        <f t="shared" si="492"/>
        <v>0</v>
      </c>
      <c r="CD175" s="119">
        <f t="shared" si="493"/>
        <v>0</v>
      </c>
      <c r="CE175" s="194">
        <f t="shared" si="494"/>
        <v>0</v>
      </c>
      <c r="CF175" s="117">
        <f t="shared" si="495"/>
        <v>0</v>
      </c>
      <c r="CG175" s="118">
        <f t="shared" si="496"/>
        <v>0</v>
      </c>
      <c r="CH175" s="116">
        <f t="shared" si="497"/>
        <v>0</v>
      </c>
      <c r="CI175" s="117">
        <f t="shared" si="498"/>
        <v>0</v>
      </c>
      <c r="CJ175" s="119">
        <f t="shared" si="499"/>
        <v>0</v>
      </c>
      <c r="CK175" s="194">
        <f t="shared" si="500"/>
        <v>0</v>
      </c>
      <c r="CL175" s="194">
        <f t="shared" si="501"/>
        <v>0</v>
      </c>
      <c r="CM175" s="386">
        <f t="shared" si="502"/>
        <v>0</v>
      </c>
      <c r="CN175" s="239">
        <f t="shared" si="503"/>
        <v>0</v>
      </c>
      <c r="CO175" s="43">
        <f t="shared" si="504"/>
        <v>0</v>
      </c>
      <c r="CP175" s="57">
        <f t="shared" si="505"/>
        <v>0</v>
      </c>
      <c r="CQ175" s="194">
        <f t="shared" si="506"/>
        <v>0</v>
      </c>
      <c r="CR175" s="117">
        <f t="shared" si="507"/>
        <v>0</v>
      </c>
      <c r="CS175" s="119">
        <f t="shared" si="508"/>
        <v>0</v>
      </c>
      <c r="CT175" s="194">
        <f t="shared" si="509"/>
        <v>0</v>
      </c>
      <c r="CU175" s="117">
        <f t="shared" si="510"/>
        <v>0</v>
      </c>
      <c r="CV175" s="119">
        <f t="shared" si="511"/>
        <v>0</v>
      </c>
      <c r="CW175" s="194">
        <f t="shared" si="512"/>
        <v>0</v>
      </c>
      <c r="CX175" s="117">
        <f t="shared" si="513"/>
        <v>0</v>
      </c>
      <c r="CY175" s="119">
        <f t="shared" si="514"/>
        <v>0</v>
      </c>
      <c r="CZ175" s="194">
        <f t="shared" si="515"/>
        <v>0</v>
      </c>
      <c r="DA175" s="117">
        <f t="shared" si="516"/>
        <v>0</v>
      </c>
      <c r="DB175" s="119">
        <f t="shared" si="517"/>
        <v>0</v>
      </c>
      <c r="DC175" s="116">
        <f t="shared" si="518"/>
        <v>0</v>
      </c>
      <c r="DD175" s="117">
        <f t="shared" si="519"/>
        <v>0</v>
      </c>
      <c r="DE175" s="119">
        <f t="shared" si="520"/>
        <v>0</v>
      </c>
      <c r="DF175" s="194">
        <f t="shared" si="521"/>
        <v>0</v>
      </c>
      <c r="DG175" s="117">
        <f t="shared" si="522"/>
        <v>0</v>
      </c>
      <c r="DH175" s="118">
        <f t="shared" si="523"/>
        <v>0</v>
      </c>
      <c r="DI175" s="116">
        <f t="shared" si="524"/>
        <v>0</v>
      </c>
      <c r="DJ175" s="117">
        <f t="shared" si="525"/>
        <v>0</v>
      </c>
      <c r="DK175" s="119">
        <f t="shared" si="526"/>
        <v>0</v>
      </c>
      <c r="DL175" s="194">
        <f t="shared" si="527"/>
        <v>0</v>
      </c>
      <c r="DM175" s="117">
        <f t="shared" si="528"/>
        <v>0</v>
      </c>
      <c r="DN175" s="118">
        <f t="shared" si="529"/>
        <v>0</v>
      </c>
      <c r="DO175" s="116">
        <f t="shared" si="530"/>
        <v>0</v>
      </c>
      <c r="DP175" s="117">
        <f t="shared" si="531"/>
        <v>0</v>
      </c>
      <c r="DQ175" s="119">
        <f t="shared" si="532"/>
        <v>0</v>
      </c>
      <c r="DR175" s="194">
        <f t="shared" si="533"/>
        <v>0</v>
      </c>
      <c r="DS175" s="117">
        <f t="shared" si="534"/>
        <v>0</v>
      </c>
      <c r="DT175" s="118">
        <f t="shared" si="535"/>
        <v>0</v>
      </c>
      <c r="DU175" s="116">
        <f t="shared" si="536"/>
        <v>0</v>
      </c>
      <c r="DV175" s="117">
        <f t="shared" si="537"/>
        <v>0</v>
      </c>
      <c r="DW175" s="119">
        <f t="shared" si="538"/>
        <v>0</v>
      </c>
      <c r="DX175" s="194">
        <f t="shared" si="539"/>
        <v>0</v>
      </c>
      <c r="DY175" s="117">
        <f t="shared" si="540"/>
        <v>0</v>
      </c>
      <c r="DZ175" s="118">
        <f t="shared" si="541"/>
        <v>0</v>
      </c>
      <c r="EA175" s="116">
        <f t="shared" si="542"/>
        <v>0</v>
      </c>
      <c r="EB175" s="117">
        <f t="shared" si="543"/>
        <v>0</v>
      </c>
      <c r="EC175" s="119">
        <f t="shared" si="544"/>
        <v>0</v>
      </c>
      <c r="ED175" s="194">
        <f t="shared" si="545"/>
        <v>0</v>
      </c>
      <c r="EE175" s="117">
        <f t="shared" si="546"/>
        <v>0</v>
      </c>
      <c r="EF175" s="118">
        <f t="shared" si="547"/>
        <v>0</v>
      </c>
      <c r="EG175" s="116">
        <f t="shared" si="548"/>
        <v>0</v>
      </c>
      <c r="EH175" s="117">
        <f t="shared" si="549"/>
        <v>0</v>
      </c>
      <c r="EI175" s="119">
        <f t="shared" si="550"/>
        <v>0</v>
      </c>
      <c r="EJ175" s="194">
        <f t="shared" si="551"/>
        <v>0</v>
      </c>
      <c r="EK175" s="117">
        <f t="shared" si="552"/>
        <v>0</v>
      </c>
      <c r="EL175" s="118">
        <f t="shared" si="553"/>
        <v>0</v>
      </c>
      <c r="EM175" s="116">
        <f t="shared" si="554"/>
        <v>0</v>
      </c>
      <c r="EN175" s="117">
        <f t="shared" si="555"/>
        <v>0</v>
      </c>
      <c r="EO175" s="119">
        <f t="shared" si="556"/>
        <v>0</v>
      </c>
      <c r="EP175" s="194">
        <f t="shared" si="557"/>
        <v>0</v>
      </c>
      <c r="EQ175" s="117">
        <f t="shared" si="558"/>
        <v>0</v>
      </c>
      <c r="ER175" s="118">
        <f t="shared" si="559"/>
        <v>0</v>
      </c>
      <c r="ES175" s="116">
        <f t="shared" si="560"/>
        <v>0</v>
      </c>
      <c r="ET175" s="117">
        <f t="shared" si="561"/>
        <v>0</v>
      </c>
      <c r="EU175" s="119">
        <f t="shared" si="562"/>
        <v>0</v>
      </c>
      <c r="EV175" s="194">
        <f t="shared" si="563"/>
        <v>0</v>
      </c>
      <c r="EW175" s="117">
        <f t="shared" si="564"/>
        <v>0</v>
      </c>
      <c r="EX175" s="118">
        <f t="shared" si="565"/>
        <v>0</v>
      </c>
      <c r="EY175" s="116">
        <f t="shared" si="566"/>
        <v>0</v>
      </c>
      <c r="EZ175" s="117">
        <f t="shared" si="567"/>
        <v>0</v>
      </c>
      <c r="FA175" s="119">
        <f t="shared" si="568"/>
        <v>0</v>
      </c>
      <c r="FB175" s="194">
        <f t="shared" si="569"/>
        <v>0</v>
      </c>
      <c r="FC175" s="117">
        <f t="shared" si="570"/>
        <v>0</v>
      </c>
      <c r="FD175" s="118">
        <f t="shared" si="571"/>
        <v>0</v>
      </c>
      <c r="FE175" s="116">
        <f t="shared" si="572"/>
        <v>0</v>
      </c>
      <c r="FF175" s="117">
        <f t="shared" si="573"/>
        <v>0</v>
      </c>
      <c r="FG175" s="119">
        <f t="shared" si="574"/>
        <v>0</v>
      </c>
      <c r="FH175" s="194">
        <f t="shared" si="575"/>
        <v>0</v>
      </c>
      <c r="FI175" s="117">
        <f t="shared" si="576"/>
        <v>0</v>
      </c>
      <c r="FJ175" s="118">
        <f t="shared" si="577"/>
        <v>0</v>
      </c>
      <c r="FK175" s="116">
        <f t="shared" si="578"/>
        <v>0</v>
      </c>
      <c r="FL175" s="117">
        <f t="shared" si="579"/>
        <v>0</v>
      </c>
      <c r="FM175" s="119">
        <f t="shared" si="580"/>
        <v>0</v>
      </c>
      <c r="FN175" s="194">
        <f t="shared" si="581"/>
        <v>0</v>
      </c>
      <c r="FO175" s="117">
        <f t="shared" si="582"/>
        <v>0</v>
      </c>
      <c r="FP175" s="118">
        <f t="shared" si="583"/>
        <v>0</v>
      </c>
      <c r="FQ175" s="116">
        <f t="shared" si="584"/>
        <v>0</v>
      </c>
      <c r="FR175" s="117">
        <f t="shared" si="585"/>
        <v>0</v>
      </c>
      <c r="FS175" s="119">
        <f t="shared" si="627"/>
        <v>0</v>
      </c>
      <c r="FT175" s="194">
        <f t="shared" si="586"/>
        <v>0</v>
      </c>
      <c r="FU175" s="117">
        <f t="shared" si="587"/>
        <v>0</v>
      </c>
      <c r="FV175" s="118">
        <f t="shared" si="588"/>
        <v>0</v>
      </c>
      <c r="FW175" s="116">
        <f t="shared" si="589"/>
        <v>0</v>
      </c>
      <c r="FX175" s="117">
        <f t="shared" si="590"/>
        <v>0</v>
      </c>
      <c r="FY175" s="119">
        <f t="shared" si="591"/>
        <v>0</v>
      </c>
      <c r="FZ175" s="194">
        <f t="shared" si="592"/>
        <v>0</v>
      </c>
      <c r="GA175" s="117">
        <f t="shared" si="593"/>
        <v>0</v>
      </c>
      <c r="GB175" s="118">
        <f t="shared" si="594"/>
        <v>0</v>
      </c>
      <c r="GC175" s="116">
        <f t="shared" si="595"/>
        <v>0</v>
      </c>
      <c r="GD175" s="117">
        <f t="shared" si="596"/>
        <v>0</v>
      </c>
      <c r="GE175" s="119">
        <f t="shared" si="597"/>
        <v>0</v>
      </c>
      <c r="GF175" s="194">
        <f t="shared" si="598"/>
        <v>0</v>
      </c>
      <c r="GG175" s="117">
        <f t="shared" si="599"/>
        <v>0</v>
      </c>
      <c r="GH175" s="118">
        <f t="shared" si="600"/>
        <v>0</v>
      </c>
      <c r="GI175" s="116">
        <f t="shared" si="601"/>
        <v>0</v>
      </c>
      <c r="GJ175" s="117">
        <f t="shared" si="602"/>
        <v>0</v>
      </c>
      <c r="GK175" s="119">
        <f t="shared" si="603"/>
        <v>0</v>
      </c>
      <c r="GL175" s="194">
        <f t="shared" si="604"/>
        <v>0</v>
      </c>
      <c r="GM175" s="194">
        <f t="shared" si="605"/>
        <v>0</v>
      </c>
      <c r="GN175" s="386">
        <f t="shared" si="606"/>
        <v>0</v>
      </c>
      <c r="GO175" s="239">
        <f t="shared" si="607"/>
        <v>0</v>
      </c>
      <c r="GP175" s="43">
        <f t="shared" si="608"/>
        <v>0</v>
      </c>
      <c r="GQ175" s="57">
        <f t="shared" si="609"/>
        <v>0</v>
      </c>
      <c r="GR175" s="194">
        <f t="shared" si="610"/>
        <v>0</v>
      </c>
      <c r="GS175" s="117">
        <f t="shared" si="611"/>
        <v>0</v>
      </c>
      <c r="GT175" s="119">
        <f t="shared" si="612"/>
        <v>0</v>
      </c>
      <c r="GU175" s="194">
        <f t="shared" si="613"/>
        <v>0</v>
      </c>
      <c r="GV175" s="117">
        <f t="shared" si="614"/>
        <v>0</v>
      </c>
      <c r="GW175" s="119">
        <f t="shared" si="615"/>
        <v>0</v>
      </c>
      <c r="GX175" s="194">
        <f t="shared" si="616"/>
        <v>0</v>
      </c>
      <c r="GY175" s="117">
        <f t="shared" si="617"/>
        <v>0</v>
      </c>
      <c r="GZ175" s="119">
        <f t="shared" si="618"/>
        <v>0</v>
      </c>
      <c r="HA175" s="194">
        <f t="shared" si="619"/>
        <v>0</v>
      </c>
      <c r="HB175" s="117">
        <f t="shared" si="620"/>
        <v>0</v>
      </c>
      <c r="HC175" s="119">
        <f t="shared" si="621"/>
        <v>0</v>
      </c>
      <c r="HD175" s="368">
        <f t="shared" si="622"/>
        <v>0</v>
      </c>
      <c r="HE175" s="369">
        <f t="shared" si="623"/>
        <v>0</v>
      </c>
      <c r="HF175" s="369">
        <f t="shared" si="624"/>
        <v>0</v>
      </c>
      <c r="HG175" s="147">
        <f t="shared" si="625"/>
        <v>0</v>
      </c>
    </row>
    <row r="176" spans="1:215" ht="15.75" thickBot="1">
      <c r="A176" s="238">
        <v>26</v>
      </c>
      <c r="B176" s="116">
        <f t="shared" si="414"/>
        <v>0</v>
      </c>
      <c r="C176" s="117">
        <f t="shared" si="415"/>
        <v>0</v>
      </c>
      <c r="D176" s="119">
        <f t="shared" si="416"/>
        <v>0</v>
      </c>
      <c r="E176" s="194">
        <f t="shared" si="417"/>
        <v>0</v>
      </c>
      <c r="F176" s="117">
        <f t="shared" si="418"/>
        <v>0</v>
      </c>
      <c r="G176" s="118">
        <f t="shared" si="419"/>
        <v>0</v>
      </c>
      <c r="H176" s="116">
        <f t="shared" si="420"/>
        <v>0</v>
      </c>
      <c r="I176" s="117">
        <f t="shared" si="421"/>
        <v>0</v>
      </c>
      <c r="J176" s="119">
        <f t="shared" si="422"/>
        <v>0</v>
      </c>
      <c r="K176" s="194">
        <f t="shared" si="423"/>
        <v>0</v>
      </c>
      <c r="L176" s="117">
        <f t="shared" si="424"/>
        <v>0</v>
      </c>
      <c r="M176" s="118">
        <f t="shared" si="425"/>
        <v>0</v>
      </c>
      <c r="N176" s="116">
        <f t="shared" si="426"/>
        <v>0</v>
      </c>
      <c r="O176" s="117">
        <f t="shared" si="427"/>
        <v>0</v>
      </c>
      <c r="P176" s="119">
        <f t="shared" si="428"/>
        <v>0</v>
      </c>
      <c r="Q176" s="194">
        <f t="shared" si="429"/>
        <v>0</v>
      </c>
      <c r="R176" s="117">
        <f t="shared" si="430"/>
        <v>0</v>
      </c>
      <c r="S176" s="118">
        <f t="shared" si="431"/>
        <v>0</v>
      </c>
      <c r="T176" s="116">
        <f t="shared" si="432"/>
        <v>0</v>
      </c>
      <c r="U176" s="117">
        <f t="shared" si="433"/>
        <v>0</v>
      </c>
      <c r="V176" s="119">
        <f t="shared" si="434"/>
        <v>0</v>
      </c>
      <c r="W176" s="194">
        <f t="shared" si="435"/>
        <v>0</v>
      </c>
      <c r="X176" s="117">
        <f t="shared" si="436"/>
        <v>0</v>
      </c>
      <c r="Y176" s="118">
        <f t="shared" si="437"/>
        <v>0</v>
      </c>
      <c r="Z176" s="116">
        <f t="shared" si="438"/>
        <v>0</v>
      </c>
      <c r="AA176" s="117">
        <f t="shared" si="439"/>
        <v>0</v>
      </c>
      <c r="AB176" s="119">
        <f t="shared" si="440"/>
        <v>0</v>
      </c>
      <c r="AC176" s="194">
        <f t="shared" si="441"/>
        <v>0</v>
      </c>
      <c r="AD176" s="117">
        <f t="shared" si="442"/>
        <v>0</v>
      </c>
      <c r="AE176" s="118">
        <f t="shared" si="443"/>
        <v>0</v>
      </c>
      <c r="AF176" s="116">
        <f t="shared" si="444"/>
        <v>0</v>
      </c>
      <c r="AG176" s="117">
        <f t="shared" si="445"/>
        <v>0</v>
      </c>
      <c r="AH176" s="119">
        <f t="shared" si="446"/>
        <v>0</v>
      </c>
      <c r="AI176" s="194">
        <f t="shared" si="447"/>
        <v>0</v>
      </c>
      <c r="AJ176" s="117">
        <f t="shared" si="448"/>
        <v>0</v>
      </c>
      <c r="AK176" s="118">
        <f t="shared" si="449"/>
        <v>0</v>
      </c>
      <c r="AL176" s="116">
        <f t="shared" si="450"/>
        <v>0</v>
      </c>
      <c r="AM176" s="117">
        <f t="shared" si="451"/>
        <v>0</v>
      </c>
      <c r="AN176" s="119">
        <f t="shared" si="452"/>
        <v>0</v>
      </c>
      <c r="AO176" s="194">
        <f t="shared" si="453"/>
        <v>0</v>
      </c>
      <c r="AP176" s="117">
        <f t="shared" si="454"/>
        <v>0</v>
      </c>
      <c r="AQ176" s="118">
        <f t="shared" si="455"/>
        <v>0</v>
      </c>
      <c r="AR176" s="116">
        <f t="shared" si="456"/>
        <v>0</v>
      </c>
      <c r="AS176" s="117">
        <f t="shared" si="457"/>
        <v>0</v>
      </c>
      <c r="AT176" s="119">
        <f t="shared" si="458"/>
        <v>0</v>
      </c>
      <c r="AU176" s="194">
        <f t="shared" si="459"/>
        <v>0</v>
      </c>
      <c r="AV176" s="117">
        <f t="shared" si="460"/>
        <v>0</v>
      </c>
      <c r="AW176" s="118">
        <f t="shared" si="461"/>
        <v>0</v>
      </c>
      <c r="AX176" s="116">
        <f t="shared" si="462"/>
        <v>0</v>
      </c>
      <c r="AY176" s="117">
        <f t="shared" si="463"/>
        <v>0</v>
      </c>
      <c r="AZ176" s="119">
        <f t="shared" si="464"/>
        <v>0</v>
      </c>
      <c r="BA176" s="194">
        <f t="shared" si="465"/>
        <v>0</v>
      </c>
      <c r="BB176" s="117">
        <f t="shared" si="466"/>
        <v>0</v>
      </c>
      <c r="BC176" s="118">
        <f t="shared" si="467"/>
        <v>0</v>
      </c>
      <c r="BD176" s="116">
        <f t="shared" si="468"/>
        <v>0</v>
      </c>
      <c r="BE176" s="117">
        <f t="shared" si="469"/>
        <v>0</v>
      </c>
      <c r="BF176" s="119">
        <f t="shared" si="470"/>
        <v>0</v>
      </c>
      <c r="BG176" s="194">
        <f t="shared" si="471"/>
        <v>0</v>
      </c>
      <c r="BH176" s="117">
        <f t="shared" si="472"/>
        <v>0</v>
      </c>
      <c r="BI176" s="118">
        <f t="shared" si="473"/>
        <v>0</v>
      </c>
      <c r="BJ176" s="116">
        <f t="shared" si="474"/>
        <v>0</v>
      </c>
      <c r="BK176" s="117">
        <f t="shared" si="475"/>
        <v>0</v>
      </c>
      <c r="BL176" s="119">
        <f t="shared" si="476"/>
        <v>0</v>
      </c>
      <c r="BM176" s="194">
        <f t="shared" si="477"/>
        <v>0</v>
      </c>
      <c r="BN176" s="117">
        <f t="shared" si="478"/>
        <v>0</v>
      </c>
      <c r="BO176" s="118">
        <f t="shared" si="479"/>
        <v>0</v>
      </c>
      <c r="BP176" s="116">
        <f t="shared" si="480"/>
        <v>0</v>
      </c>
      <c r="BQ176" s="117">
        <f t="shared" si="481"/>
        <v>0</v>
      </c>
      <c r="BR176" s="119">
        <f t="shared" si="626"/>
        <v>0</v>
      </c>
      <c r="BS176" s="194">
        <f t="shared" si="482"/>
        <v>0</v>
      </c>
      <c r="BT176" s="117">
        <f t="shared" si="483"/>
        <v>0</v>
      </c>
      <c r="BU176" s="118">
        <f t="shared" si="484"/>
        <v>0</v>
      </c>
      <c r="BV176" s="116">
        <f t="shared" si="485"/>
        <v>0</v>
      </c>
      <c r="BW176" s="117">
        <f t="shared" si="486"/>
        <v>0</v>
      </c>
      <c r="BX176" s="119">
        <f t="shared" si="487"/>
        <v>0</v>
      </c>
      <c r="BY176" s="194">
        <f t="shared" si="488"/>
        <v>0</v>
      </c>
      <c r="BZ176" s="117">
        <f t="shared" si="489"/>
        <v>0</v>
      </c>
      <c r="CA176" s="118">
        <f t="shared" si="490"/>
        <v>0</v>
      </c>
      <c r="CB176" s="116">
        <f t="shared" si="491"/>
        <v>0</v>
      </c>
      <c r="CC176" s="117">
        <f t="shared" si="492"/>
        <v>0</v>
      </c>
      <c r="CD176" s="119">
        <f t="shared" si="493"/>
        <v>0</v>
      </c>
      <c r="CE176" s="194">
        <f t="shared" si="494"/>
        <v>0</v>
      </c>
      <c r="CF176" s="117">
        <f t="shared" si="495"/>
        <v>0</v>
      </c>
      <c r="CG176" s="118">
        <f t="shared" si="496"/>
        <v>0</v>
      </c>
      <c r="CH176" s="116">
        <f t="shared" si="497"/>
        <v>0</v>
      </c>
      <c r="CI176" s="117">
        <f t="shared" si="498"/>
        <v>0</v>
      </c>
      <c r="CJ176" s="119">
        <f t="shared" si="499"/>
        <v>0</v>
      </c>
      <c r="CK176" s="194">
        <f t="shared" si="500"/>
        <v>0</v>
      </c>
      <c r="CL176" s="194">
        <f t="shared" si="501"/>
        <v>0</v>
      </c>
      <c r="CM176" s="386">
        <f t="shared" si="502"/>
        <v>0</v>
      </c>
      <c r="CN176" s="239">
        <f t="shared" si="503"/>
        <v>0</v>
      </c>
      <c r="CO176" s="43">
        <f t="shared" si="504"/>
        <v>0</v>
      </c>
      <c r="CP176" s="57">
        <f t="shared" si="505"/>
        <v>0</v>
      </c>
      <c r="CQ176" s="194">
        <f t="shared" si="506"/>
        <v>0</v>
      </c>
      <c r="CR176" s="117">
        <f t="shared" si="507"/>
        <v>0</v>
      </c>
      <c r="CS176" s="119">
        <f t="shared" si="508"/>
        <v>0</v>
      </c>
      <c r="CT176" s="194">
        <f t="shared" si="509"/>
        <v>0</v>
      </c>
      <c r="CU176" s="117">
        <f t="shared" si="510"/>
        <v>0</v>
      </c>
      <c r="CV176" s="119">
        <f t="shared" si="511"/>
        <v>0</v>
      </c>
      <c r="CW176" s="194">
        <f t="shared" si="512"/>
        <v>0</v>
      </c>
      <c r="CX176" s="117">
        <f t="shared" si="513"/>
        <v>0</v>
      </c>
      <c r="CY176" s="119">
        <f t="shared" si="514"/>
        <v>0</v>
      </c>
      <c r="CZ176" s="194">
        <f t="shared" si="515"/>
        <v>0</v>
      </c>
      <c r="DA176" s="117">
        <f t="shared" si="516"/>
        <v>0</v>
      </c>
      <c r="DB176" s="119">
        <f t="shared" si="517"/>
        <v>0</v>
      </c>
      <c r="DC176" s="116">
        <f t="shared" si="518"/>
        <v>0</v>
      </c>
      <c r="DD176" s="117">
        <f t="shared" si="519"/>
        <v>0</v>
      </c>
      <c r="DE176" s="119">
        <f t="shared" si="520"/>
        <v>0</v>
      </c>
      <c r="DF176" s="194">
        <f t="shared" si="521"/>
        <v>0</v>
      </c>
      <c r="DG176" s="117">
        <f t="shared" si="522"/>
        <v>0</v>
      </c>
      <c r="DH176" s="118">
        <f t="shared" si="523"/>
        <v>0</v>
      </c>
      <c r="DI176" s="116">
        <f t="shared" si="524"/>
        <v>0</v>
      </c>
      <c r="DJ176" s="117">
        <f t="shared" si="525"/>
        <v>0</v>
      </c>
      <c r="DK176" s="119">
        <f t="shared" si="526"/>
        <v>0</v>
      </c>
      <c r="DL176" s="194">
        <f t="shared" si="527"/>
        <v>0</v>
      </c>
      <c r="DM176" s="117">
        <f t="shared" si="528"/>
        <v>0</v>
      </c>
      <c r="DN176" s="118">
        <f t="shared" si="529"/>
        <v>0</v>
      </c>
      <c r="DO176" s="116">
        <f t="shared" si="530"/>
        <v>0</v>
      </c>
      <c r="DP176" s="117">
        <f t="shared" si="531"/>
        <v>0</v>
      </c>
      <c r="DQ176" s="119">
        <f t="shared" si="532"/>
        <v>0</v>
      </c>
      <c r="DR176" s="194">
        <f t="shared" si="533"/>
        <v>0</v>
      </c>
      <c r="DS176" s="117">
        <f t="shared" si="534"/>
        <v>0</v>
      </c>
      <c r="DT176" s="118">
        <f t="shared" si="535"/>
        <v>0</v>
      </c>
      <c r="DU176" s="116">
        <f t="shared" si="536"/>
        <v>0</v>
      </c>
      <c r="DV176" s="117">
        <f t="shared" si="537"/>
        <v>0</v>
      </c>
      <c r="DW176" s="119">
        <f t="shared" si="538"/>
        <v>0</v>
      </c>
      <c r="DX176" s="194">
        <f t="shared" si="539"/>
        <v>0</v>
      </c>
      <c r="DY176" s="117">
        <f t="shared" si="540"/>
        <v>0</v>
      </c>
      <c r="DZ176" s="118">
        <f t="shared" si="541"/>
        <v>0</v>
      </c>
      <c r="EA176" s="116">
        <f t="shared" si="542"/>
        <v>0</v>
      </c>
      <c r="EB176" s="117">
        <f t="shared" si="543"/>
        <v>0</v>
      </c>
      <c r="EC176" s="119">
        <f t="shared" si="544"/>
        <v>0</v>
      </c>
      <c r="ED176" s="194">
        <f t="shared" si="545"/>
        <v>0</v>
      </c>
      <c r="EE176" s="117">
        <f t="shared" si="546"/>
        <v>0</v>
      </c>
      <c r="EF176" s="118">
        <f t="shared" si="547"/>
        <v>0</v>
      </c>
      <c r="EG176" s="116">
        <f t="shared" si="548"/>
        <v>0</v>
      </c>
      <c r="EH176" s="117">
        <f t="shared" si="549"/>
        <v>0</v>
      </c>
      <c r="EI176" s="119">
        <f t="shared" si="550"/>
        <v>0</v>
      </c>
      <c r="EJ176" s="194">
        <f t="shared" si="551"/>
        <v>0</v>
      </c>
      <c r="EK176" s="117">
        <f t="shared" si="552"/>
        <v>0</v>
      </c>
      <c r="EL176" s="118">
        <f t="shared" si="553"/>
        <v>0</v>
      </c>
      <c r="EM176" s="116">
        <f t="shared" si="554"/>
        <v>0</v>
      </c>
      <c r="EN176" s="117">
        <f t="shared" si="555"/>
        <v>0</v>
      </c>
      <c r="EO176" s="119">
        <f t="shared" si="556"/>
        <v>0</v>
      </c>
      <c r="EP176" s="194">
        <f t="shared" si="557"/>
        <v>0</v>
      </c>
      <c r="EQ176" s="117">
        <f t="shared" si="558"/>
        <v>0</v>
      </c>
      <c r="ER176" s="118">
        <f t="shared" si="559"/>
        <v>0</v>
      </c>
      <c r="ES176" s="116">
        <f t="shared" si="560"/>
        <v>0</v>
      </c>
      <c r="ET176" s="117">
        <f t="shared" si="561"/>
        <v>0</v>
      </c>
      <c r="EU176" s="119">
        <f t="shared" si="562"/>
        <v>0</v>
      </c>
      <c r="EV176" s="194">
        <f t="shared" si="563"/>
        <v>0</v>
      </c>
      <c r="EW176" s="117">
        <f t="shared" si="564"/>
        <v>0</v>
      </c>
      <c r="EX176" s="118">
        <f t="shared" si="565"/>
        <v>0</v>
      </c>
      <c r="EY176" s="116">
        <f t="shared" si="566"/>
        <v>0</v>
      </c>
      <c r="EZ176" s="117">
        <f t="shared" si="567"/>
        <v>0</v>
      </c>
      <c r="FA176" s="119">
        <f t="shared" si="568"/>
        <v>0</v>
      </c>
      <c r="FB176" s="194">
        <f t="shared" si="569"/>
        <v>0</v>
      </c>
      <c r="FC176" s="117">
        <f t="shared" si="570"/>
        <v>0</v>
      </c>
      <c r="FD176" s="118">
        <f t="shared" si="571"/>
        <v>0</v>
      </c>
      <c r="FE176" s="116">
        <f t="shared" si="572"/>
        <v>0</v>
      </c>
      <c r="FF176" s="117">
        <f t="shared" si="573"/>
        <v>0</v>
      </c>
      <c r="FG176" s="119">
        <f t="shared" si="574"/>
        <v>0</v>
      </c>
      <c r="FH176" s="194">
        <f t="shared" si="575"/>
        <v>0</v>
      </c>
      <c r="FI176" s="117">
        <f t="shared" si="576"/>
        <v>0</v>
      </c>
      <c r="FJ176" s="118">
        <f t="shared" si="577"/>
        <v>0</v>
      </c>
      <c r="FK176" s="116">
        <f t="shared" si="578"/>
        <v>0</v>
      </c>
      <c r="FL176" s="117">
        <f t="shared" si="579"/>
        <v>0</v>
      </c>
      <c r="FM176" s="119">
        <f t="shared" si="580"/>
        <v>0</v>
      </c>
      <c r="FN176" s="194">
        <f t="shared" si="581"/>
        <v>0</v>
      </c>
      <c r="FO176" s="117">
        <f t="shared" si="582"/>
        <v>0</v>
      </c>
      <c r="FP176" s="118">
        <f t="shared" si="583"/>
        <v>0</v>
      </c>
      <c r="FQ176" s="116">
        <f t="shared" si="584"/>
        <v>0</v>
      </c>
      <c r="FR176" s="117">
        <f t="shared" si="585"/>
        <v>0</v>
      </c>
      <c r="FS176" s="119">
        <f t="shared" si="627"/>
        <v>0</v>
      </c>
      <c r="FT176" s="194">
        <f t="shared" si="586"/>
        <v>0</v>
      </c>
      <c r="FU176" s="117">
        <f t="shared" si="587"/>
        <v>0</v>
      </c>
      <c r="FV176" s="118">
        <f t="shared" si="588"/>
        <v>0</v>
      </c>
      <c r="FW176" s="116">
        <f t="shared" si="589"/>
        <v>0</v>
      </c>
      <c r="FX176" s="117">
        <f t="shared" si="590"/>
        <v>0</v>
      </c>
      <c r="FY176" s="119">
        <f t="shared" si="591"/>
        <v>0</v>
      </c>
      <c r="FZ176" s="194">
        <f t="shared" si="592"/>
        <v>0</v>
      </c>
      <c r="GA176" s="117">
        <f t="shared" si="593"/>
        <v>0</v>
      </c>
      <c r="GB176" s="118">
        <f t="shared" si="594"/>
        <v>0</v>
      </c>
      <c r="GC176" s="116">
        <f t="shared" si="595"/>
        <v>0</v>
      </c>
      <c r="GD176" s="117">
        <f t="shared" si="596"/>
        <v>0</v>
      </c>
      <c r="GE176" s="119">
        <f t="shared" si="597"/>
        <v>0</v>
      </c>
      <c r="GF176" s="194">
        <f t="shared" si="598"/>
        <v>0</v>
      </c>
      <c r="GG176" s="117">
        <f t="shared" si="599"/>
        <v>0</v>
      </c>
      <c r="GH176" s="118">
        <f t="shared" si="600"/>
        <v>0</v>
      </c>
      <c r="GI176" s="116">
        <f t="shared" si="601"/>
        <v>0</v>
      </c>
      <c r="GJ176" s="117">
        <f t="shared" si="602"/>
        <v>0</v>
      </c>
      <c r="GK176" s="119">
        <f t="shared" si="603"/>
        <v>0</v>
      </c>
      <c r="GL176" s="194">
        <f t="shared" si="604"/>
        <v>0</v>
      </c>
      <c r="GM176" s="194">
        <f t="shared" si="605"/>
        <v>0</v>
      </c>
      <c r="GN176" s="386">
        <f t="shared" si="606"/>
        <v>0</v>
      </c>
      <c r="GO176" s="239">
        <f t="shared" si="607"/>
        <v>0</v>
      </c>
      <c r="GP176" s="43">
        <f t="shared" si="608"/>
        <v>0</v>
      </c>
      <c r="GQ176" s="57">
        <f t="shared" si="609"/>
        <v>0</v>
      </c>
      <c r="GR176" s="194">
        <f t="shared" si="610"/>
        <v>0</v>
      </c>
      <c r="GS176" s="117">
        <f t="shared" si="611"/>
        <v>0</v>
      </c>
      <c r="GT176" s="119">
        <f t="shared" si="612"/>
        <v>0</v>
      </c>
      <c r="GU176" s="194">
        <f t="shared" si="613"/>
        <v>0</v>
      </c>
      <c r="GV176" s="117">
        <f t="shared" si="614"/>
        <v>0</v>
      </c>
      <c r="GW176" s="119">
        <f t="shared" si="615"/>
        <v>0</v>
      </c>
      <c r="GX176" s="194">
        <f t="shared" si="616"/>
        <v>0</v>
      </c>
      <c r="GY176" s="117">
        <f t="shared" si="617"/>
        <v>0</v>
      </c>
      <c r="GZ176" s="119">
        <f t="shared" si="618"/>
        <v>0</v>
      </c>
      <c r="HA176" s="194">
        <f t="shared" si="619"/>
        <v>0</v>
      </c>
      <c r="HB176" s="117">
        <f t="shared" si="620"/>
        <v>0</v>
      </c>
      <c r="HC176" s="119">
        <f t="shared" si="621"/>
        <v>0</v>
      </c>
      <c r="HD176" s="368">
        <f t="shared" si="622"/>
        <v>0</v>
      </c>
      <c r="HE176" s="369">
        <f t="shared" si="623"/>
        <v>0</v>
      </c>
      <c r="HF176" s="369">
        <f t="shared" si="624"/>
        <v>0</v>
      </c>
      <c r="HG176" s="147">
        <f t="shared" si="625"/>
        <v>0</v>
      </c>
    </row>
    <row r="177" spans="1:215" ht="15.75" thickBot="1">
      <c r="A177" s="238">
        <v>27</v>
      </c>
      <c r="B177" s="116">
        <f t="shared" si="414"/>
        <v>0</v>
      </c>
      <c r="C177" s="117">
        <f t="shared" si="415"/>
        <v>0</v>
      </c>
      <c r="D177" s="119">
        <f t="shared" si="416"/>
        <v>0</v>
      </c>
      <c r="E177" s="194">
        <f t="shared" si="417"/>
        <v>0</v>
      </c>
      <c r="F177" s="117">
        <f t="shared" si="418"/>
        <v>0</v>
      </c>
      <c r="G177" s="118">
        <f t="shared" si="419"/>
        <v>0</v>
      </c>
      <c r="H177" s="116">
        <f t="shared" si="420"/>
        <v>0</v>
      </c>
      <c r="I177" s="117">
        <f t="shared" si="421"/>
        <v>0</v>
      </c>
      <c r="J177" s="119">
        <f t="shared" si="422"/>
        <v>0</v>
      </c>
      <c r="K177" s="194">
        <f t="shared" si="423"/>
        <v>0</v>
      </c>
      <c r="L177" s="117">
        <f t="shared" si="424"/>
        <v>0</v>
      </c>
      <c r="M177" s="118">
        <f t="shared" si="425"/>
        <v>0</v>
      </c>
      <c r="N177" s="116">
        <f t="shared" si="426"/>
        <v>0</v>
      </c>
      <c r="O177" s="117">
        <f t="shared" si="427"/>
        <v>0</v>
      </c>
      <c r="P177" s="119">
        <f t="shared" si="428"/>
        <v>0</v>
      </c>
      <c r="Q177" s="194">
        <f t="shared" si="429"/>
        <v>0</v>
      </c>
      <c r="R177" s="117">
        <f t="shared" si="430"/>
        <v>0</v>
      </c>
      <c r="S177" s="118">
        <f t="shared" si="431"/>
        <v>0</v>
      </c>
      <c r="T177" s="116">
        <f t="shared" si="432"/>
        <v>0</v>
      </c>
      <c r="U177" s="117">
        <f t="shared" si="433"/>
        <v>0</v>
      </c>
      <c r="V177" s="119">
        <f t="shared" si="434"/>
        <v>0</v>
      </c>
      <c r="W177" s="194">
        <f t="shared" si="435"/>
        <v>0</v>
      </c>
      <c r="X177" s="117">
        <f t="shared" si="436"/>
        <v>0</v>
      </c>
      <c r="Y177" s="118">
        <f t="shared" si="437"/>
        <v>0</v>
      </c>
      <c r="Z177" s="116">
        <f t="shared" si="438"/>
        <v>0</v>
      </c>
      <c r="AA177" s="117">
        <f t="shared" si="439"/>
        <v>0</v>
      </c>
      <c r="AB177" s="119">
        <f t="shared" si="440"/>
        <v>0</v>
      </c>
      <c r="AC177" s="194">
        <f t="shared" si="441"/>
        <v>0</v>
      </c>
      <c r="AD177" s="117">
        <f t="shared" si="442"/>
        <v>0</v>
      </c>
      <c r="AE177" s="118">
        <f t="shared" si="443"/>
        <v>0</v>
      </c>
      <c r="AF177" s="116">
        <f t="shared" si="444"/>
        <v>0</v>
      </c>
      <c r="AG177" s="117">
        <f t="shared" si="445"/>
        <v>0</v>
      </c>
      <c r="AH177" s="119">
        <f t="shared" si="446"/>
        <v>0</v>
      </c>
      <c r="AI177" s="194">
        <f t="shared" si="447"/>
        <v>0</v>
      </c>
      <c r="AJ177" s="117">
        <f t="shared" si="448"/>
        <v>0</v>
      </c>
      <c r="AK177" s="118">
        <f t="shared" si="449"/>
        <v>0</v>
      </c>
      <c r="AL177" s="116">
        <f t="shared" si="450"/>
        <v>0</v>
      </c>
      <c r="AM177" s="117">
        <f t="shared" si="451"/>
        <v>0</v>
      </c>
      <c r="AN177" s="119">
        <f t="shared" si="452"/>
        <v>0</v>
      </c>
      <c r="AO177" s="194">
        <f t="shared" si="453"/>
        <v>0</v>
      </c>
      <c r="AP177" s="117">
        <f t="shared" si="454"/>
        <v>0</v>
      </c>
      <c r="AQ177" s="118">
        <f t="shared" si="455"/>
        <v>0</v>
      </c>
      <c r="AR177" s="116">
        <f t="shared" si="456"/>
        <v>0</v>
      </c>
      <c r="AS177" s="117">
        <f t="shared" si="457"/>
        <v>0</v>
      </c>
      <c r="AT177" s="119">
        <f t="shared" si="458"/>
        <v>0</v>
      </c>
      <c r="AU177" s="194">
        <f t="shared" si="459"/>
        <v>0</v>
      </c>
      <c r="AV177" s="117">
        <f t="shared" si="460"/>
        <v>0</v>
      </c>
      <c r="AW177" s="118">
        <f t="shared" si="461"/>
        <v>0</v>
      </c>
      <c r="AX177" s="116">
        <f t="shared" si="462"/>
        <v>0</v>
      </c>
      <c r="AY177" s="117">
        <f t="shared" si="463"/>
        <v>0</v>
      </c>
      <c r="AZ177" s="119">
        <f t="shared" si="464"/>
        <v>0</v>
      </c>
      <c r="BA177" s="194">
        <f t="shared" si="465"/>
        <v>0</v>
      </c>
      <c r="BB177" s="117">
        <f t="shared" si="466"/>
        <v>0</v>
      </c>
      <c r="BC177" s="118">
        <f t="shared" si="467"/>
        <v>0</v>
      </c>
      <c r="BD177" s="116">
        <f t="shared" si="468"/>
        <v>0</v>
      </c>
      <c r="BE177" s="117">
        <f t="shared" si="469"/>
        <v>0</v>
      </c>
      <c r="BF177" s="119">
        <f t="shared" si="470"/>
        <v>0</v>
      </c>
      <c r="BG177" s="194">
        <f t="shared" si="471"/>
        <v>0</v>
      </c>
      <c r="BH177" s="117">
        <f t="shared" si="472"/>
        <v>0</v>
      </c>
      <c r="BI177" s="118">
        <f t="shared" si="473"/>
        <v>0</v>
      </c>
      <c r="BJ177" s="116">
        <f t="shared" si="474"/>
        <v>0</v>
      </c>
      <c r="BK177" s="117">
        <f t="shared" si="475"/>
        <v>0</v>
      </c>
      <c r="BL177" s="119">
        <f t="shared" si="476"/>
        <v>0</v>
      </c>
      <c r="BM177" s="194">
        <f t="shared" si="477"/>
        <v>0</v>
      </c>
      <c r="BN177" s="117">
        <f t="shared" si="478"/>
        <v>0</v>
      </c>
      <c r="BO177" s="118">
        <f t="shared" si="479"/>
        <v>0</v>
      </c>
      <c r="BP177" s="116">
        <f t="shared" si="480"/>
        <v>0</v>
      </c>
      <c r="BQ177" s="117">
        <f t="shared" si="481"/>
        <v>0</v>
      </c>
      <c r="BR177" s="119">
        <f t="shared" si="626"/>
        <v>0</v>
      </c>
      <c r="BS177" s="194">
        <f t="shared" si="482"/>
        <v>0</v>
      </c>
      <c r="BT177" s="117">
        <f t="shared" si="483"/>
        <v>0</v>
      </c>
      <c r="BU177" s="118">
        <f t="shared" si="484"/>
        <v>0</v>
      </c>
      <c r="BV177" s="116">
        <f t="shared" si="485"/>
        <v>0</v>
      </c>
      <c r="BW177" s="117">
        <f t="shared" si="486"/>
        <v>0</v>
      </c>
      <c r="BX177" s="119">
        <f t="shared" si="487"/>
        <v>0</v>
      </c>
      <c r="BY177" s="194">
        <f t="shared" si="488"/>
        <v>0</v>
      </c>
      <c r="BZ177" s="117">
        <f t="shared" si="489"/>
        <v>0</v>
      </c>
      <c r="CA177" s="118">
        <f t="shared" si="490"/>
        <v>0</v>
      </c>
      <c r="CB177" s="116">
        <f t="shared" si="491"/>
        <v>0</v>
      </c>
      <c r="CC177" s="117">
        <f t="shared" si="492"/>
        <v>0</v>
      </c>
      <c r="CD177" s="119">
        <f t="shared" si="493"/>
        <v>0</v>
      </c>
      <c r="CE177" s="194">
        <f t="shared" si="494"/>
        <v>0</v>
      </c>
      <c r="CF177" s="117">
        <f t="shared" si="495"/>
        <v>0</v>
      </c>
      <c r="CG177" s="118">
        <f t="shared" si="496"/>
        <v>0</v>
      </c>
      <c r="CH177" s="116">
        <f t="shared" si="497"/>
        <v>0</v>
      </c>
      <c r="CI177" s="117">
        <f t="shared" si="498"/>
        <v>0</v>
      </c>
      <c r="CJ177" s="119">
        <f t="shared" si="499"/>
        <v>0</v>
      </c>
      <c r="CK177" s="194">
        <f t="shared" si="500"/>
        <v>0</v>
      </c>
      <c r="CL177" s="194">
        <f t="shared" si="501"/>
        <v>0</v>
      </c>
      <c r="CM177" s="386">
        <f t="shared" si="502"/>
        <v>0</v>
      </c>
      <c r="CN177" s="239">
        <f t="shared" si="503"/>
        <v>0</v>
      </c>
      <c r="CO177" s="43">
        <f t="shared" si="504"/>
        <v>0</v>
      </c>
      <c r="CP177" s="57">
        <f t="shared" si="505"/>
        <v>0</v>
      </c>
      <c r="CQ177" s="194">
        <f t="shared" si="506"/>
        <v>0</v>
      </c>
      <c r="CR177" s="117">
        <f t="shared" si="507"/>
        <v>0</v>
      </c>
      <c r="CS177" s="119">
        <f t="shared" si="508"/>
        <v>0</v>
      </c>
      <c r="CT177" s="194">
        <f t="shared" si="509"/>
        <v>0</v>
      </c>
      <c r="CU177" s="117">
        <f t="shared" si="510"/>
        <v>0</v>
      </c>
      <c r="CV177" s="119">
        <f t="shared" si="511"/>
        <v>0</v>
      </c>
      <c r="CW177" s="194">
        <f t="shared" si="512"/>
        <v>0</v>
      </c>
      <c r="CX177" s="117">
        <f t="shared" si="513"/>
        <v>0</v>
      </c>
      <c r="CY177" s="119">
        <f t="shared" si="514"/>
        <v>0</v>
      </c>
      <c r="CZ177" s="194">
        <f t="shared" si="515"/>
        <v>0</v>
      </c>
      <c r="DA177" s="117">
        <f t="shared" si="516"/>
        <v>0</v>
      </c>
      <c r="DB177" s="119">
        <f t="shared" si="517"/>
        <v>0</v>
      </c>
      <c r="DC177" s="116">
        <f t="shared" si="518"/>
        <v>0</v>
      </c>
      <c r="DD177" s="117">
        <f t="shared" si="519"/>
        <v>0</v>
      </c>
      <c r="DE177" s="119">
        <f t="shared" si="520"/>
        <v>0</v>
      </c>
      <c r="DF177" s="194">
        <f t="shared" si="521"/>
        <v>0</v>
      </c>
      <c r="DG177" s="117">
        <f t="shared" si="522"/>
        <v>0</v>
      </c>
      <c r="DH177" s="118">
        <f t="shared" si="523"/>
        <v>0</v>
      </c>
      <c r="DI177" s="116">
        <f t="shared" si="524"/>
        <v>0</v>
      </c>
      <c r="DJ177" s="117">
        <f t="shared" si="525"/>
        <v>0</v>
      </c>
      <c r="DK177" s="119">
        <f t="shared" si="526"/>
        <v>0</v>
      </c>
      <c r="DL177" s="194">
        <f t="shared" si="527"/>
        <v>0</v>
      </c>
      <c r="DM177" s="117">
        <f t="shared" si="528"/>
        <v>0</v>
      </c>
      <c r="DN177" s="118">
        <f t="shared" si="529"/>
        <v>0</v>
      </c>
      <c r="DO177" s="116">
        <f t="shared" si="530"/>
        <v>0</v>
      </c>
      <c r="DP177" s="117">
        <f t="shared" si="531"/>
        <v>0</v>
      </c>
      <c r="DQ177" s="119">
        <f t="shared" si="532"/>
        <v>0</v>
      </c>
      <c r="DR177" s="194">
        <f t="shared" si="533"/>
        <v>0</v>
      </c>
      <c r="DS177" s="117">
        <f t="shared" si="534"/>
        <v>0</v>
      </c>
      <c r="DT177" s="118">
        <f t="shared" si="535"/>
        <v>0</v>
      </c>
      <c r="DU177" s="116">
        <f t="shared" si="536"/>
        <v>0</v>
      </c>
      <c r="DV177" s="117">
        <f t="shared" si="537"/>
        <v>0</v>
      </c>
      <c r="DW177" s="119">
        <f t="shared" si="538"/>
        <v>0</v>
      </c>
      <c r="DX177" s="194">
        <f t="shared" si="539"/>
        <v>0</v>
      </c>
      <c r="DY177" s="117">
        <f t="shared" si="540"/>
        <v>0</v>
      </c>
      <c r="DZ177" s="118">
        <f t="shared" si="541"/>
        <v>0</v>
      </c>
      <c r="EA177" s="116">
        <f t="shared" si="542"/>
        <v>0</v>
      </c>
      <c r="EB177" s="117">
        <f t="shared" si="543"/>
        <v>0</v>
      </c>
      <c r="EC177" s="119">
        <f t="shared" si="544"/>
        <v>0</v>
      </c>
      <c r="ED177" s="194">
        <f t="shared" si="545"/>
        <v>0</v>
      </c>
      <c r="EE177" s="117">
        <f t="shared" si="546"/>
        <v>0</v>
      </c>
      <c r="EF177" s="118">
        <f t="shared" si="547"/>
        <v>0</v>
      </c>
      <c r="EG177" s="116">
        <f t="shared" si="548"/>
        <v>0</v>
      </c>
      <c r="EH177" s="117">
        <f t="shared" si="549"/>
        <v>0</v>
      </c>
      <c r="EI177" s="119">
        <f t="shared" si="550"/>
        <v>0</v>
      </c>
      <c r="EJ177" s="194">
        <f t="shared" si="551"/>
        <v>0</v>
      </c>
      <c r="EK177" s="117">
        <f t="shared" si="552"/>
        <v>0</v>
      </c>
      <c r="EL177" s="118">
        <f t="shared" si="553"/>
        <v>0</v>
      </c>
      <c r="EM177" s="116">
        <f t="shared" si="554"/>
        <v>0</v>
      </c>
      <c r="EN177" s="117">
        <f t="shared" si="555"/>
        <v>0</v>
      </c>
      <c r="EO177" s="119">
        <f t="shared" si="556"/>
        <v>0</v>
      </c>
      <c r="EP177" s="194">
        <f t="shared" si="557"/>
        <v>0</v>
      </c>
      <c r="EQ177" s="117">
        <f t="shared" si="558"/>
        <v>0</v>
      </c>
      <c r="ER177" s="118">
        <f t="shared" si="559"/>
        <v>0</v>
      </c>
      <c r="ES177" s="116">
        <f t="shared" si="560"/>
        <v>0</v>
      </c>
      <c r="ET177" s="117">
        <f t="shared" si="561"/>
        <v>0</v>
      </c>
      <c r="EU177" s="119">
        <f t="shared" si="562"/>
        <v>0</v>
      </c>
      <c r="EV177" s="194">
        <f t="shared" si="563"/>
        <v>0</v>
      </c>
      <c r="EW177" s="117">
        <f t="shared" si="564"/>
        <v>0</v>
      </c>
      <c r="EX177" s="118">
        <f t="shared" si="565"/>
        <v>0</v>
      </c>
      <c r="EY177" s="116">
        <f t="shared" si="566"/>
        <v>0</v>
      </c>
      <c r="EZ177" s="117">
        <f t="shared" si="567"/>
        <v>0</v>
      </c>
      <c r="FA177" s="119">
        <f t="shared" si="568"/>
        <v>0</v>
      </c>
      <c r="FB177" s="194">
        <f t="shared" si="569"/>
        <v>0</v>
      </c>
      <c r="FC177" s="117">
        <f t="shared" si="570"/>
        <v>0</v>
      </c>
      <c r="FD177" s="118">
        <f t="shared" si="571"/>
        <v>0</v>
      </c>
      <c r="FE177" s="116">
        <f t="shared" si="572"/>
        <v>0</v>
      </c>
      <c r="FF177" s="117">
        <f t="shared" si="573"/>
        <v>0</v>
      </c>
      <c r="FG177" s="119">
        <f t="shared" si="574"/>
        <v>0</v>
      </c>
      <c r="FH177" s="194">
        <f t="shared" si="575"/>
        <v>0</v>
      </c>
      <c r="FI177" s="117">
        <f t="shared" si="576"/>
        <v>0</v>
      </c>
      <c r="FJ177" s="118">
        <f t="shared" si="577"/>
        <v>0</v>
      </c>
      <c r="FK177" s="116">
        <f t="shared" si="578"/>
        <v>0</v>
      </c>
      <c r="FL177" s="117">
        <f t="shared" si="579"/>
        <v>0</v>
      </c>
      <c r="FM177" s="119">
        <f t="shared" si="580"/>
        <v>0</v>
      </c>
      <c r="FN177" s="194">
        <f t="shared" si="581"/>
        <v>0</v>
      </c>
      <c r="FO177" s="117">
        <f t="shared" si="582"/>
        <v>0</v>
      </c>
      <c r="FP177" s="118">
        <f t="shared" si="583"/>
        <v>0</v>
      </c>
      <c r="FQ177" s="116">
        <f t="shared" si="584"/>
        <v>0</v>
      </c>
      <c r="FR177" s="117">
        <f t="shared" si="585"/>
        <v>0</v>
      </c>
      <c r="FS177" s="119">
        <f t="shared" si="627"/>
        <v>0</v>
      </c>
      <c r="FT177" s="194">
        <f t="shared" si="586"/>
        <v>0</v>
      </c>
      <c r="FU177" s="117">
        <f t="shared" si="587"/>
        <v>0</v>
      </c>
      <c r="FV177" s="118">
        <f t="shared" si="588"/>
        <v>0</v>
      </c>
      <c r="FW177" s="116">
        <f t="shared" si="589"/>
        <v>0</v>
      </c>
      <c r="FX177" s="117">
        <f t="shared" si="590"/>
        <v>0</v>
      </c>
      <c r="FY177" s="119">
        <f t="shared" si="591"/>
        <v>0</v>
      </c>
      <c r="FZ177" s="194">
        <f t="shared" si="592"/>
        <v>0</v>
      </c>
      <c r="GA177" s="117">
        <f t="shared" si="593"/>
        <v>0</v>
      </c>
      <c r="GB177" s="118">
        <f t="shared" si="594"/>
        <v>0</v>
      </c>
      <c r="GC177" s="116">
        <f t="shared" si="595"/>
        <v>0</v>
      </c>
      <c r="GD177" s="117">
        <f t="shared" si="596"/>
        <v>0</v>
      </c>
      <c r="GE177" s="119">
        <f t="shared" si="597"/>
        <v>0</v>
      </c>
      <c r="GF177" s="194">
        <f t="shared" si="598"/>
        <v>0</v>
      </c>
      <c r="GG177" s="117">
        <f t="shared" si="599"/>
        <v>0</v>
      </c>
      <c r="GH177" s="118">
        <f t="shared" si="600"/>
        <v>0</v>
      </c>
      <c r="GI177" s="116">
        <f t="shared" si="601"/>
        <v>0</v>
      </c>
      <c r="GJ177" s="117">
        <f t="shared" si="602"/>
        <v>0</v>
      </c>
      <c r="GK177" s="119">
        <f t="shared" si="603"/>
        <v>0</v>
      </c>
      <c r="GL177" s="194">
        <f t="shared" si="604"/>
        <v>0</v>
      </c>
      <c r="GM177" s="194">
        <f t="shared" si="605"/>
        <v>0</v>
      </c>
      <c r="GN177" s="386">
        <f t="shared" si="606"/>
        <v>0</v>
      </c>
      <c r="GO177" s="239">
        <f t="shared" si="607"/>
        <v>0</v>
      </c>
      <c r="GP177" s="43">
        <f t="shared" si="608"/>
        <v>0</v>
      </c>
      <c r="GQ177" s="57">
        <f t="shared" si="609"/>
        <v>0</v>
      </c>
      <c r="GR177" s="194">
        <f t="shared" si="610"/>
        <v>0</v>
      </c>
      <c r="GS177" s="117">
        <f t="shared" si="611"/>
        <v>0</v>
      </c>
      <c r="GT177" s="119">
        <f t="shared" si="612"/>
        <v>0</v>
      </c>
      <c r="GU177" s="194">
        <f t="shared" si="613"/>
        <v>0</v>
      </c>
      <c r="GV177" s="117">
        <f t="shared" si="614"/>
        <v>0</v>
      </c>
      <c r="GW177" s="119">
        <f t="shared" si="615"/>
        <v>0</v>
      </c>
      <c r="GX177" s="194">
        <f t="shared" si="616"/>
        <v>0</v>
      </c>
      <c r="GY177" s="117">
        <f t="shared" si="617"/>
        <v>0</v>
      </c>
      <c r="GZ177" s="119">
        <f t="shared" si="618"/>
        <v>0</v>
      </c>
      <c r="HA177" s="194">
        <f t="shared" si="619"/>
        <v>0</v>
      </c>
      <c r="HB177" s="117">
        <f t="shared" si="620"/>
        <v>0</v>
      </c>
      <c r="HC177" s="119">
        <f t="shared" si="621"/>
        <v>0</v>
      </c>
      <c r="HD177" s="368">
        <f t="shared" si="622"/>
        <v>0</v>
      </c>
      <c r="HE177" s="369">
        <f t="shared" si="623"/>
        <v>0</v>
      </c>
      <c r="HF177" s="369">
        <f t="shared" si="624"/>
        <v>0</v>
      </c>
      <c r="HG177" s="147">
        <f t="shared" si="625"/>
        <v>0</v>
      </c>
    </row>
    <row r="178" spans="1:215" ht="15.75" thickBot="1">
      <c r="A178" s="353">
        <v>28</v>
      </c>
      <c r="B178" s="116">
        <f t="shared" si="414"/>
        <v>0</v>
      </c>
      <c r="C178" s="117">
        <f t="shared" si="415"/>
        <v>0</v>
      </c>
      <c r="D178" s="119">
        <f t="shared" si="416"/>
        <v>0</v>
      </c>
      <c r="E178" s="194">
        <f t="shared" si="417"/>
        <v>0</v>
      </c>
      <c r="F178" s="117">
        <f t="shared" si="418"/>
        <v>0</v>
      </c>
      <c r="G178" s="118">
        <f t="shared" si="419"/>
        <v>0</v>
      </c>
      <c r="H178" s="116">
        <f t="shared" si="420"/>
        <v>0</v>
      </c>
      <c r="I178" s="117">
        <f t="shared" si="421"/>
        <v>0</v>
      </c>
      <c r="J178" s="119">
        <f t="shared" si="422"/>
        <v>0</v>
      </c>
      <c r="K178" s="194">
        <f t="shared" si="423"/>
        <v>0</v>
      </c>
      <c r="L178" s="117">
        <f t="shared" si="424"/>
        <v>0</v>
      </c>
      <c r="M178" s="118">
        <f t="shared" si="425"/>
        <v>0</v>
      </c>
      <c r="N178" s="116">
        <f t="shared" si="426"/>
        <v>0</v>
      </c>
      <c r="O178" s="117">
        <f t="shared" si="427"/>
        <v>0</v>
      </c>
      <c r="P178" s="119">
        <f t="shared" si="428"/>
        <v>0</v>
      </c>
      <c r="Q178" s="194">
        <f t="shared" si="429"/>
        <v>0</v>
      </c>
      <c r="R178" s="117">
        <f t="shared" si="430"/>
        <v>0</v>
      </c>
      <c r="S178" s="118">
        <f t="shared" si="431"/>
        <v>0</v>
      </c>
      <c r="T178" s="116">
        <f t="shared" si="432"/>
        <v>0</v>
      </c>
      <c r="U178" s="117">
        <f t="shared" si="433"/>
        <v>0</v>
      </c>
      <c r="V178" s="119">
        <f t="shared" si="434"/>
        <v>0</v>
      </c>
      <c r="W178" s="194">
        <f t="shared" si="435"/>
        <v>0</v>
      </c>
      <c r="X178" s="117">
        <f t="shared" si="436"/>
        <v>0</v>
      </c>
      <c r="Y178" s="118">
        <f t="shared" si="437"/>
        <v>0</v>
      </c>
      <c r="Z178" s="116">
        <f t="shared" si="438"/>
        <v>0</v>
      </c>
      <c r="AA178" s="117">
        <f t="shared" si="439"/>
        <v>0</v>
      </c>
      <c r="AB178" s="119">
        <f t="shared" si="440"/>
        <v>0</v>
      </c>
      <c r="AC178" s="194">
        <f t="shared" si="441"/>
        <v>0</v>
      </c>
      <c r="AD178" s="117">
        <f t="shared" si="442"/>
        <v>0</v>
      </c>
      <c r="AE178" s="118">
        <f t="shared" si="443"/>
        <v>0</v>
      </c>
      <c r="AF178" s="116">
        <f t="shared" si="444"/>
        <v>0</v>
      </c>
      <c r="AG178" s="117">
        <f t="shared" si="445"/>
        <v>0</v>
      </c>
      <c r="AH178" s="119">
        <f t="shared" si="446"/>
        <v>0</v>
      </c>
      <c r="AI178" s="194">
        <f t="shared" si="447"/>
        <v>0</v>
      </c>
      <c r="AJ178" s="117">
        <f t="shared" si="448"/>
        <v>0</v>
      </c>
      <c r="AK178" s="118">
        <f t="shared" si="449"/>
        <v>0</v>
      </c>
      <c r="AL178" s="116">
        <f t="shared" si="450"/>
        <v>0</v>
      </c>
      <c r="AM178" s="117">
        <f t="shared" si="451"/>
        <v>0</v>
      </c>
      <c r="AN178" s="119">
        <f t="shared" si="452"/>
        <v>0</v>
      </c>
      <c r="AO178" s="194">
        <f t="shared" si="453"/>
        <v>0</v>
      </c>
      <c r="AP178" s="117">
        <f t="shared" si="454"/>
        <v>0</v>
      </c>
      <c r="AQ178" s="118">
        <f t="shared" si="455"/>
        <v>0</v>
      </c>
      <c r="AR178" s="116">
        <f t="shared" si="456"/>
        <v>0</v>
      </c>
      <c r="AS178" s="117">
        <f t="shared" si="457"/>
        <v>0</v>
      </c>
      <c r="AT178" s="119">
        <f t="shared" si="458"/>
        <v>0</v>
      </c>
      <c r="AU178" s="194">
        <f t="shared" si="459"/>
        <v>0</v>
      </c>
      <c r="AV178" s="117">
        <f t="shared" si="460"/>
        <v>0</v>
      </c>
      <c r="AW178" s="118">
        <f t="shared" si="461"/>
        <v>0</v>
      </c>
      <c r="AX178" s="116">
        <f t="shared" si="462"/>
        <v>0</v>
      </c>
      <c r="AY178" s="117">
        <f t="shared" si="463"/>
        <v>0</v>
      </c>
      <c r="AZ178" s="119">
        <f t="shared" si="464"/>
        <v>0</v>
      </c>
      <c r="BA178" s="194">
        <f t="shared" si="465"/>
        <v>0</v>
      </c>
      <c r="BB178" s="117">
        <f t="shared" si="466"/>
        <v>0</v>
      </c>
      <c r="BC178" s="118">
        <f t="shared" si="467"/>
        <v>0</v>
      </c>
      <c r="BD178" s="116">
        <f t="shared" si="468"/>
        <v>0</v>
      </c>
      <c r="BE178" s="117">
        <f t="shared" si="469"/>
        <v>0</v>
      </c>
      <c r="BF178" s="119">
        <f t="shared" si="470"/>
        <v>0</v>
      </c>
      <c r="BG178" s="194">
        <f t="shared" si="471"/>
        <v>0</v>
      </c>
      <c r="BH178" s="117">
        <f t="shared" si="472"/>
        <v>0</v>
      </c>
      <c r="BI178" s="118">
        <f t="shared" si="473"/>
        <v>0</v>
      </c>
      <c r="BJ178" s="116">
        <f t="shared" si="474"/>
        <v>0</v>
      </c>
      <c r="BK178" s="117">
        <f t="shared" si="475"/>
        <v>0</v>
      </c>
      <c r="BL178" s="119">
        <f t="shared" si="476"/>
        <v>0</v>
      </c>
      <c r="BM178" s="194">
        <f t="shared" si="477"/>
        <v>0</v>
      </c>
      <c r="BN178" s="117">
        <f t="shared" si="478"/>
        <v>0</v>
      </c>
      <c r="BO178" s="118">
        <f t="shared" si="479"/>
        <v>0</v>
      </c>
      <c r="BP178" s="116">
        <f t="shared" si="480"/>
        <v>0</v>
      </c>
      <c r="BQ178" s="117">
        <f t="shared" si="481"/>
        <v>0</v>
      </c>
      <c r="BR178" s="119">
        <f t="shared" si="626"/>
        <v>0</v>
      </c>
      <c r="BS178" s="194">
        <f t="shared" si="482"/>
        <v>0</v>
      </c>
      <c r="BT178" s="117">
        <f t="shared" si="483"/>
        <v>0</v>
      </c>
      <c r="BU178" s="118">
        <f t="shared" si="484"/>
        <v>0</v>
      </c>
      <c r="BV178" s="116">
        <f t="shared" si="485"/>
        <v>0</v>
      </c>
      <c r="BW178" s="117">
        <f t="shared" si="486"/>
        <v>0</v>
      </c>
      <c r="BX178" s="119">
        <f t="shared" si="487"/>
        <v>0</v>
      </c>
      <c r="BY178" s="194">
        <f t="shared" si="488"/>
        <v>0</v>
      </c>
      <c r="BZ178" s="117">
        <f t="shared" si="489"/>
        <v>0</v>
      </c>
      <c r="CA178" s="118">
        <f t="shared" si="490"/>
        <v>0</v>
      </c>
      <c r="CB178" s="116">
        <f t="shared" si="491"/>
        <v>0</v>
      </c>
      <c r="CC178" s="117">
        <f t="shared" si="492"/>
        <v>0</v>
      </c>
      <c r="CD178" s="119">
        <f t="shared" si="493"/>
        <v>0</v>
      </c>
      <c r="CE178" s="194">
        <f t="shared" si="494"/>
        <v>0</v>
      </c>
      <c r="CF178" s="117">
        <f t="shared" si="495"/>
        <v>0</v>
      </c>
      <c r="CG178" s="118">
        <f t="shared" si="496"/>
        <v>0</v>
      </c>
      <c r="CH178" s="116">
        <f t="shared" si="497"/>
        <v>0</v>
      </c>
      <c r="CI178" s="117">
        <f t="shared" si="498"/>
        <v>0</v>
      </c>
      <c r="CJ178" s="119">
        <f t="shared" si="499"/>
        <v>0</v>
      </c>
      <c r="CK178" s="194">
        <f t="shared" si="500"/>
        <v>0</v>
      </c>
      <c r="CL178" s="194">
        <f t="shared" si="501"/>
        <v>0</v>
      </c>
      <c r="CM178" s="386">
        <f t="shared" si="502"/>
        <v>0</v>
      </c>
      <c r="CN178" s="239">
        <f t="shared" si="503"/>
        <v>0</v>
      </c>
      <c r="CO178" s="43">
        <f t="shared" si="504"/>
        <v>0</v>
      </c>
      <c r="CP178" s="57">
        <f t="shared" si="505"/>
        <v>0</v>
      </c>
      <c r="CQ178" s="194">
        <f t="shared" si="506"/>
        <v>0</v>
      </c>
      <c r="CR178" s="117">
        <f t="shared" si="507"/>
        <v>0</v>
      </c>
      <c r="CS178" s="119">
        <f t="shared" si="508"/>
        <v>0</v>
      </c>
      <c r="CT178" s="194">
        <f t="shared" si="509"/>
        <v>0</v>
      </c>
      <c r="CU178" s="117">
        <f t="shared" si="510"/>
        <v>0</v>
      </c>
      <c r="CV178" s="119">
        <f t="shared" si="511"/>
        <v>0</v>
      </c>
      <c r="CW178" s="194">
        <f t="shared" si="512"/>
        <v>0</v>
      </c>
      <c r="CX178" s="117">
        <f t="shared" si="513"/>
        <v>0</v>
      </c>
      <c r="CY178" s="119">
        <f t="shared" si="514"/>
        <v>0</v>
      </c>
      <c r="CZ178" s="194">
        <f t="shared" si="515"/>
        <v>0</v>
      </c>
      <c r="DA178" s="117">
        <f t="shared" si="516"/>
        <v>0</v>
      </c>
      <c r="DB178" s="119">
        <f t="shared" si="517"/>
        <v>0</v>
      </c>
      <c r="DC178" s="116">
        <f t="shared" si="518"/>
        <v>0</v>
      </c>
      <c r="DD178" s="117">
        <f t="shared" si="519"/>
        <v>0</v>
      </c>
      <c r="DE178" s="119">
        <f t="shared" si="520"/>
        <v>0</v>
      </c>
      <c r="DF178" s="194">
        <f t="shared" si="521"/>
        <v>0</v>
      </c>
      <c r="DG178" s="117">
        <f t="shared" si="522"/>
        <v>0</v>
      </c>
      <c r="DH178" s="118">
        <f t="shared" si="523"/>
        <v>0</v>
      </c>
      <c r="DI178" s="116">
        <f t="shared" si="524"/>
        <v>0</v>
      </c>
      <c r="DJ178" s="117">
        <f t="shared" si="525"/>
        <v>0</v>
      </c>
      <c r="DK178" s="119">
        <f t="shared" si="526"/>
        <v>0</v>
      </c>
      <c r="DL178" s="194">
        <f t="shared" si="527"/>
        <v>0</v>
      </c>
      <c r="DM178" s="117">
        <f t="shared" si="528"/>
        <v>0</v>
      </c>
      <c r="DN178" s="118">
        <f t="shared" si="529"/>
        <v>0</v>
      </c>
      <c r="DO178" s="116">
        <f t="shared" si="530"/>
        <v>0</v>
      </c>
      <c r="DP178" s="117">
        <f t="shared" si="531"/>
        <v>0</v>
      </c>
      <c r="DQ178" s="119">
        <f t="shared" si="532"/>
        <v>0</v>
      </c>
      <c r="DR178" s="194">
        <f t="shared" si="533"/>
        <v>0</v>
      </c>
      <c r="DS178" s="117">
        <f t="shared" si="534"/>
        <v>0</v>
      </c>
      <c r="DT178" s="118">
        <f t="shared" si="535"/>
        <v>0</v>
      </c>
      <c r="DU178" s="116">
        <f t="shared" si="536"/>
        <v>0</v>
      </c>
      <c r="DV178" s="117">
        <f t="shared" si="537"/>
        <v>0</v>
      </c>
      <c r="DW178" s="119">
        <f t="shared" si="538"/>
        <v>0</v>
      </c>
      <c r="DX178" s="194">
        <f t="shared" si="539"/>
        <v>0</v>
      </c>
      <c r="DY178" s="117">
        <f t="shared" si="540"/>
        <v>0</v>
      </c>
      <c r="DZ178" s="118">
        <f t="shared" si="541"/>
        <v>0</v>
      </c>
      <c r="EA178" s="116">
        <f t="shared" si="542"/>
        <v>0</v>
      </c>
      <c r="EB178" s="117">
        <f t="shared" si="543"/>
        <v>0</v>
      </c>
      <c r="EC178" s="119">
        <f t="shared" si="544"/>
        <v>0</v>
      </c>
      <c r="ED178" s="194">
        <f t="shared" si="545"/>
        <v>0</v>
      </c>
      <c r="EE178" s="117">
        <f t="shared" si="546"/>
        <v>0</v>
      </c>
      <c r="EF178" s="118">
        <f t="shared" si="547"/>
        <v>0</v>
      </c>
      <c r="EG178" s="116">
        <f t="shared" si="548"/>
        <v>0</v>
      </c>
      <c r="EH178" s="117">
        <f t="shared" si="549"/>
        <v>0</v>
      </c>
      <c r="EI178" s="119">
        <f t="shared" si="550"/>
        <v>0</v>
      </c>
      <c r="EJ178" s="194">
        <f t="shared" si="551"/>
        <v>0</v>
      </c>
      <c r="EK178" s="117">
        <f t="shared" si="552"/>
        <v>0</v>
      </c>
      <c r="EL178" s="118">
        <f t="shared" si="553"/>
        <v>0</v>
      </c>
      <c r="EM178" s="116">
        <f t="shared" si="554"/>
        <v>0</v>
      </c>
      <c r="EN178" s="117">
        <f t="shared" si="555"/>
        <v>0</v>
      </c>
      <c r="EO178" s="119">
        <f t="shared" si="556"/>
        <v>0</v>
      </c>
      <c r="EP178" s="194">
        <f t="shared" si="557"/>
        <v>0</v>
      </c>
      <c r="EQ178" s="117">
        <f t="shared" si="558"/>
        <v>0</v>
      </c>
      <c r="ER178" s="118">
        <f t="shared" si="559"/>
        <v>0</v>
      </c>
      <c r="ES178" s="116">
        <f t="shared" si="560"/>
        <v>0</v>
      </c>
      <c r="ET178" s="117">
        <f t="shared" si="561"/>
        <v>0</v>
      </c>
      <c r="EU178" s="119">
        <f t="shared" si="562"/>
        <v>0</v>
      </c>
      <c r="EV178" s="194">
        <f t="shared" si="563"/>
        <v>0</v>
      </c>
      <c r="EW178" s="117">
        <f t="shared" si="564"/>
        <v>0</v>
      </c>
      <c r="EX178" s="118">
        <f t="shared" si="565"/>
        <v>0</v>
      </c>
      <c r="EY178" s="116">
        <f t="shared" si="566"/>
        <v>0</v>
      </c>
      <c r="EZ178" s="117">
        <f t="shared" si="567"/>
        <v>0</v>
      </c>
      <c r="FA178" s="119">
        <f t="shared" si="568"/>
        <v>0</v>
      </c>
      <c r="FB178" s="194">
        <f t="shared" si="569"/>
        <v>0</v>
      </c>
      <c r="FC178" s="117">
        <f t="shared" si="570"/>
        <v>0</v>
      </c>
      <c r="FD178" s="118">
        <f t="shared" si="571"/>
        <v>0</v>
      </c>
      <c r="FE178" s="116">
        <f t="shared" si="572"/>
        <v>0</v>
      </c>
      <c r="FF178" s="117">
        <f t="shared" si="573"/>
        <v>0</v>
      </c>
      <c r="FG178" s="119">
        <f t="shared" si="574"/>
        <v>0</v>
      </c>
      <c r="FH178" s="194">
        <f t="shared" si="575"/>
        <v>0</v>
      </c>
      <c r="FI178" s="117">
        <f t="shared" si="576"/>
        <v>0</v>
      </c>
      <c r="FJ178" s="118">
        <f t="shared" si="577"/>
        <v>0</v>
      </c>
      <c r="FK178" s="116">
        <f t="shared" si="578"/>
        <v>0</v>
      </c>
      <c r="FL178" s="117">
        <f t="shared" si="579"/>
        <v>0</v>
      </c>
      <c r="FM178" s="119">
        <f t="shared" si="580"/>
        <v>0</v>
      </c>
      <c r="FN178" s="194">
        <f t="shared" si="581"/>
        <v>0</v>
      </c>
      <c r="FO178" s="117">
        <f t="shared" si="582"/>
        <v>0</v>
      </c>
      <c r="FP178" s="118">
        <f t="shared" si="583"/>
        <v>0</v>
      </c>
      <c r="FQ178" s="116">
        <f t="shared" si="584"/>
        <v>0</v>
      </c>
      <c r="FR178" s="117">
        <f t="shared" si="585"/>
        <v>0</v>
      </c>
      <c r="FS178" s="119">
        <f t="shared" si="627"/>
        <v>0</v>
      </c>
      <c r="FT178" s="194">
        <f t="shared" si="586"/>
        <v>0</v>
      </c>
      <c r="FU178" s="117">
        <f t="shared" si="587"/>
        <v>0</v>
      </c>
      <c r="FV178" s="118">
        <f t="shared" si="588"/>
        <v>0</v>
      </c>
      <c r="FW178" s="116">
        <f t="shared" si="589"/>
        <v>0</v>
      </c>
      <c r="FX178" s="117">
        <f t="shared" si="590"/>
        <v>0</v>
      </c>
      <c r="FY178" s="119">
        <f t="shared" si="591"/>
        <v>0</v>
      </c>
      <c r="FZ178" s="194">
        <f t="shared" si="592"/>
        <v>0</v>
      </c>
      <c r="GA178" s="117">
        <f t="shared" si="593"/>
        <v>0</v>
      </c>
      <c r="GB178" s="118">
        <f t="shared" si="594"/>
        <v>0</v>
      </c>
      <c r="GC178" s="116">
        <f t="shared" si="595"/>
        <v>0</v>
      </c>
      <c r="GD178" s="117">
        <f t="shared" si="596"/>
        <v>0</v>
      </c>
      <c r="GE178" s="119">
        <f t="shared" si="597"/>
        <v>0</v>
      </c>
      <c r="GF178" s="194">
        <f t="shared" si="598"/>
        <v>0</v>
      </c>
      <c r="GG178" s="117">
        <f t="shared" si="599"/>
        <v>0</v>
      </c>
      <c r="GH178" s="118">
        <f t="shared" si="600"/>
        <v>0</v>
      </c>
      <c r="GI178" s="116">
        <f t="shared" si="601"/>
        <v>0</v>
      </c>
      <c r="GJ178" s="117">
        <f t="shared" si="602"/>
        <v>0</v>
      </c>
      <c r="GK178" s="119">
        <f t="shared" si="603"/>
        <v>0</v>
      </c>
      <c r="GL178" s="194">
        <f t="shared" si="604"/>
        <v>0</v>
      </c>
      <c r="GM178" s="194">
        <f t="shared" si="605"/>
        <v>0</v>
      </c>
      <c r="GN178" s="386">
        <f t="shared" si="606"/>
        <v>0</v>
      </c>
      <c r="GO178" s="239">
        <f t="shared" si="607"/>
        <v>0</v>
      </c>
      <c r="GP178" s="43">
        <f t="shared" si="608"/>
        <v>0</v>
      </c>
      <c r="GQ178" s="57">
        <f t="shared" si="609"/>
        <v>0</v>
      </c>
      <c r="GR178" s="194">
        <f t="shared" si="610"/>
        <v>0</v>
      </c>
      <c r="GS178" s="117">
        <f t="shared" si="611"/>
        <v>0</v>
      </c>
      <c r="GT178" s="119">
        <f t="shared" si="612"/>
        <v>0</v>
      </c>
      <c r="GU178" s="194">
        <f t="shared" si="613"/>
        <v>0</v>
      </c>
      <c r="GV178" s="117">
        <f t="shared" si="614"/>
        <v>0</v>
      </c>
      <c r="GW178" s="119">
        <f t="shared" si="615"/>
        <v>0</v>
      </c>
      <c r="GX178" s="194">
        <f t="shared" si="616"/>
        <v>0</v>
      </c>
      <c r="GY178" s="117">
        <f t="shared" si="617"/>
        <v>0</v>
      </c>
      <c r="GZ178" s="119">
        <f t="shared" si="618"/>
        <v>0</v>
      </c>
      <c r="HA178" s="194">
        <f t="shared" si="619"/>
        <v>0</v>
      </c>
      <c r="HB178" s="117">
        <f t="shared" si="620"/>
        <v>0</v>
      </c>
      <c r="HC178" s="119">
        <f t="shared" si="621"/>
        <v>0</v>
      </c>
      <c r="HD178" s="368">
        <f t="shared" si="622"/>
        <v>0</v>
      </c>
      <c r="HE178" s="369">
        <f t="shared" si="623"/>
        <v>0</v>
      </c>
      <c r="HF178" s="369">
        <f t="shared" si="624"/>
        <v>0</v>
      </c>
      <c r="HG178" s="147">
        <f t="shared" si="625"/>
        <v>0</v>
      </c>
    </row>
    <row r="179" spans="1:215" ht="15.75" thickBot="1">
      <c r="A179" s="238">
        <v>29</v>
      </c>
      <c r="B179" s="116">
        <f t="shared" si="414"/>
        <v>0</v>
      </c>
      <c r="C179" s="117">
        <f t="shared" si="415"/>
        <v>0</v>
      </c>
      <c r="D179" s="119">
        <f t="shared" si="416"/>
        <v>0</v>
      </c>
      <c r="E179" s="194">
        <f t="shared" si="417"/>
        <v>0</v>
      </c>
      <c r="F179" s="117">
        <f t="shared" si="418"/>
        <v>0</v>
      </c>
      <c r="G179" s="118">
        <f t="shared" si="419"/>
        <v>0</v>
      </c>
      <c r="H179" s="116">
        <f t="shared" si="420"/>
        <v>0</v>
      </c>
      <c r="I179" s="117">
        <f t="shared" si="421"/>
        <v>0</v>
      </c>
      <c r="J179" s="119">
        <f t="shared" si="422"/>
        <v>0</v>
      </c>
      <c r="K179" s="194">
        <f t="shared" si="423"/>
        <v>0</v>
      </c>
      <c r="L179" s="117">
        <f t="shared" si="424"/>
        <v>0</v>
      </c>
      <c r="M179" s="118">
        <f t="shared" si="425"/>
        <v>0</v>
      </c>
      <c r="N179" s="116">
        <f t="shared" si="426"/>
        <v>0</v>
      </c>
      <c r="O179" s="117">
        <f t="shared" si="427"/>
        <v>0</v>
      </c>
      <c r="P179" s="119">
        <f t="shared" si="428"/>
        <v>0</v>
      </c>
      <c r="Q179" s="194">
        <f t="shared" si="429"/>
        <v>0</v>
      </c>
      <c r="R179" s="117">
        <f t="shared" si="430"/>
        <v>0</v>
      </c>
      <c r="S179" s="118">
        <f t="shared" si="431"/>
        <v>0</v>
      </c>
      <c r="T179" s="116">
        <f t="shared" si="432"/>
        <v>0</v>
      </c>
      <c r="U179" s="117">
        <f t="shared" si="433"/>
        <v>0</v>
      </c>
      <c r="V179" s="119">
        <f t="shared" si="434"/>
        <v>0</v>
      </c>
      <c r="W179" s="194">
        <f t="shared" si="435"/>
        <v>0</v>
      </c>
      <c r="X179" s="117">
        <f t="shared" si="436"/>
        <v>0</v>
      </c>
      <c r="Y179" s="118">
        <f t="shared" si="437"/>
        <v>0</v>
      </c>
      <c r="Z179" s="116">
        <f t="shared" si="438"/>
        <v>0</v>
      </c>
      <c r="AA179" s="117">
        <f t="shared" si="439"/>
        <v>0</v>
      </c>
      <c r="AB179" s="119">
        <f t="shared" si="440"/>
        <v>0</v>
      </c>
      <c r="AC179" s="194">
        <f t="shared" si="441"/>
        <v>0</v>
      </c>
      <c r="AD179" s="117">
        <f t="shared" si="442"/>
        <v>0</v>
      </c>
      <c r="AE179" s="118">
        <f t="shared" si="443"/>
        <v>0</v>
      </c>
      <c r="AF179" s="116">
        <f t="shared" si="444"/>
        <v>0</v>
      </c>
      <c r="AG179" s="117">
        <f t="shared" si="445"/>
        <v>0</v>
      </c>
      <c r="AH179" s="119">
        <f t="shared" si="446"/>
        <v>0</v>
      </c>
      <c r="AI179" s="194">
        <f t="shared" si="447"/>
        <v>0</v>
      </c>
      <c r="AJ179" s="117">
        <f t="shared" si="448"/>
        <v>0</v>
      </c>
      <c r="AK179" s="118">
        <f t="shared" si="449"/>
        <v>0</v>
      </c>
      <c r="AL179" s="116">
        <f t="shared" si="450"/>
        <v>0</v>
      </c>
      <c r="AM179" s="117">
        <f t="shared" si="451"/>
        <v>0</v>
      </c>
      <c r="AN179" s="119">
        <f t="shared" si="452"/>
        <v>0</v>
      </c>
      <c r="AO179" s="194">
        <f t="shared" si="453"/>
        <v>0</v>
      </c>
      <c r="AP179" s="117">
        <f t="shared" si="454"/>
        <v>0</v>
      </c>
      <c r="AQ179" s="118">
        <f t="shared" si="455"/>
        <v>0</v>
      </c>
      <c r="AR179" s="116">
        <f t="shared" si="456"/>
        <v>0</v>
      </c>
      <c r="AS179" s="117">
        <f t="shared" si="457"/>
        <v>0</v>
      </c>
      <c r="AT179" s="119">
        <f t="shared" si="458"/>
        <v>0</v>
      </c>
      <c r="AU179" s="194">
        <f t="shared" si="459"/>
        <v>0</v>
      </c>
      <c r="AV179" s="117">
        <f t="shared" si="460"/>
        <v>0</v>
      </c>
      <c r="AW179" s="118">
        <f t="shared" si="461"/>
        <v>0</v>
      </c>
      <c r="AX179" s="116">
        <f t="shared" si="462"/>
        <v>0</v>
      </c>
      <c r="AY179" s="117">
        <f t="shared" si="463"/>
        <v>0</v>
      </c>
      <c r="AZ179" s="119">
        <f t="shared" si="464"/>
        <v>0</v>
      </c>
      <c r="BA179" s="194">
        <f t="shared" si="465"/>
        <v>0</v>
      </c>
      <c r="BB179" s="117">
        <f t="shared" si="466"/>
        <v>0</v>
      </c>
      <c r="BC179" s="118">
        <f t="shared" si="467"/>
        <v>0</v>
      </c>
      <c r="BD179" s="116">
        <f t="shared" si="468"/>
        <v>0</v>
      </c>
      <c r="BE179" s="117">
        <f t="shared" si="469"/>
        <v>0</v>
      </c>
      <c r="BF179" s="119">
        <f t="shared" si="470"/>
        <v>0</v>
      </c>
      <c r="BG179" s="194">
        <f t="shared" si="471"/>
        <v>0</v>
      </c>
      <c r="BH179" s="117">
        <f t="shared" si="472"/>
        <v>0</v>
      </c>
      <c r="BI179" s="118">
        <f t="shared" si="473"/>
        <v>0</v>
      </c>
      <c r="BJ179" s="116">
        <f t="shared" si="474"/>
        <v>0</v>
      </c>
      <c r="BK179" s="117">
        <f t="shared" si="475"/>
        <v>0</v>
      </c>
      <c r="BL179" s="119">
        <f t="shared" si="476"/>
        <v>0</v>
      </c>
      <c r="BM179" s="194">
        <f t="shared" si="477"/>
        <v>0</v>
      </c>
      <c r="BN179" s="117">
        <f t="shared" si="478"/>
        <v>0</v>
      </c>
      <c r="BO179" s="118">
        <f t="shared" si="479"/>
        <v>0</v>
      </c>
      <c r="BP179" s="116">
        <f t="shared" si="480"/>
        <v>0</v>
      </c>
      <c r="BQ179" s="117">
        <f t="shared" si="481"/>
        <v>0</v>
      </c>
      <c r="BR179" s="119">
        <f t="shared" si="626"/>
        <v>0</v>
      </c>
      <c r="BS179" s="194">
        <f t="shared" si="482"/>
        <v>0</v>
      </c>
      <c r="BT179" s="117">
        <f t="shared" si="483"/>
        <v>0</v>
      </c>
      <c r="BU179" s="118">
        <f t="shared" si="484"/>
        <v>0</v>
      </c>
      <c r="BV179" s="116">
        <f t="shared" si="485"/>
        <v>0</v>
      </c>
      <c r="BW179" s="117">
        <f t="shared" si="486"/>
        <v>0</v>
      </c>
      <c r="BX179" s="119">
        <f t="shared" si="487"/>
        <v>0</v>
      </c>
      <c r="BY179" s="194">
        <f t="shared" si="488"/>
        <v>0</v>
      </c>
      <c r="BZ179" s="117">
        <f t="shared" si="489"/>
        <v>0</v>
      </c>
      <c r="CA179" s="118">
        <f t="shared" si="490"/>
        <v>0</v>
      </c>
      <c r="CB179" s="116">
        <f t="shared" si="491"/>
        <v>0</v>
      </c>
      <c r="CC179" s="117">
        <f t="shared" si="492"/>
        <v>0</v>
      </c>
      <c r="CD179" s="119">
        <f t="shared" si="493"/>
        <v>0</v>
      </c>
      <c r="CE179" s="194">
        <f t="shared" si="494"/>
        <v>0</v>
      </c>
      <c r="CF179" s="117">
        <f t="shared" si="495"/>
        <v>0</v>
      </c>
      <c r="CG179" s="118">
        <f t="shared" si="496"/>
        <v>0</v>
      </c>
      <c r="CH179" s="116">
        <f t="shared" si="497"/>
        <v>0</v>
      </c>
      <c r="CI179" s="117">
        <f t="shared" si="498"/>
        <v>0</v>
      </c>
      <c r="CJ179" s="119">
        <f t="shared" si="499"/>
        <v>0</v>
      </c>
      <c r="CK179" s="194">
        <f t="shared" si="500"/>
        <v>0</v>
      </c>
      <c r="CL179" s="194">
        <f t="shared" si="501"/>
        <v>0</v>
      </c>
      <c r="CM179" s="386">
        <f t="shared" si="502"/>
        <v>0</v>
      </c>
      <c r="CN179" s="239">
        <f t="shared" si="503"/>
        <v>0</v>
      </c>
      <c r="CO179" s="43">
        <f t="shared" si="504"/>
        <v>0</v>
      </c>
      <c r="CP179" s="57">
        <f t="shared" si="505"/>
        <v>0</v>
      </c>
      <c r="CQ179" s="194">
        <f t="shared" si="506"/>
        <v>0</v>
      </c>
      <c r="CR179" s="117">
        <f t="shared" si="507"/>
        <v>0</v>
      </c>
      <c r="CS179" s="119">
        <f t="shared" si="508"/>
        <v>0</v>
      </c>
      <c r="CT179" s="194">
        <f t="shared" si="509"/>
        <v>0</v>
      </c>
      <c r="CU179" s="117">
        <f t="shared" si="510"/>
        <v>0</v>
      </c>
      <c r="CV179" s="119">
        <f t="shared" si="511"/>
        <v>0</v>
      </c>
      <c r="CW179" s="194">
        <f t="shared" si="512"/>
        <v>0</v>
      </c>
      <c r="CX179" s="117">
        <f t="shared" si="513"/>
        <v>0</v>
      </c>
      <c r="CY179" s="119">
        <f t="shared" si="514"/>
        <v>0</v>
      </c>
      <c r="CZ179" s="194">
        <f t="shared" si="515"/>
        <v>0</v>
      </c>
      <c r="DA179" s="117">
        <f t="shared" si="516"/>
        <v>0</v>
      </c>
      <c r="DB179" s="119">
        <f t="shared" si="517"/>
        <v>0</v>
      </c>
      <c r="DC179" s="116">
        <f t="shared" si="518"/>
        <v>0</v>
      </c>
      <c r="DD179" s="117">
        <f t="shared" si="519"/>
        <v>0</v>
      </c>
      <c r="DE179" s="119">
        <f t="shared" si="520"/>
        <v>0</v>
      </c>
      <c r="DF179" s="194">
        <f t="shared" si="521"/>
        <v>0</v>
      </c>
      <c r="DG179" s="117">
        <f t="shared" si="522"/>
        <v>0</v>
      </c>
      <c r="DH179" s="118">
        <f t="shared" si="523"/>
        <v>0</v>
      </c>
      <c r="DI179" s="116">
        <f t="shared" si="524"/>
        <v>0</v>
      </c>
      <c r="DJ179" s="117">
        <f t="shared" si="525"/>
        <v>0</v>
      </c>
      <c r="DK179" s="119">
        <f t="shared" si="526"/>
        <v>0</v>
      </c>
      <c r="DL179" s="194">
        <f t="shared" si="527"/>
        <v>0</v>
      </c>
      <c r="DM179" s="117">
        <f t="shared" si="528"/>
        <v>0</v>
      </c>
      <c r="DN179" s="118">
        <f t="shared" si="529"/>
        <v>0</v>
      </c>
      <c r="DO179" s="116">
        <f t="shared" si="530"/>
        <v>0</v>
      </c>
      <c r="DP179" s="117">
        <f t="shared" si="531"/>
        <v>0</v>
      </c>
      <c r="DQ179" s="119">
        <f t="shared" si="532"/>
        <v>0</v>
      </c>
      <c r="DR179" s="194">
        <f t="shared" si="533"/>
        <v>0</v>
      </c>
      <c r="DS179" s="117">
        <f t="shared" si="534"/>
        <v>0</v>
      </c>
      <c r="DT179" s="118">
        <f t="shared" si="535"/>
        <v>0</v>
      </c>
      <c r="DU179" s="116">
        <f t="shared" si="536"/>
        <v>0</v>
      </c>
      <c r="DV179" s="117">
        <f t="shared" si="537"/>
        <v>0</v>
      </c>
      <c r="DW179" s="119">
        <f t="shared" si="538"/>
        <v>0</v>
      </c>
      <c r="DX179" s="194">
        <f t="shared" si="539"/>
        <v>0</v>
      </c>
      <c r="DY179" s="117">
        <f t="shared" si="540"/>
        <v>0</v>
      </c>
      <c r="DZ179" s="118">
        <f t="shared" si="541"/>
        <v>0</v>
      </c>
      <c r="EA179" s="116">
        <f t="shared" si="542"/>
        <v>0</v>
      </c>
      <c r="EB179" s="117">
        <f t="shared" si="543"/>
        <v>0</v>
      </c>
      <c r="EC179" s="119">
        <f t="shared" si="544"/>
        <v>0</v>
      </c>
      <c r="ED179" s="194">
        <f t="shared" si="545"/>
        <v>0</v>
      </c>
      <c r="EE179" s="117">
        <f t="shared" si="546"/>
        <v>0</v>
      </c>
      <c r="EF179" s="118">
        <f t="shared" si="547"/>
        <v>0</v>
      </c>
      <c r="EG179" s="116">
        <f t="shared" si="548"/>
        <v>0</v>
      </c>
      <c r="EH179" s="117">
        <f t="shared" si="549"/>
        <v>0</v>
      </c>
      <c r="EI179" s="119">
        <f t="shared" si="550"/>
        <v>0</v>
      </c>
      <c r="EJ179" s="194">
        <f t="shared" si="551"/>
        <v>0</v>
      </c>
      <c r="EK179" s="117">
        <f t="shared" si="552"/>
        <v>0</v>
      </c>
      <c r="EL179" s="118">
        <f t="shared" si="553"/>
        <v>0</v>
      </c>
      <c r="EM179" s="116">
        <f t="shared" si="554"/>
        <v>0</v>
      </c>
      <c r="EN179" s="117">
        <f t="shared" si="555"/>
        <v>0</v>
      </c>
      <c r="EO179" s="119">
        <f t="shared" si="556"/>
        <v>0</v>
      </c>
      <c r="EP179" s="194">
        <f t="shared" si="557"/>
        <v>0</v>
      </c>
      <c r="EQ179" s="117">
        <f t="shared" si="558"/>
        <v>0</v>
      </c>
      <c r="ER179" s="118">
        <f t="shared" si="559"/>
        <v>0</v>
      </c>
      <c r="ES179" s="116">
        <f t="shared" si="560"/>
        <v>0</v>
      </c>
      <c r="ET179" s="117">
        <f t="shared" si="561"/>
        <v>0</v>
      </c>
      <c r="EU179" s="119">
        <f t="shared" si="562"/>
        <v>0</v>
      </c>
      <c r="EV179" s="194">
        <f t="shared" si="563"/>
        <v>0</v>
      </c>
      <c r="EW179" s="117">
        <f t="shared" si="564"/>
        <v>0</v>
      </c>
      <c r="EX179" s="118">
        <f t="shared" si="565"/>
        <v>0</v>
      </c>
      <c r="EY179" s="116">
        <f t="shared" si="566"/>
        <v>0</v>
      </c>
      <c r="EZ179" s="117">
        <f t="shared" si="567"/>
        <v>0</v>
      </c>
      <c r="FA179" s="119">
        <f t="shared" si="568"/>
        <v>0</v>
      </c>
      <c r="FB179" s="194">
        <f t="shared" si="569"/>
        <v>0</v>
      </c>
      <c r="FC179" s="117">
        <f t="shared" si="570"/>
        <v>0</v>
      </c>
      <c r="FD179" s="118">
        <f t="shared" si="571"/>
        <v>0</v>
      </c>
      <c r="FE179" s="116">
        <f t="shared" si="572"/>
        <v>0</v>
      </c>
      <c r="FF179" s="117">
        <f t="shared" si="573"/>
        <v>0</v>
      </c>
      <c r="FG179" s="119">
        <f t="shared" si="574"/>
        <v>0</v>
      </c>
      <c r="FH179" s="194">
        <f t="shared" si="575"/>
        <v>0</v>
      </c>
      <c r="FI179" s="117">
        <f t="shared" si="576"/>
        <v>0</v>
      </c>
      <c r="FJ179" s="118">
        <f t="shared" si="577"/>
        <v>0</v>
      </c>
      <c r="FK179" s="116">
        <f t="shared" si="578"/>
        <v>0</v>
      </c>
      <c r="FL179" s="117">
        <f t="shared" si="579"/>
        <v>0</v>
      </c>
      <c r="FM179" s="119">
        <f t="shared" si="580"/>
        <v>0</v>
      </c>
      <c r="FN179" s="194">
        <f t="shared" si="581"/>
        <v>0</v>
      </c>
      <c r="FO179" s="117">
        <f t="shared" si="582"/>
        <v>0</v>
      </c>
      <c r="FP179" s="118">
        <f t="shared" si="583"/>
        <v>0</v>
      </c>
      <c r="FQ179" s="116">
        <f t="shared" si="584"/>
        <v>0</v>
      </c>
      <c r="FR179" s="117">
        <f t="shared" si="585"/>
        <v>0</v>
      </c>
      <c r="FS179" s="119">
        <f t="shared" si="627"/>
        <v>0</v>
      </c>
      <c r="FT179" s="194">
        <f t="shared" si="586"/>
        <v>0</v>
      </c>
      <c r="FU179" s="117">
        <f t="shared" si="587"/>
        <v>0</v>
      </c>
      <c r="FV179" s="118">
        <f t="shared" si="588"/>
        <v>0</v>
      </c>
      <c r="FW179" s="116">
        <f t="shared" si="589"/>
        <v>0</v>
      </c>
      <c r="FX179" s="117">
        <f t="shared" si="590"/>
        <v>0</v>
      </c>
      <c r="FY179" s="119">
        <f t="shared" si="591"/>
        <v>0</v>
      </c>
      <c r="FZ179" s="194">
        <f t="shared" si="592"/>
        <v>0</v>
      </c>
      <c r="GA179" s="117">
        <f t="shared" si="593"/>
        <v>0</v>
      </c>
      <c r="GB179" s="118">
        <f t="shared" si="594"/>
        <v>0</v>
      </c>
      <c r="GC179" s="116">
        <f t="shared" si="595"/>
        <v>0</v>
      </c>
      <c r="GD179" s="117">
        <f t="shared" si="596"/>
        <v>0</v>
      </c>
      <c r="GE179" s="119">
        <f t="shared" si="597"/>
        <v>0</v>
      </c>
      <c r="GF179" s="194">
        <f t="shared" si="598"/>
        <v>0</v>
      </c>
      <c r="GG179" s="117">
        <f t="shared" si="599"/>
        <v>0</v>
      </c>
      <c r="GH179" s="118">
        <f t="shared" si="600"/>
        <v>0</v>
      </c>
      <c r="GI179" s="116">
        <f t="shared" si="601"/>
        <v>0</v>
      </c>
      <c r="GJ179" s="117">
        <f t="shared" si="602"/>
        <v>0</v>
      </c>
      <c r="GK179" s="119">
        <f t="shared" si="603"/>
        <v>0</v>
      </c>
      <c r="GL179" s="194">
        <f t="shared" si="604"/>
        <v>0</v>
      </c>
      <c r="GM179" s="194">
        <f t="shared" si="605"/>
        <v>0</v>
      </c>
      <c r="GN179" s="386">
        <f t="shared" si="606"/>
        <v>0</v>
      </c>
      <c r="GO179" s="239">
        <f t="shared" si="607"/>
        <v>0</v>
      </c>
      <c r="GP179" s="43">
        <f t="shared" si="608"/>
        <v>0</v>
      </c>
      <c r="GQ179" s="57">
        <f t="shared" si="609"/>
        <v>0</v>
      </c>
      <c r="GR179" s="194">
        <f t="shared" si="610"/>
        <v>0</v>
      </c>
      <c r="GS179" s="117">
        <f t="shared" si="611"/>
        <v>0</v>
      </c>
      <c r="GT179" s="119">
        <f t="shared" si="612"/>
        <v>0</v>
      </c>
      <c r="GU179" s="194">
        <f t="shared" si="613"/>
        <v>0</v>
      </c>
      <c r="GV179" s="117">
        <f t="shared" si="614"/>
        <v>0</v>
      </c>
      <c r="GW179" s="119">
        <f t="shared" si="615"/>
        <v>0</v>
      </c>
      <c r="GX179" s="194">
        <f t="shared" si="616"/>
        <v>0</v>
      </c>
      <c r="GY179" s="117">
        <f t="shared" si="617"/>
        <v>0</v>
      </c>
      <c r="GZ179" s="119">
        <f t="shared" si="618"/>
        <v>0</v>
      </c>
      <c r="HA179" s="194">
        <f t="shared" si="619"/>
        <v>0</v>
      </c>
      <c r="HB179" s="117">
        <f t="shared" si="620"/>
        <v>0</v>
      </c>
      <c r="HC179" s="119">
        <f t="shared" si="621"/>
        <v>0</v>
      </c>
      <c r="HD179" s="368">
        <f t="shared" si="622"/>
        <v>0</v>
      </c>
      <c r="HE179" s="369">
        <f t="shared" si="623"/>
        <v>0</v>
      </c>
      <c r="HF179" s="369">
        <f t="shared" si="624"/>
        <v>0</v>
      </c>
      <c r="HG179" s="147">
        <f t="shared" si="625"/>
        <v>0</v>
      </c>
    </row>
    <row r="180" spans="1:215" ht="15.75" thickBot="1">
      <c r="A180" s="238">
        <v>30</v>
      </c>
      <c r="B180" s="116">
        <f t="shared" si="414"/>
        <v>0</v>
      </c>
      <c r="C180" s="117">
        <f t="shared" si="415"/>
        <v>0</v>
      </c>
      <c r="D180" s="119">
        <f t="shared" si="416"/>
        <v>0</v>
      </c>
      <c r="E180" s="194">
        <f t="shared" si="417"/>
        <v>0</v>
      </c>
      <c r="F180" s="117">
        <f t="shared" si="418"/>
        <v>0</v>
      </c>
      <c r="G180" s="118">
        <f t="shared" si="419"/>
        <v>0</v>
      </c>
      <c r="H180" s="116">
        <f t="shared" si="420"/>
        <v>0</v>
      </c>
      <c r="I180" s="117">
        <f t="shared" si="421"/>
        <v>0</v>
      </c>
      <c r="J180" s="119">
        <f t="shared" si="422"/>
        <v>0</v>
      </c>
      <c r="K180" s="194">
        <f t="shared" si="423"/>
        <v>0</v>
      </c>
      <c r="L180" s="117">
        <f t="shared" si="424"/>
        <v>0</v>
      </c>
      <c r="M180" s="118">
        <f t="shared" si="425"/>
        <v>0</v>
      </c>
      <c r="N180" s="116">
        <f t="shared" si="426"/>
        <v>0</v>
      </c>
      <c r="O180" s="117">
        <f t="shared" si="427"/>
        <v>0</v>
      </c>
      <c r="P180" s="119">
        <f t="shared" si="428"/>
        <v>0</v>
      </c>
      <c r="Q180" s="194">
        <f t="shared" si="429"/>
        <v>0</v>
      </c>
      <c r="R180" s="117">
        <f t="shared" si="430"/>
        <v>0</v>
      </c>
      <c r="S180" s="118">
        <f t="shared" si="431"/>
        <v>0</v>
      </c>
      <c r="T180" s="116">
        <f t="shared" si="432"/>
        <v>0</v>
      </c>
      <c r="U180" s="117">
        <f t="shared" si="433"/>
        <v>0</v>
      </c>
      <c r="V180" s="119">
        <f t="shared" si="434"/>
        <v>0</v>
      </c>
      <c r="W180" s="194">
        <f t="shared" si="435"/>
        <v>0</v>
      </c>
      <c r="X180" s="117">
        <f t="shared" si="436"/>
        <v>0</v>
      </c>
      <c r="Y180" s="118">
        <f t="shared" si="437"/>
        <v>0</v>
      </c>
      <c r="Z180" s="116">
        <f t="shared" si="438"/>
        <v>0</v>
      </c>
      <c r="AA180" s="117">
        <f t="shared" si="439"/>
        <v>0</v>
      </c>
      <c r="AB180" s="119">
        <f t="shared" si="440"/>
        <v>0</v>
      </c>
      <c r="AC180" s="194">
        <f t="shared" si="441"/>
        <v>0</v>
      </c>
      <c r="AD180" s="117">
        <f t="shared" si="442"/>
        <v>0</v>
      </c>
      <c r="AE180" s="118">
        <f t="shared" si="443"/>
        <v>0</v>
      </c>
      <c r="AF180" s="116">
        <f t="shared" si="444"/>
        <v>0</v>
      </c>
      <c r="AG180" s="117">
        <f t="shared" si="445"/>
        <v>0</v>
      </c>
      <c r="AH180" s="119">
        <f t="shared" si="446"/>
        <v>0</v>
      </c>
      <c r="AI180" s="194">
        <f t="shared" si="447"/>
        <v>0</v>
      </c>
      <c r="AJ180" s="117">
        <f t="shared" si="448"/>
        <v>0</v>
      </c>
      <c r="AK180" s="118">
        <f t="shared" si="449"/>
        <v>0</v>
      </c>
      <c r="AL180" s="116">
        <f t="shared" si="450"/>
        <v>0</v>
      </c>
      <c r="AM180" s="117">
        <f t="shared" si="451"/>
        <v>0</v>
      </c>
      <c r="AN180" s="119">
        <f t="shared" si="452"/>
        <v>0</v>
      </c>
      <c r="AO180" s="194">
        <f t="shared" si="453"/>
        <v>0</v>
      </c>
      <c r="AP180" s="117">
        <f t="shared" si="454"/>
        <v>0</v>
      </c>
      <c r="AQ180" s="118">
        <f t="shared" si="455"/>
        <v>0</v>
      </c>
      <c r="AR180" s="116">
        <f t="shared" si="456"/>
        <v>0</v>
      </c>
      <c r="AS180" s="117">
        <f t="shared" si="457"/>
        <v>0</v>
      </c>
      <c r="AT180" s="119">
        <f t="shared" si="458"/>
        <v>0</v>
      </c>
      <c r="AU180" s="194">
        <f t="shared" si="459"/>
        <v>0</v>
      </c>
      <c r="AV180" s="117">
        <f t="shared" si="460"/>
        <v>0</v>
      </c>
      <c r="AW180" s="118">
        <f t="shared" si="461"/>
        <v>0</v>
      </c>
      <c r="AX180" s="116">
        <f t="shared" si="462"/>
        <v>0</v>
      </c>
      <c r="AY180" s="117">
        <f t="shared" si="463"/>
        <v>0</v>
      </c>
      <c r="AZ180" s="119">
        <f t="shared" si="464"/>
        <v>0</v>
      </c>
      <c r="BA180" s="194">
        <f t="shared" si="465"/>
        <v>0</v>
      </c>
      <c r="BB180" s="117">
        <f t="shared" si="466"/>
        <v>0</v>
      </c>
      <c r="BC180" s="118">
        <f t="shared" si="467"/>
        <v>0</v>
      </c>
      <c r="BD180" s="116">
        <f t="shared" si="468"/>
        <v>0</v>
      </c>
      <c r="BE180" s="117">
        <f t="shared" si="469"/>
        <v>0</v>
      </c>
      <c r="BF180" s="119">
        <f t="shared" si="470"/>
        <v>0</v>
      </c>
      <c r="BG180" s="194">
        <f t="shared" si="471"/>
        <v>0</v>
      </c>
      <c r="BH180" s="117">
        <f t="shared" si="472"/>
        <v>0</v>
      </c>
      <c r="BI180" s="118">
        <f t="shared" si="473"/>
        <v>0</v>
      </c>
      <c r="BJ180" s="116">
        <f t="shared" si="474"/>
        <v>0</v>
      </c>
      <c r="BK180" s="117">
        <f t="shared" si="475"/>
        <v>0</v>
      </c>
      <c r="BL180" s="119">
        <f t="shared" si="476"/>
        <v>0</v>
      </c>
      <c r="BM180" s="194">
        <f t="shared" si="477"/>
        <v>0</v>
      </c>
      <c r="BN180" s="117">
        <f t="shared" si="478"/>
        <v>0</v>
      </c>
      <c r="BO180" s="118">
        <f t="shared" si="479"/>
        <v>0</v>
      </c>
      <c r="BP180" s="116">
        <f t="shared" si="480"/>
        <v>0</v>
      </c>
      <c r="BQ180" s="117">
        <f t="shared" si="481"/>
        <v>0</v>
      </c>
      <c r="BR180" s="119">
        <f t="shared" si="626"/>
        <v>0</v>
      </c>
      <c r="BS180" s="194">
        <f t="shared" si="482"/>
        <v>0</v>
      </c>
      <c r="BT180" s="117">
        <f t="shared" si="483"/>
        <v>0</v>
      </c>
      <c r="BU180" s="118">
        <f t="shared" si="484"/>
        <v>0</v>
      </c>
      <c r="BV180" s="116">
        <f t="shared" si="485"/>
        <v>0</v>
      </c>
      <c r="BW180" s="117">
        <f t="shared" si="486"/>
        <v>0</v>
      </c>
      <c r="BX180" s="119">
        <f t="shared" si="487"/>
        <v>0</v>
      </c>
      <c r="BY180" s="194">
        <f t="shared" si="488"/>
        <v>0</v>
      </c>
      <c r="BZ180" s="117">
        <f t="shared" si="489"/>
        <v>0</v>
      </c>
      <c r="CA180" s="118">
        <f t="shared" si="490"/>
        <v>0</v>
      </c>
      <c r="CB180" s="116">
        <f t="shared" si="491"/>
        <v>0</v>
      </c>
      <c r="CC180" s="117">
        <f t="shared" si="492"/>
        <v>0</v>
      </c>
      <c r="CD180" s="119">
        <f t="shared" si="493"/>
        <v>0</v>
      </c>
      <c r="CE180" s="194">
        <f t="shared" si="494"/>
        <v>0</v>
      </c>
      <c r="CF180" s="117">
        <f t="shared" si="495"/>
        <v>0</v>
      </c>
      <c r="CG180" s="118">
        <f t="shared" si="496"/>
        <v>0</v>
      </c>
      <c r="CH180" s="116">
        <f t="shared" si="497"/>
        <v>0</v>
      </c>
      <c r="CI180" s="117">
        <f t="shared" si="498"/>
        <v>0</v>
      </c>
      <c r="CJ180" s="119">
        <f t="shared" si="499"/>
        <v>0</v>
      </c>
      <c r="CK180" s="194">
        <f t="shared" si="500"/>
        <v>0</v>
      </c>
      <c r="CL180" s="194">
        <f t="shared" si="501"/>
        <v>0</v>
      </c>
      <c r="CM180" s="386">
        <f t="shared" si="502"/>
        <v>0</v>
      </c>
      <c r="CN180" s="239">
        <f t="shared" si="503"/>
        <v>0</v>
      </c>
      <c r="CO180" s="43">
        <f t="shared" si="504"/>
        <v>0</v>
      </c>
      <c r="CP180" s="57">
        <f t="shared" si="505"/>
        <v>0</v>
      </c>
      <c r="CQ180" s="194">
        <f t="shared" si="506"/>
        <v>0</v>
      </c>
      <c r="CR180" s="117">
        <f t="shared" si="507"/>
        <v>0</v>
      </c>
      <c r="CS180" s="119">
        <f t="shared" si="508"/>
        <v>0</v>
      </c>
      <c r="CT180" s="194">
        <f t="shared" si="509"/>
        <v>0</v>
      </c>
      <c r="CU180" s="117">
        <f t="shared" si="510"/>
        <v>0</v>
      </c>
      <c r="CV180" s="119">
        <f t="shared" si="511"/>
        <v>0</v>
      </c>
      <c r="CW180" s="194">
        <f t="shared" si="512"/>
        <v>0</v>
      </c>
      <c r="CX180" s="117">
        <f t="shared" si="513"/>
        <v>0</v>
      </c>
      <c r="CY180" s="119">
        <f t="shared" si="514"/>
        <v>0</v>
      </c>
      <c r="CZ180" s="194">
        <f t="shared" si="515"/>
        <v>0</v>
      </c>
      <c r="DA180" s="117">
        <f t="shared" si="516"/>
        <v>0</v>
      </c>
      <c r="DB180" s="119">
        <f t="shared" si="517"/>
        <v>0</v>
      </c>
      <c r="DC180" s="116">
        <f t="shared" si="518"/>
        <v>0</v>
      </c>
      <c r="DD180" s="117">
        <f t="shared" si="519"/>
        <v>0</v>
      </c>
      <c r="DE180" s="119">
        <f t="shared" si="520"/>
        <v>0</v>
      </c>
      <c r="DF180" s="194">
        <f t="shared" si="521"/>
        <v>0</v>
      </c>
      <c r="DG180" s="117">
        <f t="shared" si="522"/>
        <v>0</v>
      </c>
      <c r="DH180" s="118">
        <f t="shared" si="523"/>
        <v>0</v>
      </c>
      <c r="DI180" s="116">
        <f t="shared" si="524"/>
        <v>0</v>
      </c>
      <c r="DJ180" s="117">
        <f t="shared" si="525"/>
        <v>0</v>
      </c>
      <c r="DK180" s="119">
        <f t="shared" si="526"/>
        <v>0</v>
      </c>
      <c r="DL180" s="194">
        <f t="shared" si="527"/>
        <v>0</v>
      </c>
      <c r="DM180" s="117">
        <f t="shared" si="528"/>
        <v>0</v>
      </c>
      <c r="DN180" s="118">
        <f t="shared" si="529"/>
        <v>0</v>
      </c>
      <c r="DO180" s="116">
        <f t="shared" si="530"/>
        <v>0</v>
      </c>
      <c r="DP180" s="117">
        <f t="shared" si="531"/>
        <v>0</v>
      </c>
      <c r="DQ180" s="119">
        <f t="shared" si="532"/>
        <v>0</v>
      </c>
      <c r="DR180" s="194">
        <f t="shared" si="533"/>
        <v>0</v>
      </c>
      <c r="DS180" s="117">
        <f t="shared" si="534"/>
        <v>0</v>
      </c>
      <c r="DT180" s="118">
        <f t="shared" si="535"/>
        <v>0</v>
      </c>
      <c r="DU180" s="116">
        <f t="shared" si="536"/>
        <v>0</v>
      </c>
      <c r="DV180" s="117">
        <f t="shared" si="537"/>
        <v>0</v>
      </c>
      <c r="DW180" s="119">
        <f t="shared" si="538"/>
        <v>0</v>
      </c>
      <c r="DX180" s="194">
        <f t="shared" si="539"/>
        <v>0</v>
      </c>
      <c r="DY180" s="117">
        <f t="shared" si="540"/>
        <v>0</v>
      </c>
      <c r="DZ180" s="118">
        <f t="shared" si="541"/>
        <v>0</v>
      </c>
      <c r="EA180" s="116">
        <f t="shared" si="542"/>
        <v>0</v>
      </c>
      <c r="EB180" s="117">
        <f t="shared" si="543"/>
        <v>0</v>
      </c>
      <c r="EC180" s="119">
        <f t="shared" si="544"/>
        <v>0</v>
      </c>
      <c r="ED180" s="194">
        <f t="shared" si="545"/>
        <v>0</v>
      </c>
      <c r="EE180" s="117">
        <f t="shared" si="546"/>
        <v>0</v>
      </c>
      <c r="EF180" s="118">
        <f t="shared" si="547"/>
        <v>0</v>
      </c>
      <c r="EG180" s="116">
        <f t="shared" si="548"/>
        <v>0</v>
      </c>
      <c r="EH180" s="117">
        <f t="shared" si="549"/>
        <v>0</v>
      </c>
      <c r="EI180" s="119">
        <f t="shared" si="550"/>
        <v>0</v>
      </c>
      <c r="EJ180" s="194">
        <f t="shared" si="551"/>
        <v>0</v>
      </c>
      <c r="EK180" s="117">
        <f t="shared" si="552"/>
        <v>0</v>
      </c>
      <c r="EL180" s="118">
        <f t="shared" si="553"/>
        <v>0</v>
      </c>
      <c r="EM180" s="116">
        <f t="shared" si="554"/>
        <v>0</v>
      </c>
      <c r="EN180" s="117">
        <f t="shared" si="555"/>
        <v>0</v>
      </c>
      <c r="EO180" s="119">
        <f t="shared" si="556"/>
        <v>0</v>
      </c>
      <c r="EP180" s="194">
        <f t="shared" si="557"/>
        <v>0</v>
      </c>
      <c r="EQ180" s="117">
        <f t="shared" si="558"/>
        <v>0</v>
      </c>
      <c r="ER180" s="118">
        <f t="shared" si="559"/>
        <v>0</v>
      </c>
      <c r="ES180" s="116">
        <f t="shared" si="560"/>
        <v>0</v>
      </c>
      <c r="ET180" s="117">
        <f t="shared" si="561"/>
        <v>0</v>
      </c>
      <c r="EU180" s="119">
        <f t="shared" si="562"/>
        <v>0</v>
      </c>
      <c r="EV180" s="194">
        <f t="shared" si="563"/>
        <v>0</v>
      </c>
      <c r="EW180" s="117">
        <f t="shared" si="564"/>
        <v>0</v>
      </c>
      <c r="EX180" s="118">
        <f t="shared" si="565"/>
        <v>0</v>
      </c>
      <c r="EY180" s="116">
        <f t="shared" si="566"/>
        <v>0</v>
      </c>
      <c r="EZ180" s="117">
        <f t="shared" si="567"/>
        <v>0</v>
      </c>
      <c r="FA180" s="119">
        <f t="shared" si="568"/>
        <v>0</v>
      </c>
      <c r="FB180" s="194">
        <f t="shared" si="569"/>
        <v>0</v>
      </c>
      <c r="FC180" s="117">
        <f t="shared" si="570"/>
        <v>0</v>
      </c>
      <c r="FD180" s="118">
        <f t="shared" si="571"/>
        <v>0</v>
      </c>
      <c r="FE180" s="116">
        <f t="shared" si="572"/>
        <v>0</v>
      </c>
      <c r="FF180" s="117">
        <f t="shared" si="573"/>
        <v>0</v>
      </c>
      <c r="FG180" s="119">
        <f t="shared" si="574"/>
        <v>0</v>
      </c>
      <c r="FH180" s="194">
        <f t="shared" si="575"/>
        <v>0</v>
      </c>
      <c r="FI180" s="117">
        <f t="shared" si="576"/>
        <v>0</v>
      </c>
      <c r="FJ180" s="118">
        <f t="shared" si="577"/>
        <v>0</v>
      </c>
      <c r="FK180" s="116">
        <f t="shared" si="578"/>
        <v>0</v>
      </c>
      <c r="FL180" s="117">
        <f t="shared" si="579"/>
        <v>0</v>
      </c>
      <c r="FM180" s="119">
        <f t="shared" si="580"/>
        <v>0</v>
      </c>
      <c r="FN180" s="194">
        <f t="shared" si="581"/>
        <v>0</v>
      </c>
      <c r="FO180" s="117">
        <f t="shared" si="582"/>
        <v>0</v>
      </c>
      <c r="FP180" s="118">
        <f t="shared" si="583"/>
        <v>0</v>
      </c>
      <c r="FQ180" s="116">
        <f t="shared" si="584"/>
        <v>0</v>
      </c>
      <c r="FR180" s="117">
        <f t="shared" si="585"/>
        <v>0</v>
      </c>
      <c r="FS180" s="119">
        <f t="shared" si="627"/>
        <v>0</v>
      </c>
      <c r="FT180" s="194">
        <f t="shared" si="586"/>
        <v>0</v>
      </c>
      <c r="FU180" s="117">
        <f t="shared" si="587"/>
        <v>0</v>
      </c>
      <c r="FV180" s="118">
        <f t="shared" si="588"/>
        <v>0</v>
      </c>
      <c r="FW180" s="116">
        <f t="shared" si="589"/>
        <v>0</v>
      </c>
      <c r="FX180" s="117">
        <f t="shared" si="590"/>
        <v>0</v>
      </c>
      <c r="FY180" s="119">
        <f t="shared" si="591"/>
        <v>0</v>
      </c>
      <c r="FZ180" s="194">
        <f t="shared" si="592"/>
        <v>0</v>
      </c>
      <c r="GA180" s="117">
        <f t="shared" si="593"/>
        <v>0</v>
      </c>
      <c r="GB180" s="118">
        <f t="shared" si="594"/>
        <v>0</v>
      </c>
      <c r="GC180" s="116">
        <f t="shared" si="595"/>
        <v>0</v>
      </c>
      <c r="GD180" s="117">
        <f t="shared" si="596"/>
        <v>0</v>
      </c>
      <c r="GE180" s="119">
        <f t="shared" si="597"/>
        <v>0</v>
      </c>
      <c r="GF180" s="194">
        <f t="shared" si="598"/>
        <v>0</v>
      </c>
      <c r="GG180" s="117">
        <f t="shared" si="599"/>
        <v>0</v>
      </c>
      <c r="GH180" s="118">
        <f t="shared" si="600"/>
        <v>0</v>
      </c>
      <c r="GI180" s="116">
        <f t="shared" si="601"/>
        <v>0</v>
      </c>
      <c r="GJ180" s="117">
        <f t="shared" si="602"/>
        <v>0</v>
      </c>
      <c r="GK180" s="119">
        <f t="shared" si="603"/>
        <v>0</v>
      </c>
      <c r="GL180" s="194">
        <f t="shared" si="604"/>
        <v>0</v>
      </c>
      <c r="GM180" s="194">
        <f t="shared" si="605"/>
        <v>0</v>
      </c>
      <c r="GN180" s="386">
        <f t="shared" si="606"/>
        <v>0</v>
      </c>
      <c r="GO180" s="239">
        <f t="shared" si="607"/>
        <v>0</v>
      </c>
      <c r="GP180" s="43">
        <f t="shared" si="608"/>
        <v>0</v>
      </c>
      <c r="GQ180" s="57">
        <f t="shared" si="609"/>
        <v>0</v>
      </c>
      <c r="GR180" s="194">
        <f t="shared" si="610"/>
        <v>0</v>
      </c>
      <c r="GS180" s="117">
        <f t="shared" si="611"/>
        <v>0</v>
      </c>
      <c r="GT180" s="119">
        <f t="shared" si="612"/>
        <v>0</v>
      </c>
      <c r="GU180" s="194">
        <f t="shared" si="613"/>
        <v>0</v>
      </c>
      <c r="GV180" s="117">
        <f t="shared" si="614"/>
        <v>0</v>
      </c>
      <c r="GW180" s="119">
        <f t="shared" si="615"/>
        <v>0</v>
      </c>
      <c r="GX180" s="194">
        <f t="shared" si="616"/>
        <v>0</v>
      </c>
      <c r="GY180" s="117">
        <f t="shared" si="617"/>
        <v>0</v>
      </c>
      <c r="GZ180" s="119">
        <f t="shared" si="618"/>
        <v>0</v>
      </c>
      <c r="HA180" s="194">
        <f t="shared" si="619"/>
        <v>0</v>
      </c>
      <c r="HB180" s="117">
        <f t="shared" si="620"/>
        <v>0</v>
      </c>
      <c r="HC180" s="119">
        <f t="shared" si="621"/>
        <v>0</v>
      </c>
      <c r="HD180" s="368">
        <f t="shared" si="622"/>
        <v>0</v>
      </c>
      <c r="HE180" s="369">
        <f t="shared" si="623"/>
        <v>0</v>
      </c>
      <c r="HF180" s="369">
        <f t="shared" si="624"/>
        <v>0</v>
      </c>
      <c r="HG180" s="147">
        <f t="shared" si="625"/>
        <v>0</v>
      </c>
    </row>
    <row r="181" spans="1:215" ht="15.75" thickBot="1">
      <c r="A181" s="353">
        <v>31</v>
      </c>
      <c r="B181" s="116">
        <f t="shared" si="414"/>
        <v>0</v>
      </c>
      <c r="C181" s="117">
        <f t="shared" si="415"/>
        <v>0</v>
      </c>
      <c r="D181" s="119">
        <f t="shared" si="416"/>
        <v>0</v>
      </c>
      <c r="E181" s="194">
        <f t="shared" si="417"/>
        <v>0</v>
      </c>
      <c r="F181" s="117">
        <f t="shared" si="418"/>
        <v>0</v>
      </c>
      <c r="G181" s="118">
        <f t="shared" si="419"/>
        <v>0</v>
      </c>
      <c r="H181" s="116">
        <f t="shared" si="420"/>
        <v>0</v>
      </c>
      <c r="I181" s="117">
        <f t="shared" si="421"/>
        <v>0</v>
      </c>
      <c r="J181" s="119">
        <f t="shared" si="422"/>
        <v>0</v>
      </c>
      <c r="K181" s="194">
        <f t="shared" si="423"/>
        <v>0</v>
      </c>
      <c r="L181" s="117">
        <f t="shared" si="424"/>
        <v>0</v>
      </c>
      <c r="M181" s="118">
        <f t="shared" si="425"/>
        <v>0</v>
      </c>
      <c r="N181" s="116">
        <f t="shared" si="426"/>
        <v>0</v>
      </c>
      <c r="O181" s="117">
        <f t="shared" si="427"/>
        <v>0</v>
      </c>
      <c r="P181" s="119">
        <f t="shared" si="428"/>
        <v>0</v>
      </c>
      <c r="Q181" s="194">
        <f t="shared" si="429"/>
        <v>0</v>
      </c>
      <c r="R181" s="117">
        <f t="shared" si="430"/>
        <v>0</v>
      </c>
      <c r="S181" s="118">
        <f t="shared" si="431"/>
        <v>0</v>
      </c>
      <c r="T181" s="116">
        <f t="shared" si="432"/>
        <v>0</v>
      </c>
      <c r="U181" s="117">
        <f t="shared" si="433"/>
        <v>0</v>
      </c>
      <c r="V181" s="119">
        <f t="shared" si="434"/>
        <v>0</v>
      </c>
      <c r="W181" s="194">
        <f t="shared" si="435"/>
        <v>0</v>
      </c>
      <c r="X181" s="117">
        <f t="shared" si="436"/>
        <v>0</v>
      </c>
      <c r="Y181" s="118">
        <f t="shared" si="437"/>
        <v>0</v>
      </c>
      <c r="Z181" s="116">
        <f t="shared" si="438"/>
        <v>0</v>
      </c>
      <c r="AA181" s="117">
        <f t="shared" si="439"/>
        <v>0</v>
      </c>
      <c r="AB181" s="119">
        <f t="shared" si="440"/>
        <v>0</v>
      </c>
      <c r="AC181" s="194">
        <f t="shared" si="441"/>
        <v>0</v>
      </c>
      <c r="AD181" s="117">
        <f t="shared" si="442"/>
        <v>0</v>
      </c>
      <c r="AE181" s="118">
        <f t="shared" si="443"/>
        <v>0</v>
      </c>
      <c r="AF181" s="116">
        <f t="shared" si="444"/>
        <v>0</v>
      </c>
      <c r="AG181" s="117">
        <f t="shared" si="445"/>
        <v>0</v>
      </c>
      <c r="AH181" s="119">
        <f t="shared" si="446"/>
        <v>0</v>
      </c>
      <c r="AI181" s="194">
        <f t="shared" si="447"/>
        <v>0</v>
      </c>
      <c r="AJ181" s="117">
        <f t="shared" si="448"/>
        <v>0</v>
      </c>
      <c r="AK181" s="118">
        <f t="shared" si="449"/>
        <v>0</v>
      </c>
      <c r="AL181" s="116">
        <f t="shared" si="450"/>
        <v>0</v>
      </c>
      <c r="AM181" s="117">
        <f t="shared" si="451"/>
        <v>0</v>
      </c>
      <c r="AN181" s="119">
        <f t="shared" si="452"/>
        <v>0</v>
      </c>
      <c r="AO181" s="194">
        <f t="shared" si="453"/>
        <v>0</v>
      </c>
      <c r="AP181" s="117">
        <f t="shared" si="454"/>
        <v>0</v>
      </c>
      <c r="AQ181" s="118">
        <f t="shared" si="455"/>
        <v>0</v>
      </c>
      <c r="AR181" s="116">
        <f t="shared" si="456"/>
        <v>0</v>
      </c>
      <c r="AS181" s="117">
        <f t="shared" si="457"/>
        <v>0</v>
      </c>
      <c r="AT181" s="119">
        <f t="shared" si="458"/>
        <v>0</v>
      </c>
      <c r="AU181" s="194">
        <f t="shared" si="459"/>
        <v>0</v>
      </c>
      <c r="AV181" s="117">
        <f t="shared" si="460"/>
        <v>0</v>
      </c>
      <c r="AW181" s="118">
        <f t="shared" si="461"/>
        <v>0</v>
      </c>
      <c r="AX181" s="116">
        <f t="shared" si="462"/>
        <v>0</v>
      </c>
      <c r="AY181" s="117">
        <f t="shared" si="463"/>
        <v>0</v>
      </c>
      <c r="AZ181" s="119">
        <f t="shared" si="464"/>
        <v>0</v>
      </c>
      <c r="BA181" s="194">
        <f t="shared" si="465"/>
        <v>0</v>
      </c>
      <c r="BB181" s="117">
        <f t="shared" si="466"/>
        <v>0</v>
      </c>
      <c r="BC181" s="118">
        <f t="shared" si="467"/>
        <v>0</v>
      </c>
      <c r="BD181" s="116">
        <f t="shared" si="468"/>
        <v>0</v>
      </c>
      <c r="BE181" s="117">
        <f t="shared" si="469"/>
        <v>0</v>
      </c>
      <c r="BF181" s="119">
        <f t="shared" si="470"/>
        <v>0</v>
      </c>
      <c r="BG181" s="194">
        <f t="shared" si="471"/>
        <v>0</v>
      </c>
      <c r="BH181" s="117">
        <f t="shared" si="472"/>
        <v>0</v>
      </c>
      <c r="BI181" s="118">
        <f t="shared" si="473"/>
        <v>0</v>
      </c>
      <c r="BJ181" s="116">
        <f t="shared" si="474"/>
        <v>0</v>
      </c>
      <c r="BK181" s="117">
        <f t="shared" si="475"/>
        <v>0</v>
      </c>
      <c r="BL181" s="119">
        <f t="shared" si="476"/>
        <v>0</v>
      </c>
      <c r="BM181" s="194">
        <f t="shared" si="477"/>
        <v>0</v>
      </c>
      <c r="BN181" s="117">
        <f t="shared" si="478"/>
        <v>0</v>
      </c>
      <c r="BO181" s="118">
        <f t="shared" si="479"/>
        <v>0</v>
      </c>
      <c r="BP181" s="116">
        <f t="shared" si="480"/>
        <v>0</v>
      </c>
      <c r="BQ181" s="117">
        <f t="shared" si="481"/>
        <v>0</v>
      </c>
      <c r="BR181" s="119">
        <f t="shared" si="626"/>
        <v>0</v>
      </c>
      <c r="BS181" s="194">
        <f t="shared" si="482"/>
        <v>0</v>
      </c>
      <c r="BT181" s="117">
        <f t="shared" si="483"/>
        <v>0</v>
      </c>
      <c r="BU181" s="118">
        <f t="shared" si="484"/>
        <v>0</v>
      </c>
      <c r="BV181" s="116">
        <f t="shared" si="485"/>
        <v>0</v>
      </c>
      <c r="BW181" s="117">
        <f t="shared" si="486"/>
        <v>0</v>
      </c>
      <c r="BX181" s="119">
        <f t="shared" si="487"/>
        <v>0</v>
      </c>
      <c r="BY181" s="194">
        <f t="shared" si="488"/>
        <v>0</v>
      </c>
      <c r="BZ181" s="117">
        <f t="shared" si="489"/>
        <v>0</v>
      </c>
      <c r="CA181" s="118">
        <f t="shared" si="490"/>
        <v>0</v>
      </c>
      <c r="CB181" s="116">
        <f t="shared" si="491"/>
        <v>0</v>
      </c>
      <c r="CC181" s="117">
        <f t="shared" si="492"/>
        <v>0</v>
      </c>
      <c r="CD181" s="119">
        <f t="shared" si="493"/>
        <v>0</v>
      </c>
      <c r="CE181" s="194">
        <f t="shared" si="494"/>
        <v>0</v>
      </c>
      <c r="CF181" s="117">
        <f t="shared" si="495"/>
        <v>0</v>
      </c>
      <c r="CG181" s="118">
        <f t="shared" si="496"/>
        <v>0</v>
      </c>
      <c r="CH181" s="116">
        <f t="shared" si="497"/>
        <v>0</v>
      </c>
      <c r="CI181" s="117">
        <f t="shared" si="498"/>
        <v>0</v>
      </c>
      <c r="CJ181" s="119">
        <f t="shared" si="499"/>
        <v>0</v>
      </c>
      <c r="CK181" s="194">
        <f t="shared" si="500"/>
        <v>0</v>
      </c>
      <c r="CL181" s="194">
        <f t="shared" si="501"/>
        <v>0</v>
      </c>
      <c r="CM181" s="386">
        <f t="shared" si="502"/>
        <v>0</v>
      </c>
      <c r="CN181" s="244">
        <f t="shared" si="503"/>
        <v>0</v>
      </c>
      <c r="CO181" s="60">
        <f t="shared" si="504"/>
        <v>0</v>
      </c>
      <c r="CP181" s="64">
        <f t="shared" si="505"/>
        <v>0</v>
      </c>
      <c r="CQ181" s="194">
        <f t="shared" si="506"/>
        <v>0</v>
      </c>
      <c r="CR181" s="117">
        <f t="shared" si="507"/>
        <v>0</v>
      </c>
      <c r="CS181" s="119">
        <f t="shared" si="508"/>
        <v>0</v>
      </c>
      <c r="CT181" s="194">
        <f t="shared" si="509"/>
        <v>0</v>
      </c>
      <c r="CU181" s="117">
        <f t="shared" si="510"/>
        <v>0</v>
      </c>
      <c r="CV181" s="119">
        <f t="shared" si="511"/>
        <v>0</v>
      </c>
      <c r="CW181" s="194">
        <f t="shared" si="512"/>
        <v>0</v>
      </c>
      <c r="CX181" s="117">
        <f t="shared" si="513"/>
        <v>0</v>
      </c>
      <c r="CY181" s="119">
        <f t="shared" si="514"/>
        <v>0</v>
      </c>
      <c r="CZ181" s="194">
        <f t="shared" si="515"/>
        <v>0</v>
      </c>
      <c r="DA181" s="117">
        <f t="shared" si="516"/>
        <v>0</v>
      </c>
      <c r="DB181" s="119">
        <f t="shared" si="517"/>
        <v>0</v>
      </c>
      <c r="DC181" s="116">
        <f t="shared" si="518"/>
        <v>0</v>
      </c>
      <c r="DD181" s="117">
        <f t="shared" si="519"/>
        <v>0</v>
      </c>
      <c r="DE181" s="119">
        <f t="shared" si="520"/>
        <v>0</v>
      </c>
      <c r="DF181" s="194">
        <f t="shared" si="521"/>
        <v>0</v>
      </c>
      <c r="DG181" s="117">
        <f t="shared" si="522"/>
        <v>0</v>
      </c>
      <c r="DH181" s="118">
        <f t="shared" si="523"/>
        <v>0</v>
      </c>
      <c r="DI181" s="116">
        <f t="shared" si="524"/>
        <v>0</v>
      </c>
      <c r="DJ181" s="117">
        <f t="shared" si="525"/>
        <v>0</v>
      </c>
      <c r="DK181" s="119">
        <f t="shared" si="526"/>
        <v>0</v>
      </c>
      <c r="DL181" s="194">
        <f t="shared" si="527"/>
        <v>0</v>
      </c>
      <c r="DM181" s="117">
        <f t="shared" si="528"/>
        <v>0</v>
      </c>
      <c r="DN181" s="118">
        <f t="shared" si="529"/>
        <v>0</v>
      </c>
      <c r="DO181" s="116">
        <f t="shared" si="530"/>
        <v>0</v>
      </c>
      <c r="DP181" s="117">
        <f t="shared" si="531"/>
        <v>0</v>
      </c>
      <c r="DQ181" s="119">
        <f t="shared" si="532"/>
        <v>0</v>
      </c>
      <c r="DR181" s="194">
        <f t="shared" si="533"/>
        <v>0</v>
      </c>
      <c r="DS181" s="117">
        <f t="shared" si="534"/>
        <v>0</v>
      </c>
      <c r="DT181" s="118">
        <f t="shared" si="535"/>
        <v>0</v>
      </c>
      <c r="DU181" s="116">
        <f t="shared" si="536"/>
        <v>0</v>
      </c>
      <c r="DV181" s="117">
        <f t="shared" si="537"/>
        <v>0</v>
      </c>
      <c r="DW181" s="119">
        <f t="shared" si="538"/>
        <v>0</v>
      </c>
      <c r="DX181" s="194">
        <f t="shared" si="539"/>
        <v>0</v>
      </c>
      <c r="DY181" s="117">
        <f t="shared" si="540"/>
        <v>0</v>
      </c>
      <c r="DZ181" s="118">
        <f t="shared" si="541"/>
        <v>0</v>
      </c>
      <c r="EA181" s="116">
        <f t="shared" si="542"/>
        <v>0</v>
      </c>
      <c r="EB181" s="117">
        <f t="shared" si="543"/>
        <v>0</v>
      </c>
      <c r="EC181" s="119">
        <f t="shared" si="544"/>
        <v>0</v>
      </c>
      <c r="ED181" s="194">
        <f t="shared" si="545"/>
        <v>0</v>
      </c>
      <c r="EE181" s="117">
        <f t="shared" si="546"/>
        <v>0</v>
      </c>
      <c r="EF181" s="118">
        <f t="shared" si="547"/>
        <v>0</v>
      </c>
      <c r="EG181" s="116">
        <f t="shared" si="548"/>
        <v>0</v>
      </c>
      <c r="EH181" s="117">
        <f t="shared" si="549"/>
        <v>0</v>
      </c>
      <c r="EI181" s="119">
        <f t="shared" si="550"/>
        <v>0</v>
      </c>
      <c r="EJ181" s="194">
        <f t="shared" si="551"/>
        <v>0</v>
      </c>
      <c r="EK181" s="117">
        <f t="shared" si="552"/>
        <v>0</v>
      </c>
      <c r="EL181" s="118">
        <f t="shared" si="553"/>
        <v>0</v>
      </c>
      <c r="EM181" s="116">
        <f t="shared" si="554"/>
        <v>0</v>
      </c>
      <c r="EN181" s="117">
        <f t="shared" si="555"/>
        <v>0</v>
      </c>
      <c r="EO181" s="119">
        <f t="shared" si="556"/>
        <v>0</v>
      </c>
      <c r="EP181" s="194">
        <f t="shared" si="557"/>
        <v>0</v>
      </c>
      <c r="EQ181" s="117">
        <f t="shared" si="558"/>
        <v>0</v>
      </c>
      <c r="ER181" s="118">
        <f t="shared" si="559"/>
        <v>0</v>
      </c>
      <c r="ES181" s="116">
        <f t="shared" si="560"/>
        <v>0</v>
      </c>
      <c r="ET181" s="117">
        <f t="shared" si="561"/>
        <v>0</v>
      </c>
      <c r="EU181" s="119">
        <f t="shared" si="562"/>
        <v>0</v>
      </c>
      <c r="EV181" s="194">
        <f t="shared" si="563"/>
        <v>0</v>
      </c>
      <c r="EW181" s="117">
        <f t="shared" si="564"/>
        <v>0</v>
      </c>
      <c r="EX181" s="118">
        <f t="shared" si="565"/>
        <v>0</v>
      </c>
      <c r="EY181" s="116">
        <f t="shared" si="566"/>
        <v>0</v>
      </c>
      <c r="EZ181" s="117">
        <f t="shared" si="567"/>
        <v>0</v>
      </c>
      <c r="FA181" s="119">
        <f t="shared" si="568"/>
        <v>0</v>
      </c>
      <c r="FB181" s="194">
        <f t="shared" si="569"/>
        <v>0</v>
      </c>
      <c r="FC181" s="117">
        <f t="shared" si="570"/>
        <v>0</v>
      </c>
      <c r="FD181" s="118">
        <f t="shared" si="571"/>
        <v>0</v>
      </c>
      <c r="FE181" s="116">
        <f t="shared" si="572"/>
        <v>0</v>
      </c>
      <c r="FF181" s="117">
        <f t="shared" si="573"/>
        <v>0</v>
      </c>
      <c r="FG181" s="119">
        <f t="shared" si="574"/>
        <v>0</v>
      </c>
      <c r="FH181" s="194">
        <f t="shared" si="575"/>
        <v>0</v>
      </c>
      <c r="FI181" s="117">
        <f t="shared" si="576"/>
        <v>0</v>
      </c>
      <c r="FJ181" s="118">
        <f t="shared" si="577"/>
        <v>0</v>
      </c>
      <c r="FK181" s="116">
        <f t="shared" si="578"/>
        <v>0</v>
      </c>
      <c r="FL181" s="117">
        <f t="shared" si="579"/>
        <v>0</v>
      </c>
      <c r="FM181" s="119">
        <f t="shared" si="580"/>
        <v>0</v>
      </c>
      <c r="FN181" s="194">
        <f t="shared" si="581"/>
        <v>0</v>
      </c>
      <c r="FO181" s="117">
        <f t="shared" si="582"/>
        <v>0</v>
      </c>
      <c r="FP181" s="118">
        <f t="shared" si="583"/>
        <v>0</v>
      </c>
      <c r="FQ181" s="116">
        <f t="shared" si="584"/>
        <v>0</v>
      </c>
      <c r="FR181" s="117">
        <f t="shared" si="585"/>
        <v>0</v>
      </c>
      <c r="FS181" s="119">
        <f t="shared" si="627"/>
        <v>0</v>
      </c>
      <c r="FT181" s="194">
        <f t="shared" si="586"/>
        <v>0</v>
      </c>
      <c r="FU181" s="117">
        <f t="shared" si="587"/>
        <v>0</v>
      </c>
      <c r="FV181" s="118">
        <f t="shared" si="588"/>
        <v>0</v>
      </c>
      <c r="FW181" s="116">
        <f t="shared" si="589"/>
        <v>0</v>
      </c>
      <c r="FX181" s="117">
        <f t="shared" si="590"/>
        <v>0</v>
      </c>
      <c r="FY181" s="119">
        <f t="shared" si="591"/>
        <v>0</v>
      </c>
      <c r="FZ181" s="194">
        <f t="shared" si="592"/>
        <v>0</v>
      </c>
      <c r="GA181" s="117">
        <f t="shared" si="593"/>
        <v>0</v>
      </c>
      <c r="GB181" s="118">
        <f t="shared" si="594"/>
        <v>0</v>
      </c>
      <c r="GC181" s="116">
        <f t="shared" si="595"/>
        <v>0</v>
      </c>
      <c r="GD181" s="117">
        <f t="shared" si="596"/>
        <v>0</v>
      </c>
      <c r="GE181" s="119">
        <f t="shared" si="597"/>
        <v>0</v>
      </c>
      <c r="GF181" s="194">
        <f t="shared" si="598"/>
        <v>0</v>
      </c>
      <c r="GG181" s="117">
        <f t="shared" si="599"/>
        <v>0</v>
      </c>
      <c r="GH181" s="118">
        <f t="shared" si="600"/>
        <v>0</v>
      </c>
      <c r="GI181" s="116">
        <f t="shared" si="601"/>
        <v>0</v>
      </c>
      <c r="GJ181" s="117">
        <f t="shared" si="602"/>
        <v>0</v>
      </c>
      <c r="GK181" s="119">
        <f t="shared" si="603"/>
        <v>0</v>
      </c>
      <c r="GL181" s="194">
        <f t="shared" si="604"/>
        <v>0</v>
      </c>
      <c r="GM181" s="194">
        <f t="shared" si="605"/>
        <v>0</v>
      </c>
      <c r="GN181" s="386">
        <f t="shared" si="606"/>
        <v>0</v>
      </c>
      <c r="GO181" s="244">
        <f t="shared" si="607"/>
        <v>0</v>
      </c>
      <c r="GP181" s="60">
        <f t="shared" si="608"/>
        <v>0</v>
      </c>
      <c r="GQ181" s="64">
        <f t="shared" si="609"/>
        <v>0</v>
      </c>
      <c r="GR181" s="194">
        <f t="shared" si="610"/>
        <v>0</v>
      </c>
      <c r="GS181" s="117">
        <f t="shared" si="611"/>
        <v>0</v>
      </c>
      <c r="GT181" s="119">
        <f t="shared" si="612"/>
        <v>0</v>
      </c>
      <c r="GU181" s="194">
        <f t="shared" si="613"/>
        <v>0</v>
      </c>
      <c r="GV181" s="117">
        <f t="shared" si="614"/>
        <v>0</v>
      </c>
      <c r="GW181" s="119">
        <f t="shared" si="615"/>
        <v>0</v>
      </c>
      <c r="GX181" s="194">
        <f t="shared" si="616"/>
        <v>0</v>
      </c>
      <c r="GY181" s="117">
        <f t="shared" si="617"/>
        <v>0</v>
      </c>
      <c r="GZ181" s="119">
        <f t="shared" si="618"/>
        <v>0</v>
      </c>
      <c r="HA181" s="194">
        <f t="shared" si="619"/>
        <v>0</v>
      </c>
      <c r="HB181" s="117">
        <f t="shared" si="620"/>
        <v>0</v>
      </c>
      <c r="HC181" s="119">
        <f t="shared" si="621"/>
        <v>0</v>
      </c>
      <c r="HD181" s="368">
        <f t="shared" si="622"/>
        <v>0</v>
      </c>
      <c r="HE181" s="369">
        <f t="shared" si="623"/>
        <v>0</v>
      </c>
      <c r="HF181" s="369">
        <f>+D181+G181+J181+M181+P181+S181+V181+Y181+AE181+AH181+AK181+AQ181+AT181+AW181+AZ181+BC181+BF181+BI181+BL181+BO181+BR181+BU181+BX181+CA181+CD181+CG181+CJ181+CM181+CP181+DB181+AB181+AN181+CS181+CV181+CY181+DE181+DH181+DK181+DN181+DQ181+DT181+DW181+DZ181+EC181+EF181+EI181+EL181+EO181+ER181+EU181+EX181+FA181+FD181+FG181+FJ181+FM181+FP181+FS181+FV181+FY181+GB181+GE181+GH181+GK181+GN181+GQ181+GT181+GW181+GZ181+HC181</f>
        <v>0</v>
      </c>
      <c r="HG181" s="147">
        <f t="shared" si="625"/>
        <v>0</v>
      </c>
    </row>
    <row r="182" spans="1:215" ht="15.75" thickBot="1">
      <c r="A182" s="352"/>
      <c r="B182" s="113">
        <f>SUM(B151:B181)</f>
        <v>0</v>
      </c>
      <c r="C182" s="113">
        <f t="shared" ref="C182:BN182" si="628">SUM(C151:C181)</f>
        <v>0</v>
      </c>
      <c r="D182" s="113">
        <f t="shared" si="628"/>
        <v>0</v>
      </c>
      <c r="E182" s="113">
        <f t="shared" si="628"/>
        <v>0</v>
      </c>
      <c r="F182" s="113">
        <f t="shared" si="628"/>
        <v>0</v>
      </c>
      <c r="G182" s="113">
        <f t="shared" si="628"/>
        <v>0</v>
      </c>
      <c r="H182" s="113">
        <f t="shared" si="628"/>
        <v>0</v>
      </c>
      <c r="I182" s="113">
        <f t="shared" si="628"/>
        <v>0</v>
      </c>
      <c r="J182" s="113">
        <f t="shared" si="628"/>
        <v>0</v>
      </c>
      <c r="K182" s="113">
        <f t="shared" si="628"/>
        <v>0</v>
      </c>
      <c r="L182" s="113">
        <f t="shared" si="628"/>
        <v>0</v>
      </c>
      <c r="M182" s="113">
        <f t="shared" si="628"/>
        <v>0</v>
      </c>
      <c r="N182" s="113">
        <f t="shared" si="628"/>
        <v>0</v>
      </c>
      <c r="O182" s="113">
        <f t="shared" si="628"/>
        <v>0</v>
      </c>
      <c r="P182" s="113">
        <f t="shared" si="628"/>
        <v>0</v>
      </c>
      <c r="Q182" s="113">
        <f t="shared" si="628"/>
        <v>0</v>
      </c>
      <c r="R182" s="113">
        <f t="shared" si="628"/>
        <v>0</v>
      </c>
      <c r="S182" s="113">
        <f t="shared" si="628"/>
        <v>0</v>
      </c>
      <c r="T182" s="113">
        <f t="shared" si="628"/>
        <v>0</v>
      </c>
      <c r="U182" s="113">
        <f t="shared" si="628"/>
        <v>0</v>
      </c>
      <c r="V182" s="113">
        <f t="shared" si="628"/>
        <v>0</v>
      </c>
      <c r="W182" s="113">
        <f t="shared" si="628"/>
        <v>0</v>
      </c>
      <c r="X182" s="113">
        <f t="shared" si="628"/>
        <v>0</v>
      </c>
      <c r="Y182" s="113">
        <f t="shared" si="628"/>
        <v>0</v>
      </c>
      <c r="Z182" s="113">
        <f t="shared" si="628"/>
        <v>0</v>
      </c>
      <c r="AA182" s="113">
        <f t="shared" si="628"/>
        <v>0</v>
      </c>
      <c r="AB182" s="113">
        <f t="shared" si="628"/>
        <v>0</v>
      </c>
      <c r="AC182" s="113">
        <f t="shared" si="628"/>
        <v>0</v>
      </c>
      <c r="AD182" s="113">
        <f t="shared" si="628"/>
        <v>0</v>
      </c>
      <c r="AE182" s="113">
        <f t="shared" si="628"/>
        <v>0</v>
      </c>
      <c r="AF182" s="113">
        <f t="shared" si="628"/>
        <v>0</v>
      </c>
      <c r="AG182" s="113">
        <f t="shared" si="628"/>
        <v>0</v>
      </c>
      <c r="AH182" s="113">
        <f t="shared" si="628"/>
        <v>0</v>
      </c>
      <c r="AI182" s="113">
        <f t="shared" si="628"/>
        <v>0</v>
      </c>
      <c r="AJ182" s="113">
        <f t="shared" si="628"/>
        <v>0</v>
      </c>
      <c r="AK182" s="113">
        <f t="shared" si="628"/>
        <v>0</v>
      </c>
      <c r="AL182" s="113">
        <f t="shared" si="628"/>
        <v>0</v>
      </c>
      <c r="AM182" s="113">
        <f t="shared" si="628"/>
        <v>0</v>
      </c>
      <c r="AN182" s="113">
        <f t="shared" si="628"/>
        <v>0</v>
      </c>
      <c r="AO182" s="113">
        <f t="shared" si="628"/>
        <v>0</v>
      </c>
      <c r="AP182" s="113">
        <f t="shared" si="628"/>
        <v>0</v>
      </c>
      <c r="AQ182" s="113">
        <f t="shared" si="628"/>
        <v>0</v>
      </c>
      <c r="AR182" s="113">
        <f t="shared" si="628"/>
        <v>0</v>
      </c>
      <c r="AS182" s="113">
        <f t="shared" si="628"/>
        <v>0</v>
      </c>
      <c r="AT182" s="113">
        <f t="shared" si="628"/>
        <v>0</v>
      </c>
      <c r="AU182" s="113">
        <f t="shared" si="628"/>
        <v>0</v>
      </c>
      <c r="AV182" s="113">
        <f t="shared" si="628"/>
        <v>0</v>
      </c>
      <c r="AW182" s="113">
        <f t="shared" si="628"/>
        <v>0</v>
      </c>
      <c r="AX182" s="113">
        <f t="shared" si="628"/>
        <v>0</v>
      </c>
      <c r="AY182" s="113">
        <f t="shared" si="628"/>
        <v>0</v>
      </c>
      <c r="AZ182" s="113">
        <f t="shared" si="628"/>
        <v>0</v>
      </c>
      <c r="BA182" s="113">
        <f t="shared" si="628"/>
        <v>0</v>
      </c>
      <c r="BB182" s="113">
        <f t="shared" si="628"/>
        <v>0</v>
      </c>
      <c r="BC182" s="113">
        <f t="shared" si="628"/>
        <v>0</v>
      </c>
      <c r="BD182" s="113">
        <f t="shared" si="628"/>
        <v>0</v>
      </c>
      <c r="BE182" s="113">
        <f t="shared" si="628"/>
        <v>0</v>
      </c>
      <c r="BF182" s="113">
        <f t="shared" si="628"/>
        <v>0</v>
      </c>
      <c r="BG182" s="113">
        <f t="shared" si="628"/>
        <v>0</v>
      </c>
      <c r="BH182" s="113">
        <f t="shared" si="628"/>
        <v>0</v>
      </c>
      <c r="BI182" s="113">
        <f t="shared" si="628"/>
        <v>0</v>
      </c>
      <c r="BJ182" s="113">
        <f t="shared" si="628"/>
        <v>0</v>
      </c>
      <c r="BK182" s="113">
        <f t="shared" si="628"/>
        <v>0</v>
      </c>
      <c r="BL182" s="113">
        <f t="shared" si="628"/>
        <v>0</v>
      </c>
      <c r="BM182" s="113">
        <f t="shared" si="628"/>
        <v>0</v>
      </c>
      <c r="BN182" s="113">
        <f t="shared" si="628"/>
        <v>0</v>
      </c>
      <c r="BO182" s="113">
        <f t="shared" ref="BO182:HF182" si="629">SUM(BO151:BO181)</f>
        <v>0</v>
      </c>
      <c r="BP182" s="113">
        <f t="shared" si="629"/>
        <v>0</v>
      </c>
      <c r="BQ182" s="113">
        <f t="shared" si="629"/>
        <v>0</v>
      </c>
      <c r="BR182" s="113">
        <f t="shared" si="629"/>
        <v>0</v>
      </c>
      <c r="BS182" s="113">
        <f t="shared" si="629"/>
        <v>0</v>
      </c>
      <c r="BT182" s="113">
        <f t="shared" si="629"/>
        <v>0</v>
      </c>
      <c r="BU182" s="113">
        <f t="shared" si="629"/>
        <v>0</v>
      </c>
      <c r="BV182" s="113">
        <f t="shared" si="629"/>
        <v>0</v>
      </c>
      <c r="BW182" s="113">
        <f t="shared" si="629"/>
        <v>0</v>
      </c>
      <c r="BX182" s="113">
        <f t="shared" si="629"/>
        <v>0</v>
      </c>
      <c r="BY182" s="113">
        <f t="shared" si="629"/>
        <v>0</v>
      </c>
      <c r="BZ182" s="113">
        <f t="shared" si="629"/>
        <v>0</v>
      </c>
      <c r="CA182" s="113">
        <f t="shared" si="629"/>
        <v>0</v>
      </c>
      <c r="CB182" s="113">
        <f t="shared" si="629"/>
        <v>0</v>
      </c>
      <c r="CC182" s="113">
        <f t="shared" si="629"/>
        <v>0</v>
      </c>
      <c r="CD182" s="113">
        <f t="shared" si="629"/>
        <v>0</v>
      </c>
      <c r="CE182" s="113">
        <f t="shared" si="629"/>
        <v>0</v>
      </c>
      <c r="CF182" s="113">
        <f t="shared" si="629"/>
        <v>0</v>
      </c>
      <c r="CG182" s="113">
        <f t="shared" si="629"/>
        <v>0</v>
      </c>
      <c r="CH182" s="113">
        <f t="shared" si="629"/>
        <v>0</v>
      </c>
      <c r="CI182" s="113">
        <f t="shared" si="629"/>
        <v>0</v>
      </c>
      <c r="CJ182" s="113">
        <f t="shared" si="629"/>
        <v>0</v>
      </c>
      <c r="CK182" s="113">
        <f t="shared" si="629"/>
        <v>0</v>
      </c>
      <c r="CL182" s="113">
        <f t="shared" si="629"/>
        <v>0</v>
      </c>
      <c r="CM182" s="113">
        <f t="shared" si="629"/>
        <v>0</v>
      </c>
      <c r="CN182" s="35">
        <f t="shared" si="629"/>
        <v>0</v>
      </c>
      <c r="CO182" s="35">
        <f t="shared" si="629"/>
        <v>0</v>
      </c>
      <c r="CP182" s="35">
        <f t="shared" si="629"/>
        <v>0</v>
      </c>
      <c r="CQ182" s="113">
        <f t="shared" ref="CQ182:CZ182" si="630">SUM(CQ151:CQ181)</f>
        <v>0</v>
      </c>
      <c r="CR182" s="113">
        <f t="shared" si="630"/>
        <v>0</v>
      </c>
      <c r="CS182" s="113">
        <f t="shared" si="630"/>
        <v>0</v>
      </c>
      <c r="CT182" s="113">
        <f t="shared" si="630"/>
        <v>0</v>
      </c>
      <c r="CU182" s="113">
        <f t="shared" si="630"/>
        <v>0</v>
      </c>
      <c r="CV182" s="113">
        <f t="shared" si="630"/>
        <v>0</v>
      </c>
      <c r="CW182" s="113">
        <f t="shared" si="630"/>
        <v>0</v>
      </c>
      <c r="CX182" s="113">
        <f t="shared" si="630"/>
        <v>0</v>
      </c>
      <c r="CY182" s="113">
        <f t="shared" si="630"/>
        <v>0</v>
      </c>
      <c r="CZ182" s="113">
        <f t="shared" si="630"/>
        <v>0</v>
      </c>
      <c r="DA182" s="113">
        <f t="shared" si="629"/>
        <v>0</v>
      </c>
      <c r="DB182" s="113">
        <f t="shared" si="629"/>
        <v>0</v>
      </c>
      <c r="DC182" s="113">
        <f>SUM(DC151:DC181)</f>
        <v>0</v>
      </c>
      <c r="DD182" s="113">
        <f t="shared" ref="DD182:FO182" si="631">SUM(DD151:DD181)</f>
        <v>0</v>
      </c>
      <c r="DE182" s="113">
        <f t="shared" si="631"/>
        <v>0</v>
      </c>
      <c r="DF182" s="113">
        <f t="shared" si="631"/>
        <v>0</v>
      </c>
      <c r="DG182" s="113">
        <f t="shared" si="631"/>
        <v>0</v>
      </c>
      <c r="DH182" s="113">
        <f t="shared" si="631"/>
        <v>0</v>
      </c>
      <c r="DI182" s="113">
        <f t="shared" si="631"/>
        <v>0</v>
      </c>
      <c r="DJ182" s="113">
        <f t="shared" si="631"/>
        <v>0</v>
      </c>
      <c r="DK182" s="113">
        <f t="shared" si="631"/>
        <v>0</v>
      </c>
      <c r="DL182" s="113">
        <f t="shared" si="631"/>
        <v>0</v>
      </c>
      <c r="DM182" s="113">
        <f t="shared" si="631"/>
        <v>0</v>
      </c>
      <c r="DN182" s="113">
        <f t="shared" si="631"/>
        <v>0</v>
      </c>
      <c r="DO182" s="113">
        <f t="shared" si="631"/>
        <v>0</v>
      </c>
      <c r="DP182" s="113">
        <f t="shared" si="631"/>
        <v>0</v>
      </c>
      <c r="DQ182" s="113">
        <f t="shared" si="631"/>
        <v>0</v>
      </c>
      <c r="DR182" s="113">
        <f t="shared" si="631"/>
        <v>0</v>
      </c>
      <c r="DS182" s="113">
        <f t="shared" si="631"/>
        <v>0</v>
      </c>
      <c r="DT182" s="113">
        <f t="shared" si="631"/>
        <v>0</v>
      </c>
      <c r="DU182" s="113">
        <f t="shared" si="631"/>
        <v>0</v>
      </c>
      <c r="DV182" s="113">
        <f t="shared" si="631"/>
        <v>0</v>
      </c>
      <c r="DW182" s="113">
        <f t="shared" si="631"/>
        <v>0</v>
      </c>
      <c r="DX182" s="113">
        <f t="shared" si="631"/>
        <v>0</v>
      </c>
      <c r="DY182" s="113">
        <f t="shared" si="631"/>
        <v>0</v>
      </c>
      <c r="DZ182" s="113">
        <f t="shared" si="631"/>
        <v>0</v>
      </c>
      <c r="EA182" s="113">
        <f t="shared" si="631"/>
        <v>0</v>
      </c>
      <c r="EB182" s="113">
        <f t="shared" si="631"/>
        <v>0</v>
      </c>
      <c r="EC182" s="113">
        <f t="shared" si="631"/>
        <v>0</v>
      </c>
      <c r="ED182" s="113">
        <f t="shared" si="631"/>
        <v>0</v>
      </c>
      <c r="EE182" s="113">
        <f t="shared" si="631"/>
        <v>0</v>
      </c>
      <c r="EF182" s="113">
        <f t="shared" si="631"/>
        <v>0</v>
      </c>
      <c r="EG182" s="113">
        <f t="shared" si="631"/>
        <v>0</v>
      </c>
      <c r="EH182" s="113">
        <f t="shared" si="631"/>
        <v>0</v>
      </c>
      <c r="EI182" s="113">
        <f t="shared" si="631"/>
        <v>0</v>
      </c>
      <c r="EJ182" s="113">
        <f t="shared" si="631"/>
        <v>0</v>
      </c>
      <c r="EK182" s="113">
        <f t="shared" si="631"/>
        <v>0</v>
      </c>
      <c r="EL182" s="113">
        <f t="shared" si="631"/>
        <v>0</v>
      </c>
      <c r="EM182" s="113">
        <f t="shared" si="631"/>
        <v>0</v>
      </c>
      <c r="EN182" s="113">
        <f t="shared" si="631"/>
        <v>0</v>
      </c>
      <c r="EO182" s="113">
        <f t="shared" si="631"/>
        <v>0</v>
      </c>
      <c r="EP182" s="113">
        <f t="shared" si="631"/>
        <v>0</v>
      </c>
      <c r="EQ182" s="113">
        <f t="shared" si="631"/>
        <v>0</v>
      </c>
      <c r="ER182" s="113">
        <f t="shared" si="631"/>
        <v>0</v>
      </c>
      <c r="ES182" s="113">
        <f t="shared" si="631"/>
        <v>0</v>
      </c>
      <c r="ET182" s="113">
        <f t="shared" si="631"/>
        <v>0</v>
      </c>
      <c r="EU182" s="113">
        <f t="shared" si="631"/>
        <v>0</v>
      </c>
      <c r="EV182" s="113">
        <f t="shared" si="631"/>
        <v>0</v>
      </c>
      <c r="EW182" s="113">
        <f t="shared" si="631"/>
        <v>0</v>
      </c>
      <c r="EX182" s="113">
        <f t="shared" si="631"/>
        <v>0</v>
      </c>
      <c r="EY182" s="113">
        <f t="shared" si="631"/>
        <v>0</v>
      </c>
      <c r="EZ182" s="113">
        <f t="shared" si="631"/>
        <v>0</v>
      </c>
      <c r="FA182" s="113">
        <f t="shared" si="631"/>
        <v>0</v>
      </c>
      <c r="FB182" s="113">
        <f t="shared" si="631"/>
        <v>0</v>
      </c>
      <c r="FC182" s="113">
        <f t="shared" si="631"/>
        <v>0</v>
      </c>
      <c r="FD182" s="113">
        <f t="shared" si="631"/>
        <v>0</v>
      </c>
      <c r="FE182" s="113">
        <f t="shared" si="631"/>
        <v>0</v>
      </c>
      <c r="FF182" s="113">
        <f t="shared" si="631"/>
        <v>0</v>
      </c>
      <c r="FG182" s="113">
        <f t="shared" si="631"/>
        <v>0</v>
      </c>
      <c r="FH182" s="113">
        <f t="shared" si="631"/>
        <v>0</v>
      </c>
      <c r="FI182" s="113">
        <f t="shared" si="631"/>
        <v>0</v>
      </c>
      <c r="FJ182" s="113">
        <f t="shared" si="631"/>
        <v>0</v>
      </c>
      <c r="FK182" s="113">
        <f t="shared" si="631"/>
        <v>0</v>
      </c>
      <c r="FL182" s="113">
        <f t="shared" si="631"/>
        <v>0</v>
      </c>
      <c r="FM182" s="113">
        <f t="shared" si="631"/>
        <v>0</v>
      </c>
      <c r="FN182" s="113">
        <f t="shared" si="631"/>
        <v>0</v>
      </c>
      <c r="FO182" s="113">
        <f t="shared" si="631"/>
        <v>0</v>
      </c>
      <c r="FP182" s="113">
        <f t="shared" ref="FP182:HC182" si="632">SUM(FP151:FP181)</f>
        <v>0</v>
      </c>
      <c r="FQ182" s="113">
        <f t="shared" si="632"/>
        <v>0</v>
      </c>
      <c r="FR182" s="113">
        <f t="shared" si="632"/>
        <v>0</v>
      </c>
      <c r="FS182" s="113">
        <f t="shared" si="632"/>
        <v>0</v>
      </c>
      <c r="FT182" s="113">
        <f t="shared" si="632"/>
        <v>0</v>
      </c>
      <c r="FU182" s="113">
        <f t="shared" si="632"/>
        <v>0</v>
      </c>
      <c r="FV182" s="113">
        <f t="shared" si="632"/>
        <v>0</v>
      </c>
      <c r="FW182" s="113">
        <f t="shared" si="632"/>
        <v>0</v>
      </c>
      <c r="FX182" s="113">
        <f t="shared" si="632"/>
        <v>0</v>
      </c>
      <c r="FY182" s="113">
        <f t="shared" si="632"/>
        <v>0</v>
      </c>
      <c r="FZ182" s="113">
        <f t="shared" si="632"/>
        <v>0</v>
      </c>
      <c r="GA182" s="113">
        <f t="shared" si="632"/>
        <v>0</v>
      </c>
      <c r="GB182" s="113">
        <f t="shared" si="632"/>
        <v>0</v>
      </c>
      <c r="GC182" s="113">
        <f t="shared" si="632"/>
        <v>0</v>
      </c>
      <c r="GD182" s="113">
        <f t="shared" si="632"/>
        <v>0</v>
      </c>
      <c r="GE182" s="113">
        <f t="shared" si="632"/>
        <v>0</v>
      </c>
      <c r="GF182" s="113">
        <f t="shared" si="632"/>
        <v>0</v>
      </c>
      <c r="GG182" s="113">
        <f t="shared" si="632"/>
        <v>0</v>
      </c>
      <c r="GH182" s="113">
        <f t="shared" si="632"/>
        <v>0</v>
      </c>
      <c r="GI182" s="113">
        <f t="shared" si="632"/>
        <v>0</v>
      </c>
      <c r="GJ182" s="113">
        <f t="shared" si="632"/>
        <v>0</v>
      </c>
      <c r="GK182" s="113">
        <f t="shared" si="632"/>
        <v>0</v>
      </c>
      <c r="GL182" s="113">
        <f t="shared" si="632"/>
        <v>0</v>
      </c>
      <c r="GM182" s="113">
        <f t="shared" si="632"/>
        <v>0</v>
      </c>
      <c r="GN182" s="113">
        <f t="shared" si="632"/>
        <v>0</v>
      </c>
      <c r="GO182" s="400">
        <f t="shared" si="632"/>
        <v>0</v>
      </c>
      <c r="GP182" s="400">
        <f t="shared" si="632"/>
        <v>0</v>
      </c>
      <c r="GQ182" s="400">
        <f t="shared" si="632"/>
        <v>0</v>
      </c>
      <c r="GR182" s="113">
        <f t="shared" si="632"/>
        <v>0</v>
      </c>
      <c r="GS182" s="113">
        <f t="shared" si="632"/>
        <v>0</v>
      </c>
      <c r="GT182" s="113">
        <f t="shared" si="632"/>
        <v>0</v>
      </c>
      <c r="GU182" s="113">
        <f t="shared" si="632"/>
        <v>0</v>
      </c>
      <c r="GV182" s="113">
        <f t="shared" si="632"/>
        <v>0</v>
      </c>
      <c r="GW182" s="113">
        <f t="shared" si="632"/>
        <v>0</v>
      </c>
      <c r="GX182" s="113">
        <f t="shared" si="632"/>
        <v>0</v>
      </c>
      <c r="GY182" s="113">
        <f t="shared" si="632"/>
        <v>0</v>
      </c>
      <c r="GZ182" s="113">
        <f t="shared" si="632"/>
        <v>0</v>
      </c>
      <c r="HA182" s="113">
        <f t="shared" si="632"/>
        <v>0</v>
      </c>
      <c r="HB182" s="113">
        <f t="shared" si="632"/>
        <v>0</v>
      </c>
      <c r="HC182" s="113">
        <f t="shared" si="632"/>
        <v>0</v>
      </c>
      <c r="HD182" s="387">
        <f t="shared" si="629"/>
        <v>0</v>
      </c>
      <c r="HE182" s="388">
        <f t="shared" si="629"/>
        <v>0</v>
      </c>
      <c r="HF182" s="388">
        <f t="shared" si="629"/>
        <v>0</v>
      </c>
      <c r="HG182" s="388">
        <f t="shared" ref="HG182" si="633">SUM(HG151:HG181)</f>
        <v>0</v>
      </c>
    </row>
  </sheetData>
  <mergeCells count="364">
    <mergeCell ref="GI149:GK149"/>
    <mergeCell ref="GL149:GN149"/>
    <mergeCell ref="GO149:GQ149"/>
    <mergeCell ref="GR149:GT149"/>
    <mergeCell ref="GU149:GW149"/>
    <mergeCell ref="GX149:GZ149"/>
    <mergeCell ref="HA149:HC149"/>
    <mergeCell ref="FH149:FJ149"/>
    <mergeCell ref="FK149:FM149"/>
    <mergeCell ref="FN149:FP149"/>
    <mergeCell ref="FQ149:FS149"/>
    <mergeCell ref="FT149:FV149"/>
    <mergeCell ref="FW149:FY149"/>
    <mergeCell ref="FZ149:GB149"/>
    <mergeCell ref="GC149:GE149"/>
    <mergeCell ref="GF149:GH149"/>
    <mergeCell ref="GI78:GK78"/>
    <mergeCell ref="GL78:GN78"/>
    <mergeCell ref="GO78:GQ78"/>
    <mergeCell ref="GR78:GT78"/>
    <mergeCell ref="GU78:GW78"/>
    <mergeCell ref="GX78:GZ78"/>
    <mergeCell ref="HA78:HC78"/>
    <mergeCell ref="EY113:FA113"/>
    <mergeCell ref="FB113:FD113"/>
    <mergeCell ref="FE113:FG113"/>
    <mergeCell ref="FH113:FJ113"/>
    <mergeCell ref="FK113:FM113"/>
    <mergeCell ref="FN113:FP113"/>
    <mergeCell ref="FQ113:FS113"/>
    <mergeCell ref="FT113:FV113"/>
    <mergeCell ref="FW113:FY113"/>
    <mergeCell ref="FZ113:GB113"/>
    <mergeCell ref="GC113:GE113"/>
    <mergeCell ref="GF113:GH113"/>
    <mergeCell ref="GI113:GK113"/>
    <mergeCell ref="GL113:GN113"/>
    <mergeCell ref="GO113:GQ113"/>
    <mergeCell ref="GR113:GT113"/>
    <mergeCell ref="GU113:GW113"/>
    <mergeCell ref="FH78:FJ78"/>
    <mergeCell ref="FK78:FM78"/>
    <mergeCell ref="FN78:FP78"/>
    <mergeCell ref="FQ78:FS78"/>
    <mergeCell ref="FT78:FV78"/>
    <mergeCell ref="FW78:FY78"/>
    <mergeCell ref="FZ78:GB78"/>
    <mergeCell ref="GC78:GE78"/>
    <mergeCell ref="GF78:GH78"/>
    <mergeCell ref="HA6:HC6"/>
    <mergeCell ref="EY42:FA42"/>
    <mergeCell ref="FB42:FD42"/>
    <mergeCell ref="FE42:FG42"/>
    <mergeCell ref="FH42:FJ42"/>
    <mergeCell ref="FK42:FM42"/>
    <mergeCell ref="FN42:FP42"/>
    <mergeCell ref="FQ42:FS42"/>
    <mergeCell ref="FT42:FV42"/>
    <mergeCell ref="FW42:FY42"/>
    <mergeCell ref="FZ42:GB42"/>
    <mergeCell ref="GC42:GE42"/>
    <mergeCell ref="GF42:GH42"/>
    <mergeCell ref="GI42:GK42"/>
    <mergeCell ref="GL42:GN42"/>
    <mergeCell ref="GO42:GQ42"/>
    <mergeCell ref="GR42:GT42"/>
    <mergeCell ref="GU42:GW42"/>
    <mergeCell ref="FZ6:GB6"/>
    <mergeCell ref="GC6:GE6"/>
    <mergeCell ref="GF6:GH6"/>
    <mergeCell ref="GI6:GK6"/>
    <mergeCell ref="GL6:GN6"/>
    <mergeCell ref="GO6:GQ6"/>
    <mergeCell ref="GR6:GT6"/>
    <mergeCell ref="GU6:GW6"/>
    <mergeCell ref="GX6:GZ6"/>
    <mergeCell ref="EM149:EO149"/>
    <mergeCell ref="EP149:ER149"/>
    <mergeCell ref="ES149:EU149"/>
    <mergeCell ref="EV149:EX149"/>
    <mergeCell ref="DU2:DX3"/>
    <mergeCell ref="DY2:EE3"/>
    <mergeCell ref="EY6:FA6"/>
    <mergeCell ref="FB6:FD6"/>
    <mergeCell ref="FE6:FG6"/>
    <mergeCell ref="EY78:FA78"/>
    <mergeCell ref="FB78:FD78"/>
    <mergeCell ref="FE78:FG78"/>
    <mergeCell ref="EY149:FA149"/>
    <mergeCell ref="FB149:FD149"/>
    <mergeCell ref="FE149:FG149"/>
    <mergeCell ref="EV78:EX78"/>
    <mergeCell ref="ED113:EF113"/>
    <mergeCell ref="EG113:EI113"/>
    <mergeCell ref="EJ113:EL113"/>
    <mergeCell ref="EM113:EO113"/>
    <mergeCell ref="EP113:ER113"/>
    <mergeCell ref="ES113:EU113"/>
    <mergeCell ref="EV113:EX113"/>
    <mergeCell ref="EV6:EX6"/>
    <mergeCell ref="DO42:DQ42"/>
    <mergeCell ref="DR42:DT42"/>
    <mergeCell ref="DU42:DW42"/>
    <mergeCell ref="DX42:DZ42"/>
    <mergeCell ref="EA42:EC42"/>
    <mergeCell ref="DC113:DE113"/>
    <mergeCell ref="DF113:DH113"/>
    <mergeCell ref="DI113:DK113"/>
    <mergeCell ref="DL113:DN113"/>
    <mergeCell ref="DO113:DQ113"/>
    <mergeCell ref="DR113:DT113"/>
    <mergeCell ref="DU113:DW113"/>
    <mergeCell ref="DX113:DZ113"/>
    <mergeCell ref="EA113:EC113"/>
    <mergeCell ref="A6:A7"/>
    <mergeCell ref="A42:A43"/>
    <mergeCell ref="CE42:CG42"/>
    <mergeCell ref="CH42:CJ42"/>
    <mergeCell ref="CK42:CM42"/>
    <mergeCell ref="CN42:CP42"/>
    <mergeCell ref="CQ42:CS42"/>
    <mergeCell ref="CT42:CV42"/>
    <mergeCell ref="CW42:CY42"/>
    <mergeCell ref="AC42:AE42"/>
    <mergeCell ref="AF42:AH42"/>
    <mergeCell ref="AI42:AK42"/>
    <mergeCell ref="AL42:AN42"/>
    <mergeCell ref="AO42:AQ42"/>
    <mergeCell ref="AR42:AT42"/>
    <mergeCell ref="AU42:AW42"/>
    <mergeCell ref="AX42:AZ42"/>
    <mergeCell ref="BA42:BC42"/>
    <mergeCell ref="B42:D42"/>
    <mergeCell ref="E42:G42"/>
    <mergeCell ref="H42:J42"/>
    <mergeCell ref="K42:M42"/>
    <mergeCell ref="N42:P42"/>
    <mergeCell ref="Q42:S42"/>
    <mergeCell ref="A78:A79"/>
    <mergeCell ref="A113:A114"/>
    <mergeCell ref="A149:A150"/>
    <mergeCell ref="T2:W3"/>
    <mergeCell ref="X2:AD3"/>
    <mergeCell ref="CE149:CG149"/>
    <mergeCell ref="CH149:CJ149"/>
    <mergeCell ref="AC149:AE149"/>
    <mergeCell ref="AF149:AH149"/>
    <mergeCell ref="AI149:AK149"/>
    <mergeCell ref="AL149:AN149"/>
    <mergeCell ref="AO149:AQ149"/>
    <mergeCell ref="AR149:AT149"/>
    <mergeCell ref="AU149:AW149"/>
    <mergeCell ref="AX149:AZ149"/>
    <mergeCell ref="BA149:BC149"/>
    <mergeCell ref="B149:D149"/>
    <mergeCell ref="E149:G149"/>
    <mergeCell ref="H149:J149"/>
    <mergeCell ref="K149:M149"/>
    <mergeCell ref="N149:P149"/>
    <mergeCell ref="Q149:S149"/>
    <mergeCell ref="T149:V149"/>
    <mergeCell ref="W149:Y149"/>
    <mergeCell ref="CW149:CY149"/>
    <mergeCell ref="CZ149:DB149"/>
    <mergeCell ref="HD149:HF149"/>
    <mergeCell ref="BD149:BF149"/>
    <mergeCell ref="BG149:BI149"/>
    <mergeCell ref="BJ149:BL149"/>
    <mergeCell ref="BM149:BO149"/>
    <mergeCell ref="BP149:BR149"/>
    <mergeCell ref="BS149:BU149"/>
    <mergeCell ref="BV149:BX149"/>
    <mergeCell ref="BY149:CA149"/>
    <mergeCell ref="CB149:CD149"/>
    <mergeCell ref="DC149:DE149"/>
    <mergeCell ref="DF149:DH149"/>
    <mergeCell ref="DI149:DK149"/>
    <mergeCell ref="DL149:DN149"/>
    <mergeCell ref="DO149:DQ149"/>
    <mergeCell ref="DR149:DT149"/>
    <mergeCell ref="DU149:DW149"/>
    <mergeCell ref="DX149:DZ149"/>
    <mergeCell ref="EA149:EC149"/>
    <mergeCell ref="ED149:EF149"/>
    <mergeCell ref="EG149:EI149"/>
    <mergeCell ref="EJ149:EL149"/>
    <mergeCell ref="Z149:AB149"/>
    <mergeCell ref="CE113:CG113"/>
    <mergeCell ref="CH113:CJ113"/>
    <mergeCell ref="CK113:CM113"/>
    <mergeCell ref="CN113:CP113"/>
    <mergeCell ref="CQ113:CS113"/>
    <mergeCell ref="CT113:CV113"/>
    <mergeCell ref="AC113:AE113"/>
    <mergeCell ref="AF113:AH113"/>
    <mergeCell ref="AI113:AK113"/>
    <mergeCell ref="AL113:AN113"/>
    <mergeCell ref="AO113:AQ113"/>
    <mergeCell ref="AR113:AT113"/>
    <mergeCell ref="AU113:AW113"/>
    <mergeCell ref="AX113:AZ113"/>
    <mergeCell ref="BA113:BC113"/>
    <mergeCell ref="CK149:CM149"/>
    <mergeCell ref="CN149:CP149"/>
    <mergeCell ref="CQ149:CS149"/>
    <mergeCell ref="CT149:CV149"/>
    <mergeCell ref="CW113:CY113"/>
    <mergeCell ref="CZ113:DB113"/>
    <mergeCell ref="HD113:HF113"/>
    <mergeCell ref="BD113:BF113"/>
    <mergeCell ref="BG113:BI113"/>
    <mergeCell ref="BJ113:BL113"/>
    <mergeCell ref="BM113:BO113"/>
    <mergeCell ref="BP113:BR113"/>
    <mergeCell ref="BS113:BU113"/>
    <mergeCell ref="BV113:BX113"/>
    <mergeCell ref="BY113:CA113"/>
    <mergeCell ref="CB113:CD113"/>
    <mergeCell ref="GX113:GZ113"/>
    <mergeCell ref="HA113:HC113"/>
    <mergeCell ref="B113:D113"/>
    <mergeCell ref="E113:G113"/>
    <mergeCell ref="H113:J113"/>
    <mergeCell ref="K113:M113"/>
    <mergeCell ref="N113:P113"/>
    <mergeCell ref="Q113:S113"/>
    <mergeCell ref="T113:V113"/>
    <mergeCell ref="W113:Y113"/>
    <mergeCell ref="Z113:AB113"/>
    <mergeCell ref="CE78:CG78"/>
    <mergeCell ref="CH78:CJ78"/>
    <mergeCell ref="CK78:CM78"/>
    <mergeCell ref="CN78:CP78"/>
    <mergeCell ref="CQ78:CS78"/>
    <mergeCell ref="CT78:CV78"/>
    <mergeCell ref="CW78:CY78"/>
    <mergeCell ref="CZ78:DB78"/>
    <mergeCell ref="HD78:HF78"/>
    <mergeCell ref="DC78:DE78"/>
    <mergeCell ref="DF78:DH78"/>
    <mergeCell ref="DI78:DK78"/>
    <mergeCell ref="DL78:DN78"/>
    <mergeCell ref="DO78:DQ78"/>
    <mergeCell ref="DR78:DT78"/>
    <mergeCell ref="DU78:DW78"/>
    <mergeCell ref="DX78:DZ78"/>
    <mergeCell ref="EA78:EC78"/>
    <mergeCell ref="ED78:EF78"/>
    <mergeCell ref="EG78:EI78"/>
    <mergeCell ref="EJ78:EL78"/>
    <mergeCell ref="EM78:EO78"/>
    <mergeCell ref="EP78:ER78"/>
    <mergeCell ref="ES78:EU78"/>
    <mergeCell ref="BD78:BF78"/>
    <mergeCell ref="BG78:BI78"/>
    <mergeCell ref="BJ78:BL78"/>
    <mergeCell ref="BM78:BO78"/>
    <mergeCell ref="BP78:BR78"/>
    <mergeCell ref="BS78:BU78"/>
    <mergeCell ref="BV78:BX78"/>
    <mergeCell ref="BY78:CA78"/>
    <mergeCell ref="CB78:CD78"/>
    <mergeCell ref="AC78:AE78"/>
    <mergeCell ref="AF78:AH78"/>
    <mergeCell ref="AI78:AK78"/>
    <mergeCell ref="AL78:AN78"/>
    <mergeCell ref="AO78:AQ78"/>
    <mergeCell ref="AR78:AT78"/>
    <mergeCell ref="AU78:AW78"/>
    <mergeCell ref="AX78:AZ78"/>
    <mergeCell ref="BA78:BC78"/>
    <mergeCell ref="B78:D78"/>
    <mergeCell ref="E78:G78"/>
    <mergeCell ref="H78:J78"/>
    <mergeCell ref="K78:M78"/>
    <mergeCell ref="N78:P78"/>
    <mergeCell ref="Q78:S78"/>
    <mergeCell ref="T78:V78"/>
    <mergeCell ref="W78:Y78"/>
    <mergeCell ref="Z78:AB78"/>
    <mergeCell ref="HD42:HF42"/>
    <mergeCell ref="GX42:GZ42"/>
    <mergeCell ref="HA42:HC42"/>
    <mergeCell ref="BD42:BF42"/>
    <mergeCell ref="BG42:BI42"/>
    <mergeCell ref="BJ42:BL42"/>
    <mergeCell ref="BM42:BO42"/>
    <mergeCell ref="BP42:BR42"/>
    <mergeCell ref="BS42:BU42"/>
    <mergeCell ref="BV42:BX42"/>
    <mergeCell ref="BY42:CA42"/>
    <mergeCell ref="CB42:CD42"/>
    <mergeCell ref="ED42:EF42"/>
    <mergeCell ref="EG42:EI42"/>
    <mergeCell ref="EJ42:EL42"/>
    <mergeCell ref="EM42:EO42"/>
    <mergeCell ref="EP42:ER42"/>
    <mergeCell ref="ES42:EU42"/>
    <mergeCell ref="EV42:EX42"/>
    <mergeCell ref="CZ42:DB42"/>
    <mergeCell ref="DC42:DE42"/>
    <mergeCell ref="DF42:DH42"/>
    <mergeCell ref="DI42:DK42"/>
    <mergeCell ref="DL42:DN42"/>
    <mergeCell ref="T42:V42"/>
    <mergeCell ref="W42:Y42"/>
    <mergeCell ref="Z42:AB42"/>
    <mergeCell ref="CE6:CG6"/>
    <mergeCell ref="CH6:CJ6"/>
    <mergeCell ref="CK6:CM6"/>
    <mergeCell ref="CN6:CP6"/>
    <mergeCell ref="CQ6:CS6"/>
    <mergeCell ref="CT6:CV6"/>
    <mergeCell ref="BD6:BF6"/>
    <mergeCell ref="BG6:BI6"/>
    <mergeCell ref="BJ6:BL6"/>
    <mergeCell ref="BM6:BO6"/>
    <mergeCell ref="BP6:BR6"/>
    <mergeCell ref="BS6:BU6"/>
    <mergeCell ref="BV6:BX6"/>
    <mergeCell ref="BY6:CA6"/>
    <mergeCell ref="CB6:CD6"/>
    <mergeCell ref="AC6:AE6"/>
    <mergeCell ref="AF6:AH6"/>
    <mergeCell ref="AI6:AK6"/>
    <mergeCell ref="AL6:AN6"/>
    <mergeCell ref="AO6:AQ6"/>
    <mergeCell ref="AR6:AT6"/>
    <mergeCell ref="CW6:CY6"/>
    <mergeCell ref="CZ6:DB6"/>
    <mergeCell ref="HD6:HF6"/>
    <mergeCell ref="DC6:DE6"/>
    <mergeCell ref="DF6:DH6"/>
    <mergeCell ref="DI6:DK6"/>
    <mergeCell ref="DL6:DN6"/>
    <mergeCell ref="DO6:DQ6"/>
    <mergeCell ref="DR6:DT6"/>
    <mergeCell ref="DU6:DW6"/>
    <mergeCell ref="DX6:DZ6"/>
    <mergeCell ref="EA6:EC6"/>
    <mergeCell ref="ED6:EF6"/>
    <mergeCell ref="EG6:EI6"/>
    <mergeCell ref="EJ6:EL6"/>
    <mergeCell ref="EM6:EO6"/>
    <mergeCell ref="EP6:ER6"/>
    <mergeCell ref="ES6:EU6"/>
    <mergeCell ref="FH6:FJ6"/>
    <mergeCell ref="FK6:FM6"/>
    <mergeCell ref="FN6:FP6"/>
    <mergeCell ref="FQ6:FS6"/>
    <mergeCell ref="FT6:FV6"/>
    <mergeCell ref="FW6:FY6"/>
    <mergeCell ref="AU6:AW6"/>
    <mergeCell ref="AX6:AZ6"/>
    <mergeCell ref="BA6:BC6"/>
    <mergeCell ref="B6:D6"/>
    <mergeCell ref="E6:G6"/>
    <mergeCell ref="H6:J6"/>
    <mergeCell ref="K6:M6"/>
    <mergeCell ref="N6:P6"/>
    <mergeCell ref="Q6:S6"/>
    <mergeCell ref="T6:V6"/>
    <mergeCell ref="W6:Y6"/>
    <mergeCell ref="Z6:AB6"/>
  </mergeCells>
  <phoneticPr fontId="31" type="noConversion"/>
  <pageMargins left="0.7" right="0.7" top="0.75" bottom="0.75" header="0.3" footer="0.3"/>
  <pageSetup paperSize="9" orientation="portrait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D178"/>
  <sheetViews>
    <sheetView tabSelected="1" topLeftCell="A127" zoomScale="80" zoomScaleNormal="80" workbookViewId="0">
      <selection activeCell="M108" sqref="M108:R108"/>
    </sheetView>
  </sheetViews>
  <sheetFormatPr baseColWidth="10" defaultColWidth="11.42578125" defaultRowHeight="15"/>
  <cols>
    <col min="1" max="6" width="5.7109375" customWidth="1"/>
    <col min="7" max="7" width="9" customWidth="1"/>
    <col min="8" max="12" width="6" customWidth="1"/>
    <col min="13" max="14" width="6.140625" customWidth="1"/>
    <col min="15" max="15" width="6" customWidth="1"/>
    <col min="16" max="18" width="8.140625" customWidth="1"/>
    <col min="19" max="19" width="5.7109375" customWidth="1"/>
    <col min="20" max="20" width="6" customWidth="1"/>
    <col min="21" max="21" width="5.7109375" customWidth="1"/>
    <col min="22" max="23" width="8.140625" customWidth="1"/>
    <col min="24" max="24" width="8.7109375" customWidth="1"/>
    <col min="25" max="25" width="5.7109375" customWidth="1"/>
    <col min="26" max="28" width="6.28515625" customWidth="1"/>
    <col min="29" max="29" width="6" customWidth="1"/>
    <col min="30" max="31" width="5.7109375" customWidth="1"/>
    <col min="32" max="33" width="6" customWidth="1"/>
    <col min="34" max="34" width="6.140625" customWidth="1"/>
    <col min="35" max="37" width="6" customWidth="1"/>
    <col min="38" max="38" width="6.140625" customWidth="1"/>
    <col min="39" max="39" width="5.7109375" customWidth="1"/>
    <col min="40" max="42" width="6" customWidth="1"/>
    <col min="43" max="43" width="5.7109375" customWidth="1"/>
    <col min="44" max="45" width="6" customWidth="1"/>
    <col min="46" max="46" width="7" customWidth="1"/>
    <col min="47" max="47" width="6.140625" customWidth="1"/>
    <col min="48" max="51" width="6" customWidth="1"/>
    <col min="52" max="53" width="6.5703125" customWidth="1"/>
    <col min="54" max="54" width="5.7109375" customWidth="1"/>
    <col min="55" max="56" width="6" customWidth="1"/>
    <col min="57" max="81" width="5.7109375" customWidth="1"/>
    <col min="82" max="83" width="6.5703125" customWidth="1"/>
    <col min="84" max="84" width="5.7109375" customWidth="1"/>
    <col min="85" max="86" width="6" customWidth="1"/>
    <col min="87" max="87" width="5.7109375" customWidth="1"/>
    <col min="88" max="89" width="6.5703125" customWidth="1"/>
    <col min="90" max="90" width="5.7109375" customWidth="1"/>
    <col min="91" max="92" width="6" customWidth="1"/>
    <col min="93" max="93" width="5.7109375" customWidth="1"/>
    <col min="94" max="95" width="6.5703125" customWidth="1"/>
    <col min="96" max="96" width="5.7109375" customWidth="1"/>
    <col min="97" max="98" width="6" customWidth="1"/>
    <col min="99" max="99" width="5.7109375" customWidth="1"/>
    <col min="100" max="101" width="6.5703125" customWidth="1"/>
    <col min="102" max="102" width="5.7109375" customWidth="1"/>
    <col min="103" max="104" width="6" customWidth="1"/>
    <col min="105" max="105" width="5.7109375" customWidth="1"/>
    <col min="106" max="106" width="11.5703125" customWidth="1"/>
  </cols>
  <sheetData>
    <row r="1" spans="1:106" ht="15.75" thickBot="1">
      <c r="A1" s="452" t="s">
        <v>1</v>
      </c>
      <c r="B1" s="453"/>
    </row>
    <row r="2" spans="1:106" ht="15.75" thickBot="1">
      <c r="A2" s="422" t="s">
        <v>2</v>
      </c>
      <c r="B2" s="449" t="s">
        <v>45</v>
      </c>
      <c r="C2" s="450"/>
      <c r="D2" s="450"/>
      <c r="E2" s="450"/>
      <c r="F2" s="451"/>
      <c r="G2" s="449" t="s">
        <v>46</v>
      </c>
      <c r="H2" s="450"/>
      <c r="I2" s="450"/>
      <c r="J2" s="450"/>
      <c r="K2" s="450"/>
      <c r="L2" s="451"/>
      <c r="M2" s="454" t="s">
        <v>47</v>
      </c>
      <c r="N2" s="455"/>
      <c r="O2" s="455"/>
      <c r="P2" s="455"/>
      <c r="Q2" s="455"/>
      <c r="R2" s="456"/>
      <c r="S2" s="450" t="s">
        <v>48</v>
      </c>
      <c r="T2" s="450"/>
      <c r="U2" s="450"/>
      <c r="V2" s="450"/>
      <c r="W2" s="450"/>
      <c r="X2" s="450"/>
      <c r="Y2" s="449" t="s">
        <v>49</v>
      </c>
      <c r="Z2" s="450"/>
      <c r="AA2" s="450"/>
      <c r="AB2" s="450"/>
      <c r="AC2" s="451"/>
      <c r="AD2" s="449" t="s">
        <v>50</v>
      </c>
      <c r="AE2" s="450"/>
      <c r="AF2" s="450"/>
      <c r="AG2" s="450"/>
      <c r="AH2" s="450"/>
      <c r="AI2" s="450"/>
      <c r="AJ2" s="450"/>
      <c r="AK2" s="450"/>
      <c r="AL2" s="450"/>
      <c r="AM2" s="451"/>
      <c r="AN2" s="449" t="s">
        <v>51</v>
      </c>
      <c r="AO2" s="450"/>
      <c r="AP2" s="450"/>
      <c r="AQ2" s="450"/>
      <c r="AR2" s="450"/>
      <c r="AS2" s="450"/>
      <c r="AT2" s="450"/>
      <c r="AU2" s="451"/>
      <c r="AV2" s="449" t="s">
        <v>52</v>
      </c>
      <c r="AW2" s="450"/>
      <c r="AX2" s="450"/>
      <c r="AY2" s="451"/>
      <c r="AZ2" s="449" t="s">
        <v>53</v>
      </c>
      <c r="BA2" s="450"/>
      <c r="BB2" s="450"/>
      <c r="BC2" s="450"/>
      <c r="BD2" s="450"/>
      <c r="BE2" s="451"/>
      <c r="BF2" s="449" t="s">
        <v>54</v>
      </c>
      <c r="BG2" s="450"/>
      <c r="BH2" s="450"/>
      <c r="BI2" s="450"/>
      <c r="BJ2" s="450"/>
      <c r="BK2" s="450"/>
      <c r="BL2" s="450"/>
      <c r="BM2" s="450"/>
      <c r="BN2" s="450"/>
      <c r="BO2" s="450"/>
      <c r="BP2" s="450"/>
      <c r="BQ2" s="450"/>
      <c r="BR2" s="450"/>
      <c r="BS2" s="450"/>
      <c r="BT2" s="450"/>
      <c r="BU2" s="450"/>
      <c r="BV2" s="450"/>
      <c r="BW2" s="450"/>
      <c r="BX2" s="450"/>
      <c r="BY2" s="450"/>
      <c r="BZ2" s="450"/>
      <c r="CA2" s="450"/>
      <c r="CB2" s="450"/>
      <c r="CC2" s="451"/>
      <c r="CD2" s="449" t="s">
        <v>55</v>
      </c>
      <c r="CE2" s="450"/>
      <c r="CF2" s="450"/>
      <c r="CG2" s="450"/>
      <c r="CH2" s="450"/>
      <c r="CI2" s="451"/>
      <c r="CJ2" s="449" t="s">
        <v>182</v>
      </c>
      <c r="CK2" s="450"/>
      <c r="CL2" s="450"/>
      <c r="CM2" s="450"/>
      <c r="CN2" s="450"/>
      <c r="CO2" s="451"/>
      <c r="CP2" s="449" t="s">
        <v>183</v>
      </c>
      <c r="CQ2" s="450"/>
      <c r="CR2" s="450"/>
      <c r="CS2" s="450"/>
      <c r="CT2" s="450"/>
      <c r="CU2" s="451"/>
      <c r="CV2" s="449" t="s">
        <v>184</v>
      </c>
      <c r="CW2" s="450"/>
      <c r="CX2" s="450"/>
      <c r="CY2" s="450"/>
      <c r="CZ2" s="450"/>
      <c r="DA2" s="451"/>
      <c r="DB2" s="464" t="s">
        <v>56</v>
      </c>
    </row>
    <row r="3" spans="1:106" ht="15.75" thickBot="1">
      <c r="A3" s="461"/>
      <c r="B3" s="285" t="s">
        <v>39</v>
      </c>
      <c r="C3" s="419" t="s">
        <v>39</v>
      </c>
      <c r="D3" s="419" t="s">
        <v>39</v>
      </c>
      <c r="E3" s="419" t="s">
        <v>39</v>
      </c>
      <c r="F3" s="419" t="s">
        <v>39</v>
      </c>
      <c r="G3" s="286" t="s">
        <v>39</v>
      </c>
      <c r="H3" s="286" t="s">
        <v>39</v>
      </c>
      <c r="I3" s="286" t="s">
        <v>39</v>
      </c>
      <c r="J3" s="286" t="s">
        <v>39</v>
      </c>
      <c r="K3" s="293" t="s">
        <v>39</v>
      </c>
      <c r="L3" s="418" t="s">
        <v>39</v>
      </c>
      <c r="M3" s="285" t="s">
        <v>39</v>
      </c>
      <c r="N3" s="286" t="s">
        <v>39</v>
      </c>
      <c r="O3" s="286" t="s">
        <v>39</v>
      </c>
      <c r="P3" s="419" t="s">
        <v>39</v>
      </c>
      <c r="Q3" s="419" t="s">
        <v>39</v>
      </c>
      <c r="R3" s="286" t="s">
        <v>39</v>
      </c>
      <c r="S3" s="286" t="s">
        <v>39</v>
      </c>
      <c r="T3" s="286" t="s">
        <v>39</v>
      </c>
      <c r="U3" s="286" t="s">
        <v>39</v>
      </c>
      <c r="V3" s="419" t="s">
        <v>39</v>
      </c>
      <c r="W3" s="286" t="s">
        <v>39</v>
      </c>
      <c r="X3" s="293" t="s">
        <v>39</v>
      </c>
      <c r="Y3" s="285" t="s">
        <v>39</v>
      </c>
      <c r="Z3" s="286" t="s">
        <v>39</v>
      </c>
      <c r="AA3" s="286" t="s">
        <v>39</v>
      </c>
      <c r="AB3" s="286" t="s">
        <v>39</v>
      </c>
      <c r="AC3" s="286" t="s">
        <v>39</v>
      </c>
      <c r="AD3" s="300" t="s">
        <v>39</v>
      </c>
      <c r="AE3" s="286" t="s">
        <v>41</v>
      </c>
      <c r="AF3" s="293" t="s">
        <v>39</v>
      </c>
      <c r="AG3" s="286" t="s">
        <v>41</v>
      </c>
      <c r="AH3" s="293" t="s">
        <v>39</v>
      </c>
      <c r="AI3" s="286" t="s">
        <v>41</v>
      </c>
      <c r="AJ3" s="293" t="s">
        <v>39</v>
      </c>
      <c r="AK3" s="286" t="s">
        <v>41</v>
      </c>
      <c r="AL3" s="293" t="s">
        <v>39</v>
      </c>
      <c r="AM3" s="286" t="s">
        <v>41</v>
      </c>
      <c r="AN3" s="300" t="s">
        <v>39</v>
      </c>
      <c r="AO3" s="286" t="s">
        <v>40</v>
      </c>
      <c r="AP3" s="293" t="s">
        <v>39</v>
      </c>
      <c r="AQ3" s="286" t="s">
        <v>40</v>
      </c>
      <c r="AR3" s="293" t="s">
        <v>39</v>
      </c>
      <c r="AS3" s="286" t="s">
        <v>40</v>
      </c>
      <c r="AT3" s="293" t="s">
        <v>39</v>
      </c>
      <c r="AU3" s="286" t="s">
        <v>40</v>
      </c>
      <c r="AV3" s="300" t="s">
        <v>39</v>
      </c>
      <c r="AW3" s="293" t="s">
        <v>39</v>
      </c>
      <c r="AX3" s="293" t="s">
        <v>39</v>
      </c>
      <c r="AY3" s="286" t="s">
        <v>39</v>
      </c>
      <c r="AZ3" s="302" t="s">
        <v>39</v>
      </c>
      <c r="BA3" s="303" t="s">
        <v>39</v>
      </c>
      <c r="BB3" s="303" t="s">
        <v>39</v>
      </c>
      <c r="BC3" s="303" t="s">
        <v>39</v>
      </c>
      <c r="BD3" s="303" t="s">
        <v>39</v>
      </c>
      <c r="BE3" s="292" t="s">
        <v>39</v>
      </c>
      <c r="BF3" s="304" t="s">
        <v>39</v>
      </c>
      <c r="BG3" s="305" t="s">
        <v>40</v>
      </c>
      <c r="BH3" s="306" t="s">
        <v>41</v>
      </c>
      <c r="BI3" s="304" t="s">
        <v>39</v>
      </c>
      <c r="BJ3" s="305" t="s">
        <v>40</v>
      </c>
      <c r="BK3" s="306" t="s">
        <v>41</v>
      </c>
      <c r="BL3" s="304" t="s">
        <v>39</v>
      </c>
      <c r="BM3" s="305" t="s">
        <v>40</v>
      </c>
      <c r="BN3" s="306" t="s">
        <v>41</v>
      </c>
      <c r="BO3" s="304" t="s">
        <v>39</v>
      </c>
      <c r="BP3" s="305" t="s">
        <v>40</v>
      </c>
      <c r="BQ3" s="306" t="s">
        <v>41</v>
      </c>
      <c r="BR3" s="304" t="s">
        <v>39</v>
      </c>
      <c r="BS3" s="305" t="s">
        <v>40</v>
      </c>
      <c r="BT3" s="306" t="s">
        <v>41</v>
      </c>
      <c r="BU3" s="304" t="s">
        <v>39</v>
      </c>
      <c r="BV3" s="305" t="s">
        <v>40</v>
      </c>
      <c r="BW3" s="306" t="s">
        <v>41</v>
      </c>
      <c r="BX3" s="304" t="s">
        <v>39</v>
      </c>
      <c r="BY3" s="305" t="s">
        <v>40</v>
      </c>
      <c r="BZ3" s="306" t="s">
        <v>41</v>
      </c>
      <c r="CA3" s="304" t="s">
        <v>39</v>
      </c>
      <c r="CB3" s="305" t="s">
        <v>40</v>
      </c>
      <c r="CC3" s="306" t="s">
        <v>41</v>
      </c>
      <c r="CD3" s="395" t="s">
        <v>39</v>
      </c>
      <c r="CE3" s="303" t="s">
        <v>39</v>
      </c>
      <c r="CF3" s="303" t="s">
        <v>39</v>
      </c>
      <c r="CG3" s="303" t="s">
        <v>39</v>
      </c>
      <c r="CH3" s="303" t="s">
        <v>39</v>
      </c>
      <c r="CI3" s="307" t="s">
        <v>39</v>
      </c>
      <c r="CJ3" s="395" t="s">
        <v>39</v>
      </c>
      <c r="CK3" s="414" t="s">
        <v>39</v>
      </c>
      <c r="CL3" s="414" t="s">
        <v>39</v>
      </c>
      <c r="CM3" s="414" t="s">
        <v>39</v>
      </c>
      <c r="CN3" s="414" t="s">
        <v>39</v>
      </c>
      <c r="CO3" s="307" t="s">
        <v>39</v>
      </c>
      <c r="CP3" s="395" t="s">
        <v>39</v>
      </c>
      <c r="CQ3" s="414" t="s">
        <v>39</v>
      </c>
      <c r="CR3" s="414" t="s">
        <v>39</v>
      </c>
      <c r="CS3" s="414" t="s">
        <v>39</v>
      </c>
      <c r="CT3" s="414" t="s">
        <v>39</v>
      </c>
      <c r="CU3" s="307" t="s">
        <v>39</v>
      </c>
      <c r="CV3" s="395" t="s">
        <v>39</v>
      </c>
      <c r="CW3" s="414" t="s">
        <v>39</v>
      </c>
      <c r="CX3" s="414" t="s">
        <v>39</v>
      </c>
      <c r="CY3" s="414" t="s">
        <v>39</v>
      </c>
      <c r="CZ3" s="414" t="s">
        <v>39</v>
      </c>
      <c r="DA3" s="307" t="s">
        <v>39</v>
      </c>
      <c r="DB3" s="464"/>
    </row>
    <row r="4" spans="1:106">
      <c r="A4" s="238">
        <v>1</v>
      </c>
      <c r="B4" s="239"/>
      <c r="C4" s="43"/>
      <c r="D4" s="43"/>
      <c r="E4" s="43"/>
      <c r="F4" s="283"/>
      <c r="G4" s="120"/>
      <c r="H4" s="41"/>
      <c r="I4" s="41"/>
      <c r="J4" s="41"/>
      <c r="K4" s="41"/>
      <c r="L4" s="121"/>
      <c r="M4" s="120"/>
      <c r="N4" s="262"/>
      <c r="O4" s="262"/>
      <c r="P4" s="262"/>
      <c r="Q4" s="262"/>
      <c r="R4" s="269"/>
      <c r="S4" s="287"/>
      <c r="T4" s="288"/>
      <c r="U4" s="288"/>
      <c r="V4" s="288"/>
      <c r="W4" s="288"/>
      <c r="X4" s="289"/>
      <c r="Y4" s="295"/>
      <c r="Z4" s="288"/>
      <c r="AA4" s="289"/>
      <c r="AB4" s="289"/>
      <c r="AC4" s="294"/>
      <c r="AD4" s="295"/>
      <c r="AE4" s="288"/>
      <c r="AF4" s="288"/>
      <c r="AG4" s="288"/>
      <c r="AH4" s="288"/>
      <c r="AI4" s="288"/>
      <c r="AJ4" s="288"/>
      <c r="AK4" s="288"/>
      <c r="AL4" s="288"/>
      <c r="AM4" s="294"/>
      <c r="AN4" s="295"/>
      <c r="AO4" s="288"/>
      <c r="AP4" s="288"/>
      <c r="AQ4" s="288"/>
      <c r="AR4" s="288"/>
      <c r="AS4" s="288"/>
      <c r="AT4" s="288"/>
      <c r="AU4" s="294"/>
      <c r="AV4" s="295"/>
      <c r="AW4" s="288"/>
      <c r="AX4" s="289"/>
      <c r="AY4" s="294"/>
      <c r="AZ4" s="295"/>
      <c r="BA4" s="288"/>
      <c r="BB4" s="288"/>
      <c r="BC4" s="288"/>
      <c r="BD4" s="288"/>
      <c r="BE4" s="289"/>
      <c r="BF4" s="268"/>
      <c r="BG4" s="262"/>
      <c r="BH4" s="262"/>
      <c r="BI4" s="262"/>
      <c r="BJ4" s="262"/>
      <c r="BK4" s="262"/>
      <c r="BL4" s="262"/>
      <c r="BM4" s="262"/>
      <c r="BN4" s="262"/>
      <c r="BO4" s="262"/>
      <c r="BP4" s="262"/>
      <c r="BQ4" s="262"/>
      <c r="BR4" s="262"/>
      <c r="BS4" s="262"/>
      <c r="BT4" s="262"/>
      <c r="BU4" s="262"/>
      <c r="BV4" s="262"/>
      <c r="BW4" s="262"/>
      <c r="BX4" s="262"/>
      <c r="BY4" s="262"/>
      <c r="BZ4" s="262"/>
      <c r="CA4" s="262"/>
      <c r="CB4" s="262"/>
      <c r="CC4" s="269"/>
      <c r="CD4" s="287"/>
      <c r="CE4" s="288"/>
      <c r="CF4" s="288"/>
      <c r="CG4" s="288"/>
      <c r="CH4" s="288"/>
      <c r="CI4" s="294"/>
      <c r="CJ4" s="287"/>
      <c r="CK4" s="288"/>
      <c r="CL4" s="288"/>
      <c r="CM4" s="288"/>
      <c r="CN4" s="288"/>
      <c r="CO4" s="294"/>
      <c r="CP4" s="287"/>
      <c r="CQ4" s="288"/>
      <c r="CR4" s="288"/>
      <c r="CS4" s="288"/>
      <c r="CT4" s="288"/>
      <c r="CU4" s="294"/>
      <c r="CV4" s="287"/>
      <c r="CW4" s="288"/>
      <c r="CX4" s="288"/>
      <c r="CY4" s="288"/>
      <c r="CZ4" s="288"/>
      <c r="DA4" s="294"/>
      <c r="DB4" s="56">
        <f>SUM(B4:DA4)</f>
        <v>0</v>
      </c>
    </row>
    <row r="5" spans="1:106">
      <c r="A5" s="238">
        <v>2</v>
      </c>
      <c r="B5" s="239"/>
      <c r="C5" s="43"/>
      <c r="D5" s="43"/>
      <c r="E5" s="43"/>
      <c r="F5" s="283"/>
      <c r="G5" s="239"/>
      <c r="H5" s="43"/>
      <c r="I5" s="43"/>
      <c r="J5" s="43"/>
      <c r="K5" s="43"/>
      <c r="L5" s="283"/>
      <c r="M5" s="239"/>
      <c r="N5" s="288"/>
      <c r="O5" s="288"/>
      <c r="P5" s="288"/>
      <c r="Q5" s="288"/>
      <c r="R5" s="294"/>
      <c r="S5" s="287"/>
      <c r="T5" s="288"/>
      <c r="U5" s="288"/>
      <c r="V5" s="288"/>
      <c r="W5" s="288"/>
      <c r="X5" s="289"/>
      <c r="Y5" s="295"/>
      <c r="Z5" s="288"/>
      <c r="AA5" s="289"/>
      <c r="AB5" s="289"/>
      <c r="AC5" s="294"/>
      <c r="AD5" s="295"/>
      <c r="AE5" s="288"/>
      <c r="AF5" s="288"/>
      <c r="AG5" s="288"/>
      <c r="AH5" s="288"/>
      <c r="AI5" s="288"/>
      <c r="AJ5" s="288"/>
      <c r="AK5" s="288"/>
      <c r="AL5" s="288"/>
      <c r="AM5" s="294"/>
      <c r="AN5" s="295"/>
      <c r="AO5" s="288"/>
      <c r="AP5" s="288"/>
      <c r="AQ5" s="288"/>
      <c r="AR5" s="288"/>
      <c r="AS5" s="288"/>
      <c r="AT5" s="288"/>
      <c r="AU5" s="294"/>
      <c r="AV5" s="295"/>
      <c r="AW5" s="288"/>
      <c r="AX5" s="289"/>
      <c r="AY5" s="294"/>
      <c r="AZ5" s="295"/>
      <c r="BA5" s="288"/>
      <c r="BB5" s="288"/>
      <c r="BC5" s="288"/>
      <c r="BD5" s="288"/>
      <c r="BE5" s="289"/>
      <c r="BF5" s="295"/>
      <c r="BG5" s="288"/>
      <c r="BH5" s="288"/>
      <c r="BI5" s="288"/>
      <c r="BJ5" s="288"/>
      <c r="BK5" s="288"/>
      <c r="BL5" s="288"/>
      <c r="BM5" s="288"/>
      <c r="BN5" s="288"/>
      <c r="BO5" s="288"/>
      <c r="BP5" s="288"/>
      <c r="BQ5" s="288"/>
      <c r="BR5" s="288"/>
      <c r="BS5" s="288"/>
      <c r="BT5" s="288"/>
      <c r="BU5" s="288"/>
      <c r="BV5" s="288"/>
      <c r="BW5" s="288"/>
      <c r="BX5" s="288"/>
      <c r="BY5" s="288"/>
      <c r="BZ5" s="288"/>
      <c r="CA5" s="288"/>
      <c r="CB5" s="288"/>
      <c r="CC5" s="294"/>
      <c r="CD5" s="287"/>
      <c r="CE5" s="288"/>
      <c r="CF5" s="288"/>
      <c r="CG5" s="288"/>
      <c r="CH5" s="288"/>
      <c r="CI5" s="294"/>
      <c r="CJ5" s="287"/>
      <c r="CK5" s="288"/>
      <c r="CL5" s="288"/>
      <c r="CM5" s="288"/>
      <c r="CN5" s="288"/>
      <c r="CO5" s="294"/>
      <c r="CP5" s="287"/>
      <c r="CQ5" s="288"/>
      <c r="CR5" s="288"/>
      <c r="CS5" s="288"/>
      <c r="CT5" s="288"/>
      <c r="CU5" s="294"/>
      <c r="CV5" s="287"/>
      <c r="CW5" s="288"/>
      <c r="CX5" s="288"/>
      <c r="CY5" s="288"/>
      <c r="CZ5" s="288"/>
      <c r="DA5" s="294"/>
      <c r="DB5" s="415">
        <f t="shared" ref="DB5:DB34" si="0">SUM(B5:DA5)</f>
        <v>0</v>
      </c>
    </row>
    <row r="6" spans="1:106">
      <c r="A6" s="238">
        <v>3</v>
      </c>
      <c r="B6" s="239"/>
      <c r="C6" s="43"/>
      <c r="D6" s="43"/>
      <c r="E6" s="43"/>
      <c r="F6" s="283"/>
      <c r="G6" s="239"/>
      <c r="H6" s="43"/>
      <c r="I6" s="43"/>
      <c r="J6" s="43"/>
      <c r="K6" s="43"/>
      <c r="L6" s="283"/>
      <c r="M6" s="239"/>
      <c r="N6" s="288"/>
      <c r="O6" s="288"/>
      <c r="P6" s="288"/>
      <c r="Q6" s="288"/>
      <c r="R6" s="294"/>
      <c r="S6" s="287"/>
      <c r="T6" s="288"/>
      <c r="U6" s="288"/>
      <c r="V6" s="288"/>
      <c r="W6" s="288"/>
      <c r="X6" s="289"/>
      <c r="Y6" s="295"/>
      <c r="Z6" s="288"/>
      <c r="AA6" s="289"/>
      <c r="AB6" s="289"/>
      <c r="AC6" s="294"/>
      <c r="AD6" s="295"/>
      <c r="AE6" s="288"/>
      <c r="AF6" s="288"/>
      <c r="AG6" s="288"/>
      <c r="AH6" s="288"/>
      <c r="AI6" s="288"/>
      <c r="AJ6" s="288"/>
      <c r="AK6" s="288"/>
      <c r="AL6" s="288"/>
      <c r="AM6" s="294"/>
      <c r="AN6" s="295"/>
      <c r="AO6" s="288"/>
      <c r="AP6" s="288"/>
      <c r="AQ6" s="288"/>
      <c r="AR6" s="288"/>
      <c r="AS6" s="288"/>
      <c r="AT6" s="288"/>
      <c r="AU6" s="294"/>
      <c r="AV6" s="295"/>
      <c r="AW6" s="288"/>
      <c r="AX6" s="289"/>
      <c r="AY6" s="294"/>
      <c r="AZ6" s="295"/>
      <c r="BA6" s="288"/>
      <c r="BB6" s="288"/>
      <c r="BC6" s="288"/>
      <c r="BD6" s="288"/>
      <c r="BE6" s="289"/>
      <c r="BF6" s="295"/>
      <c r="BG6" s="288"/>
      <c r="BH6" s="288"/>
      <c r="BI6" s="288"/>
      <c r="BJ6" s="288"/>
      <c r="BK6" s="288"/>
      <c r="BL6" s="288"/>
      <c r="BM6" s="288"/>
      <c r="BN6" s="288"/>
      <c r="BO6" s="288"/>
      <c r="BP6" s="288"/>
      <c r="BQ6" s="288"/>
      <c r="BR6" s="288"/>
      <c r="BS6" s="288"/>
      <c r="BT6" s="288"/>
      <c r="BU6" s="288"/>
      <c r="BV6" s="288"/>
      <c r="BW6" s="288"/>
      <c r="BX6" s="288"/>
      <c r="BY6" s="288"/>
      <c r="BZ6" s="288"/>
      <c r="CA6" s="288"/>
      <c r="CB6" s="288"/>
      <c r="CC6" s="294"/>
      <c r="CD6" s="287"/>
      <c r="CE6" s="288"/>
      <c r="CF6" s="288"/>
      <c r="CG6" s="288"/>
      <c r="CH6" s="288"/>
      <c r="CI6" s="294"/>
      <c r="CJ6" s="287"/>
      <c r="CK6" s="288"/>
      <c r="CL6" s="288"/>
      <c r="CM6" s="288"/>
      <c r="CN6" s="288"/>
      <c r="CO6" s="294"/>
      <c r="CP6" s="287"/>
      <c r="CQ6" s="288"/>
      <c r="CR6" s="288"/>
      <c r="CS6" s="288"/>
      <c r="CT6" s="288"/>
      <c r="CU6" s="294"/>
      <c r="CV6" s="287"/>
      <c r="CW6" s="288"/>
      <c r="CX6" s="288"/>
      <c r="CY6" s="288"/>
      <c r="CZ6" s="288"/>
      <c r="DA6" s="294"/>
      <c r="DB6" s="415">
        <f t="shared" si="0"/>
        <v>0</v>
      </c>
    </row>
    <row r="7" spans="1:106">
      <c r="A7" s="238">
        <v>4</v>
      </c>
      <c r="B7" s="239"/>
      <c r="C7" s="43"/>
      <c r="D7" s="43"/>
      <c r="E7" s="43"/>
      <c r="F7" s="283"/>
      <c r="G7" s="239"/>
      <c r="H7" s="43"/>
      <c r="I7" s="43"/>
      <c r="J7" s="43"/>
      <c r="K7" s="43"/>
      <c r="L7" s="283"/>
      <c r="M7" s="239"/>
      <c r="N7" s="288"/>
      <c r="O7" s="288"/>
      <c r="P7" s="288"/>
      <c r="Q7" s="288"/>
      <c r="R7" s="294"/>
      <c r="S7" s="287"/>
      <c r="T7" s="288"/>
      <c r="U7" s="288"/>
      <c r="V7" s="288"/>
      <c r="W7" s="288"/>
      <c r="X7" s="289"/>
      <c r="Y7" s="295"/>
      <c r="Z7" s="288"/>
      <c r="AA7" s="289"/>
      <c r="AB7" s="289"/>
      <c r="AC7" s="294"/>
      <c r="AD7" s="295"/>
      <c r="AE7" s="288"/>
      <c r="AF7" s="288"/>
      <c r="AG7" s="288"/>
      <c r="AH7" s="288"/>
      <c r="AI7" s="288"/>
      <c r="AJ7" s="288"/>
      <c r="AK7" s="288"/>
      <c r="AL7" s="288"/>
      <c r="AM7" s="294"/>
      <c r="AN7" s="295"/>
      <c r="AO7" s="288"/>
      <c r="AP7" s="288"/>
      <c r="AQ7" s="288"/>
      <c r="AR7" s="288"/>
      <c r="AS7" s="288"/>
      <c r="AT7" s="288"/>
      <c r="AU7" s="294"/>
      <c r="AV7" s="295"/>
      <c r="AW7" s="288"/>
      <c r="AX7" s="289"/>
      <c r="AY7" s="294"/>
      <c r="AZ7" s="295"/>
      <c r="BA7" s="288"/>
      <c r="BB7" s="288"/>
      <c r="BC7" s="288"/>
      <c r="BD7" s="288"/>
      <c r="BE7" s="289"/>
      <c r="BF7" s="295"/>
      <c r="BG7" s="288"/>
      <c r="BH7" s="288"/>
      <c r="BI7" s="288"/>
      <c r="BJ7" s="288"/>
      <c r="BK7" s="288"/>
      <c r="BL7" s="288"/>
      <c r="BM7" s="288"/>
      <c r="BN7" s="288"/>
      <c r="BO7" s="288"/>
      <c r="BP7" s="288"/>
      <c r="BQ7" s="288"/>
      <c r="BR7" s="288"/>
      <c r="BS7" s="288"/>
      <c r="BT7" s="288"/>
      <c r="BU7" s="288"/>
      <c r="BV7" s="288"/>
      <c r="BW7" s="288"/>
      <c r="BX7" s="288"/>
      <c r="BY7" s="288"/>
      <c r="BZ7" s="288"/>
      <c r="CA7" s="288"/>
      <c r="CB7" s="288"/>
      <c r="CC7" s="294"/>
      <c r="CD7" s="287"/>
      <c r="CE7" s="288"/>
      <c r="CF7" s="288"/>
      <c r="CG7" s="288"/>
      <c r="CH7" s="288"/>
      <c r="CI7" s="294"/>
      <c r="CJ7" s="287"/>
      <c r="CK7" s="288"/>
      <c r="CL7" s="288"/>
      <c r="CM7" s="288"/>
      <c r="CN7" s="288"/>
      <c r="CO7" s="294"/>
      <c r="CP7" s="287"/>
      <c r="CQ7" s="288"/>
      <c r="CR7" s="288"/>
      <c r="CS7" s="288"/>
      <c r="CT7" s="288"/>
      <c r="CU7" s="294"/>
      <c r="CV7" s="287"/>
      <c r="CW7" s="288"/>
      <c r="CX7" s="288"/>
      <c r="CY7" s="288"/>
      <c r="CZ7" s="288"/>
      <c r="DA7" s="294"/>
      <c r="DB7" s="415">
        <f t="shared" si="0"/>
        <v>0</v>
      </c>
    </row>
    <row r="8" spans="1:106">
      <c r="A8" s="238">
        <v>5</v>
      </c>
      <c r="B8" s="239"/>
      <c r="C8" s="43"/>
      <c r="D8" s="43"/>
      <c r="E8" s="43"/>
      <c r="F8" s="283"/>
      <c r="G8" s="239"/>
      <c r="H8" s="43"/>
      <c r="I8" s="43"/>
      <c r="J8" s="43"/>
      <c r="K8" s="43"/>
      <c r="L8" s="283"/>
      <c r="M8" s="239"/>
      <c r="N8" s="288"/>
      <c r="O8" s="288"/>
      <c r="P8" s="288"/>
      <c r="Q8" s="288"/>
      <c r="R8" s="294"/>
      <c r="S8" s="287"/>
      <c r="T8" s="288"/>
      <c r="U8" s="288"/>
      <c r="V8" s="288"/>
      <c r="W8" s="288"/>
      <c r="X8" s="289"/>
      <c r="Y8" s="295"/>
      <c r="Z8" s="288"/>
      <c r="AA8" s="289"/>
      <c r="AB8" s="289"/>
      <c r="AC8" s="294"/>
      <c r="AD8" s="295"/>
      <c r="AE8" s="288"/>
      <c r="AF8" s="288"/>
      <c r="AG8" s="288"/>
      <c r="AH8" s="288"/>
      <c r="AI8" s="288"/>
      <c r="AJ8" s="288"/>
      <c r="AK8" s="288"/>
      <c r="AL8" s="288"/>
      <c r="AM8" s="294"/>
      <c r="AN8" s="295"/>
      <c r="AO8" s="288"/>
      <c r="AP8" s="288"/>
      <c r="AQ8" s="288"/>
      <c r="AR8" s="288"/>
      <c r="AS8" s="288"/>
      <c r="AT8" s="288"/>
      <c r="AU8" s="294"/>
      <c r="AV8" s="295"/>
      <c r="AW8" s="288"/>
      <c r="AX8" s="289"/>
      <c r="AY8" s="294"/>
      <c r="AZ8" s="295"/>
      <c r="BA8" s="288"/>
      <c r="BB8" s="288"/>
      <c r="BC8" s="288"/>
      <c r="BD8" s="288"/>
      <c r="BE8" s="289"/>
      <c r="BF8" s="295"/>
      <c r="BG8" s="288"/>
      <c r="BH8" s="288"/>
      <c r="BI8" s="288"/>
      <c r="BJ8" s="288"/>
      <c r="BK8" s="288"/>
      <c r="BL8" s="288"/>
      <c r="BM8" s="288"/>
      <c r="BN8" s="288"/>
      <c r="BO8" s="288"/>
      <c r="BP8" s="288"/>
      <c r="BQ8" s="288"/>
      <c r="BR8" s="288"/>
      <c r="BS8" s="288"/>
      <c r="BT8" s="288"/>
      <c r="BU8" s="288"/>
      <c r="BV8" s="288"/>
      <c r="BW8" s="288"/>
      <c r="BX8" s="288"/>
      <c r="BY8" s="288"/>
      <c r="BZ8" s="288"/>
      <c r="CA8" s="288"/>
      <c r="CB8" s="288"/>
      <c r="CC8" s="294"/>
      <c r="CD8" s="287"/>
      <c r="CE8" s="288"/>
      <c r="CF8" s="288"/>
      <c r="CG8" s="288"/>
      <c r="CH8" s="288"/>
      <c r="CI8" s="294"/>
      <c r="CJ8" s="287"/>
      <c r="CK8" s="288"/>
      <c r="CL8" s="288"/>
      <c r="CM8" s="288"/>
      <c r="CN8" s="288"/>
      <c r="CO8" s="294"/>
      <c r="CP8" s="287"/>
      <c r="CQ8" s="288"/>
      <c r="CR8" s="288"/>
      <c r="CS8" s="288"/>
      <c r="CT8" s="288"/>
      <c r="CU8" s="294"/>
      <c r="CV8" s="287"/>
      <c r="CW8" s="288"/>
      <c r="CX8" s="288"/>
      <c r="CY8" s="288"/>
      <c r="CZ8" s="288"/>
      <c r="DA8" s="294"/>
      <c r="DB8" s="415">
        <f t="shared" si="0"/>
        <v>0</v>
      </c>
    </row>
    <row r="9" spans="1:106">
      <c r="A9" s="238">
        <v>6</v>
      </c>
      <c r="B9" s="239"/>
      <c r="C9" s="43"/>
      <c r="D9" s="43"/>
      <c r="E9" s="43"/>
      <c r="F9" s="283"/>
      <c r="G9" s="239"/>
      <c r="H9" s="43"/>
      <c r="I9" s="43"/>
      <c r="J9" s="43"/>
      <c r="K9" s="43"/>
      <c r="L9" s="283"/>
      <c r="M9" s="239"/>
      <c r="N9" s="288"/>
      <c r="O9" s="288"/>
      <c r="P9" s="288"/>
      <c r="Q9" s="288"/>
      <c r="R9" s="294"/>
      <c r="S9" s="287"/>
      <c r="T9" s="288"/>
      <c r="U9" s="288"/>
      <c r="V9" s="288"/>
      <c r="W9" s="288"/>
      <c r="X9" s="289"/>
      <c r="Y9" s="295"/>
      <c r="Z9" s="288"/>
      <c r="AA9" s="289"/>
      <c r="AB9" s="289"/>
      <c r="AC9" s="294"/>
      <c r="AD9" s="295"/>
      <c r="AE9" s="288"/>
      <c r="AF9" s="288"/>
      <c r="AG9" s="288"/>
      <c r="AH9" s="288"/>
      <c r="AI9" s="288"/>
      <c r="AJ9" s="288"/>
      <c r="AK9" s="288"/>
      <c r="AL9" s="288"/>
      <c r="AM9" s="294"/>
      <c r="AN9" s="295"/>
      <c r="AO9" s="288"/>
      <c r="AP9" s="288"/>
      <c r="AQ9" s="288"/>
      <c r="AR9" s="288"/>
      <c r="AS9" s="288"/>
      <c r="AT9" s="288"/>
      <c r="AU9" s="294"/>
      <c r="AV9" s="295"/>
      <c r="AW9" s="288"/>
      <c r="AX9" s="289"/>
      <c r="AY9" s="294"/>
      <c r="AZ9" s="295"/>
      <c r="BA9" s="288"/>
      <c r="BB9" s="288"/>
      <c r="BC9" s="288"/>
      <c r="BD9" s="288"/>
      <c r="BE9" s="289"/>
      <c r="BF9" s="295"/>
      <c r="BG9" s="288"/>
      <c r="BH9" s="288"/>
      <c r="BI9" s="288"/>
      <c r="BJ9" s="288"/>
      <c r="BK9" s="288"/>
      <c r="BL9" s="288"/>
      <c r="BM9" s="288"/>
      <c r="BN9" s="288"/>
      <c r="BO9" s="288"/>
      <c r="BP9" s="288"/>
      <c r="BQ9" s="288"/>
      <c r="BR9" s="288"/>
      <c r="BS9" s="288"/>
      <c r="BT9" s="288"/>
      <c r="BU9" s="288"/>
      <c r="BV9" s="288"/>
      <c r="BW9" s="288"/>
      <c r="BX9" s="288"/>
      <c r="BY9" s="288"/>
      <c r="BZ9" s="288"/>
      <c r="CA9" s="288"/>
      <c r="CB9" s="288"/>
      <c r="CC9" s="294"/>
      <c r="CD9" s="287"/>
      <c r="CE9" s="288"/>
      <c r="CF9" s="288"/>
      <c r="CG9" s="288"/>
      <c r="CH9" s="288"/>
      <c r="CI9" s="294"/>
      <c r="CJ9" s="287"/>
      <c r="CK9" s="288"/>
      <c r="CL9" s="288"/>
      <c r="CM9" s="288"/>
      <c r="CN9" s="288"/>
      <c r="CO9" s="294"/>
      <c r="CP9" s="287"/>
      <c r="CQ9" s="288"/>
      <c r="CR9" s="288"/>
      <c r="CS9" s="288"/>
      <c r="CT9" s="288"/>
      <c r="CU9" s="294"/>
      <c r="CV9" s="287"/>
      <c r="CW9" s="288"/>
      <c r="CX9" s="288"/>
      <c r="CY9" s="288"/>
      <c r="CZ9" s="288"/>
      <c r="DA9" s="294"/>
      <c r="DB9" s="415">
        <f t="shared" si="0"/>
        <v>0</v>
      </c>
    </row>
    <row r="10" spans="1:106" s="1" customFormat="1">
      <c r="A10" s="243">
        <v>7</v>
      </c>
      <c r="B10" s="239"/>
      <c r="C10" s="43"/>
      <c r="D10" s="43"/>
      <c r="E10" s="43"/>
      <c r="F10" s="283"/>
      <c r="G10" s="239"/>
      <c r="H10" s="43"/>
      <c r="I10" s="43"/>
      <c r="J10" s="43"/>
      <c r="K10" s="43"/>
      <c r="L10" s="283"/>
      <c r="M10" s="239"/>
      <c r="N10" s="288"/>
      <c r="O10" s="288"/>
      <c r="P10" s="288"/>
      <c r="Q10" s="288"/>
      <c r="R10" s="294"/>
      <c r="S10" s="287"/>
      <c r="T10" s="288"/>
      <c r="U10" s="288"/>
      <c r="V10" s="288"/>
      <c r="W10" s="288"/>
      <c r="X10" s="289"/>
      <c r="Y10" s="295"/>
      <c r="Z10" s="288"/>
      <c r="AA10" s="289"/>
      <c r="AB10" s="289"/>
      <c r="AC10" s="294"/>
      <c r="AD10" s="295"/>
      <c r="AE10" s="288"/>
      <c r="AF10" s="288"/>
      <c r="AG10" s="288"/>
      <c r="AH10" s="288"/>
      <c r="AI10" s="288"/>
      <c r="AJ10" s="288"/>
      <c r="AK10" s="288"/>
      <c r="AL10" s="288"/>
      <c r="AM10" s="294"/>
      <c r="AN10" s="295"/>
      <c r="AO10" s="288"/>
      <c r="AP10" s="288"/>
      <c r="AQ10" s="288"/>
      <c r="AR10" s="288"/>
      <c r="AS10" s="288"/>
      <c r="AT10" s="288"/>
      <c r="AU10" s="294"/>
      <c r="AV10" s="295"/>
      <c r="AW10" s="288"/>
      <c r="AX10" s="289"/>
      <c r="AY10" s="294"/>
      <c r="AZ10" s="295"/>
      <c r="BA10" s="288"/>
      <c r="BB10" s="288"/>
      <c r="BC10" s="288"/>
      <c r="BD10" s="288"/>
      <c r="BE10" s="289"/>
      <c r="BF10" s="295"/>
      <c r="BG10" s="288"/>
      <c r="BH10" s="288"/>
      <c r="BI10" s="288"/>
      <c r="BJ10" s="288"/>
      <c r="BK10" s="288"/>
      <c r="BL10" s="288"/>
      <c r="BM10" s="288"/>
      <c r="BN10" s="288"/>
      <c r="BO10" s="288"/>
      <c r="BP10" s="288"/>
      <c r="BQ10" s="288"/>
      <c r="BR10" s="288"/>
      <c r="BS10" s="288"/>
      <c r="BT10" s="288"/>
      <c r="BU10" s="288"/>
      <c r="BV10" s="288"/>
      <c r="BW10" s="288"/>
      <c r="BX10" s="288"/>
      <c r="BY10" s="288"/>
      <c r="BZ10" s="288"/>
      <c r="CA10" s="288"/>
      <c r="CB10" s="288"/>
      <c r="CC10" s="294"/>
      <c r="CD10" s="287"/>
      <c r="CE10" s="288"/>
      <c r="CF10" s="288"/>
      <c r="CG10" s="288"/>
      <c r="CH10" s="288"/>
      <c r="CI10" s="294"/>
      <c r="CJ10" s="287"/>
      <c r="CK10" s="288"/>
      <c r="CL10" s="288"/>
      <c r="CM10" s="288"/>
      <c r="CN10" s="288"/>
      <c r="CO10" s="294"/>
      <c r="CP10" s="287"/>
      <c r="CQ10" s="288"/>
      <c r="CR10" s="288"/>
      <c r="CS10" s="288"/>
      <c r="CT10" s="288"/>
      <c r="CU10" s="294"/>
      <c r="CV10" s="287"/>
      <c r="CW10" s="288"/>
      <c r="CX10" s="288"/>
      <c r="CY10" s="288"/>
      <c r="CZ10" s="288"/>
      <c r="DA10" s="294"/>
      <c r="DB10" s="415">
        <f t="shared" si="0"/>
        <v>0</v>
      </c>
    </row>
    <row r="11" spans="1:106" s="1" customFormat="1">
      <c r="A11" s="238">
        <v>8</v>
      </c>
      <c r="B11" s="239"/>
      <c r="C11" s="43"/>
      <c r="D11" s="43"/>
      <c r="E11" s="43"/>
      <c r="F11" s="283"/>
      <c r="G11" s="295"/>
      <c r="H11" s="288"/>
      <c r="I11" s="288"/>
      <c r="J11" s="288"/>
      <c r="K11" s="288"/>
      <c r="L11" s="289"/>
      <c r="M11" s="295"/>
      <c r="N11" s="288"/>
      <c r="O11" s="288"/>
      <c r="P11" s="288"/>
      <c r="Q11" s="288"/>
      <c r="R11" s="294"/>
      <c r="S11" s="287"/>
      <c r="T11" s="288"/>
      <c r="U11" s="288"/>
      <c r="V11" s="288"/>
      <c r="W11" s="288"/>
      <c r="X11" s="289"/>
      <c r="Y11" s="295"/>
      <c r="Z11" s="288"/>
      <c r="AA11" s="289"/>
      <c r="AB11" s="289"/>
      <c r="AC11" s="294"/>
      <c r="AD11" s="295"/>
      <c r="AE11" s="288"/>
      <c r="AF11" s="288"/>
      <c r="AG11" s="288"/>
      <c r="AH11" s="288"/>
      <c r="AI11" s="288"/>
      <c r="AJ11" s="288"/>
      <c r="AK11" s="288"/>
      <c r="AL11" s="288"/>
      <c r="AM11" s="294"/>
      <c r="AN11" s="295"/>
      <c r="AO11" s="288"/>
      <c r="AP11" s="288"/>
      <c r="AQ11" s="288"/>
      <c r="AR11" s="288"/>
      <c r="AS11" s="288"/>
      <c r="AT11" s="288"/>
      <c r="AU11" s="294"/>
      <c r="AV11" s="295"/>
      <c r="AW11" s="288"/>
      <c r="AX11" s="289"/>
      <c r="AY11" s="294"/>
      <c r="AZ11" s="295"/>
      <c r="BA11" s="288"/>
      <c r="BB11" s="288"/>
      <c r="BC11" s="288"/>
      <c r="BD11" s="288"/>
      <c r="BE11" s="289"/>
      <c r="BF11" s="295"/>
      <c r="BG11" s="288"/>
      <c r="BH11" s="288"/>
      <c r="BI11" s="288"/>
      <c r="BJ11" s="288"/>
      <c r="BK11" s="288"/>
      <c r="BL11" s="288"/>
      <c r="BM11" s="288"/>
      <c r="BN11" s="288"/>
      <c r="BO11" s="288"/>
      <c r="BP11" s="288"/>
      <c r="BQ11" s="288"/>
      <c r="BR11" s="288"/>
      <c r="BS11" s="288"/>
      <c r="BT11" s="288"/>
      <c r="BU11" s="288"/>
      <c r="BV11" s="288"/>
      <c r="BW11" s="288"/>
      <c r="BX11" s="288"/>
      <c r="BY11" s="288"/>
      <c r="BZ11" s="288"/>
      <c r="CA11" s="288"/>
      <c r="CB11" s="288"/>
      <c r="CC11" s="294"/>
      <c r="CD11" s="287"/>
      <c r="CE11" s="288"/>
      <c r="CF11" s="288"/>
      <c r="CG11" s="288"/>
      <c r="CH11" s="288"/>
      <c r="CI11" s="294"/>
      <c r="CJ11" s="287"/>
      <c r="CK11" s="288"/>
      <c r="CL11" s="288"/>
      <c r="CM11" s="288"/>
      <c r="CN11" s="288"/>
      <c r="CO11" s="294"/>
      <c r="CP11" s="287"/>
      <c r="CQ11" s="288"/>
      <c r="CR11" s="288"/>
      <c r="CS11" s="288"/>
      <c r="CT11" s="288"/>
      <c r="CU11" s="294"/>
      <c r="CV11" s="287"/>
      <c r="CW11" s="288"/>
      <c r="CX11" s="288"/>
      <c r="CY11" s="288"/>
      <c r="CZ11" s="288"/>
      <c r="DA11" s="294"/>
      <c r="DB11" s="415">
        <f t="shared" si="0"/>
        <v>0</v>
      </c>
    </row>
    <row r="12" spans="1:106">
      <c r="A12" s="238">
        <v>9</v>
      </c>
      <c r="B12" s="239"/>
      <c r="C12" s="43"/>
      <c r="D12" s="43"/>
      <c r="E12" s="43"/>
      <c r="F12" s="283"/>
      <c r="G12" s="295"/>
      <c r="H12" s="288"/>
      <c r="I12" s="288"/>
      <c r="J12" s="288"/>
      <c r="K12" s="288"/>
      <c r="L12" s="289"/>
      <c r="M12" s="295"/>
      <c r="N12" s="288"/>
      <c r="O12" s="288"/>
      <c r="P12" s="288"/>
      <c r="Q12" s="288"/>
      <c r="R12" s="294"/>
      <c r="S12" s="287"/>
      <c r="T12" s="288"/>
      <c r="U12" s="288"/>
      <c r="V12" s="288"/>
      <c r="W12" s="288"/>
      <c r="X12" s="289"/>
      <c r="Y12" s="295"/>
      <c r="Z12" s="288"/>
      <c r="AA12" s="289"/>
      <c r="AB12" s="289"/>
      <c r="AC12" s="294"/>
      <c r="AD12" s="295"/>
      <c r="AE12" s="288"/>
      <c r="AF12" s="288"/>
      <c r="AG12" s="288"/>
      <c r="AH12" s="288"/>
      <c r="AI12" s="288"/>
      <c r="AJ12" s="288"/>
      <c r="AK12" s="288"/>
      <c r="AL12" s="288"/>
      <c r="AM12" s="294"/>
      <c r="AN12" s="295"/>
      <c r="AO12" s="288"/>
      <c r="AP12" s="288"/>
      <c r="AQ12" s="288"/>
      <c r="AR12" s="288"/>
      <c r="AS12" s="288"/>
      <c r="AT12" s="288"/>
      <c r="AU12" s="294"/>
      <c r="AV12" s="295"/>
      <c r="AW12" s="288"/>
      <c r="AX12" s="289"/>
      <c r="AY12" s="294"/>
      <c r="AZ12" s="295"/>
      <c r="BA12" s="288"/>
      <c r="BB12" s="288"/>
      <c r="BC12" s="288"/>
      <c r="BD12" s="288"/>
      <c r="BE12" s="289"/>
      <c r="BF12" s="295"/>
      <c r="BG12" s="288"/>
      <c r="BH12" s="288"/>
      <c r="BI12" s="288"/>
      <c r="BJ12" s="288"/>
      <c r="BK12" s="288"/>
      <c r="BL12" s="288"/>
      <c r="BM12" s="288"/>
      <c r="BN12" s="288"/>
      <c r="BO12" s="288"/>
      <c r="BP12" s="288"/>
      <c r="BQ12" s="288"/>
      <c r="BR12" s="288"/>
      <c r="BS12" s="288"/>
      <c r="BT12" s="288"/>
      <c r="BU12" s="288"/>
      <c r="BV12" s="288"/>
      <c r="BW12" s="288"/>
      <c r="BX12" s="288"/>
      <c r="BY12" s="288"/>
      <c r="BZ12" s="288"/>
      <c r="CA12" s="288"/>
      <c r="CB12" s="288"/>
      <c r="CC12" s="294"/>
      <c r="CD12" s="287"/>
      <c r="CE12" s="288"/>
      <c r="CF12" s="288"/>
      <c r="CG12" s="288"/>
      <c r="CH12" s="288"/>
      <c r="CI12" s="294"/>
      <c r="CJ12" s="287"/>
      <c r="CK12" s="288"/>
      <c r="CL12" s="288"/>
      <c r="CM12" s="288"/>
      <c r="CN12" s="288"/>
      <c r="CO12" s="294"/>
      <c r="CP12" s="287"/>
      <c r="CQ12" s="288"/>
      <c r="CR12" s="288"/>
      <c r="CS12" s="288"/>
      <c r="CT12" s="288"/>
      <c r="CU12" s="294"/>
      <c r="CV12" s="287"/>
      <c r="CW12" s="288"/>
      <c r="CX12" s="288"/>
      <c r="CY12" s="288"/>
      <c r="CZ12" s="288"/>
      <c r="DA12" s="294"/>
      <c r="DB12" s="415">
        <f t="shared" si="0"/>
        <v>0</v>
      </c>
    </row>
    <row r="13" spans="1:106">
      <c r="A13" s="238">
        <v>10</v>
      </c>
      <c r="B13" s="239"/>
      <c r="C13" s="43"/>
      <c r="D13" s="43"/>
      <c r="E13" s="43"/>
      <c r="F13" s="283"/>
      <c r="G13" s="295"/>
      <c r="H13" s="288"/>
      <c r="I13" s="288"/>
      <c r="J13" s="288"/>
      <c r="K13" s="288"/>
      <c r="L13" s="289"/>
      <c r="M13" s="295"/>
      <c r="N13" s="288"/>
      <c r="O13" s="288"/>
      <c r="P13" s="288"/>
      <c r="Q13" s="288"/>
      <c r="R13" s="294"/>
      <c r="S13" s="287"/>
      <c r="T13" s="288"/>
      <c r="U13" s="288"/>
      <c r="V13" s="288"/>
      <c r="W13" s="288"/>
      <c r="X13" s="289"/>
      <c r="Y13" s="295"/>
      <c r="Z13" s="288"/>
      <c r="AA13" s="289"/>
      <c r="AB13" s="289"/>
      <c r="AC13" s="294"/>
      <c r="AD13" s="295"/>
      <c r="AE13" s="288"/>
      <c r="AF13" s="288"/>
      <c r="AG13" s="288"/>
      <c r="AH13" s="288"/>
      <c r="AI13" s="288"/>
      <c r="AJ13" s="288"/>
      <c r="AK13" s="288"/>
      <c r="AL13" s="288"/>
      <c r="AM13" s="294"/>
      <c r="AN13" s="295"/>
      <c r="AO13" s="288"/>
      <c r="AP13" s="288"/>
      <c r="AQ13" s="288"/>
      <c r="AR13" s="288"/>
      <c r="AS13" s="288"/>
      <c r="AT13" s="288"/>
      <c r="AU13" s="294"/>
      <c r="AV13" s="295"/>
      <c r="AW13" s="288"/>
      <c r="AX13" s="289"/>
      <c r="AY13" s="294"/>
      <c r="AZ13" s="295"/>
      <c r="BA13" s="288"/>
      <c r="BB13" s="288"/>
      <c r="BC13" s="288"/>
      <c r="BD13" s="288"/>
      <c r="BE13" s="289"/>
      <c r="BF13" s="295"/>
      <c r="BG13" s="288"/>
      <c r="BH13" s="288"/>
      <c r="BI13" s="288"/>
      <c r="BJ13" s="288"/>
      <c r="BK13" s="288"/>
      <c r="BL13" s="288"/>
      <c r="BM13" s="288"/>
      <c r="BN13" s="288"/>
      <c r="BO13" s="288"/>
      <c r="BP13" s="288"/>
      <c r="BQ13" s="288"/>
      <c r="BR13" s="288"/>
      <c r="BS13" s="288"/>
      <c r="BT13" s="288"/>
      <c r="BU13" s="288"/>
      <c r="BV13" s="288"/>
      <c r="BW13" s="288"/>
      <c r="BX13" s="288"/>
      <c r="BY13" s="288"/>
      <c r="BZ13" s="288"/>
      <c r="CA13" s="288"/>
      <c r="CB13" s="288"/>
      <c r="CC13" s="294"/>
      <c r="CD13" s="287"/>
      <c r="CE13" s="288"/>
      <c r="CF13" s="288"/>
      <c r="CG13" s="288"/>
      <c r="CH13" s="288"/>
      <c r="CI13" s="294"/>
      <c r="CJ13" s="287"/>
      <c r="CK13" s="288"/>
      <c r="CL13" s="288"/>
      <c r="CM13" s="288"/>
      <c r="CN13" s="288"/>
      <c r="CO13" s="294"/>
      <c r="CP13" s="287"/>
      <c r="CQ13" s="288"/>
      <c r="CR13" s="288"/>
      <c r="CS13" s="288"/>
      <c r="CT13" s="288"/>
      <c r="CU13" s="294"/>
      <c r="CV13" s="287"/>
      <c r="CW13" s="288"/>
      <c r="CX13" s="288"/>
      <c r="CY13" s="288"/>
      <c r="CZ13" s="288"/>
      <c r="DA13" s="294"/>
      <c r="DB13" s="415">
        <f t="shared" si="0"/>
        <v>0</v>
      </c>
    </row>
    <row r="14" spans="1:106">
      <c r="A14" s="238">
        <v>11</v>
      </c>
      <c r="B14" s="239"/>
      <c r="C14" s="43"/>
      <c r="D14" s="43"/>
      <c r="E14" s="43"/>
      <c r="F14" s="283"/>
      <c r="G14" s="295"/>
      <c r="H14" s="288"/>
      <c r="I14" s="288"/>
      <c r="J14" s="288"/>
      <c r="K14" s="288"/>
      <c r="L14" s="289"/>
      <c r="M14" s="295"/>
      <c r="N14" s="288"/>
      <c r="O14" s="288"/>
      <c r="P14" s="288"/>
      <c r="Q14" s="288"/>
      <c r="R14" s="294"/>
      <c r="S14" s="287"/>
      <c r="T14" s="288"/>
      <c r="U14" s="288"/>
      <c r="V14" s="288"/>
      <c r="W14" s="288"/>
      <c r="X14" s="289"/>
      <c r="Y14" s="295"/>
      <c r="Z14" s="288"/>
      <c r="AA14" s="289"/>
      <c r="AB14" s="289"/>
      <c r="AC14" s="294"/>
      <c r="AD14" s="295"/>
      <c r="AE14" s="288"/>
      <c r="AF14" s="288"/>
      <c r="AG14" s="288"/>
      <c r="AH14" s="288"/>
      <c r="AI14" s="288"/>
      <c r="AJ14" s="288"/>
      <c r="AK14" s="288"/>
      <c r="AL14" s="288"/>
      <c r="AM14" s="294"/>
      <c r="AN14" s="295"/>
      <c r="AO14" s="288"/>
      <c r="AP14" s="288"/>
      <c r="AQ14" s="288"/>
      <c r="AR14" s="288"/>
      <c r="AS14" s="288"/>
      <c r="AT14" s="288"/>
      <c r="AU14" s="294"/>
      <c r="AV14" s="295"/>
      <c r="AW14" s="288"/>
      <c r="AX14" s="289"/>
      <c r="AY14" s="294"/>
      <c r="AZ14" s="295"/>
      <c r="BA14" s="288"/>
      <c r="BB14" s="288"/>
      <c r="BC14" s="288"/>
      <c r="BD14" s="288"/>
      <c r="BE14" s="289"/>
      <c r="BF14" s="295"/>
      <c r="BG14" s="288"/>
      <c r="BH14" s="288"/>
      <c r="BI14" s="288"/>
      <c r="BJ14" s="288"/>
      <c r="BK14" s="288"/>
      <c r="BL14" s="288"/>
      <c r="BM14" s="288"/>
      <c r="BN14" s="288"/>
      <c r="BO14" s="288"/>
      <c r="BP14" s="288"/>
      <c r="BQ14" s="288"/>
      <c r="BR14" s="288"/>
      <c r="BS14" s="288"/>
      <c r="BT14" s="288"/>
      <c r="BU14" s="288"/>
      <c r="BV14" s="288"/>
      <c r="BW14" s="288"/>
      <c r="BX14" s="288"/>
      <c r="BY14" s="288"/>
      <c r="BZ14" s="288"/>
      <c r="CA14" s="288"/>
      <c r="CB14" s="288"/>
      <c r="CC14" s="294"/>
      <c r="CD14" s="287"/>
      <c r="CE14" s="288"/>
      <c r="CF14" s="288"/>
      <c r="CG14" s="288"/>
      <c r="CH14" s="288"/>
      <c r="CI14" s="294"/>
      <c r="CJ14" s="287"/>
      <c r="CK14" s="288"/>
      <c r="CL14" s="288"/>
      <c r="CM14" s="288"/>
      <c r="CN14" s="288"/>
      <c r="CO14" s="294"/>
      <c r="CP14" s="287"/>
      <c r="CQ14" s="288"/>
      <c r="CR14" s="288"/>
      <c r="CS14" s="288"/>
      <c r="CT14" s="288"/>
      <c r="CU14" s="294"/>
      <c r="CV14" s="287"/>
      <c r="CW14" s="288"/>
      <c r="CX14" s="288"/>
      <c r="CY14" s="288"/>
      <c r="CZ14" s="288"/>
      <c r="DA14" s="294"/>
      <c r="DB14" s="415">
        <f t="shared" si="0"/>
        <v>0</v>
      </c>
    </row>
    <row r="15" spans="1:106">
      <c r="A15" s="238">
        <v>12</v>
      </c>
      <c r="B15" s="239"/>
      <c r="C15" s="43"/>
      <c r="D15" s="43"/>
      <c r="E15" s="43"/>
      <c r="F15" s="283"/>
      <c r="G15" s="295"/>
      <c r="H15" s="288"/>
      <c r="I15" s="288"/>
      <c r="J15" s="288"/>
      <c r="K15" s="288"/>
      <c r="L15" s="289"/>
      <c r="M15" s="295"/>
      <c r="N15" s="288"/>
      <c r="O15" s="288"/>
      <c r="P15" s="288"/>
      <c r="Q15" s="288"/>
      <c r="R15" s="294"/>
      <c r="S15" s="287"/>
      <c r="T15" s="288"/>
      <c r="U15" s="288"/>
      <c r="V15" s="288"/>
      <c r="W15" s="288"/>
      <c r="X15" s="289"/>
      <c r="Y15" s="295"/>
      <c r="Z15" s="288"/>
      <c r="AA15" s="289"/>
      <c r="AB15" s="289"/>
      <c r="AC15" s="294"/>
      <c r="AD15" s="295"/>
      <c r="AE15" s="288"/>
      <c r="AF15" s="288"/>
      <c r="AG15" s="288"/>
      <c r="AH15" s="288"/>
      <c r="AI15" s="288"/>
      <c r="AJ15" s="288"/>
      <c r="AK15" s="288"/>
      <c r="AL15" s="288"/>
      <c r="AM15" s="294"/>
      <c r="AN15" s="295"/>
      <c r="AO15" s="288"/>
      <c r="AP15" s="288"/>
      <c r="AQ15" s="288"/>
      <c r="AR15" s="288"/>
      <c r="AS15" s="288"/>
      <c r="AT15" s="288"/>
      <c r="AU15" s="294"/>
      <c r="AV15" s="295"/>
      <c r="AW15" s="288"/>
      <c r="AX15" s="289"/>
      <c r="AY15" s="294"/>
      <c r="AZ15" s="295"/>
      <c r="BA15" s="288"/>
      <c r="BB15" s="288"/>
      <c r="BC15" s="288"/>
      <c r="BD15" s="288"/>
      <c r="BE15" s="289"/>
      <c r="BF15" s="295"/>
      <c r="BG15" s="288"/>
      <c r="BH15" s="288"/>
      <c r="BI15" s="288"/>
      <c r="BJ15" s="288"/>
      <c r="BK15" s="288"/>
      <c r="BL15" s="288"/>
      <c r="BM15" s="288"/>
      <c r="BN15" s="288"/>
      <c r="BO15" s="288"/>
      <c r="BP15" s="288"/>
      <c r="BQ15" s="288"/>
      <c r="BR15" s="288"/>
      <c r="BS15" s="288"/>
      <c r="BT15" s="288"/>
      <c r="BU15" s="288"/>
      <c r="BV15" s="288"/>
      <c r="BW15" s="288"/>
      <c r="BX15" s="288"/>
      <c r="BY15" s="288"/>
      <c r="BZ15" s="288"/>
      <c r="CA15" s="288"/>
      <c r="CB15" s="288"/>
      <c r="CC15" s="294"/>
      <c r="CD15" s="287"/>
      <c r="CE15" s="288"/>
      <c r="CF15" s="288"/>
      <c r="CG15" s="288"/>
      <c r="CH15" s="288"/>
      <c r="CI15" s="294"/>
      <c r="CJ15" s="287"/>
      <c r="CK15" s="288"/>
      <c r="CL15" s="288"/>
      <c r="CM15" s="288"/>
      <c r="CN15" s="288"/>
      <c r="CO15" s="294"/>
      <c r="CP15" s="287"/>
      <c r="CQ15" s="288"/>
      <c r="CR15" s="288"/>
      <c r="CS15" s="288"/>
      <c r="CT15" s="288"/>
      <c r="CU15" s="294"/>
      <c r="CV15" s="287"/>
      <c r="CW15" s="288"/>
      <c r="CX15" s="288"/>
      <c r="CY15" s="288"/>
      <c r="CZ15" s="288"/>
      <c r="DA15" s="294"/>
      <c r="DB15" s="415">
        <f t="shared" si="0"/>
        <v>0</v>
      </c>
    </row>
    <row r="16" spans="1:106">
      <c r="A16" s="238">
        <v>13</v>
      </c>
      <c r="B16" s="239"/>
      <c r="C16" s="43"/>
      <c r="D16" s="43"/>
      <c r="E16" s="43"/>
      <c r="F16" s="283"/>
      <c r="G16" s="295"/>
      <c r="H16" s="288"/>
      <c r="I16" s="288"/>
      <c r="J16" s="288"/>
      <c r="K16" s="288"/>
      <c r="L16" s="289"/>
      <c r="M16" s="295"/>
      <c r="N16" s="288"/>
      <c r="O16" s="288"/>
      <c r="P16" s="288"/>
      <c r="Q16" s="288"/>
      <c r="R16" s="294"/>
      <c r="S16" s="287"/>
      <c r="T16" s="288"/>
      <c r="U16" s="288"/>
      <c r="V16" s="288"/>
      <c r="W16" s="288"/>
      <c r="X16" s="289"/>
      <c r="Y16" s="295"/>
      <c r="Z16" s="288"/>
      <c r="AA16" s="289"/>
      <c r="AB16" s="289"/>
      <c r="AC16" s="294"/>
      <c r="AD16" s="295"/>
      <c r="AE16" s="288"/>
      <c r="AF16" s="288"/>
      <c r="AG16" s="288"/>
      <c r="AH16" s="288"/>
      <c r="AI16" s="288"/>
      <c r="AJ16" s="288"/>
      <c r="AK16" s="288"/>
      <c r="AL16" s="288"/>
      <c r="AM16" s="294"/>
      <c r="AN16" s="295"/>
      <c r="AO16" s="288"/>
      <c r="AP16" s="288"/>
      <c r="AQ16" s="288"/>
      <c r="AR16" s="288"/>
      <c r="AS16" s="288"/>
      <c r="AT16" s="288"/>
      <c r="AU16" s="294"/>
      <c r="AV16" s="295"/>
      <c r="AW16" s="288"/>
      <c r="AX16" s="289"/>
      <c r="AY16" s="294"/>
      <c r="AZ16" s="295"/>
      <c r="BA16" s="288"/>
      <c r="BB16" s="288"/>
      <c r="BC16" s="288"/>
      <c r="BD16" s="288"/>
      <c r="BE16" s="289"/>
      <c r="BF16" s="295"/>
      <c r="BG16" s="288"/>
      <c r="BH16" s="288"/>
      <c r="BI16" s="288"/>
      <c r="BJ16" s="288"/>
      <c r="BK16" s="288"/>
      <c r="BL16" s="288"/>
      <c r="BM16" s="288"/>
      <c r="BN16" s="288"/>
      <c r="BO16" s="288"/>
      <c r="BP16" s="288"/>
      <c r="BQ16" s="288"/>
      <c r="BR16" s="288"/>
      <c r="BS16" s="288"/>
      <c r="BT16" s="288"/>
      <c r="BU16" s="288"/>
      <c r="BV16" s="288"/>
      <c r="BW16" s="288"/>
      <c r="BX16" s="288"/>
      <c r="BY16" s="288"/>
      <c r="BZ16" s="288"/>
      <c r="CA16" s="288"/>
      <c r="CB16" s="288"/>
      <c r="CC16" s="294"/>
      <c r="CD16" s="287"/>
      <c r="CE16" s="288"/>
      <c r="CF16" s="288"/>
      <c r="CG16" s="288"/>
      <c r="CH16" s="288"/>
      <c r="CI16" s="294"/>
      <c r="CJ16" s="287"/>
      <c r="CK16" s="288"/>
      <c r="CL16" s="288"/>
      <c r="CM16" s="288"/>
      <c r="CN16" s="288"/>
      <c r="CO16" s="294"/>
      <c r="CP16" s="287"/>
      <c r="CQ16" s="288"/>
      <c r="CR16" s="288"/>
      <c r="CS16" s="288"/>
      <c r="CT16" s="288"/>
      <c r="CU16" s="294"/>
      <c r="CV16" s="287"/>
      <c r="CW16" s="288"/>
      <c r="CX16" s="288"/>
      <c r="CY16" s="288"/>
      <c r="CZ16" s="288"/>
      <c r="DA16" s="294"/>
      <c r="DB16" s="415">
        <f t="shared" si="0"/>
        <v>0</v>
      </c>
    </row>
    <row r="17" spans="1:106" s="1" customFormat="1">
      <c r="A17" s="243">
        <v>14</v>
      </c>
      <c r="B17" s="239"/>
      <c r="C17" s="43"/>
      <c r="D17" s="43"/>
      <c r="E17" s="43"/>
      <c r="F17" s="283"/>
      <c r="G17" s="295"/>
      <c r="H17" s="288"/>
      <c r="I17" s="288"/>
      <c r="J17" s="288"/>
      <c r="K17" s="288"/>
      <c r="L17" s="289"/>
      <c r="M17" s="295"/>
      <c r="N17" s="288"/>
      <c r="O17" s="288"/>
      <c r="P17" s="288"/>
      <c r="Q17" s="288"/>
      <c r="R17" s="294"/>
      <c r="S17" s="287"/>
      <c r="T17" s="288"/>
      <c r="U17" s="288"/>
      <c r="V17" s="288"/>
      <c r="W17" s="288"/>
      <c r="X17" s="289"/>
      <c r="Y17" s="295"/>
      <c r="Z17" s="288"/>
      <c r="AA17" s="289"/>
      <c r="AB17" s="289"/>
      <c r="AC17" s="294"/>
      <c r="AD17" s="295"/>
      <c r="AE17" s="288"/>
      <c r="AF17" s="288"/>
      <c r="AG17" s="288"/>
      <c r="AH17" s="288"/>
      <c r="AI17" s="288"/>
      <c r="AJ17" s="288"/>
      <c r="AK17" s="288"/>
      <c r="AL17" s="288"/>
      <c r="AM17" s="294"/>
      <c r="AN17" s="295"/>
      <c r="AO17" s="288"/>
      <c r="AP17" s="288"/>
      <c r="AQ17" s="288"/>
      <c r="AR17" s="288"/>
      <c r="AS17" s="288"/>
      <c r="AT17" s="288"/>
      <c r="AU17" s="294"/>
      <c r="AV17" s="295"/>
      <c r="AW17" s="288"/>
      <c r="AX17" s="289"/>
      <c r="AY17" s="294"/>
      <c r="AZ17" s="295"/>
      <c r="BA17" s="288"/>
      <c r="BB17" s="288"/>
      <c r="BC17" s="288"/>
      <c r="BD17" s="288"/>
      <c r="BE17" s="289"/>
      <c r="BF17" s="295"/>
      <c r="BG17" s="288"/>
      <c r="BH17" s="288"/>
      <c r="BI17" s="288"/>
      <c r="BJ17" s="288"/>
      <c r="BK17" s="288"/>
      <c r="BL17" s="288"/>
      <c r="BM17" s="288"/>
      <c r="BN17" s="288"/>
      <c r="BO17" s="288"/>
      <c r="BP17" s="288"/>
      <c r="BQ17" s="288"/>
      <c r="BR17" s="288"/>
      <c r="BS17" s="288"/>
      <c r="BT17" s="288"/>
      <c r="BU17" s="288"/>
      <c r="BV17" s="288"/>
      <c r="BW17" s="288"/>
      <c r="BX17" s="288"/>
      <c r="BY17" s="288"/>
      <c r="BZ17" s="288"/>
      <c r="CA17" s="288"/>
      <c r="CB17" s="288"/>
      <c r="CC17" s="294"/>
      <c r="CD17" s="287"/>
      <c r="CE17" s="288"/>
      <c r="CF17" s="288"/>
      <c r="CG17" s="288"/>
      <c r="CH17" s="288"/>
      <c r="CI17" s="294"/>
      <c r="CJ17" s="287"/>
      <c r="CK17" s="288"/>
      <c r="CL17" s="288"/>
      <c r="CM17" s="288"/>
      <c r="CN17" s="288"/>
      <c r="CO17" s="294"/>
      <c r="CP17" s="287"/>
      <c r="CQ17" s="288"/>
      <c r="CR17" s="288"/>
      <c r="CS17" s="288"/>
      <c r="CT17" s="288"/>
      <c r="CU17" s="294"/>
      <c r="CV17" s="287"/>
      <c r="CW17" s="288"/>
      <c r="CX17" s="288"/>
      <c r="CY17" s="288"/>
      <c r="CZ17" s="288"/>
      <c r="DA17" s="294"/>
      <c r="DB17" s="415">
        <f t="shared" si="0"/>
        <v>0</v>
      </c>
    </row>
    <row r="18" spans="1:106">
      <c r="A18" s="238">
        <v>15</v>
      </c>
      <c r="B18" s="239"/>
      <c r="C18" s="43"/>
      <c r="D18" s="43"/>
      <c r="E18" s="43"/>
      <c r="F18" s="283"/>
      <c r="G18" s="295"/>
      <c r="H18" s="288"/>
      <c r="I18" s="288"/>
      <c r="J18" s="288"/>
      <c r="K18" s="288"/>
      <c r="L18" s="289"/>
      <c r="M18" s="295"/>
      <c r="N18" s="288"/>
      <c r="O18" s="288"/>
      <c r="P18" s="288"/>
      <c r="Q18" s="288"/>
      <c r="R18" s="294"/>
      <c r="S18" s="287"/>
      <c r="T18" s="288"/>
      <c r="U18" s="288"/>
      <c r="V18" s="288"/>
      <c r="W18" s="288"/>
      <c r="X18" s="289"/>
      <c r="Y18" s="295"/>
      <c r="Z18" s="288"/>
      <c r="AA18" s="289"/>
      <c r="AB18" s="289"/>
      <c r="AC18" s="294"/>
      <c r="AD18" s="295"/>
      <c r="AE18" s="288"/>
      <c r="AF18" s="288"/>
      <c r="AG18" s="288"/>
      <c r="AH18" s="288"/>
      <c r="AI18" s="288"/>
      <c r="AJ18" s="288"/>
      <c r="AK18" s="288"/>
      <c r="AL18" s="288"/>
      <c r="AM18" s="294"/>
      <c r="AN18" s="295"/>
      <c r="AO18" s="288"/>
      <c r="AP18" s="288"/>
      <c r="AQ18" s="288"/>
      <c r="AR18" s="288"/>
      <c r="AS18" s="288"/>
      <c r="AT18" s="288"/>
      <c r="AU18" s="294"/>
      <c r="AV18" s="295"/>
      <c r="AW18" s="288"/>
      <c r="AX18" s="289"/>
      <c r="AY18" s="294"/>
      <c r="AZ18" s="295"/>
      <c r="BA18" s="288"/>
      <c r="BB18" s="288"/>
      <c r="BC18" s="288"/>
      <c r="BD18" s="288"/>
      <c r="BE18" s="289"/>
      <c r="BF18" s="295"/>
      <c r="BG18" s="288"/>
      <c r="BH18" s="288"/>
      <c r="BI18" s="288"/>
      <c r="BJ18" s="288"/>
      <c r="BK18" s="288"/>
      <c r="BL18" s="288"/>
      <c r="BM18" s="288"/>
      <c r="BN18" s="288"/>
      <c r="BO18" s="288"/>
      <c r="BP18" s="288"/>
      <c r="BQ18" s="288"/>
      <c r="BR18" s="288"/>
      <c r="BS18" s="288"/>
      <c r="BT18" s="288"/>
      <c r="BU18" s="288"/>
      <c r="BV18" s="288"/>
      <c r="BW18" s="288"/>
      <c r="BX18" s="288"/>
      <c r="BY18" s="288"/>
      <c r="BZ18" s="288"/>
      <c r="CA18" s="288"/>
      <c r="CB18" s="288"/>
      <c r="CC18" s="294"/>
      <c r="CD18" s="287"/>
      <c r="CE18" s="288"/>
      <c r="CF18" s="288"/>
      <c r="CG18" s="288"/>
      <c r="CH18" s="288"/>
      <c r="CI18" s="294"/>
      <c r="CJ18" s="287"/>
      <c r="CK18" s="288"/>
      <c r="CL18" s="288"/>
      <c r="CM18" s="288"/>
      <c r="CN18" s="288"/>
      <c r="CO18" s="294"/>
      <c r="CP18" s="287"/>
      <c r="CQ18" s="288"/>
      <c r="CR18" s="288"/>
      <c r="CS18" s="288"/>
      <c r="CT18" s="288"/>
      <c r="CU18" s="294"/>
      <c r="CV18" s="287"/>
      <c r="CW18" s="288"/>
      <c r="CX18" s="288"/>
      <c r="CY18" s="288"/>
      <c r="CZ18" s="288"/>
      <c r="DA18" s="294"/>
      <c r="DB18" s="415">
        <f t="shared" si="0"/>
        <v>0</v>
      </c>
    </row>
    <row r="19" spans="1:106">
      <c r="A19" s="238">
        <v>16</v>
      </c>
      <c r="B19" s="239"/>
      <c r="C19" s="43"/>
      <c r="D19" s="43"/>
      <c r="E19" s="43"/>
      <c r="F19" s="283"/>
      <c r="G19" s="295"/>
      <c r="H19" s="288"/>
      <c r="I19" s="288"/>
      <c r="J19" s="288"/>
      <c r="K19" s="288"/>
      <c r="L19" s="289"/>
      <c r="M19" s="295"/>
      <c r="N19" s="288"/>
      <c r="O19" s="288"/>
      <c r="P19" s="288"/>
      <c r="Q19" s="288"/>
      <c r="R19" s="294"/>
      <c r="S19" s="287"/>
      <c r="T19" s="288"/>
      <c r="U19" s="288"/>
      <c r="V19" s="288"/>
      <c r="W19" s="288"/>
      <c r="X19" s="289"/>
      <c r="Y19" s="295"/>
      <c r="Z19" s="288"/>
      <c r="AA19" s="289"/>
      <c r="AB19" s="289"/>
      <c r="AC19" s="294"/>
      <c r="AD19" s="295"/>
      <c r="AE19" s="288"/>
      <c r="AF19" s="288"/>
      <c r="AG19" s="288"/>
      <c r="AH19" s="288"/>
      <c r="AI19" s="288"/>
      <c r="AJ19" s="288"/>
      <c r="AK19" s="288"/>
      <c r="AL19" s="288"/>
      <c r="AM19" s="294"/>
      <c r="AN19" s="295"/>
      <c r="AO19" s="288"/>
      <c r="AP19" s="288"/>
      <c r="AQ19" s="288"/>
      <c r="AR19" s="288"/>
      <c r="AS19" s="288"/>
      <c r="AT19" s="288"/>
      <c r="AU19" s="294"/>
      <c r="AV19" s="295"/>
      <c r="AW19" s="288"/>
      <c r="AX19" s="289"/>
      <c r="AY19" s="294"/>
      <c r="AZ19" s="295"/>
      <c r="BA19" s="288"/>
      <c r="BB19" s="288"/>
      <c r="BC19" s="288"/>
      <c r="BD19" s="288"/>
      <c r="BE19" s="289"/>
      <c r="BF19" s="295"/>
      <c r="BG19" s="288"/>
      <c r="BH19" s="288"/>
      <c r="BI19" s="288"/>
      <c r="BJ19" s="288"/>
      <c r="BK19" s="288"/>
      <c r="BL19" s="288"/>
      <c r="BM19" s="288"/>
      <c r="BN19" s="288"/>
      <c r="BO19" s="288"/>
      <c r="BP19" s="288"/>
      <c r="BQ19" s="288"/>
      <c r="BR19" s="288"/>
      <c r="BS19" s="288"/>
      <c r="BT19" s="288"/>
      <c r="BU19" s="288"/>
      <c r="BV19" s="288"/>
      <c r="BW19" s="288"/>
      <c r="BX19" s="288"/>
      <c r="BY19" s="288"/>
      <c r="BZ19" s="288"/>
      <c r="CA19" s="288"/>
      <c r="CB19" s="288"/>
      <c r="CC19" s="294"/>
      <c r="CD19" s="287"/>
      <c r="CE19" s="288"/>
      <c r="CF19" s="288"/>
      <c r="CG19" s="288"/>
      <c r="CH19" s="288"/>
      <c r="CI19" s="294"/>
      <c r="CJ19" s="287"/>
      <c r="CK19" s="288"/>
      <c r="CL19" s="288"/>
      <c r="CM19" s="288"/>
      <c r="CN19" s="288"/>
      <c r="CO19" s="294"/>
      <c r="CP19" s="287"/>
      <c r="CQ19" s="288"/>
      <c r="CR19" s="288"/>
      <c r="CS19" s="288"/>
      <c r="CT19" s="288"/>
      <c r="CU19" s="294"/>
      <c r="CV19" s="287"/>
      <c r="CW19" s="288"/>
      <c r="CX19" s="288"/>
      <c r="CY19" s="288"/>
      <c r="CZ19" s="288"/>
      <c r="DA19" s="294"/>
      <c r="DB19" s="415">
        <f t="shared" si="0"/>
        <v>0</v>
      </c>
    </row>
    <row r="20" spans="1:106">
      <c r="A20" s="238">
        <v>17</v>
      </c>
      <c r="B20" s="239"/>
      <c r="C20" s="43"/>
      <c r="D20" s="43"/>
      <c r="E20" s="43"/>
      <c r="F20" s="283"/>
      <c r="G20" s="295"/>
      <c r="H20" s="288"/>
      <c r="I20" s="288"/>
      <c r="J20" s="288"/>
      <c r="K20" s="288"/>
      <c r="L20" s="289"/>
      <c r="M20" s="295"/>
      <c r="N20" s="288"/>
      <c r="O20" s="288"/>
      <c r="P20" s="288"/>
      <c r="Q20" s="288"/>
      <c r="R20" s="294"/>
      <c r="S20" s="287"/>
      <c r="T20" s="288"/>
      <c r="U20" s="288"/>
      <c r="V20" s="288"/>
      <c r="W20" s="288"/>
      <c r="X20" s="289"/>
      <c r="Y20" s="295"/>
      <c r="Z20" s="288"/>
      <c r="AA20" s="289"/>
      <c r="AB20" s="289"/>
      <c r="AC20" s="294"/>
      <c r="AD20" s="295"/>
      <c r="AE20" s="288"/>
      <c r="AF20" s="288"/>
      <c r="AG20" s="288"/>
      <c r="AH20" s="288"/>
      <c r="AI20" s="288"/>
      <c r="AJ20" s="288"/>
      <c r="AK20" s="288"/>
      <c r="AL20" s="288"/>
      <c r="AM20" s="294"/>
      <c r="AN20" s="295"/>
      <c r="AO20" s="288"/>
      <c r="AP20" s="288"/>
      <c r="AQ20" s="288"/>
      <c r="AR20" s="288"/>
      <c r="AS20" s="288"/>
      <c r="AT20" s="288"/>
      <c r="AU20" s="294"/>
      <c r="AV20" s="295"/>
      <c r="AW20" s="288"/>
      <c r="AX20" s="289"/>
      <c r="AY20" s="294"/>
      <c r="AZ20" s="295"/>
      <c r="BA20" s="288"/>
      <c r="BB20" s="288"/>
      <c r="BC20" s="288"/>
      <c r="BD20" s="288"/>
      <c r="BE20" s="289"/>
      <c r="BF20" s="295"/>
      <c r="BG20" s="288"/>
      <c r="BH20" s="288"/>
      <c r="BI20" s="288"/>
      <c r="BJ20" s="288"/>
      <c r="BK20" s="288"/>
      <c r="BL20" s="288"/>
      <c r="BM20" s="288"/>
      <c r="BN20" s="288"/>
      <c r="BO20" s="288"/>
      <c r="BP20" s="288"/>
      <c r="BQ20" s="288"/>
      <c r="BR20" s="288"/>
      <c r="BS20" s="288"/>
      <c r="BT20" s="288"/>
      <c r="BU20" s="288"/>
      <c r="BV20" s="288"/>
      <c r="BW20" s="288"/>
      <c r="BX20" s="288"/>
      <c r="BY20" s="288"/>
      <c r="BZ20" s="288"/>
      <c r="CA20" s="288"/>
      <c r="CB20" s="288"/>
      <c r="CC20" s="294"/>
      <c r="CD20" s="287"/>
      <c r="CE20" s="288"/>
      <c r="CF20" s="288"/>
      <c r="CG20" s="288"/>
      <c r="CH20" s="288"/>
      <c r="CI20" s="294"/>
      <c r="CJ20" s="287"/>
      <c r="CK20" s="288"/>
      <c r="CL20" s="288"/>
      <c r="CM20" s="288"/>
      <c r="CN20" s="288"/>
      <c r="CO20" s="294"/>
      <c r="CP20" s="287"/>
      <c r="CQ20" s="288"/>
      <c r="CR20" s="288"/>
      <c r="CS20" s="288"/>
      <c r="CT20" s="288"/>
      <c r="CU20" s="294"/>
      <c r="CV20" s="287"/>
      <c r="CW20" s="288"/>
      <c r="CX20" s="288"/>
      <c r="CY20" s="288"/>
      <c r="CZ20" s="288"/>
      <c r="DA20" s="294"/>
      <c r="DB20" s="415">
        <f t="shared" si="0"/>
        <v>0</v>
      </c>
    </row>
    <row r="21" spans="1:106">
      <c r="A21" s="238">
        <v>18</v>
      </c>
      <c r="B21" s="239"/>
      <c r="C21" s="43"/>
      <c r="D21" s="43"/>
      <c r="E21" s="43"/>
      <c r="F21" s="283"/>
      <c r="G21" s="295"/>
      <c r="H21" s="288"/>
      <c r="I21" s="288"/>
      <c r="J21" s="288"/>
      <c r="K21" s="288"/>
      <c r="L21" s="289"/>
      <c r="M21" s="295"/>
      <c r="N21" s="288"/>
      <c r="O21" s="288"/>
      <c r="P21" s="288"/>
      <c r="Q21" s="288"/>
      <c r="R21" s="294"/>
      <c r="S21" s="287"/>
      <c r="T21" s="288"/>
      <c r="U21" s="288"/>
      <c r="V21" s="288"/>
      <c r="W21" s="288"/>
      <c r="X21" s="289"/>
      <c r="Y21" s="295"/>
      <c r="Z21" s="288"/>
      <c r="AA21" s="289"/>
      <c r="AB21" s="289"/>
      <c r="AC21" s="294"/>
      <c r="AD21" s="295"/>
      <c r="AE21" s="288"/>
      <c r="AF21" s="288"/>
      <c r="AG21" s="288"/>
      <c r="AH21" s="288"/>
      <c r="AI21" s="288"/>
      <c r="AJ21" s="288"/>
      <c r="AK21" s="288"/>
      <c r="AL21" s="288"/>
      <c r="AM21" s="294"/>
      <c r="AN21" s="295"/>
      <c r="AO21" s="288"/>
      <c r="AP21" s="288"/>
      <c r="AQ21" s="288"/>
      <c r="AR21" s="288"/>
      <c r="AS21" s="288"/>
      <c r="AT21" s="288"/>
      <c r="AU21" s="294"/>
      <c r="AV21" s="295"/>
      <c r="AW21" s="288"/>
      <c r="AX21" s="289"/>
      <c r="AY21" s="294"/>
      <c r="AZ21" s="295"/>
      <c r="BA21" s="288"/>
      <c r="BB21" s="288"/>
      <c r="BC21" s="288"/>
      <c r="BD21" s="288"/>
      <c r="BE21" s="289"/>
      <c r="BF21" s="295"/>
      <c r="BG21" s="288"/>
      <c r="BH21" s="288"/>
      <c r="BI21" s="288"/>
      <c r="BJ21" s="288"/>
      <c r="BK21" s="288"/>
      <c r="BL21" s="288"/>
      <c r="BM21" s="288"/>
      <c r="BN21" s="288"/>
      <c r="BO21" s="288"/>
      <c r="BP21" s="288"/>
      <c r="BQ21" s="288"/>
      <c r="BR21" s="288"/>
      <c r="BS21" s="288"/>
      <c r="BT21" s="288"/>
      <c r="BU21" s="288"/>
      <c r="BV21" s="288"/>
      <c r="BW21" s="288"/>
      <c r="BX21" s="288"/>
      <c r="BY21" s="288"/>
      <c r="BZ21" s="288"/>
      <c r="CA21" s="288"/>
      <c r="CB21" s="288"/>
      <c r="CC21" s="294"/>
      <c r="CD21" s="287"/>
      <c r="CE21" s="288"/>
      <c r="CF21" s="288"/>
      <c r="CG21" s="288"/>
      <c r="CH21" s="288"/>
      <c r="CI21" s="294"/>
      <c r="CJ21" s="287"/>
      <c r="CK21" s="288"/>
      <c r="CL21" s="288"/>
      <c r="CM21" s="288"/>
      <c r="CN21" s="288"/>
      <c r="CO21" s="294"/>
      <c r="CP21" s="287"/>
      <c r="CQ21" s="288"/>
      <c r="CR21" s="288"/>
      <c r="CS21" s="288"/>
      <c r="CT21" s="288"/>
      <c r="CU21" s="294"/>
      <c r="CV21" s="287"/>
      <c r="CW21" s="288"/>
      <c r="CX21" s="288"/>
      <c r="CY21" s="288"/>
      <c r="CZ21" s="288"/>
      <c r="DA21" s="294"/>
      <c r="DB21" s="415">
        <f t="shared" si="0"/>
        <v>0</v>
      </c>
    </row>
    <row r="22" spans="1:106">
      <c r="A22" s="238">
        <v>19</v>
      </c>
      <c r="B22" s="239"/>
      <c r="C22" s="43"/>
      <c r="D22" s="43"/>
      <c r="E22" s="43"/>
      <c r="F22" s="283"/>
      <c r="G22" s="295"/>
      <c r="H22" s="288"/>
      <c r="I22" s="288"/>
      <c r="J22" s="288"/>
      <c r="K22" s="288"/>
      <c r="L22" s="289"/>
      <c r="M22" s="295"/>
      <c r="N22" s="288"/>
      <c r="O22" s="288"/>
      <c r="P22" s="288"/>
      <c r="Q22" s="288"/>
      <c r="R22" s="294"/>
      <c r="S22" s="287"/>
      <c r="T22" s="288"/>
      <c r="U22" s="288"/>
      <c r="V22" s="288"/>
      <c r="W22" s="288"/>
      <c r="X22" s="289"/>
      <c r="Y22" s="295"/>
      <c r="Z22" s="288"/>
      <c r="AA22" s="289"/>
      <c r="AB22" s="289"/>
      <c r="AC22" s="294"/>
      <c r="AD22" s="295"/>
      <c r="AE22" s="288"/>
      <c r="AF22" s="288"/>
      <c r="AG22" s="288"/>
      <c r="AH22" s="288"/>
      <c r="AI22" s="288"/>
      <c r="AJ22" s="288"/>
      <c r="AK22" s="288"/>
      <c r="AL22" s="288"/>
      <c r="AM22" s="294"/>
      <c r="AN22" s="295"/>
      <c r="AO22" s="288"/>
      <c r="AP22" s="288"/>
      <c r="AQ22" s="288"/>
      <c r="AR22" s="288"/>
      <c r="AS22" s="288"/>
      <c r="AT22" s="288"/>
      <c r="AU22" s="294"/>
      <c r="AV22" s="295"/>
      <c r="AW22" s="288"/>
      <c r="AX22" s="289"/>
      <c r="AY22" s="294"/>
      <c r="AZ22" s="295"/>
      <c r="BA22" s="288"/>
      <c r="BB22" s="288"/>
      <c r="BC22" s="288"/>
      <c r="BD22" s="288"/>
      <c r="BE22" s="289"/>
      <c r="BF22" s="295"/>
      <c r="BG22" s="288"/>
      <c r="BH22" s="288"/>
      <c r="BI22" s="288"/>
      <c r="BJ22" s="288"/>
      <c r="BK22" s="288"/>
      <c r="BL22" s="288"/>
      <c r="BM22" s="288"/>
      <c r="BN22" s="288"/>
      <c r="BO22" s="288"/>
      <c r="BP22" s="288"/>
      <c r="BQ22" s="288"/>
      <c r="BR22" s="288"/>
      <c r="BS22" s="288"/>
      <c r="BT22" s="288"/>
      <c r="BU22" s="288"/>
      <c r="BV22" s="288"/>
      <c r="BW22" s="288"/>
      <c r="BX22" s="288"/>
      <c r="BY22" s="288"/>
      <c r="BZ22" s="288"/>
      <c r="CA22" s="288"/>
      <c r="CB22" s="288"/>
      <c r="CC22" s="294"/>
      <c r="CD22" s="287"/>
      <c r="CE22" s="288"/>
      <c r="CF22" s="288"/>
      <c r="CG22" s="288"/>
      <c r="CH22" s="288"/>
      <c r="CI22" s="294"/>
      <c r="CJ22" s="287"/>
      <c r="CK22" s="288"/>
      <c r="CL22" s="288"/>
      <c r="CM22" s="288"/>
      <c r="CN22" s="288"/>
      <c r="CO22" s="294"/>
      <c r="CP22" s="287"/>
      <c r="CQ22" s="288"/>
      <c r="CR22" s="288"/>
      <c r="CS22" s="288"/>
      <c r="CT22" s="288"/>
      <c r="CU22" s="294"/>
      <c r="CV22" s="287"/>
      <c r="CW22" s="288"/>
      <c r="CX22" s="288"/>
      <c r="CY22" s="288"/>
      <c r="CZ22" s="288"/>
      <c r="DA22" s="294"/>
      <c r="DB22" s="415">
        <f t="shared" si="0"/>
        <v>0</v>
      </c>
    </row>
    <row r="23" spans="1:106">
      <c r="A23" s="238">
        <v>20</v>
      </c>
      <c r="B23" s="239"/>
      <c r="C23" s="43"/>
      <c r="D23" s="43"/>
      <c r="E23" s="43"/>
      <c r="F23" s="283"/>
      <c r="G23" s="295"/>
      <c r="H23" s="288"/>
      <c r="I23" s="288"/>
      <c r="J23" s="288"/>
      <c r="K23" s="288"/>
      <c r="L23" s="289"/>
      <c r="M23" s="295"/>
      <c r="N23" s="288"/>
      <c r="O23" s="288"/>
      <c r="P23" s="288"/>
      <c r="Q23" s="288"/>
      <c r="R23" s="294"/>
      <c r="S23" s="287"/>
      <c r="T23" s="288"/>
      <c r="U23" s="288"/>
      <c r="V23" s="288"/>
      <c r="W23" s="288"/>
      <c r="X23" s="289"/>
      <c r="Y23" s="295"/>
      <c r="Z23" s="288"/>
      <c r="AA23" s="289"/>
      <c r="AB23" s="289"/>
      <c r="AC23" s="294"/>
      <c r="AD23" s="295"/>
      <c r="AE23" s="288"/>
      <c r="AF23" s="288"/>
      <c r="AG23" s="288"/>
      <c r="AH23" s="288"/>
      <c r="AI23" s="288"/>
      <c r="AJ23" s="288"/>
      <c r="AK23" s="288"/>
      <c r="AL23" s="288"/>
      <c r="AM23" s="294"/>
      <c r="AN23" s="295"/>
      <c r="AO23" s="288"/>
      <c r="AP23" s="288"/>
      <c r="AQ23" s="288"/>
      <c r="AR23" s="288"/>
      <c r="AS23" s="288"/>
      <c r="AT23" s="288"/>
      <c r="AU23" s="294"/>
      <c r="AV23" s="295"/>
      <c r="AW23" s="288"/>
      <c r="AX23" s="289"/>
      <c r="AY23" s="294"/>
      <c r="AZ23" s="295"/>
      <c r="BA23" s="288"/>
      <c r="BB23" s="288"/>
      <c r="BC23" s="288"/>
      <c r="BD23" s="288"/>
      <c r="BE23" s="289"/>
      <c r="BF23" s="295"/>
      <c r="BG23" s="288"/>
      <c r="BH23" s="288"/>
      <c r="BI23" s="288"/>
      <c r="BJ23" s="288"/>
      <c r="BK23" s="288"/>
      <c r="BL23" s="288"/>
      <c r="BM23" s="288"/>
      <c r="BN23" s="288"/>
      <c r="BO23" s="288"/>
      <c r="BP23" s="288"/>
      <c r="BQ23" s="288"/>
      <c r="BR23" s="288"/>
      <c r="BS23" s="288"/>
      <c r="BT23" s="288"/>
      <c r="BU23" s="288"/>
      <c r="BV23" s="288"/>
      <c r="BW23" s="288"/>
      <c r="BX23" s="288"/>
      <c r="BY23" s="288"/>
      <c r="BZ23" s="288"/>
      <c r="CA23" s="288"/>
      <c r="CB23" s="288"/>
      <c r="CC23" s="294"/>
      <c r="CD23" s="287"/>
      <c r="CE23" s="288"/>
      <c r="CF23" s="288"/>
      <c r="CG23" s="288"/>
      <c r="CH23" s="288"/>
      <c r="CI23" s="294"/>
      <c r="CJ23" s="287"/>
      <c r="CK23" s="288"/>
      <c r="CL23" s="288"/>
      <c r="CM23" s="288"/>
      <c r="CN23" s="288"/>
      <c r="CO23" s="294"/>
      <c r="CP23" s="287"/>
      <c r="CQ23" s="288"/>
      <c r="CR23" s="288"/>
      <c r="CS23" s="288"/>
      <c r="CT23" s="288"/>
      <c r="CU23" s="294"/>
      <c r="CV23" s="287"/>
      <c r="CW23" s="288"/>
      <c r="CX23" s="288"/>
      <c r="CY23" s="288"/>
      <c r="CZ23" s="288"/>
      <c r="DA23" s="294"/>
      <c r="DB23" s="415">
        <f t="shared" si="0"/>
        <v>0</v>
      </c>
    </row>
    <row r="24" spans="1:106">
      <c r="A24" s="238">
        <v>21</v>
      </c>
      <c r="B24" s="239"/>
      <c r="C24" s="43"/>
      <c r="D24" s="43"/>
      <c r="E24" s="43"/>
      <c r="F24" s="283"/>
      <c r="G24" s="295"/>
      <c r="H24" s="288"/>
      <c r="I24" s="288"/>
      <c r="J24" s="288"/>
      <c r="K24" s="288"/>
      <c r="L24" s="289"/>
      <c r="M24" s="295"/>
      <c r="N24" s="288"/>
      <c r="O24" s="288"/>
      <c r="P24" s="288"/>
      <c r="Q24" s="288"/>
      <c r="R24" s="294"/>
      <c r="S24" s="287"/>
      <c r="T24" s="288"/>
      <c r="U24" s="288"/>
      <c r="V24" s="288"/>
      <c r="W24" s="288"/>
      <c r="X24" s="289"/>
      <c r="Y24" s="295"/>
      <c r="Z24" s="288"/>
      <c r="AA24" s="289"/>
      <c r="AB24" s="289"/>
      <c r="AC24" s="294"/>
      <c r="AD24" s="295"/>
      <c r="AE24" s="288"/>
      <c r="AF24" s="288"/>
      <c r="AG24" s="288"/>
      <c r="AH24" s="288"/>
      <c r="AI24" s="288"/>
      <c r="AJ24" s="288"/>
      <c r="AK24" s="288"/>
      <c r="AL24" s="288"/>
      <c r="AM24" s="294"/>
      <c r="AN24" s="295"/>
      <c r="AO24" s="288"/>
      <c r="AP24" s="288"/>
      <c r="AQ24" s="288"/>
      <c r="AR24" s="288"/>
      <c r="AS24" s="288"/>
      <c r="AT24" s="288"/>
      <c r="AU24" s="294"/>
      <c r="AV24" s="295"/>
      <c r="AW24" s="288"/>
      <c r="AX24" s="289"/>
      <c r="AY24" s="294"/>
      <c r="AZ24" s="295"/>
      <c r="BA24" s="288"/>
      <c r="BB24" s="288"/>
      <c r="BC24" s="288"/>
      <c r="BD24" s="288"/>
      <c r="BE24" s="289"/>
      <c r="BF24" s="295"/>
      <c r="BG24" s="288"/>
      <c r="BH24" s="288"/>
      <c r="BI24" s="288"/>
      <c r="BJ24" s="288"/>
      <c r="BK24" s="288"/>
      <c r="BL24" s="288"/>
      <c r="BM24" s="288"/>
      <c r="BN24" s="288"/>
      <c r="BO24" s="288"/>
      <c r="BP24" s="288"/>
      <c r="BQ24" s="288"/>
      <c r="BR24" s="288"/>
      <c r="BS24" s="288"/>
      <c r="BT24" s="288"/>
      <c r="BU24" s="288"/>
      <c r="BV24" s="288"/>
      <c r="BW24" s="288"/>
      <c r="BX24" s="288"/>
      <c r="BY24" s="288"/>
      <c r="BZ24" s="288"/>
      <c r="CA24" s="288"/>
      <c r="CB24" s="288"/>
      <c r="CC24" s="294"/>
      <c r="CD24" s="287"/>
      <c r="CE24" s="288"/>
      <c r="CF24" s="288"/>
      <c r="CG24" s="288"/>
      <c r="CH24" s="288"/>
      <c r="CI24" s="294"/>
      <c r="CJ24" s="287"/>
      <c r="CK24" s="288"/>
      <c r="CL24" s="288"/>
      <c r="CM24" s="288"/>
      <c r="CN24" s="288"/>
      <c r="CO24" s="294"/>
      <c r="CP24" s="287"/>
      <c r="CQ24" s="288"/>
      <c r="CR24" s="288"/>
      <c r="CS24" s="288"/>
      <c r="CT24" s="288"/>
      <c r="CU24" s="294"/>
      <c r="CV24" s="287"/>
      <c r="CW24" s="288"/>
      <c r="CX24" s="288"/>
      <c r="CY24" s="288"/>
      <c r="CZ24" s="288"/>
      <c r="DA24" s="294"/>
      <c r="DB24" s="415">
        <f t="shared" si="0"/>
        <v>0</v>
      </c>
    </row>
    <row r="25" spans="1:106" s="1" customFormat="1">
      <c r="A25" s="238">
        <v>22</v>
      </c>
      <c r="B25" s="239"/>
      <c r="C25" s="43"/>
      <c r="D25" s="43"/>
      <c r="E25" s="43"/>
      <c r="F25" s="283"/>
      <c r="G25" s="295"/>
      <c r="H25" s="288"/>
      <c r="I25" s="288"/>
      <c r="J25" s="288"/>
      <c r="K25" s="288"/>
      <c r="L25" s="289"/>
      <c r="M25" s="295"/>
      <c r="N25" s="288"/>
      <c r="O25" s="288"/>
      <c r="P25" s="288"/>
      <c r="Q25" s="288"/>
      <c r="R25" s="294"/>
      <c r="S25" s="287"/>
      <c r="T25" s="288"/>
      <c r="U25" s="288"/>
      <c r="V25" s="288"/>
      <c r="W25" s="288"/>
      <c r="X25" s="289"/>
      <c r="Y25" s="295"/>
      <c r="Z25" s="288"/>
      <c r="AA25" s="289"/>
      <c r="AB25" s="289"/>
      <c r="AC25" s="294"/>
      <c r="AD25" s="295"/>
      <c r="AE25" s="288"/>
      <c r="AF25" s="288"/>
      <c r="AG25" s="288"/>
      <c r="AH25" s="288"/>
      <c r="AI25" s="288"/>
      <c r="AJ25" s="288"/>
      <c r="AK25" s="288"/>
      <c r="AL25" s="288"/>
      <c r="AM25" s="294"/>
      <c r="AN25" s="295"/>
      <c r="AO25" s="288"/>
      <c r="AP25" s="288"/>
      <c r="AQ25" s="288"/>
      <c r="AR25" s="288"/>
      <c r="AS25" s="288"/>
      <c r="AT25" s="288"/>
      <c r="AU25" s="294"/>
      <c r="AV25" s="295"/>
      <c r="AW25" s="288"/>
      <c r="AX25" s="289"/>
      <c r="AY25" s="294"/>
      <c r="AZ25" s="295"/>
      <c r="BA25" s="288"/>
      <c r="BB25" s="288"/>
      <c r="BC25" s="288"/>
      <c r="BD25" s="288"/>
      <c r="BE25" s="289"/>
      <c r="BF25" s="295"/>
      <c r="BG25" s="288"/>
      <c r="BH25" s="288"/>
      <c r="BI25" s="288"/>
      <c r="BJ25" s="288"/>
      <c r="BK25" s="288"/>
      <c r="BL25" s="288"/>
      <c r="BM25" s="288"/>
      <c r="BN25" s="288"/>
      <c r="BO25" s="288"/>
      <c r="BP25" s="288"/>
      <c r="BQ25" s="288"/>
      <c r="BR25" s="288"/>
      <c r="BS25" s="288"/>
      <c r="BT25" s="288"/>
      <c r="BU25" s="288"/>
      <c r="BV25" s="288"/>
      <c r="BW25" s="288"/>
      <c r="BX25" s="288"/>
      <c r="BY25" s="288"/>
      <c r="BZ25" s="288"/>
      <c r="CA25" s="288"/>
      <c r="CB25" s="288"/>
      <c r="CC25" s="294"/>
      <c r="CD25" s="287"/>
      <c r="CE25" s="288"/>
      <c r="CF25" s="288"/>
      <c r="CG25" s="288"/>
      <c r="CH25" s="288"/>
      <c r="CI25" s="294"/>
      <c r="CJ25" s="287"/>
      <c r="CK25" s="288"/>
      <c r="CL25" s="288"/>
      <c r="CM25" s="288"/>
      <c r="CN25" s="288"/>
      <c r="CO25" s="294"/>
      <c r="CP25" s="287"/>
      <c r="CQ25" s="288"/>
      <c r="CR25" s="288"/>
      <c r="CS25" s="288"/>
      <c r="CT25" s="288"/>
      <c r="CU25" s="294"/>
      <c r="CV25" s="287"/>
      <c r="CW25" s="288"/>
      <c r="CX25" s="288"/>
      <c r="CY25" s="288"/>
      <c r="CZ25" s="288"/>
      <c r="DA25" s="294"/>
      <c r="DB25" s="415">
        <f t="shared" si="0"/>
        <v>0</v>
      </c>
    </row>
    <row r="26" spans="1:106">
      <c r="A26" s="238">
        <v>23</v>
      </c>
      <c r="B26" s="239"/>
      <c r="C26" s="43"/>
      <c r="D26" s="43"/>
      <c r="E26" s="43"/>
      <c r="F26" s="283"/>
      <c r="G26" s="295"/>
      <c r="H26" s="288"/>
      <c r="I26" s="288"/>
      <c r="J26" s="288"/>
      <c r="K26" s="288"/>
      <c r="L26" s="289"/>
      <c r="M26" s="295"/>
      <c r="N26" s="288"/>
      <c r="O26" s="288"/>
      <c r="P26" s="288"/>
      <c r="Q26" s="288"/>
      <c r="R26" s="294"/>
      <c r="S26" s="287"/>
      <c r="T26" s="288"/>
      <c r="U26" s="288"/>
      <c r="V26" s="288"/>
      <c r="W26" s="288"/>
      <c r="X26" s="289"/>
      <c r="Y26" s="295"/>
      <c r="Z26" s="288"/>
      <c r="AA26" s="289"/>
      <c r="AB26" s="289"/>
      <c r="AC26" s="294"/>
      <c r="AD26" s="295"/>
      <c r="AE26" s="288"/>
      <c r="AF26" s="288"/>
      <c r="AG26" s="288"/>
      <c r="AH26" s="288"/>
      <c r="AI26" s="288"/>
      <c r="AJ26" s="288"/>
      <c r="AK26" s="288"/>
      <c r="AL26" s="288"/>
      <c r="AM26" s="294"/>
      <c r="AN26" s="295"/>
      <c r="AO26" s="288"/>
      <c r="AP26" s="288"/>
      <c r="AQ26" s="288"/>
      <c r="AR26" s="288"/>
      <c r="AS26" s="288"/>
      <c r="AT26" s="288"/>
      <c r="AU26" s="294"/>
      <c r="AV26" s="295"/>
      <c r="AW26" s="288"/>
      <c r="AX26" s="289"/>
      <c r="AY26" s="294"/>
      <c r="AZ26" s="295"/>
      <c r="BA26" s="288"/>
      <c r="BB26" s="288"/>
      <c r="BC26" s="288"/>
      <c r="BD26" s="288"/>
      <c r="BE26" s="289"/>
      <c r="BF26" s="295"/>
      <c r="BG26" s="288"/>
      <c r="BH26" s="288"/>
      <c r="BI26" s="288"/>
      <c r="BJ26" s="288"/>
      <c r="BK26" s="288"/>
      <c r="BL26" s="288"/>
      <c r="BM26" s="288"/>
      <c r="BN26" s="288"/>
      <c r="BO26" s="288"/>
      <c r="BP26" s="288"/>
      <c r="BQ26" s="288"/>
      <c r="BR26" s="288"/>
      <c r="BS26" s="288"/>
      <c r="BT26" s="288"/>
      <c r="BU26" s="288"/>
      <c r="BV26" s="288"/>
      <c r="BW26" s="288"/>
      <c r="BX26" s="288"/>
      <c r="BY26" s="288"/>
      <c r="BZ26" s="288"/>
      <c r="CA26" s="288"/>
      <c r="CB26" s="288"/>
      <c r="CC26" s="294"/>
      <c r="CD26" s="287"/>
      <c r="CE26" s="288"/>
      <c r="CF26" s="288"/>
      <c r="CG26" s="288"/>
      <c r="CH26" s="288"/>
      <c r="CI26" s="294"/>
      <c r="CJ26" s="287"/>
      <c r="CK26" s="288"/>
      <c r="CL26" s="288"/>
      <c r="CM26" s="288"/>
      <c r="CN26" s="288"/>
      <c r="CO26" s="294"/>
      <c r="CP26" s="287"/>
      <c r="CQ26" s="288"/>
      <c r="CR26" s="288"/>
      <c r="CS26" s="288"/>
      <c r="CT26" s="288"/>
      <c r="CU26" s="294"/>
      <c r="CV26" s="287"/>
      <c r="CW26" s="288"/>
      <c r="CX26" s="288"/>
      <c r="CY26" s="288"/>
      <c r="CZ26" s="288"/>
      <c r="DA26" s="294"/>
      <c r="DB26" s="415">
        <f t="shared" si="0"/>
        <v>0</v>
      </c>
    </row>
    <row r="27" spans="1:106">
      <c r="A27" s="238">
        <v>24</v>
      </c>
      <c r="B27" s="239"/>
      <c r="C27" s="43"/>
      <c r="D27" s="43"/>
      <c r="E27" s="43"/>
      <c r="F27" s="283"/>
      <c r="G27" s="295"/>
      <c r="H27" s="288"/>
      <c r="I27" s="288"/>
      <c r="J27" s="288"/>
      <c r="K27" s="288"/>
      <c r="L27" s="289"/>
      <c r="M27" s="295"/>
      <c r="N27" s="288"/>
      <c r="O27" s="288"/>
      <c r="P27" s="288"/>
      <c r="Q27" s="288"/>
      <c r="R27" s="294"/>
      <c r="S27" s="287"/>
      <c r="T27" s="288"/>
      <c r="U27" s="288"/>
      <c r="V27" s="288"/>
      <c r="W27" s="288"/>
      <c r="X27" s="289"/>
      <c r="Y27" s="295"/>
      <c r="Z27" s="288"/>
      <c r="AA27" s="289"/>
      <c r="AB27" s="289"/>
      <c r="AC27" s="294"/>
      <c r="AD27" s="295"/>
      <c r="AE27" s="288"/>
      <c r="AF27" s="288"/>
      <c r="AG27" s="288"/>
      <c r="AH27" s="288"/>
      <c r="AI27" s="288"/>
      <c r="AJ27" s="288"/>
      <c r="AK27" s="288"/>
      <c r="AL27" s="288"/>
      <c r="AM27" s="294"/>
      <c r="AN27" s="295"/>
      <c r="AO27" s="288"/>
      <c r="AP27" s="288"/>
      <c r="AQ27" s="288"/>
      <c r="AR27" s="288"/>
      <c r="AS27" s="288"/>
      <c r="AT27" s="288"/>
      <c r="AU27" s="294"/>
      <c r="AV27" s="295"/>
      <c r="AW27" s="288"/>
      <c r="AX27" s="289"/>
      <c r="AY27" s="294"/>
      <c r="AZ27" s="295"/>
      <c r="BA27" s="288"/>
      <c r="BB27" s="288"/>
      <c r="BC27" s="288"/>
      <c r="BD27" s="288"/>
      <c r="BE27" s="289"/>
      <c r="BF27" s="295"/>
      <c r="BG27" s="288"/>
      <c r="BH27" s="288"/>
      <c r="BI27" s="288"/>
      <c r="BJ27" s="288"/>
      <c r="BK27" s="288"/>
      <c r="BL27" s="288"/>
      <c r="BM27" s="288"/>
      <c r="BN27" s="288"/>
      <c r="BO27" s="288"/>
      <c r="BP27" s="288"/>
      <c r="BQ27" s="288"/>
      <c r="BR27" s="288"/>
      <c r="BS27" s="288"/>
      <c r="BT27" s="288"/>
      <c r="BU27" s="288"/>
      <c r="BV27" s="288"/>
      <c r="BW27" s="288"/>
      <c r="BX27" s="288"/>
      <c r="BY27" s="288"/>
      <c r="BZ27" s="288"/>
      <c r="CA27" s="288"/>
      <c r="CB27" s="288"/>
      <c r="CC27" s="294"/>
      <c r="CD27" s="287"/>
      <c r="CE27" s="288"/>
      <c r="CF27" s="288"/>
      <c r="CG27" s="288"/>
      <c r="CH27" s="288"/>
      <c r="CI27" s="294"/>
      <c r="CJ27" s="287"/>
      <c r="CK27" s="288"/>
      <c r="CL27" s="288"/>
      <c r="CM27" s="288"/>
      <c r="CN27" s="288"/>
      <c r="CO27" s="294"/>
      <c r="CP27" s="287"/>
      <c r="CQ27" s="288"/>
      <c r="CR27" s="288"/>
      <c r="CS27" s="288"/>
      <c r="CT27" s="288"/>
      <c r="CU27" s="294"/>
      <c r="CV27" s="287"/>
      <c r="CW27" s="288"/>
      <c r="CX27" s="288"/>
      <c r="CY27" s="288"/>
      <c r="CZ27" s="288"/>
      <c r="DA27" s="294"/>
      <c r="DB27" s="415">
        <f t="shared" si="0"/>
        <v>0</v>
      </c>
    </row>
    <row r="28" spans="1:106">
      <c r="A28" s="238">
        <v>25</v>
      </c>
      <c r="B28" s="239"/>
      <c r="C28" s="43"/>
      <c r="D28" s="43"/>
      <c r="E28" s="43"/>
      <c r="F28" s="283"/>
      <c r="G28" s="295"/>
      <c r="H28" s="288"/>
      <c r="I28" s="288"/>
      <c r="J28" s="288"/>
      <c r="K28" s="288"/>
      <c r="L28" s="289"/>
      <c r="M28" s="295"/>
      <c r="N28" s="288"/>
      <c r="O28" s="288"/>
      <c r="P28" s="288"/>
      <c r="Q28" s="288"/>
      <c r="R28" s="294"/>
      <c r="S28" s="287"/>
      <c r="T28" s="288"/>
      <c r="U28" s="288"/>
      <c r="V28" s="288"/>
      <c r="W28" s="288"/>
      <c r="X28" s="289"/>
      <c r="Y28" s="295"/>
      <c r="Z28" s="288"/>
      <c r="AA28" s="289"/>
      <c r="AB28" s="289"/>
      <c r="AC28" s="294"/>
      <c r="AD28" s="295"/>
      <c r="AE28" s="288"/>
      <c r="AF28" s="288"/>
      <c r="AG28" s="288"/>
      <c r="AH28" s="288"/>
      <c r="AI28" s="288"/>
      <c r="AJ28" s="288"/>
      <c r="AK28" s="288"/>
      <c r="AL28" s="288"/>
      <c r="AM28" s="294"/>
      <c r="AN28" s="295"/>
      <c r="AO28" s="288"/>
      <c r="AP28" s="288"/>
      <c r="AQ28" s="288"/>
      <c r="AR28" s="288"/>
      <c r="AS28" s="288"/>
      <c r="AT28" s="288"/>
      <c r="AU28" s="294"/>
      <c r="AV28" s="295"/>
      <c r="AW28" s="288"/>
      <c r="AX28" s="289"/>
      <c r="AY28" s="294"/>
      <c r="AZ28" s="295"/>
      <c r="BA28" s="288"/>
      <c r="BB28" s="288"/>
      <c r="BC28" s="288"/>
      <c r="BD28" s="288"/>
      <c r="BE28" s="289"/>
      <c r="BF28" s="295"/>
      <c r="BG28" s="288"/>
      <c r="BH28" s="288"/>
      <c r="BI28" s="288"/>
      <c r="BJ28" s="288"/>
      <c r="BK28" s="288"/>
      <c r="BL28" s="288"/>
      <c r="BM28" s="288"/>
      <c r="BN28" s="288"/>
      <c r="BO28" s="288"/>
      <c r="BP28" s="288"/>
      <c r="BQ28" s="288"/>
      <c r="BR28" s="288"/>
      <c r="BS28" s="288"/>
      <c r="BT28" s="288"/>
      <c r="BU28" s="288"/>
      <c r="BV28" s="288"/>
      <c r="BW28" s="288"/>
      <c r="BX28" s="288"/>
      <c r="BY28" s="288"/>
      <c r="BZ28" s="288"/>
      <c r="CA28" s="288"/>
      <c r="CB28" s="288"/>
      <c r="CC28" s="294"/>
      <c r="CD28" s="287"/>
      <c r="CE28" s="288"/>
      <c r="CF28" s="288"/>
      <c r="CG28" s="288"/>
      <c r="CH28" s="288"/>
      <c r="CI28" s="294"/>
      <c r="CJ28" s="287"/>
      <c r="CK28" s="288"/>
      <c r="CL28" s="288"/>
      <c r="CM28" s="288"/>
      <c r="CN28" s="288"/>
      <c r="CO28" s="294"/>
      <c r="CP28" s="287"/>
      <c r="CQ28" s="288"/>
      <c r="CR28" s="288"/>
      <c r="CS28" s="288"/>
      <c r="CT28" s="288"/>
      <c r="CU28" s="294"/>
      <c r="CV28" s="287"/>
      <c r="CW28" s="288"/>
      <c r="CX28" s="288"/>
      <c r="CY28" s="288"/>
      <c r="CZ28" s="288"/>
      <c r="DA28" s="294"/>
      <c r="DB28" s="415">
        <f t="shared" si="0"/>
        <v>0</v>
      </c>
    </row>
    <row r="29" spans="1:106">
      <c r="A29" s="238">
        <v>26</v>
      </c>
      <c r="B29" s="239"/>
      <c r="C29" s="43"/>
      <c r="D29" s="43"/>
      <c r="E29" s="43"/>
      <c r="F29" s="283"/>
      <c r="G29" s="295"/>
      <c r="H29" s="288"/>
      <c r="I29" s="288"/>
      <c r="J29" s="288"/>
      <c r="K29" s="288"/>
      <c r="L29" s="289"/>
      <c r="M29" s="295"/>
      <c r="N29" s="288"/>
      <c r="O29" s="288"/>
      <c r="P29" s="288"/>
      <c r="Q29" s="288"/>
      <c r="R29" s="294"/>
      <c r="S29" s="287"/>
      <c r="T29" s="288"/>
      <c r="U29" s="288"/>
      <c r="V29" s="288"/>
      <c r="W29" s="288"/>
      <c r="X29" s="289"/>
      <c r="Y29" s="295"/>
      <c r="Z29" s="288"/>
      <c r="AA29" s="289"/>
      <c r="AB29" s="289"/>
      <c r="AC29" s="294"/>
      <c r="AD29" s="295"/>
      <c r="AE29" s="288"/>
      <c r="AF29" s="288"/>
      <c r="AG29" s="288"/>
      <c r="AH29" s="288"/>
      <c r="AI29" s="288"/>
      <c r="AJ29" s="288"/>
      <c r="AK29" s="288"/>
      <c r="AL29" s="288"/>
      <c r="AM29" s="294"/>
      <c r="AN29" s="295"/>
      <c r="AO29" s="288"/>
      <c r="AP29" s="288"/>
      <c r="AQ29" s="288"/>
      <c r="AR29" s="288"/>
      <c r="AS29" s="288"/>
      <c r="AT29" s="288"/>
      <c r="AU29" s="294"/>
      <c r="AV29" s="295"/>
      <c r="AW29" s="288"/>
      <c r="AX29" s="289"/>
      <c r="AY29" s="294"/>
      <c r="AZ29" s="295"/>
      <c r="BA29" s="288"/>
      <c r="BB29" s="288"/>
      <c r="BC29" s="288"/>
      <c r="BD29" s="288"/>
      <c r="BE29" s="289"/>
      <c r="BF29" s="295"/>
      <c r="BG29" s="288"/>
      <c r="BH29" s="288"/>
      <c r="BI29" s="288"/>
      <c r="BJ29" s="288"/>
      <c r="BK29" s="288"/>
      <c r="BL29" s="288"/>
      <c r="BM29" s="288"/>
      <c r="BN29" s="288"/>
      <c r="BO29" s="288"/>
      <c r="BP29" s="288"/>
      <c r="BQ29" s="288"/>
      <c r="BR29" s="288"/>
      <c r="BS29" s="288"/>
      <c r="BT29" s="288"/>
      <c r="BU29" s="288"/>
      <c r="BV29" s="288"/>
      <c r="BW29" s="288"/>
      <c r="BX29" s="288"/>
      <c r="BY29" s="288"/>
      <c r="BZ29" s="288"/>
      <c r="CA29" s="288"/>
      <c r="CB29" s="288"/>
      <c r="CC29" s="294"/>
      <c r="CD29" s="287"/>
      <c r="CE29" s="288"/>
      <c r="CF29" s="288"/>
      <c r="CG29" s="288"/>
      <c r="CH29" s="288"/>
      <c r="CI29" s="294"/>
      <c r="CJ29" s="287"/>
      <c r="CK29" s="288"/>
      <c r="CL29" s="288"/>
      <c r="CM29" s="288"/>
      <c r="CN29" s="288"/>
      <c r="CO29" s="294"/>
      <c r="CP29" s="287"/>
      <c r="CQ29" s="288"/>
      <c r="CR29" s="288"/>
      <c r="CS29" s="288"/>
      <c r="CT29" s="288"/>
      <c r="CU29" s="294"/>
      <c r="CV29" s="287"/>
      <c r="CW29" s="288"/>
      <c r="CX29" s="288"/>
      <c r="CY29" s="288"/>
      <c r="CZ29" s="288"/>
      <c r="DA29" s="294"/>
      <c r="DB29" s="415">
        <f t="shared" si="0"/>
        <v>0</v>
      </c>
    </row>
    <row r="30" spans="1:106">
      <c r="A30" s="238">
        <v>27</v>
      </c>
      <c r="B30" s="239"/>
      <c r="C30" s="43"/>
      <c r="D30" s="43"/>
      <c r="E30" s="43"/>
      <c r="F30" s="283"/>
      <c r="G30" s="295"/>
      <c r="H30" s="288"/>
      <c r="I30" s="288"/>
      <c r="J30" s="288"/>
      <c r="K30" s="288"/>
      <c r="L30" s="289"/>
      <c r="M30" s="295"/>
      <c r="N30" s="288"/>
      <c r="O30" s="288"/>
      <c r="P30" s="288"/>
      <c r="Q30" s="288"/>
      <c r="R30" s="294"/>
      <c r="S30" s="287"/>
      <c r="T30" s="288"/>
      <c r="U30" s="288"/>
      <c r="V30" s="288"/>
      <c r="W30" s="288"/>
      <c r="X30" s="289"/>
      <c r="Y30" s="295"/>
      <c r="Z30" s="288"/>
      <c r="AA30" s="289"/>
      <c r="AB30" s="289"/>
      <c r="AC30" s="294"/>
      <c r="AD30" s="295"/>
      <c r="AE30" s="288"/>
      <c r="AF30" s="288"/>
      <c r="AG30" s="288"/>
      <c r="AH30" s="288"/>
      <c r="AI30" s="288"/>
      <c r="AJ30" s="288"/>
      <c r="AK30" s="288"/>
      <c r="AL30" s="288"/>
      <c r="AM30" s="294"/>
      <c r="AN30" s="295"/>
      <c r="AO30" s="288"/>
      <c r="AP30" s="288"/>
      <c r="AQ30" s="288"/>
      <c r="AR30" s="288"/>
      <c r="AS30" s="288"/>
      <c r="AT30" s="288"/>
      <c r="AU30" s="294"/>
      <c r="AV30" s="295"/>
      <c r="AW30" s="288"/>
      <c r="AX30" s="289"/>
      <c r="AY30" s="294"/>
      <c r="AZ30" s="295"/>
      <c r="BA30" s="288"/>
      <c r="BB30" s="288"/>
      <c r="BC30" s="288"/>
      <c r="BD30" s="288"/>
      <c r="BE30" s="289"/>
      <c r="BF30" s="295"/>
      <c r="BG30" s="288"/>
      <c r="BH30" s="288"/>
      <c r="BI30" s="288"/>
      <c r="BJ30" s="288"/>
      <c r="BK30" s="288"/>
      <c r="BL30" s="288"/>
      <c r="BM30" s="288"/>
      <c r="BN30" s="288"/>
      <c r="BO30" s="288"/>
      <c r="BP30" s="288"/>
      <c r="BQ30" s="288"/>
      <c r="BR30" s="288"/>
      <c r="BS30" s="288"/>
      <c r="BT30" s="288"/>
      <c r="BU30" s="288"/>
      <c r="BV30" s="288"/>
      <c r="BW30" s="288"/>
      <c r="BX30" s="288"/>
      <c r="BY30" s="288"/>
      <c r="BZ30" s="288"/>
      <c r="CA30" s="288"/>
      <c r="CB30" s="288"/>
      <c r="CC30" s="294"/>
      <c r="CD30" s="287"/>
      <c r="CE30" s="288"/>
      <c r="CF30" s="288"/>
      <c r="CG30" s="288"/>
      <c r="CH30" s="288"/>
      <c r="CI30" s="294"/>
      <c r="CJ30" s="287"/>
      <c r="CK30" s="288"/>
      <c r="CL30" s="288"/>
      <c r="CM30" s="288"/>
      <c r="CN30" s="288"/>
      <c r="CO30" s="294"/>
      <c r="CP30" s="287"/>
      <c r="CQ30" s="288"/>
      <c r="CR30" s="288"/>
      <c r="CS30" s="288"/>
      <c r="CT30" s="288"/>
      <c r="CU30" s="294"/>
      <c r="CV30" s="287"/>
      <c r="CW30" s="288"/>
      <c r="CX30" s="288"/>
      <c r="CY30" s="288"/>
      <c r="CZ30" s="288"/>
      <c r="DA30" s="294"/>
      <c r="DB30" s="415">
        <f t="shared" si="0"/>
        <v>0</v>
      </c>
    </row>
    <row r="31" spans="1:106">
      <c r="A31" s="238">
        <v>28</v>
      </c>
      <c r="B31" s="239"/>
      <c r="C31" s="43"/>
      <c r="D31" s="43"/>
      <c r="E31" s="43"/>
      <c r="F31" s="283"/>
      <c r="G31" s="295"/>
      <c r="H31" s="288"/>
      <c r="I31" s="288"/>
      <c r="J31" s="288"/>
      <c r="K31" s="288"/>
      <c r="L31" s="289"/>
      <c r="M31" s="295"/>
      <c r="N31" s="288"/>
      <c r="O31" s="288"/>
      <c r="P31" s="288"/>
      <c r="Q31" s="288"/>
      <c r="R31" s="294"/>
      <c r="S31" s="287"/>
      <c r="T31" s="288"/>
      <c r="U31" s="288"/>
      <c r="V31" s="288"/>
      <c r="W31" s="288"/>
      <c r="X31" s="289"/>
      <c r="Y31" s="295"/>
      <c r="Z31" s="288"/>
      <c r="AA31" s="289"/>
      <c r="AB31" s="289"/>
      <c r="AC31" s="294"/>
      <c r="AD31" s="295"/>
      <c r="AE31" s="288"/>
      <c r="AF31" s="288"/>
      <c r="AG31" s="288"/>
      <c r="AH31" s="288"/>
      <c r="AI31" s="288"/>
      <c r="AJ31" s="288"/>
      <c r="AK31" s="288"/>
      <c r="AL31" s="288"/>
      <c r="AM31" s="294"/>
      <c r="AN31" s="295"/>
      <c r="AO31" s="288"/>
      <c r="AP31" s="288"/>
      <c r="AQ31" s="288"/>
      <c r="AR31" s="288"/>
      <c r="AS31" s="288"/>
      <c r="AT31" s="288"/>
      <c r="AU31" s="294"/>
      <c r="AV31" s="295"/>
      <c r="AW31" s="288"/>
      <c r="AX31" s="289"/>
      <c r="AY31" s="294"/>
      <c r="AZ31" s="295"/>
      <c r="BA31" s="288"/>
      <c r="BB31" s="288"/>
      <c r="BC31" s="288"/>
      <c r="BD31" s="288"/>
      <c r="BE31" s="289"/>
      <c r="BF31" s="295"/>
      <c r="BG31" s="288"/>
      <c r="BH31" s="288"/>
      <c r="BI31" s="288"/>
      <c r="BJ31" s="288"/>
      <c r="BK31" s="288"/>
      <c r="BL31" s="288"/>
      <c r="BM31" s="288"/>
      <c r="BN31" s="288"/>
      <c r="BO31" s="288"/>
      <c r="BP31" s="288"/>
      <c r="BQ31" s="288"/>
      <c r="BR31" s="288"/>
      <c r="BS31" s="288"/>
      <c r="BT31" s="288"/>
      <c r="BU31" s="288"/>
      <c r="BV31" s="288"/>
      <c r="BW31" s="288"/>
      <c r="BX31" s="288"/>
      <c r="BY31" s="288"/>
      <c r="BZ31" s="288"/>
      <c r="CA31" s="288"/>
      <c r="CB31" s="288"/>
      <c r="CC31" s="294"/>
      <c r="CD31" s="287"/>
      <c r="CE31" s="288"/>
      <c r="CF31" s="288"/>
      <c r="CG31" s="288"/>
      <c r="CH31" s="288"/>
      <c r="CI31" s="294"/>
      <c r="CJ31" s="287"/>
      <c r="CK31" s="288"/>
      <c r="CL31" s="288"/>
      <c r="CM31" s="288"/>
      <c r="CN31" s="288"/>
      <c r="CO31" s="294"/>
      <c r="CP31" s="287"/>
      <c r="CQ31" s="288"/>
      <c r="CR31" s="288"/>
      <c r="CS31" s="288"/>
      <c r="CT31" s="288"/>
      <c r="CU31" s="294"/>
      <c r="CV31" s="287"/>
      <c r="CW31" s="288"/>
      <c r="CX31" s="288"/>
      <c r="CY31" s="288"/>
      <c r="CZ31" s="288"/>
      <c r="DA31" s="294"/>
      <c r="DB31" s="415">
        <f t="shared" si="0"/>
        <v>0</v>
      </c>
    </row>
    <row r="32" spans="1:106" s="1" customFormat="1">
      <c r="A32" s="238">
        <v>29</v>
      </c>
      <c r="B32" s="239"/>
      <c r="C32" s="43"/>
      <c r="D32" s="43"/>
      <c r="E32" s="43"/>
      <c r="F32" s="283"/>
      <c r="G32" s="295"/>
      <c r="H32" s="288"/>
      <c r="I32" s="288"/>
      <c r="J32" s="288"/>
      <c r="K32" s="288"/>
      <c r="L32" s="289"/>
      <c r="M32" s="295"/>
      <c r="N32" s="288"/>
      <c r="O32" s="288"/>
      <c r="P32" s="288"/>
      <c r="Q32" s="288"/>
      <c r="R32" s="294"/>
      <c r="S32" s="287"/>
      <c r="T32" s="288"/>
      <c r="U32" s="288"/>
      <c r="V32" s="288"/>
      <c r="W32" s="288"/>
      <c r="X32" s="289"/>
      <c r="Y32" s="295"/>
      <c r="Z32" s="288"/>
      <c r="AA32" s="289"/>
      <c r="AB32" s="289"/>
      <c r="AC32" s="294"/>
      <c r="AD32" s="295"/>
      <c r="AE32" s="288"/>
      <c r="AF32" s="288"/>
      <c r="AG32" s="288"/>
      <c r="AH32" s="288"/>
      <c r="AI32" s="288"/>
      <c r="AJ32" s="288"/>
      <c r="AK32" s="288"/>
      <c r="AL32" s="288"/>
      <c r="AM32" s="294"/>
      <c r="AN32" s="295"/>
      <c r="AO32" s="288"/>
      <c r="AP32" s="288"/>
      <c r="AQ32" s="288"/>
      <c r="AR32" s="288"/>
      <c r="AS32" s="288"/>
      <c r="AT32" s="288"/>
      <c r="AU32" s="294"/>
      <c r="AV32" s="295"/>
      <c r="AW32" s="288"/>
      <c r="AX32" s="289"/>
      <c r="AY32" s="294"/>
      <c r="AZ32" s="295"/>
      <c r="BA32" s="288"/>
      <c r="BB32" s="288"/>
      <c r="BC32" s="288"/>
      <c r="BD32" s="288"/>
      <c r="BE32" s="289"/>
      <c r="BF32" s="295"/>
      <c r="BG32" s="288"/>
      <c r="BH32" s="288"/>
      <c r="BI32" s="288"/>
      <c r="BJ32" s="288"/>
      <c r="BK32" s="288"/>
      <c r="BL32" s="288"/>
      <c r="BM32" s="288"/>
      <c r="BN32" s="288"/>
      <c r="BO32" s="288"/>
      <c r="BP32" s="288"/>
      <c r="BQ32" s="288"/>
      <c r="BR32" s="288"/>
      <c r="BS32" s="288"/>
      <c r="BT32" s="288"/>
      <c r="BU32" s="288"/>
      <c r="BV32" s="288"/>
      <c r="BW32" s="288"/>
      <c r="BX32" s="288"/>
      <c r="BY32" s="288"/>
      <c r="BZ32" s="288"/>
      <c r="CA32" s="288"/>
      <c r="CB32" s="288"/>
      <c r="CC32" s="294"/>
      <c r="CD32" s="287"/>
      <c r="CE32" s="288"/>
      <c r="CF32" s="288"/>
      <c r="CG32" s="288"/>
      <c r="CH32" s="288"/>
      <c r="CI32" s="294"/>
      <c r="CJ32" s="287"/>
      <c r="CK32" s="288"/>
      <c r="CL32" s="288"/>
      <c r="CM32" s="288"/>
      <c r="CN32" s="288"/>
      <c r="CO32" s="294"/>
      <c r="CP32" s="287"/>
      <c r="CQ32" s="288"/>
      <c r="CR32" s="288"/>
      <c r="CS32" s="288"/>
      <c r="CT32" s="288"/>
      <c r="CU32" s="294"/>
      <c r="CV32" s="287"/>
      <c r="CW32" s="288"/>
      <c r="CX32" s="288"/>
      <c r="CY32" s="288"/>
      <c r="CZ32" s="288"/>
      <c r="DA32" s="294"/>
      <c r="DB32" s="415">
        <f t="shared" si="0"/>
        <v>0</v>
      </c>
    </row>
    <row r="33" spans="1:106">
      <c r="A33" s="238">
        <v>30</v>
      </c>
      <c r="B33" s="239"/>
      <c r="C33" s="43"/>
      <c r="D33" s="43"/>
      <c r="E33" s="43"/>
      <c r="F33" s="283"/>
      <c r="G33" s="295"/>
      <c r="H33" s="288"/>
      <c r="I33" s="288"/>
      <c r="J33" s="288"/>
      <c r="K33" s="288"/>
      <c r="L33" s="289"/>
      <c r="M33" s="295"/>
      <c r="N33" s="288"/>
      <c r="O33" s="288"/>
      <c r="P33" s="288"/>
      <c r="Q33" s="288"/>
      <c r="R33" s="294"/>
      <c r="S33" s="287"/>
      <c r="T33" s="288"/>
      <c r="U33" s="288"/>
      <c r="V33" s="288"/>
      <c r="W33" s="288"/>
      <c r="X33" s="289"/>
      <c r="Y33" s="295"/>
      <c r="Z33" s="288"/>
      <c r="AA33" s="289"/>
      <c r="AB33" s="289"/>
      <c r="AC33" s="294"/>
      <c r="AD33" s="295"/>
      <c r="AE33" s="288"/>
      <c r="AF33" s="288"/>
      <c r="AG33" s="288"/>
      <c r="AH33" s="288"/>
      <c r="AI33" s="288"/>
      <c r="AJ33" s="288"/>
      <c r="AK33" s="288"/>
      <c r="AL33" s="288"/>
      <c r="AM33" s="294"/>
      <c r="AN33" s="295"/>
      <c r="AO33" s="288"/>
      <c r="AP33" s="288"/>
      <c r="AQ33" s="288"/>
      <c r="AR33" s="288"/>
      <c r="AS33" s="288"/>
      <c r="AT33" s="288"/>
      <c r="AU33" s="294"/>
      <c r="AV33" s="295"/>
      <c r="AW33" s="288"/>
      <c r="AX33" s="289"/>
      <c r="AY33" s="294"/>
      <c r="AZ33" s="295"/>
      <c r="BA33" s="288"/>
      <c r="BB33" s="288"/>
      <c r="BC33" s="288"/>
      <c r="BD33" s="288"/>
      <c r="BE33" s="289"/>
      <c r="BF33" s="295"/>
      <c r="BG33" s="288"/>
      <c r="BH33" s="288"/>
      <c r="BI33" s="288"/>
      <c r="BJ33" s="288"/>
      <c r="BK33" s="288"/>
      <c r="BL33" s="288"/>
      <c r="BM33" s="288"/>
      <c r="BN33" s="288"/>
      <c r="BO33" s="288"/>
      <c r="BP33" s="288"/>
      <c r="BQ33" s="288"/>
      <c r="BR33" s="288"/>
      <c r="BS33" s="288"/>
      <c r="BT33" s="288"/>
      <c r="BU33" s="288"/>
      <c r="BV33" s="288"/>
      <c r="BW33" s="288"/>
      <c r="BX33" s="288"/>
      <c r="BY33" s="288"/>
      <c r="BZ33" s="288"/>
      <c r="CA33" s="288"/>
      <c r="CB33" s="288"/>
      <c r="CC33" s="294"/>
      <c r="CD33" s="287"/>
      <c r="CE33" s="288"/>
      <c r="CF33" s="288"/>
      <c r="CG33" s="288"/>
      <c r="CH33" s="288"/>
      <c r="CI33" s="294"/>
      <c r="CJ33" s="287"/>
      <c r="CK33" s="288"/>
      <c r="CL33" s="288"/>
      <c r="CM33" s="288"/>
      <c r="CN33" s="288"/>
      <c r="CO33" s="294"/>
      <c r="CP33" s="287"/>
      <c r="CQ33" s="288"/>
      <c r="CR33" s="288"/>
      <c r="CS33" s="288"/>
      <c r="CT33" s="288"/>
      <c r="CU33" s="294"/>
      <c r="CV33" s="287"/>
      <c r="CW33" s="288"/>
      <c r="CX33" s="288"/>
      <c r="CY33" s="288"/>
      <c r="CZ33" s="288"/>
      <c r="DA33" s="294"/>
      <c r="DB33" s="415">
        <f t="shared" si="0"/>
        <v>0</v>
      </c>
    </row>
    <row r="34" spans="1:106" ht="15.75" thickBot="1">
      <c r="A34" s="238">
        <v>31</v>
      </c>
      <c r="B34" s="239"/>
      <c r="C34" s="43"/>
      <c r="D34" s="43"/>
      <c r="E34" s="43"/>
      <c r="F34" s="283"/>
      <c r="G34" s="296"/>
      <c r="H34" s="297"/>
      <c r="I34" s="297"/>
      <c r="J34" s="297"/>
      <c r="K34" s="297"/>
      <c r="L34" s="301"/>
      <c r="M34" s="296"/>
      <c r="N34" s="297"/>
      <c r="O34" s="297"/>
      <c r="P34" s="297"/>
      <c r="Q34" s="297"/>
      <c r="R34" s="298"/>
      <c r="S34" s="287"/>
      <c r="T34" s="288"/>
      <c r="U34" s="288"/>
      <c r="V34" s="288"/>
      <c r="W34" s="288"/>
      <c r="X34" s="289"/>
      <c r="Y34" s="296"/>
      <c r="Z34" s="297"/>
      <c r="AA34" s="301"/>
      <c r="AB34" s="301"/>
      <c r="AC34" s="298"/>
      <c r="AD34" s="295"/>
      <c r="AE34" s="288"/>
      <c r="AF34" s="288"/>
      <c r="AG34" s="288"/>
      <c r="AH34" s="288"/>
      <c r="AI34" s="288"/>
      <c r="AJ34" s="288"/>
      <c r="AK34" s="288"/>
      <c r="AL34" s="288"/>
      <c r="AM34" s="294"/>
      <c r="AN34" s="295"/>
      <c r="AO34" s="288"/>
      <c r="AP34" s="288"/>
      <c r="AQ34" s="288"/>
      <c r="AR34" s="288"/>
      <c r="AS34" s="288"/>
      <c r="AT34" s="288"/>
      <c r="AU34" s="294"/>
      <c r="AV34" s="296"/>
      <c r="AW34" s="297"/>
      <c r="AX34" s="301"/>
      <c r="AY34" s="298"/>
      <c r="AZ34" s="295"/>
      <c r="BA34" s="288"/>
      <c r="BB34" s="288"/>
      <c r="BC34" s="288"/>
      <c r="BD34" s="288"/>
      <c r="BE34" s="289"/>
      <c r="BF34" s="296"/>
      <c r="BG34" s="297"/>
      <c r="BH34" s="297"/>
      <c r="BI34" s="297"/>
      <c r="BJ34" s="297"/>
      <c r="BK34" s="297"/>
      <c r="BL34" s="297"/>
      <c r="BM34" s="297"/>
      <c r="BN34" s="297"/>
      <c r="BO34" s="297"/>
      <c r="BP34" s="297"/>
      <c r="BQ34" s="297"/>
      <c r="BR34" s="297"/>
      <c r="BS34" s="297"/>
      <c r="BT34" s="297"/>
      <c r="BU34" s="297"/>
      <c r="BV34" s="297"/>
      <c r="BW34" s="297"/>
      <c r="BX34" s="297"/>
      <c r="BY34" s="297"/>
      <c r="BZ34" s="297"/>
      <c r="CA34" s="297"/>
      <c r="CB34" s="297"/>
      <c r="CC34" s="298"/>
      <c r="CD34" s="393"/>
      <c r="CE34" s="297"/>
      <c r="CF34" s="297"/>
      <c r="CG34" s="297"/>
      <c r="CH34" s="297"/>
      <c r="CI34" s="298"/>
      <c r="CJ34" s="393"/>
      <c r="CK34" s="297"/>
      <c r="CL34" s="297"/>
      <c r="CM34" s="297"/>
      <c r="CN34" s="297"/>
      <c r="CO34" s="298"/>
      <c r="CP34" s="393"/>
      <c r="CQ34" s="297"/>
      <c r="CR34" s="297"/>
      <c r="CS34" s="297"/>
      <c r="CT34" s="297"/>
      <c r="CU34" s="298"/>
      <c r="CV34" s="393"/>
      <c r="CW34" s="297"/>
      <c r="CX34" s="297"/>
      <c r="CY34" s="297"/>
      <c r="CZ34" s="297"/>
      <c r="DA34" s="298"/>
      <c r="DB34" s="415">
        <f t="shared" si="0"/>
        <v>0</v>
      </c>
    </row>
    <row r="35" spans="1:106" ht="15.75" thickBot="1">
      <c r="B35" s="421">
        <f t="shared" ref="B35:G35" si="1">SUM(B4:B34)</f>
        <v>0</v>
      </c>
      <c r="C35" s="420">
        <f t="shared" si="1"/>
        <v>0</v>
      </c>
      <c r="D35" s="420">
        <f t="shared" si="1"/>
        <v>0</v>
      </c>
      <c r="E35" s="420">
        <f t="shared" ref="E35:F35" si="2">SUM(E4:E34)</f>
        <v>0</v>
      </c>
      <c r="F35" s="420">
        <f t="shared" si="2"/>
        <v>0</v>
      </c>
      <c r="G35" s="420">
        <f t="shared" si="1"/>
        <v>0</v>
      </c>
      <c r="H35" s="421">
        <f t="shared" ref="H35:AY35" si="3">SUM(H4:H34)</f>
        <v>0</v>
      </c>
      <c r="I35" s="421">
        <f t="shared" si="3"/>
        <v>0</v>
      </c>
      <c r="J35" s="421">
        <f t="shared" si="3"/>
        <v>0</v>
      </c>
      <c r="K35" s="421">
        <f t="shared" si="3"/>
        <v>0</v>
      </c>
      <c r="L35" s="421">
        <f t="shared" ref="L35" si="4">SUM(L4:L34)</f>
        <v>0</v>
      </c>
      <c r="M35" s="421">
        <f t="shared" si="3"/>
        <v>0</v>
      </c>
      <c r="N35" s="421">
        <f t="shared" si="3"/>
        <v>0</v>
      </c>
      <c r="O35" s="421">
        <f t="shared" si="3"/>
        <v>0</v>
      </c>
      <c r="P35" s="421">
        <f t="shared" ref="P35:Q35" si="5">SUM(P4:P34)</f>
        <v>0</v>
      </c>
      <c r="Q35" s="421">
        <f t="shared" si="5"/>
        <v>0</v>
      </c>
      <c r="R35" s="421">
        <f t="shared" si="3"/>
        <v>0</v>
      </c>
      <c r="S35" s="113">
        <f t="shared" si="3"/>
        <v>0</v>
      </c>
      <c r="T35" s="113">
        <f t="shared" si="3"/>
        <v>0</v>
      </c>
      <c r="U35" s="113">
        <f t="shared" si="3"/>
        <v>0</v>
      </c>
      <c r="V35" s="113">
        <f t="shared" ref="V35" si="6">SUM(V4:V34)</f>
        <v>0</v>
      </c>
      <c r="W35" s="113">
        <f t="shared" si="3"/>
        <v>0</v>
      </c>
      <c r="X35" s="113">
        <f t="shared" si="3"/>
        <v>0</v>
      </c>
      <c r="Y35" s="113">
        <f t="shared" si="3"/>
        <v>0</v>
      </c>
      <c r="Z35" s="113">
        <f t="shared" si="3"/>
        <v>0</v>
      </c>
      <c r="AA35" s="113">
        <f t="shared" si="3"/>
        <v>0</v>
      </c>
      <c r="AB35" s="113">
        <f t="shared" si="3"/>
        <v>0</v>
      </c>
      <c r="AC35" s="113">
        <f t="shared" si="3"/>
        <v>0</v>
      </c>
      <c r="AD35" s="113">
        <f t="shared" si="3"/>
        <v>0</v>
      </c>
      <c r="AE35" s="113">
        <f t="shared" si="3"/>
        <v>0</v>
      </c>
      <c r="AF35" s="113">
        <f t="shared" si="3"/>
        <v>0</v>
      </c>
      <c r="AG35" s="113">
        <f t="shared" si="3"/>
        <v>0</v>
      </c>
      <c r="AH35" s="113">
        <f t="shared" si="3"/>
        <v>0</v>
      </c>
      <c r="AI35" s="113">
        <f t="shared" si="3"/>
        <v>0</v>
      </c>
      <c r="AJ35" s="113">
        <f t="shared" si="3"/>
        <v>0</v>
      </c>
      <c r="AK35" s="113">
        <f t="shared" si="3"/>
        <v>0</v>
      </c>
      <c r="AL35" s="113">
        <f t="shared" si="3"/>
        <v>0</v>
      </c>
      <c r="AM35" s="113">
        <f t="shared" si="3"/>
        <v>0</v>
      </c>
      <c r="AN35" s="113">
        <f t="shared" si="3"/>
        <v>0</v>
      </c>
      <c r="AO35" s="113">
        <f t="shared" si="3"/>
        <v>0</v>
      </c>
      <c r="AP35" s="113">
        <f t="shared" si="3"/>
        <v>0</v>
      </c>
      <c r="AQ35" s="113">
        <f t="shared" si="3"/>
        <v>0</v>
      </c>
      <c r="AR35" s="113">
        <f t="shared" si="3"/>
        <v>0</v>
      </c>
      <c r="AS35" s="113">
        <f t="shared" si="3"/>
        <v>0</v>
      </c>
      <c r="AT35" s="113">
        <f t="shared" si="3"/>
        <v>0</v>
      </c>
      <c r="AU35" s="113">
        <f t="shared" si="3"/>
        <v>0</v>
      </c>
      <c r="AV35" s="291">
        <f t="shared" si="3"/>
        <v>0</v>
      </c>
      <c r="AW35" s="113">
        <f t="shared" si="3"/>
        <v>0</v>
      </c>
      <c r="AX35" s="113">
        <f t="shared" si="3"/>
        <v>0</v>
      </c>
      <c r="AY35" s="113">
        <f t="shared" si="3"/>
        <v>0</v>
      </c>
      <c r="AZ35" s="113">
        <f t="shared" ref="AZ35:BE35" si="7">SUM(AZ4:AZ34)</f>
        <v>0</v>
      </c>
      <c r="BA35" s="113">
        <f t="shared" si="7"/>
        <v>0</v>
      </c>
      <c r="BB35" s="113">
        <f t="shared" si="7"/>
        <v>0</v>
      </c>
      <c r="BC35" s="113">
        <f t="shared" si="7"/>
        <v>0</v>
      </c>
      <c r="BD35" s="113">
        <f t="shared" si="7"/>
        <v>0</v>
      </c>
      <c r="BE35" s="299">
        <f t="shared" si="7"/>
        <v>0</v>
      </c>
      <c r="BF35" s="391">
        <f>SUM(BF4:BF34)</f>
        <v>0</v>
      </c>
      <c r="BG35" s="391">
        <f t="shared" ref="BG35:BQ35" si="8">SUM(BG4:BG34)</f>
        <v>0</v>
      </c>
      <c r="BH35" s="392">
        <f t="shared" si="8"/>
        <v>0</v>
      </c>
      <c r="BI35" s="391">
        <f t="shared" si="8"/>
        <v>0</v>
      </c>
      <c r="BJ35" s="391">
        <f t="shared" si="8"/>
        <v>0</v>
      </c>
      <c r="BK35" s="392">
        <f t="shared" si="8"/>
        <v>0</v>
      </c>
      <c r="BL35" s="391">
        <f t="shared" si="8"/>
        <v>0</v>
      </c>
      <c r="BM35" s="391">
        <f t="shared" si="8"/>
        <v>0</v>
      </c>
      <c r="BN35" s="392">
        <f t="shared" si="8"/>
        <v>0</v>
      </c>
      <c r="BO35" s="391">
        <f t="shared" si="8"/>
        <v>0</v>
      </c>
      <c r="BP35" s="391">
        <f t="shared" si="8"/>
        <v>0</v>
      </c>
      <c r="BQ35" s="392">
        <f t="shared" si="8"/>
        <v>0</v>
      </c>
      <c r="BR35" s="391">
        <f>SUM(BR4:BR34)</f>
        <v>0</v>
      </c>
      <c r="BS35" s="391">
        <f t="shared" ref="BS35:CC35" si="9">SUM(BS4:BS34)</f>
        <v>0</v>
      </c>
      <c r="BT35" s="392">
        <f t="shared" si="9"/>
        <v>0</v>
      </c>
      <c r="BU35" s="391">
        <f t="shared" si="9"/>
        <v>0</v>
      </c>
      <c r="BV35" s="391">
        <f t="shared" si="9"/>
        <v>0</v>
      </c>
      <c r="BW35" s="392">
        <f t="shared" si="9"/>
        <v>0</v>
      </c>
      <c r="BX35" s="391">
        <f t="shared" si="9"/>
        <v>0</v>
      </c>
      <c r="BY35" s="391">
        <f t="shared" si="9"/>
        <v>0</v>
      </c>
      <c r="BZ35" s="392">
        <f t="shared" si="9"/>
        <v>0</v>
      </c>
      <c r="CA35" s="391">
        <f t="shared" si="9"/>
        <v>0</v>
      </c>
      <c r="CB35" s="391">
        <f t="shared" si="9"/>
        <v>0</v>
      </c>
      <c r="CC35" s="392">
        <f t="shared" si="9"/>
        <v>0</v>
      </c>
      <c r="CD35" s="389">
        <f t="shared" ref="CD35:CI35" si="10">SUM(CD4:CD34)</f>
        <v>0</v>
      </c>
      <c r="CE35" s="113">
        <f t="shared" si="10"/>
        <v>0</v>
      </c>
      <c r="CF35" s="113">
        <f t="shared" si="10"/>
        <v>0</v>
      </c>
      <c r="CG35" s="113">
        <f t="shared" si="10"/>
        <v>0</v>
      </c>
      <c r="CH35" s="113">
        <f t="shared" si="10"/>
        <v>0</v>
      </c>
      <c r="CI35" s="299">
        <f t="shared" si="10"/>
        <v>0</v>
      </c>
      <c r="CJ35" s="412">
        <f t="shared" ref="CJ35:CO35" si="11">SUM(CJ4:CJ34)</f>
        <v>0</v>
      </c>
      <c r="CK35" s="113">
        <f t="shared" si="11"/>
        <v>0</v>
      </c>
      <c r="CL35" s="113">
        <f t="shared" si="11"/>
        <v>0</v>
      </c>
      <c r="CM35" s="113">
        <f t="shared" si="11"/>
        <v>0</v>
      </c>
      <c r="CN35" s="113">
        <f t="shared" si="11"/>
        <v>0</v>
      </c>
      <c r="CO35" s="411">
        <f t="shared" si="11"/>
        <v>0</v>
      </c>
      <c r="CP35" s="412">
        <f t="shared" ref="CP35:CU35" si="12">SUM(CP4:CP34)</f>
        <v>0</v>
      </c>
      <c r="CQ35" s="113">
        <f t="shared" si="12"/>
        <v>0</v>
      </c>
      <c r="CR35" s="113">
        <f t="shared" si="12"/>
        <v>0</v>
      </c>
      <c r="CS35" s="113">
        <f t="shared" si="12"/>
        <v>0</v>
      </c>
      <c r="CT35" s="113">
        <f t="shared" si="12"/>
        <v>0</v>
      </c>
      <c r="CU35" s="411">
        <f t="shared" si="12"/>
        <v>0</v>
      </c>
      <c r="CV35" s="412">
        <f t="shared" ref="CV35:DA35" si="13">SUM(CV4:CV34)</f>
        <v>0</v>
      </c>
      <c r="CW35" s="113">
        <f t="shared" si="13"/>
        <v>0</v>
      </c>
      <c r="CX35" s="113">
        <f t="shared" si="13"/>
        <v>0</v>
      </c>
      <c r="CY35" s="113">
        <f t="shared" si="13"/>
        <v>0</v>
      </c>
      <c r="CZ35" s="113">
        <f t="shared" si="13"/>
        <v>0</v>
      </c>
      <c r="DA35" s="411">
        <f t="shared" si="13"/>
        <v>0</v>
      </c>
      <c r="DB35" s="113">
        <f>SUM(DB4:DB34)</f>
        <v>0</v>
      </c>
    </row>
    <row r="36" spans="1:106" ht="15.75" thickBot="1"/>
    <row r="37" spans="1:106" ht="15.75" thickBot="1">
      <c r="G37" s="457" t="s">
        <v>42</v>
      </c>
      <c r="H37" s="458"/>
    </row>
    <row r="38" spans="1:106" ht="15.75" thickBot="1">
      <c r="A38" s="462" t="s">
        <v>2</v>
      </c>
      <c r="B38" s="449" t="s">
        <v>45</v>
      </c>
      <c r="C38" s="450"/>
      <c r="D38" s="450"/>
      <c r="E38" s="450"/>
      <c r="F38" s="451"/>
      <c r="G38" s="449" t="s">
        <v>46</v>
      </c>
      <c r="H38" s="450"/>
      <c r="I38" s="450"/>
      <c r="J38" s="450"/>
      <c r="K38" s="450"/>
      <c r="L38" s="451"/>
      <c r="M38" s="454" t="s">
        <v>47</v>
      </c>
      <c r="N38" s="455"/>
      <c r="O38" s="455"/>
      <c r="P38" s="455"/>
      <c r="Q38" s="455"/>
      <c r="R38" s="456"/>
      <c r="S38" s="450" t="s">
        <v>48</v>
      </c>
      <c r="T38" s="450"/>
      <c r="U38" s="450"/>
      <c r="V38" s="450"/>
      <c r="W38" s="450"/>
      <c r="X38" s="450"/>
      <c r="Y38" s="449" t="s">
        <v>49</v>
      </c>
      <c r="Z38" s="450"/>
      <c r="AA38" s="450"/>
      <c r="AB38" s="450"/>
      <c r="AC38" s="451"/>
      <c r="AD38" s="449" t="s">
        <v>50</v>
      </c>
      <c r="AE38" s="450"/>
      <c r="AF38" s="450"/>
      <c r="AG38" s="450"/>
      <c r="AH38" s="450"/>
      <c r="AI38" s="450"/>
      <c r="AJ38" s="450"/>
      <c r="AK38" s="450"/>
      <c r="AL38" s="450"/>
      <c r="AM38" s="451"/>
      <c r="AN38" s="449" t="s">
        <v>51</v>
      </c>
      <c r="AO38" s="450"/>
      <c r="AP38" s="450"/>
      <c r="AQ38" s="450"/>
      <c r="AR38" s="450"/>
      <c r="AS38" s="450"/>
      <c r="AT38" s="450"/>
      <c r="AU38" s="451"/>
      <c r="AV38" s="449" t="s">
        <v>52</v>
      </c>
      <c r="AW38" s="450"/>
      <c r="AX38" s="450"/>
      <c r="AY38" s="451"/>
      <c r="AZ38" s="449" t="s">
        <v>53</v>
      </c>
      <c r="BA38" s="450"/>
      <c r="BB38" s="450"/>
      <c r="BC38" s="450"/>
      <c r="BD38" s="450"/>
      <c r="BE38" s="450"/>
      <c r="BF38" s="449" t="s">
        <v>54</v>
      </c>
      <c r="BG38" s="450"/>
      <c r="BH38" s="450"/>
      <c r="BI38" s="450"/>
      <c r="BJ38" s="450"/>
      <c r="BK38" s="450"/>
      <c r="BL38" s="450"/>
      <c r="BM38" s="450"/>
      <c r="BN38" s="450"/>
      <c r="BO38" s="450"/>
      <c r="BP38" s="450"/>
      <c r="BQ38" s="450"/>
      <c r="BR38" s="450"/>
      <c r="BS38" s="450"/>
      <c r="BT38" s="450"/>
      <c r="BU38" s="450"/>
      <c r="BV38" s="450"/>
      <c r="BW38" s="450"/>
      <c r="BX38" s="450"/>
      <c r="BY38" s="450"/>
      <c r="BZ38" s="450"/>
      <c r="CA38" s="450"/>
      <c r="CB38" s="450"/>
      <c r="CC38" s="451"/>
      <c r="CD38" s="449" t="s">
        <v>55</v>
      </c>
      <c r="CE38" s="450"/>
      <c r="CF38" s="450"/>
      <c r="CG38" s="450"/>
      <c r="CH38" s="450"/>
      <c r="CI38" s="451"/>
      <c r="CJ38" s="449" t="s">
        <v>182</v>
      </c>
      <c r="CK38" s="450"/>
      <c r="CL38" s="450"/>
      <c r="CM38" s="450"/>
      <c r="CN38" s="450"/>
      <c r="CO38" s="451"/>
      <c r="CP38" s="449" t="s">
        <v>183</v>
      </c>
      <c r="CQ38" s="450"/>
      <c r="CR38" s="450"/>
      <c r="CS38" s="450"/>
      <c r="CT38" s="450"/>
      <c r="CU38" s="451"/>
      <c r="CV38" s="449" t="s">
        <v>184</v>
      </c>
      <c r="CW38" s="450"/>
      <c r="CX38" s="450"/>
      <c r="CY38" s="450"/>
      <c r="CZ38" s="450"/>
      <c r="DA38" s="451"/>
      <c r="DB38" s="464" t="s">
        <v>56</v>
      </c>
    </row>
    <row r="39" spans="1:106" ht="14.25" customHeight="1" thickBot="1">
      <c r="A39" s="462"/>
      <c r="B39" s="285" t="s">
        <v>39</v>
      </c>
      <c r="C39" s="419" t="s">
        <v>39</v>
      </c>
      <c r="D39" s="419" t="s">
        <v>39</v>
      </c>
      <c r="E39" s="419" t="s">
        <v>39</v>
      </c>
      <c r="F39" s="419" t="s">
        <v>39</v>
      </c>
      <c r="G39" s="286" t="s">
        <v>39</v>
      </c>
      <c r="H39" s="286" t="s">
        <v>39</v>
      </c>
      <c r="I39" s="286" t="s">
        <v>39</v>
      </c>
      <c r="J39" s="286" t="s">
        <v>39</v>
      </c>
      <c r="K39" s="293" t="s">
        <v>39</v>
      </c>
      <c r="L39" s="418" t="s">
        <v>39</v>
      </c>
      <c r="M39" s="285" t="s">
        <v>39</v>
      </c>
      <c r="N39" s="286" t="s">
        <v>39</v>
      </c>
      <c r="O39" s="286" t="s">
        <v>39</v>
      </c>
      <c r="P39" s="419" t="s">
        <v>39</v>
      </c>
      <c r="Q39" s="419" t="s">
        <v>39</v>
      </c>
      <c r="R39" s="286" t="s">
        <v>39</v>
      </c>
      <c r="S39" s="286" t="s">
        <v>39</v>
      </c>
      <c r="T39" s="286" t="s">
        <v>39</v>
      </c>
      <c r="U39" s="286" t="s">
        <v>39</v>
      </c>
      <c r="V39" s="419" t="s">
        <v>39</v>
      </c>
      <c r="W39" s="286" t="s">
        <v>39</v>
      </c>
      <c r="X39" s="293" t="s">
        <v>39</v>
      </c>
      <c r="Y39" s="285" t="s">
        <v>39</v>
      </c>
      <c r="Z39" s="286" t="s">
        <v>39</v>
      </c>
      <c r="AA39" s="286" t="s">
        <v>39</v>
      </c>
      <c r="AB39" s="286" t="s">
        <v>39</v>
      </c>
      <c r="AC39" s="286" t="s">
        <v>39</v>
      </c>
      <c r="AD39" s="300" t="s">
        <v>39</v>
      </c>
      <c r="AE39" s="286" t="s">
        <v>41</v>
      </c>
      <c r="AF39" s="293" t="s">
        <v>39</v>
      </c>
      <c r="AG39" s="286" t="s">
        <v>41</v>
      </c>
      <c r="AH39" s="293" t="s">
        <v>39</v>
      </c>
      <c r="AI39" s="286" t="s">
        <v>41</v>
      </c>
      <c r="AJ39" s="293" t="s">
        <v>39</v>
      </c>
      <c r="AK39" s="286" t="s">
        <v>41</v>
      </c>
      <c r="AL39" s="293" t="s">
        <v>39</v>
      </c>
      <c r="AM39" s="286" t="s">
        <v>41</v>
      </c>
      <c r="AN39" s="300" t="s">
        <v>39</v>
      </c>
      <c r="AO39" s="286" t="s">
        <v>40</v>
      </c>
      <c r="AP39" s="293" t="s">
        <v>39</v>
      </c>
      <c r="AQ39" s="286" t="s">
        <v>40</v>
      </c>
      <c r="AR39" s="293" t="s">
        <v>39</v>
      </c>
      <c r="AS39" s="286" t="s">
        <v>40</v>
      </c>
      <c r="AT39" s="293" t="s">
        <v>39</v>
      </c>
      <c r="AU39" s="286" t="s">
        <v>40</v>
      </c>
      <c r="AV39" s="300" t="s">
        <v>39</v>
      </c>
      <c r="AW39" s="293" t="s">
        <v>39</v>
      </c>
      <c r="AX39" s="293" t="s">
        <v>39</v>
      </c>
      <c r="AY39" s="286" t="s">
        <v>39</v>
      </c>
      <c r="AZ39" s="302" t="s">
        <v>39</v>
      </c>
      <c r="BA39" s="303" t="s">
        <v>39</v>
      </c>
      <c r="BB39" s="303" t="s">
        <v>39</v>
      </c>
      <c r="BC39" s="303" t="s">
        <v>39</v>
      </c>
      <c r="BD39" s="303" t="s">
        <v>39</v>
      </c>
      <c r="BE39" s="292" t="s">
        <v>39</v>
      </c>
      <c r="BF39" s="304" t="s">
        <v>39</v>
      </c>
      <c r="BG39" s="305" t="s">
        <v>40</v>
      </c>
      <c r="BH39" s="306" t="s">
        <v>41</v>
      </c>
      <c r="BI39" s="304" t="s">
        <v>39</v>
      </c>
      <c r="BJ39" s="305" t="s">
        <v>40</v>
      </c>
      <c r="BK39" s="306" t="s">
        <v>41</v>
      </c>
      <c r="BL39" s="304" t="s">
        <v>39</v>
      </c>
      <c r="BM39" s="305" t="s">
        <v>40</v>
      </c>
      <c r="BN39" s="306" t="s">
        <v>41</v>
      </c>
      <c r="BO39" s="304" t="s">
        <v>39</v>
      </c>
      <c r="BP39" s="305" t="s">
        <v>40</v>
      </c>
      <c r="BQ39" s="306" t="s">
        <v>41</v>
      </c>
      <c r="BR39" s="304" t="s">
        <v>39</v>
      </c>
      <c r="BS39" s="305" t="s">
        <v>40</v>
      </c>
      <c r="BT39" s="306" t="s">
        <v>41</v>
      </c>
      <c r="BU39" s="304" t="s">
        <v>39</v>
      </c>
      <c r="BV39" s="305" t="s">
        <v>40</v>
      </c>
      <c r="BW39" s="306" t="s">
        <v>41</v>
      </c>
      <c r="BX39" s="304" t="s">
        <v>39</v>
      </c>
      <c r="BY39" s="305" t="s">
        <v>40</v>
      </c>
      <c r="BZ39" s="306" t="s">
        <v>41</v>
      </c>
      <c r="CA39" s="304" t="s">
        <v>39</v>
      </c>
      <c r="CB39" s="305" t="s">
        <v>40</v>
      </c>
      <c r="CC39" s="306" t="s">
        <v>41</v>
      </c>
      <c r="CD39" s="395" t="s">
        <v>39</v>
      </c>
      <c r="CE39" s="303" t="s">
        <v>39</v>
      </c>
      <c r="CF39" s="303" t="s">
        <v>39</v>
      </c>
      <c r="CG39" s="303" t="s">
        <v>39</v>
      </c>
      <c r="CH39" s="303" t="s">
        <v>39</v>
      </c>
      <c r="CI39" s="307" t="s">
        <v>39</v>
      </c>
      <c r="CJ39" s="395" t="s">
        <v>39</v>
      </c>
      <c r="CK39" s="414" t="s">
        <v>39</v>
      </c>
      <c r="CL39" s="414" t="s">
        <v>39</v>
      </c>
      <c r="CM39" s="414" t="s">
        <v>39</v>
      </c>
      <c r="CN39" s="414" t="s">
        <v>39</v>
      </c>
      <c r="CO39" s="307" t="s">
        <v>39</v>
      </c>
      <c r="CP39" s="395" t="s">
        <v>39</v>
      </c>
      <c r="CQ39" s="414" t="s">
        <v>39</v>
      </c>
      <c r="CR39" s="414" t="s">
        <v>39</v>
      </c>
      <c r="CS39" s="414" t="s">
        <v>39</v>
      </c>
      <c r="CT39" s="414" t="s">
        <v>39</v>
      </c>
      <c r="CU39" s="307" t="s">
        <v>39</v>
      </c>
      <c r="CV39" s="395" t="s">
        <v>39</v>
      </c>
      <c r="CW39" s="414" t="s">
        <v>39</v>
      </c>
      <c r="CX39" s="414" t="s">
        <v>39</v>
      </c>
      <c r="CY39" s="414" t="s">
        <v>39</v>
      </c>
      <c r="CZ39" s="414" t="s">
        <v>39</v>
      </c>
      <c r="DA39" s="307" t="s">
        <v>39</v>
      </c>
      <c r="DB39" s="464"/>
    </row>
    <row r="40" spans="1:106">
      <c r="A40" s="238">
        <v>1</v>
      </c>
      <c r="B40" s="239"/>
      <c r="C40" s="43"/>
      <c r="D40" s="43"/>
      <c r="E40" s="43"/>
      <c r="F40" s="283"/>
      <c r="G40" s="120"/>
      <c r="H40" s="41"/>
      <c r="I40" s="41"/>
      <c r="J40" s="41"/>
      <c r="K40" s="41"/>
      <c r="L40" s="121"/>
      <c r="M40" s="120"/>
      <c r="N40" s="262"/>
      <c r="O40" s="262"/>
      <c r="P40" s="262"/>
      <c r="Q40" s="262"/>
      <c r="R40" s="269"/>
      <c r="S40" s="287"/>
      <c r="T40" s="288"/>
      <c r="U40" s="288"/>
      <c r="V40" s="288"/>
      <c r="W40" s="288"/>
      <c r="X40" s="294"/>
      <c r="Y40" s="287"/>
      <c r="Z40" s="288"/>
      <c r="AA40" s="289"/>
      <c r="AB40" s="289"/>
      <c r="AC40" s="289"/>
      <c r="AD40" s="295"/>
      <c r="AE40" s="288"/>
      <c r="AF40" s="288"/>
      <c r="AG40" s="288"/>
      <c r="AH40" s="288"/>
      <c r="AI40" s="288"/>
      <c r="AJ40" s="288"/>
      <c r="AK40" s="288"/>
      <c r="AL40" s="288"/>
      <c r="AM40" s="294"/>
      <c r="AN40" s="287"/>
      <c r="AO40" s="288"/>
      <c r="AP40" s="288"/>
      <c r="AQ40" s="288"/>
      <c r="AR40" s="288"/>
      <c r="AS40" s="288"/>
      <c r="AT40" s="288"/>
      <c r="AU40" s="289"/>
      <c r="AV40" s="295"/>
      <c r="AW40" s="288"/>
      <c r="AX40" s="289"/>
      <c r="AY40" s="294"/>
      <c r="AZ40" s="287"/>
      <c r="BA40" s="288"/>
      <c r="BB40" s="288"/>
      <c r="BC40" s="288"/>
      <c r="BD40" s="288"/>
      <c r="BE40" s="289"/>
      <c r="BF40" s="268"/>
      <c r="BG40" s="262"/>
      <c r="BH40" s="262"/>
      <c r="BI40" s="262"/>
      <c r="BJ40" s="262"/>
      <c r="BK40" s="262"/>
      <c r="BL40" s="262"/>
      <c r="BM40" s="262"/>
      <c r="BN40" s="262"/>
      <c r="BO40" s="262"/>
      <c r="BP40" s="262"/>
      <c r="BQ40" s="262"/>
      <c r="BR40" s="262"/>
      <c r="BS40" s="262"/>
      <c r="BT40" s="262"/>
      <c r="BU40" s="262"/>
      <c r="BV40" s="262"/>
      <c r="BW40" s="262"/>
      <c r="BX40" s="262"/>
      <c r="BY40" s="262"/>
      <c r="BZ40" s="262"/>
      <c r="CA40" s="262"/>
      <c r="CB40" s="262"/>
      <c r="CC40" s="269"/>
      <c r="CD40" s="287"/>
      <c r="CE40" s="288"/>
      <c r="CF40" s="288"/>
      <c r="CG40" s="288"/>
      <c r="CH40" s="288"/>
      <c r="CI40" s="294"/>
      <c r="CJ40" s="287"/>
      <c r="CK40" s="288"/>
      <c r="CL40" s="288"/>
      <c r="CM40" s="288"/>
      <c r="CN40" s="288"/>
      <c r="CO40" s="294"/>
      <c r="CP40" s="287"/>
      <c r="CQ40" s="288"/>
      <c r="CR40" s="288"/>
      <c r="CS40" s="288"/>
      <c r="CT40" s="288"/>
      <c r="CU40" s="294"/>
      <c r="CV40" s="287"/>
      <c r="CW40" s="288"/>
      <c r="CX40" s="288"/>
      <c r="CY40" s="288"/>
      <c r="CZ40" s="288"/>
      <c r="DA40" s="294"/>
      <c r="DB40" s="56">
        <f>SUM(B40:DA40)</f>
        <v>0</v>
      </c>
    </row>
    <row r="41" spans="1:106">
      <c r="A41" s="238">
        <v>2</v>
      </c>
      <c r="B41" s="239"/>
      <c r="C41" s="43"/>
      <c r="D41" s="43"/>
      <c r="E41" s="43"/>
      <c r="F41" s="283"/>
      <c r="G41" s="239"/>
      <c r="H41" s="43"/>
      <c r="I41" s="43"/>
      <c r="J41" s="43"/>
      <c r="K41" s="43"/>
      <c r="L41" s="283"/>
      <c r="M41" s="239"/>
      <c r="N41" s="288"/>
      <c r="O41" s="288"/>
      <c r="P41" s="288"/>
      <c r="Q41" s="288"/>
      <c r="R41" s="294"/>
      <c r="S41" s="287"/>
      <c r="T41" s="288"/>
      <c r="U41" s="288"/>
      <c r="V41" s="288"/>
      <c r="W41" s="288"/>
      <c r="X41" s="294"/>
      <c r="Y41" s="287"/>
      <c r="Z41" s="288"/>
      <c r="AA41" s="289"/>
      <c r="AB41" s="289"/>
      <c r="AC41" s="289"/>
      <c r="AD41" s="295"/>
      <c r="AE41" s="288"/>
      <c r="AF41" s="288"/>
      <c r="AG41" s="288"/>
      <c r="AH41" s="288"/>
      <c r="AI41" s="288"/>
      <c r="AJ41" s="288"/>
      <c r="AK41" s="288"/>
      <c r="AL41" s="288"/>
      <c r="AM41" s="294"/>
      <c r="AN41" s="287"/>
      <c r="AO41" s="288"/>
      <c r="AP41" s="288"/>
      <c r="AQ41" s="288"/>
      <c r="AR41" s="288"/>
      <c r="AS41" s="288"/>
      <c r="AT41" s="288"/>
      <c r="AU41" s="289"/>
      <c r="AV41" s="295"/>
      <c r="AW41" s="288"/>
      <c r="AX41" s="289"/>
      <c r="AY41" s="294"/>
      <c r="AZ41" s="287"/>
      <c r="BA41" s="288"/>
      <c r="BB41" s="288"/>
      <c r="BC41" s="288"/>
      <c r="BD41" s="288"/>
      <c r="BE41" s="289"/>
      <c r="BF41" s="295"/>
      <c r="BG41" s="288"/>
      <c r="BH41" s="288"/>
      <c r="BI41" s="288"/>
      <c r="BJ41" s="288"/>
      <c r="BK41" s="288"/>
      <c r="BL41" s="288"/>
      <c r="BM41" s="288"/>
      <c r="BN41" s="288"/>
      <c r="BO41" s="288"/>
      <c r="BP41" s="288"/>
      <c r="BQ41" s="288"/>
      <c r="BR41" s="288"/>
      <c r="BS41" s="288"/>
      <c r="BT41" s="288"/>
      <c r="BU41" s="288"/>
      <c r="BV41" s="288"/>
      <c r="BW41" s="288"/>
      <c r="BX41" s="288"/>
      <c r="BY41" s="288"/>
      <c r="BZ41" s="288"/>
      <c r="CA41" s="288"/>
      <c r="CB41" s="288"/>
      <c r="CC41" s="294"/>
      <c r="CD41" s="287"/>
      <c r="CE41" s="288"/>
      <c r="CF41" s="288"/>
      <c r="CG41" s="288"/>
      <c r="CH41" s="288"/>
      <c r="CI41" s="294"/>
      <c r="CJ41" s="287"/>
      <c r="CK41" s="288"/>
      <c r="CL41" s="288"/>
      <c r="CM41" s="288"/>
      <c r="CN41" s="288"/>
      <c r="CO41" s="294"/>
      <c r="CP41" s="287"/>
      <c r="CQ41" s="288"/>
      <c r="CR41" s="288"/>
      <c r="CS41" s="288"/>
      <c r="CT41" s="288"/>
      <c r="CU41" s="294"/>
      <c r="CV41" s="287"/>
      <c r="CW41" s="288"/>
      <c r="CX41" s="288"/>
      <c r="CY41" s="288"/>
      <c r="CZ41" s="288"/>
      <c r="DA41" s="294"/>
      <c r="DB41" s="415">
        <f t="shared" ref="DB41:DB71" si="14">SUM(B41:DA41)</f>
        <v>0</v>
      </c>
    </row>
    <row r="42" spans="1:106">
      <c r="A42" s="238">
        <v>3</v>
      </c>
      <c r="B42" s="239"/>
      <c r="C42" s="43"/>
      <c r="D42" s="43"/>
      <c r="E42" s="43"/>
      <c r="F42" s="283"/>
      <c r="G42" s="239"/>
      <c r="H42" s="43"/>
      <c r="I42" s="43"/>
      <c r="J42" s="43"/>
      <c r="K42" s="43"/>
      <c r="L42" s="283"/>
      <c r="M42" s="239"/>
      <c r="N42" s="288"/>
      <c r="O42" s="288"/>
      <c r="P42" s="288"/>
      <c r="Q42" s="288"/>
      <c r="R42" s="294"/>
      <c r="S42" s="287"/>
      <c r="T42" s="288"/>
      <c r="U42" s="288"/>
      <c r="V42" s="288"/>
      <c r="W42" s="288"/>
      <c r="X42" s="294"/>
      <c r="Y42" s="287"/>
      <c r="Z42" s="288"/>
      <c r="AA42" s="289"/>
      <c r="AB42" s="289"/>
      <c r="AC42" s="289"/>
      <c r="AD42" s="295"/>
      <c r="AE42" s="288"/>
      <c r="AF42" s="288"/>
      <c r="AG42" s="288"/>
      <c r="AH42" s="288"/>
      <c r="AI42" s="288"/>
      <c r="AJ42" s="288"/>
      <c r="AK42" s="288"/>
      <c r="AL42" s="288"/>
      <c r="AM42" s="294"/>
      <c r="AN42" s="287"/>
      <c r="AO42" s="288"/>
      <c r="AP42" s="288"/>
      <c r="AQ42" s="288"/>
      <c r="AR42" s="288"/>
      <c r="AS42" s="288"/>
      <c r="AT42" s="288"/>
      <c r="AU42" s="289"/>
      <c r="AV42" s="295"/>
      <c r="AW42" s="288"/>
      <c r="AX42" s="289"/>
      <c r="AY42" s="294"/>
      <c r="AZ42" s="287"/>
      <c r="BA42" s="288"/>
      <c r="BB42" s="288"/>
      <c r="BC42" s="288"/>
      <c r="BD42" s="288"/>
      <c r="BE42" s="289"/>
      <c r="BF42" s="295"/>
      <c r="BG42" s="288"/>
      <c r="BH42" s="288"/>
      <c r="BI42" s="288"/>
      <c r="BJ42" s="288"/>
      <c r="BK42" s="288"/>
      <c r="BL42" s="288"/>
      <c r="BM42" s="288"/>
      <c r="BN42" s="288"/>
      <c r="BO42" s="288"/>
      <c r="BP42" s="288"/>
      <c r="BQ42" s="288"/>
      <c r="BR42" s="288"/>
      <c r="BS42" s="288"/>
      <c r="BT42" s="288"/>
      <c r="BU42" s="288"/>
      <c r="BV42" s="288"/>
      <c r="BW42" s="288"/>
      <c r="BX42" s="288"/>
      <c r="BY42" s="288"/>
      <c r="BZ42" s="288"/>
      <c r="CA42" s="288"/>
      <c r="CB42" s="288"/>
      <c r="CC42" s="294"/>
      <c r="CD42" s="287"/>
      <c r="CE42" s="288"/>
      <c r="CF42" s="288"/>
      <c r="CG42" s="288"/>
      <c r="CH42" s="288"/>
      <c r="CI42" s="294"/>
      <c r="CJ42" s="287"/>
      <c r="CK42" s="288"/>
      <c r="CL42" s="288"/>
      <c r="CM42" s="288"/>
      <c r="CN42" s="288"/>
      <c r="CO42" s="294"/>
      <c r="CP42" s="287"/>
      <c r="CQ42" s="288"/>
      <c r="CR42" s="288"/>
      <c r="CS42" s="288"/>
      <c r="CT42" s="288"/>
      <c r="CU42" s="294"/>
      <c r="CV42" s="287"/>
      <c r="CW42" s="288"/>
      <c r="CX42" s="288"/>
      <c r="CY42" s="288"/>
      <c r="CZ42" s="288"/>
      <c r="DA42" s="294"/>
      <c r="DB42" s="415">
        <f t="shared" si="14"/>
        <v>0</v>
      </c>
    </row>
    <row r="43" spans="1:106">
      <c r="A43" s="238">
        <v>4</v>
      </c>
      <c r="B43" s="239"/>
      <c r="C43" s="43"/>
      <c r="D43" s="43"/>
      <c r="E43" s="43"/>
      <c r="F43" s="283"/>
      <c r="G43" s="239"/>
      <c r="H43" s="43"/>
      <c r="I43" s="43"/>
      <c r="J43" s="43"/>
      <c r="K43" s="43"/>
      <c r="L43" s="283"/>
      <c r="M43" s="239"/>
      <c r="N43" s="288"/>
      <c r="O43" s="288"/>
      <c r="P43" s="288"/>
      <c r="Q43" s="288"/>
      <c r="R43" s="294"/>
      <c r="S43" s="287"/>
      <c r="T43" s="288"/>
      <c r="U43" s="288"/>
      <c r="V43" s="288"/>
      <c r="W43" s="288"/>
      <c r="X43" s="294"/>
      <c r="Y43" s="287"/>
      <c r="Z43" s="288"/>
      <c r="AA43" s="289"/>
      <c r="AB43" s="289"/>
      <c r="AC43" s="289"/>
      <c r="AD43" s="295"/>
      <c r="AE43" s="288"/>
      <c r="AF43" s="288"/>
      <c r="AG43" s="288"/>
      <c r="AH43" s="288"/>
      <c r="AI43" s="288"/>
      <c r="AJ43" s="288"/>
      <c r="AK43" s="288"/>
      <c r="AL43" s="288"/>
      <c r="AM43" s="294"/>
      <c r="AN43" s="287"/>
      <c r="AO43" s="288"/>
      <c r="AP43" s="288"/>
      <c r="AQ43" s="288"/>
      <c r="AR43" s="288"/>
      <c r="AS43" s="288"/>
      <c r="AT43" s="288"/>
      <c r="AU43" s="289"/>
      <c r="AV43" s="295"/>
      <c r="AW43" s="288"/>
      <c r="AX43" s="289"/>
      <c r="AY43" s="294"/>
      <c r="AZ43" s="287"/>
      <c r="BA43" s="288"/>
      <c r="BB43" s="288"/>
      <c r="BC43" s="288"/>
      <c r="BD43" s="288"/>
      <c r="BE43" s="289"/>
      <c r="BF43" s="295"/>
      <c r="BG43" s="288"/>
      <c r="BH43" s="288"/>
      <c r="BI43" s="288"/>
      <c r="BJ43" s="288"/>
      <c r="BK43" s="288"/>
      <c r="BL43" s="288"/>
      <c r="BM43" s="288"/>
      <c r="BN43" s="288"/>
      <c r="BO43" s="288"/>
      <c r="BP43" s="288"/>
      <c r="BQ43" s="288"/>
      <c r="BR43" s="288"/>
      <c r="BS43" s="288"/>
      <c r="BT43" s="288"/>
      <c r="BU43" s="288"/>
      <c r="BV43" s="288"/>
      <c r="BW43" s="288"/>
      <c r="BX43" s="288"/>
      <c r="BY43" s="288"/>
      <c r="BZ43" s="288"/>
      <c r="CA43" s="288"/>
      <c r="CB43" s="288"/>
      <c r="CC43" s="294"/>
      <c r="CD43" s="287"/>
      <c r="CE43" s="288"/>
      <c r="CF43" s="288"/>
      <c r="CG43" s="288"/>
      <c r="CH43" s="288"/>
      <c r="CI43" s="294"/>
      <c r="CJ43" s="287"/>
      <c r="CK43" s="288"/>
      <c r="CL43" s="288"/>
      <c r="CM43" s="288"/>
      <c r="CN43" s="288"/>
      <c r="CO43" s="294"/>
      <c r="CP43" s="287"/>
      <c r="CQ43" s="288"/>
      <c r="CR43" s="288"/>
      <c r="CS43" s="288"/>
      <c r="CT43" s="288"/>
      <c r="CU43" s="294"/>
      <c r="CV43" s="287"/>
      <c r="CW43" s="288"/>
      <c r="CX43" s="288"/>
      <c r="CY43" s="288"/>
      <c r="CZ43" s="288"/>
      <c r="DA43" s="294"/>
      <c r="DB43" s="415">
        <f t="shared" si="14"/>
        <v>0</v>
      </c>
    </row>
    <row r="44" spans="1:106">
      <c r="A44" s="238">
        <v>5</v>
      </c>
      <c r="B44" s="239"/>
      <c r="C44" s="43"/>
      <c r="D44" s="43"/>
      <c r="E44" s="43"/>
      <c r="F44" s="283"/>
      <c r="G44" s="239"/>
      <c r="H44" s="43"/>
      <c r="I44" s="43"/>
      <c r="J44" s="43"/>
      <c r="K44" s="43"/>
      <c r="L44" s="283"/>
      <c r="M44" s="239"/>
      <c r="N44" s="288"/>
      <c r="O44" s="288"/>
      <c r="P44" s="288"/>
      <c r="Q44" s="288"/>
      <c r="R44" s="294"/>
      <c r="S44" s="287"/>
      <c r="T44" s="288"/>
      <c r="U44" s="288"/>
      <c r="V44" s="288"/>
      <c r="W44" s="288"/>
      <c r="X44" s="294"/>
      <c r="Y44" s="287"/>
      <c r="Z44" s="288"/>
      <c r="AA44" s="289"/>
      <c r="AB44" s="289"/>
      <c r="AC44" s="289"/>
      <c r="AD44" s="295"/>
      <c r="AE44" s="288"/>
      <c r="AF44" s="288"/>
      <c r="AG44" s="288"/>
      <c r="AH44" s="288"/>
      <c r="AI44" s="288"/>
      <c r="AJ44" s="288"/>
      <c r="AK44" s="288"/>
      <c r="AL44" s="288"/>
      <c r="AM44" s="294"/>
      <c r="AN44" s="287"/>
      <c r="AO44" s="288"/>
      <c r="AP44" s="288"/>
      <c r="AQ44" s="288"/>
      <c r="AR44" s="288"/>
      <c r="AS44" s="288"/>
      <c r="AT44" s="288"/>
      <c r="AU44" s="289"/>
      <c r="AV44" s="295"/>
      <c r="AW44" s="288"/>
      <c r="AX44" s="289"/>
      <c r="AY44" s="294"/>
      <c r="AZ44" s="287"/>
      <c r="BA44" s="288"/>
      <c r="BB44" s="288"/>
      <c r="BC44" s="288"/>
      <c r="BD44" s="288"/>
      <c r="BE44" s="289"/>
      <c r="BF44" s="295"/>
      <c r="BG44" s="288"/>
      <c r="BH44" s="288"/>
      <c r="BI44" s="288"/>
      <c r="BJ44" s="288"/>
      <c r="BK44" s="288"/>
      <c r="BL44" s="288"/>
      <c r="BM44" s="288"/>
      <c r="BN44" s="288"/>
      <c r="BO44" s="288"/>
      <c r="BP44" s="288"/>
      <c r="BQ44" s="288"/>
      <c r="BR44" s="288"/>
      <c r="BS44" s="288"/>
      <c r="BT44" s="288"/>
      <c r="BU44" s="288"/>
      <c r="BV44" s="288"/>
      <c r="BW44" s="288"/>
      <c r="BX44" s="288"/>
      <c r="BY44" s="288"/>
      <c r="BZ44" s="288"/>
      <c r="CA44" s="288"/>
      <c r="CB44" s="288"/>
      <c r="CC44" s="294"/>
      <c r="CD44" s="287"/>
      <c r="CE44" s="288"/>
      <c r="CF44" s="288"/>
      <c r="CG44" s="288"/>
      <c r="CH44" s="288"/>
      <c r="CI44" s="294"/>
      <c r="CJ44" s="287"/>
      <c r="CK44" s="288"/>
      <c r="CL44" s="288"/>
      <c r="CM44" s="288"/>
      <c r="CN44" s="288"/>
      <c r="CO44" s="294"/>
      <c r="CP44" s="287"/>
      <c r="CQ44" s="288"/>
      <c r="CR44" s="288"/>
      <c r="CS44" s="288"/>
      <c r="CT44" s="288"/>
      <c r="CU44" s="294"/>
      <c r="CV44" s="287"/>
      <c r="CW44" s="288"/>
      <c r="CX44" s="288"/>
      <c r="CY44" s="288"/>
      <c r="CZ44" s="288"/>
      <c r="DA44" s="294"/>
      <c r="DB44" s="415">
        <f t="shared" si="14"/>
        <v>0</v>
      </c>
    </row>
    <row r="45" spans="1:106">
      <c r="A45" s="238">
        <v>6</v>
      </c>
      <c r="B45" s="239"/>
      <c r="C45" s="43"/>
      <c r="D45" s="43"/>
      <c r="E45" s="43"/>
      <c r="F45" s="283"/>
      <c r="G45" s="239"/>
      <c r="H45" s="43"/>
      <c r="I45" s="43"/>
      <c r="J45" s="43"/>
      <c r="K45" s="43"/>
      <c r="L45" s="283"/>
      <c r="M45" s="239"/>
      <c r="N45" s="288"/>
      <c r="O45" s="288"/>
      <c r="P45" s="288"/>
      <c r="Q45" s="288"/>
      <c r="R45" s="294"/>
      <c r="S45" s="287"/>
      <c r="T45" s="288"/>
      <c r="U45" s="288"/>
      <c r="V45" s="288"/>
      <c r="W45" s="288"/>
      <c r="X45" s="294"/>
      <c r="Y45" s="287"/>
      <c r="Z45" s="288"/>
      <c r="AA45" s="289"/>
      <c r="AB45" s="289"/>
      <c r="AC45" s="289"/>
      <c r="AD45" s="295"/>
      <c r="AE45" s="288"/>
      <c r="AF45" s="288"/>
      <c r="AG45" s="288"/>
      <c r="AH45" s="288"/>
      <c r="AI45" s="288"/>
      <c r="AJ45" s="288"/>
      <c r="AK45" s="288"/>
      <c r="AL45" s="288"/>
      <c r="AM45" s="294"/>
      <c r="AN45" s="287"/>
      <c r="AO45" s="288"/>
      <c r="AP45" s="288"/>
      <c r="AQ45" s="288"/>
      <c r="AR45" s="288"/>
      <c r="AS45" s="288"/>
      <c r="AT45" s="288"/>
      <c r="AU45" s="289"/>
      <c r="AV45" s="295"/>
      <c r="AW45" s="288"/>
      <c r="AX45" s="289"/>
      <c r="AY45" s="294"/>
      <c r="AZ45" s="287"/>
      <c r="BA45" s="288"/>
      <c r="BB45" s="288"/>
      <c r="BC45" s="288"/>
      <c r="BD45" s="288"/>
      <c r="BE45" s="289"/>
      <c r="BF45" s="295"/>
      <c r="BG45" s="288"/>
      <c r="BH45" s="288"/>
      <c r="BI45" s="288"/>
      <c r="BJ45" s="288"/>
      <c r="BK45" s="288"/>
      <c r="BL45" s="288"/>
      <c r="BM45" s="288"/>
      <c r="BN45" s="288"/>
      <c r="BO45" s="288"/>
      <c r="BP45" s="288"/>
      <c r="BQ45" s="288"/>
      <c r="BR45" s="288"/>
      <c r="BS45" s="288"/>
      <c r="BT45" s="288"/>
      <c r="BU45" s="288"/>
      <c r="BV45" s="288"/>
      <c r="BW45" s="288"/>
      <c r="BX45" s="288"/>
      <c r="BY45" s="288"/>
      <c r="BZ45" s="288"/>
      <c r="CA45" s="288"/>
      <c r="CB45" s="288"/>
      <c r="CC45" s="294"/>
      <c r="CD45" s="287"/>
      <c r="CE45" s="288"/>
      <c r="CF45" s="288"/>
      <c r="CG45" s="288"/>
      <c r="CH45" s="288"/>
      <c r="CI45" s="294"/>
      <c r="CJ45" s="287"/>
      <c r="CK45" s="288"/>
      <c r="CL45" s="288"/>
      <c r="CM45" s="288"/>
      <c r="CN45" s="288"/>
      <c r="CO45" s="294"/>
      <c r="CP45" s="287"/>
      <c r="CQ45" s="288"/>
      <c r="CR45" s="288"/>
      <c r="CS45" s="288"/>
      <c r="CT45" s="288"/>
      <c r="CU45" s="294"/>
      <c r="CV45" s="287"/>
      <c r="CW45" s="288"/>
      <c r="CX45" s="288"/>
      <c r="CY45" s="288"/>
      <c r="CZ45" s="288"/>
      <c r="DA45" s="294"/>
      <c r="DB45" s="415">
        <f t="shared" si="14"/>
        <v>0</v>
      </c>
    </row>
    <row r="46" spans="1:106" s="1" customFormat="1">
      <c r="A46" s="243">
        <v>7</v>
      </c>
      <c r="B46" s="239"/>
      <c r="C46" s="43"/>
      <c r="D46" s="43"/>
      <c r="E46" s="43"/>
      <c r="F46" s="283"/>
      <c r="G46" s="239"/>
      <c r="H46" s="43"/>
      <c r="I46" s="43"/>
      <c r="J46" s="43"/>
      <c r="K46" s="43"/>
      <c r="L46" s="283"/>
      <c r="M46" s="239"/>
      <c r="N46" s="288"/>
      <c r="O46" s="288"/>
      <c r="P46" s="288"/>
      <c r="Q46" s="288"/>
      <c r="R46" s="294"/>
      <c r="S46" s="287"/>
      <c r="T46" s="288"/>
      <c r="U46" s="288"/>
      <c r="V46" s="288"/>
      <c r="W46" s="288"/>
      <c r="X46" s="294"/>
      <c r="Y46" s="287"/>
      <c r="Z46" s="288"/>
      <c r="AA46" s="289"/>
      <c r="AB46" s="289"/>
      <c r="AC46" s="289"/>
      <c r="AD46" s="295"/>
      <c r="AE46" s="288"/>
      <c r="AF46" s="288"/>
      <c r="AG46" s="288"/>
      <c r="AH46" s="288"/>
      <c r="AI46" s="288"/>
      <c r="AJ46" s="288"/>
      <c r="AK46" s="288"/>
      <c r="AL46" s="288"/>
      <c r="AM46" s="294"/>
      <c r="AN46" s="287"/>
      <c r="AO46" s="288"/>
      <c r="AP46" s="288"/>
      <c r="AQ46" s="288"/>
      <c r="AR46" s="288"/>
      <c r="AS46" s="288"/>
      <c r="AT46" s="288"/>
      <c r="AU46" s="289"/>
      <c r="AV46" s="295"/>
      <c r="AW46" s="288"/>
      <c r="AX46" s="289"/>
      <c r="AY46" s="294"/>
      <c r="AZ46" s="287"/>
      <c r="BA46" s="288"/>
      <c r="BB46" s="288"/>
      <c r="BC46" s="288"/>
      <c r="BD46" s="288"/>
      <c r="BE46" s="289"/>
      <c r="BF46" s="295"/>
      <c r="BG46" s="288"/>
      <c r="BH46" s="288"/>
      <c r="BI46" s="288"/>
      <c r="BJ46" s="288"/>
      <c r="BK46" s="288"/>
      <c r="BL46" s="288"/>
      <c r="BM46" s="288"/>
      <c r="BN46" s="288"/>
      <c r="BO46" s="288"/>
      <c r="BP46" s="288"/>
      <c r="BQ46" s="288"/>
      <c r="BR46" s="288"/>
      <c r="BS46" s="288"/>
      <c r="BT46" s="288"/>
      <c r="BU46" s="288"/>
      <c r="BV46" s="288"/>
      <c r="BW46" s="288"/>
      <c r="BX46" s="288"/>
      <c r="BY46" s="288"/>
      <c r="BZ46" s="288"/>
      <c r="CA46" s="288"/>
      <c r="CB46" s="288"/>
      <c r="CC46" s="294"/>
      <c r="CD46" s="287"/>
      <c r="CE46" s="288"/>
      <c r="CF46" s="288"/>
      <c r="CG46" s="288"/>
      <c r="CH46" s="288"/>
      <c r="CI46" s="294"/>
      <c r="CJ46" s="287"/>
      <c r="CK46" s="288"/>
      <c r="CL46" s="288"/>
      <c r="CM46" s="288"/>
      <c r="CN46" s="288"/>
      <c r="CO46" s="294"/>
      <c r="CP46" s="287"/>
      <c r="CQ46" s="288"/>
      <c r="CR46" s="288"/>
      <c r="CS46" s="288"/>
      <c r="CT46" s="288"/>
      <c r="CU46" s="294"/>
      <c r="CV46" s="287"/>
      <c r="CW46" s="288"/>
      <c r="CX46" s="288"/>
      <c r="CY46" s="288"/>
      <c r="CZ46" s="288"/>
      <c r="DA46" s="294"/>
      <c r="DB46" s="415">
        <f t="shared" si="14"/>
        <v>0</v>
      </c>
    </row>
    <row r="47" spans="1:106" s="1" customFormat="1">
      <c r="A47" s="238">
        <v>8</v>
      </c>
      <c r="B47" s="239"/>
      <c r="C47" s="43"/>
      <c r="D47" s="43"/>
      <c r="E47" s="43"/>
      <c r="F47" s="283"/>
      <c r="G47" s="295"/>
      <c r="H47" s="288"/>
      <c r="I47" s="288"/>
      <c r="J47" s="288"/>
      <c r="K47" s="288"/>
      <c r="L47" s="289"/>
      <c r="M47" s="295"/>
      <c r="N47" s="288"/>
      <c r="O47" s="288"/>
      <c r="P47" s="288"/>
      <c r="Q47" s="288"/>
      <c r="R47" s="294"/>
      <c r="S47" s="287"/>
      <c r="T47" s="288"/>
      <c r="U47" s="288"/>
      <c r="V47" s="288"/>
      <c r="W47" s="288"/>
      <c r="X47" s="294"/>
      <c r="Y47" s="287"/>
      <c r="Z47" s="288"/>
      <c r="AA47" s="289"/>
      <c r="AB47" s="289"/>
      <c r="AC47" s="289"/>
      <c r="AD47" s="295"/>
      <c r="AE47" s="288"/>
      <c r="AF47" s="288"/>
      <c r="AG47" s="288"/>
      <c r="AH47" s="288"/>
      <c r="AI47" s="288"/>
      <c r="AJ47" s="288"/>
      <c r="AK47" s="288"/>
      <c r="AL47" s="288"/>
      <c r="AM47" s="294"/>
      <c r="AN47" s="287"/>
      <c r="AO47" s="288"/>
      <c r="AP47" s="288"/>
      <c r="AQ47" s="288"/>
      <c r="AR47" s="288"/>
      <c r="AS47" s="288"/>
      <c r="AT47" s="288"/>
      <c r="AU47" s="289"/>
      <c r="AV47" s="295"/>
      <c r="AW47" s="288"/>
      <c r="AX47" s="289"/>
      <c r="AY47" s="294"/>
      <c r="AZ47" s="287"/>
      <c r="BA47" s="288"/>
      <c r="BB47" s="288"/>
      <c r="BC47" s="288"/>
      <c r="BD47" s="288"/>
      <c r="BE47" s="289"/>
      <c r="BF47" s="295"/>
      <c r="BG47" s="288"/>
      <c r="BH47" s="288"/>
      <c r="BI47" s="288"/>
      <c r="BJ47" s="288"/>
      <c r="BK47" s="288"/>
      <c r="BL47" s="288"/>
      <c r="BM47" s="288"/>
      <c r="BN47" s="288"/>
      <c r="BO47" s="288"/>
      <c r="BP47" s="288"/>
      <c r="BQ47" s="288"/>
      <c r="BR47" s="288"/>
      <c r="BS47" s="288"/>
      <c r="BT47" s="288"/>
      <c r="BU47" s="288"/>
      <c r="BV47" s="288"/>
      <c r="BW47" s="288"/>
      <c r="BX47" s="288"/>
      <c r="BY47" s="288"/>
      <c r="BZ47" s="288"/>
      <c r="CA47" s="288"/>
      <c r="CB47" s="288"/>
      <c r="CC47" s="294"/>
      <c r="CD47" s="287"/>
      <c r="CE47" s="288"/>
      <c r="CF47" s="288"/>
      <c r="CG47" s="288"/>
      <c r="CH47" s="288"/>
      <c r="CI47" s="294"/>
      <c r="CJ47" s="287"/>
      <c r="CK47" s="288"/>
      <c r="CL47" s="288"/>
      <c r="CM47" s="288"/>
      <c r="CN47" s="288"/>
      <c r="CO47" s="294"/>
      <c r="CP47" s="287"/>
      <c r="CQ47" s="288"/>
      <c r="CR47" s="288"/>
      <c r="CS47" s="288"/>
      <c r="CT47" s="288"/>
      <c r="CU47" s="294"/>
      <c r="CV47" s="287"/>
      <c r="CW47" s="288"/>
      <c r="CX47" s="288"/>
      <c r="CY47" s="288"/>
      <c r="CZ47" s="288"/>
      <c r="DA47" s="294"/>
      <c r="DB47" s="415">
        <f t="shared" si="14"/>
        <v>0</v>
      </c>
    </row>
    <row r="48" spans="1:106">
      <c r="A48" s="238">
        <v>9</v>
      </c>
      <c r="B48" s="239"/>
      <c r="C48" s="43"/>
      <c r="D48" s="43"/>
      <c r="E48" s="43"/>
      <c r="F48" s="283"/>
      <c r="G48" s="295"/>
      <c r="H48" s="288"/>
      <c r="I48" s="288"/>
      <c r="J48" s="288"/>
      <c r="K48" s="288"/>
      <c r="L48" s="289"/>
      <c r="M48" s="295"/>
      <c r="N48" s="288"/>
      <c r="O48" s="288"/>
      <c r="P48" s="288"/>
      <c r="Q48" s="288"/>
      <c r="R48" s="294"/>
      <c r="S48" s="287"/>
      <c r="T48" s="288"/>
      <c r="U48" s="288"/>
      <c r="V48" s="288"/>
      <c r="W48" s="288"/>
      <c r="X48" s="294"/>
      <c r="Y48" s="287"/>
      <c r="Z48" s="288"/>
      <c r="AA48" s="289"/>
      <c r="AB48" s="289"/>
      <c r="AC48" s="289"/>
      <c r="AD48" s="295"/>
      <c r="AE48" s="288"/>
      <c r="AF48" s="288"/>
      <c r="AG48" s="288"/>
      <c r="AH48" s="288"/>
      <c r="AI48" s="288"/>
      <c r="AJ48" s="288"/>
      <c r="AK48" s="288"/>
      <c r="AL48" s="288"/>
      <c r="AM48" s="294"/>
      <c r="AN48" s="287"/>
      <c r="AO48" s="288"/>
      <c r="AP48" s="288"/>
      <c r="AQ48" s="288"/>
      <c r="AR48" s="288"/>
      <c r="AS48" s="288"/>
      <c r="AT48" s="288"/>
      <c r="AU48" s="289"/>
      <c r="AV48" s="295"/>
      <c r="AW48" s="288"/>
      <c r="AX48" s="289"/>
      <c r="AY48" s="294"/>
      <c r="AZ48" s="287"/>
      <c r="BA48" s="288"/>
      <c r="BB48" s="288"/>
      <c r="BC48" s="288"/>
      <c r="BD48" s="288"/>
      <c r="BE48" s="289"/>
      <c r="BF48" s="295"/>
      <c r="BG48" s="288"/>
      <c r="BH48" s="288"/>
      <c r="BI48" s="288"/>
      <c r="BJ48" s="288"/>
      <c r="BK48" s="288"/>
      <c r="BL48" s="288"/>
      <c r="BM48" s="288"/>
      <c r="BN48" s="288"/>
      <c r="BO48" s="288"/>
      <c r="BP48" s="288"/>
      <c r="BQ48" s="288"/>
      <c r="BR48" s="288"/>
      <c r="BS48" s="288"/>
      <c r="BT48" s="288"/>
      <c r="BU48" s="288"/>
      <c r="BV48" s="288"/>
      <c r="BW48" s="288"/>
      <c r="BX48" s="288"/>
      <c r="BY48" s="288"/>
      <c r="BZ48" s="288"/>
      <c r="CA48" s="288"/>
      <c r="CB48" s="288"/>
      <c r="CC48" s="294"/>
      <c r="CD48" s="287"/>
      <c r="CE48" s="288"/>
      <c r="CF48" s="288"/>
      <c r="CG48" s="288"/>
      <c r="CH48" s="288"/>
      <c r="CI48" s="294"/>
      <c r="CJ48" s="287"/>
      <c r="CK48" s="288"/>
      <c r="CL48" s="288"/>
      <c r="CM48" s="288"/>
      <c r="CN48" s="288"/>
      <c r="CO48" s="294"/>
      <c r="CP48" s="287"/>
      <c r="CQ48" s="288"/>
      <c r="CR48" s="288"/>
      <c r="CS48" s="288"/>
      <c r="CT48" s="288"/>
      <c r="CU48" s="294"/>
      <c r="CV48" s="287"/>
      <c r="CW48" s="288"/>
      <c r="CX48" s="288"/>
      <c r="CY48" s="288"/>
      <c r="CZ48" s="288"/>
      <c r="DA48" s="294"/>
      <c r="DB48" s="415">
        <f t="shared" si="14"/>
        <v>0</v>
      </c>
    </row>
    <row r="49" spans="1:106">
      <c r="A49" s="238">
        <v>10</v>
      </c>
      <c r="B49" s="239"/>
      <c r="C49" s="43"/>
      <c r="D49" s="43"/>
      <c r="E49" s="43"/>
      <c r="F49" s="283"/>
      <c r="G49" s="295"/>
      <c r="H49" s="288"/>
      <c r="I49" s="288"/>
      <c r="J49" s="288"/>
      <c r="K49" s="288"/>
      <c r="L49" s="289"/>
      <c r="M49" s="295"/>
      <c r="N49" s="288"/>
      <c r="O49" s="288"/>
      <c r="P49" s="288"/>
      <c r="Q49" s="288"/>
      <c r="R49" s="294"/>
      <c r="S49" s="287"/>
      <c r="T49" s="288"/>
      <c r="U49" s="288"/>
      <c r="V49" s="288"/>
      <c r="W49" s="288"/>
      <c r="X49" s="294"/>
      <c r="Y49" s="287"/>
      <c r="Z49" s="288"/>
      <c r="AA49" s="289"/>
      <c r="AB49" s="289"/>
      <c r="AC49" s="289"/>
      <c r="AD49" s="295"/>
      <c r="AE49" s="288"/>
      <c r="AF49" s="288"/>
      <c r="AG49" s="288"/>
      <c r="AH49" s="288"/>
      <c r="AI49" s="288"/>
      <c r="AJ49" s="288"/>
      <c r="AK49" s="288"/>
      <c r="AL49" s="288"/>
      <c r="AM49" s="294"/>
      <c r="AN49" s="287"/>
      <c r="AO49" s="288"/>
      <c r="AP49" s="288"/>
      <c r="AQ49" s="288"/>
      <c r="AR49" s="288"/>
      <c r="AS49" s="288"/>
      <c r="AT49" s="288"/>
      <c r="AU49" s="289"/>
      <c r="AV49" s="295"/>
      <c r="AW49" s="288"/>
      <c r="AX49" s="289"/>
      <c r="AY49" s="294"/>
      <c r="AZ49" s="287"/>
      <c r="BA49" s="288"/>
      <c r="BB49" s="288"/>
      <c r="BC49" s="288"/>
      <c r="BD49" s="288"/>
      <c r="BE49" s="289"/>
      <c r="BF49" s="295"/>
      <c r="BG49" s="288"/>
      <c r="BH49" s="288"/>
      <c r="BI49" s="288"/>
      <c r="BJ49" s="288"/>
      <c r="BK49" s="288"/>
      <c r="BL49" s="288"/>
      <c r="BM49" s="288"/>
      <c r="BN49" s="288"/>
      <c r="BO49" s="288"/>
      <c r="BP49" s="288"/>
      <c r="BQ49" s="288"/>
      <c r="BR49" s="288"/>
      <c r="BS49" s="288"/>
      <c r="BT49" s="288"/>
      <c r="BU49" s="288"/>
      <c r="BV49" s="288"/>
      <c r="BW49" s="288"/>
      <c r="BX49" s="288"/>
      <c r="BY49" s="288"/>
      <c r="BZ49" s="288"/>
      <c r="CA49" s="288"/>
      <c r="CB49" s="288"/>
      <c r="CC49" s="294"/>
      <c r="CD49" s="287"/>
      <c r="CE49" s="288"/>
      <c r="CF49" s="288"/>
      <c r="CG49" s="288"/>
      <c r="CH49" s="288"/>
      <c r="CI49" s="294"/>
      <c r="CJ49" s="287"/>
      <c r="CK49" s="288"/>
      <c r="CL49" s="288"/>
      <c r="CM49" s="288"/>
      <c r="CN49" s="288"/>
      <c r="CO49" s="294"/>
      <c r="CP49" s="287"/>
      <c r="CQ49" s="288"/>
      <c r="CR49" s="288"/>
      <c r="CS49" s="288"/>
      <c r="CT49" s="288"/>
      <c r="CU49" s="294"/>
      <c r="CV49" s="287"/>
      <c r="CW49" s="288"/>
      <c r="CX49" s="288"/>
      <c r="CY49" s="288"/>
      <c r="CZ49" s="288"/>
      <c r="DA49" s="294"/>
      <c r="DB49" s="415">
        <f t="shared" si="14"/>
        <v>0</v>
      </c>
    </row>
    <row r="50" spans="1:106">
      <c r="A50" s="238">
        <v>11</v>
      </c>
      <c r="B50" s="239"/>
      <c r="C50" s="43"/>
      <c r="D50" s="43"/>
      <c r="E50" s="43"/>
      <c r="F50" s="283"/>
      <c r="G50" s="295"/>
      <c r="H50" s="288"/>
      <c r="I50" s="288"/>
      <c r="J50" s="288"/>
      <c r="K50" s="288"/>
      <c r="L50" s="289"/>
      <c r="M50" s="295"/>
      <c r="N50" s="288"/>
      <c r="O50" s="288"/>
      <c r="P50" s="288"/>
      <c r="Q50" s="288"/>
      <c r="R50" s="294"/>
      <c r="S50" s="287"/>
      <c r="T50" s="288"/>
      <c r="U50" s="288"/>
      <c r="V50" s="288"/>
      <c r="W50" s="288"/>
      <c r="X50" s="294"/>
      <c r="Y50" s="287"/>
      <c r="Z50" s="288"/>
      <c r="AA50" s="289"/>
      <c r="AB50" s="289"/>
      <c r="AC50" s="289"/>
      <c r="AD50" s="295"/>
      <c r="AE50" s="288"/>
      <c r="AF50" s="288"/>
      <c r="AG50" s="288"/>
      <c r="AH50" s="288"/>
      <c r="AI50" s="288"/>
      <c r="AJ50" s="288"/>
      <c r="AK50" s="288"/>
      <c r="AL50" s="288"/>
      <c r="AM50" s="294"/>
      <c r="AN50" s="287"/>
      <c r="AO50" s="288"/>
      <c r="AP50" s="288"/>
      <c r="AQ50" s="288"/>
      <c r="AR50" s="288"/>
      <c r="AS50" s="288"/>
      <c r="AT50" s="288"/>
      <c r="AU50" s="289"/>
      <c r="AV50" s="295"/>
      <c r="AW50" s="288"/>
      <c r="AX50" s="289"/>
      <c r="AY50" s="294"/>
      <c r="AZ50" s="287"/>
      <c r="BA50" s="288"/>
      <c r="BB50" s="288"/>
      <c r="BC50" s="288"/>
      <c r="BD50" s="288"/>
      <c r="BE50" s="289"/>
      <c r="BF50" s="295"/>
      <c r="BG50" s="288"/>
      <c r="BH50" s="288"/>
      <c r="BI50" s="288"/>
      <c r="BJ50" s="288"/>
      <c r="BK50" s="288"/>
      <c r="BL50" s="288"/>
      <c r="BM50" s="288"/>
      <c r="BN50" s="288"/>
      <c r="BO50" s="288"/>
      <c r="BP50" s="288"/>
      <c r="BQ50" s="288"/>
      <c r="BR50" s="288"/>
      <c r="BS50" s="288"/>
      <c r="BT50" s="288"/>
      <c r="BU50" s="288"/>
      <c r="BV50" s="288"/>
      <c r="BW50" s="288"/>
      <c r="BX50" s="288"/>
      <c r="BY50" s="288"/>
      <c r="BZ50" s="288"/>
      <c r="CA50" s="288"/>
      <c r="CB50" s="288"/>
      <c r="CC50" s="294"/>
      <c r="CD50" s="287"/>
      <c r="CE50" s="288"/>
      <c r="CF50" s="288"/>
      <c r="CG50" s="288"/>
      <c r="CH50" s="288"/>
      <c r="CI50" s="294"/>
      <c r="CJ50" s="287"/>
      <c r="CK50" s="288"/>
      <c r="CL50" s="288"/>
      <c r="CM50" s="288"/>
      <c r="CN50" s="288"/>
      <c r="CO50" s="294"/>
      <c r="CP50" s="287"/>
      <c r="CQ50" s="288"/>
      <c r="CR50" s="288"/>
      <c r="CS50" s="288"/>
      <c r="CT50" s="288"/>
      <c r="CU50" s="294"/>
      <c r="CV50" s="287"/>
      <c r="CW50" s="288"/>
      <c r="CX50" s="288"/>
      <c r="CY50" s="288"/>
      <c r="CZ50" s="288"/>
      <c r="DA50" s="294"/>
      <c r="DB50" s="415">
        <f t="shared" si="14"/>
        <v>0</v>
      </c>
    </row>
    <row r="51" spans="1:106">
      <c r="A51" s="238">
        <v>12</v>
      </c>
      <c r="B51" s="239"/>
      <c r="C51" s="43"/>
      <c r="D51" s="43"/>
      <c r="E51" s="43"/>
      <c r="F51" s="283"/>
      <c r="G51" s="295"/>
      <c r="H51" s="288"/>
      <c r="I51" s="288"/>
      <c r="J51" s="288"/>
      <c r="K51" s="288"/>
      <c r="L51" s="289"/>
      <c r="M51" s="295"/>
      <c r="N51" s="288"/>
      <c r="O51" s="288"/>
      <c r="P51" s="288"/>
      <c r="Q51" s="288"/>
      <c r="R51" s="294"/>
      <c r="S51" s="287"/>
      <c r="T51" s="288"/>
      <c r="U51" s="288"/>
      <c r="V51" s="288"/>
      <c r="W51" s="288"/>
      <c r="X51" s="294"/>
      <c r="Y51" s="287"/>
      <c r="Z51" s="288"/>
      <c r="AA51" s="289"/>
      <c r="AB51" s="289"/>
      <c r="AC51" s="289"/>
      <c r="AD51" s="295"/>
      <c r="AE51" s="288"/>
      <c r="AF51" s="288"/>
      <c r="AG51" s="288"/>
      <c r="AH51" s="288"/>
      <c r="AI51" s="288"/>
      <c r="AJ51" s="288"/>
      <c r="AK51" s="288"/>
      <c r="AL51" s="288"/>
      <c r="AM51" s="294"/>
      <c r="AN51" s="287"/>
      <c r="AO51" s="288"/>
      <c r="AP51" s="288"/>
      <c r="AQ51" s="288"/>
      <c r="AR51" s="288"/>
      <c r="AS51" s="288"/>
      <c r="AT51" s="288"/>
      <c r="AU51" s="289"/>
      <c r="AV51" s="295"/>
      <c r="AW51" s="288"/>
      <c r="AX51" s="289"/>
      <c r="AY51" s="294"/>
      <c r="AZ51" s="287"/>
      <c r="BA51" s="288"/>
      <c r="BB51" s="288"/>
      <c r="BC51" s="288"/>
      <c r="BD51" s="288"/>
      <c r="BE51" s="289"/>
      <c r="BF51" s="295"/>
      <c r="BG51" s="288"/>
      <c r="BH51" s="288"/>
      <c r="BI51" s="288"/>
      <c r="BJ51" s="288"/>
      <c r="BK51" s="288"/>
      <c r="BL51" s="288"/>
      <c r="BM51" s="288"/>
      <c r="BN51" s="288"/>
      <c r="BO51" s="288"/>
      <c r="BP51" s="288"/>
      <c r="BQ51" s="288"/>
      <c r="BR51" s="288"/>
      <c r="BS51" s="288"/>
      <c r="BT51" s="288"/>
      <c r="BU51" s="288"/>
      <c r="BV51" s="288"/>
      <c r="BW51" s="288"/>
      <c r="BX51" s="288"/>
      <c r="BY51" s="288"/>
      <c r="BZ51" s="288"/>
      <c r="CA51" s="288"/>
      <c r="CB51" s="288"/>
      <c r="CC51" s="294"/>
      <c r="CD51" s="287"/>
      <c r="CE51" s="288"/>
      <c r="CF51" s="288"/>
      <c r="CG51" s="288"/>
      <c r="CH51" s="288"/>
      <c r="CI51" s="294"/>
      <c r="CJ51" s="287"/>
      <c r="CK51" s="288"/>
      <c r="CL51" s="288"/>
      <c r="CM51" s="288"/>
      <c r="CN51" s="288"/>
      <c r="CO51" s="294"/>
      <c r="CP51" s="287"/>
      <c r="CQ51" s="288"/>
      <c r="CR51" s="288"/>
      <c r="CS51" s="288"/>
      <c r="CT51" s="288"/>
      <c r="CU51" s="294"/>
      <c r="CV51" s="287"/>
      <c r="CW51" s="288"/>
      <c r="CX51" s="288"/>
      <c r="CY51" s="288"/>
      <c r="CZ51" s="288"/>
      <c r="DA51" s="294"/>
      <c r="DB51" s="415">
        <f t="shared" si="14"/>
        <v>0</v>
      </c>
    </row>
    <row r="52" spans="1:106">
      <c r="A52" s="238">
        <v>13</v>
      </c>
      <c r="B52" s="239"/>
      <c r="C52" s="43"/>
      <c r="D52" s="43"/>
      <c r="E52" s="43"/>
      <c r="F52" s="283"/>
      <c r="G52" s="295"/>
      <c r="H52" s="288"/>
      <c r="I52" s="288"/>
      <c r="J52" s="288"/>
      <c r="K52" s="288"/>
      <c r="L52" s="289"/>
      <c r="M52" s="295"/>
      <c r="N52" s="288"/>
      <c r="O52" s="288"/>
      <c r="P52" s="288"/>
      <c r="Q52" s="288"/>
      <c r="R52" s="294"/>
      <c r="S52" s="287"/>
      <c r="T52" s="288"/>
      <c r="U52" s="288"/>
      <c r="V52" s="288"/>
      <c r="W52" s="288"/>
      <c r="X52" s="294"/>
      <c r="Y52" s="287"/>
      <c r="Z52" s="288"/>
      <c r="AA52" s="289"/>
      <c r="AB52" s="289"/>
      <c r="AC52" s="289"/>
      <c r="AD52" s="295"/>
      <c r="AE52" s="288"/>
      <c r="AF52" s="288"/>
      <c r="AG52" s="288"/>
      <c r="AH52" s="288"/>
      <c r="AI52" s="288"/>
      <c r="AJ52" s="288"/>
      <c r="AK52" s="288"/>
      <c r="AL52" s="288"/>
      <c r="AM52" s="294"/>
      <c r="AN52" s="287"/>
      <c r="AO52" s="288"/>
      <c r="AP52" s="288"/>
      <c r="AQ52" s="288"/>
      <c r="AR52" s="288"/>
      <c r="AS52" s="288"/>
      <c r="AT52" s="288"/>
      <c r="AU52" s="289"/>
      <c r="AV52" s="295"/>
      <c r="AW52" s="288"/>
      <c r="AX52" s="289"/>
      <c r="AY52" s="294"/>
      <c r="AZ52" s="287"/>
      <c r="BA52" s="288"/>
      <c r="BB52" s="288"/>
      <c r="BC52" s="288"/>
      <c r="BD52" s="288"/>
      <c r="BE52" s="289"/>
      <c r="BF52" s="295"/>
      <c r="BG52" s="288"/>
      <c r="BH52" s="288"/>
      <c r="BI52" s="288"/>
      <c r="BJ52" s="288"/>
      <c r="BK52" s="288"/>
      <c r="BL52" s="288"/>
      <c r="BM52" s="288"/>
      <c r="BN52" s="288"/>
      <c r="BO52" s="288"/>
      <c r="BP52" s="288"/>
      <c r="BQ52" s="288"/>
      <c r="BR52" s="288"/>
      <c r="BS52" s="288"/>
      <c r="BT52" s="288"/>
      <c r="BU52" s="288"/>
      <c r="BV52" s="288"/>
      <c r="BW52" s="288"/>
      <c r="BX52" s="288"/>
      <c r="BY52" s="288"/>
      <c r="BZ52" s="288"/>
      <c r="CA52" s="288"/>
      <c r="CB52" s="288"/>
      <c r="CC52" s="294"/>
      <c r="CD52" s="287"/>
      <c r="CE52" s="288"/>
      <c r="CF52" s="288"/>
      <c r="CG52" s="288"/>
      <c r="CH52" s="288"/>
      <c r="CI52" s="294"/>
      <c r="CJ52" s="287"/>
      <c r="CK52" s="288"/>
      <c r="CL52" s="288"/>
      <c r="CM52" s="288"/>
      <c r="CN52" s="288"/>
      <c r="CO52" s="294"/>
      <c r="CP52" s="287"/>
      <c r="CQ52" s="288"/>
      <c r="CR52" s="288"/>
      <c r="CS52" s="288"/>
      <c r="CT52" s="288"/>
      <c r="CU52" s="294"/>
      <c r="CV52" s="287"/>
      <c r="CW52" s="288"/>
      <c r="CX52" s="288"/>
      <c r="CY52" s="288"/>
      <c r="CZ52" s="288"/>
      <c r="DA52" s="294"/>
      <c r="DB52" s="415">
        <f t="shared" si="14"/>
        <v>0</v>
      </c>
    </row>
    <row r="53" spans="1:106" s="1" customFormat="1">
      <c r="A53" s="243">
        <v>14</v>
      </c>
      <c r="B53" s="239"/>
      <c r="C53" s="43"/>
      <c r="D53" s="43"/>
      <c r="E53" s="43"/>
      <c r="F53" s="283"/>
      <c r="G53" s="295"/>
      <c r="H53" s="288"/>
      <c r="I53" s="288"/>
      <c r="J53" s="288"/>
      <c r="K53" s="288"/>
      <c r="L53" s="289"/>
      <c r="M53" s="295"/>
      <c r="N53" s="288"/>
      <c r="O53" s="288"/>
      <c r="P53" s="288"/>
      <c r="Q53" s="288"/>
      <c r="R53" s="294"/>
      <c r="S53" s="287"/>
      <c r="T53" s="288"/>
      <c r="U53" s="288"/>
      <c r="V53" s="288"/>
      <c r="W53" s="288"/>
      <c r="X53" s="294"/>
      <c r="Y53" s="287"/>
      <c r="Z53" s="288"/>
      <c r="AA53" s="289"/>
      <c r="AB53" s="289"/>
      <c r="AC53" s="289"/>
      <c r="AD53" s="295"/>
      <c r="AE53" s="288"/>
      <c r="AF53" s="288"/>
      <c r="AG53" s="288"/>
      <c r="AH53" s="288"/>
      <c r="AI53" s="288"/>
      <c r="AJ53" s="288"/>
      <c r="AK53" s="288"/>
      <c r="AL53" s="288"/>
      <c r="AM53" s="294"/>
      <c r="AN53" s="287"/>
      <c r="AO53" s="288"/>
      <c r="AP53" s="288"/>
      <c r="AQ53" s="288"/>
      <c r="AR53" s="288"/>
      <c r="AS53" s="288"/>
      <c r="AT53" s="288"/>
      <c r="AU53" s="289"/>
      <c r="AV53" s="295"/>
      <c r="AW53" s="288"/>
      <c r="AX53" s="289"/>
      <c r="AY53" s="294"/>
      <c r="AZ53" s="287"/>
      <c r="BA53" s="288"/>
      <c r="BB53" s="288"/>
      <c r="BC53" s="288"/>
      <c r="BD53" s="288"/>
      <c r="BE53" s="289"/>
      <c r="BF53" s="295"/>
      <c r="BG53" s="288"/>
      <c r="BH53" s="288"/>
      <c r="BI53" s="288"/>
      <c r="BJ53" s="288"/>
      <c r="BK53" s="288"/>
      <c r="BL53" s="288"/>
      <c r="BM53" s="288"/>
      <c r="BN53" s="288"/>
      <c r="BO53" s="288"/>
      <c r="BP53" s="288"/>
      <c r="BQ53" s="288"/>
      <c r="BR53" s="288"/>
      <c r="BS53" s="288"/>
      <c r="BT53" s="288"/>
      <c r="BU53" s="288"/>
      <c r="BV53" s="288"/>
      <c r="BW53" s="288"/>
      <c r="BX53" s="288"/>
      <c r="BY53" s="288"/>
      <c r="BZ53" s="288"/>
      <c r="CA53" s="288"/>
      <c r="CB53" s="288"/>
      <c r="CC53" s="294"/>
      <c r="CD53" s="287"/>
      <c r="CE53" s="288"/>
      <c r="CF53" s="288"/>
      <c r="CG53" s="288"/>
      <c r="CH53" s="288"/>
      <c r="CI53" s="294"/>
      <c r="CJ53" s="287"/>
      <c r="CK53" s="288"/>
      <c r="CL53" s="288"/>
      <c r="CM53" s="288"/>
      <c r="CN53" s="288"/>
      <c r="CO53" s="294"/>
      <c r="CP53" s="287"/>
      <c r="CQ53" s="288"/>
      <c r="CR53" s="288"/>
      <c r="CS53" s="288"/>
      <c r="CT53" s="288"/>
      <c r="CU53" s="294"/>
      <c r="CV53" s="287"/>
      <c r="CW53" s="288"/>
      <c r="CX53" s="288"/>
      <c r="CY53" s="288"/>
      <c r="CZ53" s="288"/>
      <c r="DA53" s="294"/>
      <c r="DB53" s="415">
        <f t="shared" si="14"/>
        <v>0</v>
      </c>
    </row>
    <row r="54" spans="1:106">
      <c r="A54" s="238">
        <v>15</v>
      </c>
      <c r="B54" s="239"/>
      <c r="C54" s="43"/>
      <c r="D54" s="43"/>
      <c r="E54" s="43"/>
      <c r="F54" s="283"/>
      <c r="G54" s="295"/>
      <c r="H54" s="288"/>
      <c r="I54" s="288"/>
      <c r="J54" s="288"/>
      <c r="K54" s="288"/>
      <c r="L54" s="289"/>
      <c r="M54" s="295"/>
      <c r="N54" s="288"/>
      <c r="O54" s="288"/>
      <c r="P54" s="288"/>
      <c r="Q54" s="288"/>
      <c r="R54" s="294"/>
      <c r="S54" s="287"/>
      <c r="T54" s="288"/>
      <c r="U54" s="288"/>
      <c r="V54" s="288"/>
      <c r="W54" s="288"/>
      <c r="X54" s="294"/>
      <c r="Y54" s="287"/>
      <c r="Z54" s="288"/>
      <c r="AA54" s="289"/>
      <c r="AB54" s="289"/>
      <c r="AC54" s="289"/>
      <c r="AD54" s="295"/>
      <c r="AE54" s="288"/>
      <c r="AF54" s="288"/>
      <c r="AG54" s="288"/>
      <c r="AH54" s="288"/>
      <c r="AI54" s="288"/>
      <c r="AJ54" s="288"/>
      <c r="AK54" s="288"/>
      <c r="AL54" s="288"/>
      <c r="AM54" s="294"/>
      <c r="AN54" s="287"/>
      <c r="AO54" s="288"/>
      <c r="AP54" s="288"/>
      <c r="AQ54" s="288"/>
      <c r="AR54" s="288"/>
      <c r="AS54" s="288"/>
      <c r="AT54" s="288"/>
      <c r="AU54" s="289"/>
      <c r="AV54" s="295"/>
      <c r="AW54" s="288"/>
      <c r="AX54" s="289"/>
      <c r="AY54" s="294"/>
      <c r="AZ54" s="287"/>
      <c r="BA54" s="288"/>
      <c r="BB54" s="288"/>
      <c r="BC54" s="288"/>
      <c r="BD54" s="288"/>
      <c r="BE54" s="289"/>
      <c r="BF54" s="295"/>
      <c r="BG54" s="288"/>
      <c r="BH54" s="288"/>
      <c r="BI54" s="288"/>
      <c r="BJ54" s="288"/>
      <c r="BK54" s="288"/>
      <c r="BL54" s="288"/>
      <c r="BM54" s="288"/>
      <c r="BN54" s="288"/>
      <c r="BO54" s="288"/>
      <c r="BP54" s="288"/>
      <c r="BQ54" s="288"/>
      <c r="BR54" s="288"/>
      <c r="BS54" s="288"/>
      <c r="BT54" s="288"/>
      <c r="BU54" s="288"/>
      <c r="BV54" s="288"/>
      <c r="BW54" s="288"/>
      <c r="BX54" s="288"/>
      <c r="BY54" s="288"/>
      <c r="BZ54" s="288"/>
      <c r="CA54" s="288"/>
      <c r="CB54" s="288"/>
      <c r="CC54" s="294"/>
      <c r="CD54" s="287"/>
      <c r="CE54" s="288"/>
      <c r="CF54" s="288"/>
      <c r="CG54" s="288"/>
      <c r="CH54" s="288"/>
      <c r="CI54" s="294"/>
      <c r="CJ54" s="287"/>
      <c r="CK54" s="288"/>
      <c r="CL54" s="288"/>
      <c r="CM54" s="288"/>
      <c r="CN54" s="288"/>
      <c r="CO54" s="294"/>
      <c r="CP54" s="287"/>
      <c r="CQ54" s="288"/>
      <c r="CR54" s="288"/>
      <c r="CS54" s="288"/>
      <c r="CT54" s="288"/>
      <c r="CU54" s="294"/>
      <c r="CV54" s="287"/>
      <c r="CW54" s="288"/>
      <c r="CX54" s="288"/>
      <c r="CY54" s="288"/>
      <c r="CZ54" s="288"/>
      <c r="DA54" s="294"/>
      <c r="DB54" s="415">
        <f t="shared" si="14"/>
        <v>0</v>
      </c>
    </row>
    <row r="55" spans="1:106">
      <c r="A55" s="238">
        <v>16</v>
      </c>
      <c r="B55" s="239"/>
      <c r="C55" s="43"/>
      <c r="D55" s="43"/>
      <c r="E55" s="43"/>
      <c r="F55" s="283"/>
      <c r="G55" s="295"/>
      <c r="H55" s="288"/>
      <c r="I55" s="288"/>
      <c r="J55" s="288"/>
      <c r="K55" s="288"/>
      <c r="L55" s="289"/>
      <c r="M55" s="295"/>
      <c r="N55" s="288"/>
      <c r="O55" s="288"/>
      <c r="P55" s="288"/>
      <c r="Q55" s="288"/>
      <c r="R55" s="294"/>
      <c r="S55" s="287"/>
      <c r="T55" s="288"/>
      <c r="U55" s="288"/>
      <c r="V55" s="288"/>
      <c r="W55" s="288"/>
      <c r="X55" s="294"/>
      <c r="Y55" s="287"/>
      <c r="Z55" s="288"/>
      <c r="AA55" s="289"/>
      <c r="AB55" s="289"/>
      <c r="AC55" s="289"/>
      <c r="AD55" s="295"/>
      <c r="AE55" s="288"/>
      <c r="AF55" s="288"/>
      <c r="AG55" s="288"/>
      <c r="AH55" s="288"/>
      <c r="AI55" s="288"/>
      <c r="AJ55" s="288"/>
      <c r="AK55" s="288"/>
      <c r="AL55" s="288"/>
      <c r="AM55" s="294"/>
      <c r="AN55" s="287"/>
      <c r="AO55" s="288"/>
      <c r="AP55" s="288"/>
      <c r="AQ55" s="288"/>
      <c r="AR55" s="288"/>
      <c r="AS55" s="288"/>
      <c r="AT55" s="288"/>
      <c r="AU55" s="289"/>
      <c r="AV55" s="295"/>
      <c r="AW55" s="288"/>
      <c r="AX55" s="289"/>
      <c r="AY55" s="294"/>
      <c r="AZ55" s="287"/>
      <c r="BA55" s="288"/>
      <c r="BB55" s="288"/>
      <c r="BC55" s="288"/>
      <c r="BD55" s="288"/>
      <c r="BE55" s="289"/>
      <c r="BF55" s="295"/>
      <c r="BG55" s="288"/>
      <c r="BH55" s="288"/>
      <c r="BI55" s="288"/>
      <c r="BJ55" s="288"/>
      <c r="BK55" s="288"/>
      <c r="BL55" s="288"/>
      <c r="BM55" s="288"/>
      <c r="BN55" s="288"/>
      <c r="BO55" s="288"/>
      <c r="BP55" s="288"/>
      <c r="BQ55" s="288"/>
      <c r="BR55" s="288"/>
      <c r="BS55" s="288"/>
      <c r="BT55" s="288"/>
      <c r="BU55" s="288"/>
      <c r="BV55" s="288"/>
      <c r="BW55" s="288"/>
      <c r="BX55" s="288"/>
      <c r="BY55" s="288"/>
      <c r="BZ55" s="288"/>
      <c r="CA55" s="288"/>
      <c r="CB55" s="288"/>
      <c r="CC55" s="294"/>
      <c r="CD55" s="287"/>
      <c r="CE55" s="288"/>
      <c r="CF55" s="288"/>
      <c r="CG55" s="288"/>
      <c r="CH55" s="288"/>
      <c r="CI55" s="294"/>
      <c r="CJ55" s="287"/>
      <c r="CK55" s="288"/>
      <c r="CL55" s="288"/>
      <c r="CM55" s="288"/>
      <c r="CN55" s="288"/>
      <c r="CO55" s="294"/>
      <c r="CP55" s="287"/>
      <c r="CQ55" s="288"/>
      <c r="CR55" s="288"/>
      <c r="CS55" s="288"/>
      <c r="CT55" s="288"/>
      <c r="CU55" s="294"/>
      <c r="CV55" s="287"/>
      <c r="CW55" s="288"/>
      <c r="CX55" s="288"/>
      <c r="CY55" s="288"/>
      <c r="CZ55" s="288"/>
      <c r="DA55" s="294"/>
      <c r="DB55" s="415">
        <f t="shared" si="14"/>
        <v>0</v>
      </c>
    </row>
    <row r="56" spans="1:106">
      <c r="A56" s="238">
        <v>17</v>
      </c>
      <c r="B56" s="239"/>
      <c r="C56" s="43"/>
      <c r="D56" s="43"/>
      <c r="E56" s="43"/>
      <c r="F56" s="283"/>
      <c r="G56" s="295"/>
      <c r="H56" s="288"/>
      <c r="I56" s="288"/>
      <c r="J56" s="288"/>
      <c r="K56" s="288"/>
      <c r="L56" s="289"/>
      <c r="M56" s="295"/>
      <c r="N56" s="288"/>
      <c r="O56" s="288"/>
      <c r="P56" s="288"/>
      <c r="Q56" s="288"/>
      <c r="R56" s="294"/>
      <c r="S56" s="287"/>
      <c r="T56" s="288"/>
      <c r="U56" s="288"/>
      <c r="V56" s="288"/>
      <c r="W56" s="288"/>
      <c r="X56" s="294"/>
      <c r="Y56" s="287"/>
      <c r="Z56" s="288"/>
      <c r="AA56" s="289"/>
      <c r="AB56" s="289"/>
      <c r="AC56" s="289"/>
      <c r="AD56" s="295"/>
      <c r="AE56" s="288"/>
      <c r="AF56" s="288"/>
      <c r="AG56" s="288"/>
      <c r="AH56" s="288"/>
      <c r="AI56" s="288"/>
      <c r="AJ56" s="288"/>
      <c r="AK56" s="288"/>
      <c r="AL56" s="288"/>
      <c r="AM56" s="294"/>
      <c r="AN56" s="287"/>
      <c r="AO56" s="288"/>
      <c r="AP56" s="288"/>
      <c r="AQ56" s="288"/>
      <c r="AR56" s="288"/>
      <c r="AS56" s="288"/>
      <c r="AT56" s="288"/>
      <c r="AU56" s="289"/>
      <c r="AV56" s="295"/>
      <c r="AW56" s="288"/>
      <c r="AX56" s="289"/>
      <c r="AY56" s="294"/>
      <c r="AZ56" s="287"/>
      <c r="BA56" s="288"/>
      <c r="BB56" s="288"/>
      <c r="BC56" s="288"/>
      <c r="BD56" s="288"/>
      <c r="BE56" s="289"/>
      <c r="BF56" s="295"/>
      <c r="BG56" s="288"/>
      <c r="BH56" s="288"/>
      <c r="BI56" s="288"/>
      <c r="BJ56" s="288"/>
      <c r="BK56" s="288"/>
      <c r="BL56" s="288"/>
      <c r="BM56" s="288"/>
      <c r="BN56" s="288"/>
      <c r="BO56" s="288"/>
      <c r="BP56" s="288"/>
      <c r="BQ56" s="288"/>
      <c r="BR56" s="288"/>
      <c r="BS56" s="288"/>
      <c r="BT56" s="288"/>
      <c r="BU56" s="288"/>
      <c r="BV56" s="288"/>
      <c r="BW56" s="288"/>
      <c r="BX56" s="288"/>
      <c r="BY56" s="288"/>
      <c r="BZ56" s="288"/>
      <c r="CA56" s="288"/>
      <c r="CB56" s="288"/>
      <c r="CC56" s="294"/>
      <c r="CD56" s="287"/>
      <c r="CE56" s="288"/>
      <c r="CF56" s="288"/>
      <c r="CG56" s="288"/>
      <c r="CH56" s="288"/>
      <c r="CI56" s="294"/>
      <c r="CJ56" s="287"/>
      <c r="CK56" s="288"/>
      <c r="CL56" s="288"/>
      <c r="CM56" s="288"/>
      <c r="CN56" s="288"/>
      <c r="CO56" s="294"/>
      <c r="CP56" s="287"/>
      <c r="CQ56" s="288"/>
      <c r="CR56" s="288"/>
      <c r="CS56" s="288"/>
      <c r="CT56" s="288"/>
      <c r="CU56" s="294"/>
      <c r="CV56" s="287"/>
      <c r="CW56" s="288"/>
      <c r="CX56" s="288"/>
      <c r="CY56" s="288"/>
      <c r="CZ56" s="288"/>
      <c r="DA56" s="294"/>
      <c r="DB56" s="415">
        <f t="shared" si="14"/>
        <v>0</v>
      </c>
    </row>
    <row r="57" spans="1:106">
      <c r="A57" s="238">
        <v>18</v>
      </c>
      <c r="B57" s="239"/>
      <c r="C57" s="43"/>
      <c r="D57" s="43"/>
      <c r="E57" s="43"/>
      <c r="F57" s="283"/>
      <c r="G57" s="295"/>
      <c r="H57" s="288"/>
      <c r="I57" s="288"/>
      <c r="J57" s="288"/>
      <c r="K57" s="288"/>
      <c r="L57" s="289"/>
      <c r="M57" s="295"/>
      <c r="N57" s="288"/>
      <c r="O57" s="288"/>
      <c r="P57" s="288"/>
      <c r="Q57" s="288"/>
      <c r="R57" s="294"/>
      <c r="S57" s="287"/>
      <c r="T57" s="288"/>
      <c r="U57" s="288"/>
      <c r="V57" s="288"/>
      <c r="W57" s="288"/>
      <c r="X57" s="294"/>
      <c r="Y57" s="287"/>
      <c r="Z57" s="288"/>
      <c r="AA57" s="289"/>
      <c r="AB57" s="289"/>
      <c r="AC57" s="289"/>
      <c r="AD57" s="295"/>
      <c r="AE57" s="288"/>
      <c r="AF57" s="288"/>
      <c r="AG57" s="288"/>
      <c r="AH57" s="288"/>
      <c r="AI57" s="288"/>
      <c r="AJ57" s="288"/>
      <c r="AK57" s="288"/>
      <c r="AL57" s="288"/>
      <c r="AM57" s="294"/>
      <c r="AN57" s="287"/>
      <c r="AO57" s="288"/>
      <c r="AP57" s="288"/>
      <c r="AQ57" s="288"/>
      <c r="AR57" s="288"/>
      <c r="AS57" s="288"/>
      <c r="AT57" s="288"/>
      <c r="AU57" s="289"/>
      <c r="AV57" s="295"/>
      <c r="AW57" s="288"/>
      <c r="AX57" s="289"/>
      <c r="AY57" s="294"/>
      <c r="AZ57" s="287"/>
      <c r="BA57" s="288"/>
      <c r="BB57" s="288"/>
      <c r="BC57" s="288"/>
      <c r="BD57" s="288"/>
      <c r="BE57" s="289"/>
      <c r="BF57" s="295"/>
      <c r="BG57" s="288"/>
      <c r="BH57" s="288"/>
      <c r="BI57" s="288"/>
      <c r="BJ57" s="288"/>
      <c r="BK57" s="288"/>
      <c r="BL57" s="288"/>
      <c r="BM57" s="288"/>
      <c r="BN57" s="288"/>
      <c r="BO57" s="288"/>
      <c r="BP57" s="288"/>
      <c r="BQ57" s="288"/>
      <c r="BR57" s="288"/>
      <c r="BS57" s="288"/>
      <c r="BT57" s="288"/>
      <c r="BU57" s="288"/>
      <c r="BV57" s="288"/>
      <c r="BW57" s="288"/>
      <c r="BX57" s="288"/>
      <c r="BY57" s="288"/>
      <c r="BZ57" s="288"/>
      <c r="CA57" s="288"/>
      <c r="CB57" s="288"/>
      <c r="CC57" s="294"/>
      <c r="CD57" s="287"/>
      <c r="CE57" s="288"/>
      <c r="CF57" s="288"/>
      <c r="CG57" s="288"/>
      <c r="CH57" s="288"/>
      <c r="CI57" s="294"/>
      <c r="CJ57" s="287"/>
      <c r="CK57" s="288"/>
      <c r="CL57" s="288"/>
      <c r="CM57" s="288"/>
      <c r="CN57" s="288"/>
      <c r="CO57" s="294"/>
      <c r="CP57" s="287"/>
      <c r="CQ57" s="288"/>
      <c r="CR57" s="288"/>
      <c r="CS57" s="288"/>
      <c r="CT57" s="288"/>
      <c r="CU57" s="294"/>
      <c r="CV57" s="287"/>
      <c r="CW57" s="288"/>
      <c r="CX57" s="288"/>
      <c r="CY57" s="288"/>
      <c r="CZ57" s="288"/>
      <c r="DA57" s="294"/>
      <c r="DB57" s="415">
        <f t="shared" si="14"/>
        <v>0</v>
      </c>
    </row>
    <row r="58" spans="1:106">
      <c r="A58" s="238">
        <v>19</v>
      </c>
      <c r="B58" s="239"/>
      <c r="C58" s="43"/>
      <c r="D58" s="43"/>
      <c r="E58" s="43"/>
      <c r="F58" s="283"/>
      <c r="G58" s="295"/>
      <c r="H58" s="288"/>
      <c r="I58" s="288"/>
      <c r="J58" s="288"/>
      <c r="K58" s="288"/>
      <c r="L58" s="289"/>
      <c r="M58" s="295"/>
      <c r="N58" s="288"/>
      <c r="O58" s="288"/>
      <c r="P58" s="288"/>
      <c r="Q58" s="288"/>
      <c r="R58" s="294"/>
      <c r="S58" s="287"/>
      <c r="T58" s="288"/>
      <c r="U58" s="288"/>
      <c r="V58" s="288"/>
      <c r="W58" s="288"/>
      <c r="X58" s="294"/>
      <c r="Y58" s="287"/>
      <c r="Z58" s="288"/>
      <c r="AA58" s="289"/>
      <c r="AB58" s="289"/>
      <c r="AC58" s="289"/>
      <c r="AD58" s="295"/>
      <c r="AE58" s="288"/>
      <c r="AF58" s="288"/>
      <c r="AG58" s="288"/>
      <c r="AH58" s="288"/>
      <c r="AI58" s="288"/>
      <c r="AJ58" s="288"/>
      <c r="AK58" s="288"/>
      <c r="AL58" s="288"/>
      <c r="AM58" s="294"/>
      <c r="AN58" s="287"/>
      <c r="AO58" s="288"/>
      <c r="AP58" s="288"/>
      <c r="AQ58" s="288"/>
      <c r="AR58" s="288"/>
      <c r="AS58" s="288"/>
      <c r="AT58" s="288"/>
      <c r="AU58" s="289"/>
      <c r="AV58" s="295"/>
      <c r="AW58" s="288"/>
      <c r="AX58" s="289"/>
      <c r="AY58" s="294"/>
      <c r="AZ58" s="287"/>
      <c r="BA58" s="288"/>
      <c r="BB58" s="288"/>
      <c r="BC58" s="288"/>
      <c r="BD58" s="288"/>
      <c r="BE58" s="289"/>
      <c r="BF58" s="295"/>
      <c r="BG58" s="288"/>
      <c r="BH58" s="288"/>
      <c r="BI58" s="288"/>
      <c r="BJ58" s="288"/>
      <c r="BK58" s="288"/>
      <c r="BL58" s="288"/>
      <c r="BM58" s="288"/>
      <c r="BN58" s="288"/>
      <c r="BO58" s="288"/>
      <c r="BP58" s="288"/>
      <c r="BQ58" s="288"/>
      <c r="BR58" s="288"/>
      <c r="BS58" s="288"/>
      <c r="BT58" s="288"/>
      <c r="BU58" s="288"/>
      <c r="BV58" s="288"/>
      <c r="BW58" s="288"/>
      <c r="BX58" s="288"/>
      <c r="BY58" s="288"/>
      <c r="BZ58" s="288"/>
      <c r="CA58" s="288"/>
      <c r="CB58" s="288"/>
      <c r="CC58" s="294"/>
      <c r="CD58" s="287"/>
      <c r="CE58" s="288"/>
      <c r="CF58" s="288"/>
      <c r="CG58" s="288"/>
      <c r="CH58" s="288"/>
      <c r="CI58" s="294"/>
      <c r="CJ58" s="287"/>
      <c r="CK58" s="288"/>
      <c r="CL58" s="288"/>
      <c r="CM58" s="288"/>
      <c r="CN58" s="288"/>
      <c r="CO58" s="294"/>
      <c r="CP58" s="287"/>
      <c r="CQ58" s="288"/>
      <c r="CR58" s="288"/>
      <c r="CS58" s="288"/>
      <c r="CT58" s="288"/>
      <c r="CU58" s="294"/>
      <c r="CV58" s="287"/>
      <c r="CW58" s="288"/>
      <c r="CX58" s="288"/>
      <c r="CY58" s="288"/>
      <c r="CZ58" s="288"/>
      <c r="DA58" s="294"/>
      <c r="DB58" s="415">
        <f t="shared" si="14"/>
        <v>0</v>
      </c>
    </row>
    <row r="59" spans="1:106">
      <c r="A59" s="238">
        <v>20</v>
      </c>
      <c r="B59" s="239"/>
      <c r="C59" s="43"/>
      <c r="D59" s="43"/>
      <c r="E59" s="43"/>
      <c r="F59" s="283"/>
      <c r="G59" s="295"/>
      <c r="H59" s="288"/>
      <c r="I59" s="288"/>
      <c r="J59" s="288"/>
      <c r="K59" s="288"/>
      <c r="L59" s="289"/>
      <c r="M59" s="295"/>
      <c r="N59" s="288"/>
      <c r="O59" s="288"/>
      <c r="P59" s="288"/>
      <c r="Q59" s="288"/>
      <c r="R59" s="294"/>
      <c r="S59" s="287"/>
      <c r="T59" s="288"/>
      <c r="U59" s="288"/>
      <c r="V59" s="288"/>
      <c r="W59" s="288"/>
      <c r="X59" s="294"/>
      <c r="Y59" s="287"/>
      <c r="Z59" s="288"/>
      <c r="AA59" s="289"/>
      <c r="AB59" s="289"/>
      <c r="AC59" s="289"/>
      <c r="AD59" s="295"/>
      <c r="AE59" s="288"/>
      <c r="AF59" s="288"/>
      <c r="AG59" s="288"/>
      <c r="AH59" s="288"/>
      <c r="AI59" s="288"/>
      <c r="AJ59" s="288"/>
      <c r="AK59" s="288"/>
      <c r="AL59" s="288"/>
      <c r="AM59" s="294"/>
      <c r="AN59" s="287"/>
      <c r="AO59" s="288"/>
      <c r="AP59" s="288"/>
      <c r="AQ59" s="288"/>
      <c r="AR59" s="288"/>
      <c r="AS59" s="288"/>
      <c r="AT59" s="288"/>
      <c r="AU59" s="289"/>
      <c r="AV59" s="295"/>
      <c r="AW59" s="288"/>
      <c r="AX59" s="289"/>
      <c r="AY59" s="294"/>
      <c r="AZ59" s="287"/>
      <c r="BA59" s="288"/>
      <c r="BB59" s="288"/>
      <c r="BC59" s="288"/>
      <c r="BD59" s="288"/>
      <c r="BE59" s="289"/>
      <c r="BF59" s="295"/>
      <c r="BG59" s="288"/>
      <c r="BH59" s="288"/>
      <c r="BI59" s="288"/>
      <c r="BJ59" s="288"/>
      <c r="BK59" s="288"/>
      <c r="BL59" s="288"/>
      <c r="BM59" s="288"/>
      <c r="BN59" s="288"/>
      <c r="BO59" s="288"/>
      <c r="BP59" s="288"/>
      <c r="BQ59" s="288"/>
      <c r="BR59" s="288"/>
      <c r="BS59" s="288"/>
      <c r="BT59" s="288"/>
      <c r="BU59" s="288"/>
      <c r="BV59" s="288"/>
      <c r="BW59" s="288"/>
      <c r="BX59" s="288"/>
      <c r="BY59" s="288"/>
      <c r="BZ59" s="288"/>
      <c r="CA59" s="288"/>
      <c r="CB59" s="288"/>
      <c r="CC59" s="294"/>
      <c r="CD59" s="287"/>
      <c r="CE59" s="288"/>
      <c r="CF59" s="288"/>
      <c r="CG59" s="288"/>
      <c r="CH59" s="288"/>
      <c r="CI59" s="294"/>
      <c r="CJ59" s="287"/>
      <c r="CK59" s="288"/>
      <c r="CL59" s="288"/>
      <c r="CM59" s="288"/>
      <c r="CN59" s="288"/>
      <c r="CO59" s="294"/>
      <c r="CP59" s="287"/>
      <c r="CQ59" s="288"/>
      <c r="CR59" s="288"/>
      <c r="CS59" s="288"/>
      <c r="CT59" s="288"/>
      <c r="CU59" s="294"/>
      <c r="CV59" s="287"/>
      <c r="CW59" s="288"/>
      <c r="CX59" s="288"/>
      <c r="CY59" s="288"/>
      <c r="CZ59" s="288"/>
      <c r="DA59" s="294"/>
      <c r="DB59" s="415">
        <f t="shared" si="14"/>
        <v>0</v>
      </c>
    </row>
    <row r="60" spans="1:106">
      <c r="A60" s="238">
        <v>21</v>
      </c>
      <c r="B60" s="239"/>
      <c r="C60" s="43"/>
      <c r="D60" s="43"/>
      <c r="E60" s="43"/>
      <c r="F60" s="283"/>
      <c r="G60" s="295"/>
      <c r="H60" s="288"/>
      <c r="I60" s="288"/>
      <c r="J60" s="288"/>
      <c r="K60" s="288"/>
      <c r="L60" s="289"/>
      <c r="M60" s="295"/>
      <c r="N60" s="288"/>
      <c r="O60" s="288"/>
      <c r="P60" s="288"/>
      <c r="Q60" s="288"/>
      <c r="R60" s="294"/>
      <c r="S60" s="287"/>
      <c r="T60" s="288"/>
      <c r="U60" s="288"/>
      <c r="V60" s="288"/>
      <c r="W60" s="288"/>
      <c r="X60" s="294"/>
      <c r="Y60" s="287"/>
      <c r="Z60" s="288"/>
      <c r="AA60" s="289"/>
      <c r="AB60" s="289"/>
      <c r="AC60" s="289"/>
      <c r="AD60" s="295"/>
      <c r="AE60" s="288"/>
      <c r="AF60" s="288"/>
      <c r="AG60" s="288"/>
      <c r="AH60" s="288"/>
      <c r="AI60" s="288"/>
      <c r="AJ60" s="288"/>
      <c r="AK60" s="288"/>
      <c r="AL60" s="288"/>
      <c r="AM60" s="294"/>
      <c r="AN60" s="287"/>
      <c r="AO60" s="288"/>
      <c r="AP60" s="288"/>
      <c r="AQ60" s="288"/>
      <c r="AR60" s="288"/>
      <c r="AS60" s="288"/>
      <c r="AT60" s="288"/>
      <c r="AU60" s="289"/>
      <c r="AV60" s="295"/>
      <c r="AW60" s="288"/>
      <c r="AX60" s="289"/>
      <c r="AY60" s="294"/>
      <c r="AZ60" s="287"/>
      <c r="BA60" s="288"/>
      <c r="BB60" s="288"/>
      <c r="BC60" s="288"/>
      <c r="BD60" s="288"/>
      <c r="BE60" s="289"/>
      <c r="BF60" s="295"/>
      <c r="BG60" s="288"/>
      <c r="BH60" s="288"/>
      <c r="BI60" s="288"/>
      <c r="BJ60" s="288"/>
      <c r="BK60" s="288"/>
      <c r="BL60" s="288"/>
      <c r="BM60" s="288"/>
      <c r="BN60" s="288"/>
      <c r="BO60" s="288"/>
      <c r="BP60" s="288"/>
      <c r="BQ60" s="288"/>
      <c r="BR60" s="288"/>
      <c r="BS60" s="288"/>
      <c r="BT60" s="288"/>
      <c r="BU60" s="288"/>
      <c r="BV60" s="288"/>
      <c r="BW60" s="288"/>
      <c r="BX60" s="288"/>
      <c r="BY60" s="288"/>
      <c r="BZ60" s="288"/>
      <c r="CA60" s="288"/>
      <c r="CB60" s="288"/>
      <c r="CC60" s="294"/>
      <c r="CD60" s="287"/>
      <c r="CE60" s="288"/>
      <c r="CF60" s="288"/>
      <c r="CG60" s="288"/>
      <c r="CH60" s="288"/>
      <c r="CI60" s="294"/>
      <c r="CJ60" s="287"/>
      <c r="CK60" s="288"/>
      <c r="CL60" s="288"/>
      <c r="CM60" s="288"/>
      <c r="CN60" s="288"/>
      <c r="CO60" s="294"/>
      <c r="CP60" s="287"/>
      <c r="CQ60" s="288"/>
      <c r="CR60" s="288"/>
      <c r="CS60" s="288"/>
      <c r="CT60" s="288"/>
      <c r="CU60" s="294"/>
      <c r="CV60" s="287"/>
      <c r="CW60" s="288"/>
      <c r="CX60" s="288"/>
      <c r="CY60" s="288"/>
      <c r="CZ60" s="288"/>
      <c r="DA60" s="294"/>
      <c r="DB60" s="415">
        <f t="shared" si="14"/>
        <v>0</v>
      </c>
    </row>
    <row r="61" spans="1:106" s="1" customFormat="1">
      <c r="A61" s="238">
        <v>22</v>
      </c>
      <c r="B61" s="239"/>
      <c r="C61" s="43"/>
      <c r="D61" s="43"/>
      <c r="E61" s="43"/>
      <c r="F61" s="283"/>
      <c r="G61" s="295"/>
      <c r="H61" s="288"/>
      <c r="I61" s="288"/>
      <c r="J61" s="288"/>
      <c r="K61" s="288"/>
      <c r="L61" s="289"/>
      <c r="M61" s="295"/>
      <c r="N61" s="288"/>
      <c r="O61" s="288"/>
      <c r="P61" s="288"/>
      <c r="Q61" s="288"/>
      <c r="R61" s="294"/>
      <c r="S61" s="287"/>
      <c r="T61" s="288"/>
      <c r="U61" s="288"/>
      <c r="V61" s="288"/>
      <c r="W61" s="288"/>
      <c r="X61" s="294"/>
      <c r="Y61" s="287"/>
      <c r="Z61" s="288"/>
      <c r="AA61" s="289"/>
      <c r="AB61" s="289"/>
      <c r="AC61" s="289"/>
      <c r="AD61" s="295"/>
      <c r="AE61" s="288"/>
      <c r="AF61" s="288"/>
      <c r="AG61" s="288"/>
      <c r="AH61" s="288"/>
      <c r="AI61" s="288"/>
      <c r="AJ61" s="288"/>
      <c r="AK61" s="288"/>
      <c r="AL61" s="288"/>
      <c r="AM61" s="294"/>
      <c r="AN61" s="287"/>
      <c r="AO61" s="288"/>
      <c r="AP61" s="288"/>
      <c r="AQ61" s="288"/>
      <c r="AR61" s="288"/>
      <c r="AS61" s="288"/>
      <c r="AT61" s="288"/>
      <c r="AU61" s="289"/>
      <c r="AV61" s="295"/>
      <c r="AW61" s="288"/>
      <c r="AX61" s="289"/>
      <c r="AY61" s="294"/>
      <c r="AZ61" s="287"/>
      <c r="BA61" s="288"/>
      <c r="BB61" s="288"/>
      <c r="BC61" s="288"/>
      <c r="BD61" s="288"/>
      <c r="BE61" s="289"/>
      <c r="BF61" s="295"/>
      <c r="BG61" s="288"/>
      <c r="BH61" s="288"/>
      <c r="BI61" s="288"/>
      <c r="BJ61" s="288"/>
      <c r="BK61" s="288"/>
      <c r="BL61" s="288"/>
      <c r="BM61" s="288"/>
      <c r="BN61" s="288"/>
      <c r="BO61" s="288"/>
      <c r="BP61" s="288"/>
      <c r="BQ61" s="288"/>
      <c r="BR61" s="288"/>
      <c r="BS61" s="288"/>
      <c r="BT61" s="288"/>
      <c r="BU61" s="288"/>
      <c r="BV61" s="288"/>
      <c r="BW61" s="288"/>
      <c r="BX61" s="288"/>
      <c r="BY61" s="288"/>
      <c r="BZ61" s="288"/>
      <c r="CA61" s="288"/>
      <c r="CB61" s="288"/>
      <c r="CC61" s="294"/>
      <c r="CD61" s="287"/>
      <c r="CE61" s="288"/>
      <c r="CF61" s="288"/>
      <c r="CG61" s="288"/>
      <c r="CH61" s="288"/>
      <c r="CI61" s="294"/>
      <c r="CJ61" s="287"/>
      <c r="CK61" s="288"/>
      <c r="CL61" s="288"/>
      <c r="CM61" s="288"/>
      <c r="CN61" s="288"/>
      <c r="CO61" s="294"/>
      <c r="CP61" s="287"/>
      <c r="CQ61" s="288"/>
      <c r="CR61" s="288"/>
      <c r="CS61" s="288"/>
      <c r="CT61" s="288"/>
      <c r="CU61" s="294"/>
      <c r="CV61" s="287"/>
      <c r="CW61" s="288"/>
      <c r="CX61" s="288"/>
      <c r="CY61" s="288"/>
      <c r="CZ61" s="288"/>
      <c r="DA61" s="294"/>
      <c r="DB61" s="415">
        <f t="shared" si="14"/>
        <v>0</v>
      </c>
    </row>
    <row r="62" spans="1:106">
      <c r="A62" s="238">
        <v>23</v>
      </c>
      <c r="B62" s="239"/>
      <c r="C62" s="43"/>
      <c r="D62" s="43"/>
      <c r="E62" s="43"/>
      <c r="F62" s="283"/>
      <c r="G62" s="295"/>
      <c r="H62" s="288"/>
      <c r="I62" s="288"/>
      <c r="J62" s="288"/>
      <c r="K62" s="288"/>
      <c r="L62" s="289"/>
      <c r="M62" s="295"/>
      <c r="N62" s="288"/>
      <c r="O62" s="288"/>
      <c r="P62" s="288"/>
      <c r="Q62" s="288"/>
      <c r="R62" s="294"/>
      <c r="S62" s="287"/>
      <c r="T62" s="288"/>
      <c r="U62" s="288"/>
      <c r="V62" s="288"/>
      <c r="W62" s="288"/>
      <c r="X62" s="294"/>
      <c r="Y62" s="287"/>
      <c r="Z62" s="288"/>
      <c r="AA62" s="289"/>
      <c r="AB62" s="289"/>
      <c r="AC62" s="289"/>
      <c r="AD62" s="295"/>
      <c r="AE62" s="288"/>
      <c r="AF62" s="288"/>
      <c r="AG62" s="288"/>
      <c r="AH62" s="288"/>
      <c r="AI62" s="288"/>
      <c r="AJ62" s="288"/>
      <c r="AK62" s="288"/>
      <c r="AL62" s="288"/>
      <c r="AM62" s="294"/>
      <c r="AN62" s="287"/>
      <c r="AO62" s="288"/>
      <c r="AP62" s="288"/>
      <c r="AQ62" s="288"/>
      <c r="AR62" s="288"/>
      <c r="AS62" s="288"/>
      <c r="AT62" s="288"/>
      <c r="AU62" s="289"/>
      <c r="AV62" s="295"/>
      <c r="AW62" s="288"/>
      <c r="AX62" s="289"/>
      <c r="AY62" s="294"/>
      <c r="AZ62" s="287"/>
      <c r="BA62" s="288"/>
      <c r="BB62" s="288"/>
      <c r="BC62" s="288"/>
      <c r="BD62" s="288"/>
      <c r="BE62" s="289"/>
      <c r="BF62" s="295"/>
      <c r="BG62" s="288"/>
      <c r="BH62" s="288"/>
      <c r="BI62" s="288"/>
      <c r="BJ62" s="288"/>
      <c r="BK62" s="288"/>
      <c r="BL62" s="288"/>
      <c r="BM62" s="288"/>
      <c r="BN62" s="288"/>
      <c r="BO62" s="288"/>
      <c r="BP62" s="288"/>
      <c r="BQ62" s="288"/>
      <c r="BR62" s="288"/>
      <c r="BS62" s="288"/>
      <c r="BT62" s="288"/>
      <c r="BU62" s="288"/>
      <c r="BV62" s="288"/>
      <c r="BW62" s="288"/>
      <c r="BX62" s="288"/>
      <c r="BY62" s="288"/>
      <c r="BZ62" s="288"/>
      <c r="CA62" s="288"/>
      <c r="CB62" s="288"/>
      <c r="CC62" s="294"/>
      <c r="CD62" s="287"/>
      <c r="CE62" s="288"/>
      <c r="CF62" s="288"/>
      <c r="CG62" s="288"/>
      <c r="CH62" s="288"/>
      <c r="CI62" s="294"/>
      <c r="CJ62" s="287"/>
      <c r="CK62" s="288"/>
      <c r="CL62" s="288"/>
      <c r="CM62" s="288"/>
      <c r="CN62" s="288"/>
      <c r="CO62" s="294"/>
      <c r="CP62" s="287"/>
      <c r="CQ62" s="288"/>
      <c r="CR62" s="288"/>
      <c r="CS62" s="288"/>
      <c r="CT62" s="288"/>
      <c r="CU62" s="294"/>
      <c r="CV62" s="287"/>
      <c r="CW62" s="288"/>
      <c r="CX62" s="288"/>
      <c r="CY62" s="288"/>
      <c r="CZ62" s="288"/>
      <c r="DA62" s="294"/>
      <c r="DB62" s="415">
        <f t="shared" si="14"/>
        <v>0</v>
      </c>
    </row>
    <row r="63" spans="1:106">
      <c r="A63" s="238">
        <v>24</v>
      </c>
      <c r="B63" s="239"/>
      <c r="C63" s="43"/>
      <c r="D63" s="43"/>
      <c r="E63" s="43"/>
      <c r="F63" s="283"/>
      <c r="G63" s="295"/>
      <c r="H63" s="288"/>
      <c r="I63" s="288"/>
      <c r="J63" s="288"/>
      <c r="K63" s="288"/>
      <c r="L63" s="289"/>
      <c r="M63" s="295"/>
      <c r="N63" s="288"/>
      <c r="O63" s="288"/>
      <c r="P63" s="288"/>
      <c r="Q63" s="288"/>
      <c r="R63" s="294"/>
      <c r="S63" s="287"/>
      <c r="T63" s="288"/>
      <c r="U63" s="288"/>
      <c r="V63" s="288"/>
      <c r="W63" s="288"/>
      <c r="X63" s="294"/>
      <c r="Y63" s="287"/>
      <c r="Z63" s="288"/>
      <c r="AA63" s="289"/>
      <c r="AB63" s="289"/>
      <c r="AC63" s="289"/>
      <c r="AD63" s="295"/>
      <c r="AE63" s="288"/>
      <c r="AF63" s="288"/>
      <c r="AG63" s="288"/>
      <c r="AH63" s="288"/>
      <c r="AI63" s="288"/>
      <c r="AJ63" s="288"/>
      <c r="AK63" s="288"/>
      <c r="AL63" s="288"/>
      <c r="AM63" s="294"/>
      <c r="AN63" s="287"/>
      <c r="AO63" s="288"/>
      <c r="AP63" s="288"/>
      <c r="AQ63" s="288"/>
      <c r="AR63" s="288"/>
      <c r="AS63" s="288"/>
      <c r="AT63" s="288"/>
      <c r="AU63" s="289"/>
      <c r="AV63" s="295"/>
      <c r="AW63" s="288"/>
      <c r="AX63" s="289"/>
      <c r="AY63" s="294"/>
      <c r="AZ63" s="287"/>
      <c r="BA63" s="288"/>
      <c r="BB63" s="288"/>
      <c r="BC63" s="288"/>
      <c r="BD63" s="288"/>
      <c r="BE63" s="289"/>
      <c r="BF63" s="295"/>
      <c r="BG63" s="288"/>
      <c r="BH63" s="288"/>
      <c r="BI63" s="288"/>
      <c r="BJ63" s="288"/>
      <c r="BK63" s="288"/>
      <c r="BL63" s="288"/>
      <c r="BM63" s="288"/>
      <c r="BN63" s="288"/>
      <c r="BO63" s="288"/>
      <c r="BP63" s="288"/>
      <c r="BQ63" s="288"/>
      <c r="BR63" s="288"/>
      <c r="BS63" s="288"/>
      <c r="BT63" s="288"/>
      <c r="BU63" s="288"/>
      <c r="BV63" s="288"/>
      <c r="BW63" s="288"/>
      <c r="BX63" s="288"/>
      <c r="BY63" s="288"/>
      <c r="BZ63" s="288"/>
      <c r="CA63" s="288"/>
      <c r="CB63" s="288"/>
      <c r="CC63" s="294"/>
      <c r="CD63" s="287"/>
      <c r="CE63" s="288"/>
      <c r="CF63" s="288"/>
      <c r="CG63" s="288"/>
      <c r="CH63" s="288"/>
      <c r="CI63" s="294"/>
      <c r="CJ63" s="287"/>
      <c r="CK63" s="288"/>
      <c r="CL63" s="288"/>
      <c r="CM63" s="288"/>
      <c r="CN63" s="288"/>
      <c r="CO63" s="294"/>
      <c r="CP63" s="287"/>
      <c r="CQ63" s="288"/>
      <c r="CR63" s="288"/>
      <c r="CS63" s="288"/>
      <c r="CT63" s="288"/>
      <c r="CU63" s="294"/>
      <c r="CV63" s="287"/>
      <c r="CW63" s="288"/>
      <c r="CX63" s="288"/>
      <c r="CY63" s="288"/>
      <c r="CZ63" s="288"/>
      <c r="DA63" s="294"/>
      <c r="DB63" s="415">
        <f t="shared" si="14"/>
        <v>0</v>
      </c>
    </row>
    <row r="64" spans="1:106">
      <c r="A64" s="238">
        <v>25</v>
      </c>
      <c r="B64" s="239"/>
      <c r="C64" s="43"/>
      <c r="D64" s="43"/>
      <c r="E64" s="43"/>
      <c r="F64" s="283"/>
      <c r="G64" s="295"/>
      <c r="H64" s="288"/>
      <c r="I64" s="288"/>
      <c r="J64" s="288"/>
      <c r="K64" s="288"/>
      <c r="L64" s="289"/>
      <c r="M64" s="295"/>
      <c r="N64" s="288"/>
      <c r="O64" s="288"/>
      <c r="P64" s="288"/>
      <c r="Q64" s="288"/>
      <c r="R64" s="294"/>
      <c r="S64" s="287"/>
      <c r="T64" s="288"/>
      <c r="U64" s="288"/>
      <c r="V64" s="288"/>
      <c r="W64" s="288"/>
      <c r="X64" s="294"/>
      <c r="Y64" s="287"/>
      <c r="Z64" s="288"/>
      <c r="AA64" s="289"/>
      <c r="AB64" s="289"/>
      <c r="AC64" s="289"/>
      <c r="AD64" s="295"/>
      <c r="AE64" s="288"/>
      <c r="AF64" s="288"/>
      <c r="AG64" s="288"/>
      <c r="AH64" s="288"/>
      <c r="AI64" s="288"/>
      <c r="AJ64" s="288"/>
      <c r="AK64" s="288"/>
      <c r="AL64" s="288"/>
      <c r="AM64" s="294"/>
      <c r="AN64" s="287"/>
      <c r="AO64" s="288"/>
      <c r="AP64" s="288"/>
      <c r="AQ64" s="288"/>
      <c r="AR64" s="288"/>
      <c r="AS64" s="288"/>
      <c r="AT64" s="288"/>
      <c r="AU64" s="289"/>
      <c r="AV64" s="295"/>
      <c r="AW64" s="288"/>
      <c r="AX64" s="289"/>
      <c r="AY64" s="294"/>
      <c r="AZ64" s="287"/>
      <c r="BA64" s="288"/>
      <c r="BB64" s="288"/>
      <c r="BC64" s="288"/>
      <c r="BD64" s="288"/>
      <c r="BE64" s="289"/>
      <c r="BF64" s="295"/>
      <c r="BG64" s="288"/>
      <c r="BH64" s="288"/>
      <c r="BI64" s="288"/>
      <c r="BJ64" s="288"/>
      <c r="BK64" s="288"/>
      <c r="BL64" s="288"/>
      <c r="BM64" s="288"/>
      <c r="BN64" s="288"/>
      <c r="BO64" s="288"/>
      <c r="BP64" s="288"/>
      <c r="BQ64" s="288"/>
      <c r="BR64" s="288"/>
      <c r="BS64" s="288"/>
      <c r="BT64" s="288"/>
      <c r="BU64" s="288"/>
      <c r="BV64" s="288"/>
      <c r="BW64" s="288"/>
      <c r="BX64" s="288"/>
      <c r="BY64" s="288"/>
      <c r="BZ64" s="288"/>
      <c r="CA64" s="288"/>
      <c r="CB64" s="288"/>
      <c r="CC64" s="294"/>
      <c r="CD64" s="287"/>
      <c r="CE64" s="288"/>
      <c r="CF64" s="288"/>
      <c r="CG64" s="288"/>
      <c r="CH64" s="288"/>
      <c r="CI64" s="294"/>
      <c r="CJ64" s="287"/>
      <c r="CK64" s="288"/>
      <c r="CL64" s="288"/>
      <c r="CM64" s="288"/>
      <c r="CN64" s="288"/>
      <c r="CO64" s="294"/>
      <c r="CP64" s="287"/>
      <c r="CQ64" s="288"/>
      <c r="CR64" s="288"/>
      <c r="CS64" s="288"/>
      <c r="CT64" s="288"/>
      <c r="CU64" s="294"/>
      <c r="CV64" s="287"/>
      <c r="CW64" s="288"/>
      <c r="CX64" s="288"/>
      <c r="CY64" s="288"/>
      <c r="CZ64" s="288"/>
      <c r="DA64" s="294"/>
      <c r="DB64" s="415">
        <f t="shared" si="14"/>
        <v>0</v>
      </c>
    </row>
    <row r="65" spans="1:106">
      <c r="A65" s="238">
        <v>26</v>
      </c>
      <c r="B65" s="239"/>
      <c r="C65" s="43"/>
      <c r="D65" s="43"/>
      <c r="E65" s="43"/>
      <c r="F65" s="283"/>
      <c r="G65" s="295"/>
      <c r="H65" s="288"/>
      <c r="I65" s="288"/>
      <c r="J65" s="288"/>
      <c r="K65" s="288"/>
      <c r="L65" s="289"/>
      <c r="M65" s="295"/>
      <c r="N65" s="288"/>
      <c r="O65" s="288"/>
      <c r="P65" s="288"/>
      <c r="Q65" s="288"/>
      <c r="R65" s="294"/>
      <c r="S65" s="287"/>
      <c r="T65" s="288"/>
      <c r="U65" s="288"/>
      <c r="V65" s="288"/>
      <c r="W65" s="288"/>
      <c r="X65" s="294"/>
      <c r="Y65" s="287"/>
      <c r="Z65" s="288"/>
      <c r="AA65" s="289"/>
      <c r="AB65" s="289"/>
      <c r="AC65" s="289"/>
      <c r="AD65" s="295"/>
      <c r="AE65" s="288"/>
      <c r="AF65" s="288"/>
      <c r="AG65" s="288"/>
      <c r="AH65" s="288"/>
      <c r="AI65" s="288"/>
      <c r="AJ65" s="288"/>
      <c r="AK65" s="288"/>
      <c r="AL65" s="288"/>
      <c r="AM65" s="294"/>
      <c r="AN65" s="287"/>
      <c r="AO65" s="288"/>
      <c r="AP65" s="288"/>
      <c r="AQ65" s="288"/>
      <c r="AR65" s="288"/>
      <c r="AS65" s="288"/>
      <c r="AT65" s="288"/>
      <c r="AU65" s="289"/>
      <c r="AV65" s="295"/>
      <c r="AW65" s="288"/>
      <c r="AX65" s="289"/>
      <c r="AY65" s="294"/>
      <c r="AZ65" s="287"/>
      <c r="BA65" s="288"/>
      <c r="BB65" s="288"/>
      <c r="BC65" s="288"/>
      <c r="BD65" s="288"/>
      <c r="BE65" s="289"/>
      <c r="BF65" s="295"/>
      <c r="BG65" s="288"/>
      <c r="BH65" s="288"/>
      <c r="BI65" s="288"/>
      <c r="BJ65" s="288"/>
      <c r="BK65" s="288"/>
      <c r="BL65" s="288"/>
      <c r="BM65" s="288"/>
      <c r="BN65" s="288"/>
      <c r="BO65" s="288"/>
      <c r="BP65" s="288"/>
      <c r="BQ65" s="288"/>
      <c r="BR65" s="288"/>
      <c r="BS65" s="288"/>
      <c r="BT65" s="288"/>
      <c r="BU65" s="288"/>
      <c r="BV65" s="288"/>
      <c r="BW65" s="288"/>
      <c r="BX65" s="288"/>
      <c r="BY65" s="288"/>
      <c r="BZ65" s="288"/>
      <c r="CA65" s="288"/>
      <c r="CB65" s="288"/>
      <c r="CC65" s="294"/>
      <c r="CD65" s="287"/>
      <c r="CE65" s="288"/>
      <c r="CF65" s="288"/>
      <c r="CG65" s="288"/>
      <c r="CH65" s="288"/>
      <c r="CI65" s="294"/>
      <c r="CJ65" s="287"/>
      <c r="CK65" s="288"/>
      <c r="CL65" s="288"/>
      <c r="CM65" s="288"/>
      <c r="CN65" s="288"/>
      <c r="CO65" s="294"/>
      <c r="CP65" s="287"/>
      <c r="CQ65" s="288"/>
      <c r="CR65" s="288"/>
      <c r="CS65" s="288"/>
      <c r="CT65" s="288"/>
      <c r="CU65" s="294"/>
      <c r="CV65" s="287"/>
      <c r="CW65" s="288"/>
      <c r="CX65" s="288"/>
      <c r="CY65" s="288"/>
      <c r="CZ65" s="288"/>
      <c r="DA65" s="294"/>
      <c r="DB65" s="415">
        <f t="shared" si="14"/>
        <v>0</v>
      </c>
    </row>
    <row r="66" spans="1:106">
      <c r="A66" s="238">
        <v>27</v>
      </c>
      <c r="B66" s="239"/>
      <c r="C66" s="43"/>
      <c r="D66" s="43"/>
      <c r="E66" s="43"/>
      <c r="F66" s="283"/>
      <c r="G66" s="295"/>
      <c r="H66" s="288"/>
      <c r="I66" s="288"/>
      <c r="J66" s="288"/>
      <c r="K66" s="288"/>
      <c r="L66" s="289"/>
      <c r="M66" s="295"/>
      <c r="N66" s="288"/>
      <c r="O66" s="288"/>
      <c r="P66" s="288"/>
      <c r="Q66" s="288"/>
      <c r="R66" s="294"/>
      <c r="S66" s="287"/>
      <c r="T66" s="288"/>
      <c r="U66" s="288"/>
      <c r="V66" s="288"/>
      <c r="W66" s="288"/>
      <c r="X66" s="294"/>
      <c r="Y66" s="287"/>
      <c r="Z66" s="288"/>
      <c r="AA66" s="289"/>
      <c r="AB66" s="289"/>
      <c r="AC66" s="289"/>
      <c r="AD66" s="295"/>
      <c r="AE66" s="288"/>
      <c r="AF66" s="288"/>
      <c r="AG66" s="288"/>
      <c r="AH66" s="288"/>
      <c r="AI66" s="288"/>
      <c r="AJ66" s="288"/>
      <c r="AK66" s="288"/>
      <c r="AL66" s="288"/>
      <c r="AM66" s="294"/>
      <c r="AN66" s="287"/>
      <c r="AO66" s="288"/>
      <c r="AP66" s="288"/>
      <c r="AQ66" s="288"/>
      <c r="AR66" s="288"/>
      <c r="AS66" s="288"/>
      <c r="AT66" s="288"/>
      <c r="AU66" s="289"/>
      <c r="AV66" s="295"/>
      <c r="AW66" s="288"/>
      <c r="AX66" s="289"/>
      <c r="AY66" s="294"/>
      <c r="AZ66" s="287"/>
      <c r="BA66" s="288"/>
      <c r="BB66" s="288"/>
      <c r="BC66" s="288"/>
      <c r="BD66" s="288"/>
      <c r="BE66" s="289"/>
      <c r="BF66" s="295"/>
      <c r="BG66" s="288"/>
      <c r="BH66" s="288"/>
      <c r="BI66" s="288"/>
      <c r="BJ66" s="288"/>
      <c r="BK66" s="288"/>
      <c r="BL66" s="288"/>
      <c r="BM66" s="288"/>
      <c r="BN66" s="288"/>
      <c r="BO66" s="288"/>
      <c r="BP66" s="288"/>
      <c r="BQ66" s="288"/>
      <c r="BR66" s="288"/>
      <c r="BS66" s="288"/>
      <c r="BT66" s="288"/>
      <c r="BU66" s="288"/>
      <c r="BV66" s="288"/>
      <c r="BW66" s="288"/>
      <c r="BX66" s="288"/>
      <c r="BY66" s="288"/>
      <c r="BZ66" s="288"/>
      <c r="CA66" s="288"/>
      <c r="CB66" s="288"/>
      <c r="CC66" s="294"/>
      <c r="CD66" s="287"/>
      <c r="CE66" s="288"/>
      <c r="CF66" s="288"/>
      <c r="CG66" s="288"/>
      <c r="CH66" s="288"/>
      <c r="CI66" s="294"/>
      <c r="CJ66" s="287"/>
      <c r="CK66" s="288"/>
      <c r="CL66" s="288"/>
      <c r="CM66" s="288"/>
      <c r="CN66" s="288"/>
      <c r="CO66" s="294"/>
      <c r="CP66" s="287"/>
      <c r="CQ66" s="288"/>
      <c r="CR66" s="288"/>
      <c r="CS66" s="288"/>
      <c r="CT66" s="288"/>
      <c r="CU66" s="294"/>
      <c r="CV66" s="287"/>
      <c r="CW66" s="288"/>
      <c r="CX66" s="288"/>
      <c r="CY66" s="288"/>
      <c r="CZ66" s="288"/>
      <c r="DA66" s="294"/>
      <c r="DB66" s="415">
        <f t="shared" si="14"/>
        <v>0</v>
      </c>
    </row>
    <row r="67" spans="1:106">
      <c r="A67" s="238">
        <v>28</v>
      </c>
      <c r="B67" s="239"/>
      <c r="C67" s="43"/>
      <c r="D67" s="43"/>
      <c r="E67" s="43"/>
      <c r="F67" s="283"/>
      <c r="G67" s="295"/>
      <c r="H67" s="288"/>
      <c r="I67" s="288"/>
      <c r="J67" s="288"/>
      <c r="K67" s="288"/>
      <c r="L67" s="289"/>
      <c r="M67" s="295"/>
      <c r="N67" s="288"/>
      <c r="O67" s="288"/>
      <c r="P67" s="288"/>
      <c r="Q67" s="288"/>
      <c r="R67" s="294"/>
      <c r="S67" s="287"/>
      <c r="T67" s="288"/>
      <c r="U67" s="288"/>
      <c r="V67" s="288"/>
      <c r="W67" s="288"/>
      <c r="X67" s="294"/>
      <c r="Y67" s="287"/>
      <c r="Z67" s="288"/>
      <c r="AA67" s="289"/>
      <c r="AB67" s="289"/>
      <c r="AC67" s="289"/>
      <c r="AD67" s="295"/>
      <c r="AE67" s="288"/>
      <c r="AF67" s="288"/>
      <c r="AG67" s="288"/>
      <c r="AH67" s="288"/>
      <c r="AI67" s="288"/>
      <c r="AJ67" s="288"/>
      <c r="AK67" s="288"/>
      <c r="AL67" s="288"/>
      <c r="AM67" s="294"/>
      <c r="AN67" s="287"/>
      <c r="AO67" s="288"/>
      <c r="AP67" s="288"/>
      <c r="AQ67" s="288"/>
      <c r="AR67" s="288"/>
      <c r="AS67" s="288"/>
      <c r="AT67" s="288"/>
      <c r="AU67" s="289"/>
      <c r="AV67" s="295"/>
      <c r="AW67" s="288"/>
      <c r="AX67" s="289"/>
      <c r="AY67" s="294"/>
      <c r="AZ67" s="287"/>
      <c r="BA67" s="288"/>
      <c r="BB67" s="288"/>
      <c r="BC67" s="288"/>
      <c r="BD67" s="288"/>
      <c r="BE67" s="289"/>
      <c r="BF67" s="295"/>
      <c r="BG67" s="288"/>
      <c r="BH67" s="288"/>
      <c r="BI67" s="288"/>
      <c r="BJ67" s="288"/>
      <c r="BK67" s="288"/>
      <c r="BL67" s="288"/>
      <c r="BM67" s="288"/>
      <c r="BN67" s="288"/>
      <c r="BO67" s="288"/>
      <c r="BP67" s="288"/>
      <c r="BQ67" s="288"/>
      <c r="BR67" s="288"/>
      <c r="BS67" s="288"/>
      <c r="BT67" s="288"/>
      <c r="BU67" s="288"/>
      <c r="BV67" s="288"/>
      <c r="BW67" s="288"/>
      <c r="BX67" s="288"/>
      <c r="BY67" s="288"/>
      <c r="BZ67" s="288"/>
      <c r="CA67" s="288"/>
      <c r="CB67" s="288"/>
      <c r="CC67" s="294"/>
      <c r="CD67" s="287"/>
      <c r="CE67" s="288"/>
      <c r="CF67" s="288"/>
      <c r="CG67" s="288"/>
      <c r="CH67" s="288"/>
      <c r="CI67" s="294"/>
      <c r="CJ67" s="287"/>
      <c r="CK67" s="288"/>
      <c r="CL67" s="288"/>
      <c r="CM67" s="288"/>
      <c r="CN67" s="288"/>
      <c r="CO67" s="294"/>
      <c r="CP67" s="287"/>
      <c r="CQ67" s="288"/>
      <c r="CR67" s="288"/>
      <c r="CS67" s="288"/>
      <c r="CT67" s="288"/>
      <c r="CU67" s="294"/>
      <c r="CV67" s="287"/>
      <c r="CW67" s="288"/>
      <c r="CX67" s="288"/>
      <c r="CY67" s="288"/>
      <c r="CZ67" s="288"/>
      <c r="DA67" s="294"/>
      <c r="DB67" s="415">
        <f t="shared" si="14"/>
        <v>0</v>
      </c>
    </row>
    <row r="68" spans="1:106" s="1" customFormat="1">
      <c r="A68" s="238">
        <v>29</v>
      </c>
      <c r="B68" s="239"/>
      <c r="C68" s="43"/>
      <c r="D68" s="43"/>
      <c r="E68" s="43"/>
      <c r="F68" s="283"/>
      <c r="G68" s="295"/>
      <c r="H68" s="288"/>
      <c r="I68" s="288"/>
      <c r="J68" s="288"/>
      <c r="K68" s="288"/>
      <c r="L68" s="289"/>
      <c r="M68" s="295"/>
      <c r="N68" s="288"/>
      <c r="O68" s="288"/>
      <c r="P68" s="288"/>
      <c r="Q68" s="288"/>
      <c r="R68" s="294"/>
      <c r="S68" s="287"/>
      <c r="T68" s="288"/>
      <c r="U68" s="288"/>
      <c r="V68" s="288"/>
      <c r="W68" s="288"/>
      <c r="X68" s="294"/>
      <c r="Y68" s="287"/>
      <c r="Z68" s="288"/>
      <c r="AA68" s="289"/>
      <c r="AB68" s="289"/>
      <c r="AC68" s="289"/>
      <c r="AD68" s="295"/>
      <c r="AE68" s="288"/>
      <c r="AF68" s="288"/>
      <c r="AG68" s="288"/>
      <c r="AH68" s="288"/>
      <c r="AI68" s="288"/>
      <c r="AJ68" s="288"/>
      <c r="AK68" s="288"/>
      <c r="AL68" s="288"/>
      <c r="AM68" s="294"/>
      <c r="AN68" s="287"/>
      <c r="AO68" s="288"/>
      <c r="AP68" s="288"/>
      <c r="AQ68" s="288"/>
      <c r="AR68" s="288"/>
      <c r="AS68" s="288"/>
      <c r="AT68" s="288"/>
      <c r="AU68" s="289"/>
      <c r="AV68" s="295"/>
      <c r="AW68" s="288"/>
      <c r="AX68" s="289"/>
      <c r="AY68" s="294"/>
      <c r="AZ68" s="287"/>
      <c r="BA68" s="288"/>
      <c r="BB68" s="288"/>
      <c r="BC68" s="288"/>
      <c r="BD68" s="288"/>
      <c r="BE68" s="289"/>
      <c r="BF68" s="295"/>
      <c r="BG68" s="288"/>
      <c r="BH68" s="288"/>
      <c r="BI68" s="288"/>
      <c r="BJ68" s="288"/>
      <c r="BK68" s="288"/>
      <c r="BL68" s="288"/>
      <c r="BM68" s="288"/>
      <c r="BN68" s="288"/>
      <c r="BO68" s="288"/>
      <c r="BP68" s="288"/>
      <c r="BQ68" s="288"/>
      <c r="BR68" s="288"/>
      <c r="BS68" s="288"/>
      <c r="BT68" s="288"/>
      <c r="BU68" s="288"/>
      <c r="BV68" s="288"/>
      <c r="BW68" s="288"/>
      <c r="BX68" s="288"/>
      <c r="BY68" s="288"/>
      <c r="BZ68" s="288"/>
      <c r="CA68" s="288"/>
      <c r="CB68" s="288"/>
      <c r="CC68" s="294"/>
      <c r="CD68" s="287"/>
      <c r="CE68" s="288"/>
      <c r="CF68" s="288"/>
      <c r="CG68" s="288"/>
      <c r="CH68" s="288"/>
      <c r="CI68" s="294"/>
      <c r="CJ68" s="287"/>
      <c r="CK68" s="288"/>
      <c r="CL68" s="288"/>
      <c r="CM68" s="288"/>
      <c r="CN68" s="288"/>
      <c r="CO68" s="294"/>
      <c r="CP68" s="287"/>
      <c r="CQ68" s="288"/>
      <c r="CR68" s="288"/>
      <c r="CS68" s="288"/>
      <c r="CT68" s="288"/>
      <c r="CU68" s="294"/>
      <c r="CV68" s="287"/>
      <c r="CW68" s="288"/>
      <c r="CX68" s="288"/>
      <c r="CY68" s="288"/>
      <c r="CZ68" s="288"/>
      <c r="DA68" s="294"/>
      <c r="DB68" s="415">
        <f t="shared" si="14"/>
        <v>0</v>
      </c>
    </row>
    <row r="69" spans="1:106">
      <c r="A69" s="238">
        <v>30</v>
      </c>
      <c r="B69" s="239"/>
      <c r="C69" s="43"/>
      <c r="D69" s="43"/>
      <c r="E69" s="43"/>
      <c r="F69" s="283"/>
      <c r="G69" s="295"/>
      <c r="H69" s="288"/>
      <c r="I69" s="288"/>
      <c r="J69" s="288"/>
      <c r="K69" s="288"/>
      <c r="L69" s="289"/>
      <c r="M69" s="295"/>
      <c r="N69" s="288"/>
      <c r="O69" s="288"/>
      <c r="P69" s="288"/>
      <c r="Q69" s="288"/>
      <c r="R69" s="294"/>
      <c r="S69" s="287"/>
      <c r="T69" s="288"/>
      <c r="U69" s="288"/>
      <c r="V69" s="288"/>
      <c r="W69" s="288"/>
      <c r="X69" s="294"/>
      <c r="Y69" s="287"/>
      <c r="Z69" s="288"/>
      <c r="AA69" s="289"/>
      <c r="AB69" s="289"/>
      <c r="AC69" s="289"/>
      <c r="AD69" s="295"/>
      <c r="AE69" s="288"/>
      <c r="AF69" s="288"/>
      <c r="AG69" s="288"/>
      <c r="AH69" s="288"/>
      <c r="AI69" s="288"/>
      <c r="AJ69" s="288"/>
      <c r="AK69" s="288"/>
      <c r="AL69" s="288"/>
      <c r="AM69" s="294"/>
      <c r="AN69" s="287"/>
      <c r="AO69" s="288"/>
      <c r="AP69" s="288"/>
      <c r="AQ69" s="288"/>
      <c r="AR69" s="288"/>
      <c r="AS69" s="288"/>
      <c r="AT69" s="288"/>
      <c r="AU69" s="289"/>
      <c r="AV69" s="295"/>
      <c r="AW69" s="288"/>
      <c r="AX69" s="289"/>
      <c r="AY69" s="294"/>
      <c r="AZ69" s="287"/>
      <c r="BA69" s="288"/>
      <c r="BB69" s="288"/>
      <c r="BC69" s="288"/>
      <c r="BD69" s="288"/>
      <c r="BE69" s="289"/>
      <c r="BF69" s="295"/>
      <c r="BG69" s="288"/>
      <c r="BH69" s="288"/>
      <c r="BI69" s="288"/>
      <c r="BJ69" s="288"/>
      <c r="BK69" s="288"/>
      <c r="BL69" s="288"/>
      <c r="BM69" s="288"/>
      <c r="BN69" s="288"/>
      <c r="BO69" s="288"/>
      <c r="BP69" s="288"/>
      <c r="BQ69" s="288"/>
      <c r="BR69" s="288"/>
      <c r="BS69" s="288"/>
      <c r="BT69" s="288"/>
      <c r="BU69" s="288"/>
      <c r="BV69" s="288"/>
      <c r="BW69" s="288"/>
      <c r="BX69" s="288"/>
      <c r="BY69" s="288"/>
      <c r="BZ69" s="288"/>
      <c r="CA69" s="288"/>
      <c r="CB69" s="288"/>
      <c r="CC69" s="294"/>
      <c r="CD69" s="287"/>
      <c r="CE69" s="288"/>
      <c r="CF69" s="288"/>
      <c r="CG69" s="288"/>
      <c r="CH69" s="288"/>
      <c r="CI69" s="294"/>
      <c r="CJ69" s="287"/>
      <c r="CK69" s="288"/>
      <c r="CL69" s="288"/>
      <c r="CM69" s="288"/>
      <c r="CN69" s="288"/>
      <c r="CO69" s="294"/>
      <c r="CP69" s="287"/>
      <c r="CQ69" s="288"/>
      <c r="CR69" s="288"/>
      <c r="CS69" s="288"/>
      <c r="CT69" s="288"/>
      <c r="CU69" s="294"/>
      <c r="CV69" s="287"/>
      <c r="CW69" s="288"/>
      <c r="CX69" s="288"/>
      <c r="CY69" s="288"/>
      <c r="CZ69" s="288"/>
      <c r="DA69" s="294"/>
      <c r="DB69" s="415">
        <f t="shared" si="14"/>
        <v>0</v>
      </c>
    </row>
    <row r="70" spans="1:106" ht="15.75" thickBot="1">
      <c r="A70" s="238">
        <v>31</v>
      </c>
      <c r="B70" s="239"/>
      <c r="C70" s="43"/>
      <c r="D70" s="43"/>
      <c r="E70" s="43"/>
      <c r="F70" s="283"/>
      <c r="G70" s="296"/>
      <c r="H70" s="297"/>
      <c r="I70" s="297"/>
      <c r="J70" s="297"/>
      <c r="K70" s="297"/>
      <c r="L70" s="301"/>
      <c r="M70" s="296"/>
      <c r="N70" s="297"/>
      <c r="O70" s="297"/>
      <c r="P70" s="297"/>
      <c r="Q70" s="297"/>
      <c r="R70" s="298"/>
      <c r="S70" s="290"/>
      <c r="T70" s="309"/>
      <c r="U70" s="309"/>
      <c r="V70" s="309"/>
      <c r="W70" s="309"/>
      <c r="X70" s="317"/>
      <c r="Y70" s="290"/>
      <c r="Z70" s="309"/>
      <c r="AA70" s="310"/>
      <c r="AB70" s="310"/>
      <c r="AC70" s="310"/>
      <c r="AD70" s="313"/>
      <c r="AE70" s="309"/>
      <c r="AF70" s="309"/>
      <c r="AG70" s="309"/>
      <c r="AH70" s="309"/>
      <c r="AI70" s="309"/>
      <c r="AJ70" s="309"/>
      <c r="AK70" s="309"/>
      <c r="AL70" s="309"/>
      <c r="AM70" s="317"/>
      <c r="AN70" s="290"/>
      <c r="AO70" s="309"/>
      <c r="AP70" s="309"/>
      <c r="AQ70" s="309"/>
      <c r="AR70" s="309"/>
      <c r="AS70" s="309"/>
      <c r="AT70" s="309"/>
      <c r="AU70" s="310"/>
      <c r="AV70" s="313"/>
      <c r="AW70" s="309"/>
      <c r="AX70" s="310"/>
      <c r="AY70" s="317"/>
      <c r="AZ70" s="290"/>
      <c r="BA70" s="309"/>
      <c r="BB70" s="309"/>
      <c r="BC70" s="309"/>
      <c r="BD70" s="309"/>
      <c r="BE70" s="310"/>
      <c r="BF70" s="296"/>
      <c r="BG70" s="297"/>
      <c r="BH70" s="297"/>
      <c r="BI70" s="297"/>
      <c r="BJ70" s="297"/>
      <c r="BK70" s="297"/>
      <c r="BL70" s="297"/>
      <c r="BM70" s="297"/>
      <c r="BN70" s="297"/>
      <c r="BO70" s="297"/>
      <c r="BP70" s="297"/>
      <c r="BQ70" s="297"/>
      <c r="BR70" s="297"/>
      <c r="BS70" s="297"/>
      <c r="BT70" s="297"/>
      <c r="BU70" s="297"/>
      <c r="BV70" s="297"/>
      <c r="BW70" s="297"/>
      <c r="BX70" s="297"/>
      <c r="BY70" s="297"/>
      <c r="BZ70" s="297"/>
      <c r="CA70" s="297"/>
      <c r="CB70" s="297"/>
      <c r="CC70" s="298"/>
      <c r="CD70" s="290"/>
      <c r="CE70" s="309"/>
      <c r="CF70" s="309"/>
      <c r="CG70" s="309"/>
      <c r="CH70" s="309"/>
      <c r="CI70" s="317"/>
      <c r="CJ70" s="290"/>
      <c r="CK70" s="309"/>
      <c r="CL70" s="309"/>
      <c r="CM70" s="309"/>
      <c r="CN70" s="309"/>
      <c r="CO70" s="317"/>
      <c r="CP70" s="290"/>
      <c r="CQ70" s="309"/>
      <c r="CR70" s="309"/>
      <c r="CS70" s="309"/>
      <c r="CT70" s="309"/>
      <c r="CU70" s="317"/>
      <c r="CV70" s="290"/>
      <c r="CW70" s="309"/>
      <c r="CX70" s="309"/>
      <c r="CY70" s="309"/>
      <c r="CZ70" s="309"/>
      <c r="DA70" s="317"/>
      <c r="DB70" s="415">
        <f t="shared" si="14"/>
        <v>0</v>
      </c>
    </row>
    <row r="71" spans="1:106" ht="15.75" thickBot="1">
      <c r="A71" s="289"/>
      <c r="B71" s="34">
        <f t="shared" ref="B71:G71" si="15">SUM(B40:B70)</f>
        <v>0</v>
      </c>
      <c r="C71" s="32">
        <f t="shared" si="15"/>
        <v>0</v>
      </c>
      <c r="D71" s="32">
        <f t="shared" si="15"/>
        <v>0</v>
      </c>
      <c r="E71" s="32">
        <f t="shared" ref="E71:F71" si="16">SUM(E40:E70)</f>
        <v>0</v>
      </c>
      <c r="F71" s="420">
        <f t="shared" si="16"/>
        <v>0</v>
      </c>
      <c r="G71" s="32">
        <f t="shared" si="15"/>
        <v>0</v>
      </c>
      <c r="H71" s="322">
        <f t="shared" ref="H71" si="17">SUM(H40:H70)</f>
        <v>0</v>
      </c>
      <c r="I71" s="322">
        <f t="shared" ref="I71:J71" si="18">SUM(I40:I70)</f>
        <v>0</v>
      </c>
      <c r="J71" s="322">
        <f t="shared" si="18"/>
        <v>0</v>
      </c>
      <c r="K71" s="660">
        <f t="shared" ref="K71:L71" si="19">SUM(K40:K70)</f>
        <v>0</v>
      </c>
      <c r="L71" s="660">
        <f t="shared" si="19"/>
        <v>0</v>
      </c>
      <c r="M71" s="34">
        <f t="shared" ref="M71" si="20">SUM(M40:M70)</f>
        <v>0</v>
      </c>
      <c r="N71" s="322">
        <f t="shared" ref="N71" si="21">SUM(N40:N70)</f>
        <v>0</v>
      </c>
      <c r="O71" s="322">
        <f t="shared" ref="O71:P71" si="22">SUM(O40:O70)</f>
        <v>0</v>
      </c>
      <c r="P71" s="323">
        <f t="shared" si="22"/>
        <v>0</v>
      </c>
      <c r="Q71" s="323">
        <f t="shared" ref="Q71:R71" si="23">SUM(Q40:Q70)</f>
        <v>0</v>
      </c>
      <c r="R71" s="323">
        <f t="shared" si="23"/>
        <v>0</v>
      </c>
      <c r="S71" s="112">
        <f t="shared" ref="S71" si="24">SUM(S40:S70)</f>
        <v>0</v>
      </c>
      <c r="T71" s="209">
        <f t="shared" ref="T71" si="25">SUM(T40:T70)</f>
        <v>0</v>
      </c>
      <c r="U71" s="209">
        <f t="shared" ref="U71" si="26">SUM(U40:U70)</f>
        <v>0</v>
      </c>
      <c r="V71" s="209">
        <f t="shared" ref="V71:W71" si="27">SUM(V40:V70)</f>
        <v>0</v>
      </c>
      <c r="W71" s="209">
        <f t="shared" si="27"/>
        <v>0</v>
      </c>
      <c r="X71" s="210">
        <f t="shared" ref="X71" si="28">SUM(X40:X70)</f>
        <v>0</v>
      </c>
      <c r="Y71" s="123">
        <f t="shared" ref="Y71" si="29">SUM(Y40:Y70)</f>
        <v>0</v>
      </c>
      <c r="Z71" s="209">
        <f t="shared" ref="Z71:AB71" si="30">SUM(Z40:Z70)</f>
        <v>0</v>
      </c>
      <c r="AA71" s="209">
        <f t="shared" si="30"/>
        <v>0</v>
      </c>
      <c r="AB71" s="209">
        <f t="shared" si="30"/>
        <v>0</v>
      </c>
      <c r="AC71" s="318">
        <f t="shared" ref="AC71" si="31">SUM(AC40:AC70)</f>
        <v>0</v>
      </c>
      <c r="AD71" s="112">
        <f t="shared" ref="AD71" si="32">SUM(AD40:AD70)</f>
        <v>0</v>
      </c>
      <c r="AE71" s="209">
        <f t="shared" ref="AE71" si="33">SUM(AE40:AE70)</f>
        <v>0</v>
      </c>
      <c r="AF71" s="209">
        <f t="shared" ref="AF71" si="34">SUM(AF40:AF70)</f>
        <v>0</v>
      </c>
      <c r="AG71" s="209">
        <f t="shared" ref="AG71" si="35">SUM(AG40:AG70)</f>
        <v>0</v>
      </c>
      <c r="AH71" s="209">
        <f t="shared" ref="AH71" si="36">SUM(AH40:AH70)</f>
        <v>0</v>
      </c>
      <c r="AI71" s="209">
        <f t="shared" ref="AI71:AK71" si="37">SUM(AI40:AI70)</f>
        <v>0</v>
      </c>
      <c r="AJ71" s="209">
        <f t="shared" si="37"/>
        <v>0</v>
      </c>
      <c r="AK71" s="209">
        <f t="shared" si="37"/>
        <v>0</v>
      </c>
      <c r="AL71" s="209">
        <f t="shared" ref="AL71" si="38">SUM(AL40:AL70)</f>
        <v>0</v>
      </c>
      <c r="AM71" s="210">
        <f t="shared" ref="AM71" si="39">SUM(AM40:AM70)</f>
        <v>0</v>
      </c>
      <c r="AN71" s="123">
        <f t="shared" ref="AN71" si="40">SUM(AN40:AN70)</f>
        <v>0</v>
      </c>
      <c r="AO71" s="209">
        <f t="shared" ref="AO71" si="41">SUM(AO40:AO70)</f>
        <v>0</v>
      </c>
      <c r="AP71" s="209">
        <f t="shared" ref="AP71" si="42">SUM(AP40:AP70)</f>
        <v>0</v>
      </c>
      <c r="AQ71" s="209">
        <f t="shared" ref="AQ71" si="43">SUM(AQ40:AQ70)</f>
        <v>0</v>
      </c>
      <c r="AR71" s="209">
        <f t="shared" ref="AR71" si="44">SUM(AR40:AR70)</f>
        <v>0</v>
      </c>
      <c r="AS71" s="209">
        <f t="shared" ref="AS71" si="45">SUM(AS40:AS70)</f>
        <v>0</v>
      </c>
      <c r="AT71" s="209">
        <f t="shared" ref="AT71" si="46">SUM(AT40:AT70)</f>
        <v>0</v>
      </c>
      <c r="AU71" s="318">
        <f t="shared" ref="AU71" si="47">SUM(AU40:AU70)</f>
        <v>0</v>
      </c>
      <c r="AV71" s="112">
        <f t="shared" ref="AV71:AW71" si="48">SUM(AV40:AV70)</f>
        <v>0</v>
      </c>
      <c r="AW71" s="209">
        <f t="shared" si="48"/>
        <v>0</v>
      </c>
      <c r="AX71" s="209">
        <f t="shared" ref="AX71" si="49">SUM(AX40:AX70)</f>
        <v>0</v>
      </c>
      <c r="AY71" s="210">
        <f t="shared" ref="AY71:BQ71" si="50">SUM(AY40:AY70)</f>
        <v>0</v>
      </c>
      <c r="AZ71" s="123">
        <f t="shared" si="50"/>
        <v>0</v>
      </c>
      <c r="BA71" s="209">
        <f t="shared" si="50"/>
        <v>0</v>
      </c>
      <c r="BB71" s="209">
        <f t="shared" si="50"/>
        <v>0</v>
      </c>
      <c r="BC71" s="209">
        <f t="shared" si="50"/>
        <v>0</v>
      </c>
      <c r="BD71" s="209">
        <f t="shared" si="50"/>
        <v>0</v>
      </c>
      <c r="BE71" s="318">
        <f t="shared" si="50"/>
        <v>0</v>
      </c>
      <c r="BF71" s="34">
        <f t="shared" si="50"/>
        <v>0</v>
      </c>
      <c r="BG71" s="34">
        <f t="shared" si="50"/>
        <v>0</v>
      </c>
      <c r="BH71" s="392">
        <f t="shared" si="50"/>
        <v>0</v>
      </c>
      <c r="BI71" s="34">
        <f t="shared" si="50"/>
        <v>0</v>
      </c>
      <c r="BJ71" s="34">
        <f t="shared" si="50"/>
        <v>0</v>
      </c>
      <c r="BK71" s="392">
        <f t="shared" si="50"/>
        <v>0</v>
      </c>
      <c r="BL71" s="34">
        <f t="shared" si="50"/>
        <v>0</v>
      </c>
      <c r="BM71" s="34">
        <f t="shared" si="50"/>
        <v>0</v>
      </c>
      <c r="BN71" s="392">
        <f t="shared" si="50"/>
        <v>0</v>
      </c>
      <c r="BO71" s="34">
        <f t="shared" si="50"/>
        <v>0</v>
      </c>
      <c r="BP71" s="34">
        <f t="shared" si="50"/>
        <v>0</v>
      </c>
      <c r="BQ71" s="392">
        <f t="shared" si="50"/>
        <v>0</v>
      </c>
      <c r="BR71" s="34">
        <f t="shared" ref="BR71:CC71" si="51">SUM(BR40:BR70)</f>
        <v>0</v>
      </c>
      <c r="BS71" s="34">
        <f t="shared" si="51"/>
        <v>0</v>
      </c>
      <c r="BT71" s="392">
        <f t="shared" si="51"/>
        <v>0</v>
      </c>
      <c r="BU71" s="34">
        <f t="shared" si="51"/>
        <v>0</v>
      </c>
      <c r="BV71" s="34">
        <f t="shared" si="51"/>
        <v>0</v>
      </c>
      <c r="BW71" s="392">
        <f t="shared" si="51"/>
        <v>0</v>
      </c>
      <c r="BX71" s="34">
        <f t="shared" si="51"/>
        <v>0</v>
      </c>
      <c r="BY71" s="34">
        <f t="shared" si="51"/>
        <v>0</v>
      </c>
      <c r="BZ71" s="392">
        <f t="shared" si="51"/>
        <v>0</v>
      </c>
      <c r="CA71" s="34">
        <f t="shared" si="51"/>
        <v>0</v>
      </c>
      <c r="CB71" s="34">
        <f t="shared" si="51"/>
        <v>0</v>
      </c>
      <c r="CC71" s="392">
        <f t="shared" si="51"/>
        <v>0</v>
      </c>
      <c r="CD71" s="123">
        <f t="shared" ref="CD71:CI71" si="52">SUM(CD40:CD70)</f>
        <v>0</v>
      </c>
      <c r="CE71" s="209">
        <f t="shared" si="52"/>
        <v>0</v>
      </c>
      <c r="CF71" s="209">
        <f t="shared" si="52"/>
        <v>0</v>
      </c>
      <c r="CG71" s="209">
        <f t="shared" si="52"/>
        <v>0</v>
      </c>
      <c r="CH71" s="209">
        <f t="shared" si="52"/>
        <v>0</v>
      </c>
      <c r="CI71" s="210">
        <f t="shared" si="52"/>
        <v>0</v>
      </c>
      <c r="CJ71" s="123">
        <f t="shared" ref="CJ71:CO71" si="53">SUM(CJ40:CJ70)</f>
        <v>0</v>
      </c>
      <c r="CK71" s="209">
        <f t="shared" si="53"/>
        <v>0</v>
      </c>
      <c r="CL71" s="209">
        <f t="shared" si="53"/>
        <v>0</v>
      </c>
      <c r="CM71" s="209">
        <f t="shared" si="53"/>
        <v>0</v>
      </c>
      <c r="CN71" s="209">
        <f t="shared" si="53"/>
        <v>0</v>
      </c>
      <c r="CO71" s="210">
        <f t="shared" si="53"/>
        <v>0</v>
      </c>
      <c r="CP71" s="123">
        <f t="shared" ref="CP71:CU71" si="54">SUM(CP40:CP70)</f>
        <v>0</v>
      </c>
      <c r="CQ71" s="209">
        <f t="shared" si="54"/>
        <v>0</v>
      </c>
      <c r="CR71" s="209">
        <f t="shared" si="54"/>
        <v>0</v>
      </c>
      <c r="CS71" s="209">
        <f t="shared" si="54"/>
        <v>0</v>
      </c>
      <c r="CT71" s="209">
        <f t="shared" si="54"/>
        <v>0</v>
      </c>
      <c r="CU71" s="210">
        <f t="shared" si="54"/>
        <v>0</v>
      </c>
      <c r="CV71" s="123">
        <f t="shared" ref="CV71:DA71" si="55">SUM(CV40:CV70)</f>
        <v>0</v>
      </c>
      <c r="CW71" s="209">
        <f t="shared" si="55"/>
        <v>0</v>
      </c>
      <c r="CX71" s="209">
        <f t="shared" si="55"/>
        <v>0</v>
      </c>
      <c r="CY71" s="209">
        <f t="shared" si="55"/>
        <v>0</v>
      </c>
      <c r="CZ71" s="209">
        <f t="shared" si="55"/>
        <v>0</v>
      </c>
      <c r="DA71" s="210">
        <f t="shared" si="55"/>
        <v>0</v>
      </c>
      <c r="DB71" s="415">
        <f t="shared" si="14"/>
        <v>0</v>
      </c>
    </row>
    <row r="72" spans="1:106" ht="15.75" thickBot="1">
      <c r="G72" s="459" t="s">
        <v>57</v>
      </c>
      <c r="H72" s="460"/>
      <c r="I72" s="311"/>
      <c r="J72" s="311"/>
      <c r="K72" s="311"/>
      <c r="L72" s="311"/>
      <c r="M72" s="311"/>
      <c r="N72" s="311"/>
      <c r="O72" s="311"/>
      <c r="P72" s="311"/>
      <c r="Q72" s="311"/>
      <c r="R72" s="311"/>
      <c r="S72" s="311"/>
      <c r="T72" s="311"/>
      <c r="U72" s="311"/>
      <c r="V72" s="311"/>
      <c r="W72" s="311"/>
      <c r="X72" s="311"/>
      <c r="Y72" s="311"/>
      <c r="Z72" s="311"/>
      <c r="AA72" s="311"/>
      <c r="AB72" s="311"/>
      <c r="AC72" s="311"/>
      <c r="AD72" s="311"/>
      <c r="AE72" s="311"/>
      <c r="AF72" s="311"/>
      <c r="AG72" s="311"/>
      <c r="AH72" s="311"/>
      <c r="AI72" s="311"/>
      <c r="AJ72" s="311"/>
      <c r="AK72" s="311"/>
      <c r="AL72" s="311"/>
      <c r="AM72" s="311"/>
      <c r="AN72" s="311"/>
      <c r="AO72" s="311"/>
      <c r="AP72" s="311"/>
      <c r="AQ72" s="311"/>
      <c r="AR72" s="311"/>
      <c r="AS72" s="311"/>
      <c r="AT72" s="311"/>
      <c r="AU72" s="311"/>
      <c r="AV72" s="311"/>
      <c r="AW72" s="311"/>
      <c r="AX72" s="311"/>
      <c r="AY72" s="311"/>
      <c r="AZ72" s="311"/>
      <c r="BA72" s="311"/>
      <c r="BB72" s="311"/>
      <c r="BC72" s="311"/>
      <c r="BD72" s="311"/>
      <c r="BE72" s="311"/>
      <c r="BF72" s="311"/>
      <c r="BG72" s="311"/>
      <c r="BH72" s="311"/>
      <c r="BI72" s="311"/>
      <c r="BJ72" s="311"/>
      <c r="BK72" s="311"/>
      <c r="BL72" s="311"/>
      <c r="BM72" s="311"/>
      <c r="BN72" s="311"/>
      <c r="BO72" s="311"/>
      <c r="BP72" s="311"/>
      <c r="BQ72" s="311"/>
      <c r="BR72" s="311"/>
      <c r="BS72" s="311"/>
      <c r="BT72" s="311"/>
      <c r="BU72" s="311"/>
      <c r="BV72" s="311"/>
      <c r="BW72" s="311"/>
      <c r="BX72" s="311"/>
      <c r="BY72" s="311"/>
      <c r="BZ72" s="311"/>
      <c r="CA72" s="311"/>
      <c r="CB72" s="311"/>
      <c r="CC72" s="311"/>
      <c r="CD72" s="311"/>
      <c r="CE72" s="311"/>
      <c r="CF72" s="311"/>
      <c r="CG72" s="311"/>
      <c r="CH72" s="311"/>
      <c r="CI72" s="311"/>
      <c r="CJ72" s="311"/>
      <c r="CK72" s="311"/>
      <c r="CL72" s="311"/>
      <c r="CM72" s="311"/>
      <c r="CN72" s="311"/>
      <c r="CO72" s="311"/>
      <c r="CP72" s="311"/>
      <c r="CQ72" s="311"/>
      <c r="CR72" s="311"/>
      <c r="CS72" s="311"/>
      <c r="CT72" s="311"/>
      <c r="CU72" s="311"/>
      <c r="CV72" s="311"/>
      <c r="CW72" s="311"/>
      <c r="CX72" s="311"/>
      <c r="CY72" s="311"/>
      <c r="CZ72" s="311"/>
      <c r="DA72" s="311"/>
      <c r="DB72" s="311"/>
    </row>
    <row r="73" spans="1:106" ht="15.75" thickBot="1">
      <c r="A73" s="462" t="s">
        <v>2</v>
      </c>
      <c r="B73" s="449" t="s">
        <v>45</v>
      </c>
      <c r="C73" s="450"/>
      <c r="D73" s="450"/>
      <c r="E73" s="450"/>
      <c r="F73" s="451"/>
      <c r="G73" s="449" t="s">
        <v>46</v>
      </c>
      <c r="H73" s="450"/>
      <c r="I73" s="450"/>
      <c r="J73" s="450"/>
      <c r="K73" s="450"/>
      <c r="L73" s="451"/>
      <c r="M73" s="454" t="s">
        <v>47</v>
      </c>
      <c r="N73" s="455"/>
      <c r="O73" s="455"/>
      <c r="P73" s="455"/>
      <c r="Q73" s="455"/>
      <c r="R73" s="456"/>
      <c r="S73" s="450" t="s">
        <v>48</v>
      </c>
      <c r="T73" s="450"/>
      <c r="U73" s="450"/>
      <c r="V73" s="450"/>
      <c r="W73" s="450"/>
      <c r="X73" s="450"/>
      <c r="Y73" s="449" t="s">
        <v>49</v>
      </c>
      <c r="Z73" s="450"/>
      <c r="AA73" s="450"/>
      <c r="AB73" s="450"/>
      <c r="AC73" s="451"/>
      <c r="AD73" s="449" t="s">
        <v>50</v>
      </c>
      <c r="AE73" s="450"/>
      <c r="AF73" s="450"/>
      <c r="AG73" s="450"/>
      <c r="AH73" s="450"/>
      <c r="AI73" s="450"/>
      <c r="AJ73" s="450"/>
      <c r="AK73" s="450"/>
      <c r="AL73" s="450"/>
      <c r="AM73" s="451"/>
      <c r="AN73" s="449" t="s">
        <v>51</v>
      </c>
      <c r="AO73" s="450"/>
      <c r="AP73" s="450"/>
      <c r="AQ73" s="450"/>
      <c r="AR73" s="450"/>
      <c r="AS73" s="450"/>
      <c r="AT73" s="450"/>
      <c r="AU73" s="451"/>
      <c r="AV73" s="449" t="s">
        <v>52</v>
      </c>
      <c r="AW73" s="450"/>
      <c r="AX73" s="450"/>
      <c r="AY73" s="451"/>
      <c r="AZ73" s="449" t="s">
        <v>53</v>
      </c>
      <c r="BA73" s="450"/>
      <c r="BB73" s="450"/>
      <c r="BC73" s="450"/>
      <c r="BD73" s="450"/>
      <c r="BE73" s="450"/>
      <c r="BF73" s="449" t="s">
        <v>54</v>
      </c>
      <c r="BG73" s="450"/>
      <c r="BH73" s="450"/>
      <c r="BI73" s="450"/>
      <c r="BJ73" s="450"/>
      <c r="BK73" s="450"/>
      <c r="BL73" s="450"/>
      <c r="BM73" s="450"/>
      <c r="BN73" s="450"/>
      <c r="BO73" s="450"/>
      <c r="BP73" s="450"/>
      <c r="BQ73" s="450"/>
      <c r="BR73" s="450"/>
      <c r="BS73" s="450"/>
      <c r="BT73" s="450"/>
      <c r="BU73" s="450"/>
      <c r="BV73" s="450"/>
      <c r="BW73" s="450"/>
      <c r="BX73" s="450"/>
      <c r="BY73" s="450"/>
      <c r="BZ73" s="450"/>
      <c r="CA73" s="450"/>
      <c r="CB73" s="450"/>
      <c r="CC73" s="451"/>
      <c r="CD73" s="449" t="s">
        <v>55</v>
      </c>
      <c r="CE73" s="450"/>
      <c r="CF73" s="450"/>
      <c r="CG73" s="450"/>
      <c r="CH73" s="450"/>
      <c r="CI73" s="451"/>
      <c r="CJ73" s="449" t="s">
        <v>182</v>
      </c>
      <c r="CK73" s="450"/>
      <c r="CL73" s="450"/>
      <c r="CM73" s="450"/>
      <c r="CN73" s="450"/>
      <c r="CO73" s="451"/>
      <c r="CP73" s="449" t="s">
        <v>183</v>
      </c>
      <c r="CQ73" s="450"/>
      <c r="CR73" s="450"/>
      <c r="CS73" s="450"/>
      <c r="CT73" s="450"/>
      <c r="CU73" s="451"/>
      <c r="CV73" s="449" t="s">
        <v>184</v>
      </c>
      <c r="CW73" s="450"/>
      <c r="CX73" s="450"/>
      <c r="CY73" s="450"/>
      <c r="CZ73" s="450"/>
      <c r="DA73" s="451"/>
      <c r="DB73" s="464" t="s">
        <v>56</v>
      </c>
    </row>
    <row r="74" spans="1:106" ht="15.75" thickBot="1">
      <c r="A74" s="462"/>
      <c r="B74" s="285" t="s">
        <v>39</v>
      </c>
      <c r="C74" s="419" t="s">
        <v>39</v>
      </c>
      <c r="D74" s="419" t="s">
        <v>39</v>
      </c>
      <c r="E74" s="419" t="s">
        <v>39</v>
      </c>
      <c r="F74" s="419" t="s">
        <v>39</v>
      </c>
      <c r="G74" s="286" t="s">
        <v>39</v>
      </c>
      <c r="H74" s="286" t="s">
        <v>39</v>
      </c>
      <c r="I74" s="286" t="s">
        <v>39</v>
      </c>
      <c r="J74" s="286" t="s">
        <v>39</v>
      </c>
      <c r="K74" s="293" t="s">
        <v>39</v>
      </c>
      <c r="L74" s="418" t="s">
        <v>39</v>
      </c>
      <c r="M74" s="285" t="s">
        <v>39</v>
      </c>
      <c r="N74" s="286" t="s">
        <v>39</v>
      </c>
      <c r="O74" s="286" t="s">
        <v>39</v>
      </c>
      <c r="P74" s="419" t="s">
        <v>39</v>
      </c>
      <c r="Q74" s="419" t="s">
        <v>39</v>
      </c>
      <c r="R74" s="286" t="s">
        <v>39</v>
      </c>
      <c r="S74" s="286" t="s">
        <v>39</v>
      </c>
      <c r="T74" s="286" t="s">
        <v>39</v>
      </c>
      <c r="U74" s="286" t="s">
        <v>39</v>
      </c>
      <c r="V74" s="419" t="s">
        <v>39</v>
      </c>
      <c r="W74" s="286" t="s">
        <v>39</v>
      </c>
      <c r="X74" s="293" t="s">
        <v>39</v>
      </c>
      <c r="Y74" s="285" t="s">
        <v>39</v>
      </c>
      <c r="Z74" s="286" t="s">
        <v>39</v>
      </c>
      <c r="AA74" s="286" t="s">
        <v>39</v>
      </c>
      <c r="AB74" s="286" t="s">
        <v>39</v>
      </c>
      <c r="AC74" s="286" t="s">
        <v>39</v>
      </c>
      <c r="AD74" s="300" t="s">
        <v>39</v>
      </c>
      <c r="AE74" s="286" t="s">
        <v>41</v>
      </c>
      <c r="AF74" s="293" t="s">
        <v>39</v>
      </c>
      <c r="AG74" s="286" t="s">
        <v>41</v>
      </c>
      <c r="AH74" s="293" t="s">
        <v>39</v>
      </c>
      <c r="AI74" s="286" t="s">
        <v>41</v>
      </c>
      <c r="AJ74" s="293" t="s">
        <v>39</v>
      </c>
      <c r="AK74" s="286" t="s">
        <v>41</v>
      </c>
      <c r="AL74" s="293" t="s">
        <v>39</v>
      </c>
      <c r="AM74" s="286" t="s">
        <v>41</v>
      </c>
      <c r="AN74" s="300" t="s">
        <v>39</v>
      </c>
      <c r="AO74" s="286" t="s">
        <v>40</v>
      </c>
      <c r="AP74" s="293" t="s">
        <v>39</v>
      </c>
      <c r="AQ74" s="286" t="s">
        <v>40</v>
      </c>
      <c r="AR74" s="293" t="s">
        <v>39</v>
      </c>
      <c r="AS74" s="286" t="s">
        <v>40</v>
      </c>
      <c r="AT74" s="293" t="s">
        <v>39</v>
      </c>
      <c r="AU74" s="286" t="s">
        <v>40</v>
      </c>
      <c r="AV74" s="300" t="s">
        <v>39</v>
      </c>
      <c r="AW74" s="293" t="s">
        <v>39</v>
      </c>
      <c r="AX74" s="293" t="s">
        <v>39</v>
      </c>
      <c r="AY74" s="286" t="s">
        <v>39</v>
      </c>
      <c r="AZ74" s="302" t="s">
        <v>39</v>
      </c>
      <c r="BA74" s="303" t="s">
        <v>39</v>
      </c>
      <c r="BB74" s="303" t="s">
        <v>39</v>
      </c>
      <c r="BC74" s="303" t="s">
        <v>39</v>
      </c>
      <c r="BD74" s="303" t="s">
        <v>39</v>
      </c>
      <c r="BE74" s="292" t="s">
        <v>39</v>
      </c>
      <c r="BF74" s="304" t="s">
        <v>39</v>
      </c>
      <c r="BG74" s="305" t="s">
        <v>40</v>
      </c>
      <c r="BH74" s="306" t="s">
        <v>41</v>
      </c>
      <c r="BI74" s="304" t="s">
        <v>39</v>
      </c>
      <c r="BJ74" s="305" t="s">
        <v>40</v>
      </c>
      <c r="BK74" s="306" t="s">
        <v>41</v>
      </c>
      <c r="BL74" s="304" t="s">
        <v>39</v>
      </c>
      <c r="BM74" s="305" t="s">
        <v>40</v>
      </c>
      <c r="BN74" s="306" t="s">
        <v>41</v>
      </c>
      <c r="BO74" s="304" t="s">
        <v>39</v>
      </c>
      <c r="BP74" s="305" t="s">
        <v>40</v>
      </c>
      <c r="BQ74" s="306" t="s">
        <v>41</v>
      </c>
      <c r="BR74" s="304" t="s">
        <v>39</v>
      </c>
      <c r="BS74" s="305" t="s">
        <v>40</v>
      </c>
      <c r="BT74" s="306" t="s">
        <v>41</v>
      </c>
      <c r="BU74" s="304" t="s">
        <v>39</v>
      </c>
      <c r="BV74" s="305" t="s">
        <v>40</v>
      </c>
      <c r="BW74" s="306" t="s">
        <v>41</v>
      </c>
      <c r="BX74" s="304" t="s">
        <v>39</v>
      </c>
      <c r="BY74" s="305" t="s">
        <v>40</v>
      </c>
      <c r="BZ74" s="306" t="s">
        <v>41</v>
      </c>
      <c r="CA74" s="304" t="s">
        <v>39</v>
      </c>
      <c r="CB74" s="305" t="s">
        <v>40</v>
      </c>
      <c r="CC74" s="306" t="s">
        <v>41</v>
      </c>
      <c r="CD74" s="395" t="s">
        <v>39</v>
      </c>
      <c r="CE74" s="303" t="s">
        <v>39</v>
      </c>
      <c r="CF74" s="303" t="s">
        <v>39</v>
      </c>
      <c r="CG74" s="303" t="s">
        <v>39</v>
      </c>
      <c r="CH74" s="303" t="s">
        <v>39</v>
      </c>
      <c r="CI74" s="307" t="s">
        <v>39</v>
      </c>
      <c r="CJ74" s="395" t="s">
        <v>39</v>
      </c>
      <c r="CK74" s="414" t="s">
        <v>39</v>
      </c>
      <c r="CL74" s="414" t="s">
        <v>39</v>
      </c>
      <c r="CM74" s="414" t="s">
        <v>39</v>
      </c>
      <c r="CN74" s="414" t="s">
        <v>39</v>
      </c>
      <c r="CO74" s="307" t="s">
        <v>39</v>
      </c>
      <c r="CP74" s="395" t="s">
        <v>39</v>
      </c>
      <c r="CQ74" s="414" t="s">
        <v>39</v>
      </c>
      <c r="CR74" s="414" t="s">
        <v>39</v>
      </c>
      <c r="CS74" s="414" t="s">
        <v>39</v>
      </c>
      <c r="CT74" s="414" t="s">
        <v>39</v>
      </c>
      <c r="CU74" s="307" t="s">
        <v>39</v>
      </c>
      <c r="CV74" s="395" t="s">
        <v>39</v>
      </c>
      <c r="CW74" s="414" t="s">
        <v>39</v>
      </c>
      <c r="CX74" s="414" t="s">
        <v>39</v>
      </c>
      <c r="CY74" s="414" t="s">
        <v>39</v>
      </c>
      <c r="CZ74" s="414" t="s">
        <v>39</v>
      </c>
      <c r="DA74" s="307" t="s">
        <v>39</v>
      </c>
      <c r="DB74" s="464"/>
    </row>
    <row r="75" spans="1:106">
      <c r="A75" s="238">
        <v>1</v>
      </c>
      <c r="B75" s="239"/>
      <c r="C75" s="43"/>
      <c r="D75" s="43"/>
      <c r="E75" s="43"/>
      <c r="F75" s="283"/>
      <c r="G75" s="120"/>
      <c r="H75" s="41"/>
      <c r="I75" s="41"/>
      <c r="J75" s="41"/>
      <c r="K75" s="41"/>
      <c r="L75" s="121"/>
      <c r="M75" s="120"/>
      <c r="N75" s="262"/>
      <c r="O75" s="262"/>
      <c r="P75" s="262"/>
      <c r="Q75" s="262"/>
      <c r="R75" s="269"/>
      <c r="S75" s="287"/>
      <c r="T75" s="288"/>
      <c r="U75" s="288"/>
      <c r="V75" s="288"/>
      <c r="W75" s="288"/>
      <c r="X75" s="288"/>
      <c r="Y75" s="295"/>
      <c r="Z75" s="288"/>
      <c r="AA75" s="288"/>
      <c r="AB75" s="288"/>
      <c r="AC75" s="288"/>
      <c r="AD75" s="295"/>
      <c r="AE75" s="288"/>
      <c r="AF75" s="288"/>
      <c r="AG75" s="288"/>
      <c r="AH75" s="288"/>
      <c r="AI75" s="288"/>
      <c r="AJ75" s="288"/>
      <c r="AK75" s="288"/>
      <c r="AL75" s="288"/>
      <c r="AM75" s="288"/>
      <c r="AN75" s="295"/>
      <c r="AO75" s="288"/>
      <c r="AP75" s="288"/>
      <c r="AQ75" s="288"/>
      <c r="AR75" s="288"/>
      <c r="AS75" s="288"/>
      <c r="AT75" s="288"/>
      <c r="AU75" s="288"/>
      <c r="AV75" s="295"/>
      <c r="AW75" s="288"/>
      <c r="AX75" s="289"/>
      <c r="AY75" s="294"/>
      <c r="AZ75" s="295"/>
      <c r="BA75" s="288"/>
      <c r="BB75" s="288"/>
      <c r="BC75" s="288"/>
      <c r="BD75" s="288"/>
      <c r="BE75" s="289"/>
      <c r="BF75" s="268"/>
      <c r="BG75" s="262"/>
      <c r="BH75" s="262"/>
      <c r="BI75" s="262"/>
      <c r="BJ75" s="262"/>
      <c r="BK75" s="262"/>
      <c r="BL75" s="262"/>
      <c r="BM75" s="262"/>
      <c r="BN75" s="262"/>
      <c r="BO75" s="262"/>
      <c r="BP75" s="262"/>
      <c r="BQ75" s="262"/>
      <c r="BR75" s="262"/>
      <c r="BS75" s="262"/>
      <c r="BT75" s="262"/>
      <c r="BU75" s="262"/>
      <c r="BV75" s="262"/>
      <c r="BW75" s="262"/>
      <c r="BX75" s="262"/>
      <c r="BY75" s="262"/>
      <c r="BZ75" s="262"/>
      <c r="CA75" s="262"/>
      <c r="CB75" s="262"/>
      <c r="CC75" s="269"/>
      <c r="CD75" s="287"/>
      <c r="CE75" s="288"/>
      <c r="CF75" s="288"/>
      <c r="CG75" s="288"/>
      <c r="CH75" s="288"/>
      <c r="CI75" s="294"/>
      <c r="CJ75" s="287"/>
      <c r="CK75" s="288"/>
      <c r="CL75" s="288"/>
      <c r="CM75" s="288"/>
      <c r="CN75" s="288"/>
      <c r="CO75" s="294"/>
      <c r="CP75" s="287"/>
      <c r="CQ75" s="288"/>
      <c r="CR75" s="288"/>
      <c r="CS75" s="288"/>
      <c r="CT75" s="288"/>
      <c r="CU75" s="294"/>
      <c r="CV75" s="287"/>
      <c r="CW75" s="288"/>
      <c r="CX75" s="288"/>
      <c r="CY75" s="288"/>
      <c r="CZ75" s="288"/>
      <c r="DA75" s="294"/>
      <c r="DB75" s="56">
        <f>SUM(B75:DA75)</f>
        <v>0</v>
      </c>
    </row>
    <row r="76" spans="1:106">
      <c r="A76" s="238">
        <v>2</v>
      </c>
      <c r="B76" s="239"/>
      <c r="C76" s="43"/>
      <c r="D76" s="43"/>
      <c r="E76" s="43"/>
      <c r="F76" s="283"/>
      <c r="G76" s="239"/>
      <c r="H76" s="43"/>
      <c r="I76" s="43"/>
      <c r="J76" s="43"/>
      <c r="K76" s="43"/>
      <c r="L76" s="283"/>
      <c r="M76" s="239"/>
      <c r="N76" s="288"/>
      <c r="O76" s="288"/>
      <c r="P76" s="288"/>
      <c r="Q76" s="288"/>
      <c r="R76" s="294"/>
      <c r="S76" s="287"/>
      <c r="T76" s="288"/>
      <c r="U76" s="288"/>
      <c r="V76" s="288"/>
      <c r="W76" s="288"/>
      <c r="X76" s="288"/>
      <c r="Y76" s="295"/>
      <c r="Z76" s="288"/>
      <c r="AA76" s="288"/>
      <c r="AB76" s="288"/>
      <c r="AC76" s="288"/>
      <c r="AD76" s="295"/>
      <c r="AE76" s="288"/>
      <c r="AF76" s="288"/>
      <c r="AG76" s="288"/>
      <c r="AH76" s="288"/>
      <c r="AI76" s="288"/>
      <c r="AJ76" s="288"/>
      <c r="AK76" s="288"/>
      <c r="AL76" s="288"/>
      <c r="AM76" s="288"/>
      <c r="AN76" s="295"/>
      <c r="AO76" s="288"/>
      <c r="AP76" s="288"/>
      <c r="AQ76" s="288"/>
      <c r="AR76" s="288"/>
      <c r="AS76" s="288"/>
      <c r="AT76" s="288"/>
      <c r="AU76" s="288"/>
      <c r="AV76" s="295"/>
      <c r="AW76" s="288"/>
      <c r="AX76" s="289"/>
      <c r="AY76" s="294"/>
      <c r="AZ76" s="295"/>
      <c r="BA76" s="288"/>
      <c r="BB76" s="288"/>
      <c r="BC76" s="288"/>
      <c r="BD76" s="288"/>
      <c r="BE76" s="289"/>
      <c r="BF76" s="295"/>
      <c r="BG76" s="288"/>
      <c r="BH76" s="288"/>
      <c r="BI76" s="288"/>
      <c r="BJ76" s="288"/>
      <c r="BK76" s="288"/>
      <c r="BL76" s="288"/>
      <c r="BM76" s="288"/>
      <c r="BN76" s="288"/>
      <c r="BO76" s="288"/>
      <c r="BP76" s="288"/>
      <c r="BQ76" s="288"/>
      <c r="BR76" s="288"/>
      <c r="BS76" s="288"/>
      <c r="BT76" s="288"/>
      <c r="BU76" s="288"/>
      <c r="BV76" s="288"/>
      <c r="BW76" s="288"/>
      <c r="BX76" s="288"/>
      <c r="BY76" s="288"/>
      <c r="BZ76" s="288"/>
      <c r="CA76" s="288"/>
      <c r="CB76" s="288"/>
      <c r="CC76" s="294"/>
      <c r="CD76" s="287"/>
      <c r="CE76" s="288"/>
      <c r="CF76" s="288"/>
      <c r="CG76" s="288"/>
      <c r="CH76" s="288"/>
      <c r="CI76" s="294"/>
      <c r="CJ76" s="287"/>
      <c r="CK76" s="288"/>
      <c r="CL76" s="288"/>
      <c r="CM76" s="288"/>
      <c r="CN76" s="288"/>
      <c r="CO76" s="294"/>
      <c r="CP76" s="287"/>
      <c r="CQ76" s="288"/>
      <c r="CR76" s="288"/>
      <c r="CS76" s="288"/>
      <c r="CT76" s="288"/>
      <c r="CU76" s="294"/>
      <c r="CV76" s="287"/>
      <c r="CW76" s="288"/>
      <c r="CX76" s="288"/>
      <c r="CY76" s="288"/>
      <c r="CZ76" s="288"/>
      <c r="DA76" s="294"/>
      <c r="DB76" s="415">
        <f t="shared" ref="DB76:DB106" si="56">SUM(B76:DA76)</f>
        <v>0</v>
      </c>
    </row>
    <row r="77" spans="1:106">
      <c r="A77" s="238">
        <v>3</v>
      </c>
      <c r="B77" s="239"/>
      <c r="C77" s="43"/>
      <c r="D77" s="43"/>
      <c r="E77" s="43"/>
      <c r="F77" s="283"/>
      <c r="G77" s="239"/>
      <c r="H77" s="43"/>
      <c r="I77" s="43"/>
      <c r="J77" s="43"/>
      <c r="K77" s="43"/>
      <c r="L77" s="283"/>
      <c r="M77" s="239"/>
      <c r="N77" s="288"/>
      <c r="O77" s="288"/>
      <c r="P77" s="288"/>
      <c r="Q77" s="288"/>
      <c r="R77" s="294"/>
      <c r="S77" s="287"/>
      <c r="T77" s="288"/>
      <c r="U77" s="288"/>
      <c r="V77" s="288"/>
      <c r="W77" s="288"/>
      <c r="X77" s="288"/>
      <c r="Y77" s="295"/>
      <c r="Z77" s="288"/>
      <c r="AA77" s="288"/>
      <c r="AB77" s="288"/>
      <c r="AC77" s="288"/>
      <c r="AD77" s="295"/>
      <c r="AE77" s="288"/>
      <c r="AF77" s="288"/>
      <c r="AG77" s="288"/>
      <c r="AH77" s="288"/>
      <c r="AI77" s="288"/>
      <c r="AJ77" s="288"/>
      <c r="AK77" s="288"/>
      <c r="AL77" s="288"/>
      <c r="AM77" s="288"/>
      <c r="AN77" s="295"/>
      <c r="AO77" s="288"/>
      <c r="AP77" s="288"/>
      <c r="AQ77" s="288"/>
      <c r="AR77" s="288"/>
      <c r="AS77" s="288"/>
      <c r="AT77" s="288"/>
      <c r="AU77" s="288"/>
      <c r="AV77" s="295"/>
      <c r="AW77" s="288"/>
      <c r="AX77" s="289"/>
      <c r="AY77" s="294"/>
      <c r="AZ77" s="295"/>
      <c r="BA77" s="288"/>
      <c r="BB77" s="288"/>
      <c r="BC77" s="288"/>
      <c r="BD77" s="288"/>
      <c r="BE77" s="289"/>
      <c r="BF77" s="295"/>
      <c r="BG77" s="288"/>
      <c r="BH77" s="288"/>
      <c r="BI77" s="288"/>
      <c r="BJ77" s="288"/>
      <c r="BK77" s="288"/>
      <c r="BL77" s="288"/>
      <c r="BM77" s="288"/>
      <c r="BN77" s="288"/>
      <c r="BO77" s="288"/>
      <c r="BP77" s="288"/>
      <c r="BQ77" s="288"/>
      <c r="BR77" s="288"/>
      <c r="BS77" s="288"/>
      <c r="BT77" s="288"/>
      <c r="BU77" s="288"/>
      <c r="BV77" s="288"/>
      <c r="BW77" s="288"/>
      <c r="BX77" s="288"/>
      <c r="BY77" s="288"/>
      <c r="BZ77" s="288"/>
      <c r="CA77" s="288"/>
      <c r="CB77" s="288"/>
      <c r="CC77" s="294"/>
      <c r="CD77" s="287"/>
      <c r="CE77" s="288"/>
      <c r="CF77" s="288"/>
      <c r="CG77" s="288"/>
      <c r="CH77" s="288"/>
      <c r="CI77" s="294"/>
      <c r="CJ77" s="287"/>
      <c r="CK77" s="288"/>
      <c r="CL77" s="288"/>
      <c r="CM77" s="288"/>
      <c r="CN77" s="288"/>
      <c r="CO77" s="294"/>
      <c r="CP77" s="287"/>
      <c r="CQ77" s="288"/>
      <c r="CR77" s="288"/>
      <c r="CS77" s="288"/>
      <c r="CT77" s="288"/>
      <c r="CU77" s="294"/>
      <c r="CV77" s="287"/>
      <c r="CW77" s="288"/>
      <c r="CX77" s="288"/>
      <c r="CY77" s="288"/>
      <c r="CZ77" s="288"/>
      <c r="DA77" s="294"/>
      <c r="DB77" s="415">
        <f t="shared" si="56"/>
        <v>0</v>
      </c>
    </row>
    <row r="78" spans="1:106">
      <c r="A78" s="238">
        <v>4</v>
      </c>
      <c r="B78" s="239"/>
      <c r="C78" s="43"/>
      <c r="D78" s="43"/>
      <c r="E78" s="43"/>
      <c r="F78" s="283"/>
      <c r="G78" s="239"/>
      <c r="H78" s="43"/>
      <c r="I78" s="43"/>
      <c r="J78" s="43"/>
      <c r="K78" s="43"/>
      <c r="L78" s="283"/>
      <c r="M78" s="239"/>
      <c r="N78" s="288"/>
      <c r="O78" s="288"/>
      <c r="P78" s="288"/>
      <c r="Q78" s="288"/>
      <c r="R78" s="294"/>
      <c r="S78" s="287"/>
      <c r="T78" s="288"/>
      <c r="U78" s="288"/>
      <c r="V78" s="288"/>
      <c r="W78" s="288"/>
      <c r="X78" s="288"/>
      <c r="Y78" s="295"/>
      <c r="Z78" s="288"/>
      <c r="AA78" s="288"/>
      <c r="AB78" s="288"/>
      <c r="AC78" s="288"/>
      <c r="AD78" s="295"/>
      <c r="AE78" s="288"/>
      <c r="AF78" s="288"/>
      <c r="AG78" s="288"/>
      <c r="AH78" s="288"/>
      <c r="AI78" s="288"/>
      <c r="AJ78" s="288"/>
      <c r="AK78" s="288"/>
      <c r="AL78" s="288"/>
      <c r="AM78" s="288"/>
      <c r="AN78" s="295"/>
      <c r="AO78" s="288"/>
      <c r="AP78" s="288"/>
      <c r="AQ78" s="288"/>
      <c r="AR78" s="288"/>
      <c r="AS78" s="288"/>
      <c r="AT78" s="288"/>
      <c r="AU78" s="288"/>
      <c r="AV78" s="295"/>
      <c r="AW78" s="288"/>
      <c r="AX78" s="289"/>
      <c r="AY78" s="294"/>
      <c r="AZ78" s="295"/>
      <c r="BA78" s="288"/>
      <c r="BB78" s="288"/>
      <c r="BC78" s="288"/>
      <c r="BD78" s="288"/>
      <c r="BE78" s="289"/>
      <c r="BF78" s="295"/>
      <c r="BG78" s="288"/>
      <c r="BH78" s="288"/>
      <c r="BI78" s="288"/>
      <c r="BJ78" s="288"/>
      <c r="BK78" s="288"/>
      <c r="BL78" s="288"/>
      <c r="BM78" s="288"/>
      <c r="BN78" s="288"/>
      <c r="BO78" s="288"/>
      <c r="BP78" s="288"/>
      <c r="BQ78" s="288"/>
      <c r="BR78" s="288"/>
      <c r="BS78" s="288"/>
      <c r="BT78" s="288"/>
      <c r="BU78" s="288"/>
      <c r="BV78" s="288"/>
      <c r="BW78" s="288"/>
      <c r="BX78" s="288"/>
      <c r="BY78" s="288"/>
      <c r="BZ78" s="288"/>
      <c r="CA78" s="288"/>
      <c r="CB78" s="288"/>
      <c r="CC78" s="294"/>
      <c r="CD78" s="287"/>
      <c r="CE78" s="288"/>
      <c r="CF78" s="288"/>
      <c r="CG78" s="288"/>
      <c r="CH78" s="288"/>
      <c r="CI78" s="294"/>
      <c r="CJ78" s="287"/>
      <c r="CK78" s="288"/>
      <c r="CL78" s="288"/>
      <c r="CM78" s="288"/>
      <c r="CN78" s="288"/>
      <c r="CO78" s="294"/>
      <c r="CP78" s="287"/>
      <c r="CQ78" s="288"/>
      <c r="CR78" s="288"/>
      <c r="CS78" s="288"/>
      <c r="CT78" s="288"/>
      <c r="CU78" s="294"/>
      <c r="CV78" s="287"/>
      <c r="CW78" s="288"/>
      <c r="CX78" s="288"/>
      <c r="CY78" s="288"/>
      <c r="CZ78" s="288"/>
      <c r="DA78" s="294"/>
      <c r="DB78" s="415">
        <f t="shared" si="56"/>
        <v>0</v>
      </c>
    </row>
    <row r="79" spans="1:106">
      <c r="A79" s="238">
        <v>5</v>
      </c>
      <c r="B79" s="239"/>
      <c r="C79" s="43"/>
      <c r="D79" s="43"/>
      <c r="E79" s="43"/>
      <c r="F79" s="283"/>
      <c r="G79" s="239"/>
      <c r="H79" s="43"/>
      <c r="I79" s="43"/>
      <c r="J79" s="43"/>
      <c r="K79" s="43"/>
      <c r="L79" s="283"/>
      <c r="M79" s="239"/>
      <c r="N79" s="288"/>
      <c r="O79" s="288"/>
      <c r="P79" s="288"/>
      <c r="Q79" s="288"/>
      <c r="R79" s="294"/>
      <c r="S79" s="287"/>
      <c r="T79" s="288"/>
      <c r="U79" s="288"/>
      <c r="V79" s="288"/>
      <c r="W79" s="288"/>
      <c r="X79" s="288"/>
      <c r="Y79" s="295"/>
      <c r="Z79" s="288"/>
      <c r="AA79" s="288"/>
      <c r="AB79" s="288"/>
      <c r="AC79" s="288"/>
      <c r="AD79" s="295"/>
      <c r="AE79" s="288"/>
      <c r="AF79" s="288"/>
      <c r="AG79" s="288"/>
      <c r="AH79" s="288"/>
      <c r="AI79" s="288"/>
      <c r="AJ79" s="288"/>
      <c r="AK79" s="288"/>
      <c r="AL79" s="288"/>
      <c r="AM79" s="288"/>
      <c r="AN79" s="295"/>
      <c r="AO79" s="288"/>
      <c r="AP79" s="288"/>
      <c r="AQ79" s="288"/>
      <c r="AR79" s="288"/>
      <c r="AS79" s="288"/>
      <c r="AT79" s="288"/>
      <c r="AU79" s="288"/>
      <c r="AV79" s="295"/>
      <c r="AW79" s="288"/>
      <c r="AX79" s="289"/>
      <c r="AY79" s="294"/>
      <c r="AZ79" s="295"/>
      <c r="BA79" s="288"/>
      <c r="BB79" s="288"/>
      <c r="BC79" s="288"/>
      <c r="BD79" s="288"/>
      <c r="BE79" s="289"/>
      <c r="BF79" s="295"/>
      <c r="BG79" s="288"/>
      <c r="BH79" s="288"/>
      <c r="BI79" s="288"/>
      <c r="BJ79" s="288"/>
      <c r="BK79" s="288"/>
      <c r="BL79" s="288"/>
      <c r="BM79" s="288"/>
      <c r="BN79" s="288"/>
      <c r="BO79" s="288"/>
      <c r="BP79" s="288"/>
      <c r="BQ79" s="288"/>
      <c r="BR79" s="288"/>
      <c r="BS79" s="288"/>
      <c r="BT79" s="288"/>
      <c r="BU79" s="288"/>
      <c r="BV79" s="288"/>
      <c r="BW79" s="288"/>
      <c r="BX79" s="288"/>
      <c r="BY79" s="288"/>
      <c r="BZ79" s="288"/>
      <c r="CA79" s="288"/>
      <c r="CB79" s="288"/>
      <c r="CC79" s="294"/>
      <c r="CD79" s="287"/>
      <c r="CE79" s="288"/>
      <c r="CF79" s="288"/>
      <c r="CG79" s="288"/>
      <c r="CH79" s="288"/>
      <c r="CI79" s="294"/>
      <c r="CJ79" s="287"/>
      <c r="CK79" s="288"/>
      <c r="CL79" s="288"/>
      <c r="CM79" s="288"/>
      <c r="CN79" s="288"/>
      <c r="CO79" s="294"/>
      <c r="CP79" s="287"/>
      <c r="CQ79" s="288"/>
      <c r="CR79" s="288"/>
      <c r="CS79" s="288"/>
      <c r="CT79" s="288"/>
      <c r="CU79" s="294"/>
      <c r="CV79" s="287"/>
      <c r="CW79" s="288"/>
      <c r="CX79" s="288"/>
      <c r="CY79" s="288"/>
      <c r="CZ79" s="288"/>
      <c r="DA79" s="294"/>
      <c r="DB79" s="415">
        <f t="shared" si="56"/>
        <v>0</v>
      </c>
    </row>
    <row r="80" spans="1:106">
      <c r="A80" s="238">
        <v>6</v>
      </c>
      <c r="B80" s="239"/>
      <c r="C80" s="43"/>
      <c r="D80" s="43"/>
      <c r="E80" s="43"/>
      <c r="F80" s="283"/>
      <c r="G80" s="239"/>
      <c r="H80" s="43"/>
      <c r="I80" s="43"/>
      <c r="J80" s="43"/>
      <c r="K80" s="43"/>
      <c r="L80" s="283"/>
      <c r="M80" s="239"/>
      <c r="N80" s="288"/>
      <c r="O80" s="288"/>
      <c r="P80" s="288"/>
      <c r="Q80" s="288"/>
      <c r="R80" s="294"/>
      <c r="S80" s="287"/>
      <c r="T80" s="288"/>
      <c r="U80" s="288"/>
      <c r="V80" s="288"/>
      <c r="W80" s="288"/>
      <c r="X80" s="288"/>
      <c r="Y80" s="295"/>
      <c r="Z80" s="288"/>
      <c r="AA80" s="288"/>
      <c r="AB80" s="288"/>
      <c r="AC80" s="288"/>
      <c r="AD80" s="295"/>
      <c r="AE80" s="288"/>
      <c r="AF80" s="288"/>
      <c r="AG80" s="288"/>
      <c r="AH80" s="288"/>
      <c r="AI80" s="288"/>
      <c r="AJ80" s="288"/>
      <c r="AK80" s="288"/>
      <c r="AL80" s="288"/>
      <c r="AM80" s="288"/>
      <c r="AN80" s="295"/>
      <c r="AO80" s="288"/>
      <c r="AP80" s="288"/>
      <c r="AQ80" s="288"/>
      <c r="AR80" s="288"/>
      <c r="AS80" s="288"/>
      <c r="AT80" s="288"/>
      <c r="AU80" s="288"/>
      <c r="AV80" s="295"/>
      <c r="AW80" s="288"/>
      <c r="AX80" s="289"/>
      <c r="AY80" s="294"/>
      <c r="AZ80" s="295"/>
      <c r="BA80" s="288"/>
      <c r="BB80" s="288"/>
      <c r="BC80" s="288"/>
      <c r="BD80" s="288"/>
      <c r="BE80" s="289"/>
      <c r="BF80" s="295"/>
      <c r="BG80" s="288"/>
      <c r="BH80" s="288"/>
      <c r="BI80" s="288"/>
      <c r="BJ80" s="288"/>
      <c r="BK80" s="288"/>
      <c r="BL80" s="288"/>
      <c r="BM80" s="288"/>
      <c r="BN80" s="288"/>
      <c r="BO80" s="288"/>
      <c r="BP80" s="288"/>
      <c r="BQ80" s="288"/>
      <c r="BR80" s="288"/>
      <c r="BS80" s="288"/>
      <c r="BT80" s="288"/>
      <c r="BU80" s="288"/>
      <c r="BV80" s="288"/>
      <c r="BW80" s="288"/>
      <c r="BX80" s="288"/>
      <c r="BY80" s="288"/>
      <c r="BZ80" s="288"/>
      <c r="CA80" s="288"/>
      <c r="CB80" s="288"/>
      <c r="CC80" s="294"/>
      <c r="CD80" s="287"/>
      <c r="CE80" s="288"/>
      <c r="CF80" s="288"/>
      <c r="CG80" s="288"/>
      <c r="CH80" s="288"/>
      <c r="CI80" s="294"/>
      <c r="CJ80" s="287"/>
      <c r="CK80" s="288"/>
      <c r="CL80" s="288"/>
      <c r="CM80" s="288"/>
      <c r="CN80" s="288"/>
      <c r="CO80" s="294"/>
      <c r="CP80" s="287"/>
      <c r="CQ80" s="288"/>
      <c r="CR80" s="288"/>
      <c r="CS80" s="288"/>
      <c r="CT80" s="288"/>
      <c r="CU80" s="294"/>
      <c r="CV80" s="287"/>
      <c r="CW80" s="288"/>
      <c r="CX80" s="288"/>
      <c r="CY80" s="288"/>
      <c r="CZ80" s="288"/>
      <c r="DA80" s="294"/>
      <c r="DB80" s="415">
        <f t="shared" si="56"/>
        <v>0</v>
      </c>
    </row>
    <row r="81" spans="1:106" s="1" customFormat="1">
      <c r="A81" s="243">
        <v>7</v>
      </c>
      <c r="B81" s="239"/>
      <c r="C81" s="43"/>
      <c r="D81" s="43"/>
      <c r="E81" s="43"/>
      <c r="F81" s="283"/>
      <c r="G81" s="239"/>
      <c r="H81" s="43"/>
      <c r="I81" s="43"/>
      <c r="J81" s="43"/>
      <c r="K81" s="43"/>
      <c r="L81" s="283"/>
      <c r="M81" s="239"/>
      <c r="N81" s="288"/>
      <c r="O81" s="288"/>
      <c r="P81" s="288"/>
      <c r="Q81" s="288"/>
      <c r="R81" s="294"/>
      <c r="S81" s="287"/>
      <c r="T81" s="288"/>
      <c r="U81" s="288"/>
      <c r="V81" s="288"/>
      <c r="W81" s="288"/>
      <c r="X81" s="288"/>
      <c r="Y81" s="295"/>
      <c r="Z81" s="288"/>
      <c r="AA81" s="288"/>
      <c r="AB81" s="288"/>
      <c r="AC81" s="288"/>
      <c r="AD81" s="295"/>
      <c r="AE81" s="288"/>
      <c r="AF81" s="288"/>
      <c r="AG81" s="288"/>
      <c r="AH81" s="288"/>
      <c r="AI81" s="288"/>
      <c r="AJ81" s="288"/>
      <c r="AK81" s="288"/>
      <c r="AL81" s="288"/>
      <c r="AM81" s="288"/>
      <c r="AN81" s="295"/>
      <c r="AO81" s="288"/>
      <c r="AP81" s="288"/>
      <c r="AQ81" s="288"/>
      <c r="AR81" s="288"/>
      <c r="AS81" s="288"/>
      <c r="AT81" s="288"/>
      <c r="AU81" s="288"/>
      <c r="AV81" s="295"/>
      <c r="AW81" s="288"/>
      <c r="AX81" s="289"/>
      <c r="AY81" s="294"/>
      <c r="AZ81" s="295"/>
      <c r="BA81" s="288"/>
      <c r="BB81" s="288"/>
      <c r="BC81" s="288"/>
      <c r="BD81" s="288"/>
      <c r="BE81" s="289"/>
      <c r="BF81" s="295"/>
      <c r="BG81" s="288"/>
      <c r="BH81" s="288"/>
      <c r="BI81" s="288"/>
      <c r="BJ81" s="288"/>
      <c r="BK81" s="288"/>
      <c r="BL81" s="288"/>
      <c r="BM81" s="288"/>
      <c r="BN81" s="288"/>
      <c r="BO81" s="288"/>
      <c r="BP81" s="288"/>
      <c r="BQ81" s="288"/>
      <c r="BR81" s="288"/>
      <c r="BS81" s="288"/>
      <c r="BT81" s="288"/>
      <c r="BU81" s="288"/>
      <c r="BV81" s="288"/>
      <c r="BW81" s="288"/>
      <c r="BX81" s="288"/>
      <c r="BY81" s="288"/>
      <c r="BZ81" s="288"/>
      <c r="CA81" s="288"/>
      <c r="CB81" s="288"/>
      <c r="CC81" s="294"/>
      <c r="CD81" s="287"/>
      <c r="CE81" s="288"/>
      <c r="CF81" s="288"/>
      <c r="CG81" s="288"/>
      <c r="CH81" s="288"/>
      <c r="CI81" s="294"/>
      <c r="CJ81" s="287"/>
      <c r="CK81" s="288"/>
      <c r="CL81" s="288"/>
      <c r="CM81" s="288"/>
      <c r="CN81" s="288"/>
      <c r="CO81" s="294"/>
      <c r="CP81" s="287"/>
      <c r="CQ81" s="288"/>
      <c r="CR81" s="288"/>
      <c r="CS81" s="288"/>
      <c r="CT81" s="288"/>
      <c r="CU81" s="294"/>
      <c r="CV81" s="287"/>
      <c r="CW81" s="288"/>
      <c r="CX81" s="288"/>
      <c r="CY81" s="288"/>
      <c r="CZ81" s="288"/>
      <c r="DA81" s="294"/>
      <c r="DB81" s="415">
        <f t="shared" si="56"/>
        <v>0</v>
      </c>
    </row>
    <row r="82" spans="1:106" s="1" customFormat="1">
      <c r="A82" s="238">
        <v>8</v>
      </c>
      <c r="B82" s="239"/>
      <c r="C82" s="43"/>
      <c r="D82" s="43"/>
      <c r="E82" s="43"/>
      <c r="F82" s="283"/>
      <c r="G82" s="295"/>
      <c r="H82" s="288"/>
      <c r="I82" s="288"/>
      <c r="J82" s="288"/>
      <c r="K82" s="288"/>
      <c r="L82" s="289"/>
      <c r="M82" s="295"/>
      <c r="N82" s="288"/>
      <c r="O82" s="288"/>
      <c r="P82" s="288"/>
      <c r="Q82" s="288"/>
      <c r="R82" s="294"/>
      <c r="S82" s="287"/>
      <c r="T82" s="288"/>
      <c r="U82" s="288"/>
      <c r="V82" s="288"/>
      <c r="W82" s="288"/>
      <c r="X82" s="288"/>
      <c r="Y82" s="295"/>
      <c r="Z82" s="288"/>
      <c r="AA82" s="288"/>
      <c r="AB82" s="288"/>
      <c r="AC82" s="288"/>
      <c r="AD82" s="295"/>
      <c r="AE82" s="288"/>
      <c r="AF82" s="288"/>
      <c r="AG82" s="288"/>
      <c r="AH82" s="288"/>
      <c r="AI82" s="288"/>
      <c r="AJ82" s="288"/>
      <c r="AK82" s="288"/>
      <c r="AL82" s="288"/>
      <c r="AM82" s="288"/>
      <c r="AN82" s="295"/>
      <c r="AO82" s="288"/>
      <c r="AP82" s="288"/>
      <c r="AQ82" s="288"/>
      <c r="AR82" s="288"/>
      <c r="AS82" s="288"/>
      <c r="AT82" s="288"/>
      <c r="AU82" s="288"/>
      <c r="AV82" s="295"/>
      <c r="AW82" s="288"/>
      <c r="AX82" s="289"/>
      <c r="AY82" s="294"/>
      <c r="AZ82" s="295"/>
      <c r="BA82" s="288"/>
      <c r="BB82" s="288"/>
      <c r="BC82" s="288"/>
      <c r="BD82" s="288"/>
      <c r="BE82" s="289"/>
      <c r="BF82" s="295"/>
      <c r="BG82" s="288"/>
      <c r="BH82" s="288"/>
      <c r="BI82" s="288"/>
      <c r="BJ82" s="288"/>
      <c r="BK82" s="288"/>
      <c r="BL82" s="288"/>
      <c r="BM82" s="288"/>
      <c r="BN82" s="288"/>
      <c r="BO82" s="288"/>
      <c r="BP82" s="288"/>
      <c r="BQ82" s="288"/>
      <c r="BR82" s="288"/>
      <c r="BS82" s="288"/>
      <c r="BT82" s="288"/>
      <c r="BU82" s="288"/>
      <c r="BV82" s="288"/>
      <c r="BW82" s="288"/>
      <c r="BX82" s="288"/>
      <c r="BY82" s="288"/>
      <c r="BZ82" s="288"/>
      <c r="CA82" s="288"/>
      <c r="CB82" s="288"/>
      <c r="CC82" s="294"/>
      <c r="CD82" s="287"/>
      <c r="CE82" s="288"/>
      <c r="CF82" s="288"/>
      <c r="CG82" s="288"/>
      <c r="CH82" s="288"/>
      <c r="CI82" s="294"/>
      <c r="CJ82" s="287"/>
      <c r="CK82" s="288"/>
      <c r="CL82" s="288"/>
      <c r="CM82" s="288"/>
      <c r="CN82" s="288"/>
      <c r="CO82" s="294"/>
      <c r="CP82" s="287"/>
      <c r="CQ82" s="288"/>
      <c r="CR82" s="288"/>
      <c r="CS82" s="288"/>
      <c r="CT82" s="288"/>
      <c r="CU82" s="294"/>
      <c r="CV82" s="287"/>
      <c r="CW82" s="288"/>
      <c r="CX82" s="288"/>
      <c r="CY82" s="288"/>
      <c r="CZ82" s="288"/>
      <c r="DA82" s="294"/>
      <c r="DB82" s="415">
        <f t="shared" si="56"/>
        <v>0</v>
      </c>
    </row>
    <row r="83" spans="1:106">
      <c r="A83" s="238">
        <v>9</v>
      </c>
      <c r="B83" s="239"/>
      <c r="C83" s="43"/>
      <c r="D83" s="43"/>
      <c r="E83" s="43"/>
      <c r="F83" s="283"/>
      <c r="G83" s="295"/>
      <c r="H83" s="288"/>
      <c r="I83" s="288"/>
      <c r="J83" s="288"/>
      <c r="K83" s="288"/>
      <c r="L83" s="289"/>
      <c r="M83" s="295"/>
      <c r="N83" s="288"/>
      <c r="O83" s="288"/>
      <c r="P83" s="288"/>
      <c r="Q83" s="288"/>
      <c r="R83" s="294"/>
      <c r="S83" s="287"/>
      <c r="T83" s="288"/>
      <c r="U83" s="288"/>
      <c r="V83" s="288"/>
      <c r="W83" s="288"/>
      <c r="X83" s="288"/>
      <c r="Y83" s="295"/>
      <c r="Z83" s="288"/>
      <c r="AA83" s="288"/>
      <c r="AB83" s="288"/>
      <c r="AC83" s="288"/>
      <c r="AD83" s="295"/>
      <c r="AE83" s="288"/>
      <c r="AF83" s="288"/>
      <c r="AG83" s="288"/>
      <c r="AH83" s="288"/>
      <c r="AI83" s="288"/>
      <c r="AJ83" s="288"/>
      <c r="AK83" s="288"/>
      <c r="AL83" s="288"/>
      <c r="AM83" s="288"/>
      <c r="AN83" s="295"/>
      <c r="AO83" s="288"/>
      <c r="AP83" s="288"/>
      <c r="AQ83" s="288"/>
      <c r="AR83" s="288"/>
      <c r="AS83" s="288"/>
      <c r="AT83" s="288"/>
      <c r="AU83" s="288"/>
      <c r="AV83" s="295"/>
      <c r="AW83" s="288"/>
      <c r="AX83" s="289"/>
      <c r="AY83" s="294"/>
      <c r="AZ83" s="295"/>
      <c r="BA83" s="288"/>
      <c r="BB83" s="288"/>
      <c r="BC83" s="288"/>
      <c r="BD83" s="288"/>
      <c r="BE83" s="289"/>
      <c r="BF83" s="295"/>
      <c r="BG83" s="288"/>
      <c r="BH83" s="288"/>
      <c r="BI83" s="288"/>
      <c r="BJ83" s="288"/>
      <c r="BK83" s="288"/>
      <c r="BL83" s="288"/>
      <c r="BM83" s="288"/>
      <c r="BN83" s="288"/>
      <c r="BO83" s="288"/>
      <c r="BP83" s="288"/>
      <c r="BQ83" s="288"/>
      <c r="BR83" s="288"/>
      <c r="BS83" s="288"/>
      <c r="BT83" s="288"/>
      <c r="BU83" s="288"/>
      <c r="BV83" s="288"/>
      <c r="BW83" s="288"/>
      <c r="BX83" s="288"/>
      <c r="BY83" s="288"/>
      <c r="BZ83" s="288"/>
      <c r="CA83" s="288"/>
      <c r="CB83" s="288"/>
      <c r="CC83" s="294"/>
      <c r="CD83" s="287"/>
      <c r="CE83" s="288"/>
      <c r="CF83" s="288"/>
      <c r="CG83" s="288"/>
      <c r="CH83" s="288"/>
      <c r="CI83" s="294"/>
      <c r="CJ83" s="287"/>
      <c r="CK83" s="288"/>
      <c r="CL83" s="288"/>
      <c r="CM83" s="288"/>
      <c r="CN83" s="288"/>
      <c r="CO83" s="294"/>
      <c r="CP83" s="287"/>
      <c r="CQ83" s="288"/>
      <c r="CR83" s="288"/>
      <c r="CS83" s="288"/>
      <c r="CT83" s="288"/>
      <c r="CU83" s="294"/>
      <c r="CV83" s="287"/>
      <c r="CW83" s="288"/>
      <c r="CX83" s="288"/>
      <c r="CY83" s="288"/>
      <c r="CZ83" s="288"/>
      <c r="DA83" s="294"/>
      <c r="DB83" s="415">
        <f t="shared" si="56"/>
        <v>0</v>
      </c>
    </row>
    <row r="84" spans="1:106">
      <c r="A84" s="238">
        <v>10</v>
      </c>
      <c r="B84" s="239"/>
      <c r="C84" s="43"/>
      <c r="D84" s="43"/>
      <c r="E84" s="43"/>
      <c r="F84" s="283"/>
      <c r="G84" s="295"/>
      <c r="H84" s="288"/>
      <c r="I84" s="288"/>
      <c r="J84" s="288"/>
      <c r="K84" s="288"/>
      <c r="L84" s="289"/>
      <c r="M84" s="295"/>
      <c r="N84" s="288"/>
      <c r="O84" s="288"/>
      <c r="P84" s="288"/>
      <c r="Q84" s="288"/>
      <c r="R84" s="294"/>
      <c r="S84" s="287"/>
      <c r="T84" s="288"/>
      <c r="U84" s="288"/>
      <c r="V84" s="288"/>
      <c r="W84" s="288"/>
      <c r="X84" s="288"/>
      <c r="Y84" s="295"/>
      <c r="Z84" s="288"/>
      <c r="AA84" s="288"/>
      <c r="AB84" s="288"/>
      <c r="AC84" s="288"/>
      <c r="AD84" s="295"/>
      <c r="AE84" s="288"/>
      <c r="AF84" s="288"/>
      <c r="AG84" s="288"/>
      <c r="AH84" s="288"/>
      <c r="AI84" s="288"/>
      <c r="AJ84" s="288"/>
      <c r="AK84" s="288"/>
      <c r="AL84" s="288"/>
      <c r="AM84" s="288"/>
      <c r="AN84" s="295"/>
      <c r="AO84" s="288"/>
      <c r="AP84" s="288"/>
      <c r="AQ84" s="288"/>
      <c r="AR84" s="288"/>
      <c r="AS84" s="288"/>
      <c r="AT84" s="288"/>
      <c r="AU84" s="288"/>
      <c r="AV84" s="295"/>
      <c r="AW84" s="288"/>
      <c r="AX84" s="289"/>
      <c r="AY84" s="294"/>
      <c r="AZ84" s="295"/>
      <c r="BA84" s="288"/>
      <c r="BB84" s="288"/>
      <c r="BC84" s="288"/>
      <c r="BD84" s="288"/>
      <c r="BE84" s="289"/>
      <c r="BF84" s="295"/>
      <c r="BG84" s="288"/>
      <c r="BH84" s="288"/>
      <c r="BI84" s="288"/>
      <c r="BJ84" s="288"/>
      <c r="BK84" s="288"/>
      <c r="BL84" s="288"/>
      <c r="BM84" s="288"/>
      <c r="BN84" s="288"/>
      <c r="BO84" s="288"/>
      <c r="BP84" s="288"/>
      <c r="BQ84" s="288"/>
      <c r="BR84" s="288"/>
      <c r="BS84" s="288"/>
      <c r="BT84" s="288"/>
      <c r="BU84" s="288"/>
      <c r="BV84" s="288"/>
      <c r="BW84" s="288"/>
      <c r="BX84" s="288"/>
      <c r="BY84" s="288"/>
      <c r="BZ84" s="288"/>
      <c r="CA84" s="288"/>
      <c r="CB84" s="288"/>
      <c r="CC84" s="294"/>
      <c r="CD84" s="287"/>
      <c r="CE84" s="288"/>
      <c r="CF84" s="288"/>
      <c r="CG84" s="288"/>
      <c r="CH84" s="288"/>
      <c r="CI84" s="294"/>
      <c r="CJ84" s="287"/>
      <c r="CK84" s="288"/>
      <c r="CL84" s="288"/>
      <c r="CM84" s="288"/>
      <c r="CN84" s="288"/>
      <c r="CO84" s="294"/>
      <c r="CP84" s="287"/>
      <c r="CQ84" s="288"/>
      <c r="CR84" s="288"/>
      <c r="CS84" s="288"/>
      <c r="CT84" s="288"/>
      <c r="CU84" s="294"/>
      <c r="CV84" s="287"/>
      <c r="CW84" s="288"/>
      <c r="CX84" s="288"/>
      <c r="CY84" s="288"/>
      <c r="CZ84" s="288"/>
      <c r="DA84" s="294"/>
      <c r="DB84" s="415">
        <f t="shared" si="56"/>
        <v>0</v>
      </c>
    </row>
    <row r="85" spans="1:106">
      <c r="A85" s="238">
        <v>11</v>
      </c>
      <c r="B85" s="239"/>
      <c r="C85" s="43"/>
      <c r="D85" s="43"/>
      <c r="E85" s="43"/>
      <c r="F85" s="283"/>
      <c r="G85" s="295"/>
      <c r="H85" s="288"/>
      <c r="I85" s="288"/>
      <c r="J85" s="288"/>
      <c r="K85" s="288"/>
      <c r="L85" s="289"/>
      <c r="M85" s="295"/>
      <c r="N85" s="288"/>
      <c r="O85" s="288"/>
      <c r="P85" s="288"/>
      <c r="Q85" s="288"/>
      <c r="R85" s="294"/>
      <c r="S85" s="287"/>
      <c r="T85" s="288"/>
      <c r="U85" s="288"/>
      <c r="V85" s="288"/>
      <c r="W85" s="288"/>
      <c r="X85" s="288"/>
      <c r="Y85" s="295"/>
      <c r="Z85" s="288"/>
      <c r="AA85" s="288"/>
      <c r="AB85" s="288"/>
      <c r="AC85" s="288"/>
      <c r="AD85" s="295"/>
      <c r="AE85" s="288"/>
      <c r="AF85" s="288"/>
      <c r="AG85" s="288"/>
      <c r="AH85" s="288"/>
      <c r="AI85" s="288"/>
      <c r="AJ85" s="288"/>
      <c r="AK85" s="288"/>
      <c r="AL85" s="288"/>
      <c r="AM85" s="288"/>
      <c r="AN85" s="295"/>
      <c r="AO85" s="288"/>
      <c r="AP85" s="288"/>
      <c r="AQ85" s="288"/>
      <c r="AR85" s="288"/>
      <c r="AS85" s="288"/>
      <c r="AT85" s="288"/>
      <c r="AU85" s="288"/>
      <c r="AV85" s="295"/>
      <c r="AW85" s="288"/>
      <c r="AX85" s="289"/>
      <c r="AY85" s="294"/>
      <c r="AZ85" s="295"/>
      <c r="BA85" s="288"/>
      <c r="BB85" s="288"/>
      <c r="BC85" s="288"/>
      <c r="BD85" s="288"/>
      <c r="BE85" s="289"/>
      <c r="BF85" s="295"/>
      <c r="BG85" s="288"/>
      <c r="BH85" s="288"/>
      <c r="BI85" s="288"/>
      <c r="BJ85" s="288"/>
      <c r="BK85" s="288"/>
      <c r="BL85" s="288"/>
      <c r="BM85" s="288"/>
      <c r="BN85" s="288"/>
      <c r="BO85" s="288"/>
      <c r="BP85" s="288"/>
      <c r="BQ85" s="288"/>
      <c r="BR85" s="288"/>
      <c r="BS85" s="288"/>
      <c r="BT85" s="288"/>
      <c r="BU85" s="288"/>
      <c r="BV85" s="288"/>
      <c r="BW85" s="288"/>
      <c r="BX85" s="288"/>
      <c r="BY85" s="288"/>
      <c r="BZ85" s="288"/>
      <c r="CA85" s="288"/>
      <c r="CB85" s="288"/>
      <c r="CC85" s="294"/>
      <c r="CD85" s="287"/>
      <c r="CE85" s="288"/>
      <c r="CF85" s="288"/>
      <c r="CG85" s="288"/>
      <c r="CH85" s="288"/>
      <c r="CI85" s="294"/>
      <c r="CJ85" s="287"/>
      <c r="CK85" s="288"/>
      <c r="CL85" s="288"/>
      <c r="CM85" s="288"/>
      <c r="CN85" s="288"/>
      <c r="CO85" s="294"/>
      <c r="CP85" s="287"/>
      <c r="CQ85" s="288"/>
      <c r="CR85" s="288"/>
      <c r="CS85" s="288"/>
      <c r="CT85" s="288"/>
      <c r="CU85" s="294"/>
      <c r="CV85" s="287"/>
      <c r="CW85" s="288"/>
      <c r="CX85" s="288"/>
      <c r="CY85" s="288"/>
      <c r="CZ85" s="288"/>
      <c r="DA85" s="294"/>
      <c r="DB85" s="415">
        <f t="shared" si="56"/>
        <v>0</v>
      </c>
    </row>
    <row r="86" spans="1:106">
      <c r="A86" s="238">
        <v>12</v>
      </c>
      <c r="B86" s="239"/>
      <c r="C86" s="43"/>
      <c r="D86" s="43"/>
      <c r="E86" s="43"/>
      <c r="F86" s="283"/>
      <c r="G86" s="295"/>
      <c r="H86" s="288"/>
      <c r="I86" s="288"/>
      <c r="J86" s="288"/>
      <c r="K86" s="288"/>
      <c r="L86" s="289"/>
      <c r="M86" s="295"/>
      <c r="N86" s="288"/>
      <c r="O86" s="288"/>
      <c r="P86" s="288"/>
      <c r="Q86" s="288"/>
      <c r="R86" s="294"/>
      <c r="S86" s="287"/>
      <c r="T86" s="288"/>
      <c r="U86" s="288"/>
      <c r="V86" s="288"/>
      <c r="W86" s="288"/>
      <c r="X86" s="288"/>
      <c r="Y86" s="295"/>
      <c r="Z86" s="288"/>
      <c r="AA86" s="288"/>
      <c r="AB86" s="288"/>
      <c r="AC86" s="288"/>
      <c r="AD86" s="295"/>
      <c r="AE86" s="288"/>
      <c r="AF86" s="288"/>
      <c r="AG86" s="288"/>
      <c r="AH86" s="288"/>
      <c r="AI86" s="288"/>
      <c r="AJ86" s="288"/>
      <c r="AK86" s="288"/>
      <c r="AL86" s="288"/>
      <c r="AM86" s="288"/>
      <c r="AN86" s="295"/>
      <c r="AO86" s="288"/>
      <c r="AP86" s="288"/>
      <c r="AQ86" s="288"/>
      <c r="AR86" s="288"/>
      <c r="AS86" s="288"/>
      <c r="AT86" s="288"/>
      <c r="AU86" s="288"/>
      <c r="AV86" s="295"/>
      <c r="AW86" s="288"/>
      <c r="AX86" s="289"/>
      <c r="AY86" s="294"/>
      <c r="AZ86" s="295"/>
      <c r="BA86" s="288"/>
      <c r="BB86" s="288"/>
      <c r="BC86" s="288"/>
      <c r="BD86" s="288"/>
      <c r="BE86" s="289"/>
      <c r="BF86" s="295"/>
      <c r="BG86" s="288"/>
      <c r="BH86" s="288"/>
      <c r="BI86" s="288"/>
      <c r="BJ86" s="288"/>
      <c r="BK86" s="288"/>
      <c r="BL86" s="288"/>
      <c r="BM86" s="288"/>
      <c r="BN86" s="288"/>
      <c r="BO86" s="288"/>
      <c r="BP86" s="288"/>
      <c r="BQ86" s="288"/>
      <c r="BR86" s="288"/>
      <c r="BS86" s="288"/>
      <c r="BT86" s="288"/>
      <c r="BU86" s="288"/>
      <c r="BV86" s="288"/>
      <c r="BW86" s="288"/>
      <c r="BX86" s="288"/>
      <c r="BY86" s="288"/>
      <c r="BZ86" s="288"/>
      <c r="CA86" s="288"/>
      <c r="CB86" s="288"/>
      <c r="CC86" s="294"/>
      <c r="CD86" s="287"/>
      <c r="CE86" s="288"/>
      <c r="CF86" s="288"/>
      <c r="CG86" s="288"/>
      <c r="CH86" s="288"/>
      <c r="CI86" s="294"/>
      <c r="CJ86" s="287"/>
      <c r="CK86" s="288"/>
      <c r="CL86" s="288"/>
      <c r="CM86" s="288"/>
      <c r="CN86" s="288"/>
      <c r="CO86" s="294"/>
      <c r="CP86" s="287"/>
      <c r="CQ86" s="288"/>
      <c r="CR86" s="288"/>
      <c r="CS86" s="288"/>
      <c r="CT86" s="288"/>
      <c r="CU86" s="294"/>
      <c r="CV86" s="287"/>
      <c r="CW86" s="288"/>
      <c r="CX86" s="288"/>
      <c r="CY86" s="288"/>
      <c r="CZ86" s="288"/>
      <c r="DA86" s="294"/>
      <c r="DB86" s="415">
        <f t="shared" si="56"/>
        <v>0</v>
      </c>
    </row>
    <row r="87" spans="1:106">
      <c r="A87" s="238">
        <v>13</v>
      </c>
      <c r="B87" s="239"/>
      <c r="C87" s="43"/>
      <c r="D87" s="43"/>
      <c r="E87" s="43"/>
      <c r="F87" s="283"/>
      <c r="G87" s="295"/>
      <c r="H87" s="288"/>
      <c r="I87" s="288"/>
      <c r="J87" s="288"/>
      <c r="K87" s="288"/>
      <c r="L87" s="289"/>
      <c r="M87" s="295"/>
      <c r="N87" s="288"/>
      <c r="O87" s="288"/>
      <c r="P87" s="288"/>
      <c r="Q87" s="288"/>
      <c r="R87" s="294"/>
      <c r="S87" s="287"/>
      <c r="T87" s="288"/>
      <c r="U87" s="288"/>
      <c r="V87" s="288"/>
      <c r="W87" s="288"/>
      <c r="X87" s="288"/>
      <c r="Y87" s="295"/>
      <c r="Z87" s="288"/>
      <c r="AA87" s="288"/>
      <c r="AB87" s="288"/>
      <c r="AC87" s="288"/>
      <c r="AD87" s="295"/>
      <c r="AE87" s="288"/>
      <c r="AF87" s="288"/>
      <c r="AG87" s="288"/>
      <c r="AH87" s="288"/>
      <c r="AI87" s="288"/>
      <c r="AJ87" s="288"/>
      <c r="AK87" s="288"/>
      <c r="AL87" s="288"/>
      <c r="AM87" s="288"/>
      <c r="AN87" s="295"/>
      <c r="AO87" s="288"/>
      <c r="AP87" s="288"/>
      <c r="AQ87" s="288"/>
      <c r="AR87" s="288"/>
      <c r="AS87" s="288"/>
      <c r="AT87" s="288"/>
      <c r="AU87" s="288"/>
      <c r="AV87" s="295"/>
      <c r="AW87" s="288"/>
      <c r="AX87" s="289"/>
      <c r="AY87" s="294"/>
      <c r="AZ87" s="295"/>
      <c r="BA87" s="288"/>
      <c r="BB87" s="288"/>
      <c r="BC87" s="288"/>
      <c r="BD87" s="288"/>
      <c r="BE87" s="289"/>
      <c r="BF87" s="295"/>
      <c r="BG87" s="288"/>
      <c r="BH87" s="288"/>
      <c r="BI87" s="288"/>
      <c r="BJ87" s="288"/>
      <c r="BK87" s="288"/>
      <c r="BL87" s="288"/>
      <c r="BM87" s="288"/>
      <c r="BN87" s="288"/>
      <c r="BO87" s="288"/>
      <c r="BP87" s="288"/>
      <c r="BQ87" s="288"/>
      <c r="BR87" s="288"/>
      <c r="BS87" s="288"/>
      <c r="BT87" s="288"/>
      <c r="BU87" s="288"/>
      <c r="BV87" s="288"/>
      <c r="BW87" s="288"/>
      <c r="BX87" s="288"/>
      <c r="BY87" s="288"/>
      <c r="BZ87" s="288"/>
      <c r="CA87" s="288"/>
      <c r="CB87" s="288"/>
      <c r="CC87" s="294"/>
      <c r="CD87" s="287"/>
      <c r="CE87" s="288"/>
      <c r="CF87" s="288"/>
      <c r="CG87" s="288"/>
      <c r="CH87" s="288"/>
      <c r="CI87" s="294"/>
      <c r="CJ87" s="287"/>
      <c r="CK87" s="288"/>
      <c r="CL87" s="288"/>
      <c r="CM87" s="288"/>
      <c r="CN87" s="288"/>
      <c r="CO87" s="294"/>
      <c r="CP87" s="287"/>
      <c r="CQ87" s="288"/>
      <c r="CR87" s="288"/>
      <c r="CS87" s="288"/>
      <c r="CT87" s="288"/>
      <c r="CU87" s="294"/>
      <c r="CV87" s="287"/>
      <c r="CW87" s="288"/>
      <c r="CX87" s="288"/>
      <c r="CY87" s="288"/>
      <c r="CZ87" s="288"/>
      <c r="DA87" s="294"/>
      <c r="DB87" s="415">
        <f t="shared" si="56"/>
        <v>0</v>
      </c>
    </row>
    <row r="88" spans="1:106" s="1" customFormat="1">
      <c r="A88" s="243">
        <v>14</v>
      </c>
      <c r="B88" s="239"/>
      <c r="C88" s="43"/>
      <c r="D88" s="43"/>
      <c r="E88" s="43"/>
      <c r="F88" s="283"/>
      <c r="G88" s="295"/>
      <c r="H88" s="288"/>
      <c r="I88" s="288"/>
      <c r="J88" s="288"/>
      <c r="K88" s="288"/>
      <c r="L88" s="289"/>
      <c r="M88" s="295"/>
      <c r="N88" s="288"/>
      <c r="O88" s="288"/>
      <c r="P88" s="288"/>
      <c r="Q88" s="288"/>
      <c r="R88" s="294"/>
      <c r="S88" s="287"/>
      <c r="T88" s="288"/>
      <c r="U88" s="288"/>
      <c r="V88" s="288"/>
      <c r="W88" s="288"/>
      <c r="X88" s="288"/>
      <c r="Y88" s="295"/>
      <c r="Z88" s="288"/>
      <c r="AA88" s="288"/>
      <c r="AB88" s="288"/>
      <c r="AC88" s="288"/>
      <c r="AD88" s="295"/>
      <c r="AE88" s="288"/>
      <c r="AF88" s="288"/>
      <c r="AG88" s="288"/>
      <c r="AH88" s="288"/>
      <c r="AI88" s="288"/>
      <c r="AJ88" s="288"/>
      <c r="AK88" s="288"/>
      <c r="AL88" s="288"/>
      <c r="AM88" s="288"/>
      <c r="AN88" s="295"/>
      <c r="AO88" s="288"/>
      <c r="AP88" s="288"/>
      <c r="AQ88" s="288"/>
      <c r="AR88" s="288"/>
      <c r="AS88" s="288"/>
      <c r="AT88" s="288"/>
      <c r="AU88" s="288"/>
      <c r="AV88" s="295"/>
      <c r="AW88" s="288"/>
      <c r="AX88" s="289"/>
      <c r="AY88" s="294"/>
      <c r="AZ88" s="295"/>
      <c r="BA88" s="288"/>
      <c r="BB88" s="288"/>
      <c r="BC88" s="288"/>
      <c r="BD88" s="288"/>
      <c r="BE88" s="289"/>
      <c r="BF88" s="295"/>
      <c r="BG88" s="288"/>
      <c r="BH88" s="288"/>
      <c r="BI88" s="288"/>
      <c r="BJ88" s="288"/>
      <c r="BK88" s="288"/>
      <c r="BL88" s="288"/>
      <c r="BM88" s="288"/>
      <c r="BN88" s="288"/>
      <c r="BO88" s="288"/>
      <c r="BP88" s="288"/>
      <c r="BQ88" s="288"/>
      <c r="BR88" s="288"/>
      <c r="BS88" s="288"/>
      <c r="BT88" s="288"/>
      <c r="BU88" s="288"/>
      <c r="BV88" s="288"/>
      <c r="BW88" s="288"/>
      <c r="BX88" s="288"/>
      <c r="BY88" s="288"/>
      <c r="BZ88" s="288"/>
      <c r="CA88" s="288"/>
      <c r="CB88" s="288"/>
      <c r="CC88" s="294"/>
      <c r="CD88" s="287"/>
      <c r="CE88" s="288"/>
      <c r="CF88" s="288"/>
      <c r="CG88" s="288"/>
      <c r="CH88" s="288"/>
      <c r="CI88" s="294"/>
      <c r="CJ88" s="287"/>
      <c r="CK88" s="288"/>
      <c r="CL88" s="288"/>
      <c r="CM88" s="288"/>
      <c r="CN88" s="288"/>
      <c r="CO88" s="294"/>
      <c r="CP88" s="287"/>
      <c r="CQ88" s="288"/>
      <c r="CR88" s="288"/>
      <c r="CS88" s="288"/>
      <c r="CT88" s="288"/>
      <c r="CU88" s="294"/>
      <c r="CV88" s="287"/>
      <c r="CW88" s="288"/>
      <c r="CX88" s="288"/>
      <c r="CY88" s="288"/>
      <c r="CZ88" s="288"/>
      <c r="DA88" s="294"/>
      <c r="DB88" s="415">
        <f t="shared" si="56"/>
        <v>0</v>
      </c>
    </row>
    <row r="89" spans="1:106" s="1" customFormat="1">
      <c r="A89" s="238">
        <v>15</v>
      </c>
      <c r="B89" s="239"/>
      <c r="C89" s="43"/>
      <c r="D89" s="43"/>
      <c r="E89" s="43"/>
      <c r="F89" s="283"/>
      <c r="G89" s="295"/>
      <c r="H89" s="288"/>
      <c r="I89" s="288"/>
      <c r="J89" s="288"/>
      <c r="K89" s="288"/>
      <c r="L89" s="289"/>
      <c r="M89" s="295"/>
      <c r="N89" s="288"/>
      <c r="O89" s="288"/>
      <c r="P89" s="288"/>
      <c r="Q89" s="288"/>
      <c r="R89" s="294"/>
      <c r="S89" s="287"/>
      <c r="T89" s="288"/>
      <c r="U89" s="288"/>
      <c r="V89" s="288"/>
      <c r="W89" s="288"/>
      <c r="X89" s="288"/>
      <c r="Y89" s="295"/>
      <c r="Z89" s="288"/>
      <c r="AA89" s="288"/>
      <c r="AB89" s="288"/>
      <c r="AC89" s="288"/>
      <c r="AD89" s="295"/>
      <c r="AE89" s="288"/>
      <c r="AF89" s="288"/>
      <c r="AG89" s="288"/>
      <c r="AH89" s="288"/>
      <c r="AI89" s="288"/>
      <c r="AJ89" s="288"/>
      <c r="AK89" s="288"/>
      <c r="AL89" s="288"/>
      <c r="AM89" s="288"/>
      <c r="AN89" s="295"/>
      <c r="AO89" s="288"/>
      <c r="AP89" s="288"/>
      <c r="AQ89" s="288"/>
      <c r="AR89" s="288"/>
      <c r="AS89" s="288"/>
      <c r="AT89" s="288"/>
      <c r="AU89" s="288"/>
      <c r="AV89" s="295"/>
      <c r="AW89" s="288"/>
      <c r="AX89" s="289"/>
      <c r="AY89" s="294"/>
      <c r="AZ89" s="295"/>
      <c r="BA89" s="288"/>
      <c r="BB89" s="288"/>
      <c r="BC89" s="288"/>
      <c r="BD89" s="288"/>
      <c r="BE89" s="289"/>
      <c r="BF89" s="295"/>
      <c r="BG89" s="288"/>
      <c r="BH89" s="288"/>
      <c r="BI89" s="288"/>
      <c r="BJ89" s="288"/>
      <c r="BK89" s="288"/>
      <c r="BL89" s="288"/>
      <c r="BM89" s="288"/>
      <c r="BN89" s="288"/>
      <c r="BO89" s="288"/>
      <c r="BP89" s="288"/>
      <c r="BQ89" s="288"/>
      <c r="BR89" s="288"/>
      <c r="BS89" s="288"/>
      <c r="BT89" s="288"/>
      <c r="BU89" s="288"/>
      <c r="BV89" s="288"/>
      <c r="BW89" s="288"/>
      <c r="BX89" s="288"/>
      <c r="BY89" s="288"/>
      <c r="BZ89" s="288"/>
      <c r="CA89" s="288"/>
      <c r="CB89" s="288"/>
      <c r="CC89" s="294"/>
      <c r="CD89" s="287"/>
      <c r="CE89" s="288"/>
      <c r="CF89" s="288"/>
      <c r="CG89" s="288"/>
      <c r="CH89" s="288"/>
      <c r="CI89" s="294"/>
      <c r="CJ89" s="287"/>
      <c r="CK89" s="288"/>
      <c r="CL89" s="288"/>
      <c r="CM89" s="288"/>
      <c r="CN89" s="288"/>
      <c r="CO89" s="294"/>
      <c r="CP89" s="287"/>
      <c r="CQ89" s="288"/>
      <c r="CR89" s="288"/>
      <c r="CS89" s="288"/>
      <c r="CT89" s="288"/>
      <c r="CU89" s="294"/>
      <c r="CV89" s="287"/>
      <c r="CW89" s="288"/>
      <c r="CX89" s="288"/>
      <c r="CY89" s="288"/>
      <c r="CZ89" s="288"/>
      <c r="DA89" s="294"/>
      <c r="DB89" s="415">
        <f t="shared" si="56"/>
        <v>0</v>
      </c>
    </row>
    <row r="90" spans="1:106">
      <c r="A90" s="238">
        <v>16</v>
      </c>
      <c r="B90" s="239"/>
      <c r="C90" s="43"/>
      <c r="D90" s="43"/>
      <c r="E90" s="43"/>
      <c r="F90" s="283"/>
      <c r="G90" s="295"/>
      <c r="H90" s="288"/>
      <c r="I90" s="288"/>
      <c r="J90" s="288"/>
      <c r="K90" s="288"/>
      <c r="L90" s="289"/>
      <c r="M90" s="295"/>
      <c r="N90" s="288"/>
      <c r="O90" s="288"/>
      <c r="P90" s="288"/>
      <c r="Q90" s="288"/>
      <c r="R90" s="294"/>
      <c r="S90" s="287"/>
      <c r="T90" s="288"/>
      <c r="U90" s="288"/>
      <c r="V90" s="288"/>
      <c r="W90" s="288"/>
      <c r="X90" s="288"/>
      <c r="Y90" s="295"/>
      <c r="Z90" s="288"/>
      <c r="AA90" s="288"/>
      <c r="AB90" s="288"/>
      <c r="AC90" s="288"/>
      <c r="AD90" s="295"/>
      <c r="AE90" s="288"/>
      <c r="AF90" s="288"/>
      <c r="AG90" s="288"/>
      <c r="AH90" s="288"/>
      <c r="AI90" s="288"/>
      <c r="AJ90" s="288"/>
      <c r="AK90" s="288"/>
      <c r="AL90" s="288"/>
      <c r="AM90" s="288"/>
      <c r="AN90" s="295"/>
      <c r="AO90" s="288"/>
      <c r="AP90" s="288"/>
      <c r="AQ90" s="288"/>
      <c r="AR90" s="288"/>
      <c r="AS90" s="288"/>
      <c r="AT90" s="288"/>
      <c r="AU90" s="288"/>
      <c r="AV90" s="295"/>
      <c r="AW90" s="288"/>
      <c r="AX90" s="289"/>
      <c r="AY90" s="294"/>
      <c r="AZ90" s="295"/>
      <c r="BA90" s="288"/>
      <c r="BB90" s="288"/>
      <c r="BC90" s="288"/>
      <c r="BD90" s="288"/>
      <c r="BE90" s="289"/>
      <c r="BF90" s="295"/>
      <c r="BG90" s="288"/>
      <c r="BH90" s="288"/>
      <c r="BI90" s="288"/>
      <c r="BJ90" s="288"/>
      <c r="BK90" s="288"/>
      <c r="BL90" s="288"/>
      <c r="BM90" s="288"/>
      <c r="BN90" s="288"/>
      <c r="BO90" s="288"/>
      <c r="BP90" s="288"/>
      <c r="BQ90" s="288"/>
      <c r="BR90" s="288"/>
      <c r="BS90" s="288"/>
      <c r="BT90" s="288"/>
      <c r="BU90" s="288"/>
      <c r="BV90" s="288"/>
      <c r="BW90" s="288"/>
      <c r="BX90" s="288"/>
      <c r="BY90" s="288"/>
      <c r="BZ90" s="288"/>
      <c r="CA90" s="288"/>
      <c r="CB90" s="288"/>
      <c r="CC90" s="294"/>
      <c r="CD90" s="287"/>
      <c r="CE90" s="288"/>
      <c r="CF90" s="288"/>
      <c r="CG90" s="288"/>
      <c r="CH90" s="288"/>
      <c r="CI90" s="294"/>
      <c r="CJ90" s="287"/>
      <c r="CK90" s="288"/>
      <c r="CL90" s="288"/>
      <c r="CM90" s="288"/>
      <c r="CN90" s="288"/>
      <c r="CO90" s="294"/>
      <c r="CP90" s="287"/>
      <c r="CQ90" s="288"/>
      <c r="CR90" s="288"/>
      <c r="CS90" s="288"/>
      <c r="CT90" s="288"/>
      <c r="CU90" s="294"/>
      <c r="CV90" s="287"/>
      <c r="CW90" s="288"/>
      <c r="CX90" s="288"/>
      <c r="CY90" s="288"/>
      <c r="CZ90" s="288"/>
      <c r="DA90" s="294"/>
      <c r="DB90" s="415">
        <f t="shared" si="56"/>
        <v>0</v>
      </c>
    </row>
    <row r="91" spans="1:106">
      <c r="A91" s="238">
        <v>17</v>
      </c>
      <c r="B91" s="239"/>
      <c r="C91" s="43"/>
      <c r="D91" s="43"/>
      <c r="E91" s="43"/>
      <c r="F91" s="283"/>
      <c r="G91" s="295"/>
      <c r="H91" s="288"/>
      <c r="I91" s="288"/>
      <c r="J91" s="288"/>
      <c r="K91" s="288"/>
      <c r="L91" s="289"/>
      <c r="M91" s="295"/>
      <c r="N91" s="288"/>
      <c r="O91" s="288"/>
      <c r="P91" s="288"/>
      <c r="Q91" s="288"/>
      <c r="R91" s="294"/>
      <c r="S91" s="287"/>
      <c r="T91" s="288"/>
      <c r="U91" s="288"/>
      <c r="V91" s="288"/>
      <c r="W91" s="288"/>
      <c r="X91" s="288"/>
      <c r="Y91" s="295"/>
      <c r="Z91" s="288"/>
      <c r="AA91" s="288"/>
      <c r="AB91" s="288"/>
      <c r="AC91" s="288"/>
      <c r="AD91" s="295"/>
      <c r="AE91" s="288"/>
      <c r="AF91" s="288"/>
      <c r="AG91" s="288"/>
      <c r="AH91" s="288"/>
      <c r="AI91" s="288"/>
      <c r="AJ91" s="288"/>
      <c r="AK91" s="288"/>
      <c r="AL91" s="288"/>
      <c r="AM91" s="288"/>
      <c r="AN91" s="295"/>
      <c r="AO91" s="288"/>
      <c r="AP91" s="288"/>
      <c r="AQ91" s="288"/>
      <c r="AR91" s="288"/>
      <c r="AS91" s="288"/>
      <c r="AT91" s="288"/>
      <c r="AU91" s="288"/>
      <c r="AV91" s="295"/>
      <c r="AW91" s="288"/>
      <c r="AX91" s="289"/>
      <c r="AY91" s="294"/>
      <c r="AZ91" s="295"/>
      <c r="BA91" s="288"/>
      <c r="BB91" s="288"/>
      <c r="BC91" s="288"/>
      <c r="BD91" s="288"/>
      <c r="BE91" s="289"/>
      <c r="BF91" s="295"/>
      <c r="BG91" s="288"/>
      <c r="BH91" s="288"/>
      <c r="BI91" s="288"/>
      <c r="BJ91" s="288"/>
      <c r="BK91" s="288"/>
      <c r="BL91" s="288"/>
      <c r="BM91" s="288"/>
      <c r="BN91" s="288"/>
      <c r="BO91" s="288"/>
      <c r="BP91" s="288"/>
      <c r="BQ91" s="288"/>
      <c r="BR91" s="288"/>
      <c r="BS91" s="288"/>
      <c r="BT91" s="288"/>
      <c r="BU91" s="288"/>
      <c r="BV91" s="288"/>
      <c r="BW91" s="288"/>
      <c r="BX91" s="288"/>
      <c r="BY91" s="288"/>
      <c r="BZ91" s="288"/>
      <c r="CA91" s="288"/>
      <c r="CB91" s="288"/>
      <c r="CC91" s="294"/>
      <c r="CD91" s="287"/>
      <c r="CE91" s="288"/>
      <c r="CF91" s="288"/>
      <c r="CG91" s="288"/>
      <c r="CH91" s="288"/>
      <c r="CI91" s="294"/>
      <c r="CJ91" s="287"/>
      <c r="CK91" s="288"/>
      <c r="CL91" s="288"/>
      <c r="CM91" s="288"/>
      <c r="CN91" s="288"/>
      <c r="CO91" s="294"/>
      <c r="CP91" s="287"/>
      <c r="CQ91" s="288"/>
      <c r="CR91" s="288"/>
      <c r="CS91" s="288"/>
      <c r="CT91" s="288"/>
      <c r="CU91" s="294"/>
      <c r="CV91" s="287"/>
      <c r="CW91" s="288"/>
      <c r="CX91" s="288"/>
      <c r="CY91" s="288"/>
      <c r="CZ91" s="288"/>
      <c r="DA91" s="294"/>
      <c r="DB91" s="415">
        <f t="shared" si="56"/>
        <v>0</v>
      </c>
    </row>
    <row r="92" spans="1:106">
      <c r="A92" s="238">
        <v>18</v>
      </c>
      <c r="B92" s="239"/>
      <c r="C92" s="43"/>
      <c r="D92" s="43"/>
      <c r="E92" s="43"/>
      <c r="F92" s="283"/>
      <c r="G92" s="295"/>
      <c r="H92" s="288"/>
      <c r="I92" s="288"/>
      <c r="J92" s="288"/>
      <c r="K92" s="288"/>
      <c r="L92" s="289"/>
      <c r="M92" s="295"/>
      <c r="N92" s="288"/>
      <c r="O92" s="288"/>
      <c r="P92" s="288"/>
      <c r="Q92" s="288"/>
      <c r="R92" s="294"/>
      <c r="S92" s="287"/>
      <c r="T92" s="288"/>
      <c r="U92" s="288"/>
      <c r="V92" s="288"/>
      <c r="W92" s="288"/>
      <c r="X92" s="288"/>
      <c r="Y92" s="295"/>
      <c r="Z92" s="288"/>
      <c r="AA92" s="288"/>
      <c r="AB92" s="288"/>
      <c r="AC92" s="288"/>
      <c r="AD92" s="295"/>
      <c r="AE92" s="288"/>
      <c r="AF92" s="288"/>
      <c r="AG92" s="288"/>
      <c r="AH92" s="288"/>
      <c r="AI92" s="288"/>
      <c r="AJ92" s="288"/>
      <c r="AK92" s="288"/>
      <c r="AL92" s="288"/>
      <c r="AM92" s="288"/>
      <c r="AN92" s="295"/>
      <c r="AO92" s="288"/>
      <c r="AP92" s="288"/>
      <c r="AQ92" s="288"/>
      <c r="AR92" s="288"/>
      <c r="AS92" s="288"/>
      <c r="AT92" s="288"/>
      <c r="AU92" s="288"/>
      <c r="AV92" s="295"/>
      <c r="AW92" s="288"/>
      <c r="AX92" s="289"/>
      <c r="AY92" s="294"/>
      <c r="AZ92" s="295"/>
      <c r="BA92" s="288"/>
      <c r="BB92" s="288"/>
      <c r="BC92" s="288"/>
      <c r="BD92" s="288"/>
      <c r="BE92" s="289"/>
      <c r="BF92" s="295"/>
      <c r="BG92" s="288"/>
      <c r="BH92" s="288"/>
      <c r="BI92" s="288"/>
      <c r="BJ92" s="288"/>
      <c r="BK92" s="288"/>
      <c r="BL92" s="288"/>
      <c r="BM92" s="288"/>
      <c r="BN92" s="288"/>
      <c r="BO92" s="288"/>
      <c r="BP92" s="288"/>
      <c r="BQ92" s="288"/>
      <c r="BR92" s="288"/>
      <c r="BS92" s="288"/>
      <c r="BT92" s="288"/>
      <c r="BU92" s="288"/>
      <c r="BV92" s="288"/>
      <c r="BW92" s="288"/>
      <c r="BX92" s="288"/>
      <c r="BY92" s="288"/>
      <c r="BZ92" s="288"/>
      <c r="CA92" s="288"/>
      <c r="CB92" s="288"/>
      <c r="CC92" s="294"/>
      <c r="CD92" s="287"/>
      <c r="CE92" s="288"/>
      <c r="CF92" s="288"/>
      <c r="CG92" s="288"/>
      <c r="CH92" s="288"/>
      <c r="CI92" s="294"/>
      <c r="CJ92" s="287"/>
      <c r="CK92" s="288"/>
      <c r="CL92" s="288"/>
      <c r="CM92" s="288"/>
      <c r="CN92" s="288"/>
      <c r="CO92" s="294"/>
      <c r="CP92" s="287"/>
      <c r="CQ92" s="288"/>
      <c r="CR92" s="288"/>
      <c r="CS92" s="288"/>
      <c r="CT92" s="288"/>
      <c r="CU92" s="294"/>
      <c r="CV92" s="287"/>
      <c r="CW92" s="288"/>
      <c r="CX92" s="288"/>
      <c r="CY92" s="288"/>
      <c r="CZ92" s="288"/>
      <c r="DA92" s="294"/>
      <c r="DB92" s="415">
        <f t="shared" si="56"/>
        <v>0</v>
      </c>
    </row>
    <row r="93" spans="1:106">
      <c r="A93" s="238">
        <v>19</v>
      </c>
      <c r="B93" s="239"/>
      <c r="C93" s="43"/>
      <c r="D93" s="43"/>
      <c r="E93" s="43"/>
      <c r="F93" s="283"/>
      <c r="G93" s="295"/>
      <c r="H93" s="288"/>
      <c r="I93" s="288"/>
      <c r="J93" s="288"/>
      <c r="K93" s="288"/>
      <c r="L93" s="289"/>
      <c r="M93" s="295"/>
      <c r="N93" s="288"/>
      <c r="O93" s="288"/>
      <c r="P93" s="288"/>
      <c r="Q93" s="288"/>
      <c r="R93" s="294"/>
      <c r="S93" s="287"/>
      <c r="T93" s="288"/>
      <c r="U93" s="288"/>
      <c r="V93" s="288"/>
      <c r="W93" s="288"/>
      <c r="X93" s="288"/>
      <c r="Y93" s="295"/>
      <c r="Z93" s="288"/>
      <c r="AA93" s="288"/>
      <c r="AB93" s="288"/>
      <c r="AC93" s="288"/>
      <c r="AD93" s="295"/>
      <c r="AE93" s="288"/>
      <c r="AF93" s="288"/>
      <c r="AG93" s="288"/>
      <c r="AH93" s="288"/>
      <c r="AI93" s="288"/>
      <c r="AJ93" s="288"/>
      <c r="AK93" s="288"/>
      <c r="AL93" s="288"/>
      <c r="AM93" s="288"/>
      <c r="AN93" s="295"/>
      <c r="AO93" s="288"/>
      <c r="AP93" s="288"/>
      <c r="AQ93" s="288"/>
      <c r="AR93" s="288"/>
      <c r="AS93" s="288"/>
      <c r="AT93" s="288"/>
      <c r="AU93" s="288"/>
      <c r="AV93" s="295"/>
      <c r="AW93" s="288"/>
      <c r="AX93" s="289"/>
      <c r="AY93" s="294"/>
      <c r="AZ93" s="295"/>
      <c r="BA93" s="288"/>
      <c r="BB93" s="288"/>
      <c r="BC93" s="288"/>
      <c r="BD93" s="288"/>
      <c r="BE93" s="289"/>
      <c r="BF93" s="295"/>
      <c r="BG93" s="288"/>
      <c r="BH93" s="288"/>
      <c r="BI93" s="288"/>
      <c r="BJ93" s="288"/>
      <c r="BK93" s="288"/>
      <c r="BL93" s="288"/>
      <c r="BM93" s="288"/>
      <c r="BN93" s="288"/>
      <c r="BO93" s="288"/>
      <c r="BP93" s="288"/>
      <c r="BQ93" s="288"/>
      <c r="BR93" s="288"/>
      <c r="BS93" s="288"/>
      <c r="BT93" s="288"/>
      <c r="BU93" s="288"/>
      <c r="BV93" s="288"/>
      <c r="BW93" s="288"/>
      <c r="BX93" s="288"/>
      <c r="BY93" s="288"/>
      <c r="BZ93" s="288"/>
      <c r="CA93" s="288"/>
      <c r="CB93" s="288"/>
      <c r="CC93" s="294"/>
      <c r="CD93" s="287"/>
      <c r="CE93" s="288"/>
      <c r="CF93" s="288"/>
      <c r="CG93" s="288"/>
      <c r="CH93" s="288"/>
      <c r="CI93" s="294"/>
      <c r="CJ93" s="287"/>
      <c r="CK93" s="288"/>
      <c r="CL93" s="288"/>
      <c r="CM93" s="288"/>
      <c r="CN93" s="288"/>
      <c r="CO93" s="294"/>
      <c r="CP93" s="287"/>
      <c r="CQ93" s="288"/>
      <c r="CR93" s="288"/>
      <c r="CS93" s="288"/>
      <c r="CT93" s="288"/>
      <c r="CU93" s="294"/>
      <c r="CV93" s="287"/>
      <c r="CW93" s="288"/>
      <c r="CX93" s="288"/>
      <c r="CY93" s="288"/>
      <c r="CZ93" s="288"/>
      <c r="DA93" s="294"/>
      <c r="DB93" s="415">
        <f t="shared" si="56"/>
        <v>0</v>
      </c>
    </row>
    <row r="94" spans="1:106">
      <c r="A94" s="238">
        <v>20</v>
      </c>
      <c r="B94" s="239"/>
      <c r="C94" s="43"/>
      <c r="D94" s="43"/>
      <c r="E94" s="43"/>
      <c r="F94" s="283"/>
      <c r="G94" s="295"/>
      <c r="H94" s="288"/>
      <c r="I94" s="288"/>
      <c r="J94" s="288"/>
      <c r="K94" s="288"/>
      <c r="L94" s="289"/>
      <c r="M94" s="295"/>
      <c r="N94" s="288"/>
      <c r="O94" s="288"/>
      <c r="P94" s="288"/>
      <c r="Q94" s="288"/>
      <c r="R94" s="294"/>
      <c r="S94" s="287"/>
      <c r="T94" s="288"/>
      <c r="U94" s="288"/>
      <c r="V94" s="288"/>
      <c r="W94" s="288"/>
      <c r="X94" s="288"/>
      <c r="Y94" s="295"/>
      <c r="Z94" s="288"/>
      <c r="AA94" s="288"/>
      <c r="AB94" s="288"/>
      <c r="AC94" s="288"/>
      <c r="AD94" s="295"/>
      <c r="AE94" s="288"/>
      <c r="AF94" s="288"/>
      <c r="AG94" s="288"/>
      <c r="AH94" s="288"/>
      <c r="AI94" s="288"/>
      <c r="AJ94" s="288"/>
      <c r="AK94" s="288"/>
      <c r="AL94" s="288"/>
      <c r="AM94" s="288"/>
      <c r="AN94" s="295"/>
      <c r="AO94" s="288"/>
      <c r="AP94" s="288"/>
      <c r="AQ94" s="288"/>
      <c r="AR94" s="288"/>
      <c r="AS94" s="288"/>
      <c r="AT94" s="288"/>
      <c r="AU94" s="288"/>
      <c r="AV94" s="295"/>
      <c r="AW94" s="288"/>
      <c r="AX94" s="289"/>
      <c r="AY94" s="294"/>
      <c r="AZ94" s="295"/>
      <c r="BA94" s="288"/>
      <c r="BB94" s="288"/>
      <c r="BC94" s="288"/>
      <c r="BD94" s="288"/>
      <c r="BE94" s="289"/>
      <c r="BF94" s="295"/>
      <c r="BG94" s="288"/>
      <c r="BH94" s="288"/>
      <c r="BI94" s="288"/>
      <c r="BJ94" s="288"/>
      <c r="BK94" s="288"/>
      <c r="BL94" s="288"/>
      <c r="BM94" s="288"/>
      <c r="BN94" s="288"/>
      <c r="BO94" s="288"/>
      <c r="BP94" s="288"/>
      <c r="BQ94" s="288"/>
      <c r="BR94" s="288"/>
      <c r="BS94" s="288"/>
      <c r="BT94" s="288"/>
      <c r="BU94" s="288"/>
      <c r="BV94" s="288"/>
      <c r="BW94" s="288"/>
      <c r="BX94" s="288"/>
      <c r="BY94" s="288"/>
      <c r="BZ94" s="288"/>
      <c r="CA94" s="288"/>
      <c r="CB94" s="288"/>
      <c r="CC94" s="294"/>
      <c r="CD94" s="287"/>
      <c r="CE94" s="288"/>
      <c r="CF94" s="288"/>
      <c r="CG94" s="288"/>
      <c r="CH94" s="288"/>
      <c r="CI94" s="294"/>
      <c r="CJ94" s="287"/>
      <c r="CK94" s="288"/>
      <c r="CL94" s="288"/>
      <c r="CM94" s="288"/>
      <c r="CN94" s="288"/>
      <c r="CO94" s="294"/>
      <c r="CP94" s="287"/>
      <c r="CQ94" s="288"/>
      <c r="CR94" s="288"/>
      <c r="CS94" s="288"/>
      <c r="CT94" s="288"/>
      <c r="CU94" s="294"/>
      <c r="CV94" s="287"/>
      <c r="CW94" s="288"/>
      <c r="CX94" s="288"/>
      <c r="CY94" s="288"/>
      <c r="CZ94" s="288"/>
      <c r="DA94" s="294"/>
      <c r="DB94" s="415">
        <f t="shared" si="56"/>
        <v>0</v>
      </c>
    </row>
    <row r="95" spans="1:106">
      <c r="A95" s="238">
        <v>21</v>
      </c>
      <c r="B95" s="239"/>
      <c r="C95" s="43"/>
      <c r="D95" s="43"/>
      <c r="E95" s="43"/>
      <c r="F95" s="283"/>
      <c r="G95" s="295"/>
      <c r="H95" s="288"/>
      <c r="I95" s="288"/>
      <c r="J95" s="288"/>
      <c r="K95" s="288"/>
      <c r="L95" s="289"/>
      <c r="M95" s="295"/>
      <c r="N95" s="288"/>
      <c r="O95" s="288"/>
      <c r="P95" s="288"/>
      <c r="Q95" s="288"/>
      <c r="R95" s="294"/>
      <c r="S95" s="287"/>
      <c r="T95" s="288"/>
      <c r="U95" s="288"/>
      <c r="V95" s="288"/>
      <c r="W95" s="288"/>
      <c r="X95" s="288"/>
      <c r="Y95" s="295"/>
      <c r="Z95" s="288"/>
      <c r="AA95" s="288"/>
      <c r="AB95" s="288"/>
      <c r="AC95" s="288"/>
      <c r="AD95" s="295"/>
      <c r="AE95" s="288"/>
      <c r="AF95" s="288"/>
      <c r="AG95" s="288"/>
      <c r="AH95" s="288"/>
      <c r="AI95" s="288"/>
      <c r="AJ95" s="288"/>
      <c r="AK95" s="288"/>
      <c r="AL95" s="288"/>
      <c r="AM95" s="288"/>
      <c r="AN95" s="295"/>
      <c r="AO95" s="288"/>
      <c r="AP95" s="288"/>
      <c r="AQ95" s="288"/>
      <c r="AR95" s="288"/>
      <c r="AS95" s="288"/>
      <c r="AT95" s="288"/>
      <c r="AU95" s="288"/>
      <c r="AV95" s="295"/>
      <c r="AW95" s="288"/>
      <c r="AX95" s="289"/>
      <c r="AY95" s="294"/>
      <c r="AZ95" s="295"/>
      <c r="BA95" s="288"/>
      <c r="BB95" s="288"/>
      <c r="BC95" s="288"/>
      <c r="BD95" s="288"/>
      <c r="BE95" s="289"/>
      <c r="BF95" s="295"/>
      <c r="BG95" s="288"/>
      <c r="BH95" s="288"/>
      <c r="BI95" s="288"/>
      <c r="BJ95" s="288"/>
      <c r="BK95" s="288"/>
      <c r="BL95" s="288"/>
      <c r="BM95" s="288"/>
      <c r="BN95" s="288"/>
      <c r="BO95" s="288"/>
      <c r="BP95" s="288"/>
      <c r="BQ95" s="288"/>
      <c r="BR95" s="288"/>
      <c r="BS95" s="288"/>
      <c r="BT95" s="288"/>
      <c r="BU95" s="288"/>
      <c r="BV95" s="288"/>
      <c r="BW95" s="288"/>
      <c r="BX95" s="288"/>
      <c r="BY95" s="288"/>
      <c r="BZ95" s="288"/>
      <c r="CA95" s="288"/>
      <c r="CB95" s="288"/>
      <c r="CC95" s="294"/>
      <c r="CD95" s="287"/>
      <c r="CE95" s="288"/>
      <c r="CF95" s="288"/>
      <c r="CG95" s="288"/>
      <c r="CH95" s="288"/>
      <c r="CI95" s="294"/>
      <c r="CJ95" s="287"/>
      <c r="CK95" s="288"/>
      <c r="CL95" s="288"/>
      <c r="CM95" s="288"/>
      <c r="CN95" s="288"/>
      <c r="CO95" s="294"/>
      <c r="CP95" s="287"/>
      <c r="CQ95" s="288"/>
      <c r="CR95" s="288"/>
      <c r="CS95" s="288"/>
      <c r="CT95" s="288"/>
      <c r="CU95" s="294"/>
      <c r="CV95" s="287"/>
      <c r="CW95" s="288"/>
      <c r="CX95" s="288"/>
      <c r="CY95" s="288"/>
      <c r="CZ95" s="288"/>
      <c r="DA95" s="294"/>
      <c r="DB95" s="415">
        <f t="shared" si="56"/>
        <v>0</v>
      </c>
    </row>
    <row r="96" spans="1:106" s="1" customFormat="1">
      <c r="A96" s="238">
        <v>22</v>
      </c>
      <c r="B96" s="239"/>
      <c r="C96" s="43"/>
      <c r="D96" s="43"/>
      <c r="E96" s="43"/>
      <c r="F96" s="283"/>
      <c r="G96" s="295"/>
      <c r="H96" s="288"/>
      <c r="I96" s="288"/>
      <c r="J96" s="288"/>
      <c r="K96" s="288"/>
      <c r="L96" s="289"/>
      <c r="M96" s="295"/>
      <c r="N96" s="288"/>
      <c r="O96" s="288"/>
      <c r="P96" s="288"/>
      <c r="Q96" s="288"/>
      <c r="R96" s="294"/>
      <c r="S96" s="287"/>
      <c r="T96" s="288"/>
      <c r="U96" s="288"/>
      <c r="V96" s="288"/>
      <c r="W96" s="288"/>
      <c r="X96" s="288"/>
      <c r="Y96" s="295"/>
      <c r="Z96" s="288"/>
      <c r="AA96" s="288"/>
      <c r="AB96" s="288"/>
      <c r="AC96" s="288"/>
      <c r="AD96" s="295"/>
      <c r="AE96" s="288"/>
      <c r="AF96" s="288"/>
      <c r="AG96" s="288"/>
      <c r="AH96" s="288"/>
      <c r="AI96" s="288"/>
      <c r="AJ96" s="288"/>
      <c r="AK96" s="288"/>
      <c r="AL96" s="288"/>
      <c r="AM96" s="288"/>
      <c r="AN96" s="295"/>
      <c r="AO96" s="288"/>
      <c r="AP96" s="288"/>
      <c r="AQ96" s="288"/>
      <c r="AR96" s="288"/>
      <c r="AS96" s="288"/>
      <c r="AT96" s="288"/>
      <c r="AU96" s="288"/>
      <c r="AV96" s="295"/>
      <c r="AW96" s="288"/>
      <c r="AX96" s="289"/>
      <c r="AY96" s="294"/>
      <c r="AZ96" s="295"/>
      <c r="BA96" s="288"/>
      <c r="BB96" s="288"/>
      <c r="BC96" s="288"/>
      <c r="BD96" s="288"/>
      <c r="BE96" s="289"/>
      <c r="BF96" s="295"/>
      <c r="BG96" s="288"/>
      <c r="BH96" s="288"/>
      <c r="BI96" s="288"/>
      <c r="BJ96" s="288"/>
      <c r="BK96" s="288"/>
      <c r="BL96" s="288"/>
      <c r="BM96" s="288"/>
      <c r="BN96" s="288"/>
      <c r="BO96" s="288"/>
      <c r="BP96" s="288"/>
      <c r="BQ96" s="288"/>
      <c r="BR96" s="288"/>
      <c r="BS96" s="288"/>
      <c r="BT96" s="288"/>
      <c r="BU96" s="288"/>
      <c r="BV96" s="288"/>
      <c r="BW96" s="288"/>
      <c r="BX96" s="288"/>
      <c r="BY96" s="288"/>
      <c r="BZ96" s="288"/>
      <c r="CA96" s="288"/>
      <c r="CB96" s="288"/>
      <c r="CC96" s="294"/>
      <c r="CD96" s="287"/>
      <c r="CE96" s="288"/>
      <c r="CF96" s="288"/>
      <c r="CG96" s="288"/>
      <c r="CH96" s="288"/>
      <c r="CI96" s="294"/>
      <c r="CJ96" s="287"/>
      <c r="CK96" s="288"/>
      <c r="CL96" s="288"/>
      <c r="CM96" s="288"/>
      <c r="CN96" s="288"/>
      <c r="CO96" s="294"/>
      <c r="CP96" s="287"/>
      <c r="CQ96" s="288"/>
      <c r="CR96" s="288"/>
      <c r="CS96" s="288"/>
      <c r="CT96" s="288"/>
      <c r="CU96" s="294"/>
      <c r="CV96" s="287"/>
      <c r="CW96" s="288"/>
      <c r="CX96" s="288"/>
      <c r="CY96" s="288"/>
      <c r="CZ96" s="288"/>
      <c r="DA96" s="294"/>
      <c r="DB96" s="415">
        <f t="shared" si="56"/>
        <v>0</v>
      </c>
    </row>
    <row r="97" spans="1:108">
      <c r="A97" s="238">
        <v>23</v>
      </c>
      <c r="B97" s="239"/>
      <c r="C97" s="43"/>
      <c r="D97" s="43"/>
      <c r="E97" s="43"/>
      <c r="F97" s="283"/>
      <c r="G97" s="295"/>
      <c r="H97" s="288"/>
      <c r="I97" s="288"/>
      <c r="J97" s="288"/>
      <c r="K97" s="288"/>
      <c r="L97" s="289"/>
      <c r="M97" s="295"/>
      <c r="N97" s="288"/>
      <c r="O97" s="288"/>
      <c r="P97" s="288"/>
      <c r="Q97" s="288"/>
      <c r="R97" s="294"/>
      <c r="S97" s="287"/>
      <c r="T97" s="288"/>
      <c r="U97" s="288"/>
      <c r="V97" s="288"/>
      <c r="W97" s="288"/>
      <c r="X97" s="288"/>
      <c r="Y97" s="295"/>
      <c r="Z97" s="288"/>
      <c r="AA97" s="288"/>
      <c r="AB97" s="288"/>
      <c r="AC97" s="288"/>
      <c r="AD97" s="295"/>
      <c r="AE97" s="288"/>
      <c r="AF97" s="288"/>
      <c r="AG97" s="288"/>
      <c r="AH97" s="288"/>
      <c r="AI97" s="288"/>
      <c r="AJ97" s="288"/>
      <c r="AK97" s="288"/>
      <c r="AL97" s="288"/>
      <c r="AM97" s="288"/>
      <c r="AN97" s="295"/>
      <c r="AO97" s="288"/>
      <c r="AP97" s="288"/>
      <c r="AQ97" s="288"/>
      <c r="AR97" s="288"/>
      <c r="AS97" s="288"/>
      <c r="AT97" s="288"/>
      <c r="AU97" s="288"/>
      <c r="AV97" s="295"/>
      <c r="AW97" s="288"/>
      <c r="AX97" s="289"/>
      <c r="AY97" s="294"/>
      <c r="AZ97" s="295"/>
      <c r="BA97" s="288"/>
      <c r="BB97" s="288"/>
      <c r="BC97" s="288"/>
      <c r="BD97" s="288"/>
      <c r="BE97" s="289"/>
      <c r="BF97" s="295"/>
      <c r="BG97" s="288"/>
      <c r="BH97" s="288"/>
      <c r="BI97" s="288"/>
      <c r="BJ97" s="288"/>
      <c r="BK97" s="288"/>
      <c r="BL97" s="288"/>
      <c r="BM97" s="288"/>
      <c r="BN97" s="288"/>
      <c r="BO97" s="288"/>
      <c r="BP97" s="288"/>
      <c r="BQ97" s="288"/>
      <c r="BR97" s="288"/>
      <c r="BS97" s="288"/>
      <c r="BT97" s="288"/>
      <c r="BU97" s="288"/>
      <c r="BV97" s="288"/>
      <c r="BW97" s="288"/>
      <c r="BX97" s="288"/>
      <c r="BY97" s="288"/>
      <c r="BZ97" s="288"/>
      <c r="CA97" s="288"/>
      <c r="CB97" s="288"/>
      <c r="CC97" s="294"/>
      <c r="CD97" s="287"/>
      <c r="CE97" s="288"/>
      <c r="CF97" s="288"/>
      <c r="CG97" s="288"/>
      <c r="CH97" s="288"/>
      <c r="CI97" s="294"/>
      <c r="CJ97" s="287"/>
      <c r="CK97" s="288"/>
      <c r="CL97" s="288"/>
      <c r="CM97" s="288"/>
      <c r="CN97" s="288"/>
      <c r="CO97" s="294"/>
      <c r="CP97" s="287"/>
      <c r="CQ97" s="288"/>
      <c r="CR97" s="288"/>
      <c r="CS97" s="288"/>
      <c r="CT97" s="288"/>
      <c r="CU97" s="294"/>
      <c r="CV97" s="287"/>
      <c r="CW97" s="288"/>
      <c r="CX97" s="288"/>
      <c r="CY97" s="288"/>
      <c r="CZ97" s="288"/>
      <c r="DA97" s="294"/>
      <c r="DB97" s="415">
        <f t="shared" si="56"/>
        <v>0</v>
      </c>
    </row>
    <row r="98" spans="1:108">
      <c r="A98" s="238">
        <v>24</v>
      </c>
      <c r="B98" s="239"/>
      <c r="C98" s="43"/>
      <c r="D98" s="43"/>
      <c r="E98" s="43"/>
      <c r="F98" s="283"/>
      <c r="G98" s="295"/>
      <c r="H98" s="288"/>
      <c r="I98" s="288"/>
      <c r="J98" s="288"/>
      <c r="K98" s="288"/>
      <c r="L98" s="289"/>
      <c r="M98" s="295"/>
      <c r="N98" s="288"/>
      <c r="O98" s="288"/>
      <c r="P98" s="288"/>
      <c r="Q98" s="288"/>
      <c r="R98" s="294"/>
      <c r="S98" s="287"/>
      <c r="T98" s="288"/>
      <c r="U98" s="288"/>
      <c r="V98" s="288"/>
      <c r="W98" s="288"/>
      <c r="X98" s="288"/>
      <c r="Y98" s="295"/>
      <c r="Z98" s="288"/>
      <c r="AA98" s="288"/>
      <c r="AB98" s="288"/>
      <c r="AC98" s="288"/>
      <c r="AD98" s="295"/>
      <c r="AE98" s="288"/>
      <c r="AF98" s="288"/>
      <c r="AG98" s="288"/>
      <c r="AH98" s="288"/>
      <c r="AI98" s="288"/>
      <c r="AJ98" s="288"/>
      <c r="AK98" s="288"/>
      <c r="AL98" s="288"/>
      <c r="AM98" s="288"/>
      <c r="AN98" s="295"/>
      <c r="AO98" s="288"/>
      <c r="AP98" s="288"/>
      <c r="AQ98" s="288"/>
      <c r="AR98" s="288"/>
      <c r="AS98" s="288"/>
      <c r="AT98" s="288"/>
      <c r="AU98" s="288"/>
      <c r="AV98" s="295"/>
      <c r="AW98" s="288"/>
      <c r="AX98" s="289"/>
      <c r="AY98" s="294"/>
      <c r="AZ98" s="295"/>
      <c r="BA98" s="288"/>
      <c r="BB98" s="288"/>
      <c r="BC98" s="288"/>
      <c r="BD98" s="288"/>
      <c r="BE98" s="289"/>
      <c r="BF98" s="295"/>
      <c r="BG98" s="288"/>
      <c r="BH98" s="288"/>
      <c r="BI98" s="288"/>
      <c r="BJ98" s="288"/>
      <c r="BK98" s="288"/>
      <c r="BL98" s="288"/>
      <c r="BM98" s="288"/>
      <c r="BN98" s="288"/>
      <c r="BO98" s="288"/>
      <c r="BP98" s="288"/>
      <c r="BQ98" s="288"/>
      <c r="BR98" s="288"/>
      <c r="BS98" s="288"/>
      <c r="BT98" s="288"/>
      <c r="BU98" s="288"/>
      <c r="BV98" s="288"/>
      <c r="BW98" s="288"/>
      <c r="BX98" s="288"/>
      <c r="BY98" s="288"/>
      <c r="BZ98" s="288"/>
      <c r="CA98" s="288"/>
      <c r="CB98" s="288"/>
      <c r="CC98" s="294"/>
      <c r="CD98" s="287"/>
      <c r="CE98" s="288"/>
      <c r="CF98" s="288"/>
      <c r="CG98" s="288"/>
      <c r="CH98" s="288"/>
      <c r="CI98" s="294"/>
      <c r="CJ98" s="287"/>
      <c r="CK98" s="288"/>
      <c r="CL98" s="288"/>
      <c r="CM98" s="288"/>
      <c r="CN98" s="288"/>
      <c r="CO98" s="294"/>
      <c r="CP98" s="287"/>
      <c r="CQ98" s="288"/>
      <c r="CR98" s="288"/>
      <c r="CS98" s="288"/>
      <c r="CT98" s="288"/>
      <c r="CU98" s="294"/>
      <c r="CV98" s="287"/>
      <c r="CW98" s="288"/>
      <c r="CX98" s="288"/>
      <c r="CY98" s="288"/>
      <c r="CZ98" s="288"/>
      <c r="DA98" s="294"/>
      <c r="DB98" s="415">
        <f t="shared" si="56"/>
        <v>0</v>
      </c>
    </row>
    <row r="99" spans="1:108">
      <c r="A99" s="238">
        <v>25</v>
      </c>
      <c r="B99" s="239"/>
      <c r="C99" s="43"/>
      <c r="D99" s="43"/>
      <c r="E99" s="43"/>
      <c r="F99" s="283"/>
      <c r="G99" s="295"/>
      <c r="H99" s="288"/>
      <c r="I99" s="288"/>
      <c r="J99" s="288"/>
      <c r="K99" s="288"/>
      <c r="L99" s="289"/>
      <c r="M99" s="295"/>
      <c r="N99" s="288"/>
      <c r="O99" s="288"/>
      <c r="P99" s="288"/>
      <c r="Q99" s="288"/>
      <c r="R99" s="294"/>
      <c r="S99" s="287"/>
      <c r="T99" s="288"/>
      <c r="U99" s="288"/>
      <c r="V99" s="288"/>
      <c r="W99" s="288"/>
      <c r="X99" s="288"/>
      <c r="Y99" s="295"/>
      <c r="Z99" s="288"/>
      <c r="AA99" s="288"/>
      <c r="AB99" s="288"/>
      <c r="AC99" s="288"/>
      <c r="AD99" s="295"/>
      <c r="AE99" s="288"/>
      <c r="AF99" s="288"/>
      <c r="AG99" s="288"/>
      <c r="AH99" s="288"/>
      <c r="AI99" s="288"/>
      <c r="AJ99" s="288"/>
      <c r="AK99" s="288"/>
      <c r="AL99" s="288"/>
      <c r="AM99" s="288"/>
      <c r="AN99" s="295"/>
      <c r="AO99" s="288"/>
      <c r="AP99" s="288"/>
      <c r="AQ99" s="288"/>
      <c r="AR99" s="288"/>
      <c r="AS99" s="288"/>
      <c r="AT99" s="288"/>
      <c r="AU99" s="288"/>
      <c r="AV99" s="295"/>
      <c r="AW99" s="288"/>
      <c r="AX99" s="289"/>
      <c r="AY99" s="294"/>
      <c r="AZ99" s="295"/>
      <c r="BA99" s="288"/>
      <c r="BB99" s="288"/>
      <c r="BC99" s="288"/>
      <c r="BD99" s="288"/>
      <c r="BE99" s="289"/>
      <c r="BF99" s="295"/>
      <c r="BG99" s="288"/>
      <c r="BH99" s="288"/>
      <c r="BI99" s="288"/>
      <c r="BJ99" s="288"/>
      <c r="BK99" s="288"/>
      <c r="BL99" s="288"/>
      <c r="BM99" s="288"/>
      <c r="BN99" s="288"/>
      <c r="BO99" s="288"/>
      <c r="BP99" s="288"/>
      <c r="BQ99" s="288"/>
      <c r="BR99" s="288"/>
      <c r="BS99" s="288"/>
      <c r="BT99" s="288"/>
      <c r="BU99" s="288"/>
      <c r="BV99" s="288"/>
      <c r="BW99" s="288"/>
      <c r="BX99" s="288"/>
      <c r="BY99" s="288"/>
      <c r="BZ99" s="288"/>
      <c r="CA99" s="288"/>
      <c r="CB99" s="288"/>
      <c r="CC99" s="294"/>
      <c r="CD99" s="287"/>
      <c r="CE99" s="288"/>
      <c r="CF99" s="288"/>
      <c r="CG99" s="288"/>
      <c r="CH99" s="288"/>
      <c r="CI99" s="294"/>
      <c r="CJ99" s="287"/>
      <c r="CK99" s="288"/>
      <c r="CL99" s="288"/>
      <c r="CM99" s="288"/>
      <c r="CN99" s="288"/>
      <c r="CO99" s="294"/>
      <c r="CP99" s="287"/>
      <c r="CQ99" s="288"/>
      <c r="CR99" s="288"/>
      <c r="CS99" s="288"/>
      <c r="CT99" s="288"/>
      <c r="CU99" s="294"/>
      <c r="CV99" s="287"/>
      <c r="CW99" s="288"/>
      <c r="CX99" s="288"/>
      <c r="CY99" s="288"/>
      <c r="CZ99" s="288"/>
      <c r="DA99" s="294"/>
      <c r="DB99" s="415">
        <f t="shared" si="56"/>
        <v>0</v>
      </c>
    </row>
    <row r="100" spans="1:108">
      <c r="A100" s="238">
        <v>26</v>
      </c>
      <c r="B100" s="239"/>
      <c r="C100" s="43"/>
      <c r="D100" s="43"/>
      <c r="E100" s="43"/>
      <c r="F100" s="283"/>
      <c r="G100" s="295"/>
      <c r="H100" s="288"/>
      <c r="I100" s="288"/>
      <c r="J100" s="288"/>
      <c r="K100" s="288"/>
      <c r="L100" s="289"/>
      <c r="M100" s="295"/>
      <c r="N100" s="288"/>
      <c r="O100" s="288"/>
      <c r="P100" s="288"/>
      <c r="Q100" s="288"/>
      <c r="R100" s="294"/>
      <c r="S100" s="287"/>
      <c r="T100" s="288"/>
      <c r="U100" s="288"/>
      <c r="V100" s="288"/>
      <c r="W100" s="288"/>
      <c r="X100" s="288"/>
      <c r="Y100" s="295"/>
      <c r="Z100" s="288"/>
      <c r="AA100" s="288"/>
      <c r="AB100" s="288"/>
      <c r="AC100" s="288"/>
      <c r="AD100" s="295"/>
      <c r="AE100" s="288"/>
      <c r="AF100" s="288"/>
      <c r="AG100" s="288"/>
      <c r="AH100" s="288"/>
      <c r="AI100" s="288"/>
      <c r="AJ100" s="288"/>
      <c r="AK100" s="288"/>
      <c r="AL100" s="288"/>
      <c r="AM100" s="288"/>
      <c r="AN100" s="295"/>
      <c r="AO100" s="288"/>
      <c r="AP100" s="288"/>
      <c r="AQ100" s="288"/>
      <c r="AR100" s="288"/>
      <c r="AS100" s="288"/>
      <c r="AT100" s="288"/>
      <c r="AU100" s="288"/>
      <c r="AV100" s="295"/>
      <c r="AW100" s="288"/>
      <c r="AX100" s="289"/>
      <c r="AY100" s="294"/>
      <c r="AZ100" s="295"/>
      <c r="BA100" s="288"/>
      <c r="BB100" s="288"/>
      <c r="BC100" s="288"/>
      <c r="BD100" s="288"/>
      <c r="BE100" s="289"/>
      <c r="BF100" s="295"/>
      <c r="BG100" s="288"/>
      <c r="BH100" s="288"/>
      <c r="BI100" s="288"/>
      <c r="BJ100" s="288"/>
      <c r="BK100" s="288"/>
      <c r="BL100" s="288"/>
      <c r="BM100" s="288"/>
      <c r="BN100" s="288"/>
      <c r="BO100" s="288"/>
      <c r="BP100" s="288"/>
      <c r="BQ100" s="288"/>
      <c r="BR100" s="288"/>
      <c r="BS100" s="288"/>
      <c r="BT100" s="288"/>
      <c r="BU100" s="288"/>
      <c r="BV100" s="288"/>
      <c r="BW100" s="288"/>
      <c r="BX100" s="288"/>
      <c r="BY100" s="288"/>
      <c r="BZ100" s="288"/>
      <c r="CA100" s="288"/>
      <c r="CB100" s="288"/>
      <c r="CC100" s="294"/>
      <c r="CD100" s="287"/>
      <c r="CE100" s="288"/>
      <c r="CF100" s="288"/>
      <c r="CG100" s="288"/>
      <c r="CH100" s="288"/>
      <c r="CI100" s="294"/>
      <c r="CJ100" s="287"/>
      <c r="CK100" s="288"/>
      <c r="CL100" s="288"/>
      <c r="CM100" s="288"/>
      <c r="CN100" s="288"/>
      <c r="CO100" s="294"/>
      <c r="CP100" s="287"/>
      <c r="CQ100" s="288"/>
      <c r="CR100" s="288"/>
      <c r="CS100" s="288"/>
      <c r="CT100" s="288"/>
      <c r="CU100" s="294"/>
      <c r="CV100" s="287"/>
      <c r="CW100" s="288"/>
      <c r="CX100" s="288"/>
      <c r="CY100" s="288"/>
      <c r="CZ100" s="288"/>
      <c r="DA100" s="294"/>
      <c r="DB100" s="415">
        <f t="shared" si="56"/>
        <v>0</v>
      </c>
    </row>
    <row r="101" spans="1:108">
      <c r="A101" s="238">
        <v>27</v>
      </c>
      <c r="B101" s="239"/>
      <c r="C101" s="43"/>
      <c r="D101" s="43"/>
      <c r="E101" s="43"/>
      <c r="F101" s="283"/>
      <c r="G101" s="295"/>
      <c r="H101" s="288"/>
      <c r="I101" s="288"/>
      <c r="J101" s="288"/>
      <c r="K101" s="288"/>
      <c r="L101" s="289"/>
      <c r="M101" s="295"/>
      <c r="N101" s="288"/>
      <c r="O101" s="288"/>
      <c r="P101" s="288"/>
      <c r="Q101" s="288"/>
      <c r="R101" s="294"/>
      <c r="S101" s="287"/>
      <c r="T101" s="288"/>
      <c r="U101" s="288"/>
      <c r="V101" s="288"/>
      <c r="W101" s="288"/>
      <c r="X101" s="288"/>
      <c r="Y101" s="295"/>
      <c r="Z101" s="288"/>
      <c r="AA101" s="288"/>
      <c r="AB101" s="288"/>
      <c r="AC101" s="288"/>
      <c r="AD101" s="295"/>
      <c r="AE101" s="288"/>
      <c r="AF101" s="288"/>
      <c r="AG101" s="288"/>
      <c r="AH101" s="288"/>
      <c r="AI101" s="288"/>
      <c r="AJ101" s="288"/>
      <c r="AK101" s="288"/>
      <c r="AL101" s="288"/>
      <c r="AM101" s="288"/>
      <c r="AN101" s="295"/>
      <c r="AO101" s="288"/>
      <c r="AP101" s="288"/>
      <c r="AQ101" s="288"/>
      <c r="AR101" s="288"/>
      <c r="AS101" s="288"/>
      <c r="AT101" s="288"/>
      <c r="AU101" s="288"/>
      <c r="AV101" s="295"/>
      <c r="AW101" s="288"/>
      <c r="AX101" s="289"/>
      <c r="AY101" s="294"/>
      <c r="AZ101" s="295"/>
      <c r="BA101" s="288"/>
      <c r="BB101" s="288"/>
      <c r="BC101" s="288"/>
      <c r="BD101" s="288"/>
      <c r="BE101" s="289"/>
      <c r="BF101" s="295"/>
      <c r="BG101" s="288"/>
      <c r="BH101" s="288"/>
      <c r="BI101" s="288"/>
      <c r="BJ101" s="288"/>
      <c r="BK101" s="288"/>
      <c r="BL101" s="288"/>
      <c r="BM101" s="288"/>
      <c r="BN101" s="288"/>
      <c r="BO101" s="288"/>
      <c r="BP101" s="288"/>
      <c r="BQ101" s="288"/>
      <c r="BR101" s="288"/>
      <c r="BS101" s="288"/>
      <c r="BT101" s="288"/>
      <c r="BU101" s="288"/>
      <c r="BV101" s="288"/>
      <c r="BW101" s="288"/>
      <c r="BX101" s="288"/>
      <c r="BY101" s="288"/>
      <c r="BZ101" s="288"/>
      <c r="CA101" s="288"/>
      <c r="CB101" s="288"/>
      <c r="CC101" s="294"/>
      <c r="CD101" s="287"/>
      <c r="CE101" s="288"/>
      <c r="CF101" s="288"/>
      <c r="CG101" s="288"/>
      <c r="CH101" s="288"/>
      <c r="CI101" s="294"/>
      <c r="CJ101" s="287"/>
      <c r="CK101" s="288"/>
      <c r="CL101" s="288"/>
      <c r="CM101" s="288"/>
      <c r="CN101" s="288"/>
      <c r="CO101" s="294"/>
      <c r="CP101" s="287"/>
      <c r="CQ101" s="288"/>
      <c r="CR101" s="288"/>
      <c r="CS101" s="288"/>
      <c r="CT101" s="288"/>
      <c r="CU101" s="294"/>
      <c r="CV101" s="287"/>
      <c r="CW101" s="288"/>
      <c r="CX101" s="288"/>
      <c r="CY101" s="288"/>
      <c r="CZ101" s="288"/>
      <c r="DA101" s="294"/>
      <c r="DB101" s="415">
        <f t="shared" si="56"/>
        <v>0</v>
      </c>
    </row>
    <row r="102" spans="1:108">
      <c r="A102" s="238">
        <v>28</v>
      </c>
      <c r="B102" s="239"/>
      <c r="C102" s="43"/>
      <c r="D102" s="43"/>
      <c r="E102" s="43"/>
      <c r="F102" s="283"/>
      <c r="G102" s="295"/>
      <c r="H102" s="288"/>
      <c r="I102" s="288"/>
      <c r="J102" s="288"/>
      <c r="K102" s="288"/>
      <c r="L102" s="289"/>
      <c r="M102" s="295"/>
      <c r="N102" s="288"/>
      <c r="O102" s="288"/>
      <c r="P102" s="288"/>
      <c r="Q102" s="288"/>
      <c r="R102" s="294"/>
      <c r="S102" s="287"/>
      <c r="T102" s="288"/>
      <c r="U102" s="288"/>
      <c r="V102" s="288"/>
      <c r="W102" s="288"/>
      <c r="X102" s="288"/>
      <c r="Y102" s="295"/>
      <c r="Z102" s="288"/>
      <c r="AA102" s="288"/>
      <c r="AB102" s="288"/>
      <c r="AC102" s="288"/>
      <c r="AD102" s="295"/>
      <c r="AE102" s="288"/>
      <c r="AF102" s="288"/>
      <c r="AG102" s="288"/>
      <c r="AH102" s="288"/>
      <c r="AI102" s="288"/>
      <c r="AJ102" s="288"/>
      <c r="AK102" s="288"/>
      <c r="AL102" s="288"/>
      <c r="AM102" s="288"/>
      <c r="AN102" s="295"/>
      <c r="AO102" s="288"/>
      <c r="AP102" s="288"/>
      <c r="AQ102" s="288"/>
      <c r="AR102" s="288"/>
      <c r="AS102" s="288"/>
      <c r="AT102" s="288"/>
      <c r="AU102" s="288"/>
      <c r="AV102" s="295"/>
      <c r="AW102" s="288"/>
      <c r="AX102" s="289"/>
      <c r="AY102" s="294"/>
      <c r="AZ102" s="295"/>
      <c r="BA102" s="288"/>
      <c r="BB102" s="288"/>
      <c r="BC102" s="288"/>
      <c r="BD102" s="288"/>
      <c r="BE102" s="289"/>
      <c r="BF102" s="295"/>
      <c r="BG102" s="288"/>
      <c r="BH102" s="288"/>
      <c r="BI102" s="288"/>
      <c r="BJ102" s="288"/>
      <c r="BK102" s="288"/>
      <c r="BL102" s="288"/>
      <c r="BM102" s="288"/>
      <c r="BN102" s="288"/>
      <c r="BO102" s="288"/>
      <c r="BP102" s="288"/>
      <c r="BQ102" s="288"/>
      <c r="BR102" s="288"/>
      <c r="BS102" s="288"/>
      <c r="BT102" s="288"/>
      <c r="BU102" s="288"/>
      <c r="BV102" s="288"/>
      <c r="BW102" s="288"/>
      <c r="BX102" s="288"/>
      <c r="BY102" s="288"/>
      <c r="BZ102" s="288"/>
      <c r="CA102" s="288"/>
      <c r="CB102" s="288"/>
      <c r="CC102" s="294"/>
      <c r="CD102" s="287"/>
      <c r="CE102" s="288"/>
      <c r="CF102" s="288"/>
      <c r="CG102" s="288"/>
      <c r="CH102" s="288"/>
      <c r="CI102" s="294"/>
      <c r="CJ102" s="287"/>
      <c r="CK102" s="288"/>
      <c r="CL102" s="288"/>
      <c r="CM102" s="288"/>
      <c r="CN102" s="288"/>
      <c r="CO102" s="294"/>
      <c r="CP102" s="287"/>
      <c r="CQ102" s="288"/>
      <c r="CR102" s="288"/>
      <c r="CS102" s="288"/>
      <c r="CT102" s="288"/>
      <c r="CU102" s="294"/>
      <c r="CV102" s="287"/>
      <c r="CW102" s="288"/>
      <c r="CX102" s="288"/>
      <c r="CY102" s="288"/>
      <c r="CZ102" s="288"/>
      <c r="DA102" s="294"/>
      <c r="DB102" s="415">
        <f t="shared" si="56"/>
        <v>0</v>
      </c>
    </row>
    <row r="103" spans="1:108" s="1" customFormat="1">
      <c r="A103" s="238">
        <v>29</v>
      </c>
      <c r="B103" s="239"/>
      <c r="C103" s="43"/>
      <c r="D103" s="43"/>
      <c r="E103" s="43"/>
      <c r="F103" s="283"/>
      <c r="G103" s="295"/>
      <c r="H103" s="288"/>
      <c r="I103" s="288"/>
      <c r="J103" s="288"/>
      <c r="K103" s="288"/>
      <c r="L103" s="289"/>
      <c r="M103" s="295"/>
      <c r="N103" s="288"/>
      <c r="O103" s="288"/>
      <c r="P103" s="288"/>
      <c r="Q103" s="288"/>
      <c r="R103" s="294"/>
      <c r="S103" s="287"/>
      <c r="T103" s="288"/>
      <c r="U103" s="288"/>
      <c r="V103" s="288"/>
      <c r="W103" s="288"/>
      <c r="X103" s="288"/>
      <c r="Y103" s="295"/>
      <c r="Z103" s="288"/>
      <c r="AA103" s="288"/>
      <c r="AB103" s="288"/>
      <c r="AC103" s="288"/>
      <c r="AD103" s="295"/>
      <c r="AE103" s="288"/>
      <c r="AF103" s="288"/>
      <c r="AG103" s="288"/>
      <c r="AH103" s="288"/>
      <c r="AI103" s="288"/>
      <c r="AJ103" s="288"/>
      <c r="AK103" s="288"/>
      <c r="AL103" s="288"/>
      <c r="AM103" s="288"/>
      <c r="AN103" s="295"/>
      <c r="AO103" s="288"/>
      <c r="AP103" s="288"/>
      <c r="AQ103" s="288"/>
      <c r="AR103" s="288"/>
      <c r="AS103" s="288"/>
      <c r="AT103" s="288"/>
      <c r="AU103" s="288"/>
      <c r="AV103" s="295"/>
      <c r="AW103" s="288"/>
      <c r="AX103" s="289"/>
      <c r="AY103" s="294"/>
      <c r="AZ103" s="295"/>
      <c r="BA103" s="288"/>
      <c r="BB103" s="288"/>
      <c r="BC103" s="288"/>
      <c r="BD103" s="288"/>
      <c r="BE103" s="289"/>
      <c r="BF103" s="295"/>
      <c r="BG103" s="288"/>
      <c r="BH103" s="288"/>
      <c r="BI103" s="288"/>
      <c r="BJ103" s="288"/>
      <c r="BK103" s="288"/>
      <c r="BL103" s="288"/>
      <c r="BM103" s="288"/>
      <c r="BN103" s="288"/>
      <c r="BO103" s="288"/>
      <c r="BP103" s="288"/>
      <c r="BQ103" s="288"/>
      <c r="BR103" s="288"/>
      <c r="BS103" s="288"/>
      <c r="BT103" s="288"/>
      <c r="BU103" s="288"/>
      <c r="BV103" s="288"/>
      <c r="BW103" s="288"/>
      <c r="BX103" s="288"/>
      <c r="BY103" s="288"/>
      <c r="BZ103" s="288"/>
      <c r="CA103" s="288"/>
      <c r="CB103" s="288"/>
      <c r="CC103" s="294"/>
      <c r="CD103" s="287"/>
      <c r="CE103" s="288"/>
      <c r="CF103" s="288"/>
      <c r="CG103" s="288"/>
      <c r="CH103" s="288"/>
      <c r="CI103" s="294"/>
      <c r="CJ103" s="287"/>
      <c r="CK103" s="288"/>
      <c r="CL103" s="288"/>
      <c r="CM103" s="288"/>
      <c r="CN103" s="288"/>
      <c r="CO103" s="294"/>
      <c r="CP103" s="287"/>
      <c r="CQ103" s="288"/>
      <c r="CR103" s="288"/>
      <c r="CS103" s="288"/>
      <c r="CT103" s="288"/>
      <c r="CU103" s="294"/>
      <c r="CV103" s="287"/>
      <c r="CW103" s="288"/>
      <c r="CX103" s="288"/>
      <c r="CY103" s="288"/>
      <c r="CZ103" s="288"/>
      <c r="DA103" s="294"/>
      <c r="DB103" s="415">
        <f t="shared" si="56"/>
        <v>0</v>
      </c>
    </row>
    <row r="104" spans="1:108">
      <c r="A104" s="238">
        <v>30</v>
      </c>
      <c r="B104" s="239"/>
      <c r="C104" s="43"/>
      <c r="D104" s="43"/>
      <c r="E104" s="43"/>
      <c r="F104" s="283"/>
      <c r="G104" s="295"/>
      <c r="H104" s="288"/>
      <c r="I104" s="288"/>
      <c r="J104" s="288"/>
      <c r="K104" s="288"/>
      <c r="L104" s="289"/>
      <c r="M104" s="295"/>
      <c r="N104" s="288"/>
      <c r="O104" s="288"/>
      <c r="P104" s="288"/>
      <c r="Q104" s="288"/>
      <c r="R104" s="294"/>
      <c r="S104" s="287"/>
      <c r="T104" s="288"/>
      <c r="U104" s="288"/>
      <c r="V104" s="288"/>
      <c r="W104" s="288"/>
      <c r="X104" s="288"/>
      <c r="Y104" s="295"/>
      <c r="Z104" s="288"/>
      <c r="AA104" s="288"/>
      <c r="AB104" s="288"/>
      <c r="AC104" s="288"/>
      <c r="AD104" s="295"/>
      <c r="AE104" s="288"/>
      <c r="AF104" s="288"/>
      <c r="AG104" s="288"/>
      <c r="AH104" s="288"/>
      <c r="AI104" s="288"/>
      <c r="AJ104" s="288"/>
      <c r="AK104" s="288"/>
      <c r="AL104" s="288"/>
      <c r="AM104" s="288"/>
      <c r="AN104" s="295"/>
      <c r="AO104" s="288"/>
      <c r="AP104" s="288"/>
      <c r="AQ104" s="288"/>
      <c r="AR104" s="288"/>
      <c r="AS104" s="288"/>
      <c r="AT104" s="288"/>
      <c r="AU104" s="288"/>
      <c r="AV104" s="295"/>
      <c r="AW104" s="288"/>
      <c r="AX104" s="289"/>
      <c r="AY104" s="294"/>
      <c r="AZ104" s="295"/>
      <c r="BA104" s="288"/>
      <c r="BB104" s="288"/>
      <c r="BC104" s="288"/>
      <c r="BD104" s="288"/>
      <c r="BE104" s="289"/>
      <c r="BF104" s="295"/>
      <c r="BG104" s="288"/>
      <c r="BH104" s="288"/>
      <c r="BI104" s="288"/>
      <c r="BJ104" s="288"/>
      <c r="BK104" s="288"/>
      <c r="BL104" s="288"/>
      <c r="BM104" s="288"/>
      <c r="BN104" s="288"/>
      <c r="BO104" s="288"/>
      <c r="BP104" s="288"/>
      <c r="BQ104" s="288"/>
      <c r="BR104" s="288"/>
      <c r="BS104" s="288"/>
      <c r="BT104" s="288"/>
      <c r="BU104" s="288"/>
      <c r="BV104" s="288"/>
      <c r="BW104" s="288"/>
      <c r="BX104" s="288"/>
      <c r="BY104" s="288"/>
      <c r="BZ104" s="288"/>
      <c r="CA104" s="288"/>
      <c r="CB104" s="288"/>
      <c r="CC104" s="294"/>
      <c r="CD104" s="287"/>
      <c r="CE104" s="288"/>
      <c r="CF104" s="288"/>
      <c r="CG104" s="288"/>
      <c r="CH104" s="288"/>
      <c r="CI104" s="294"/>
      <c r="CJ104" s="287"/>
      <c r="CK104" s="288"/>
      <c r="CL104" s="288"/>
      <c r="CM104" s="288"/>
      <c r="CN104" s="288"/>
      <c r="CO104" s="294"/>
      <c r="CP104" s="287"/>
      <c r="CQ104" s="288"/>
      <c r="CR104" s="288"/>
      <c r="CS104" s="288"/>
      <c r="CT104" s="288"/>
      <c r="CU104" s="294"/>
      <c r="CV104" s="287"/>
      <c r="CW104" s="288"/>
      <c r="CX104" s="288"/>
      <c r="CY104" s="288"/>
      <c r="CZ104" s="288"/>
      <c r="DA104" s="294"/>
      <c r="DB104" s="415">
        <f t="shared" si="56"/>
        <v>0</v>
      </c>
    </row>
    <row r="105" spans="1:108" ht="15.75" thickBot="1">
      <c r="A105" s="238">
        <v>31</v>
      </c>
      <c r="B105" s="239"/>
      <c r="C105" s="43"/>
      <c r="D105" s="43"/>
      <c r="E105" s="43"/>
      <c r="F105" s="283"/>
      <c r="G105" s="296"/>
      <c r="H105" s="297"/>
      <c r="I105" s="297"/>
      <c r="J105" s="297"/>
      <c r="K105" s="297"/>
      <c r="L105" s="301"/>
      <c r="M105" s="296"/>
      <c r="N105" s="297"/>
      <c r="O105" s="297"/>
      <c r="P105" s="297"/>
      <c r="Q105" s="297"/>
      <c r="R105" s="298"/>
      <c r="S105" s="290"/>
      <c r="T105" s="309"/>
      <c r="U105" s="309"/>
      <c r="V105" s="309"/>
      <c r="W105" s="309"/>
      <c r="X105" s="309"/>
      <c r="Y105" s="313"/>
      <c r="Z105" s="309"/>
      <c r="AA105" s="309"/>
      <c r="AB105" s="309"/>
      <c r="AC105" s="309"/>
      <c r="AD105" s="313"/>
      <c r="AE105" s="309"/>
      <c r="AF105" s="309"/>
      <c r="AG105" s="309"/>
      <c r="AH105" s="309"/>
      <c r="AI105" s="309"/>
      <c r="AJ105" s="309"/>
      <c r="AK105" s="309"/>
      <c r="AL105" s="309"/>
      <c r="AM105" s="309"/>
      <c r="AN105" s="313"/>
      <c r="AO105" s="309"/>
      <c r="AP105" s="309"/>
      <c r="AQ105" s="309"/>
      <c r="AR105" s="309"/>
      <c r="AS105" s="309"/>
      <c r="AT105" s="309"/>
      <c r="AU105" s="309"/>
      <c r="AV105" s="313"/>
      <c r="AW105" s="309"/>
      <c r="AX105" s="310"/>
      <c r="AY105" s="317"/>
      <c r="AZ105" s="313"/>
      <c r="BA105" s="309"/>
      <c r="BB105" s="309"/>
      <c r="BC105" s="309"/>
      <c r="BD105" s="309"/>
      <c r="BE105" s="310"/>
      <c r="BF105" s="296"/>
      <c r="BG105" s="297"/>
      <c r="BH105" s="297"/>
      <c r="BI105" s="297"/>
      <c r="BJ105" s="297"/>
      <c r="BK105" s="297"/>
      <c r="BL105" s="297"/>
      <c r="BM105" s="297"/>
      <c r="BN105" s="297"/>
      <c r="BO105" s="297"/>
      <c r="BP105" s="297"/>
      <c r="BQ105" s="297"/>
      <c r="BR105" s="297"/>
      <c r="BS105" s="297"/>
      <c r="BT105" s="297"/>
      <c r="BU105" s="297"/>
      <c r="BV105" s="297"/>
      <c r="BW105" s="297"/>
      <c r="BX105" s="297"/>
      <c r="BY105" s="297"/>
      <c r="BZ105" s="297"/>
      <c r="CA105" s="297"/>
      <c r="CB105" s="297"/>
      <c r="CC105" s="298"/>
      <c r="CD105" s="290"/>
      <c r="CE105" s="309"/>
      <c r="CF105" s="309"/>
      <c r="CG105" s="309"/>
      <c r="CH105" s="309"/>
      <c r="CI105" s="317"/>
      <c r="CJ105" s="290"/>
      <c r="CK105" s="309"/>
      <c r="CL105" s="309"/>
      <c r="CM105" s="309"/>
      <c r="CN105" s="309"/>
      <c r="CO105" s="317"/>
      <c r="CP105" s="290"/>
      <c r="CQ105" s="309"/>
      <c r="CR105" s="309"/>
      <c r="CS105" s="309"/>
      <c r="CT105" s="309"/>
      <c r="CU105" s="317"/>
      <c r="CV105" s="290"/>
      <c r="CW105" s="309"/>
      <c r="CX105" s="309"/>
      <c r="CY105" s="309"/>
      <c r="CZ105" s="309"/>
      <c r="DA105" s="317"/>
      <c r="DB105" s="415">
        <f t="shared" si="56"/>
        <v>0</v>
      </c>
    </row>
    <row r="106" spans="1:108" ht="15.75" thickBot="1">
      <c r="A106" s="289"/>
      <c r="B106" s="34">
        <f t="shared" ref="B106:G106" si="57">SUM(B75:B105)</f>
        <v>0</v>
      </c>
      <c r="C106" s="322">
        <f t="shared" si="57"/>
        <v>0</v>
      </c>
      <c r="D106" s="322">
        <f t="shared" si="57"/>
        <v>0</v>
      </c>
      <c r="E106" s="322">
        <f t="shared" ref="E106:F106" si="58">SUM(E75:E105)</f>
        <v>0</v>
      </c>
      <c r="F106" s="323">
        <f t="shared" si="58"/>
        <v>0</v>
      </c>
      <c r="G106" s="32">
        <f t="shared" si="57"/>
        <v>0</v>
      </c>
      <c r="H106" s="322">
        <f t="shared" ref="H106:CC106" si="59">SUM(H75:H105)</f>
        <v>0</v>
      </c>
      <c r="I106" s="322">
        <f t="shared" si="59"/>
        <v>0</v>
      </c>
      <c r="J106" s="322">
        <f t="shared" si="59"/>
        <v>0</v>
      </c>
      <c r="K106" s="322">
        <f t="shared" si="59"/>
        <v>0</v>
      </c>
      <c r="L106" s="322">
        <f t="shared" ref="L106" si="60">SUM(L75:L105)</f>
        <v>0</v>
      </c>
      <c r="M106" s="322">
        <f t="shared" si="59"/>
        <v>0</v>
      </c>
      <c r="N106" s="322">
        <f t="shared" si="59"/>
        <v>0</v>
      </c>
      <c r="O106" s="322">
        <f t="shared" si="59"/>
        <v>0</v>
      </c>
      <c r="P106" s="322">
        <f t="shared" ref="P106:Q106" si="61">SUM(P75:P105)</f>
        <v>0</v>
      </c>
      <c r="Q106" s="322">
        <f t="shared" si="61"/>
        <v>0</v>
      </c>
      <c r="R106" s="322">
        <f t="shared" si="59"/>
        <v>0</v>
      </c>
      <c r="S106" s="209">
        <f t="shared" si="59"/>
        <v>0</v>
      </c>
      <c r="T106" s="209">
        <f t="shared" si="59"/>
        <v>0</v>
      </c>
      <c r="U106" s="209">
        <f t="shared" si="59"/>
        <v>0</v>
      </c>
      <c r="V106" s="209">
        <f t="shared" ref="V106" si="62">SUM(V75:V105)</f>
        <v>0</v>
      </c>
      <c r="W106" s="209">
        <f t="shared" si="59"/>
        <v>0</v>
      </c>
      <c r="X106" s="209">
        <f t="shared" si="59"/>
        <v>0</v>
      </c>
      <c r="Y106" s="209">
        <f t="shared" si="59"/>
        <v>0</v>
      </c>
      <c r="Z106" s="209">
        <f t="shared" si="59"/>
        <v>0</v>
      </c>
      <c r="AA106" s="209">
        <f t="shared" si="59"/>
        <v>0</v>
      </c>
      <c r="AB106" s="209">
        <f t="shared" si="59"/>
        <v>0</v>
      </c>
      <c r="AC106" s="209">
        <f t="shared" si="59"/>
        <v>0</v>
      </c>
      <c r="AD106" s="209">
        <f t="shared" si="59"/>
        <v>0</v>
      </c>
      <c r="AE106" s="209">
        <f t="shared" si="59"/>
        <v>0</v>
      </c>
      <c r="AF106" s="209">
        <f t="shared" si="59"/>
        <v>0</v>
      </c>
      <c r="AG106" s="209">
        <f t="shared" si="59"/>
        <v>0</v>
      </c>
      <c r="AH106" s="209">
        <f t="shared" si="59"/>
        <v>0</v>
      </c>
      <c r="AI106" s="209">
        <f t="shared" si="59"/>
        <v>0</v>
      </c>
      <c r="AJ106" s="209">
        <f t="shared" si="59"/>
        <v>0</v>
      </c>
      <c r="AK106" s="209">
        <f t="shared" si="59"/>
        <v>0</v>
      </c>
      <c r="AL106" s="209">
        <f t="shared" si="59"/>
        <v>0</v>
      </c>
      <c r="AM106" s="209">
        <f t="shared" si="59"/>
        <v>0</v>
      </c>
      <c r="AN106" s="209">
        <f t="shared" si="59"/>
        <v>0</v>
      </c>
      <c r="AO106" s="209">
        <f t="shared" si="59"/>
        <v>0</v>
      </c>
      <c r="AP106" s="209">
        <f t="shared" si="59"/>
        <v>0</v>
      </c>
      <c r="AQ106" s="209">
        <f t="shared" si="59"/>
        <v>0</v>
      </c>
      <c r="AR106" s="209">
        <f t="shared" si="59"/>
        <v>0</v>
      </c>
      <c r="AS106" s="209">
        <f t="shared" si="59"/>
        <v>0</v>
      </c>
      <c r="AT106" s="209">
        <f t="shared" si="59"/>
        <v>0</v>
      </c>
      <c r="AU106" s="209">
        <f t="shared" si="59"/>
        <v>0</v>
      </c>
      <c r="AV106" s="209">
        <f t="shared" si="59"/>
        <v>0</v>
      </c>
      <c r="AW106" s="209">
        <f t="shared" si="59"/>
        <v>0</v>
      </c>
      <c r="AX106" s="209">
        <f t="shared" si="59"/>
        <v>0</v>
      </c>
      <c r="AY106" s="209">
        <f t="shared" si="59"/>
        <v>0</v>
      </c>
      <c r="AZ106" s="209">
        <f t="shared" ref="AZ106:BB106" si="63">SUM(AZ75:AZ105)</f>
        <v>0</v>
      </c>
      <c r="BA106" s="209">
        <f t="shared" si="63"/>
        <v>0</v>
      </c>
      <c r="BB106" s="209">
        <f t="shared" si="63"/>
        <v>0</v>
      </c>
      <c r="BC106" s="209">
        <f t="shared" ref="BC106:BQ106" si="64">SUM(BC75:BC105)</f>
        <v>0</v>
      </c>
      <c r="BD106" s="209">
        <f t="shared" si="64"/>
        <v>0</v>
      </c>
      <c r="BE106" s="318">
        <f t="shared" si="64"/>
        <v>0</v>
      </c>
      <c r="BF106" s="34">
        <f t="shared" si="64"/>
        <v>0</v>
      </c>
      <c r="BG106" s="34">
        <f t="shared" si="64"/>
        <v>0</v>
      </c>
      <c r="BH106" s="392">
        <f t="shared" si="64"/>
        <v>0</v>
      </c>
      <c r="BI106" s="34">
        <f t="shared" si="64"/>
        <v>0</v>
      </c>
      <c r="BJ106" s="34">
        <f t="shared" si="64"/>
        <v>0</v>
      </c>
      <c r="BK106" s="392">
        <f t="shared" si="64"/>
        <v>0</v>
      </c>
      <c r="BL106" s="34">
        <f t="shared" si="64"/>
        <v>0</v>
      </c>
      <c r="BM106" s="34">
        <f t="shared" si="64"/>
        <v>0</v>
      </c>
      <c r="BN106" s="392">
        <f t="shared" si="64"/>
        <v>0</v>
      </c>
      <c r="BO106" s="34">
        <f t="shared" si="64"/>
        <v>0</v>
      </c>
      <c r="BP106" s="34">
        <f t="shared" si="64"/>
        <v>0</v>
      </c>
      <c r="BQ106" s="392">
        <f t="shared" si="64"/>
        <v>0</v>
      </c>
      <c r="BR106" s="34">
        <f t="shared" si="59"/>
        <v>0</v>
      </c>
      <c r="BS106" s="34">
        <f t="shared" si="59"/>
        <v>0</v>
      </c>
      <c r="BT106" s="392">
        <f t="shared" si="59"/>
        <v>0</v>
      </c>
      <c r="BU106" s="34">
        <f t="shared" si="59"/>
        <v>0</v>
      </c>
      <c r="BV106" s="34">
        <f t="shared" si="59"/>
        <v>0</v>
      </c>
      <c r="BW106" s="392">
        <f t="shared" si="59"/>
        <v>0</v>
      </c>
      <c r="BX106" s="34">
        <f t="shared" si="59"/>
        <v>0</v>
      </c>
      <c r="BY106" s="34">
        <f t="shared" si="59"/>
        <v>0</v>
      </c>
      <c r="BZ106" s="392">
        <f t="shared" si="59"/>
        <v>0</v>
      </c>
      <c r="CA106" s="34">
        <f t="shared" si="59"/>
        <v>0</v>
      </c>
      <c r="CB106" s="34">
        <f t="shared" si="59"/>
        <v>0</v>
      </c>
      <c r="CC106" s="392">
        <f t="shared" si="59"/>
        <v>0</v>
      </c>
      <c r="CD106" s="123">
        <f t="shared" ref="CD106:CF106" si="65">SUM(CD75:CD105)</f>
        <v>0</v>
      </c>
      <c r="CE106" s="209">
        <f t="shared" si="65"/>
        <v>0</v>
      </c>
      <c r="CF106" s="209">
        <f t="shared" si="65"/>
        <v>0</v>
      </c>
      <c r="CG106" s="209">
        <f t="shared" ref="CG106:CL106" si="66">SUM(CG75:CG105)</f>
        <v>0</v>
      </c>
      <c r="CH106" s="209">
        <f t="shared" si="66"/>
        <v>0</v>
      </c>
      <c r="CI106" s="210">
        <f t="shared" si="66"/>
        <v>0</v>
      </c>
      <c r="CJ106" s="123">
        <f t="shared" si="66"/>
        <v>0</v>
      </c>
      <c r="CK106" s="209">
        <f t="shared" si="66"/>
        <v>0</v>
      </c>
      <c r="CL106" s="209">
        <f t="shared" si="66"/>
        <v>0</v>
      </c>
      <c r="CM106" s="209">
        <f t="shared" ref="CM106:CR106" si="67">SUM(CM75:CM105)</f>
        <v>0</v>
      </c>
      <c r="CN106" s="209">
        <f t="shared" si="67"/>
        <v>0</v>
      </c>
      <c r="CO106" s="210">
        <f t="shared" si="67"/>
        <v>0</v>
      </c>
      <c r="CP106" s="123">
        <f t="shared" si="67"/>
        <v>0</v>
      </c>
      <c r="CQ106" s="209">
        <f t="shared" si="67"/>
        <v>0</v>
      </c>
      <c r="CR106" s="209">
        <f t="shared" si="67"/>
        <v>0</v>
      </c>
      <c r="CS106" s="209">
        <f t="shared" ref="CS106:CX106" si="68">SUM(CS75:CS105)</f>
        <v>0</v>
      </c>
      <c r="CT106" s="209">
        <f t="shared" si="68"/>
        <v>0</v>
      </c>
      <c r="CU106" s="210">
        <f t="shared" si="68"/>
        <v>0</v>
      </c>
      <c r="CV106" s="123">
        <f t="shared" si="68"/>
        <v>0</v>
      </c>
      <c r="CW106" s="209">
        <f t="shared" si="68"/>
        <v>0</v>
      </c>
      <c r="CX106" s="209">
        <f t="shared" si="68"/>
        <v>0</v>
      </c>
      <c r="CY106" s="209">
        <f t="shared" ref="CY106:DA106" si="69">SUM(CY75:CY105)</f>
        <v>0</v>
      </c>
      <c r="CZ106" s="209">
        <f t="shared" si="69"/>
        <v>0</v>
      </c>
      <c r="DA106" s="210">
        <f t="shared" si="69"/>
        <v>0</v>
      </c>
      <c r="DB106" s="415">
        <f t="shared" si="56"/>
        <v>0</v>
      </c>
    </row>
    <row r="107" spans="1:108" ht="15.75" thickBot="1"/>
    <row r="108" spans="1:108" ht="15.75" thickBot="1">
      <c r="A108" s="463" t="s">
        <v>2</v>
      </c>
      <c r="B108" s="449" t="s">
        <v>45</v>
      </c>
      <c r="C108" s="450"/>
      <c r="D108" s="450"/>
      <c r="E108" s="450"/>
      <c r="F108" s="451"/>
      <c r="G108" s="449" t="s">
        <v>46</v>
      </c>
      <c r="H108" s="450"/>
      <c r="I108" s="450"/>
      <c r="J108" s="450"/>
      <c r="K108" s="450"/>
      <c r="L108" s="450"/>
      <c r="M108" s="449" t="s">
        <v>47</v>
      </c>
      <c r="N108" s="450"/>
      <c r="O108" s="450"/>
      <c r="P108" s="450"/>
      <c r="Q108" s="450"/>
      <c r="R108" s="451"/>
      <c r="S108" s="449" t="s">
        <v>48</v>
      </c>
      <c r="T108" s="450"/>
      <c r="U108" s="450"/>
      <c r="V108" s="450"/>
      <c r="W108" s="450"/>
      <c r="X108" s="450"/>
      <c r="Y108" s="449" t="s">
        <v>49</v>
      </c>
      <c r="Z108" s="450"/>
      <c r="AA108" s="450"/>
      <c r="AB108" s="450"/>
      <c r="AC108" s="451"/>
      <c r="AD108" s="449" t="s">
        <v>50</v>
      </c>
      <c r="AE108" s="450"/>
      <c r="AF108" s="450"/>
      <c r="AG108" s="450"/>
      <c r="AH108" s="450"/>
      <c r="AI108" s="450"/>
      <c r="AJ108" s="450"/>
      <c r="AK108" s="450"/>
      <c r="AL108" s="450"/>
      <c r="AM108" s="451"/>
      <c r="AN108" s="449" t="s">
        <v>51</v>
      </c>
      <c r="AO108" s="450"/>
      <c r="AP108" s="450"/>
      <c r="AQ108" s="450"/>
      <c r="AR108" s="450"/>
      <c r="AS108" s="450"/>
      <c r="AT108" s="450"/>
      <c r="AU108" s="451"/>
      <c r="AV108" s="450" t="s">
        <v>52</v>
      </c>
      <c r="AW108" s="450"/>
      <c r="AX108" s="450"/>
      <c r="AY108" s="450"/>
      <c r="AZ108" s="449" t="s">
        <v>53</v>
      </c>
      <c r="BA108" s="450"/>
      <c r="BB108" s="450"/>
      <c r="BC108" s="450"/>
      <c r="BD108" s="450"/>
      <c r="BE108" s="451"/>
      <c r="BF108" s="465" t="s">
        <v>54</v>
      </c>
      <c r="BG108" s="466"/>
      <c r="BH108" s="466"/>
      <c r="BI108" s="466"/>
      <c r="BJ108" s="466"/>
      <c r="BK108" s="466"/>
      <c r="BL108" s="466"/>
      <c r="BM108" s="466"/>
      <c r="BN108" s="466"/>
      <c r="BO108" s="466"/>
      <c r="BP108" s="466"/>
      <c r="BQ108" s="466"/>
      <c r="BR108" s="466"/>
      <c r="BS108" s="466"/>
      <c r="BT108" s="466"/>
      <c r="BU108" s="466"/>
      <c r="BV108" s="466"/>
      <c r="BW108" s="466"/>
      <c r="BX108" s="466"/>
      <c r="BY108" s="466"/>
      <c r="BZ108" s="466"/>
      <c r="CA108" s="466"/>
      <c r="CB108" s="466"/>
      <c r="CC108" s="467"/>
      <c r="CD108" s="449" t="s">
        <v>55</v>
      </c>
      <c r="CE108" s="450"/>
      <c r="CF108" s="450"/>
      <c r="CG108" s="450"/>
      <c r="CH108" s="450"/>
      <c r="CI108" s="451"/>
      <c r="CJ108" s="449" t="s">
        <v>182</v>
      </c>
      <c r="CK108" s="450"/>
      <c r="CL108" s="450"/>
      <c r="CM108" s="450"/>
      <c r="CN108" s="450"/>
      <c r="CO108" s="451"/>
      <c r="CP108" s="449" t="s">
        <v>183</v>
      </c>
      <c r="CQ108" s="450"/>
      <c r="CR108" s="450"/>
      <c r="CS108" s="450"/>
      <c r="CT108" s="450"/>
      <c r="CU108" s="451"/>
      <c r="CV108" s="449" t="s">
        <v>184</v>
      </c>
      <c r="CW108" s="450"/>
      <c r="CX108" s="450"/>
      <c r="CY108" s="450"/>
      <c r="CZ108" s="450"/>
      <c r="DA108" s="451"/>
      <c r="DB108" s="464" t="s">
        <v>56</v>
      </c>
    </row>
    <row r="109" spans="1:108" ht="15.75" thickBot="1">
      <c r="A109" s="463"/>
      <c r="B109" s="285" t="s">
        <v>39</v>
      </c>
      <c r="C109" s="419" t="s">
        <v>39</v>
      </c>
      <c r="D109" s="418" t="s">
        <v>39</v>
      </c>
      <c r="E109" s="418" t="s">
        <v>39</v>
      </c>
      <c r="F109" s="419" t="s">
        <v>39</v>
      </c>
      <c r="G109" s="419" t="s">
        <v>39</v>
      </c>
      <c r="H109" s="286" t="s">
        <v>39</v>
      </c>
      <c r="I109" s="286" t="s">
        <v>39</v>
      </c>
      <c r="J109" s="286" t="s">
        <v>39</v>
      </c>
      <c r="K109" s="286" t="s">
        <v>39</v>
      </c>
      <c r="L109" s="419" t="s">
        <v>39</v>
      </c>
      <c r="M109" s="286" t="s">
        <v>39</v>
      </c>
      <c r="N109" s="286" t="s">
        <v>39</v>
      </c>
      <c r="O109" s="286" t="s">
        <v>39</v>
      </c>
      <c r="P109" s="418" t="s">
        <v>39</v>
      </c>
      <c r="Q109" s="418" t="s">
        <v>39</v>
      </c>
      <c r="R109" s="293" t="s">
        <v>39</v>
      </c>
      <c r="S109" s="285" t="s">
        <v>39</v>
      </c>
      <c r="T109" s="286" t="s">
        <v>39</v>
      </c>
      <c r="U109" s="286" t="s">
        <v>39</v>
      </c>
      <c r="V109" s="419" t="s">
        <v>39</v>
      </c>
      <c r="W109" s="286" t="s">
        <v>39</v>
      </c>
      <c r="X109" s="293" t="s">
        <v>39</v>
      </c>
      <c r="Y109" s="285" t="s">
        <v>39</v>
      </c>
      <c r="Z109" s="286" t="s">
        <v>39</v>
      </c>
      <c r="AA109" s="286" t="s">
        <v>39</v>
      </c>
      <c r="AB109" s="286" t="s">
        <v>39</v>
      </c>
      <c r="AC109" s="286" t="s">
        <v>39</v>
      </c>
      <c r="AD109" s="300" t="s">
        <v>39</v>
      </c>
      <c r="AE109" s="286" t="s">
        <v>41</v>
      </c>
      <c r="AF109" s="293" t="s">
        <v>39</v>
      </c>
      <c r="AG109" s="286" t="s">
        <v>41</v>
      </c>
      <c r="AH109" s="293" t="s">
        <v>39</v>
      </c>
      <c r="AI109" s="286" t="s">
        <v>41</v>
      </c>
      <c r="AJ109" s="293" t="s">
        <v>39</v>
      </c>
      <c r="AK109" s="286" t="s">
        <v>41</v>
      </c>
      <c r="AL109" s="293" t="s">
        <v>39</v>
      </c>
      <c r="AM109" s="286" t="s">
        <v>41</v>
      </c>
      <c r="AN109" s="300" t="s">
        <v>39</v>
      </c>
      <c r="AO109" s="286" t="s">
        <v>40</v>
      </c>
      <c r="AP109" s="293" t="s">
        <v>39</v>
      </c>
      <c r="AQ109" s="286" t="s">
        <v>40</v>
      </c>
      <c r="AR109" s="293" t="s">
        <v>39</v>
      </c>
      <c r="AS109" s="286" t="s">
        <v>40</v>
      </c>
      <c r="AT109" s="293" t="s">
        <v>39</v>
      </c>
      <c r="AU109" s="286" t="s">
        <v>40</v>
      </c>
      <c r="AV109" s="293" t="s">
        <v>39</v>
      </c>
      <c r="AW109" s="293" t="s">
        <v>39</v>
      </c>
      <c r="AX109" s="293" t="s">
        <v>39</v>
      </c>
      <c r="AY109" s="293" t="s">
        <v>39</v>
      </c>
      <c r="AZ109" s="302" t="s">
        <v>39</v>
      </c>
      <c r="BA109" s="303" t="s">
        <v>39</v>
      </c>
      <c r="BB109" s="303" t="s">
        <v>39</v>
      </c>
      <c r="BC109" s="303" t="s">
        <v>39</v>
      </c>
      <c r="BD109" s="303" t="s">
        <v>39</v>
      </c>
      <c r="BE109" s="390" t="s">
        <v>39</v>
      </c>
      <c r="BF109" s="304" t="s">
        <v>39</v>
      </c>
      <c r="BG109" s="305" t="s">
        <v>40</v>
      </c>
      <c r="BH109" s="306" t="s">
        <v>41</v>
      </c>
      <c r="BI109" s="304" t="s">
        <v>39</v>
      </c>
      <c r="BJ109" s="305" t="s">
        <v>40</v>
      </c>
      <c r="BK109" s="306" t="s">
        <v>41</v>
      </c>
      <c r="BL109" s="304" t="s">
        <v>39</v>
      </c>
      <c r="BM109" s="305" t="s">
        <v>40</v>
      </c>
      <c r="BN109" s="306" t="s">
        <v>41</v>
      </c>
      <c r="BO109" s="304" t="s">
        <v>39</v>
      </c>
      <c r="BP109" s="305" t="s">
        <v>40</v>
      </c>
      <c r="BQ109" s="306" t="s">
        <v>41</v>
      </c>
      <c r="BR109" s="304" t="s">
        <v>39</v>
      </c>
      <c r="BS109" s="305" t="s">
        <v>40</v>
      </c>
      <c r="BT109" s="306" t="s">
        <v>41</v>
      </c>
      <c r="BU109" s="304" t="s">
        <v>39</v>
      </c>
      <c r="BV109" s="305" t="s">
        <v>40</v>
      </c>
      <c r="BW109" s="306" t="s">
        <v>41</v>
      </c>
      <c r="BX109" s="304" t="s">
        <v>39</v>
      </c>
      <c r="BY109" s="305" t="s">
        <v>40</v>
      </c>
      <c r="BZ109" s="306" t="s">
        <v>41</v>
      </c>
      <c r="CA109" s="304" t="s">
        <v>39</v>
      </c>
      <c r="CB109" s="305" t="s">
        <v>40</v>
      </c>
      <c r="CC109" s="306" t="s">
        <v>41</v>
      </c>
      <c r="CD109" s="395" t="s">
        <v>39</v>
      </c>
      <c r="CE109" s="303" t="s">
        <v>39</v>
      </c>
      <c r="CF109" s="303" t="s">
        <v>39</v>
      </c>
      <c r="CG109" s="303" t="s">
        <v>39</v>
      </c>
      <c r="CH109" s="303" t="s">
        <v>39</v>
      </c>
      <c r="CI109" s="307" t="s">
        <v>39</v>
      </c>
      <c r="CJ109" s="395" t="s">
        <v>39</v>
      </c>
      <c r="CK109" s="414" t="s">
        <v>39</v>
      </c>
      <c r="CL109" s="414" t="s">
        <v>39</v>
      </c>
      <c r="CM109" s="414" t="s">
        <v>39</v>
      </c>
      <c r="CN109" s="414" t="s">
        <v>39</v>
      </c>
      <c r="CO109" s="307" t="s">
        <v>39</v>
      </c>
      <c r="CP109" s="395" t="s">
        <v>39</v>
      </c>
      <c r="CQ109" s="414" t="s">
        <v>39</v>
      </c>
      <c r="CR109" s="414" t="s">
        <v>39</v>
      </c>
      <c r="CS109" s="414" t="s">
        <v>39</v>
      </c>
      <c r="CT109" s="414" t="s">
        <v>39</v>
      </c>
      <c r="CU109" s="307" t="s">
        <v>39</v>
      </c>
      <c r="CV109" s="395" t="s">
        <v>39</v>
      </c>
      <c r="CW109" s="414" t="s">
        <v>39</v>
      </c>
      <c r="CX109" s="414" t="s">
        <v>39</v>
      </c>
      <c r="CY109" s="414" t="s">
        <v>39</v>
      </c>
      <c r="CZ109" s="414" t="s">
        <v>39</v>
      </c>
      <c r="DA109" s="307" t="s">
        <v>39</v>
      </c>
      <c r="DB109" s="464"/>
    </row>
    <row r="110" spans="1:108">
      <c r="A110" s="238">
        <v>1</v>
      </c>
      <c r="B110" s="239">
        <f>+B75+B40+B4</f>
        <v>0</v>
      </c>
      <c r="C110" s="43">
        <f t="shared" ref="C110:D110" si="70">+C75+C40+C4</f>
        <v>0</v>
      </c>
      <c r="D110" s="43">
        <f t="shared" si="70"/>
        <v>0</v>
      </c>
      <c r="E110" s="43">
        <f t="shared" ref="E110:F110" si="71">+E75+E40+E4</f>
        <v>0</v>
      </c>
      <c r="F110" s="283">
        <f t="shared" si="71"/>
        <v>0</v>
      </c>
      <c r="G110" s="329">
        <f>+G40+G4+G75</f>
        <v>0</v>
      </c>
      <c r="H110" s="335">
        <f t="shared" ref="H110:CC110" si="72">+H40+H4+H75</f>
        <v>0</v>
      </c>
      <c r="I110" s="335">
        <f t="shared" si="72"/>
        <v>0</v>
      </c>
      <c r="J110" s="335">
        <f t="shared" si="72"/>
        <v>0</v>
      </c>
      <c r="K110" s="335">
        <f t="shared" si="72"/>
        <v>0</v>
      </c>
      <c r="L110" s="338">
        <f t="shared" ref="L110" si="73">+L40+L4+L75</f>
        <v>0</v>
      </c>
      <c r="M110" s="329">
        <f t="shared" si="72"/>
        <v>0</v>
      </c>
      <c r="N110" s="335">
        <f t="shared" si="72"/>
        <v>0</v>
      </c>
      <c r="O110" s="335">
        <f t="shared" si="72"/>
        <v>0</v>
      </c>
      <c r="P110" s="335">
        <f t="shared" ref="P110:Q110" si="74">+P40+P4+P75</f>
        <v>0</v>
      </c>
      <c r="Q110" s="335">
        <f t="shared" si="74"/>
        <v>0</v>
      </c>
      <c r="R110" s="339">
        <f t="shared" si="72"/>
        <v>0</v>
      </c>
      <c r="S110" s="320">
        <f t="shared" si="72"/>
        <v>0</v>
      </c>
      <c r="T110" s="316">
        <f t="shared" si="72"/>
        <v>0</v>
      </c>
      <c r="U110" s="316">
        <f t="shared" ref="U110:Y110" si="75">+U40+U4+U75</f>
        <v>0</v>
      </c>
      <c r="V110" s="316">
        <f t="shared" ref="V110" si="76">+V40+V4+V75</f>
        <v>0</v>
      </c>
      <c r="W110" s="316">
        <f t="shared" si="75"/>
        <v>0</v>
      </c>
      <c r="X110" s="321">
        <f t="shared" si="75"/>
        <v>0</v>
      </c>
      <c r="Y110" s="315">
        <f t="shared" si="75"/>
        <v>0</v>
      </c>
      <c r="Z110" s="316">
        <f t="shared" si="72"/>
        <v>0</v>
      </c>
      <c r="AA110" s="316">
        <f t="shared" si="72"/>
        <v>0</v>
      </c>
      <c r="AB110" s="316">
        <f t="shared" si="72"/>
        <v>0</v>
      </c>
      <c r="AC110" s="319">
        <f t="shared" si="72"/>
        <v>0</v>
      </c>
      <c r="AD110" s="315">
        <f t="shared" ref="AD110:AO110" si="77">+AD40+AD4+AD75</f>
        <v>0</v>
      </c>
      <c r="AE110" s="316">
        <f t="shared" si="77"/>
        <v>0</v>
      </c>
      <c r="AF110" s="316">
        <f t="shared" si="77"/>
        <v>0</v>
      </c>
      <c r="AG110" s="316">
        <f t="shared" si="77"/>
        <v>0</v>
      </c>
      <c r="AH110" s="316">
        <f t="shared" si="77"/>
        <v>0</v>
      </c>
      <c r="AI110" s="316">
        <f t="shared" si="77"/>
        <v>0</v>
      </c>
      <c r="AJ110" s="316">
        <f t="shared" si="77"/>
        <v>0</v>
      </c>
      <c r="AK110" s="316">
        <f t="shared" si="77"/>
        <v>0</v>
      </c>
      <c r="AL110" s="316">
        <f t="shared" si="77"/>
        <v>0</v>
      </c>
      <c r="AM110" s="319">
        <f t="shared" si="77"/>
        <v>0</v>
      </c>
      <c r="AN110" s="315">
        <f t="shared" si="77"/>
        <v>0</v>
      </c>
      <c r="AO110" s="316">
        <f t="shared" si="77"/>
        <v>0</v>
      </c>
      <c r="AP110" s="316">
        <f t="shared" si="72"/>
        <v>0</v>
      </c>
      <c r="AQ110" s="316">
        <f t="shared" si="72"/>
        <v>0</v>
      </c>
      <c r="AR110" s="316">
        <f t="shared" si="72"/>
        <v>0</v>
      </c>
      <c r="AS110" s="316">
        <f t="shared" si="72"/>
        <v>0</v>
      </c>
      <c r="AT110" s="316">
        <f t="shared" si="72"/>
        <v>0</v>
      </c>
      <c r="AU110" s="319">
        <f t="shared" si="72"/>
        <v>0</v>
      </c>
      <c r="AV110" s="320">
        <f t="shared" si="72"/>
        <v>0</v>
      </c>
      <c r="AW110" s="316">
        <f t="shared" si="72"/>
        <v>0</v>
      </c>
      <c r="AX110" s="316">
        <f t="shared" si="72"/>
        <v>0</v>
      </c>
      <c r="AY110" s="321">
        <f t="shared" si="72"/>
        <v>0</v>
      </c>
      <c r="AZ110" s="315">
        <f t="shared" ref="AZ110:BN110" si="78">+AZ40+AZ4+AZ75</f>
        <v>0</v>
      </c>
      <c r="BA110" s="316">
        <f t="shared" si="78"/>
        <v>0</v>
      </c>
      <c r="BB110" s="316">
        <f t="shared" si="78"/>
        <v>0</v>
      </c>
      <c r="BC110" s="316">
        <f t="shared" si="78"/>
        <v>0</v>
      </c>
      <c r="BD110" s="316">
        <f t="shared" si="78"/>
        <v>0</v>
      </c>
      <c r="BE110" s="321">
        <f t="shared" si="78"/>
        <v>0</v>
      </c>
      <c r="BF110" s="329">
        <f t="shared" si="78"/>
        <v>0</v>
      </c>
      <c r="BG110" s="335">
        <f t="shared" si="78"/>
        <v>0</v>
      </c>
      <c r="BH110" s="335">
        <f t="shared" si="78"/>
        <v>0</v>
      </c>
      <c r="BI110" s="335">
        <f t="shared" si="78"/>
        <v>0</v>
      </c>
      <c r="BJ110" s="335">
        <f t="shared" si="78"/>
        <v>0</v>
      </c>
      <c r="BK110" s="335">
        <f t="shared" si="78"/>
        <v>0</v>
      </c>
      <c r="BL110" s="335">
        <f t="shared" si="78"/>
        <v>0</v>
      </c>
      <c r="BM110" s="335">
        <f t="shared" si="78"/>
        <v>0</v>
      </c>
      <c r="BN110" s="335">
        <f t="shared" si="78"/>
        <v>0</v>
      </c>
      <c r="BO110" s="335">
        <f>+BO40+BO4+BO75</f>
        <v>0</v>
      </c>
      <c r="BP110" s="335">
        <f t="shared" ref="BP110:BQ110" si="79">+BP40+BP4+BP75</f>
        <v>0</v>
      </c>
      <c r="BQ110" s="335">
        <f t="shared" si="79"/>
        <v>0</v>
      </c>
      <c r="BR110" s="335">
        <f t="shared" si="72"/>
        <v>0</v>
      </c>
      <c r="BS110" s="335">
        <f t="shared" si="72"/>
        <v>0</v>
      </c>
      <c r="BT110" s="335">
        <f t="shared" si="72"/>
        <v>0</v>
      </c>
      <c r="BU110" s="335">
        <f t="shared" si="72"/>
        <v>0</v>
      </c>
      <c r="BV110" s="335">
        <f t="shared" si="72"/>
        <v>0</v>
      </c>
      <c r="BW110" s="335">
        <f t="shared" si="72"/>
        <v>0</v>
      </c>
      <c r="BX110" s="335">
        <f t="shared" si="72"/>
        <v>0</v>
      </c>
      <c r="BY110" s="335">
        <f t="shared" si="72"/>
        <v>0</v>
      </c>
      <c r="BZ110" s="335">
        <f t="shared" si="72"/>
        <v>0</v>
      </c>
      <c r="CA110" s="335">
        <f>+CA40+CA4+CA75</f>
        <v>0</v>
      </c>
      <c r="CB110" s="335">
        <f t="shared" si="72"/>
        <v>0</v>
      </c>
      <c r="CC110" s="339">
        <f t="shared" si="72"/>
        <v>0</v>
      </c>
      <c r="CD110" s="320">
        <f t="shared" ref="CD110:CI110" si="80">+CD40+CD4+CD75</f>
        <v>0</v>
      </c>
      <c r="CE110" s="316">
        <f t="shared" si="80"/>
        <v>0</v>
      </c>
      <c r="CF110" s="316">
        <f t="shared" si="80"/>
        <v>0</v>
      </c>
      <c r="CG110" s="316">
        <f t="shared" si="80"/>
        <v>0</v>
      </c>
      <c r="CH110" s="316">
        <f t="shared" si="80"/>
        <v>0</v>
      </c>
      <c r="CI110" s="319">
        <f t="shared" si="80"/>
        <v>0</v>
      </c>
      <c r="CJ110" s="320">
        <f t="shared" ref="CJ110:CO110" si="81">+CJ40+CJ4+CJ75</f>
        <v>0</v>
      </c>
      <c r="CK110" s="316">
        <f t="shared" si="81"/>
        <v>0</v>
      </c>
      <c r="CL110" s="316">
        <f t="shared" si="81"/>
        <v>0</v>
      </c>
      <c r="CM110" s="316">
        <f t="shared" si="81"/>
        <v>0</v>
      </c>
      <c r="CN110" s="316">
        <f t="shared" si="81"/>
        <v>0</v>
      </c>
      <c r="CO110" s="319">
        <f t="shared" si="81"/>
        <v>0</v>
      </c>
      <c r="CP110" s="320">
        <f t="shared" ref="CP110:CU110" si="82">+CP40+CP4+CP75</f>
        <v>0</v>
      </c>
      <c r="CQ110" s="316">
        <f t="shared" si="82"/>
        <v>0</v>
      </c>
      <c r="CR110" s="316">
        <f t="shared" si="82"/>
        <v>0</v>
      </c>
      <c r="CS110" s="316">
        <f t="shared" si="82"/>
        <v>0</v>
      </c>
      <c r="CT110" s="316">
        <f t="shared" si="82"/>
        <v>0</v>
      </c>
      <c r="CU110" s="319">
        <f t="shared" si="82"/>
        <v>0</v>
      </c>
      <c r="CV110" s="320">
        <f t="shared" ref="CV110:DA110" si="83">+CV40+CV4+CV75</f>
        <v>0</v>
      </c>
      <c r="CW110" s="316">
        <f t="shared" si="83"/>
        <v>0</v>
      </c>
      <c r="CX110" s="316">
        <f t="shared" si="83"/>
        <v>0</v>
      </c>
      <c r="CY110" s="316">
        <f t="shared" si="83"/>
        <v>0</v>
      </c>
      <c r="CZ110" s="316">
        <f t="shared" si="83"/>
        <v>0</v>
      </c>
      <c r="DA110" s="319">
        <f t="shared" si="83"/>
        <v>0</v>
      </c>
      <c r="DB110" s="324">
        <f>SUM(B110:DA110)</f>
        <v>0</v>
      </c>
      <c r="DD110">
        <f>+DB110-BUS!HG115</f>
        <v>0</v>
      </c>
    </row>
    <row r="111" spans="1:108">
      <c r="A111" s="238">
        <v>2</v>
      </c>
      <c r="B111" s="239">
        <f t="shared" ref="B111:D111" si="84">+B76+B41+B5</f>
        <v>0</v>
      </c>
      <c r="C111" s="43">
        <f t="shared" si="84"/>
        <v>0</v>
      </c>
      <c r="D111" s="43">
        <f t="shared" si="84"/>
        <v>0</v>
      </c>
      <c r="E111" s="43">
        <f t="shared" ref="E111:F111" si="85">+E76+E41+E5</f>
        <v>0</v>
      </c>
      <c r="F111" s="283">
        <f t="shared" si="85"/>
        <v>0</v>
      </c>
      <c r="G111" s="315">
        <f t="shared" ref="G111:AY111" si="86">+G41+G5+G76</f>
        <v>0</v>
      </c>
      <c r="H111" s="316">
        <f t="shared" si="86"/>
        <v>0</v>
      </c>
      <c r="I111" s="316">
        <f t="shared" si="86"/>
        <v>0</v>
      </c>
      <c r="J111" s="316">
        <f t="shared" si="86"/>
        <v>0</v>
      </c>
      <c r="K111" s="316">
        <f t="shared" si="86"/>
        <v>0</v>
      </c>
      <c r="L111" s="321">
        <f t="shared" ref="L111" si="87">+L41+L5+L76</f>
        <v>0</v>
      </c>
      <c r="M111" s="315">
        <f t="shared" si="86"/>
        <v>0</v>
      </c>
      <c r="N111" s="316">
        <f t="shared" si="86"/>
        <v>0</v>
      </c>
      <c r="O111" s="316">
        <f t="shared" si="86"/>
        <v>0</v>
      </c>
      <c r="P111" s="316">
        <f t="shared" ref="P111:Q111" si="88">+P41+P5+P76</f>
        <v>0</v>
      </c>
      <c r="Q111" s="316">
        <f t="shared" si="88"/>
        <v>0</v>
      </c>
      <c r="R111" s="319">
        <f t="shared" si="86"/>
        <v>0</v>
      </c>
      <c r="S111" s="320">
        <f t="shared" si="86"/>
        <v>0</v>
      </c>
      <c r="T111" s="316">
        <f t="shared" si="86"/>
        <v>0</v>
      </c>
      <c r="U111" s="316">
        <f t="shared" si="86"/>
        <v>0</v>
      </c>
      <c r="V111" s="316">
        <f t="shared" ref="V111" si="89">+V41+V5+V76</f>
        <v>0</v>
      </c>
      <c r="W111" s="316">
        <f t="shared" si="86"/>
        <v>0</v>
      </c>
      <c r="X111" s="321">
        <f t="shared" si="86"/>
        <v>0</v>
      </c>
      <c r="Y111" s="315">
        <f t="shared" si="86"/>
        <v>0</v>
      </c>
      <c r="Z111" s="316">
        <f t="shared" si="86"/>
        <v>0</v>
      </c>
      <c r="AA111" s="316">
        <f t="shared" si="86"/>
        <v>0</v>
      </c>
      <c r="AB111" s="316">
        <f t="shared" si="86"/>
        <v>0</v>
      </c>
      <c r="AC111" s="319">
        <f t="shared" si="86"/>
        <v>0</v>
      </c>
      <c r="AD111" s="315">
        <f t="shared" si="86"/>
        <v>0</v>
      </c>
      <c r="AE111" s="316">
        <f t="shared" si="86"/>
        <v>0</v>
      </c>
      <c r="AF111" s="316">
        <f t="shared" si="86"/>
        <v>0</v>
      </c>
      <c r="AG111" s="316">
        <f t="shared" si="86"/>
        <v>0</v>
      </c>
      <c r="AH111" s="316">
        <f t="shared" si="86"/>
        <v>0</v>
      </c>
      <c r="AI111" s="316">
        <f t="shared" si="86"/>
        <v>0</v>
      </c>
      <c r="AJ111" s="316">
        <f t="shared" si="86"/>
        <v>0</v>
      </c>
      <c r="AK111" s="316">
        <f t="shared" si="86"/>
        <v>0</v>
      </c>
      <c r="AL111" s="316">
        <f t="shared" si="86"/>
        <v>0</v>
      </c>
      <c r="AM111" s="319">
        <f t="shared" si="86"/>
        <v>0</v>
      </c>
      <c r="AN111" s="315">
        <f t="shared" si="86"/>
        <v>0</v>
      </c>
      <c r="AO111" s="316">
        <f t="shared" si="86"/>
        <v>0</v>
      </c>
      <c r="AP111" s="316">
        <f t="shared" si="86"/>
        <v>0</v>
      </c>
      <c r="AQ111" s="316">
        <f t="shared" si="86"/>
        <v>0</v>
      </c>
      <c r="AR111" s="316">
        <f t="shared" si="86"/>
        <v>0</v>
      </c>
      <c r="AS111" s="316">
        <f t="shared" si="86"/>
        <v>0</v>
      </c>
      <c r="AT111" s="316">
        <f t="shared" si="86"/>
        <v>0</v>
      </c>
      <c r="AU111" s="319">
        <f t="shared" si="86"/>
        <v>0</v>
      </c>
      <c r="AV111" s="320">
        <f t="shared" si="86"/>
        <v>0</v>
      </c>
      <c r="AW111" s="316">
        <f t="shared" si="86"/>
        <v>0</v>
      </c>
      <c r="AX111" s="316">
        <f t="shared" si="86"/>
        <v>0</v>
      </c>
      <c r="AY111" s="321">
        <f t="shared" si="86"/>
        <v>0</v>
      </c>
      <c r="AZ111" s="315">
        <f t="shared" ref="AZ111:CC111" si="90">+AZ41+AZ5+AZ76</f>
        <v>0</v>
      </c>
      <c r="BA111" s="316">
        <f t="shared" si="90"/>
        <v>0</v>
      </c>
      <c r="BB111" s="316">
        <f t="shared" si="90"/>
        <v>0</v>
      </c>
      <c r="BC111" s="316">
        <f t="shared" si="90"/>
        <v>0</v>
      </c>
      <c r="BD111" s="316">
        <f t="shared" si="90"/>
        <v>0</v>
      </c>
      <c r="BE111" s="321">
        <f t="shared" si="90"/>
        <v>0</v>
      </c>
      <c r="BF111" s="315">
        <f t="shared" ref="BF111:BQ111" si="91">+BF41+BF5+BF76</f>
        <v>0</v>
      </c>
      <c r="BG111" s="316">
        <f t="shared" si="91"/>
        <v>0</v>
      </c>
      <c r="BH111" s="316">
        <f t="shared" si="91"/>
        <v>0</v>
      </c>
      <c r="BI111" s="316">
        <f t="shared" si="91"/>
        <v>0</v>
      </c>
      <c r="BJ111" s="316">
        <f t="shared" si="91"/>
        <v>0</v>
      </c>
      <c r="BK111" s="316">
        <f t="shared" si="91"/>
        <v>0</v>
      </c>
      <c r="BL111" s="316">
        <f t="shared" si="91"/>
        <v>0</v>
      </c>
      <c r="BM111" s="316">
        <f t="shared" si="91"/>
        <v>0</v>
      </c>
      <c r="BN111" s="316">
        <f t="shared" si="91"/>
        <v>0</v>
      </c>
      <c r="BO111" s="316">
        <f t="shared" si="91"/>
        <v>0</v>
      </c>
      <c r="BP111" s="316">
        <f t="shared" si="91"/>
        <v>0</v>
      </c>
      <c r="BQ111" s="316">
        <f t="shared" si="91"/>
        <v>0</v>
      </c>
      <c r="BR111" s="316">
        <f t="shared" si="90"/>
        <v>0</v>
      </c>
      <c r="BS111" s="316">
        <f t="shared" si="90"/>
        <v>0</v>
      </c>
      <c r="BT111" s="316">
        <f t="shared" si="90"/>
        <v>0</v>
      </c>
      <c r="BU111" s="316">
        <f t="shared" si="90"/>
        <v>0</v>
      </c>
      <c r="BV111" s="316">
        <f t="shared" si="90"/>
        <v>0</v>
      </c>
      <c r="BW111" s="316">
        <f t="shared" si="90"/>
        <v>0</v>
      </c>
      <c r="BX111" s="316">
        <f t="shared" si="90"/>
        <v>0</v>
      </c>
      <c r="BY111" s="316">
        <f t="shared" si="90"/>
        <v>0</v>
      </c>
      <c r="BZ111" s="316">
        <f t="shared" si="90"/>
        <v>0</v>
      </c>
      <c r="CA111" s="316">
        <f t="shared" si="90"/>
        <v>0</v>
      </c>
      <c r="CB111" s="316">
        <f t="shared" si="90"/>
        <v>0</v>
      </c>
      <c r="CC111" s="319">
        <f t="shared" si="90"/>
        <v>0</v>
      </c>
      <c r="CD111" s="320">
        <f t="shared" ref="CD111:CI111" si="92">+CD41+CD5+CD76</f>
        <v>0</v>
      </c>
      <c r="CE111" s="316">
        <f t="shared" si="92"/>
        <v>0</v>
      </c>
      <c r="CF111" s="316">
        <f t="shared" si="92"/>
        <v>0</v>
      </c>
      <c r="CG111" s="316">
        <f t="shared" si="92"/>
        <v>0</v>
      </c>
      <c r="CH111" s="316">
        <f t="shared" si="92"/>
        <v>0</v>
      </c>
      <c r="CI111" s="319">
        <f t="shared" si="92"/>
        <v>0</v>
      </c>
      <c r="CJ111" s="320">
        <f t="shared" ref="CJ111:CO111" si="93">+CJ41+CJ5+CJ76</f>
        <v>0</v>
      </c>
      <c r="CK111" s="316">
        <f t="shared" si="93"/>
        <v>0</v>
      </c>
      <c r="CL111" s="316">
        <f t="shared" si="93"/>
        <v>0</v>
      </c>
      <c r="CM111" s="316">
        <f t="shared" si="93"/>
        <v>0</v>
      </c>
      <c r="CN111" s="316">
        <f t="shared" si="93"/>
        <v>0</v>
      </c>
      <c r="CO111" s="319">
        <f t="shared" si="93"/>
        <v>0</v>
      </c>
      <c r="CP111" s="320">
        <f t="shared" ref="CP111:CU111" si="94">+CP41+CP5+CP76</f>
        <v>0</v>
      </c>
      <c r="CQ111" s="316">
        <f t="shared" si="94"/>
        <v>0</v>
      </c>
      <c r="CR111" s="316">
        <f t="shared" si="94"/>
        <v>0</v>
      </c>
      <c r="CS111" s="316">
        <f t="shared" si="94"/>
        <v>0</v>
      </c>
      <c r="CT111" s="316">
        <f t="shared" si="94"/>
        <v>0</v>
      </c>
      <c r="CU111" s="319">
        <f t="shared" si="94"/>
        <v>0</v>
      </c>
      <c r="CV111" s="320">
        <f t="shared" ref="CV111:DA111" si="95">+CV41+CV5+CV76</f>
        <v>0</v>
      </c>
      <c r="CW111" s="316">
        <f t="shared" si="95"/>
        <v>0</v>
      </c>
      <c r="CX111" s="316">
        <f t="shared" si="95"/>
        <v>0</v>
      </c>
      <c r="CY111" s="316">
        <f t="shared" si="95"/>
        <v>0</v>
      </c>
      <c r="CZ111" s="316">
        <f t="shared" si="95"/>
        <v>0</v>
      </c>
      <c r="DA111" s="319">
        <f t="shared" si="95"/>
        <v>0</v>
      </c>
      <c r="DB111" s="324">
        <f t="shared" ref="DB111:DB140" si="96">SUM(B111:DA111)</f>
        <v>0</v>
      </c>
      <c r="DD111">
        <f>+DB111-BUS!HG116</f>
        <v>0</v>
      </c>
    </row>
    <row r="112" spans="1:108">
      <c r="A112" s="238">
        <v>3</v>
      </c>
      <c r="B112" s="239">
        <f t="shared" ref="B112:D112" si="97">+B77+B42+B6</f>
        <v>0</v>
      </c>
      <c r="C112" s="43">
        <f t="shared" si="97"/>
        <v>0</v>
      </c>
      <c r="D112" s="43">
        <f t="shared" si="97"/>
        <v>0</v>
      </c>
      <c r="E112" s="43">
        <f t="shared" ref="E112:F112" si="98">+E77+E42+E6</f>
        <v>0</v>
      </c>
      <c r="F112" s="283">
        <f t="shared" si="98"/>
        <v>0</v>
      </c>
      <c r="G112" s="315">
        <f t="shared" ref="G112:AY112" si="99">+G42+G6+G77</f>
        <v>0</v>
      </c>
      <c r="H112" s="316">
        <f t="shared" si="99"/>
        <v>0</v>
      </c>
      <c r="I112" s="316">
        <f t="shared" si="99"/>
        <v>0</v>
      </c>
      <c r="J112" s="316">
        <f t="shared" si="99"/>
        <v>0</v>
      </c>
      <c r="K112" s="316">
        <f t="shared" si="99"/>
        <v>0</v>
      </c>
      <c r="L112" s="321">
        <f t="shared" ref="L112" si="100">+L42+L6+L77</f>
        <v>0</v>
      </c>
      <c r="M112" s="315">
        <f t="shared" si="99"/>
        <v>0</v>
      </c>
      <c r="N112" s="316">
        <f t="shared" si="99"/>
        <v>0</v>
      </c>
      <c r="O112" s="316">
        <f t="shared" si="99"/>
        <v>0</v>
      </c>
      <c r="P112" s="316">
        <f t="shared" ref="P112:Q112" si="101">+P42+P6+P77</f>
        <v>0</v>
      </c>
      <c r="Q112" s="316">
        <f t="shared" si="101"/>
        <v>0</v>
      </c>
      <c r="R112" s="319">
        <f t="shared" si="99"/>
        <v>0</v>
      </c>
      <c r="S112" s="320">
        <f t="shared" si="99"/>
        <v>0</v>
      </c>
      <c r="T112" s="316">
        <f t="shared" si="99"/>
        <v>0</v>
      </c>
      <c r="U112" s="316">
        <f t="shared" si="99"/>
        <v>0</v>
      </c>
      <c r="V112" s="316">
        <f t="shared" ref="V112" si="102">+V42+V6+V77</f>
        <v>0</v>
      </c>
      <c r="W112" s="316">
        <f t="shared" si="99"/>
        <v>0</v>
      </c>
      <c r="X112" s="321">
        <f t="shared" si="99"/>
        <v>0</v>
      </c>
      <c r="Y112" s="315">
        <f t="shared" si="99"/>
        <v>0</v>
      </c>
      <c r="Z112" s="316">
        <f t="shared" si="99"/>
        <v>0</v>
      </c>
      <c r="AA112" s="316">
        <f t="shared" si="99"/>
        <v>0</v>
      </c>
      <c r="AB112" s="316">
        <f t="shared" si="99"/>
        <v>0</v>
      </c>
      <c r="AC112" s="319">
        <f t="shared" si="99"/>
        <v>0</v>
      </c>
      <c r="AD112" s="315">
        <f t="shared" si="99"/>
        <v>0</v>
      </c>
      <c r="AE112" s="316">
        <f t="shared" si="99"/>
        <v>0</v>
      </c>
      <c r="AF112" s="316">
        <f t="shared" si="99"/>
        <v>0</v>
      </c>
      <c r="AG112" s="316">
        <f t="shared" si="99"/>
        <v>0</v>
      </c>
      <c r="AH112" s="316">
        <f t="shared" si="99"/>
        <v>0</v>
      </c>
      <c r="AI112" s="316">
        <f t="shared" si="99"/>
        <v>0</v>
      </c>
      <c r="AJ112" s="316">
        <f t="shared" si="99"/>
        <v>0</v>
      </c>
      <c r="AK112" s="316">
        <f t="shared" si="99"/>
        <v>0</v>
      </c>
      <c r="AL112" s="316">
        <f t="shared" si="99"/>
        <v>0</v>
      </c>
      <c r="AM112" s="319">
        <f t="shared" si="99"/>
        <v>0</v>
      </c>
      <c r="AN112" s="315">
        <f t="shared" si="99"/>
        <v>0</v>
      </c>
      <c r="AO112" s="316">
        <f t="shared" si="99"/>
        <v>0</v>
      </c>
      <c r="AP112" s="316">
        <f t="shared" si="99"/>
        <v>0</v>
      </c>
      <c r="AQ112" s="316">
        <f t="shared" si="99"/>
        <v>0</v>
      </c>
      <c r="AR112" s="316">
        <f t="shared" si="99"/>
        <v>0</v>
      </c>
      <c r="AS112" s="316">
        <f t="shared" si="99"/>
        <v>0</v>
      </c>
      <c r="AT112" s="316">
        <f t="shared" si="99"/>
        <v>0</v>
      </c>
      <c r="AU112" s="319">
        <f t="shared" si="99"/>
        <v>0</v>
      </c>
      <c r="AV112" s="320">
        <f t="shared" si="99"/>
        <v>0</v>
      </c>
      <c r="AW112" s="316">
        <f t="shared" si="99"/>
        <v>0</v>
      </c>
      <c r="AX112" s="316">
        <f t="shared" si="99"/>
        <v>0</v>
      </c>
      <c r="AY112" s="321">
        <f t="shared" si="99"/>
        <v>0</v>
      </c>
      <c r="AZ112" s="315">
        <f t="shared" ref="AZ112:CC112" si="103">+AZ42+AZ6+AZ77</f>
        <v>0</v>
      </c>
      <c r="BA112" s="316">
        <f t="shared" si="103"/>
        <v>0</v>
      </c>
      <c r="BB112" s="316">
        <f t="shared" si="103"/>
        <v>0</v>
      </c>
      <c r="BC112" s="316">
        <f t="shared" si="103"/>
        <v>0</v>
      </c>
      <c r="BD112" s="316">
        <f t="shared" si="103"/>
        <v>0</v>
      </c>
      <c r="BE112" s="321">
        <f t="shared" si="103"/>
        <v>0</v>
      </c>
      <c r="BF112" s="315">
        <f t="shared" ref="BF112:BQ112" si="104">+BF42+BF6+BF77</f>
        <v>0</v>
      </c>
      <c r="BG112" s="316">
        <f t="shared" si="104"/>
        <v>0</v>
      </c>
      <c r="BH112" s="316">
        <f t="shared" si="104"/>
        <v>0</v>
      </c>
      <c r="BI112" s="316">
        <f t="shared" si="104"/>
        <v>0</v>
      </c>
      <c r="BJ112" s="316">
        <f t="shared" si="104"/>
        <v>0</v>
      </c>
      <c r="BK112" s="316">
        <f t="shared" si="104"/>
        <v>0</v>
      </c>
      <c r="BL112" s="316">
        <f t="shared" si="104"/>
        <v>0</v>
      </c>
      <c r="BM112" s="316">
        <f t="shared" si="104"/>
        <v>0</v>
      </c>
      <c r="BN112" s="316">
        <f t="shared" si="104"/>
        <v>0</v>
      </c>
      <c r="BO112" s="316">
        <f t="shared" si="104"/>
        <v>0</v>
      </c>
      <c r="BP112" s="316">
        <f t="shared" si="104"/>
        <v>0</v>
      </c>
      <c r="BQ112" s="316">
        <f t="shared" si="104"/>
        <v>0</v>
      </c>
      <c r="BR112" s="316">
        <f t="shared" si="103"/>
        <v>0</v>
      </c>
      <c r="BS112" s="316">
        <f t="shared" si="103"/>
        <v>0</v>
      </c>
      <c r="BT112" s="316">
        <f t="shared" si="103"/>
        <v>0</v>
      </c>
      <c r="BU112" s="316">
        <f t="shared" si="103"/>
        <v>0</v>
      </c>
      <c r="BV112" s="316">
        <f t="shared" si="103"/>
        <v>0</v>
      </c>
      <c r="BW112" s="316">
        <f t="shared" si="103"/>
        <v>0</v>
      </c>
      <c r="BX112" s="316">
        <f t="shared" si="103"/>
        <v>0</v>
      </c>
      <c r="BY112" s="316">
        <f t="shared" si="103"/>
        <v>0</v>
      </c>
      <c r="BZ112" s="316">
        <f t="shared" si="103"/>
        <v>0</v>
      </c>
      <c r="CA112" s="316">
        <f t="shared" si="103"/>
        <v>0</v>
      </c>
      <c r="CB112" s="316">
        <f t="shared" si="103"/>
        <v>0</v>
      </c>
      <c r="CC112" s="319">
        <f t="shared" si="103"/>
        <v>0</v>
      </c>
      <c r="CD112" s="320">
        <f t="shared" ref="CD112:CI112" si="105">+CD42+CD6+CD77</f>
        <v>0</v>
      </c>
      <c r="CE112" s="316">
        <f t="shared" si="105"/>
        <v>0</v>
      </c>
      <c r="CF112" s="316">
        <f t="shared" si="105"/>
        <v>0</v>
      </c>
      <c r="CG112" s="316">
        <f t="shared" si="105"/>
        <v>0</v>
      </c>
      <c r="CH112" s="316">
        <f t="shared" si="105"/>
        <v>0</v>
      </c>
      <c r="CI112" s="319">
        <f t="shared" si="105"/>
        <v>0</v>
      </c>
      <c r="CJ112" s="320">
        <f t="shared" ref="CJ112:CO112" si="106">+CJ42+CJ6+CJ77</f>
        <v>0</v>
      </c>
      <c r="CK112" s="316">
        <f t="shared" si="106"/>
        <v>0</v>
      </c>
      <c r="CL112" s="316">
        <f t="shared" si="106"/>
        <v>0</v>
      </c>
      <c r="CM112" s="316">
        <f t="shared" si="106"/>
        <v>0</v>
      </c>
      <c r="CN112" s="316">
        <f t="shared" si="106"/>
        <v>0</v>
      </c>
      <c r="CO112" s="319">
        <f t="shared" si="106"/>
        <v>0</v>
      </c>
      <c r="CP112" s="320">
        <f t="shared" ref="CP112:CU112" si="107">+CP42+CP6+CP77</f>
        <v>0</v>
      </c>
      <c r="CQ112" s="316">
        <f t="shared" si="107"/>
        <v>0</v>
      </c>
      <c r="CR112" s="316">
        <f t="shared" si="107"/>
        <v>0</v>
      </c>
      <c r="CS112" s="316">
        <f t="shared" si="107"/>
        <v>0</v>
      </c>
      <c r="CT112" s="316">
        <f t="shared" si="107"/>
        <v>0</v>
      </c>
      <c r="CU112" s="319">
        <f t="shared" si="107"/>
        <v>0</v>
      </c>
      <c r="CV112" s="320">
        <f t="shared" ref="CV112:DA112" si="108">+CV42+CV6+CV77</f>
        <v>0</v>
      </c>
      <c r="CW112" s="316">
        <f t="shared" si="108"/>
        <v>0</v>
      </c>
      <c r="CX112" s="316">
        <f t="shared" si="108"/>
        <v>0</v>
      </c>
      <c r="CY112" s="316">
        <f t="shared" si="108"/>
        <v>0</v>
      </c>
      <c r="CZ112" s="316">
        <f t="shared" si="108"/>
        <v>0</v>
      </c>
      <c r="DA112" s="319">
        <f t="shared" si="108"/>
        <v>0</v>
      </c>
      <c r="DB112" s="324">
        <f t="shared" si="96"/>
        <v>0</v>
      </c>
      <c r="DD112">
        <f>+DB112-BUS!HG117</f>
        <v>0</v>
      </c>
    </row>
    <row r="113" spans="1:108">
      <c r="A113" s="238">
        <v>4</v>
      </c>
      <c r="B113" s="239">
        <f t="shared" ref="B113:D113" si="109">+B78+B43+B7</f>
        <v>0</v>
      </c>
      <c r="C113" s="43">
        <f t="shared" si="109"/>
        <v>0</v>
      </c>
      <c r="D113" s="43">
        <f t="shared" si="109"/>
        <v>0</v>
      </c>
      <c r="E113" s="43">
        <f t="shared" ref="E113:F113" si="110">+E78+E43+E7</f>
        <v>0</v>
      </c>
      <c r="F113" s="283">
        <f t="shared" si="110"/>
        <v>0</v>
      </c>
      <c r="G113" s="315">
        <f t="shared" ref="G113:AY113" si="111">+G43+G7+G78</f>
        <v>0</v>
      </c>
      <c r="H113" s="316">
        <f t="shared" si="111"/>
        <v>0</v>
      </c>
      <c r="I113" s="316">
        <f t="shared" si="111"/>
        <v>0</v>
      </c>
      <c r="J113" s="316">
        <f t="shared" si="111"/>
        <v>0</v>
      </c>
      <c r="K113" s="316">
        <f t="shared" si="111"/>
        <v>0</v>
      </c>
      <c r="L113" s="321">
        <f t="shared" ref="L113" si="112">+L43+L7+L78</f>
        <v>0</v>
      </c>
      <c r="M113" s="315">
        <f t="shared" si="111"/>
        <v>0</v>
      </c>
      <c r="N113" s="316">
        <f t="shared" si="111"/>
        <v>0</v>
      </c>
      <c r="O113" s="316">
        <f t="shared" si="111"/>
        <v>0</v>
      </c>
      <c r="P113" s="316">
        <f t="shared" ref="P113:Q113" si="113">+P43+P7+P78</f>
        <v>0</v>
      </c>
      <c r="Q113" s="316">
        <f t="shared" si="113"/>
        <v>0</v>
      </c>
      <c r="R113" s="319">
        <f t="shared" si="111"/>
        <v>0</v>
      </c>
      <c r="S113" s="320">
        <f t="shared" si="111"/>
        <v>0</v>
      </c>
      <c r="T113" s="316">
        <f t="shared" si="111"/>
        <v>0</v>
      </c>
      <c r="U113" s="316">
        <f t="shared" si="111"/>
        <v>0</v>
      </c>
      <c r="V113" s="316">
        <f t="shared" ref="V113" si="114">+V43+V7+V78</f>
        <v>0</v>
      </c>
      <c r="W113" s="316">
        <f t="shared" si="111"/>
        <v>0</v>
      </c>
      <c r="X113" s="321">
        <f t="shared" si="111"/>
        <v>0</v>
      </c>
      <c r="Y113" s="315">
        <f t="shared" si="111"/>
        <v>0</v>
      </c>
      <c r="Z113" s="316">
        <f t="shared" si="111"/>
        <v>0</v>
      </c>
      <c r="AA113" s="316">
        <f t="shared" si="111"/>
        <v>0</v>
      </c>
      <c r="AB113" s="316">
        <f t="shared" si="111"/>
        <v>0</v>
      </c>
      <c r="AC113" s="319">
        <f t="shared" si="111"/>
        <v>0</v>
      </c>
      <c r="AD113" s="315">
        <f t="shared" si="111"/>
        <v>0</v>
      </c>
      <c r="AE113" s="316">
        <f t="shared" si="111"/>
        <v>0</v>
      </c>
      <c r="AF113" s="316">
        <f t="shared" si="111"/>
        <v>0</v>
      </c>
      <c r="AG113" s="316">
        <f t="shared" si="111"/>
        <v>0</v>
      </c>
      <c r="AH113" s="316">
        <f t="shared" si="111"/>
        <v>0</v>
      </c>
      <c r="AI113" s="316">
        <f t="shared" si="111"/>
        <v>0</v>
      </c>
      <c r="AJ113" s="316">
        <f t="shared" si="111"/>
        <v>0</v>
      </c>
      <c r="AK113" s="316">
        <f t="shared" si="111"/>
        <v>0</v>
      </c>
      <c r="AL113" s="316">
        <f t="shared" si="111"/>
        <v>0</v>
      </c>
      <c r="AM113" s="319">
        <f t="shared" si="111"/>
        <v>0</v>
      </c>
      <c r="AN113" s="315">
        <f t="shared" si="111"/>
        <v>0</v>
      </c>
      <c r="AO113" s="316">
        <f t="shared" si="111"/>
        <v>0</v>
      </c>
      <c r="AP113" s="316">
        <f t="shared" si="111"/>
        <v>0</v>
      </c>
      <c r="AQ113" s="316">
        <f t="shared" si="111"/>
        <v>0</v>
      </c>
      <c r="AR113" s="316">
        <f t="shared" si="111"/>
        <v>0</v>
      </c>
      <c r="AS113" s="316">
        <f t="shared" si="111"/>
        <v>0</v>
      </c>
      <c r="AT113" s="316">
        <f t="shared" si="111"/>
        <v>0</v>
      </c>
      <c r="AU113" s="319">
        <f t="shared" si="111"/>
        <v>0</v>
      </c>
      <c r="AV113" s="320">
        <f t="shared" si="111"/>
        <v>0</v>
      </c>
      <c r="AW113" s="316">
        <f t="shared" si="111"/>
        <v>0</v>
      </c>
      <c r="AX113" s="316">
        <f t="shared" si="111"/>
        <v>0</v>
      </c>
      <c r="AY113" s="321">
        <f t="shared" si="111"/>
        <v>0</v>
      </c>
      <c r="AZ113" s="315">
        <f t="shared" ref="AZ113:CC113" si="115">+AZ43+AZ7+AZ78</f>
        <v>0</v>
      </c>
      <c r="BA113" s="316">
        <f t="shared" si="115"/>
        <v>0</v>
      </c>
      <c r="BB113" s="316">
        <f t="shared" si="115"/>
        <v>0</v>
      </c>
      <c r="BC113" s="316">
        <f t="shared" si="115"/>
        <v>0</v>
      </c>
      <c r="BD113" s="316">
        <f t="shared" si="115"/>
        <v>0</v>
      </c>
      <c r="BE113" s="321">
        <f t="shared" si="115"/>
        <v>0</v>
      </c>
      <c r="BF113" s="315">
        <f t="shared" ref="BF113:BQ113" si="116">+BF43+BF7+BF78</f>
        <v>0</v>
      </c>
      <c r="BG113" s="316">
        <f t="shared" si="116"/>
        <v>0</v>
      </c>
      <c r="BH113" s="316">
        <f t="shared" si="116"/>
        <v>0</v>
      </c>
      <c r="BI113" s="316">
        <f t="shared" si="116"/>
        <v>0</v>
      </c>
      <c r="BJ113" s="316">
        <f t="shared" si="116"/>
        <v>0</v>
      </c>
      <c r="BK113" s="316">
        <f t="shared" si="116"/>
        <v>0</v>
      </c>
      <c r="BL113" s="316">
        <f t="shared" si="116"/>
        <v>0</v>
      </c>
      <c r="BM113" s="316">
        <f t="shared" si="116"/>
        <v>0</v>
      </c>
      <c r="BN113" s="316">
        <f t="shared" si="116"/>
        <v>0</v>
      </c>
      <c r="BO113" s="316">
        <f t="shared" si="116"/>
        <v>0</v>
      </c>
      <c r="BP113" s="316">
        <f t="shared" si="116"/>
        <v>0</v>
      </c>
      <c r="BQ113" s="316">
        <f t="shared" si="116"/>
        <v>0</v>
      </c>
      <c r="BR113" s="316">
        <f t="shared" si="115"/>
        <v>0</v>
      </c>
      <c r="BS113" s="316">
        <f t="shared" si="115"/>
        <v>0</v>
      </c>
      <c r="BT113" s="316">
        <f t="shared" si="115"/>
        <v>0</v>
      </c>
      <c r="BU113" s="316">
        <f t="shared" si="115"/>
        <v>0</v>
      </c>
      <c r="BV113" s="316">
        <f t="shared" si="115"/>
        <v>0</v>
      </c>
      <c r="BW113" s="316">
        <f t="shared" si="115"/>
        <v>0</v>
      </c>
      <c r="BX113" s="316">
        <f t="shared" si="115"/>
        <v>0</v>
      </c>
      <c r="BY113" s="316">
        <f t="shared" si="115"/>
        <v>0</v>
      </c>
      <c r="BZ113" s="316">
        <f t="shared" si="115"/>
        <v>0</v>
      </c>
      <c r="CA113" s="316">
        <f t="shared" si="115"/>
        <v>0</v>
      </c>
      <c r="CB113" s="316">
        <f t="shared" si="115"/>
        <v>0</v>
      </c>
      <c r="CC113" s="319">
        <f t="shared" si="115"/>
        <v>0</v>
      </c>
      <c r="CD113" s="320">
        <f t="shared" ref="CD113:CI113" si="117">+CD43+CD7+CD78</f>
        <v>0</v>
      </c>
      <c r="CE113" s="316">
        <f t="shared" si="117"/>
        <v>0</v>
      </c>
      <c r="CF113" s="316">
        <f t="shared" si="117"/>
        <v>0</v>
      </c>
      <c r="CG113" s="316">
        <f t="shared" si="117"/>
        <v>0</v>
      </c>
      <c r="CH113" s="316">
        <f t="shared" si="117"/>
        <v>0</v>
      </c>
      <c r="CI113" s="319">
        <f t="shared" si="117"/>
        <v>0</v>
      </c>
      <c r="CJ113" s="320">
        <f t="shared" ref="CJ113:CO113" si="118">+CJ43+CJ7+CJ78</f>
        <v>0</v>
      </c>
      <c r="CK113" s="316">
        <f t="shared" si="118"/>
        <v>0</v>
      </c>
      <c r="CL113" s="316">
        <f t="shared" si="118"/>
        <v>0</v>
      </c>
      <c r="CM113" s="316">
        <f t="shared" si="118"/>
        <v>0</v>
      </c>
      <c r="CN113" s="316">
        <f t="shared" si="118"/>
        <v>0</v>
      </c>
      <c r="CO113" s="319">
        <f t="shared" si="118"/>
        <v>0</v>
      </c>
      <c r="CP113" s="320">
        <f t="shared" ref="CP113:CU113" si="119">+CP43+CP7+CP78</f>
        <v>0</v>
      </c>
      <c r="CQ113" s="316">
        <f t="shared" si="119"/>
        <v>0</v>
      </c>
      <c r="CR113" s="316">
        <f t="shared" si="119"/>
        <v>0</v>
      </c>
      <c r="CS113" s="316">
        <f t="shared" si="119"/>
        <v>0</v>
      </c>
      <c r="CT113" s="316">
        <f t="shared" si="119"/>
        <v>0</v>
      </c>
      <c r="CU113" s="319">
        <f t="shared" si="119"/>
        <v>0</v>
      </c>
      <c r="CV113" s="320">
        <f t="shared" ref="CV113:DA113" si="120">+CV43+CV7+CV78</f>
        <v>0</v>
      </c>
      <c r="CW113" s="316">
        <f t="shared" si="120"/>
        <v>0</v>
      </c>
      <c r="CX113" s="316">
        <f t="shared" si="120"/>
        <v>0</v>
      </c>
      <c r="CY113" s="316">
        <f t="shared" si="120"/>
        <v>0</v>
      </c>
      <c r="CZ113" s="316">
        <f t="shared" si="120"/>
        <v>0</v>
      </c>
      <c r="DA113" s="319">
        <f t="shared" si="120"/>
        <v>0</v>
      </c>
      <c r="DB113" s="324">
        <f t="shared" si="96"/>
        <v>0</v>
      </c>
      <c r="DD113">
        <f>+DB113-BUS!HG118</f>
        <v>0</v>
      </c>
    </row>
    <row r="114" spans="1:108">
      <c r="A114" s="238">
        <v>5</v>
      </c>
      <c r="B114" s="239">
        <f t="shared" ref="B114:D114" si="121">+B79+B44+B8</f>
        <v>0</v>
      </c>
      <c r="C114" s="43">
        <f t="shared" si="121"/>
        <v>0</v>
      </c>
      <c r="D114" s="43">
        <f t="shared" si="121"/>
        <v>0</v>
      </c>
      <c r="E114" s="43">
        <f t="shared" ref="E114:F114" si="122">+E79+E44+E8</f>
        <v>0</v>
      </c>
      <c r="F114" s="283">
        <f t="shared" si="122"/>
        <v>0</v>
      </c>
      <c r="G114" s="315">
        <f t="shared" ref="G114:AY114" si="123">+G44+G8+G79</f>
        <v>0</v>
      </c>
      <c r="H114" s="316">
        <f t="shared" si="123"/>
        <v>0</v>
      </c>
      <c r="I114" s="316">
        <f t="shared" si="123"/>
        <v>0</v>
      </c>
      <c r="J114" s="316">
        <f t="shared" si="123"/>
        <v>0</v>
      </c>
      <c r="K114" s="316">
        <f t="shared" si="123"/>
        <v>0</v>
      </c>
      <c r="L114" s="321">
        <f t="shared" ref="L114" si="124">+L44+L8+L79</f>
        <v>0</v>
      </c>
      <c r="M114" s="315">
        <f t="shared" si="123"/>
        <v>0</v>
      </c>
      <c r="N114" s="316">
        <f t="shared" si="123"/>
        <v>0</v>
      </c>
      <c r="O114" s="316">
        <f t="shared" si="123"/>
        <v>0</v>
      </c>
      <c r="P114" s="316">
        <f t="shared" ref="P114:Q114" si="125">+P44+P8+P79</f>
        <v>0</v>
      </c>
      <c r="Q114" s="316">
        <f t="shared" si="125"/>
        <v>0</v>
      </c>
      <c r="R114" s="319">
        <f t="shared" si="123"/>
        <v>0</v>
      </c>
      <c r="S114" s="320">
        <f t="shared" si="123"/>
        <v>0</v>
      </c>
      <c r="T114" s="316">
        <f t="shared" si="123"/>
        <v>0</v>
      </c>
      <c r="U114" s="316">
        <f t="shared" si="123"/>
        <v>0</v>
      </c>
      <c r="V114" s="316">
        <f t="shared" ref="V114" si="126">+V44+V8+V79</f>
        <v>0</v>
      </c>
      <c r="W114" s="316">
        <f t="shared" si="123"/>
        <v>0</v>
      </c>
      <c r="X114" s="321">
        <f t="shared" si="123"/>
        <v>0</v>
      </c>
      <c r="Y114" s="315">
        <f t="shared" si="123"/>
        <v>0</v>
      </c>
      <c r="Z114" s="316">
        <f t="shared" si="123"/>
        <v>0</v>
      </c>
      <c r="AA114" s="316">
        <f t="shared" si="123"/>
        <v>0</v>
      </c>
      <c r="AB114" s="316">
        <f t="shared" si="123"/>
        <v>0</v>
      </c>
      <c r="AC114" s="319">
        <f t="shared" si="123"/>
        <v>0</v>
      </c>
      <c r="AD114" s="315">
        <f t="shared" si="123"/>
        <v>0</v>
      </c>
      <c r="AE114" s="316">
        <f t="shared" si="123"/>
        <v>0</v>
      </c>
      <c r="AF114" s="316">
        <f t="shared" si="123"/>
        <v>0</v>
      </c>
      <c r="AG114" s="316">
        <f t="shared" si="123"/>
        <v>0</v>
      </c>
      <c r="AH114" s="316">
        <f t="shared" si="123"/>
        <v>0</v>
      </c>
      <c r="AI114" s="316">
        <f t="shared" si="123"/>
        <v>0</v>
      </c>
      <c r="AJ114" s="316">
        <f t="shared" si="123"/>
        <v>0</v>
      </c>
      <c r="AK114" s="316">
        <f t="shared" si="123"/>
        <v>0</v>
      </c>
      <c r="AL114" s="316">
        <f t="shared" si="123"/>
        <v>0</v>
      </c>
      <c r="AM114" s="319">
        <f t="shared" si="123"/>
        <v>0</v>
      </c>
      <c r="AN114" s="315">
        <f t="shared" si="123"/>
        <v>0</v>
      </c>
      <c r="AO114" s="316">
        <f t="shared" si="123"/>
        <v>0</v>
      </c>
      <c r="AP114" s="316">
        <f t="shared" si="123"/>
        <v>0</v>
      </c>
      <c r="AQ114" s="316">
        <f t="shared" si="123"/>
        <v>0</v>
      </c>
      <c r="AR114" s="316">
        <f t="shared" si="123"/>
        <v>0</v>
      </c>
      <c r="AS114" s="316">
        <f t="shared" si="123"/>
        <v>0</v>
      </c>
      <c r="AT114" s="316">
        <f t="shared" si="123"/>
        <v>0</v>
      </c>
      <c r="AU114" s="319">
        <f t="shared" si="123"/>
        <v>0</v>
      </c>
      <c r="AV114" s="320">
        <f t="shared" si="123"/>
        <v>0</v>
      </c>
      <c r="AW114" s="316">
        <f t="shared" si="123"/>
        <v>0</v>
      </c>
      <c r="AX114" s="316">
        <f t="shared" si="123"/>
        <v>0</v>
      </c>
      <c r="AY114" s="321">
        <f t="shared" si="123"/>
        <v>0</v>
      </c>
      <c r="AZ114" s="315">
        <f t="shared" ref="AZ114:CC114" si="127">+AZ44+AZ8+AZ79</f>
        <v>0</v>
      </c>
      <c r="BA114" s="316">
        <f t="shared" si="127"/>
        <v>0</v>
      </c>
      <c r="BB114" s="316">
        <f t="shared" si="127"/>
        <v>0</v>
      </c>
      <c r="BC114" s="316">
        <f t="shared" si="127"/>
        <v>0</v>
      </c>
      <c r="BD114" s="316">
        <f t="shared" si="127"/>
        <v>0</v>
      </c>
      <c r="BE114" s="321">
        <f t="shared" si="127"/>
        <v>0</v>
      </c>
      <c r="BF114" s="315">
        <f t="shared" ref="BF114:BQ114" si="128">+BF44+BF8+BF79</f>
        <v>0</v>
      </c>
      <c r="BG114" s="316">
        <f t="shared" si="128"/>
        <v>0</v>
      </c>
      <c r="BH114" s="316">
        <f t="shared" si="128"/>
        <v>0</v>
      </c>
      <c r="BI114" s="316">
        <f t="shared" si="128"/>
        <v>0</v>
      </c>
      <c r="BJ114" s="316">
        <f t="shared" si="128"/>
        <v>0</v>
      </c>
      <c r="BK114" s="316">
        <f t="shared" si="128"/>
        <v>0</v>
      </c>
      <c r="BL114" s="316">
        <f t="shared" si="128"/>
        <v>0</v>
      </c>
      <c r="BM114" s="316">
        <f t="shared" si="128"/>
        <v>0</v>
      </c>
      <c r="BN114" s="316">
        <f t="shared" si="128"/>
        <v>0</v>
      </c>
      <c r="BO114" s="316">
        <f t="shared" si="128"/>
        <v>0</v>
      </c>
      <c r="BP114" s="316">
        <f t="shared" si="128"/>
        <v>0</v>
      </c>
      <c r="BQ114" s="316">
        <f t="shared" si="128"/>
        <v>0</v>
      </c>
      <c r="BR114" s="316">
        <f t="shared" si="127"/>
        <v>0</v>
      </c>
      <c r="BS114" s="316">
        <f t="shared" si="127"/>
        <v>0</v>
      </c>
      <c r="BT114" s="316">
        <f t="shared" si="127"/>
        <v>0</v>
      </c>
      <c r="BU114" s="316">
        <f t="shared" si="127"/>
        <v>0</v>
      </c>
      <c r="BV114" s="316">
        <f t="shared" si="127"/>
        <v>0</v>
      </c>
      <c r="BW114" s="316">
        <f t="shared" si="127"/>
        <v>0</v>
      </c>
      <c r="BX114" s="316">
        <f t="shared" si="127"/>
        <v>0</v>
      </c>
      <c r="BY114" s="316">
        <f t="shared" si="127"/>
        <v>0</v>
      </c>
      <c r="BZ114" s="316">
        <f t="shared" si="127"/>
        <v>0</v>
      </c>
      <c r="CA114" s="316">
        <f t="shared" si="127"/>
        <v>0</v>
      </c>
      <c r="CB114" s="316">
        <f t="shared" si="127"/>
        <v>0</v>
      </c>
      <c r="CC114" s="319">
        <f t="shared" si="127"/>
        <v>0</v>
      </c>
      <c r="CD114" s="320">
        <f t="shared" ref="CD114:CI114" si="129">+CD44+CD8+CD79</f>
        <v>0</v>
      </c>
      <c r="CE114" s="316">
        <f t="shared" si="129"/>
        <v>0</v>
      </c>
      <c r="CF114" s="316">
        <f t="shared" si="129"/>
        <v>0</v>
      </c>
      <c r="CG114" s="316">
        <f t="shared" si="129"/>
        <v>0</v>
      </c>
      <c r="CH114" s="316">
        <f t="shared" si="129"/>
        <v>0</v>
      </c>
      <c r="CI114" s="319">
        <f t="shared" si="129"/>
        <v>0</v>
      </c>
      <c r="CJ114" s="320">
        <f t="shared" ref="CJ114:CO114" si="130">+CJ44+CJ8+CJ79</f>
        <v>0</v>
      </c>
      <c r="CK114" s="316">
        <f t="shared" si="130"/>
        <v>0</v>
      </c>
      <c r="CL114" s="316">
        <f t="shared" si="130"/>
        <v>0</v>
      </c>
      <c r="CM114" s="316">
        <f t="shared" si="130"/>
        <v>0</v>
      </c>
      <c r="CN114" s="316">
        <f t="shared" si="130"/>
        <v>0</v>
      </c>
      <c r="CO114" s="319">
        <f t="shared" si="130"/>
        <v>0</v>
      </c>
      <c r="CP114" s="320">
        <f t="shared" ref="CP114:CU114" si="131">+CP44+CP8+CP79</f>
        <v>0</v>
      </c>
      <c r="CQ114" s="316">
        <f t="shared" si="131"/>
        <v>0</v>
      </c>
      <c r="CR114" s="316">
        <f t="shared" si="131"/>
        <v>0</v>
      </c>
      <c r="CS114" s="316">
        <f t="shared" si="131"/>
        <v>0</v>
      </c>
      <c r="CT114" s="316">
        <f t="shared" si="131"/>
        <v>0</v>
      </c>
      <c r="CU114" s="319">
        <f t="shared" si="131"/>
        <v>0</v>
      </c>
      <c r="CV114" s="320">
        <f t="shared" ref="CV114:DA114" si="132">+CV44+CV8+CV79</f>
        <v>0</v>
      </c>
      <c r="CW114" s="316">
        <f t="shared" si="132"/>
        <v>0</v>
      </c>
      <c r="CX114" s="316">
        <f t="shared" si="132"/>
        <v>0</v>
      </c>
      <c r="CY114" s="316">
        <f t="shared" si="132"/>
        <v>0</v>
      </c>
      <c r="CZ114" s="316">
        <f t="shared" si="132"/>
        <v>0</v>
      </c>
      <c r="DA114" s="319">
        <f t="shared" si="132"/>
        <v>0</v>
      </c>
      <c r="DB114" s="324">
        <f t="shared" si="96"/>
        <v>0</v>
      </c>
      <c r="DD114">
        <f>+DB114-BUS!HG119</f>
        <v>0</v>
      </c>
    </row>
    <row r="115" spans="1:108">
      <c r="A115" s="238">
        <v>6</v>
      </c>
      <c r="B115" s="239">
        <f t="shared" ref="B115:D115" si="133">+B80+B45+B9</f>
        <v>0</v>
      </c>
      <c r="C115" s="43">
        <f t="shared" si="133"/>
        <v>0</v>
      </c>
      <c r="D115" s="43">
        <f t="shared" si="133"/>
        <v>0</v>
      </c>
      <c r="E115" s="43">
        <f t="shared" ref="E115:F115" si="134">+E80+E45+E9</f>
        <v>0</v>
      </c>
      <c r="F115" s="283">
        <f t="shared" si="134"/>
        <v>0</v>
      </c>
      <c r="G115" s="315">
        <f t="shared" ref="G115:AY115" si="135">+G45+G9+G80</f>
        <v>0</v>
      </c>
      <c r="H115" s="316">
        <f t="shared" si="135"/>
        <v>0</v>
      </c>
      <c r="I115" s="316">
        <f t="shared" si="135"/>
        <v>0</v>
      </c>
      <c r="J115" s="316">
        <f t="shared" si="135"/>
        <v>0</v>
      </c>
      <c r="K115" s="316">
        <f t="shared" si="135"/>
        <v>0</v>
      </c>
      <c r="L115" s="321">
        <f t="shared" ref="L115" si="136">+L45+L9+L80</f>
        <v>0</v>
      </c>
      <c r="M115" s="315">
        <f t="shared" si="135"/>
        <v>0</v>
      </c>
      <c r="N115" s="316">
        <f t="shared" si="135"/>
        <v>0</v>
      </c>
      <c r="O115" s="316">
        <f t="shared" si="135"/>
        <v>0</v>
      </c>
      <c r="P115" s="316">
        <f t="shared" ref="P115:Q115" si="137">+P45+P9+P80</f>
        <v>0</v>
      </c>
      <c r="Q115" s="316">
        <f t="shared" si="137"/>
        <v>0</v>
      </c>
      <c r="R115" s="319">
        <f t="shared" si="135"/>
        <v>0</v>
      </c>
      <c r="S115" s="320">
        <f t="shared" si="135"/>
        <v>0</v>
      </c>
      <c r="T115" s="316">
        <f t="shared" si="135"/>
        <v>0</v>
      </c>
      <c r="U115" s="316">
        <f t="shared" si="135"/>
        <v>0</v>
      </c>
      <c r="V115" s="316">
        <f t="shared" ref="V115" si="138">+V45+V9+V80</f>
        <v>0</v>
      </c>
      <c r="W115" s="316">
        <f t="shared" si="135"/>
        <v>0</v>
      </c>
      <c r="X115" s="321">
        <f t="shared" si="135"/>
        <v>0</v>
      </c>
      <c r="Y115" s="315">
        <f t="shared" si="135"/>
        <v>0</v>
      </c>
      <c r="Z115" s="316">
        <f t="shared" si="135"/>
        <v>0</v>
      </c>
      <c r="AA115" s="316">
        <f t="shared" si="135"/>
        <v>0</v>
      </c>
      <c r="AB115" s="316">
        <f t="shared" si="135"/>
        <v>0</v>
      </c>
      <c r="AC115" s="319">
        <f t="shared" si="135"/>
        <v>0</v>
      </c>
      <c r="AD115" s="315">
        <f t="shared" si="135"/>
        <v>0</v>
      </c>
      <c r="AE115" s="316">
        <f t="shared" si="135"/>
        <v>0</v>
      </c>
      <c r="AF115" s="316">
        <f t="shared" si="135"/>
        <v>0</v>
      </c>
      <c r="AG115" s="316">
        <f t="shared" si="135"/>
        <v>0</v>
      </c>
      <c r="AH115" s="316">
        <f t="shared" si="135"/>
        <v>0</v>
      </c>
      <c r="AI115" s="316">
        <f t="shared" si="135"/>
        <v>0</v>
      </c>
      <c r="AJ115" s="316">
        <f t="shared" si="135"/>
        <v>0</v>
      </c>
      <c r="AK115" s="316">
        <f t="shared" si="135"/>
        <v>0</v>
      </c>
      <c r="AL115" s="316">
        <f t="shared" si="135"/>
        <v>0</v>
      </c>
      <c r="AM115" s="319">
        <f t="shared" si="135"/>
        <v>0</v>
      </c>
      <c r="AN115" s="315">
        <f t="shared" si="135"/>
        <v>0</v>
      </c>
      <c r="AO115" s="316">
        <f t="shared" si="135"/>
        <v>0</v>
      </c>
      <c r="AP115" s="316">
        <f t="shared" si="135"/>
        <v>0</v>
      </c>
      <c r="AQ115" s="316">
        <f t="shared" si="135"/>
        <v>0</v>
      </c>
      <c r="AR115" s="316">
        <f t="shared" si="135"/>
        <v>0</v>
      </c>
      <c r="AS115" s="316">
        <f t="shared" si="135"/>
        <v>0</v>
      </c>
      <c r="AT115" s="316">
        <f t="shared" si="135"/>
        <v>0</v>
      </c>
      <c r="AU115" s="319">
        <f t="shared" si="135"/>
        <v>0</v>
      </c>
      <c r="AV115" s="320">
        <f t="shared" si="135"/>
        <v>0</v>
      </c>
      <c r="AW115" s="316">
        <f t="shared" si="135"/>
        <v>0</v>
      </c>
      <c r="AX115" s="316">
        <f t="shared" si="135"/>
        <v>0</v>
      </c>
      <c r="AY115" s="321">
        <f t="shared" si="135"/>
        <v>0</v>
      </c>
      <c r="AZ115" s="315">
        <f t="shared" ref="AZ115:CC115" si="139">+AZ45+AZ9+AZ80</f>
        <v>0</v>
      </c>
      <c r="BA115" s="316">
        <f t="shared" si="139"/>
        <v>0</v>
      </c>
      <c r="BB115" s="316">
        <f t="shared" si="139"/>
        <v>0</v>
      </c>
      <c r="BC115" s="316">
        <f t="shared" si="139"/>
        <v>0</v>
      </c>
      <c r="BD115" s="316">
        <f t="shared" si="139"/>
        <v>0</v>
      </c>
      <c r="BE115" s="321">
        <f t="shared" si="139"/>
        <v>0</v>
      </c>
      <c r="BF115" s="315">
        <f t="shared" ref="BF115:BQ115" si="140">+BF45+BF9+BF80</f>
        <v>0</v>
      </c>
      <c r="BG115" s="316">
        <f t="shared" si="140"/>
        <v>0</v>
      </c>
      <c r="BH115" s="316">
        <f t="shared" si="140"/>
        <v>0</v>
      </c>
      <c r="BI115" s="316">
        <f t="shared" si="140"/>
        <v>0</v>
      </c>
      <c r="BJ115" s="316">
        <f t="shared" si="140"/>
        <v>0</v>
      </c>
      <c r="BK115" s="316">
        <f t="shared" si="140"/>
        <v>0</v>
      </c>
      <c r="BL115" s="316">
        <f t="shared" si="140"/>
        <v>0</v>
      </c>
      <c r="BM115" s="316">
        <f t="shared" si="140"/>
        <v>0</v>
      </c>
      <c r="BN115" s="316">
        <f t="shared" si="140"/>
        <v>0</v>
      </c>
      <c r="BO115" s="316">
        <f t="shared" si="140"/>
        <v>0</v>
      </c>
      <c r="BP115" s="316">
        <f t="shared" si="140"/>
        <v>0</v>
      </c>
      <c r="BQ115" s="316">
        <f t="shared" si="140"/>
        <v>0</v>
      </c>
      <c r="BR115" s="316">
        <f t="shared" si="139"/>
        <v>0</v>
      </c>
      <c r="BS115" s="316">
        <f t="shared" si="139"/>
        <v>0</v>
      </c>
      <c r="BT115" s="316">
        <f t="shared" si="139"/>
        <v>0</v>
      </c>
      <c r="BU115" s="316">
        <f t="shared" si="139"/>
        <v>0</v>
      </c>
      <c r="BV115" s="316">
        <f t="shared" si="139"/>
        <v>0</v>
      </c>
      <c r="BW115" s="316">
        <f t="shared" si="139"/>
        <v>0</v>
      </c>
      <c r="BX115" s="316">
        <f t="shared" si="139"/>
        <v>0</v>
      </c>
      <c r="BY115" s="316">
        <f t="shared" si="139"/>
        <v>0</v>
      </c>
      <c r="BZ115" s="316">
        <f t="shared" si="139"/>
        <v>0</v>
      </c>
      <c r="CA115" s="316">
        <f t="shared" si="139"/>
        <v>0</v>
      </c>
      <c r="CB115" s="316">
        <f t="shared" si="139"/>
        <v>0</v>
      </c>
      <c r="CC115" s="319">
        <f t="shared" si="139"/>
        <v>0</v>
      </c>
      <c r="CD115" s="320">
        <f t="shared" ref="CD115:CI115" si="141">+CD45+CD9+CD80</f>
        <v>0</v>
      </c>
      <c r="CE115" s="316">
        <f t="shared" si="141"/>
        <v>0</v>
      </c>
      <c r="CF115" s="316">
        <f t="shared" si="141"/>
        <v>0</v>
      </c>
      <c r="CG115" s="316">
        <f t="shared" si="141"/>
        <v>0</v>
      </c>
      <c r="CH115" s="316">
        <f t="shared" si="141"/>
        <v>0</v>
      </c>
      <c r="CI115" s="319">
        <f t="shared" si="141"/>
        <v>0</v>
      </c>
      <c r="CJ115" s="320">
        <f t="shared" ref="CJ115:CO115" si="142">+CJ45+CJ9+CJ80</f>
        <v>0</v>
      </c>
      <c r="CK115" s="316">
        <f t="shared" si="142"/>
        <v>0</v>
      </c>
      <c r="CL115" s="316">
        <f t="shared" si="142"/>
        <v>0</v>
      </c>
      <c r="CM115" s="316">
        <f t="shared" si="142"/>
        <v>0</v>
      </c>
      <c r="CN115" s="316">
        <f t="shared" si="142"/>
        <v>0</v>
      </c>
      <c r="CO115" s="319">
        <f t="shared" si="142"/>
        <v>0</v>
      </c>
      <c r="CP115" s="320">
        <f t="shared" ref="CP115:CU115" si="143">+CP45+CP9+CP80</f>
        <v>0</v>
      </c>
      <c r="CQ115" s="316">
        <f t="shared" si="143"/>
        <v>0</v>
      </c>
      <c r="CR115" s="316">
        <f t="shared" si="143"/>
        <v>0</v>
      </c>
      <c r="CS115" s="316">
        <f t="shared" si="143"/>
        <v>0</v>
      </c>
      <c r="CT115" s="316">
        <f t="shared" si="143"/>
        <v>0</v>
      </c>
      <c r="CU115" s="319">
        <f t="shared" si="143"/>
        <v>0</v>
      </c>
      <c r="CV115" s="320">
        <f t="shared" ref="CV115:DA115" si="144">+CV45+CV9+CV80</f>
        <v>0</v>
      </c>
      <c r="CW115" s="316">
        <f t="shared" si="144"/>
        <v>0</v>
      </c>
      <c r="CX115" s="316">
        <f t="shared" si="144"/>
        <v>0</v>
      </c>
      <c r="CY115" s="316">
        <f t="shared" si="144"/>
        <v>0</v>
      </c>
      <c r="CZ115" s="316">
        <f t="shared" si="144"/>
        <v>0</v>
      </c>
      <c r="DA115" s="319">
        <f t="shared" si="144"/>
        <v>0</v>
      </c>
      <c r="DB115" s="324">
        <f t="shared" si="96"/>
        <v>0</v>
      </c>
      <c r="DD115">
        <f>+DB115-BUS!HG120</f>
        <v>0</v>
      </c>
    </row>
    <row r="116" spans="1:108">
      <c r="A116" s="238">
        <v>7</v>
      </c>
      <c r="B116" s="239">
        <f t="shared" ref="B116:D116" si="145">+B81+B46+B10</f>
        <v>0</v>
      </c>
      <c r="C116" s="43">
        <f t="shared" si="145"/>
        <v>0</v>
      </c>
      <c r="D116" s="43">
        <f t="shared" si="145"/>
        <v>0</v>
      </c>
      <c r="E116" s="43">
        <f t="shared" ref="E116:F116" si="146">+E81+E46+E10</f>
        <v>0</v>
      </c>
      <c r="F116" s="283">
        <f t="shared" si="146"/>
        <v>0</v>
      </c>
      <c r="G116" s="239">
        <f t="shared" ref="G116:AY116" si="147">+G46+G10+G81</f>
        <v>0</v>
      </c>
      <c r="H116" s="43">
        <f t="shared" si="147"/>
        <v>0</v>
      </c>
      <c r="I116" s="43">
        <f t="shared" si="147"/>
        <v>0</v>
      </c>
      <c r="J116" s="316">
        <f t="shared" si="147"/>
        <v>0</v>
      </c>
      <c r="K116" s="43">
        <f t="shared" si="147"/>
        <v>0</v>
      </c>
      <c r="L116" s="283">
        <f t="shared" ref="L116" si="148">+L46+L10+L81</f>
        <v>0</v>
      </c>
      <c r="M116" s="239">
        <f t="shared" si="147"/>
        <v>0</v>
      </c>
      <c r="N116" s="43">
        <f t="shared" si="147"/>
        <v>0</v>
      </c>
      <c r="O116" s="43">
        <f t="shared" si="147"/>
        <v>0</v>
      </c>
      <c r="P116" s="43">
        <f t="shared" ref="P116:Q116" si="149">+P46+P10+P81</f>
        <v>0</v>
      </c>
      <c r="Q116" s="43">
        <f t="shared" si="149"/>
        <v>0</v>
      </c>
      <c r="R116" s="57">
        <f t="shared" si="147"/>
        <v>0</v>
      </c>
      <c r="S116" s="320">
        <f t="shared" si="147"/>
        <v>0</v>
      </c>
      <c r="T116" s="316">
        <f t="shared" si="147"/>
        <v>0</v>
      </c>
      <c r="U116" s="316">
        <f t="shared" si="147"/>
        <v>0</v>
      </c>
      <c r="V116" s="316">
        <f t="shared" ref="V116" si="150">+V46+V10+V81</f>
        <v>0</v>
      </c>
      <c r="W116" s="316">
        <f t="shared" si="147"/>
        <v>0</v>
      </c>
      <c r="X116" s="321">
        <f t="shared" si="147"/>
        <v>0</v>
      </c>
      <c r="Y116" s="315">
        <f t="shared" si="147"/>
        <v>0</v>
      </c>
      <c r="Z116" s="316">
        <f t="shared" si="147"/>
        <v>0</v>
      </c>
      <c r="AA116" s="316">
        <f t="shared" si="147"/>
        <v>0</v>
      </c>
      <c r="AB116" s="316">
        <f t="shared" si="147"/>
        <v>0</v>
      </c>
      <c r="AC116" s="319">
        <f t="shared" si="147"/>
        <v>0</v>
      </c>
      <c r="AD116" s="315">
        <f t="shared" si="147"/>
        <v>0</v>
      </c>
      <c r="AE116" s="316">
        <f t="shared" si="147"/>
        <v>0</v>
      </c>
      <c r="AF116" s="316">
        <f t="shared" si="147"/>
        <v>0</v>
      </c>
      <c r="AG116" s="316">
        <f t="shared" si="147"/>
        <v>0</v>
      </c>
      <c r="AH116" s="316">
        <f t="shared" si="147"/>
        <v>0</v>
      </c>
      <c r="AI116" s="316">
        <f t="shared" si="147"/>
        <v>0</v>
      </c>
      <c r="AJ116" s="316">
        <f t="shared" si="147"/>
        <v>0</v>
      </c>
      <c r="AK116" s="316">
        <f t="shared" si="147"/>
        <v>0</v>
      </c>
      <c r="AL116" s="316">
        <f t="shared" si="147"/>
        <v>0</v>
      </c>
      <c r="AM116" s="319">
        <f t="shared" si="147"/>
        <v>0</v>
      </c>
      <c r="AN116" s="239">
        <f t="shared" si="147"/>
        <v>0</v>
      </c>
      <c r="AO116" s="43">
        <f t="shared" si="147"/>
        <v>0</v>
      </c>
      <c r="AP116" s="43">
        <f t="shared" si="147"/>
        <v>0</v>
      </c>
      <c r="AQ116" s="43">
        <f t="shared" si="147"/>
        <v>0</v>
      </c>
      <c r="AR116" s="43">
        <f t="shared" si="147"/>
        <v>0</v>
      </c>
      <c r="AS116" s="43">
        <f t="shared" si="147"/>
        <v>0</v>
      </c>
      <c r="AT116" s="43">
        <f t="shared" si="147"/>
        <v>0</v>
      </c>
      <c r="AU116" s="57">
        <f t="shared" si="147"/>
        <v>0</v>
      </c>
      <c r="AV116" s="277">
        <f t="shared" si="147"/>
        <v>0</v>
      </c>
      <c r="AW116" s="43">
        <f t="shared" si="147"/>
        <v>0</v>
      </c>
      <c r="AX116" s="316">
        <f t="shared" si="147"/>
        <v>0</v>
      </c>
      <c r="AY116" s="283">
        <f t="shared" si="147"/>
        <v>0</v>
      </c>
      <c r="AZ116" s="239">
        <f t="shared" ref="AZ116:CC116" si="151">+AZ46+AZ10+AZ81</f>
        <v>0</v>
      </c>
      <c r="BA116" s="43">
        <f t="shared" si="151"/>
        <v>0</v>
      </c>
      <c r="BB116" s="43">
        <f t="shared" si="151"/>
        <v>0</v>
      </c>
      <c r="BC116" s="43">
        <f t="shared" si="151"/>
        <v>0</v>
      </c>
      <c r="BD116" s="43">
        <f t="shared" si="151"/>
        <v>0</v>
      </c>
      <c r="BE116" s="283">
        <f t="shared" si="151"/>
        <v>0</v>
      </c>
      <c r="BF116" s="315">
        <f t="shared" ref="BF116:BQ116" si="152">+BF46+BF10+BF81</f>
        <v>0</v>
      </c>
      <c r="BG116" s="316">
        <f t="shared" si="152"/>
        <v>0</v>
      </c>
      <c r="BH116" s="316">
        <f t="shared" si="152"/>
        <v>0</v>
      </c>
      <c r="BI116" s="316">
        <f t="shared" si="152"/>
        <v>0</v>
      </c>
      <c r="BJ116" s="316">
        <f t="shared" si="152"/>
        <v>0</v>
      </c>
      <c r="BK116" s="316">
        <f t="shared" si="152"/>
        <v>0</v>
      </c>
      <c r="BL116" s="316">
        <f t="shared" si="152"/>
        <v>0</v>
      </c>
      <c r="BM116" s="316">
        <f t="shared" si="152"/>
        <v>0</v>
      </c>
      <c r="BN116" s="316">
        <f t="shared" si="152"/>
        <v>0</v>
      </c>
      <c r="BO116" s="316">
        <f t="shared" si="152"/>
        <v>0</v>
      </c>
      <c r="BP116" s="316">
        <f t="shared" si="152"/>
        <v>0</v>
      </c>
      <c r="BQ116" s="316">
        <f t="shared" si="152"/>
        <v>0</v>
      </c>
      <c r="BR116" s="316">
        <f t="shared" si="151"/>
        <v>0</v>
      </c>
      <c r="BS116" s="316">
        <f t="shared" si="151"/>
        <v>0</v>
      </c>
      <c r="BT116" s="316">
        <f t="shared" si="151"/>
        <v>0</v>
      </c>
      <c r="BU116" s="316">
        <f t="shared" si="151"/>
        <v>0</v>
      </c>
      <c r="BV116" s="316">
        <f t="shared" si="151"/>
        <v>0</v>
      </c>
      <c r="BW116" s="316">
        <f t="shared" si="151"/>
        <v>0</v>
      </c>
      <c r="BX116" s="316">
        <f t="shared" si="151"/>
        <v>0</v>
      </c>
      <c r="BY116" s="316">
        <f t="shared" si="151"/>
        <v>0</v>
      </c>
      <c r="BZ116" s="316">
        <f t="shared" si="151"/>
        <v>0</v>
      </c>
      <c r="CA116" s="316">
        <f t="shared" si="151"/>
        <v>0</v>
      </c>
      <c r="CB116" s="316">
        <f t="shared" si="151"/>
        <v>0</v>
      </c>
      <c r="CC116" s="319">
        <f t="shared" si="151"/>
        <v>0</v>
      </c>
      <c r="CD116" s="277">
        <f t="shared" ref="CD116:CI116" si="153">+CD46+CD10+CD81</f>
        <v>0</v>
      </c>
      <c r="CE116" s="43">
        <f t="shared" si="153"/>
        <v>0</v>
      </c>
      <c r="CF116" s="43">
        <f t="shared" si="153"/>
        <v>0</v>
      </c>
      <c r="CG116" s="43">
        <f t="shared" si="153"/>
        <v>0</v>
      </c>
      <c r="CH116" s="43">
        <f t="shared" si="153"/>
        <v>0</v>
      </c>
      <c r="CI116" s="57">
        <f t="shared" si="153"/>
        <v>0</v>
      </c>
      <c r="CJ116" s="277">
        <f t="shared" ref="CJ116:CO116" si="154">+CJ46+CJ10+CJ81</f>
        <v>0</v>
      </c>
      <c r="CK116" s="43">
        <f t="shared" si="154"/>
        <v>0</v>
      </c>
      <c r="CL116" s="43">
        <f t="shared" si="154"/>
        <v>0</v>
      </c>
      <c r="CM116" s="43">
        <f t="shared" si="154"/>
        <v>0</v>
      </c>
      <c r="CN116" s="43">
        <f t="shared" si="154"/>
        <v>0</v>
      </c>
      <c r="CO116" s="57">
        <f t="shared" si="154"/>
        <v>0</v>
      </c>
      <c r="CP116" s="277">
        <f t="shared" ref="CP116:CU116" si="155">+CP46+CP10+CP81</f>
        <v>0</v>
      </c>
      <c r="CQ116" s="43">
        <f t="shared" si="155"/>
        <v>0</v>
      </c>
      <c r="CR116" s="43">
        <f t="shared" si="155"/>
        <v>0</v>
      </c>
      <c r="CS116" s="43">
        <f t="shared" si="155"/>
        <v>0</v>
      </c>
      <c r="CT116" s="43">
        <f t="shared" si="155"/>
        <v>0</v>
      </c>
      <c r="CU116" s="57">
        <f t="shared" si="155"/>
        <v>0</v>
      </c>
      <c r="CV116" s="277">
        <f t="shared" ref="CV116:DA116" si="156">+CV46+CV10+CV81</f>
        <v>0</v>
      </c>
      <c r="CW116" s="43">
        <f t="shared" si="156"/>
        <v>0</v>
      </c>
      <c r="CX116" s="43">
        <f t="shared" si="156"/>
        <v>0</v>
      </c>
      <c r="CY116" s="43">
        <f t="shared" si="156"/>
        <v>0</v>
      </c>
      <c r="CZ116" s="43">
        <f t="shared" si="156"/>
        <v>0</v>
      </c>
      <c r="DA116" s="57">
        <f t="shared" si="156"/>
        <v>0</v>
      </c>
      <c r="DB116" s="324">
        <f t="shared" si="96"/>
        <v>0</v>
      </c>
      <c r="DD116">
        <f>+DB116-BUS!HG121</f>
        <v>0</v>
      </c>
    </row>
    <row r="117" spans="1:108">
      <c r="A117" s="238">
        <v>8</v>
      </c>
      <c r="B117" s="239">
        <f t="shared" ref="B117:D117" si="157">+B82+B47+B11</f>
        <v>0</v>
      </c>
      <c r="C117" s="43">
        <f t="shared" si="157"/>
        <v>0</v>
      </c>
      <c r="D117" s="43">
        <f t="shared" si="157"/>
        <v>0</v>
      </c>
      <c r="E117" s="43">
        <f t="shared" ref="E117:F117" si="158">+E82+E47+E11</f>
        <v>0</v>
      </c>
      <c r="F117" s="283">
        <f t="shared" si="158"/>
        <v>0</v>
      </c>
      <c r="G117" s="239">
        <f t="shared" ref="G117:AY117" si="159">+G47+G11+G82</f>
        <v>0</v>
      </c>
      <c r="H117" s="43">
        <f t="shared" si="159"/>
        <v>0</v>
      </c>
      <c r="I117" s="43">
        <f t="shared" si="159"/>
        <v>0</v>
      </c>
      <c r="J117" s="316">
        <f t="shared" si="159"/>
        <v>0</v>
      </c>
      <c r="K117" s="43">
        <f t="shared" si="159"/>
        <v>0</v>
      </c>
      <c r="L117" s="283">
        <f t="shared" ref="L117" si="160">+L47+L11+L82</f>
        <v>0</v>
      </c>
      <c r="M117" s="239">
        <f t="shared" si="159"/>
        <v>0</v>
      </c>
      <c r="N117" s="43">
        <f t="shared" si="159"/>
        <v>0</v>
      </c>
      <c r="O117" s="43">
        <f t="shared" si="159"/>
        <v>0</v>
      </c>
      <c r="P117" s="43">
        <f t="shared" ref="P117:Q117" si="161">+P47+P11+P82</f>
        <v>0</v>
      </c>
      <c r="Q117" s="43">
        <f t="shared" si="161"/>
        <v>0</v>
      </c>
      <c r="R117" s="57">
        <f t="shared" si="159"/>
        <v>0</v>
      </c>
      <c r="S117" s="320">
        <f t="shared" si="159"/>
        <v>0</v>
      </c>
      <c r="T117" s="316">
        <f t="shared" si="159"/>
        <v>0</v>
      </c>
      <c r="U117" s="316">
        <f t="shared" si="159"/>
        <v>0</v>
      </c>
      <c r="V117" s="316">
        <f t="shared" ref="V117" si="162">+V47+V11+V82</f>
        <v>0</v>
      </c>
      <c r="W117" s="316">
        <f t="shared" si="159"/>
        <v>0</v>
      </c>
      <c r="X117" s="321">
        <f t="shared" si="159"/>
        <v>0</v>
      </c>
      <c r="Y117" s="315">
        <f t="shared" si="159"/>
        <v>0</v>
      </c>
      <c r="Z117" s="316">
        <f t="shared" si="159"/>
        <v>0</v>
      </c>
      <c r="AA117" s="316">
        <f t="shared" si="159"/>
        <v>0</v>
      </c>
      <c r="AB117" s="316">
        <f t="shared" si="159"/>
        <v>0</v>
      </c>
      <c r="AC117" s="319">
        <f t="shared" si="159"/>
        <v>0</v>
      </c>
      <c r="AD117" s="315">
        <f t="shared" si="159"/>
        <v>0</v>
      </c>
      <c r="AE117" s="316">
        <f t="shared" si="159"/>
        <v>0</v>
      </c>
      <c r="AF117" s="316">
        <f t="shared" si="159"/>
        <v>0</v>
      </c>
      <c r="AG117" s="316">
        <f t="shared" si="159"/>
        <v>0</v>
      </c>
      <c r="AH117" s="316">
        <f t="shared" si="159"/>
        <v>0</v>
      </c>
      <c r="AI117" s="316">
        <f t="shared" si="159"/>
        <v>0</v>
      </c>
      <c r="AJ117" s="316">
        <f t="shared" si="159"/>
        <v>0</v>
      </c>
      <c r="AK117" s="316">
        <f t="shared" si="159"/>
        <v>0</v>
      </c>
      <c r="AL117" s="316">
        <f t="shared" si="159"/>
        <v>0</v>
      </c>
      <c r="AM117" s="319">
        <f t="shared" si="159"/>
        <v>0</v>
      </c>
      <c r="AN117" s="239">
        <f t="shared" si="159"/>
        <v>0</v>
      </c>
      <c r="AO117" s="43">
        <f t="shared" si="159"/>
        <v>0</v>
      </c>
      <c r="AP117" s="43">
        <f t="shared" si="159"/>
        <v>0</v>
      </c>
      <c r="AQ117" s="43">
        <f t="shared" si="159"/>
        <v>0</v>
      </c>
      <c r="AR117" s="43">
        <f t="shared" si="159"/>
        <v>0</v>
      </c>
      <c r="AS117" s="43">
        <f t="shared" si="159"/>
        <v>0</v>
      </c>
      <c r="AT117" s="43">
        <f t="shared" si="159"/>
        <v>0</v>
      </c>
      <c r="AU117" s="57">
        <f t="shared" si="159"/>
        <v>0</v>
      </c>
      <c r="AV117" s="277">
        <f t="shared" si="159"/>
        <v>0</v>
      </c>
      <c r="AW117" s="43">
        <f t="shared" si="159"/>
        <v>0</v>
      </c>
      <c r="AX117" s="316">
        <f t="shared" si="159"/>
        <v>0</v>
      </c>
      <c r="AY117" s="283">
        <f t="shared" si="159"/>
        <v>0</v>
      </c>
      <c r="AZ117" s="239">
        <f t="shared" ref="AZ117:CC117" si="163">+AZ47+AZ11+AZ82</f>
        <v>0</v>
      </c>
      <c r="BA117" s="43">
        <f t="shared" si="163"/>
        <v>0</v>
      </c>
      <c r="BB117" s="43">
        <f t="shared" si="163"/>
        <v>0</v>
      </c>
      <c r="BC117" s="43">
        <f t="shared" si="163"/>
        <v>0</v>
      </c>
      <c r="BD117" s="43">
        <f t="shared" si="163"/>
        <v>0</v>
      </c>
      <c r="BE117" s="283">
        <f t="shared" si="163"/>
        <v>0</v>
      </c>
      <c r="BF117" s="315">
        <f t="shared" ref="BF117:BQ117" si="164">+BF47+BF11+BF82</f>
        <v>0</v>
      </c>
      <c r="BG117" s="316">
        <f t="shared" si="164"/>
        <v>0</v>
      </c>
      <c r="BH117" s="316">
        <f t="shared" si="164"/>
        <v>0</v>
      </c>
      <c r="BI117" s="316">
        <f t="shared" si="164"/>
        <v>0</v>
      </c>
      <c r="BJ117" s="316">
        <f t="shared" si="164"/>
        <v>0</v>
      </c>
      <c r="BK117" s="316">
        <f t="shared" si="164"/>
        <v>0</v>
      </c>
      <c r="BL117" s="316">
        <f t="shared" si="164"/>
        <v>0</v>
      </c>
      <c r="BM117" s="316">
        <f t="shared" si="164"/>
        <v>0</v>
      </c>
      <c r="BN117" s="316">
        <f t="shared" si="164"/>
        <v>0</v>
      </c>
      <c r="BO117" s="316">
        <f t="shared" si="164"/>
        <v>0</v>
      </c>
      <c r="BP117" s="316">
        <f t="shared" si="164"/>
        <v>0</v>
      </c>
      <c r="BQ117" s="316">
        <f t="shared" si="164"/>
        <v>0</v>
      </c>
      <c r="BR117" s="316">
        <f t="shared" si="163"/>
        <v>0</v>
      </c>
      <c r="BS117" s="316">
        <f t="shared" si="163"/>
        <v>0</v>
      </c>
      <c r="BT117" s="316">
        <f t="shared" si="163"/>
        <v>0</v>
      </c>
      <c r="BU117" s="316">
        <f t="shared" si="163"/>
        <v>0</v>
      </c>
      <c r="BV117" s="316">
        <f t="shared" si="163"/>
        <v>0</v>
      </c>
      <c r="BW117" s="316">
        <f t="shared" si="163"/>
        <v>0</v>
      </c>
      <c r="BX117" s="316">
        <f t="shared" si="163"/>
        <v>0</v>
      </c>
      <c r="BY117" s="316">
        <f t="shared" si="163"/>
        <v>0</v>
      </c>
      <c r="BZ117" s="316">
        <f t="shared" si="163"/>
        <v>0</v>
      </c>
      <c r="CA117" s="316">
        <f t="shared" si="163"/>
        <v>0</v>
      </c>
      <c r="CB117" s="316">
        <f t="shared" si="163"/>
        <v>0</v>
      </c>
      <c r="CC117" s="319">
        <f t="shared" si="163"/>
        <v>0</v>
      </c>
      <c r="CD117" s="277">
        <f t="shared" ref="CD117:CI117" si="165">+CD47+CD11+CD82</f>
        <v>0</v>
      </c>
      <c r="CE117" s="43">
        <f t="shared" si="165"/>
        <v>0</v>
      </c>
      <c r="CF117" s="43">
        <f t="shared" si="165"/>
        <v>0</v>
      </c>
      <c r="CG117" s="43">
        <f t="shared" si="165"/>
        <v>0</v>
      </c>
      <c r="CH117" s="43">
        <f t="shared" si="165"/>
        <v>0</v>
      </c>
      <c r="CI117" s="57">
        <f t="shared" si="165"/>
        <v>0</v>
      </c>
      <c r="CJ117" s="277">
        <f t="shared" ref="CJ117:CO117" si="166">+CJ47+CJ11+CJ82</f>
        <v>0</v>
      </c>
      <c r="CK117" s="43">
        <f t="shared" si="166"/>
        <v>0</v>
      </c>
      <c r="CL117" s="43">
        <f t="shared" si="166"/>
        <v>0</v>
      </c>
      <c r="CM117" s="43">
        <f t="shared" si="166"/>
        <v>0</v>
      </c>
      <c r="CN117" s="43">
        <f t="shared" si="166"/>
        <v>0</v>
      </c>
      <c r="CO117" s="57">
        <f t="shared" si="166"/>
        <v>0</v>
      </c>
      <c r="CP117" s="277">
        <f t="shared" ref="CP117:CU117" si="167">+CP47+CP11+CP82</f>
        <v>0</v>
      </c>
      <c r="CQ117" s="43">
        <f t="shared" si="167"/>
        <v>0</v>
      </c>
      <c r="CR117" s="43">
        <f t="shared" si="167"/>
        <v>0</v>
      </c>
      <c r="CS117" s="43">
        <f t="shared" si="167"/>
        <v>0</v>
      </c>
      <c r="CT117" s="43">
        <f t="shared" si="167"/>
        <v>0</v>
      </c>
      <c r="CU117" s="57">
        <f t="shared" si="167"/>
        <v>0</v>
      </c>
      <c r="CV117" s="277">
        <f t="shared" ref="CV117:DA117" si="168">+CV47+CV11+CV82</f>
        <v>0</v>
      </c>
      <c r="CW117" s="43">
        <f t="shared" si="168"/>
        <v>0</v>
      </c>
      <c r="CX117" s="43">
        <f t="shared" si="168"/>
        <v>0</v>
      </c>
      <c r="CY117" s="43">
        <f t="shared" si="168"/>
        <v>0</v>
      </c>
      <c r="CZ117" s="43">
        <f t="shared" si="168"/>
        <v>0</v>
      </c>
      <c r="DA117" s="57">
        <f t="shared" si="168"/>
        <v>0</v>
      </c>
      <c r="DB117" s="324">
        <f t="shared" si="96"/>
        <v>0</v>
      </c>
      <c r="DD117">
        <f>+DB117-BUS!HG122</f>
        <v>0</v>
      </c>
    </row>
    <row r="118" spans="1:108">
      <c r="A118" s="238">
        <v>9</v>
      </c>
      <c r="B118" s="239">
        <f t="shared" ref="B118:D118" si="169">+B83+B48+B12</f>
        <v>0</v>
      </c>
      <c r="C118" s="43">
        <f t="shared" si="169"/>
        <v>0</v>
      </c>
      <c r="D118" s="43">
        <f t="shared" si="169"/>
        <v>0</v>
      </c>
      <c r="E118" s="43">
        <f t="shared" ref="E118:F118" si="170">+E83+E48+E12</f>
        <v>0</v>
      </c>
      <c r="F118" s="283">
        <f t="shared" si="170"/>
        <v>0</v>
      </c>
      <c r="G118" s="239">
        <f t="shared" ref="G118:AY118" si="171">+G48+G12+G83</f>
        <v>0</v>
      </c>
      <c r="H118" s="43">
        <f t="shared" si="171"/>
        <v>0</v>
      </c>
      <c r="I118" s="43">
        <f t="shared" si="171"/>
        <v>0</v>
      </c>
      <c r="J118" s="316">
        <f t="shared" si="171"/>
        <v>0</v>
      </c>
      <c r="K118" s="43">
        <f t="shared" si="171"/>
        <v>0</v>
      </c>
      <c r="L118" s="283">
        <f t="shared" ref="L118" si="172">+L48+L12+L83</f>
        <v>0</v>
      </c>
      <c r="M118" s="239">
        <f t="shared" si="171"/>
        <v>0</v>
      </c>
      <c r="N118" s="43">
        <f t="shared" si="171"/>
        <v>0</v>
      </c>
      <c r="O118" s="43">
        <f t="shared" si="171"/>
        <v>0</v>
      </c>
      <c r="P118" s="43">
        <f t="shared" ref="P118:Q118" si="173">+P48+P12+P83</f>
        <v>0</v>
      </c>
      <c r="Q118" s="43">
        <f t="shared" si="173"/>
        <v>0</v>
      </c>
      <c r="R118" s="57">
        <f t="shared" si="171"/>
        <v>0</v>
      </c>
      <c r="S118" s="320">
        <f t="shared" si="171"/>
        <v>0</v>
      </c>
      <c r="T118" s="316">
        <f t="shared" si="171"/>
        <v>0</v>
      </c>
      <c r="U118" s="316">
        <f t="shared" si="171"/>
        <v>0</v>
      </c>
      <c r="V118" s="316">
        <f t="shared" ref="V118" si="174">+V48+V12+V83</f>
        <v>0</v>
      </c>
      <c r="W118" s="316">
        <f t="shared" si="171"/>
        <v>0</v>
      </c>
      <c r="X118" s="321">
        <f t="shared" si="171"/>
        <v>0</v>
      </c>
      <c r="Y118" s="315">
        <f t="shared" si="171"/>
        <v>0</v>
      </c>
      <c r="Z118" s="316">
        <f t="shared" si="171"/>
        <v>0</v>
      </c>
      <c r="AA118" s="316">
        <f t="shared" si="171"/>
        <v>0</v>
      </c>
      <c r="AB118" s="316">
        <f t="shared" si="171"/>
        <v>0</v>
      </c>
      <c r="AC118" s="319">
        <f t="shared" si="171"/>
        <v>0</v>
      </c>
      <c r="AD118" s="315">
        <f t="shared" si="171"/>
        <v>0</v>
      </c>
      <c r="AE118" s="316">
        <f t="shared" si="171"/>
        <v>0</v>
      </c>
      <c r="AF118" s="316">
        <f t="shared" si="171"/>
        <v>0</v>
      </c>
      <c r="AG118" s="316">
        <f t="shared" si="171"/>
        <v>0</v>
      </c>
      <c r="AH118" s="316">
        <f t="shared" si="171"/>
        <v>0</v>
      </c>
      <c r="AI118" s="316">
        <f t="shared" si="171"/>
        <v>0</v>
      </c>
      <c r="AJ118" s="316">
        <f t="shared" si="171"/>
        <v>0</v>
      </c>
      <c r="AK118" s="316">
        <f t="shared" si="171"/>
        <v>0</v>
      </c>
      <c r="AL118" s="316">
        <f t="shared" si="171"/>
        <v>0</v>
      </c>
      <c r="AM118" s="319">
        <f t="shared" si="171"/>
        <v>0</v>
      </c>
      <c r="AN118" s="239">
        <f t="shared" si="171"/>
        <v>0</v>
      </c>
      <c r="AO118" s="43">
        <f t="shared" si="171"/>
        <v>0</v>
      </c>
      <c r="AP118" s="43">
        <f t="shared" si="171"/>
        <v>0</v>
      </c>
      <c r="AQ118" s="43">
        <f t="shared" si="171"/>
        <v>0</v>
      </c>
      <c r="AR118" s="43">
        <f t="shared" si="171"/>
        <v>0</v>
      </c>
      <c r="AS118" s="43">
        <f t="shared" si="171"/>
        <v>0</v>
      </c>
      <c r="AT118" s="43">
        <f t="shared" si="171"/>
        <v>0</v>
      </c>
      <c r="AU118" s="57">
        <f t="shared" si="171"/>
        <v>0</v>
      </c>
      <c r="AV118" s="277">
        <f t="shared" si="171"/>
        <v>0</v>
      </c>
      <c r="AW118" s="43">
        <f t="shared" si="171"/>
        <v>0</v>
      </c>
      <c r="AX118" s="316">
        <f t="shared" si="171"/>
        <v>0</v>
      </c>
      <c r="AY118" s="283">
        <f t="shared" si="171"/>
        <v>0</v>
      </c>
      <c r="AZ118" s="239">
        <f t="shared" ref="AZ118:CC118" si="175">+AZ48+AZ12+AZ83</f>
        <v>0</v>
      </c>
      <c r="BA118" s="43">
        <f t="shared" si="175"/>
        <v>0</v>
      </c>
      <c r="BB118" s="43">
        <f t="shared" si="175"/>
        <v>0</v>
      </c>
      <c r="BC118" s="43">
        <f t="shared" si="175"/>
        <v>0</v>
      </c>
      <c r="BD118" s="43">
        <f t="shared" si="175"/>
        <v>0</v>
      </c>
      <c r="BE118" s="283">
        <f t="shared" si="175"/>
        <v>0</v>
      </c>
      <c r="BF118" s="315">
        <f t="shared" ref="BF118:BQ118" si="176">+BF48+BF12+BF83</f>
        <v>0</v>
      </c>
      <c r="BG118" s="316">
        <f t="shared" si="176"/>
        <v>0</v>
      </c>
      <c r="BH118" s="316">
        <f t="shared" si="176"/>
        <v>0</v>
      </c>
      <c r="BI118" s="316">
        <f t="shared" si="176"/>
        <v>0</v>
      </c>
      <c r="BJ118" s="316">
        <f t="shared" si="176"/>
        <v>0</v>
      </c>
      <c r="BK118" s="316">
        <f t="shared" si="176"/>
        <v>0</v>
      </c>
      <c r="BL118" s="316">
        <f t="shared" si="176"/>
        <v>0</v>
      </c>
      <c r="BM118" s="316">
        <f t="shared" si="176"/>
        <v>0</v>
      </c>
      <c r="BN118" s="316">
        <f t="shared" si="176"/>
        <v>0</v>
      </c>
      <c r="BO118" s="316">
        <f t="shared" si="176"/>
        <v>0</v>
      </c>
      <c r="BP118" s="316">
        <f t="shared" si="176"/>
        <v>0</v>
      </c>
      <c r="BQ118" s="316">
        <f t="shared" si="176"/>
        <v>0</v>
      </c>
      <c r="BR118" s="316">
        <f t="shared" si="175"/>
        <v>0</v>
      </c>
      <c r="BS118" s="316">
        <f t="shared" si="175"/>
        <v>0</v>
      </c>
      <c r="BT118" s="316">
        <f t="shared" si="175"/>
        <v>0</v>
      </c>
      <c r="BU118" s="316">
        <f t="shared" si="175"/>
        <v>0</v>
      </c>
      <c r="BV118" s="316">
        <f t="shared" si="175"/>
        <v>0</v>
      </c>
      <c r="BW118" s="316">
        <f t="shared" si="175"/>
        <v>0</v>
      </c>
      <c r="BX118" s="316">
        <f t="shared" si="175"/>
        <v>0</v>
      </c>
      <c r="BY118" s="316">
        <f t="shared" si="175"/>
        <v>0</v>
      </c>
      <c r="BZ118" s="316">
        <f t="shared" si="175"/>
        <v>0</v>
      </c>
      <c r="CA118" s="316">
        <f t="shared" si="175"/>
        <v>0</v>
      </c>
      <c r="CB118" s="316">
        <f t="shared" si="175"/>
        <v>0</v>
      </c>
      <c r="CC118" s="319">
        <f t="shared" si="175"/>
        <v>0</v>
      </c>
      <c r="CD118" s="277">
        <f t="shared" ref="CD118:CI118" si="177">+CD48+CD12+CD83</f>
        <v>0</v>
      </c>
      <c r="CE118" s="43">
        <f t="shared" si="177"/>
        <v>0</v>
      </c>
      <c r="CF118" s="43">
        <f t="shared" si="177"/>
        <v>0</v>
      </c>
      <c r="CG118" s="43">
        <f t="shared" si="177"/>
        <v>0</v>
      </c>
      <c r="CH118" s="43">
        <f t="shared" si="177"/>
        <v>0</v>
      </c>
      <c r="CI118" s="57">
        <f t="shared" si="177"/>
        <v>0</v>
      </c>
      <c r="CJ118" s="277">
        <f t="shared" ref="CJ118:CO118" si="178">+CJ48+CJ12+CJ83</f>
        <v>0</v>
      </c>
      <c r="CK118" s="43">
        <f t="shared" si="178"/>
        <v>0</v>
      </c>
      <c r="CL118" s="43">
        <f t="shared" si="178"/>
        <v>0</v>
      </c>
      <c r="CM118" s="43">
        <f t="shared" si="178"/>
        <v>0</v>
      </c>
      <c r="CN118" s="43">
        <f t="shared" si="178"/>
        <v>0</v>
      </c>
      <c r="CO118" s="57">
        <f t="shared" si="178"/>
        <v>0</v>
      </c>
      <c r="CP118" s="277">
        <f t="shared" ref="CP118:CU118" si="179">+CP48+CP12+CP83</f>
        <v>0</v>
      </c>
      <c r="CQ118" s="43">
        <f t="shared" si="179"/>
        <v>0</v>
      </c>
      <c r="CR118" s="43">
        <f t="shared" si="179"/>
        <v>0</v>
      </c>
      <c r="CS118" s="43">
        <f t="shared" si="179"/>
        <v>0</v>
      </c>
      <c r="CT118" s="43">
        <f t="shared" si="179"/>
        <v>0</v>
      </c>
      <c r="CU118" s="57">
        <f t="shared" si="179"/>
        <v>0</v>
      </c>
      <c r="CV118" s="277">
        <f t="shared" ref="CV118:DA118" si="180">+CV48+CV12+CV83</f>
        <v>0</v>
      </c>
      <c r="CW118" s="43">
        <f t="shared" si="180"/>
        <v>0</v>
      </c>
      <c r="CX118" s="43">
        <f t="shared" si="180"/>
        <v>0</v>
      </c>
      <c r="CY118" s="43">
        <f t="shared" si="180"/>
        <v>0</v>
      </c>
      <c r="CZ118" s="43">
        <f t="shared" si="180"/>
        <v>0</v>
      </c>
      <c r="DA118" s="57">
        <f t="shared" si="180"/>
        <v>0</v>
      </c>
      <c r="DB118" s="324">
        <f t="shared" si="96"/>
        <v>0</v>
      </c>
      <c r="DD118">
        <f>+DB118-BUS!HG123</f>
        <v>0</v>
      </c>
    </row>
    <row r="119" spans="1:108">
      <c r="A119" s="238">
        <v>10</v>
      </c>
      <c r="B119" s="239">
        <f t="shared" ref="B119:D119" si="181">+B84+B49+B13</f>
        <v>0</v>
      </c>
      <c r="C119" s="43">
        <f t="shared" si="181"/>
        <v>0</v>
      </c>
      <c r="D119" s="43">
        <f t="shared" si="181"/>
        <v>0</v>
      </c>
      <c r="E119" s="43">
        <f t="shared" ref="E119:F119" si="182">+E84+E49+E13</f>
        <v>0</v>
      </c>
      <c r="F119" s="283">
        <f t="shared" si="182"/>
        <v>0</v>
      </c>
      <c r="G119" s="239">
        <f t="shared" ref="G119:AY119" si="183">+G49+G13+G84</f>
        <v>0</v>
      </c>
      <c r="H119" s="43">
        <f t="shared" si="183"/>
        <v>0</v>
      </c>
      <c r="I119" s="43">
        <f t="shared" si="183"/>
        <v>0</v>
      </c>
      <c r="J119" s="316">
        <f t="shared" si="183"/>
        <v>0</v>
      </c>
      <c r="K119" s="43">
        <f t="shared" si="183"/>
        <v>0</v>
      </c>
      <c r="L119" s="283">
        <f t="shared" ref="L119" si="184">+L49+L13+L84</f>
        <v>0</v>
      </c>
      <c r="M119" s="239">
        <f t="shared" si="183"/>
        <v>0</v>
      </c>
      <c r="N119" s="43">
        <f t="shared" si="183"/>
        <v>0</v>
      </c>
      <c r="O119" s="43">
        <f t="shared" si="183"/>
        <v>0</v>
      </c>
      <c r="P119" s="43">
        <f t="shared" ref="P119:Q119" si="185">+P49+P13+P84</f>
        <v>0</v>
      </c>
      <c r="Q119" s="43">
        <f t="shared" si="185"/>
        <v>0</v>
      </c>
      <c r="R119" s="57">
        <f t="shared" si="183"/>
        <v>0</v>
      </c>
      <c r="S119" s="320">
        <f t="shared" si="183"/>
        <v>0</v>
      </c>
      <c r="T119" s="316">
        <f t="shared" si="183"/>
        <v>0</v>
      </c>
      <c r="U119" s="316">
        <f t="shared" si="183"/>
        <v>0</v>
      </c>
      <c r="V119" s="316">
        <f t="shared" ref="V119" si="186">+V49+V13+V84</f>
        <v>0</v>
      </c>
      <c r="W119" s="316">
        <f t="shared" si="183"/>
        <v>0</v>
      </c>
      <c r="X119" s="321">
        <f t="shared" si="183"/>
        <v>0</v>
      </c>
      <c r="Y119" s="315">
        <f t="shared" si="183"/>
        <v>0</v>
      </c>
      <c r="Z119" s="316">
        <f t="shared" si="183"/>
        <v>0</v>
      </c>
      <c r="AA119" s="316">
        <f t="shared" si="183"/>
        <v>0</v>
      </c>
      <c r="AB119" s="316">
        <f t="shared" si="183"/>
        <v>0</v>
      </c>
      <c r="AC119" s="319">
        <f t="shared" si="183"/>
        <v>0</v>
      </c>
      <c r="AD119" s="315">
        <f t="shared" si="183"/>
        <v>0</v>
      </c>
      <c r="AE119" s="316">
        <f t="shared" si="183"/>
        <v>0</v>
      </c>
      <c r="AF119" s="316">
        <f t="shared" si="183"/>
        <v>0</v>
      </c>
      <c r="AG119" s="316">
        <f t="shared" si="183"/>
        <v>0</v>
      </c>
      <c r="AH119" s="316">
        <f t="shared" si="183"/>
        <v>0</v>
      </c>
      <c r="AI119" s="316">
        <f t="shared" si="183"/>
        <v>0</v>
      </c>
      <c r="AJ119" s="316">
        <f t="shared" si="183"/>
        <v>0</v>
      </c>
      <c r="AK119" s="316">
        <f t="shared" si="183"/>
        <v>0</v>
      </c>
      <c r="AL119" s="316">
        <f t="shared" si="183"/>
        <v>0</v>
      </c>
      <c r="AM119" s="319">
        <f t="shared" si="183"/>
        <v>0</v>
      </c>
      <c r="AN119" s="239">
        <f t="shared" si="183"/>
        <v>0</v>
      </c>
      <c r="AO119" s="43">
        <f t="shared" si="183"/>
        <v>0</v>
      </c>
      <c r="AP119" s="43">
        <f t="shared" si="183"/>
        <v>0</v>
      </c>
      <c r="AQ119" s="43">
        <f t="shared" si="183"/>
        <v>0</v>
      </c>
      <c r="AR119" s="43">
        <f t="shared" si="183"/>
        <v>0</v>
      </c>
      <c r="AS119" s="43">
        <f t="shared" si="183"/>
        <v>0</v>
      </c>
      <c r="AT119" s="43">
        <f t="shared" si="183"/>
        <v>0</v>
      </c>
      <c r="AU119" s="57">
        <f t="shared" si="183"/>
        <v>0</v>
      </c>
      <c r="AV119" s="277">
        <f t="shared" si="183"/>
        <v>0</v>
      </c>
      <c r="AW119" s="43">
        <f t="shared" si="183"/>
        <v>0</v>
      </c>
      <c r="AX119" s="316">
        <f t="shared" si="183"/>
        <v>0</v>
      </c>
      <c r="AY119" s="283">
        <f t="shared" si="183"/>
        <v>0</v>
      </c>
      <c r="AZ119" s="239">
        <f t="shared" ref="AZ119:CC119" si="187">+AZ49+AZ13+AZ84</f>
        <v>0</v>
      </c>
      <c r="BA119" s="43">
        <f t="shared" si="187"/>
        <v>0</v>
      </c>
      <c r="BB119" s="43">
        <f t="shared" si="187"/>
        <v>0</v>
      </c>
      <c r="BC119" s="43">
        <f t="shared" si="187"/>
        <v>0</v>
      </c>
      <c r="BD119" s="43">
        <f t="shared" si="187"/>
        <v>0</v>
      </c>
      <c r="BE119" s="283">
        <f t="shared" si="187"/>
        <v>0</v>
      </c>
      <c r="BF119" s="315">
        <f t="shared" ref="BF119:BQ119" si="188">+BF49+BF13+BF84</f>
        <v>0</v>
      </c>
      <c r="BG119" s="316">
        <f t="shared" si="188"/>
        <v>0</v>
      </c>
      <c r="BH119" s="316">
        <f t="shared" si="188"/>
        <v>0</v>
      </c>
      <c r="BI119" s="316">
        <f t="shared" si="188"/>
        <v>0</v>
      </c>
      <c r="BJ119" s="316">
        <f t="shared" si="188"/>
        <v>0</v>
      </c>
      <c r="BK119" s="316">
        <f t="shared" si="188"/>
        <v>0</v>
      </c>
      <c r="BL119" s="316">
        <f t="shared" si="188"/>
        <v>0</v>
      </c>
      <c r="BM119" s="316">
        <f t="shared" si="188"/>
        <v>0</v>
      </c>
      <c r="BN119" s="316">
        <f t="shared" si="188"/>
        <v>0</v>
      </c>
      <c r="BO119" s="316">
        <f t="shared" si="188"/>
        <v>0</v>
      </c>
      <c r="BP119" s="316">
        <f t="shared" si="188"/>
        <v>0</v>
      </c>
      <c r="BQ119" s="316">
        <f t="shared" si="188"/>
        <v>0</v>
      </c>
      <c r="BR119" s="316">
        <f t="shared" si="187"/>
        <v>0</v>
      </c>
      <c r="BS119" s="316">
        <f t="shared" si="187"/>
        <v>0</v>
      </c>
      <c r="BT119" s="316">
        <f t="shared" si="187"/>
        <v>0</v>
      </c>
      <c r="BU119" s="316">
        <f t="shared" si="187"/>
        <v>0</v>
      </c>
      <c r="BV119" s="316">
        <f t="shared" si="187"/>
        <v>0</v>
      </c>
      <c r="BW119" s="316">
        <f t="shared" si="187"/>
        <v>0</v>
      </c>
      <c r="BX119" s="316">
        <f t="shared" si="187"/>
        <v>0</v>
      </c>
      <c r="BY119" s="316">
        <f t="shared" si="187"/>
        <v>0</v>
      </c>
      <c r="BZ119" s="316">
        <f t="shared" si="187"/>
        <v>0</v>
      </c>
      <c r="CA119" s="316">
        <f t="shared" si="187"/>
        <v>0</v>
      </c>
      <c r="CB119" s="316">
        <f t="shared" si="187"/>
        <v>0</v>
      </c>
      <c r="CC119" s="319">
        <f t="shared" si="187"/>
        <v>0</v>
      </c>
      <c r="CD119" s="277">
        <f t="shared" ref="CD119:CI119" si="189">+CD49+CD13+CD84</f>
        <v>0</v>
      </c>
      <c r="CE119" s="43">
        <f t="shared" si="189"/>
        <v>0</v>
      </c>
      <c r="CF119" s="43">
        <f t="shared" si="189"/>
        <v>0</v>
      </c>
      <c r="CG119" s="43">
        <f t="shared" si="189"/>
        <v>0</v>
      </c>
      <c r="CH119" s="43">
        <f t="shared" si="189"/>
        <v>0</v>
      </c>
      <c r="CI119" s="57">
        <f t="shared" si="189"/>
        <v>0</v>
      </c>
      <c r="CJ119" s="277">
        <f t="shared" ref="CJ119:CO119" si="190">+CJ49+CJ13+CJ84</f>
        <v>0</v>
      </c>
      <c r="CK119" s="43">
        <f t="shared" si="190"/>
        <v>0</v>
      </c>
      <c r="CL119" s="43">
        <f t="shared" si="190"/>
        <v>0</v>
      </c>
      <c r="CM119" s="43">
        <f t="shared" si="190"/>
        <v>0</v>
      </c>
      <c r="CN119" s="43">
        <f t="shared" si="190"/>
        <v>0</v>
      </c>
      <c r="CO119" s="57">
        <f t="shared" si="190"/>
        <v>0</v>
      </c>
      <c r="CP119" s="277">
        <f t="shared" ref="CP119:CU119" si="191">+CP49+CP13+CP84</f>
        <v>0</v>
      </c>
      <c r="CQ119" s="43">
        <f t="shared" si="191"/>
        <v>0</v>
      </c>
      <c r="CR119" s="43">
        <f t="shared" si="191"/>
        <v>0</v>
      </c>
      <c r="CS119" s="43">
        <f t="shared" si="191"/>
        <v>0</v>
      </c>
      <c r="CT119" s="43">
        <f t="shared" si="191"/>
        <v>0</v>
      </c>
      <c r="CU119" s="57">
        <f t="shared" si="191"/>
        <v>0</v>
      </c>
      <c r="CV119" s="277">
        <f t="shared" ref="CV119:DA119" si="192">+CV49+CV13+CV84</f>
        <v>0</v>
      </c>
      <c r="CW119" s="43">
        <f t="shared" si="192"/>
        <v>0</v>
      </c>
      <c r="CX119" s="43">
        <f t="shared" si="192"/>
        <v>0</v>
      </c>
      <c r="CY119" s="43">
        <f t="shared" si="192"/>
        <v>0</v>
      </c>
      <c r="CZ119" s="43">
        <f t="shared" si="192"/>
        <v>0</v>
      </c>
      <c r="DA119" s="57">
        <f t="shared" si="192"/>
        <v>0</v>
      </c>
      <c r="DB119" s="324">
        <f t="shared" si="96"/>
        <v>0</v>
      </c>
      <c r="DD119">
        <f>+DB119-BUS!HG124</f>
        <v>0</v>
      </c>
    </row>
    <row r="120" spans="1:108">
      <c r="A120" s="238">
        <v>11</v>
      </c>
      <c r="B120" s="239">
        <f t="shared" ref="B120:D120" si="193">+B85+B50+B14</f>
        <v>0</v>
      </c>
      <c r="C120" s="43">
        <f t="shared" si="193"/>
        <v>0</v>
      </c>
      <c r="D120" s="43">
        <f t="shared" si="193"/>
        <v>0</v>
      </c>
      <c r="E120" s="43">
        <f t="shared" ref="E120:F120" si="194">+E85+E50+E14</f>
        <v>0</v>
      </c>
      <c r="F120" s="283">
        <f t="shared" si="194"/>
        <v>0</v>
      </c>
      <c r="G120" s="239">
        <f t="shared" ref="G120:AY120" si="195">+G50+G14+G85</f>
        <v>0</v>
      </c>
      <c r="H120" s="43">
        <f t="shared" si="195"/>
        <v>0</v>
      </c>
      <c r="I120" s="43">
        <f t="shared" si="195"/>
        <v>0</v>
      </c>
      <c r="J120" s="316">
        <f t="shared" si="195"/>
        <v>0</v>
      </c>
      <c r="K120" s="43">
        <f t="shared" si="195"/>
        <v>0</v>
      </c>
      <c r="L120" s="283">
        <f t="shared" ref="L120" si="196">+L50+L14+L85</f>
        <v>0</v>
      </c>
      <c r="M120" s="239">
        <f t="shared" si="195"/>
        <v>0</v>
      </c>
      <c r="N120" s="43">
        <f t="shared" si="195"/>
        <v>0</v>
      </c>
      <c r="O120" s="43">
        <f t="shared" si="195"/>
        <v>0</v>
      </c>
      <c r="P120" s="43">
        <f t="shared" ref="P120:Q120" si="197">+P50+P14+P85</f>
        <v>0</v>
      </c>
      <c r="Q120" s="43">
        <f t="shared" si="197"/>
        <v>0</v>
      </c>
      <c r="R120" s="57">
        <f t="shared" si="195"/>
        <v>0</v>
      </c>
      <c r="S120" s="320">
        <f t="shared" si="195"/>
        <v>0</v>
      </c>
      <c r="T120" s="316">
        <f t="shared" si="195"/>
        <v>0</v>
      </c>
      <c r="U120" s="316">
        <f t="shared" si="195"/>
        <v>0</v>
      </c>
      <c r="V120" s="316">
        <f t="shared" ref="V120" si="198">+V50+V14+V85</f>
        <v>0</v>
      </c>
      <c r="W120" s="316">
        <f t="shared" si="195"/>
        <v>0</v>
      </c>
      <c r="X120" s="321">
        <f t="shared" si="195"/>
        <v>0</v>
      </c>
      <c r="Y120" s="315">
        <f t="shared" si="195"/>
        <v>0</v>
      </c>
      <c r="Z120" s="316">
        <f t="shared" si="195"/>
        <v>0</v>
      </c>
      <c r="AA120" s="316">
        <f t="shared" si="195"/>
        <v>0</v>
      </c>
      <c r="AB120" s="316">
        <f t="shared" si="195"/>
        <v>0</v>
      </c>
      <c r="AC120" s="319">
        <f t="shared" si="195"/>
        <v>0</v>
      </c>
      <c r="AD120" s="315">
        <f t="shared" si="195"/>
        <v>0</v>
      </c>
      <c r="AE120" s="316">
        <f t="shared" si="195"/>
        <v>0</v>
      </c>
      <c r="AF120" s="316">
        <f t="shared" si="195"/>
        <v>0</v>
      </c>
      <c r="AG120" s="316">
        <f t="shared" si="195"/>
        <v>0</v>
      </c>
      <c r="AH120" s="316">
        <f t="shared" si="195"/>
        <v>0</v>
      </c>
      <c r="AI120" s="316">
        <f t="shared" si="195"/>
        <v>0</v>
      </c>
      <c r="AJ120" s="316">
        <f t="shared" si="195"/>
        <v>0</v>
      </c>
      <c r="AK120" s="316">
        <f t="shared" si="195"/>
        <v>0</v>
      </c>
      <c r="AL120" s="316">
        <f t="shared" si="195"/>
        <v>0</v>
      </c>
      <c r="AM120" s="319">
        <f t="shared" si="195"/>
        <v>0</v>
      </c>
      <c r="AN120" s="239">
        <f t="shared" si="195"/>
        <v>0</v>
      </c>
      <c r="AO120" s="43">
        <f t="shared" si="195"/>
        <v>0</v>
      </c>
      <c r="AP120" s="43">
        <f t="shared" si="195"/>
        <v>0</v>
      </c>
      <c r="AQ120" s="43">
        <f t="shared" si="195"/>
        <v>0</v>
      </c>
      <c r="AR120" s="43">
        <f t="shared" si="195"/>
        <v>0</v>
      </c>
      <c r="AS120" s="43">
        <f t="shared" si="195"/>
        <v>0</v>
      </c>
      <c r="AT120" s="43">
        <f t="shared" si="195"/>
        <v>0</v>
      </c>
      <c r="AU120" s="57">
        <f t="shared" si="195"/>
        <v>0</v>
      </c>
      <c r="AV120" s="277">
        <f t="shared" si="195"/>
        <v>0</v>
      </c>
      <c r="AW120" s="43">
        <f t="shared" si="195"/>
        <v>0</v>
      </c>
      <c r="AX120" s="316">
        <f t="shared" si="195"/>
        <v>0</v>
      </c>
      <c r="AY120" s="283">
        <f t="shared" si="195"/>
        <v>0</v>
      </c>
      <c r="AZ120" s="239">
        <f t="shared" ref="AZ120:CC120" si="199">+AZ50+AZ14+AZ85</f>
        <v>0</v>
      </c>
      <c r="BA120" s="43">
        <f t="shared" si="199"/>
        <v>0</v>
      </c>
      <c r="BB120" s="43">
        <f t="shared" si="199"/>
        <v>0</v>
      </c>
      <c r="BC120" s="43">
        <f t="shared" si="199"/>
        <v>0</v>
      </c>
      <c r="BD120" s="43">
        <f t="shared" si="199"/>
        <v>0</v>
      </c>
      <c r="BE120" s="283">
        <f t="shared" si="199"/>
        <v>0</v>
      </c>
      <c r="BF120" s="315">
        <f t="shared" ref="BF120:BQ120" si="200">+BF50+BF14+BF85</f>
        <v>0</v>
      </c>
      <c r="BG120" s="316">
        <f t="shared" si="200"/>
        <v>0</v>
      </c>
      <c r="BH120" s="316">
        <f t="shared" si="200"/>
        <v>0</v>
      </c>
      <c r="BI120" s="316">
        <f t="shared" si="200"/>
        <v>0</v>
      </c>
      <c r="BJ120" s="316">
        <f t="shared" si="200"/>
        <v>0</v>
      </c>
      <c r="BK120" s="316">
        <f t="shared" si="200"/>
        <v>0</v>
      </c>
      <c r="BL120" s="316">
        <f t="shared" si="200"/>
        <v>0</v>
      </c>
      <c r="BM120" s="316">
        <f t="shared" si="200"/>
        <v>0</v>
      </c>
      <c r="BN120" s="316">
        <f t="shared" si="200"/>
        <v>0</v>
      </c>
      <c r="BO120" s="316">
        <f t="shared" si="200"/>
        <v>0</v>
      </c>
      <c r="BP120" s="316">
        <f t="shared" si="200"/>
        <v>0</v>
      </c>
      <c r="BQ120" s="316">
        <f t="shared" si="200"/>
        <v>0</v>
      </c>
      <c r="BR120" s="316">
        <f t="shared" si="199"/>
        <v>0</v>
      </c>
      <c r="BS120" s="316">
        <f t="shared" si="199"/>
        <v>0</v>
      </c>
      <c r="BT120" s="316">
        <f t="shared" si="199"/>
        <v>0</v>
      </c>
      <c r="BU120" s="316">
        <f t="shared" si="199"/>
        <v>0</v>
      </c>
      <c r="BV120" s="316">
        <f t="shared" si="199"/>
        <v>0</v>
      </c>
      <c r="BW120" s="316">
        <f t="shared" si="199"/>
        <v>0</v>
      </c>
      <c r="BX120" s="316">
        <f t="shared" si="199"/>
        <v>0</v>
      </c>
      <c r="BY120" s="316">
        <f t="shared" si="199"/>
        <v>0</v>
      </c>
      <c r="BZ120" s="316">
        <f t="shared" si="199"/>
        <v>0</v>
      </c>
      <c r="CA120" s="316">
        <f t="shared" si="199"/>
        <v>0</v>
      </c>
      <c r="CB120" s="316">
        <f t="shared" si="199"/>
        <v>0</v>
      </c>
      <c r="CC120" s="319">
        <f t="shared" si="199"/>
        <v>0</v>
      </c>
      <c r="CD120" s="277">
        <f t="shared" ref="CD120:CI120" si="201">+CD50+CD14+CD85</f>
        <v>0</v>
      </c>
      <c r="CE120" s="43">
        <f t="shared" si="201"/>
        <v>0</v>
      </c>
      <c r="CF120" s="43">
        <f t="shared" si="201"/>
        <v>0</v>
      </c>
      <c r="CG120" s="43">
        <f t="shared" si="201"/>
        <v>0</v>
      </c>
      <c r="CH120" s="43">
        <f t="shared" si="201"/>
        <v>0</v>
      </c>
      <c r="CI120" s="57">
        <f t="shared" si="201"/>
        <v>0</v>
      </c>
      <c r="CJ120" s="277">
        <f t="shared" ref="CJ120:CO120" si="202">+CJ50+CJ14+CJ85</f>
        <v>0</v>
      </c>
      <c r="CK120" s="43">
        <f t="shared" si="202"/>
        <v>0</v>
      </c>
      <c r="CL120" s="43">
        <f t="shared" si="202"/>
        <v>0</v>
      </c>
      <c r="CM120" s="43">
        <f t="shared" si="202"/>
        <v>0</v>
      </c>
      <c r="CN120" s="43">
        <f t="shared" si="202"/>
        <v>0</v>
      </c>
      <c r="CO120" s="57">
        <f t="shared" si="202"/>
        <v>0</v>
      </c>
      <c r="CP120" s="277">
        <f t="shared" ref="CP120:CU120" si="203">+CP50+CP14+CP85</f>
        <v>0</v>
      </c>
      <c r="CQ120" s="43">
        <f t="shared" si="203"/>
        <v>0</v>
      </c>
      <c r="CR120" s="43">
        <f t="shared" si="203"/>
        <v>0</v>
      </c>
      <c r="CS120" s="43">
        <f t="shared" si="203"/>
        <v>0</v>
      </c>
      <c r="CT120" s="43">
        <f t="shared" si="203"/>
        <v>0</v>
      </c>
      <c r="CU120" s="57">
        <f t="shared" si="203"/>
        <v>0</v>
      </c>
      <c r="CV120" s="277">
        <f t="shared" ref="CV120:DA120" si="204">+CV50+CV14+CV85</f>
        <v>0</v>
      </c>
      <c r="CW120" s="43">
        <f t="shared" si="204"/>
        <v>0</v>
      </c>
      <c r="CX120" s="43">
        <f t="shared" si="204"/>
        <v>0</v>
      </c>
      <c r="CY120" s="43">
        <f t="shared" si="204"/>
        <v>0</v>
      </c>
      <c r="CZ120" s="43">
        <f t="shared" si="204"/>
        <v>0</v>
      </c>
      <c r="DA120" s="57">
        <f t="shared" si="204"/>
        <v>0</v>
      </c>
      <c r="DB120" s="324">
        <f t="shared" si="96"/>
        <v>0</v>
      </c>
      <c r="DD120">
        <f>+DB120-BUS!HG125</f>
        <v>0</v>
      </c>
    </row>
    <row r="121" spans="1:108">
      <c r="A121" s="238">
        <v>12</v>
      </c>
      <c r="B121" s="239">
        <f t="shared" ref="B121:D121" si="205">+B86+B51+B15</f>
        <v>0</v>
      </c>
      <c r="C121" s="43">
        <f t="shared" si="205"/>
        <v>0</v>
      </c>
      <c r="D121" s="43">
        <f t="shared" si="205"/>
        <v>0</v>
      </c>
      <c r="E121" s="43">
        <f t="shared" ref="E121:F121" si="206">+E86+E51+E15</f>
        <v>0</v>
      </c>
      <c r="F121" s="283">
        <f t="shared" si="206"/>
        <v>0</v>
      </c>
      <c r="G121" s="239">
        <f t="shared" ref="G121:AY121" si="207">+G51+G15+G86</f>
        <v>0</v>
      </c>
      <c r="H121" s="43">
        <f t="shared" si="207"/>
        <v>0</v>
      </c>
      <c r="I121" s="43">
        <f t="shared" si="207"/>
        <v>0</v>
      </c>
      <c r="J121" s="316">
        <f t="shared" si="207"/>
        <v>0</v>
      </c>
      <c r="K121" s="43">
        <f t="shared" si="207"/>
        <v>0</v>
      </c>
      <c r="L121" s="283">
        <f t="shared" ref="L121" si="208">+L51+L15+L86</f>
        <v>0</v>
      </c>
      <c r="M121" s="239">
        <f t="shared" si="207"/>
        <v>0</v>
      </c>
      <c r="N121" s="43">
        <f t="shared" si="207"/>
        <v>0</v>
      </c>
      <c r="O121" s="43">
        <f t="shared" si="207"/>
        <v>0</v>
      </c>
      <c r="P121" s="43">
        <f t="shared" ref="P121:Q121" si="209">+P51+P15+P86</f>
        <v>0</v>
      </c>
      <c r="Q121" s="43">
        <f t="shared" si="209"/>
        <v>0</v>
      </c>
      <c r="R121" s="57">
        <f t="shared" si="207"/>
        <v>0</v>
      </c>
      <c r="S121" s="320">
        <f t="shared" si="207"/>
        <v>0</v>
      </c>
      <c r="T121" s="316">
        <f t="shared" si="207"/>
        <v>0</v>
      </c>
      <c r="U121" s="316">
        <f t="shared" si="207"/>
        <v>0</v>
      </c>
      <c r="V121" s="316">
        <f t="shared" ref="V121" si="210">+V51+V15+V86</f>
        <v>0</v>
      </c>
      <c r="W121" s="316">
        <f t="shared" si="207"/>
        <v>0</v>
      </c>
      <c r="X121" s="321">
        <f t="shared" si="207"/>
        <v>0</v>
      </c>
      <c r="Y121" s="315">
        <f t="shared" si="207"/>
        <v>0</v>
      </c>
      <c r="Z121" s="316">
        <f t="shared" si="207"/>
        <v>0</v>
      </c>
      <c r="AA121" s="316">
        <f t="shared" si="207"/>
        <v>0</v>
      </c>
      <c r="AB121" s="316">
        <f t="shared" si="207"/>
        <v>0</v>
      </c>
      <c r="AC121" s="319">
        <f t="shared" si="207"/>
        <v>0</v>
      </c>
      <c r="AD121" s="315">
        <f t="shared" si="207"/>
        <v>0</v>
      </c>
      <c r="AE121" s="316">
        <f t="shared" si="207"/>
        <v>0</v>
      </c>
      <c r="AF121" s="316">
        <f t="shared" si="207"/>
        <v>0</v>
      </c>
      <c r="AG121" s="316">
        <f t="shared" si="207"/>
        <v>0</v>
      </c>
      <c r="AH121" s="316">
        <f t="shared" si="207"/>
        <v>0</v>
      </c>
      <c r="AI121" s="316">
        <f t="shared" si="207"/>
        <v>0</v>
      </c>
      <c r="AJ121" s="316">
        <f t="shared" si="207"/>
        <v>0</v>
      </c>
      <c r="AK121" s="316">
        <f t="shared" si="207"/>
        <v>0</v>
      </c>
      <c r="AL121" s="316">
        <f t="shared" si="207"/>
        <v>0</v>
      </c>
      <c r="AM121" s="319">
        <f t="shared" si="207"/>
        <v>0</v>
      </c>
      <c r="AN121" s="239">
        <f t="shared" si="207"/>
        <v>0</v>
      </c>
      <c r="AO121" s="43">
        <f t="shared" si="207"/>
        <v>0</v>
      </c>
      <c r="AP121" s="43">
        <f t="shared" si="207"/>
        <v>0</v>
      </c>
      <c r="AQ121" s="43">
        <f t="shared" si="207"/>
        <v>0</v>
      </c>
      <c r="AR121" s="43">
        <f t="shared" si="207"/>
        <v>0</v>
      </c>
      <c r="AS121" s="43">
        <f t="shared" si="207"/>
        <v>0</v>
      </c>
      <c r="AT121" s="43">
        <f t="shared" si="207"/>
        <v>0</v>
      </c>
      <c r="AU121" s="57">
        <f t="shared" si="207"/>
        <v>0</v>
      </c>
      <c r="AV121" s="277">
        <f t="shared" si="207"/>
        <v>0</v>
      </c>
      <c r="AW121" s="43">
        <f t="shared" si="207"/>
        <v>0</v>
      </c>
      <c r="AX121" s="316">
        <f t="shared" si="207"/>
        <v>0</v>
      </c>
      <c r="AY121" s="283">
        <f t="shared" si="207"/>
        <v>0</v>
      </c>
      <c r="AZ121" s="239">
        <f t="shared" ref="AZ121:CC121" si="211">+AZ51+AZ15+AZ86</f>
        <v>0</v>
      </c>
      <c r="BA121" s="43">
        <f t="shared" si="211"/>
        <v>0</v>
      </c>
      <c r="BB121" s="43">
        <f t="shared" si="211"/>
        <v>0</v>
      </c>
      <c r="BC121" s="43">
        <f t="shared" si="211"/>
        <v>0</v>
      </c>
      <c r="BD121" s="43">
        <f t="shared" si="211"/>
        <v>0</v>
      </c>
      <c r="BE121" s="283">
        <f t="shared" si="211"/>
        <v>0</v>
      </c>
      <c r="BF121" s="315">
        <f t="shared" ref="BF121:BQ121" si="212">+BF51+BF15+BF86</f>
        <v>0</v>
      </c>
      <c r="BG121" s="316">
        <f t="shared" si="212"/>
        <v>0</v>
      </c>
      <c r="BH121" s="316">
        <f t="shared" si="212"/>
        <v>0</v>
      </c>
      <c r="BI121" s="316">
        <f t="shared" si="212"/>
        <v>0</v>
      </c>
      <c r="BJ121" s="316">
        <f t="shared" si="212"/>
        <v>0</v>
      </c>
      <c r="BK121" s="316">
        <f t="shared" si="212"/>
        <v>0</v>
      </c>
      <c r="BL121" s="316">
        <f t="shared" si="212"/>
        <v>0</v>
      </c>
      <c r="BM121" s="316">
        <f t="shared" si="212"/>
        <v>0</v>
      </c>
      <c r="BN121" s="316">
        <f t="shared" si="212"/>
        <v>0</v>
      </c>
      <c r="BO121" s="316">
        <f t="shared" si="212"/>
        <v>0</v>
      </c>
      <c r="BP121" s="316">
        <f t="shared" si="212"/>
        <v>0</v>
      </c>
      <c r="BQ121" s="316">
        <f t="shared" si="212"/>
        <v>0</v>
      </c>
      <c r="BR121" s="316">
        <f t="shared" si="211"/>
        <v>0</v>
      </c>
      <c r="BS121" s="316">
        <f t="shared" si="211"/>
        <v>0</v>
      </c>
      <c r="BT121" s="316">
        <f t="shared" si="211"/>
        <v>0</v>
      </c>
      <c r="BU121" s="316">
        <f t="shared" si="211"/>
        <v>0</v>
      </c>
      <c r="BV121" s="316">
        <f t="shared" si="211"/>
        <v>0</v>
      </c>
      <c r="BW121" s="316">
        <f t="shared" si="211"/>
        <v>0</v>
      </c>
      <c r="BX121" s="316">
        <f t="shared" si="211"/>
        <v>0</v>
      </c>
      <c r="BY121" s="316">
        <f t="shared" si="211"/>
        <v>0</v>
      </c>
      <c r="BZ121" s="316">
        <f t="shared" si="211"/>
        <v>0</v>
      </c>
      <c r="CA121" s="316">
        <f t="shared" si="211"/>
        <v>0</v>
      </c>
      <c r="CB121" s="316">
        <f t="shared" si="211"/>
        <v>0</v>
      </c>
      <c r="CC121" s="319">
        <f t="shared" si="211"/>
        <v>0</v>
      </c>
      <c r="CD121" s="277">
        <f t="shared" ref="CD121:CI121" si="213">+CD51+CD15+CD86</f>
        <v>0</v>
      </c>
      <c r="CE121" s="43">
        <f t="shared" si="213"/>
        <v>0</v>
      </c>
      <c r="CF121" s="43">
        <f t="shared" si="213"/>
        <v>0</v>
      </c>
      <c r="CG121" s="43">
        <f t="shared" si="213"/>
        <v>0</v>
      </c>
      <c r="CH121" s="43">
        <f t="shared" si="213"/>
        <v>0</v>
      </c>
      <c r="CI121" s="57">
        <f t="shared" si="213"/>
        <v>0</v>
      </c>
      <c r="CJ121" s="277">
        <f t="shared" ref="CJ121:CO121" si="214">+CJ51+CJ15+CJ86</f>
        <v>0</v>
      </c>
      <c r="CK121" s="43">
        <f t="shared" si="214"/>
        <v>0</v>
      </c>
      <c r="CL121" s="43">
        <f t="shared" si="214"/>
        <v>0</v>
      </c>
      <c r="CM121" s="43">
        <f t="shared" si="214"/>
        <v>0</v>
      </c>
      <c r="CN121" s="43">
        <f t="shared" si="214"/>
        <v>0</v>
      </c>
      <c r="CO121" s="57">
        <f t="shared" si="214"/>
        <v>0</v>
      </c>
      <c r="CP121" s="277">
        <f t="shared" ref="CP121:CU121" si="215">+CP51+CP15+CP86</f>
        <v>0</v>
      </c>
      <c r="CQ121" s="43">
        <f t="shared" si="215"/>
        <v>0</v>
      </c>
      <c r="CR121" s="43">
        <f t="shared" si="215"/>
        <v>0</v>
      </c>
      <c r="CS121" s="43">
        <f t="shared" si="215"/>
        <v>0</v>
      </c>
      <c r="CT121" s="43">
        <f t="shared" si="215"/>
        <v>0</v>
      </c>
      <c r="CU121" s="57">
        <f t="shared" si="215"/>
        <v>0</v>
      </c>
      <c r="CV121" s="277">
        <f t="shared" ref="CV121:DA121" si="216">+CV51+CV15+CV86</f>
        <v>0</v>
      </c>
      <c r="CW121" s="43">
        <f t="shared" si="216"/>
        <v>0</v>
      </c>
      <c r="CX121" s="43">
        <f t="shared" si="216"/>
        <v>0</v>
      </c>
      <c r="CY121" s="43">
        <f t="shared" si="216"/>
        <v>0</v>
      </c>
      <c r="CZ121" s="43">
        <f t="shared" si="216"/>
        <v>0</v>
      </c>
      <c r="DA121" s="57">
        <f t="shared" si="216"/>
        <v>0</v>
      </c>
      <c r="DB121" s="324">
        <f t="shared" si="96"/>
        <v>0</v>
      </c>
      <c r="DD121">
        <f>+DB121-BUS!HG126</f>
        <v>0</v>
      </c>
    </row>
    <row r="122" spans="1:108">
      <c r="A122" s="238">
        <v>13</v>
      </c>
      <c r="B122" s="239">
        <f t="shared" ref="B122:D122" si="217">+B87+B52+B16</f>
        <v>0</v>
      </c>
      <c r="C122" s="43">
        <f t="shared" si="217"/>
        <v>0</v>
      </c>
      <c r="D122" s="43">
        <f t="shared" si="217"/>
        <v>0</v>
      </c>
      <c r="E122" s="43">
        <f t="shared" ref="E122:F122" si="218">+E87+E52+E16</f>
        <v>0</v>
      </c>
      <c r="F122" s="283">
        <f t="shared" si="218"/>
        <v>0</v>
      </c>
      <c r="G122" s="239">
        <f t="shared" ref="G122:AY122" si="219">+G52+G16+G87</f>
        <v>0</v>
      </c>
      <c r="H122" s="43">
        <f t="shared" si="219"/>
        <v>0</v>
      </c>
      <c r="I122" s="43">
        <f t="shared" si="219"/>
        <v>0</v>
      </c>
      <c r="J122" s="316">
        <f t="shared" si="219"/>
        <v>0</v>
      </c>
      <c r="K122" s="43">
        <f t="shared" si="219"/>
        <v>0</v>
      </c>
      <c r="L122" s="283">
        <f t="shared" ref="L122" si="220">+L52+L16+L87</f>
        <v>0</v>
      </c>
      <c r="M122" s="239">
        <f t="shared" si="219"/>
        <v>0</v>
      </c>
      <c r="N122" s="43">
        <f t="shared" si="219"/>
        <v>0</v>
      </c>
      <c r="O122" s="43">
        <f t="shared" si="219"/>
        <v>0</v>
      </c>
      <c r="P122" s="43">
        <f t="shared" ref="P122:Q122" si="221">+P52+P16+P87</f>
        <v>0</v>
      </c>
      <c r="Q122" s="43">
        <f t="shared" si="221"/>
        <v>0</v>
      </c>
      <c r="R122" s="57">
        <f t="shared" si="219"/>
        <v>0</v>
      </c>
      <c r="S122" s="320">
        <f t="shared" si="219"/>
        <v>0</v>
      </c>
      <c r="T122" s="316">
        <f t="shared" si="219"/>
        <v>0</v>
      </c>
      <c r="U122" s="316">
        <f t="shared" si="219"/>
        <v>0</v>
      </c>
      <c r="V122" s="316">
        <f t="shared" ref="V122" si="222">+V52+V16+V87</f>
        <v>0</v>
      </c>
      <c r="W122" s="316">
        <f t="shared" si="219"/>
        <v>0</v>
      </c>
      <c r="X122" s="321">
        <f t="shared" si="219"/>
        <v>0</v>
      </c>
      <c r="Y122" s="315">
        <f t="shared" si="219"/>
        <v>0</v>
      </c>
      <c r="Z122" s="316">
        <f t="shared" si="219"/>
        <v>0</v>
      </c>
      <c r="AA122" s="316">
        <f t="shared" si="219"/>
        <v>0</v>
      </c>
      <c r="AB122" s="316">
        <f t="shared" si="219"/>
        <v>0</v>
      </c>
      <c r="AC122" s="319">
        <f t="shared" si="219"/>
        <v>0</v>
      </c>
      <c r="AD122" s="315">
        <f t="shared" si="219"/>
        <v>0</v>
      </c>
      <c r="AE122" s="316">
        <f t="shared" si="219"/>
        <v>0</v>
      </c>
      <c r="AF122" s="316">
        <f t="shared" si="219"/>
        <v>0</v>
      </c>
      <c r="AG122" s="316">
        <f t="shared" si="219"/>
        <v>0</v>
      </c>
      <c r="AH122" s="316">
        <f t="shared" si="219"/>
        <v>0</v>
      </c>
      <c r="AI122" s="316">
        <f t="shared" si="219"/>
        <v>0</v>
      </c>
      <c r="AJ122" s="316">
        <f t="shared" si="219"/>
        <v>0</v>
      </c>
      <c r="AK122" s="316">
        <f t="shared" si="219"/>
        <v>0</v>
      </c>
      <c r="AL122" s="316">
        <f t="shared" si="219"/>
        <v>0</v>
      </c>
      <c r="AM122" s="319">
        <f t="shared" si="219"/>
        <v>0</v>
      </c>
      <c r="AN122" s="239">
        <f t="shared" si="219"/>
        <v>0</v>
      </c>
      <c r="AO122" s="43">
        <f t="shared" si="219"/>
        <v>0</v>
      </c>
      <c r="AP122" s="43">
        <f t="shared" si="219"/>
        <v>0</v>
      </c>
      <c r="AQ122" s="43">
        <f t="shared" si="219"/>
        <v>0</v>
      </c>
      <c r="AR122" s="43">
        <f t="shared" si="219"/>
        <v>0</v>
      </c>
      <c r="AS122" s="43">
        <f t="shared" si="219"/>
        <v>0</v>
      </c>
      <c r="AT122" s="43">
        <f t="shared" si="219"/>
        <v>0</v>
      </c>
      <c r="AU122" s="57">
        <f t="shared" si="219"/>
        <v>0</v>
      </c>
      <c r="AV122" s="277">
        <f t="shared" si="219"/>
        <v>0</v>
      </c>
      <c r="AW122" s="43">
        <f t="shared" si="219"/>
        <v>0</v>
      </c>
      <c r="AX122" s="316">
        <f t="shared" si="219"/>
        <v>0</v>
      </c>
      <c r="AY122" s="283">
        <f t="shared" si="219"/>
        <v>0</v>
      </c>
      <c r="AZ122" s="239">
        <f t="shared" ref="AZ122:CC122" si="223">+AZ52+AZ16+AZ87</f>
        <v>0</v>
      </c>
      <c r="BA122" s="43">
        <f t="shared" si="223"/>
        <v>0</v>
      </c>
      <c r="BB122" s="43">
        <f t="shared" si="223"/>
        <v>0</v>
      </c>
      <c r="BC122" s="43">
        <f t="shared" si="223"/>
        <v>0</v>
      </c>
      <c r="BD122" s="43">
        <f t="shared" si="223"/>
        <v>0</v>
      </c>
      <c r="BE122" s="283">
        <f t="shared" si="223"/>
        <v>0</v>
      </c>
      <c r="BF122" s="315">
        <f t="shared" ref="BF122:BQ122" si="224">+BF52+BF16+BF87</f>
        <v>0</v>
      </c>
      <c r="BG122" s="316">
        <f t="shared" si="224"/>
        <v>0</v>
      </c>
      <c r="BH122" s="316">
        <f t="shared" si="224"/>
        <v>0</v>
      </c>
      <c r="BI122" s="316">
        <f t="shared" si="224"/>
        <v>0</v>
      </c>
      <c r="BJ122" s="316">
        <f t="shared" si="224"/>
        <v>0</v>
      </c>
      <c r="BK122" s="316">
        <f t="shared" si="224"/>
        <v>0</v>
      </c>
      <c r="BL122" s="316">
        <f t="shared" si="224"/>
        <v>0</v>
      </c>
      <c r="BM122" s="316">
        <f t="shared" si="224"/>
        <v>0</v>
      </c>
      <c r="BN122" s="316">
        <f t="shared" si="224"/>
        <v>0</v>
      </c>
      <c r="BO122" s="316">
        <f t="shared" si="224"/>
        <v>0</v>
      </c>
      <c r="BP122" s="316">
        <f t="shared" si="224"/>
        <v>0</v>
      </c>
      <c r="BQ122" s="316">
        <f t="shared" si="224"/>
        <v>0</v>
      </c>
      <c r="BR122" s="316">
        <f t="shared" si="223"/>
        <v>0</v>
      </c>
      <c r="BS122" s="316">
        <f t="shared" si="223"/>
        <v>0</v>
      </c>
      <c r="BT122" s="316">
        <f t="shared" si="223"/>
        <v>0</v>
      </c>
      <c r="BU122" s="316">
        <f t="shared" si="223"/>
        <v>0</v>
      </c>
      <c r="BV122" s="316">
        <f t="shared" si="223"/>
        <v>0</v>
      </c>
      <c r="BW122" s="316">
        <f t="shared" si="223"/>
        <v>0</v>
      </c>
      <c r="BX122" s="316">
        <f t="shared" si="223"/>
        <v>0</v>
      </c>
      <c r="BY122" s="316">
        <f t="shared" si="223"/>
        <v>0</v>
      </c>
      <c r="BZ122" s="316">
        <f t="shared" si="223"/>
        <v>0</v>
      </c>
      <c r="CA122" s="316">
        <f t="shared" si="223"/>
        <v>0</v>
      </c>
      <c r="CB122" s="316">
        <f t="shared" si="223"/>
        <v>0</v>
      </c>
      <c r="CC122" s="319">
        <f t="shared" si="223"/>
        <v>0</v>
      </c>
      <c r="CD122" s="277">
        <f t="shared" ref="CD122:CI122" si="225">+CD52+CD16+CD87</f>
        <v>0</v>
      </c>
      <c r="CE122" s="43">
        <f t="shared" si="225"/>
        <v>0</v>
      </c>
      <c r="CF122" s="43">
        <f t="shared" si="225"/>
        <v>0</v>
      </c>
      <c r="CG122" s="43">
        <f t="shared" si="225"/>
        <v>0</v>
      </c>
      <c r="CH122" s="43">
        <f t="shared" si="225"/>
        <v>0</v>
      </c>
      <c r="CI122" s="57">
        <f t="shared" si="225"/>
        <v>0</v>
      </c>
      <c r="CJ122" s="277">
        <f t="shared" ref="CJ122:CO122" si="226">+CJ52+CJ16+CJ87</f>
        <v>0</v>
      </c>
      <c r="CK122" s="43">
        <f t="shared" si="226"/>
        <v>0</v>
      </c>
      <c r="CL122" s="43">
        <f t="shared" si="226"/>
        <v>0</v>
      </c>
      <c r="CM122" s="43">
        <f t="shared" si="226"/>
        <v>0</v>
      </c>
      <c r="CN122" s="43">
        <f t="shared" si="226"/>
        <v>0</v>
      </c>
      <c r="CO122" s="57">
        <f t="shared" si="226"/>
        <v>0</v>
      </c>
      <c r="CP122" s="277">
        <f t="shared" ref="CP122:CU122" si="227">+CP52+CP16+CP87</f>
        <v>0</v>
      </c>
      <c r="CQ122" s="43">
        <f t="shared" si="227"/>
        <v>0</v>
      </c>
      <c r="CR122" s="43">
        <f t="shared" si="227"/>
        <v>0</v>
      </c>
      <c r="CS122" s="43">
        <f t="shared" si="227"/>
        <v>0</v>
      </c>
      <c r="CT122" s="43">
        <f t="shared" si="227"/>
        <v>0</v>
      </c>
      <c r="CU122" s="57">
        <f t="shared" si="227"/>
        <v>0</v>
      </c>
      <c r="CV122" s="277">
        <f t="shared" ref="CV122:DA122" si="228">+CV52+CV16+CV87</f>
        <v>0</v>
      </c>
      <c r="CW122" s="43">
        <f t="shared" si="228"/>
        <v>0</v>
      </c>
      <c r="CX122" s="43">
        <f t="shared" si="228"/>
        <v>0</v>
      </c>
      <c r="CY122" s="43">
        <f t="shared" si="228"/>
        <v>0</v>
      </c>
      <c r="CZ122" s="43">
        <f t="shared" si="228"/>
        <v>0</v>
      </c>
      <c r="DA122" s="57">
        <f t="shared" si="228"/>
        <v>0</v>
      </c>
      <c r="DB122" s="324">
        <f t="shared" si="96"/>
        <v>0</v>
      </c>
      <c r="DD122">
        <f>+DB122-BUS!HG127</f>
        <v>0</v>
      </c>
    </row>
    <row r="123" spans="1:108">
      <c r="A123" s="238">
        <v>14</v>
      </c>
      <c r="B123" s="239">
        <f t="shared" ref="B123:D123" si="229">+B88+B53+B17</f>
        <v>0</v>
      </c>
      <c r="C123" s="43">
        <f t="shared" si="229"/>
        <v>0</v>
      </c>
      <c r="D123" s="43">
        <f t="shared" si="229"/>
        <v>0</v>
      </c>
      <c r="E123" s="43">
        <f t="shared" ref="E123:F123" si="230">+E88+E53+E17</f>
        <v>0</v>
      </c>
      <c r="F123" s="283">
        <f t="shared" si="230"/>
        <v>0</v>
      </c>
      <c r="G123" s="239">
        <f t="shared" ref="G123:AY123" si="231">+G53+G17+G88</f>
        <v>0</v>
      </c>
      <c r="H123" s="43">
        <f t="shared" si="231"/>
        <v>0</v>
      </c>
      <c r="I123" s="43">
        <f t="shared" si="231"/>
        <v>0</v>
      </c>
      <c r="J123" s="316">
        <f t="shared" si="231"/>
        <v>0</v>
      </c>
      <c r="K123" s="43">
        <f t="shared" si="231"/>
        <v>0</v>
      </c>
      <c r="L123" s="283">
        <f t="shared" ref="L123" si="232">+L53+L17+L88</f>
        <v>0</v>
      </c>
      <c r="M123" s="239">
        <f t="shared" si="231"/>
        <v>0</v>
      </c>
      <c r="N123" s="43">
        <f t="shared" si="231"/>
        <v>0</v>
      </c>
      <c r="O123" s="43">
        <f t="shared" si="231"/>
        <v>0</v>
      </c>
      <c r="P123" s="43">
        <f t="shared" ref="P123:Q123" si="233">+P53+P17+P88</f>
        <v>0</v>
      </c>
      <c r="Q123" s="43">
        <f t="shared" si="233"/>
        <v>0</v>
      </c>
      <c r="R123" s="57">
        <f t="shared" si="231"/>
        <v>0</v>
      </c>
      <c r="S123" s="320">
        <f t="shared" si="231"/>
        <v>0</v>
      </c>
      <c r="T123" s="316">
        <f t="shared" si="231"/>
        <v>0</v>
      </c>
      <c r="U123" s="316">
        <f t="shared" si="231"/>
        <v>0</v>
      </c>
      <c r="V123" s="316">
        <f t="shared" ref="V123" si="234">+V53+V17+V88</f>
        <v>0</v>
      </c>
      <c r="W123" s="316">
        <f t="shared" si="231"/>
        <v>0</v>
      </c>
      <c r="X123" s="321">
        <f t="shared" si="231"/>
        <v>0</v>
      </c>
      <c r="Y123" s="315">
        <f t="shared" si="231"/>
        <v>0</v>
      </c>
      <c r="Z123" s="316">
        <f t="shared" si="231"/>
        <v>0</v>
      </c>
      <c r="AA123" s="316">
        <f t="shared" si="231"/>
        <v>0</v>
      </c>
      <c r="AB123" s="316">
        <f t="shared" si="231"/>
        <v>0</v>
      </c>
      <c r="AC123" s="319">
        <f t="shared" si="231"/>
        <v>0</v>
      </c>
      <c r="AD123" s="315">
        <f t="shared" si="231"/>
        <v>0</v>
      </c>
      <c r="AE123" s="316">
        <f t="shared" si="231"/>
        <v>0</v>
      </c>
      <c r="AF123" s="316">
        <f t="shared" si="231"/>
        <v>0</v>
      </c>
      <c r="AG123" s="316">
        <f t="shared" si="231"/>
        <v>0</v>
      </c>
      <c r="AH123" s="316">
        <f t="shared" si="231"/>
        <v>0</v>
      </c>
      <c r="AI123" s="316">
        <f t="shared" si="231"/>
        <v>0</v>
      </c>
      <c r="AJ123" s="316">
        <f t="shared" si="231"/>
        <v>0</v>
      </c>
      <c r="AK123" s="316">
        <f t="shared" si="231"/>
        <v>0</v>
      </c>
      <c r="AL123" s="316">
        <f t="shared" si="231"/>
        <v>0</v>
      </c>
      <c r="AM123" s="319">
        <f t="shared" si="231"/>
        <v>0</v>
      </c>
      <c r="AN123" s="239">
        <f t="shared" si="231"/>
        <v>0</v>
      </c>
      <c r="AO123" s="43">
        <f t="shared" si="231"/>
        <v>0</v>
      </c>
      <c r="AP123" s="43">
        <f t="shared" si="231"/>
        <v>0</v>
      </c>
      <c r="AQ123" s="43">
        <f t="shared" si="231"/>
        <v>0</v>
      </c>
      <c r="AR123" s="43">
        <f t="shared" si="231"/>
        <v>0</v>
      </c>
      <c r="AS123" s="43">
        <f t="shared" si="231"/>
        <v>0</v>
      </c>
      <c r="AT123" s="43">
        <f t="shared" si="231"/>
        <v>0</v>
      </c>
      <c r="AU123" s="57">
        <f t="shared" si="231"/>
        <v>0</v>
      </c>
      <c r="AV123" s="277">
        <f t="shared" si="231"/>
        <v>0</v>
      </c>
      <c r="AW123" s="43">
        <f t="shared" si="231"/>
        <v>0</v>
      </c>
      <c r="AX123" s="316">
        <f t="shared" si="231"/>
        <v>0</v>
      </c>
      <c r="AY123" s="283">
        <f t="shared" si="231"/>
        <v>0</v>
      </c>
      <c r="AZ123" s="239">
        <f t="shared" ref="AZ123:CC123" si="235">+AZ53+AZ17+AZ88</f>
        <v>0</v>
      </c>
      <c r="BA123" s="43">
        <f t="shared" si="235"/>
        <v>0</v>
      </c>
      <c r="BB123" s="43">
        <f t="shared" si="235"/>
        <v>0</v>
      </c>
      <c r="BC123" s="43">
        <f t="shared" si="235"/>
        <v>0</v>
      </c>
      <c r="BD123" s="43">
        <f t="shared" si="235"/>
        <v>0</v>
      </c>
      <c r="BE123" s="283">
        <f t="shared" si="235"/>
        <v>0</v>
      </c>
      <c r="BF123" s="315">
        <f t="shared" ref="BF123:BQ123" si="236">+BF53+BF17+BF88</f>
        <v>0</v>
      </c>
      <c r="BG123" s="316">
        <f t="shared" si="236"/>
        <v>0</v>
      </c>
      <c r="BH123" s="316">
        <f t="shared" si="236"/>
        <v>0</v>
      </c>
      <c r="BI123" s="316">
        <f t="shared" si="236"/>
        <v>0</v>
      </c>
      <c r="BJ123" s="316">
        <f t="shared" si="236"/>
        <v>0</v>
      </c>
      <c r="BK123" s="316">
        <f t="shared" si="236"/>
        <v>0</v>
      </c>
      <c r="BL123" s="316">
        <f t="shared" si="236"/>
        <v>0</v>
      </c>
      <c r="BM123" s="316">
        <f t="shared" si="236"/>
        <v>0</v>
      </c>
      <c r="BN123" s="316">
        <f t="shared" si="236"/>
        <v>0</v>
      </c>
      <c r="BO123" s="316">
        <f t="shared" si="236"/>
        <v>0</v>
      </c>
      <c r="BP123" s="316">
        <f t="shared" si="236"/>
        <v>0</v>
      </c>
      <c r="BQ123" s="316">
        <f t="shared" si="236"/>
        <v>0</v>
      </c>
      <c r="BR123" s="316">
        <f t="shared" si="235"/>
        <v>0</v>
      </c>
      <c r="BS123" s="316">
        <f t="shared" si="235"/>
        <v>0</v>
      </c>
      <c r="BT123" s="316">
        <f t="shared" si="235"/>
        <v>0</v>
      </c>
      <c r="BU123" s="316">
        <f t="shared" si="235"/>
        <v>0</v>
      </c>
      <c r="BV123" s="316">
        <f t="shared" si="235"/>
        <v>0</v>
      </c>
      <c r="BW123" s="316">
        <f t="shared" si="235"/>
        <v>0</v>
      </c>
      <c r="BX123" s="316">
        <f t="shared" si="235"/>
        <v>0</v>
      </c>
      <c r="BY123" s="316">
        <f t="shared" si="235"/>
        <v>0</v>
      </c>
      <c r="BZ123" s="316">
        <f t="shared" si="235"/>
        <v>0</v>
      </c>
      <c r="CA123" s="316">
        <f t="shared" si="235"/>
        <v>0</v>
      </c>
      <c r="CB123" s="316">
        <f t="shared" si="235"/>
        <v>0</v>
      </c>
      <c r="CC123" s="319">
        <f t="shared" si="235"/>
        <v>0</v>
      </c>
      <c r="CD123" s="277">
        <f t="shared" ref="CD123:CI123" si="237">+CD53+CD17+CD88</f>
        <v>0</v>
      </c>
      <c r="CE123" s="43">
        <f t="shared" si="237"/>
        <v>0</v>
      </c>
      <c r="CF123" s="43">
        <f t="shared" si="237"/>
        <v>0</v>
      </c>
      <c r="CG123" s="43">
        <f t="shared" si="237"/>
        <v>0</v>
      </c>
      <c r="CH123" s="43">
        <f t="shared" si="237"/>
        <v>0</v>
      </c>
      <c r="CI123" s="57">
        <f t="shared" si="237"/>
        <v>0</v>
      </c>
      <c r="CJ123" s="277">
        <f t="shared" ref="CJ123:CO123" si="238">+CJ53+CJ17+CJ88</f>
        <v>0</v>
      </c>
      <c r="CK123" s="43">
        <f t="shared" si="238"/>
        <v>0</v>
      </c>
      <c r="CL123" s="43">
        <f t="shared" si="238"/>
        <v>0</v>
      </c>
      <c r="CM123" s="43">
        <f t="shared" si="238"/>
        <v>0</v>
      </c>
      <c r="CN123" s="43">
        <f t="shared" si="238"/>
        <v>0</v>
      </c>
      <c r="CO123" s="57">
        <f t="shared" si="238"/>
        <v>0</v>
      </c>
      <c r="CP123" s="277">
        <f t="shared" ref="CP123:CU123" si="239">+CP53+CP17+CP88</f>
        <v>0</v>
      </c>
      <c r="CQ123" s="43">
        <f t="shared" si="239"/>
        <v>0</v>
      </c>
      <c r="CR123" s="43">
        <f t="shared" si="239"/>
        <v>0</v>
      </c>
      <c r="CS123" s="43">
        <f t="shared" si="239"/>
        <v>0</v>
      </c>
      <c r="CT123" s="43">
        <f t="shared" si="239"/>
        <v>0</v>
      </c>
      <c r="CU123" s="57">
        <f t="shared" si="239"/>
        <v>0</v>
      </c>
      <c r="CV123" s="277">
        <f t="shared" ref="CV123:DA123" si="240">+CV53+CV17+CV88</f>
        <v>0</v>
      </c>
      <c r="CW123" s="43">
        <f t="shared" si="240"/>
        <v>0</v>
      </c>
      <c r="CX123" s="43">
        <f t="shared" si="240"/>
        <v>0</v>
      </c>
      <c r="CY123" s="43">
        <f t="shared" si="240"/>
        <v>0</v>
      </c>
      <c r="CZ123" s="43">
        <f t="shared" si="240"/>
        <v>0</v>
      </c>
      <c r="DA123" s="57">
        <f t="shared" si="240"/>
        <v>0</v>
      </c>
      <c r="DB123" s="324">
        <f t="shared" si="96"/>
        <v>0</v>
      </c>
      <c r="DD123">
        <f>+DB123-BUS!HG128</f>
        <v>0</v>
      </c>
    </row>
    <row r="124" spans="1:108">
      <c r="A124" s="238">
        <v>15</v>
      </c>
      <c r="B124" s="239">
        <f t="shared" ref="B124:D124" si="241">+B89+B54+B18</f>
        <v>0</v>
      </c>
      <c r="C124" s="43">
        <f t="shared" si="241"/>
        <v>0</v>
      </c>
      <c r="D124" s="43">
        <f t="shared" si="241"/>
        <v>0</v>
      </c>
      <c r="E124" s="43">
        <f t="shared" ref="E124:F124" si="242">+E89+E54+E18</f>
        <v>0</v>
      </c>
      <c r="F124" s="283">
        <f t="shared" si="242"/>
        <v>0</v>
      </c>
      <c r="G124" s="239">
        <f t="shared" ref="G124:AY124" si="243">+G54+G18+G89</f>
        <v>0</v>
      </c>
      <c r="H124" s="43">
        <f t="shared" si="243"/>
        <v>0</v>
      </c>
      <c r="I124" s="43">
        <f t="shared" si="243"/>
        <v>0</v>
      </c>
      <c r="J124" s="316">
        <f t="shared" si="243"/>
        <v>0</v>
      </c>
      <c r="K124" s="43">
        <f t="shared" si="243"/>
        <v>0</v>
      </c>
      <c r="L124" s="283">
        <f t="shared" ref="L124" si="244">+L54+L18+L89</f>
        <v>0</v>
      </c>
      <c r="M124" s="239">
        <f t="shared" si="243"/>
        <v>0</v>
      </c>
      <c r="N124" s="43">
        <f t="shared" si="243"/>
        <v>0</v>
      </c>
      <c r="O124" s="43">
        <f t="shared" si="243"/>
        <v>0</v>
      </c>
      <c r="P124" s="43">
        <f t="shared" ref="P124:Q124" si="245">+P54+P18+P89</f>
        <v>0</v>
      </c>
      <c r="Q124" s="43">
        <f t="shared" si="245"/>
        <v>0</v>
      </c>
      <c r="R124" s="57">
        <f t="shared" si="243"/>
        <v>0</v>
      </c>
      <c r="S124" s="320">
        <f t="shared" si="243"/>
        <v>0</v>
      </c>
      <c r="T124" s="316">
        <f t="shared" si="243"/>
        <v>0</v>
      </c>
      <c r="U124" s="316">
        <f t="shared" si="243"/>
        <v>0</v>
      </c>
      <c r="V124" s="316">
        <f t="shared" ref="V124" si="246">+V54+V18+V89</f>
        <v>0</v>
      </c>
      <c r="W124" s="316">
        <f t="shared" si="243"/>
        <v>0</v>
      </c>
      <c r="X124" s="321">
        <f t="shared" si="243"/>
        <v>0</v>
      </c>
      <c r="Y124" s="315">
        <f t="shared" si="243"/>
        <v>0</v>
      </c>
      <c r="Z124" s="316">
        <f t="shared" si="243"/>
        <v>0</v>
      </c>
      <c r="AA124" s="316">
        <f t="shared" si="243"/>
        <v>0</v>
      </c>
      <c r="AB124" s="316">
        <f t="shared" si="243"/>
        <v>0</v>
      </c>
      <c r="AC124" s="319">
        <f t="shared" si="243"/>
        <v>0</v>
      </c>
      <c r="AD124" s="315">
        <f t="shared" si="243"/>
        <v>0</v>
      </c>
      <c r="AE124" s="316">
        <f t="shared" si="243"/>
        <v>0</v>
      </c>
      <c r="AF124" s="316">
        <f t="shared" si="243"/>
        <v>0</v>
      </c>
      <c r="AG124" s="316">
        <f t="shared" si="243"/>
        <v>0</v>
      </c>
      <c r="AH124" s="316">
        <f t="shared" si="243"/>
        <v>0</v>
      </c>
      <c r="AI124" s="316">
        <f t="shared" si="243"/>
        <v>0</v>
      </c>
      <c r="AJ124" s="316">
        <f t="shared" si="243"/>
        <v>0</v>
      </c>
      <c r="AK124" s="316">
        <f t="shared" si="243"/>
        <v>0</v>
      </c>
      <c r="AL124" s="316">
        <f t="shared" si="243"/>
        <v>0</v>
      </c>
      <c r="AM124" s="319">
        <f t="shared" si="243"/>
        <v>0</v>
      </c>
      <c r="AN124" s="239">
        <f t="shared" si="243"/>
        <v>0</v>
      </c>
      <c r="AO124" s="43">
        <f t="shared" si="243"/>
        <v>0</v>
      </c>
      <c r="AP124" s="43">
        <f t="shared" si="243"/>
        <v>0</v>
      </c>
      <c r="AQ124" s="43">
        <f t="shared" si="243"/>
        <v>0</v>
      </c>
      <c r="AR124" s="43">
        <f t="shared" si="243"/>
        <v>0</v>
      </c>
      <c r="AS124" s="43">
        <f t="shared" si="243"/>
        <v>0</v>
      </c>
      <c r="AT124" s="43">
        <f t="shared" si="243"/>
        <v>0</v>
      </c>
      <c r="AU124" s="57">
        <f t="shared" si="243"/>
        <v>0</v>
      </c>
      <c r="AV124" s="277">
        <f t="shared" si="243"/>
        <v>0</v>
      </c>
      <c r="AW124" s="43">
        <f t="shared" si="243"/>
        <v>0</v>
      </c>
      <c r="AX124" s="316">
        <f t="shared" si="243"/>
        <v>0</v>
      </c>
      <c r="AY124" s="283">
        <f t="shared" si="243"/>
        <v>0</v>
      </c>
      <c r="AZ124" s="239">
        <f t="shared" ref="AZ124:CC124" si="247">+AZ54+AZ18+AZ89</f>
        <v>0</v>
      </c>
      <c r="BA124" s="43">
        <f t="shared" si="247"/>
        <v>0</v>
      </c>
      <c r="BB124" s="43">
        <f t="shared" si="247"/>
        <v>0</v>
      </c>
      <c r="BC124" s="43">
        <f t="shared" si="247"/>
        <v>0</v>
      </c>
      <c r="BD124" s="43">
        <f t="shared" si="247"/>
        <v>0</v>
      </c>
      <c r="BE124" s="283">
        <f t="shared" si="247"/>
        <v>0</v>
      </c>
      <c r="BF124" s="315">
        <f t="shared" ref="BF124:BQ124" si="248">+BF54+BF18+BF89</f>
        <v>0</v>
      </c>
      <c r="BG124" s="316">
        <f t="shared" si="248"/>
        <v>0</v>
      </c>
      <c r="BH124" s="316">
        <f t="shared" si="248"/>
        <v>0</v>
      </c>
      <c r="BI124" s="316">
        <f t="shared" si="248"/>
        <v>0</v>
      </c>
      <c r="BJ124" s="316">
        <f t="shared" si="248"/>
        <v>0</v>
      </c>
      <c r="BK124" s="316">
        <f t="shared" si="248"/>
        <v>0</v>
      </c>
      <c r="BL124" s="316">
        <f t="shared" si="248"/>
        <v>0</v>
      </c>
      <c r="BM124" s="316">
        <f t="shared" si="248"/>
        <v>0</v>
      </c>
      <c r="BN124" s="316">
        <f t="shared" si="248"/>
        <v>0</v>
      </c>
      <c r="BO124" s="316">
        <f t="shared" si="248"/>
        <v>0</v>
      </c>
      <c r="BP124" s="316">
        <f t="shared" si="248"/>
        <v>0</v>
      </c>
      <c r="BQ124" s="316">
        <f t="shared" si="248"/>
        <v>0</v>
      </c>
      <c r="BR124" s="316">
        <f t="shared" si="247"/>
        <v>0</v>
      </c>
      <c r="BS124" s="316">
        <f t="shared" si="247"/>
        <v>0</v>
      </c>
      <c r="BT124" s="316">
        <f t="shared" si="247"/>
        <v>0</v>
      </c>
      <c r="BU124" s="316">
        <f t="shared" si="247"/>
        <v>0</v>
      </c>
      <c r="BV124" s="316">
        <f t="shared" si="247"/>
        <v>0</v>
      </c>
      <c r="BW124" s="316">
        <f t="shared" si="247"/>
        <v>0</v>
      </c>
      <c r="BX124" s="316">
        <f t="shared" si="247"/>
        <v>0</v>
      </c>
      <c r="BY124" s="316">
        <f t="shared" si="247"/>
        <v>0</v>
      </c>
      <c r="BZ124" s="316">
        <f t="shared" si="247"/>
        <v>0</v>
      </c>
      <c r="CA124" s="316">
        <f t="shared" si="247"/>
        <v>0</v>
      </c>
      <c r="CB124" s="316">
        <f t="shared" si="247"/>
        <v>0</v>
      </c>
      <c r="CC124" s="319">
        <f t="shared" si="247"/>
        <v>0</v>
      </c>
      <c r="CD124" s="277">
        <f t="shared" ref="CD124:CI124" si="249">+CD54+CD18+CD89</f>
        <v>0</v>
      </c>
      <c r="CE124" s="43">
        <f t="shared" si="249"/>
        <v>0</v>
      </c>
      <c r="CF124" s="43">
        <f t="shared" si="249"/>
        <v>0</v>
      </c>
      <c r="CG124" s="43">
        <f t="shared" si="249"/>
        <v>0</v>
      </c>
      <c r="CH124" s="43">
        <f t="shared" si="249"/>
        <v>0</v>
      </c>
      <c r="CI124" s="57">
        <f t="shared" si="249"/>
        <v>0</v>
      </c>
      <c r="CJ124" s="277">
        <f t="shared" ref="CJ124:CO124" si="250">+CJ54+CJ18+CJ89</f>
        <v>0</v>
      </c>
      <c r="CK124" s="43">
        <f t="shared" si="250"/>
        <v>0</v>
      </c>
      <c r="CL124" s="43">
        <f t="shared" si="250"/>
        <v>0</v>
      </c>
      <c r="CM124" s="43">
        <f t="shared" si="250"/>
        <v>0</v>
      </c>
      <c r="CN124" s="43">
        <f t="shared" si="250"/>
        <v>0</v>
      </c>
      <c r="CO124" s="57">
        <f t="shared" si="250"/>
        <v>0</v>
      </c>
      <c r="CP124" s="277">
        <f t="shared" ref="CP124:CU124" si="251">+CP54+CP18+CP89</f>
        <v>0</v>
      </c>
      <c r="CQ124" s="43">
        <f t="shared" si="251"/>
        <v>0</v>
      </c>
      <c r="CR124" s="43">
        <f t="shared" si="251"/>
        <v>0</v>
      </c>
      <c r="CS124" s="43">
        <f t="shared" si="251"/>
        <v>0</v>
      </c>
      <c r="CT124" s="43">
        <f t="shared" si="251"/>
        <v>0</v>
      </c>
      <c r="CU124" s="57">
        <f t="shared" si="251"/>
        <v>0</v>
      </c>
      <c r="CV124" s="277">
        <f t="shared" ref="CV124:DA124" si="252">+CV54+CV18+CV89</f>
        <v>0</v>
      </c>
      <c r="CW124" s="43">
        <f t="shared" si="252"/>
        <v>0</v>
      </c>
      <c r="CX124" s="43">
        <f t="shared" si="252"/>
        <v>0</v>
      </c>
      <c r="CY124" s="43">
        <f t="shared" si="252"/>
        <v>0</v>
      </c>
      <c r="CZ124" s="43">
        <f t="shared" si="252"/>
        <v>0</v>
      </c>
      <c r="DA124" s="57">
        <f t="shared" si="252"/>
        <v>0</v>
      </c>
      <c r="DB124" s="324">
        <f t="shared" si="96"/>
        <v>0</v>
      </c>
      <c r="DD124">
        <f>+DB124-BUS!HG129</f>
        <v>0</v>
      </c>
    </row>
    <row r="125" spans="1:108">
      <c r="A125" s="238">
        <v>16</v>
      </c>
      <c r="B125" s="239">
        <f t="shared" ref="B125:D125" si="253">+B90+B55+B19</f>
        <v>0</v>
      </c>
      <c r="C125" s="43">
        <f t="shared" si="253"/>
        <v>0</v>
      </c>
      <c r="D125" s="43">
        <f t="shared" si="253"/>
        <v>0</v>
      </c>
      <c r="E125" s="43">
        <f t="shared" ref="E125:F125" si="254">+E90+E55+E19</f>
        <v>0</v>
      </c>
      <c r="F125" s="283">
        <f t="shared" si="254"/>
        <v>0</v>
      </c>
      <c r="G125" s="239">
        <f t="shared" ref="G125:AY125" si="255">+G55+G19+G90</f>
        <v>0</v>
      </c>
      <c r="H125" s="43">
        <f t="shared" si="255"/>
        <v>0</v>
      </c>
      <c r="I125" s="43">
        <f t="shared" si="255"/>
        <v>0</v>
      </c>
      <c r="J125" s="316">
        <f t="shared" si="255"/>
        <v>0</v>
      </c>
      <c r="K125" s="43">
        <f t="shared" si="255"/>
        <v>0</v>
      </c>
      <c r="L125" s="283">
        <f t="shared" ref="L125" si="256">+L55+L19+L90</f>
        <v>0</v>
      </c>
      <c r="M125" s="239">
        <f t="shared" si="255"/>
        <v>0</v>
      </c>
      <c r="N125" s="43">
        <f t="shared" si="255"/>
        <v>0</v>
      </c>
      <c r="O125" s="43">
        <f t="shared" si="255"/>
        <v>0</v>
      </c>
      <c r="P125" s="43">
        <f t="shared" ref="P125:Q125" si="257">+P55+P19+P90</f>
        <v>0</v>
      </c>
      <c r="Q125" s="43">
        <f t="shared" si="257"/>
        <v>0</v>
      </c>
      <c r="R125" s="57">
        <f t="shared" si="255"/>
        <v>0</v>
      </c>
      <c r="S125" s="320">
        <f t="shared" si="255"/>
        <v>0</v>
      </c>
      <c r="T125" s="316">
        <f t="shared" si="255"/>
        <v>0</v>
      </c>
      <c r="U125" s="316">
        <f t="shared" si="255"/>
        <v>0</v>
      </c>
      <c r="V125" s="316">
        <f t="shared" ref="V125" si="258">+V55+V19+V90</f>
        <v>0</v>
      </c>
      <c r="W125" s="316">
        <f t="shared" si="255"/>
        <v>0</v>
      </c>
      <c r="X125" s="321">
        <f t="shared" si="255"/>
        <v>0</v>
      </c>
      <c r="Y125" s="315">
        <f t="shared" si="255"/>
        <v>0</v>
      </c>
      <c r="Z125" s="316">
        <f t="shared" si="255"/>
        <v>0</v>
      </c>
      <c r="AA125" s="316">
        <f t="shared" si="255"/>
        <v>0</v>
      </c>
      <c r="AB125" s="316">
        <f t="shared" si="255"/>
        <v>0</v>
      </c>
      <c r="AC125" s="319">
        <f t="shared" si="255"/>
        <v>0</v>
      </c>
      <c r="AD125" s="315">
        <f t="shared" si="255"/>
        <v>0</v>
      </c>
      <c r="AE125" s="316">
        <f t="shared" si="255"/>
        <v>0</v>
      </c>
      <c r="AF125" s="316">
        <f t="shared" si="255"/>
        <v>0</v>
      </c>
      <c r="AG125" s="316">
        <f t="shared" si="255"/>
        <v>0</v>
      </c>
      <c r="AH125" s="316">
        <f t="shared" si="255"/>
        <v>0</v>
      </c>
      <c r="AI125" s="316">
        <f t="shared" si="255"/>
        <v>0</v>
      </c>
      <c r="AJ125" s="316">
        <f t="shared" si="255"/>
        <v>0</v>
      </c>
      <c r="AK125" s="316">
        <f t="shared" si="255"/>
        <v>0</v>
      </c>
      <c r="AL125" s="316">
        <f t="shared" si="255"/>
        <v>0</v>
      </c>
      <c r="AM125" s="319">
        <f t="shared" si="255"/>
        <v>0</v>
      </c>
      <c r="AN125" s="239">
        <f t="shared" si="255"/>
        <v>0</v>
      </c>
      <c r="AO125" s="43">
        <f t="shared" si="255"/>
        <v>0</v>
      </c>
      <c r="AP125" s="43">
        <f t="shared" si="255"/>
        <v>0</v>
      </c>
      <c r="AQ125" s="43">
        <f t="shared" si="255"/>
        <v>0</v>
      </c>
      <c r="AR125" s="43">
        <f t="shared" si="255"/>
        <v>0</v>
      </c>
      <c r="AS125" s="43">
        <f t="shared" si="255"/>
        <v>0</v>
      </c>
      <c r="AT125" s="43">
        <f t="shared" si="255"/>
        <v>0</v>
      </c>
      <c r="AU125" s="57">
        <f t="shared" si="255"/>
        <v>0</v>
      </c>
      <c r="AV125" s="277">
        <f t="shared" si="255"/>
        <v>0</v>
      </c>
      <c r="AW125" s="43">
        <f t="shared" si="255"/>
        <v>0</v>
      </c>
      <c r="AX125" s="316">
        <f t="shared" si="255"/>
        <v>0</v>
      </c>
      <c r="AY125" s="283">
        <f t="shared" si="255"/>
        <v>0</v>
      </c>
      <c r="AZ125" s="239">
        <f t="shared" ref="AZ125:CC125" si="259">+AZ55+AZ19+AZ90</f>
        <v>0</v>
      </c>
      <c r="BA125" s="43">
        <f t="shared" si="259"/>
        <v>0</v>
      </c>
      <c r="BB125" s="43">
        <f t="shared" si="259"/>
        <v>0</v>
      </c>
      <c r="BC125" s="43">
        <f t="shared" si="259"/>
        <v>0</v>
      </c>
      <c r="BD125" s="43">
        <f t="shared" si="259"/>
        <v>0</v>
      </c>
      <c r="BE125" s="283">
        <f t="shared" si="259"/>
        <v>0</v>
      </c>
      <c r="BF125" s="315">
        <f t="shared" ref="BF125:BQ125" si="260">+BF55+BF19+BF90</f>
        <v>0</v>
      </c>
      <c r="BG125" s="316">
        <f t="shared" si="260"/>
        <v>0</v>
      </c>
      <c r="BH125" s="316">
        <f t="shared" si="260"/>
        <v>0</v>
      </c>
      <c r="BI125" s="316">
        <f t="shared" si="260"/>
        <v>0</v>
      </c>
      <c r="BJ125" s="316">
        <f t="shared" si="260"/>
        <v>0</v>
      </c>
      <c r="BK125" s="316">
        <f t="shared" si="260"/>
        <v>0</v>
      </c>
      <c r="BL125" s="316">
        <f t="shared" si="260"/>
        <v>0</v>
      </c>
      <c r="BM125" s="316">
        <f t="shared" si="260"/>
        <v>0</v>
      </c>
      <c r="BN125" s="316">
        <f t="shared" si="260"/>
        <v>0</v>
      </c>
      <c r="BO125" s="316">
        <f t="shared" si="260"/>
        <v>0</v>
      </c>
      <c r="BP125" s="316">
        <f t="shared" si="260"/>
        <v>0</v>
      </c>
      <c r="BQ125" s="316">
        <f t="shared" si="260"/>
        <v>0</v>
      </c>
      <c r="BR125" s="316">
        <f t="shared" si="259"/>
        <v>0</v>
      </c>
      <c r="BS125" s="316">
        <f t="shared" si="259"/>
        <v>0</v>
      </c>
      <c r="BT125" s="316">
        <f t="shared" si="259"/>
        <v>0</v>
      </c>
      <c r="BU125" s="316">
        <f t="shared" si="259"/>
        <v>0</v>
      </c>
      <c r="BV125" s="316">
        <f t="shared" si="259"/>
        <v>0</v>
      </c>
      <c r="BW125" s="316">
        <f t="shared" si="259"/>
        <v>0</v>
      </c>
      <c r="BX125" s="316">
        <f t="shared" si="259"/>
        <v>0</v>
      </c>
      <c r="BY125" s="316">
        <f t="shared" si="259"/>
        <v>0</v>
      </c>
      <c r="BZ125" s="316">
        <f t="shared" si="259"/>
        <v>0</v>
      </c>
      <c r="CA125" s="316">
        <f t="shared" si="259"/>
        <v>0</v>
      </c>
      <c r="CB125" s="316">
        <f t="shared" si="259"/>
        <v>0</v>
      </c>
      <c r="CC125" s="319">
        <f t="shared" si="259"/>
        <v>0</v>
      </c>
      <c r="CD125" s="277">
        <f t="shared" ref="CD125:CI125" si="261">+CD55+CD19+CD90</f>
        <v>0</v>
      </c>
      <c r="CE125" s="43">
        <f t="shared" si="261"/>
        <v>0</v>
      </c>
      <c r="CF125" s="43">
        <f t="shared" si="261"/>
        <v>0</v>
      </c>
      <c r="CG125" s="43">
        <f t="shared" si="261"/>
        <v>0</v>
      </c>
      <c r="CH125" s="43">
        <f t="shared" si="261"/>
        <v>0</v>
      </c>
      <c r="CI125" s="57">
        <f t="shared" si="261"/>
        <v>0</v>
      </c>
      <c r="CJ125" s="277">
        <f t="shared" ref="CJ125:CO125" si="262">+CJ55+CJ19+CJ90</f>
        <v>0</v>
      </c>
      <c r="CK125" s="43">
        <f t="shared" si="262"/>
        <v>0</v>
      </c>
      <c r="CL125" s="43">
        <f t="shared" si="262"/>
        <v>0</v>
      </c>
      <c r="CM125" s="43">
        <f t="shared" si="262"/>
        <v>0</v>
      </c>
      <c r="CN125" s="43">
        <f t="shared" si="262"/>
        <v>0</v>
      </c>
      <c r="CO125" s="57">
        <f t="shared" si="262"/>
        <v>0</v>
      </c>
      <c r="CP125" s="277">
        <f t="shared" ref="CP125:CU125" si="263">+CP55+CP19+CP90</f>
        <v>0</v>
      </c>
      <c r="CQ125" s="43">
        <f t="shared" si="263"/>
        <v>0</v>
      </c>
      <c r="CR125" s="43">
        <f t="shared" si="263"/>
        <v>0</v>
      </c>
      <c r="CS125" s="43">
        <f t="shared" si="263"/>
        <v>0</v>
      </c>
      <c r="CT125" s="43">
        <f t="shared" si="263"/>
        <v>0</v>
      </c>
      <c r="CU125" s="57">
        <f t="shared" si="263"/>
        <v>0</v>
      </c>
      <c r="CV125" s="277">
        <f t="shared" ref="CV125:DA125" si="264">+CV55+CV19+CV90</f>
        <v>0</v>
      </c>
      <c r="CW125" s="43">
        <f t="shared" si="264"/>
        <v>0</v>
      </c>
      <c r="CX125" s="43">
        <f t="shared" si="264"/>
        <v>0</v>
      </c>
      <c r="CY125" s="43">
        <f t="shared" si="264"/>
        <v>0</v>
      </c>
      <c r="CZ125" s="43">
        <f t="shared" si="264"/>
        <v>0</v>
      </c>
      <c r="DA125" s="57">
        <f t="shared" si="264"/>
        <v>0</v>
      </c>
      <c r="DB125" s="324">
        <f t="shared" si="96"/>
        <v>0</v>
      </c>
      <c r="DD125">
        <f>+DB125-BUS!HG130</f>
        <v>0</v>
      </c>
    </row>
    <row r="126" spans="1:108">
      <c r="A126" s="238">
        <v>17</v>
      </c>
      <c r="B126" s="239">
        <f t="shared" ref="B126:D126" si="265">+B91+B56+B20</f>
        <v>0</v>
      </c>
      <c r="C126" s="43">
        <f t="shared" si="265"/>
        <v>0</v>
      </c>
      <c r="D126" s="43">
        <f t="shared" si="265"/>
        <v>0</v>
      </c>
      <c r="E126" s="43">
        <f t="shared" ref="E126:F126" si="266">+E91+E56+E20</f>
        <v>0</v>
      </c>
      <c r="F126" s="283">
        <f t="shared" si="266"/>
        <v>0</v>
      </c>
      <c r="G126" s="239">
        <f t="shared" ref="G126:AY126" si="267">+G56+G20+G91</f>
        <v>0</v>
      </c>
      <c r="H126" s="43">
        <f t="shared" si="267"/>
        <v>0</v>
      </c>
      <c r="I126" s="43">
        <f t="shared" si="267"/>
        <v>0</v>
      </c>
      <c r="J126" s="316">
        <f t="shared" si="267"/>
        <v>0</v>
      </c>
      <c r="K126" s="43">
        <f t="shared" si="267"/>
        <v>0</v>
      </c>
      <c r="L126" s="283">
        <f t="shared" ref="L126" si="268">+L56+L20+L91</f>
        <v>0</v>
      </c>
      <c r="M126" s="239">
        <f t="shared" si="267"/>
        <v>0</v>
      </c>
      <c r="N126" s="43">
        <f t="shared" si="267"/>
        <v>0</v>
      </c>
      <c r="O126" s="43">
        <f t="shared" si="267"/>
        <v>0</v>
      </c>
      <c r="P126" s="43">
        <f t="shared" ref="P126:Q126" si="269">+P56+P20+P91</f>
        <v>0</v>
      </c>
      <c r="Q126" s="43">
        <f t="shared" si="269"/>
        <v>0</v>
      </c>
      <c r="R126" s="57">
        <f t="shared" si="267"/>
        <v>0</v>
      </c>
      <c r="S126" s="320">
        <f t="shared" si="267"/>
        <v>0</v>
      </c>
      <c r="T126" s="316">
        <f t="shared" si="267"/>
        <v>0</v>
      </c>
      <c r="U126" s="316">
        <f t="shared" si="267"/>
        <v>0</v>
      </c>
      <c r="V126" s="316">
        <f t="shared" ref="V126" si="270">+V56+V20+V91</f>
        <v>0</v>
      </c>
      <c r="W126" s="316">
        <f t="shared" si="267"/>
        <v>0</v>
      </c>
      <c r="X126" s="321">
        <f t="shared" si="267"/>
        <v>0</v>
      </c>
      <c r="Y126" s="315">
        <f t="shared" si="267"/>
        <v>0</v>
      </c>
      <c r="Z126" s="316">
        <f t="shared" si="267"/>
        <v>0</v>
      </c>
      <c r="AA126" s="316">
        <f t="shared" si="267"/>
        <v>0</v>
      </c>
      <c r="AB126" s="316">
        <f t="shared" si="267"/>
        <v>0</v>
      </c>
      <c r="AC126" s="319">
        <f t="shared" si="267"/>
        <v>0</v>
      </c>
      <c r="AD126" s="315">
        <f t="shared" si="267"/>
        <v>0</v>
      </c>
      <c r="AE126" s="316">
        <f t="shared" si="267"/>
        <v>0</v>
      </c>
      <c r="AF126" s="316">
        <f t="shared" si="267"/>
        <v>0</v>
      </c>
      <c r="AG126" s="316">
        <f t="shared" si="267"/>
        <v>0</v>
      </c>
      <c r="AH126" s="316">
        <f t="shared" si="267"/>
        <v>0</v>
      </c>
      <c r="AI126" s="316">
        <f t="shared" si="267"/>
        <v>0</v>
      </c>
      <c r="AJ126" s="316">
        <f t="shared" si="267"/>
        <v>0</v>
      </c>
      <c r="AK126" s="316">
        <f t="shared" si="267"/>
        <v>0</v>
      </c>
      <c r="AL126" s="316">
        <f t="shared" si="267"/>
        <v>0</v>
      </c>
      <c r="AM126" s="319">
        <f t="shared" si="267"/>
        <v>0</v>
      </c>
      <c r="AN126" s="239">
        <f t="shared" si="267"/>
        <v>0</v>
      </c>
      <c r="AO126" s="43">
        <f t="shared" si="267"/>
        <v>0</v>
      </c>
      <c r="AP126" s="43">
        <f t="shared" si="267"/>
        <v>0</v>
      </c>
      <c r="AQ126" s="43">
        <f t="shared" si="267"/>
        <v>0</v>
      </c>
      <c r="AR126" s="43">
        <f t="shared" si="267"/>
        <v>0</v>
      </c>
      <c r="AS126" s="43">
        <f t="shared" si="267"/>
        <v>0</v>
      </c>
      <c r="AT126" s="43">
        <f t="shared" si="267"/>
        <v>0</v>
      </c>
      <c r="AU126" s="57">
        <f t="shared" si="267"/>
        <v>0</v>
      </c>
      <c r="AV126" s="277">
        <f t="shared" si="267"/>
        <v>0</v>
      </c>
      <c r="AW126" s="43">
        <f t="shared" si="267"/>
        <v>0</v>
      </c>
      <c r="AX126" s="316">
        <f t="shared" si="267"/>
        <v>0</v>
      </c>
      <c r="AY126" s="283">
        <f t="shared" si="267"/>
        <v>0</v>
      </c>
      <c r="AZ126" s="239">
        <f t="shared" ref="AZ126:CC126" si="271">+AZ56+AZ20+AZ91</f>
        <v>0</v>
      </c>
      <c r="BA126" s="43">
        <f t="shared" si="271"/>
        <v>0</v>
      </c>
      <c r="BB126" s="43">
        <f t="shared" si="271"/>
        <v>0</v>
      </c>
      <c r="BC126" s="43">
        <f t="shared" si="271"/>
        <v>0</v>
      </c>
      <c r="BD126" s="43">
        <f t="shared" si="271"/>
        <v>0</v>
      </c>
      <c r="BE126" s="283">
        <f t="shared" si="271"/>
        <v>0</v>
      </c>
      <c r="BF126" s="315">
        <f t="shared" ref="BF126:BQ126" si="272">+BF56+BF20+BF91</f>
        <v>0</v>
      </c>
      <c r="BG126" s="316">
        <f t="shared" si="272"/>
        <v>0</v>
      </c>
      <c r="BH126" s="316">
        <f t="shared" si="272"/>
        <v>0</v>
      </c>
      <c r="BI126" s="316">
        <f t="shared" si="272"/>
        <v>0</v>
      </c>
      <c r="BJ126" s="316">
        <f t="shared" si="272"/>
        <v>0</v>
      </c>
      <c r="BK126" s="316">
        <f t="shared" si="272"/>
        <v>0</v>
      </c>
      <c r="BL126" s="316">
        <f t="shared" si="272"/>
        <v>0</v>
      </c>
      <c r="BM126" s="316">
        <f t="shared" si="272"/>
        <v>0</v>
      </c>
      <c r="BN126" s="316">
        <f t="shared" si="272"/>
        <v>0</v>
      </c>
      <c r="BO126" s="316">
        <f t="shared" si="272"/>
        <v>0</v>
      </c>
      <c r="BP126" s="316">
        <f t="shared" si="272"/>
        <v>0</v>
      </c>
      <c r="BQ126" s="316">
        <f t="shared" si="272"/>
        <v>0</v>
      </c>
      <c r="BR126" s="316">
        <f t="shared" si="271"/>
        <v>0</v>
      </c>
      <c r="BS126" s="316">
        <f t="shared" si="271"/>
        <v>0</v>
      </c>
      <c r="BT126" s="316">
        <f t="shared" si="271"/>
        <v>0</v>
      </c>
      <c r="BU126" s="316">
        <f t="shared" si="271"/>
        <v>0</v>
      </c>
      <c r="BV126" s="316">
        <f t="shared" si="271"/>
        <v>0</v>
      </c>
      <c r="BW126" s="316">
        <f t="shared" si="271"/>
        <v>0</v>
      </c>
      <c r="BX126" s="316">
        <f t="shared" si="271"/>
        <v>0</v>
      </c>
      <c r="BY126" s="316">
        <f t="shared" si="271"/>
        <v>0</v>
      </c>
      <c r="BZ126" s="316">
        <f t="shared" si="271"/>
        <v>0</v>
      </c>
      <c r="CA126" s="316">
        <f t="shared" si="271"/>
        <v>0</v>
      </c>
      <c r="CB126" s="316">
        <f t="shared" si="271"/>
        <v>0</v>
      </c>
      <c r="CC126" s="319">
        <f t="shared" si="271"/>
        <v>0</v>
      </c>
      <c r="CD126" s="277">
        <f t="shared" ref="CD126:CI126" si="273">+CD56+CD20+CD91</f>
        <v>0</v>
      </c>
      <c r="CE126" s="43">
        <f t="shared" si="273"/>
        <v>0</v>
      </c>
      <c r="CF126" s="43">
        <f t="shared" si="273"/>
        <v>0</v>
      </c>
      <c r="CG126" s="43">
        <f t="shared" si="273"/>
        <v>0</v>
      </c>
      <c r="CH126" s="43">
        <f t="shared" si="273"/>
        <v>0</v>
      </c>
      <c r="CI126" s="57">
        <f t="shared" si="273"/>
        <v>0</v>
      </c>
      <c r="CJ126" s="277">
        <f t="shared" ref="CJ126:CO126" si="274">+CJ56+CJ20+CJ91</f>
        <v>0</v>
      </c>
      <c r="CK126" s="43">
        <f t="shared" si="274"/>
        <v>0</v>
      </c>
      <c r="CL126" s="43">
        <f t="shared" si="274"/>
        <v>0</v>
      </c>
      <c r="CM126" s="43">
        <f t="shared" si="274"/>
        <v>0</v>
      </c>
      <c r="CN126" s="43">
        <f t="shared" si="274"/>
        <v>0</v>
      </c>
      <c r="CO126" s="57">
        <f t="shared" si="274"/>
        <v>0</v>
      </c>
      <c r="CP126" s="277">
        <f t="shared" ref="CP126:CU126" si="275">+CP56+CP20+CP91</f>
        <v>0</v>
      </c>
      <c r="CQ126" s="43">
        <f t="shared" si="275"/>
        <v>0</v>
      </c>
      <c r="CR126" s="43">
        <f t="shared" si="275"/>
        <v>0</v>
      </c>
      <c r="CS126" s="43">
        <f t="shared" si="275"/>
        <v>0</v>
      </c>
      <c r="CT126" s="43">
        <f t="shared" si="275"/>
        <v>0</v>
      </c>
      <c r="CU126" s="57">
        <f t="shared" si="275"/>
        <v>0</v>
      </c>
      <c r="CV126" s="277">
        <f t="shared" ref="CV126:DA126" si="276">+CV56+CV20+CV91</f>
        <v>0</v>
      </c>
      <c r="CW126" s="43">
        <f t="shared" si="276"/>
        <v>0</v>
      </c>
      <c r="CX126" s="43">
        <f t="shared" si="276"/>
        <v>0</v>
      </c>
      <c r="CY126" s="43">
        <f t="shared" si="276"/>
        <v>0</v>
      </c>
      <c r="CZ126" s="43">
        <f t="shared" si="276"/>
        <v>0</v>
      </c>
      <c r="DA126" s="57">
        <f t="shared" si="276"/>
        <v>0</v>
      </c>
      <c r="DB126" s="324">
        <f t="shared" si="96"/>
        <v>0</v>
      </c>
      <c r="DD126">
        <f>+DB126-BUS!HG131</f>
        <v>0</v>
      </c>
    </row>
    <row r="127" spans="1:108">
      <c r="A127" s="238">
        <v>18</v>
      </c>
      <c r="B127" s="239">
        <f t="shared" ref="B127:D127" si="277">+B92+B57+B21</f>
        <v>0</v>
      </c>
      <c r="C127" s="43">
        <f t="shared" si="277"/>
        <v>0</v>
      </c>
      <c r="D127" s="43">
        <f t="shared" si="277"/>
        <v>0</v>
      </c>
      <c r="E127" s="43">
        <f t="shared" ref="E127:F127" si="278">+E92+E57+E21</f>
        <v>0</v>
      </c>
      <c r="F127" s="283">
        <f t="shared" si="278"/>
        <v>0</v>
      </c>
      <c r="G127" s="239">
        <f t="shared" ref="G127:AY127" si="279">+G57+G21+G92</f>
        <v>0</v>
      </c>
      <c r="H127" s="43">
        <f t="shared" si="279"/>
        <v>0</v>
      </c>
      <c r="I127" s="43">
        <f t="shared" si="279"/>
        <v>0</v>
      </c>
      <c r="J127" s="316">
        <f t="shared" si="279"/>
        <v>0</v>
      </c>
      <c r="K127" s="43">
        <f t="shared" si="279"/>
        <v>0</v>
      </c>
      <c r="L127" s="283">
        <f t="shared" ref="L127" si="280">+L57+L21+L92</f>
        <v>0</v>
      </c>
      <c r="M127" s="239">
        <f t="shared" si="279"/>
        <v>0</v>
      </c>
      <c r="N127" s="43">
        <f t="shared" si="279"/>
        <v>0</v>
      </c>
      <c r="O127" s="43">
        <f t="shared" si="279"/>
        <v>0</v>
      </c>
      <c r="P127" s="43">
        <f t="shared" ref="P127:Q127" si="281">+P57+P21+P92</f>
        <v>0</v>
      </c>
      <c r="Q127" s="43">
        <f t="shared" si="281"/>
        <v>0</v>
      </c>
      <c r="R127" s="57">
        <f t="shared" si="279"/>
        <v>0</v>
      </c>
      <c r="S127" s="320">
        <f t="shared" si="279"/>
        <v>0</v>
      </c>
      <c r="T127" s="316">
        <f t="shared" si="279"/>
        <v>0</v>
      </c>
      <c r="U127" s="316">
        <f t="shared" si="279"/>
        <v>0</v>
      </c>
      <c r="V127" s="316">
        <f t="shared" ref="V127" si="282">+V57+V21+V92</f>
        <v>0</v>
      </c>
      <c r="W127" s="316">
        <f t="shared" si="279"/>
        <v>0</v>
      </c>
      <c r="X127" s="321">
        <f t="shared" si="279"/>
        <v>0</v>
      </c>
      <c r="Y127" s="315">
        <f t="shared" si="279"/>
        <v>0</v>
      </c>
      <c r="Z127" s="316">
        <f t="shared" si="279"/>
        <v>0</v>
      </c>
      <c r="AA127" s="316">
        <f t="shared" si="279"/>
        <v>0</v>
      </c>
      <c r="AB127" s="316">
        <f t="shared" si="279"/>
        <v>0</v>
      </c>
      <c r="AC127" s="319">
        <f t="shared" si="279"/>
        <v>0</v>
      </c>
      <c r="AD127" s="315">
        <f t="shared" si="279"/>
        <v>0</v>
      </c>
      <c r="AE127" s="316">
        <f t="shared" si="279"/>
        <v>0</v>
      </c>
      <c r="AF127" s="316">
        <f t="shared" si="279"/>
        <v>0</v>
      </c>
      <c r="AG127" s="316">
        <f t="shared" si="279"/>
        <v>0</v>
      </c>
      <c r="AH127" s="316">
        <f t="shared" si="279"/>
        <v>0</v>
      </c>
      <c r="AI127" s="316">
        <f t="shared" si="279"/>
        <v>0</v>
      </c>
      <c r="AJ127" s="316">
        <f t="shared" si="279"/>
        <v>0</v>
      </c>
      <c r="AK127" s="316">
        <f t="shared" si="279"/>
        <v>0</v>
      </c>
      <c r="AL127" s="316">
        <f t="shared" si="279"/>
        <v>0</v>
      </c>
      <c r="AM127" s="319">
        <f t="shared" si="279"/>
        <v>0</v>
      </c>
      <c r="AN127" s="239">
        <f t="shared" si="279"/>
        <v>0</v>
      </c>
      <c r="AO127" s="43">
        <f t="shared" si="279"/>
        <v>0</v>
      </c>
      <c r="AP127" s="43">
        <f t="shared" si="279"/>
        <v>0</v>
      </c>
      <c r="AQ127" s="43">
        <f t="shared" si="279"/>
        <v>0</v>
      </c>
      <c r="AR127" s="43">
        <f t="shared" si="279"/>
        <v>0</v>
      </c>
      <c r="AS127" s="43">
        <f t="shared" si="279"/>
        <v>0</v>
      </c>
      <c r="AT127" s="43">
        <f t="shared" si="279"/>
        <v>0</v>
      </c>
      <c r="AU127" s="57">
        <f t="shared" si="279"/>
        <v>0</v>
      </c>
      <c r="AV127" s="277">
        <f t="shared" si="279"/>
        <v>0</v>
      </c>
      <c r="AW127" s="43">
        <f t="shared" si="279"/>
        <v>0</v>
      </c>
      <c r="AX127" s="316">
        <f t="shared" si="279"/>
        <v>0</v>
      </c>
      <c r="AY127" s="283">
        <f t="shared" si="279"/>
        <v>0</v>
      </c>
      <c r="AZ127" s="239">
        <f t="shared" ref="AZ127:CC127" si="283">+AZ57+AZ21+AZ92</f>
        <v>0</v>
      </c>
      <c r="BA127" s="43">
        <f t="shared" si="283"/>
        <v>0</v>
      </c>
      <c r="BB127" s="43">
        <f t="shared" si="283"/>
        <v>0</v>
      </c>
      <c r="BC127" s="43">
        <f t="shared" si="283"/>
        <v>0</v>
      </c>
      <c r="BD127" s="43">
        <f t="shared" si="283"/>
        <v>0</v>
      </c>
      <c r="BE127" s="283">
        <f t="shared" si="283"/>
        <v>0</v>
      </c>
      <c r="BF127" s="315">
        <f t="shared" ref="BF127:BQ127" si="284">+BF57+BF21+BF92</f>
        <v>0</v>
      </c>
      <c r="BG127" s="316">
        <f t="shared" si="284"/>
        <v>0</v>
      </c>
      <c r="BH127" s="316">
        <f t="shared" si="284"/>
        <v>0</v>
      </c>
      <c r="BI127" s="316">
        <f t="shared" si="284"/>
        <v>0</v>
      </c>
      <c r="BJ127" s="316">
        <f t="shared" si="284"/>
        <v>0</v>
      </c>
      <c r="BK127" s="316">
        <f t="shared" si="284"/>
        <v>0</v>
      </c>
      <c r="BL127" s="316">
        <f t="shared" si="284"/>
        <v>0</v>
      </c>
      <c r="BM127" s="316">
        <f t="shared" si="284"/>
        <v>0</v>
      </c>
      <c r="BN127" s="316">
        <f t="shared" si="284"/>
        <v>0</v>
      </c>
      <c r="BO127" s="316">
        <f t="shared" si="284"/>
        <v>0</v>
      </c>
      <c r="BP127" s="316">
        <f t="shared" si="284"/>
        <v>0</v>
      </c>
      <c r="BQ127" s="316">
        <f t="shared" si="284"/>
        <v>0</v>
      </c>
      <c r="BR127" s="316">
        <f t="shared" si="283"/>
        <v>0</v>
      </c>
      <c r="BS127" s="316">
        <f t="shared" si="283"/>
        <v>0</v>
      </c>
      <c r="BT127" s="316">
        <f t="shared" si="283"/>
        <v>0</v>
      </c>
      <c r="BU127" s="316">
        <f t="shared" si="283"/>
        <v>0</v>
      </c>
      <c r="BV127" s="316">
        <f t="shared" si="283"/>
        <v>0</v>
      </c>
      <c r="BW127" s="316">
        <f t="shared" si="283"/>
        <v>0</v>
      </c>
      <c r="BX127" s="316">
        <f t="shared" si="283"/>
        <v>0</v>
      </c>
      <c r="BY127" s="316">
        <f t="shared" si="283"/>
        <v>0</v>
      </c>
      <c r="BZ127" s="316">
        <f t="shared" si="283"/>
        <v>0</v>
      </c>
      <c r="CA127" s="316">
        <f t="shared" si="283"/>
        <v>0</v>
      </c>
      <c r="CB127" s="316">
        <f t="shared" si="283"/>
        <v>0</v>
      </c>
      <c r="CC127" s="319">
        <f t="shared" si="283"/>
        <v>0</v>
      </c>
      <c r="CD127" s="277">
        <f t="shared" ref="CD127:CI127" si="285">+CD57+CD21+CD92</f>
        <v>0</v>
      </c>
      <c r="CE127" s="43">
        <f t="shared" si="285"/>
        <v>0</v>
      </c>
      <c r="CF127" s="43">
        <f t="shared" si="285"/>
        <v>0</v>
      </c>
      <c r="CG127" s="43">
        <f t="shared" si="285"/>
        <v>0</v>
      </c>
      <c r="CH127" s="43">
        <f t="shared" si="285"/>
        <v>0</v>
      </c>
      <c r="CI127" s="57">
        <f t="shared" si="285"/>
        <v>0</v>
      </c>
      <c r="CJ127" s="277">
        <f t="shared" ref="CJ127:CO127" si="286">+CJ57+CJ21+CJ92</f>
        <v>0</v>
      </c>
      <c r="CK127" s="43">
        <f t="shared" si="286"/>
        <v>0</v>
      </c>
      <c r="CL127" s="43">
        <f t="shared" si="286"/>
        <v>0</v>
      </c>
      <c r="CM127" s="43">
        <f t="shared" si="286"/>
        <v>0</v>
      </c>
      <c r="CN127" s="43">
        <f t="shared" si="286"/>
        <v>0</v>
      </c>
      <c r="CO127" s="57">
        <f t="shared" si="286"/>
        <v>0</v>
      </c>
      <c r="CP127" s="277">
        <f t="shared" ref="CP127:CU127" si="287">+CP57+CP21+CP92</f>
        <v>0</v>
      </c>
      <c r="CQ127" s="43">
        <f t="shared" si="287"/>
        <v>0</v>
      </c>
      <c r="CR127" s="43">
        <f t="shared" si="287"/>
        <v>0</v>
      </c>
      <c r="CS127" s="43">
        <f t="shared" si="287"/>
        <v>0</v>
      </c>
      <c r="CT127" s="43">
        <f t="shared" si="287"/>
        <v>0</v>
      </c>
      <c r="CU127" s="57">
        <f t="shared" si="287"/>
        <v>0</v>
      </c>
      <c r="CV127" s="277">
        <f t="shared" ref="CV127:DA127" si="288">+CV57+CV21+CV92</f>
        <v>0</v>
      </c>
      <c r="CW127" s="43">
        <f t="shared" si="288"/>
        <v>0</v>
      </c>
      <c r="CX127" s="43">
        <f t="shared" si="288"/>
        <v>0</v>
      </c>
      <c r="CY127" s="43">
        <f t="shared" si="288"/>
        <v>0</v>
      </c>
      <c r="CZ127" s="43">
        <f t="shared" si="288"/>
        <v>0</v>
      </c>
      <c r="DA127" s="57">
        <f t="shared" si="288"/>
        <v>0</v>
      </c>
      <c r="DB127" s="324">
        <f t="shared" si="96"/>
        <v>0</v>
      </c>
      <c r="DD127">
        <f>+DB127-BUS!HG132</f>
        <v>0</v>
      </c>
    </row>
    <row r="128" spans="1:108">
      <c r="A128" s="238">
        <v>19</v>
      </c>
      <c r="B128" s="239">
        <f t="shared" ref="B128:D128" si="289">+B93+B58+B22</f>
        <v>0</v>
      </c>
      <c r="C128" s="43">
        <f t="shared" si="289"/>
        <v>0</v>
      </c>
      <c r="D128" s="43">
        <f t="shared" si="289"/>
        <v>0</v>
      </c>
      <c r="E128" s="43">
        <f t="shared" ref="E128:F128" si="290">+E93+E58+E22</f>
        <v>0</v>
      </c>
      <c r="F128" s="283">
        <f t="shared" si="290"/>
        <v>0</v>
      </c>
      <c r="G128" s="239">
        <f t="shared" ref="G128:AY128" si="291">+G58+G22+G93</f>
        <v>0</v>
      </c>
      <c r="H128" s="43">
        <f t="shared" si="291"/>
        <v>0</v>
      </c>
      <c r="I128" s="43">
        <f t="shared" si="291"/>
        <v>0</v>
      </c>
      <c r="J128" s="316">
        <f t="shared" si="291"/>
        <v>0</v>
      </c>
      <c r="K128" s="43">
        <f t="shared" si="291"/>
        <v>0</v>
      </c>
      <c r="L128" s="283">
        <f t="shared" ref="L128" si="292">+L58+L22+L93</f>
        <v>0</v>
      </c>
      <c r="M128" s="239">
        <f t="shared" si="291"/>
        <v>0</v>
      </c>
      <c r="N128" s="43">
        <f t="shared" si="291"/>
        <v>0</v>
      </c>
      <c r="O128" s="43">
        <f t="shared" si="291"/>
        <v>0</v>
      </c>
      <c r="P128" s="43">
        <f t="shared" ref="P128:Q128" si="293">+P58+P22+P93</f>
        <v>0</v>
      </c>
      <c r="Q128" s="43">
        <f t="shared" si="293"/>
        <v>0</v>
      </c>
      <c r="R128" s="57">
        <f t="shared" si="291"/>
        <v>0</v>
      </c>
      <c r="S128" s="320">
        <f t="shared" si="291"/>
        <v>0</v>
      </c>
      <c r="T128" s="316">
        <f t="shared" si="291"/>
        <v>0</v>
      </c>
      <c r="U128" s="316">
        <f t="shared" si="291"/>
        <v>0</v>
      </c>
      <c r="V128" s="316">
        <f t="shared" ref="V128" si="294">+V58+V22+V93</f>
        <v>0</v>
      </c>
      <c r="W128" s="316">
        <f t="shared" si="291"/>
        <v>0</v>
      </c>
      <c r="X128" s="321">
        <f t="shared" si="291"/>
        <v>0</v>
      </c>
      <c r="Y128" s="315">
        <f t="shared" si="291"/>
        <v>0</v>
      </c>
      <c r="Z128" s="316">
        <f t="shared" si="291"/>
        <v>0</v>
      </c>
      <c r="AA128" s="316">
        <f t="shared" si="291"/>
        <v>0</v>
      </c>
      <c r="AB128" s="316">
        <f t="shared" si="291"/>
        <v>0</v>
      </c>
      <c r="AC128" s="319">
        <f t="shared" si="291"/>
        <v>0</v>
      </c>
      <c r="AD128" s="315">
        <f t="shared" si="291"/>
        <v>0</v>
      </c>
      <c r="AE128" s="316">
        <f t="shared" si="291"/>
        <v>0</v>
      </c>
      <c r="AF128" s="316">
        <f t="shared" si="291"/>
        <v>0</v>
      </c>
      <c r="AG128" s="316">
        <f t="shared" si="291"/>
        <v>0</v>
      </c>
      <c r="AH128" s="316">
        <f t="shared" si="291"/>
        <v>0</v>
      </c>
      <c r="AI128" s="316">
        <f t="shared" si="291"/>
        <v>0</v>
      </c>
      <c r="AJ128" s="316">
        <f t="shared" si="291"/>
        <v>0</v>
      </c>
      <c r="AK128" s="316">
        <f t="shared" si="291"/>
        <v>0</v>
      </c>
      <c r="AL128" s="316">
        <f t="shared" si="291"/>
        <v>0</v>
      </c>
      <c r="AM128" s="319">
        <f t="shared" si="291"/>
        <v>0</v>
      </c>
      <c r="AN128" s="239">
        <f t="shared" si="291"/>
        <v>0</v>
      </c>
      <c r="AO128" s="43">
        <f t="shared" si="291"/>
        <v>0</v>
      </c>
      <c r="AP128" s="43">
        <f t="shared" si="291"/>
        <v>0</v>
      </c>
      <c r="AQ128" s="43">
        <f t="shared" si="291"/>
        <v>0</v>
      </c>
      <c r="AR128" s="43">
        <f t="shared" si="291"/>
        <v>0</v>
      </c>
      <c r="AS128" s="43">
        <f t="shared" si="291"/>
        <v>0</v>
      </c>
      <c r="AT128" s="43">
        <f t="shared" si="291"/>
        <v>0</v>
      </c>
      <c r="AU128" s="57">
        <f t="shared" si="291"/>
        <v>0</v>
      </c>
      <c r="AV128" s="277">
        <f t="shared" si="291"/>
        <v>0</v>
      </c>
      <c r="AW128" s="43">
        <f t="shared" si="291"/>
        <v>0</v>
      </c>
      <c r="AX128" s="316">
        <f t="shared" si="291"/>
        <v>0</v>
      </c>
      <c r="AY128" s="283">
        <f t="shared" si="291"/>
        <v>0</v>
      </c>
      <c r="AZ128" s="239">
        <f t="shared" ref="AZ128:CC128" si="295">+AZ58+AZ22+AZ93</f>
        <v>0</v>
      </c>
      <c r="BA128" s="43">
        <f t="shared" si="295"/>
        <v>0</v>
      </c>
      <c r="BB128" s="43">
        <f t="shared" si="295"/>
        <v>0</v>
      </c>
      <c r="BC128" s="43">
        <f t="shared" si="295"/>
        <v>0</v>
      </c>
      <c r="BD128" s="43">
        <f t="shared" si="295"/>
        <v>0</v>
      </c>
      <c r="BE128" s="283">
        <f t="shared" si="295"/>
        <v>0</v>
      </c>
      <c r="BF128" s="315">
        <f t="shared" ref="BF128:BQ128" si="296">+BF58+BF22+BF93</f>
        <v>0</v>
      </c>
      <c r="BG128" s="316">
        <f t="shared" si="296"/>
        <v>0</v>
      </c>
      <c r="BH128" s="316">
        <f t="shared" si="296"/>
        <v>0</v>
      </c>
      <c r="BI128" s="316">
        <f t="shared" si="296"/>
        <v>0</v>
      </c>
      <c r="BJ128" s="316">
        <f t="shared" si="296"/>
        <v>0</v>
      </c>
      <c r="BK128" s="316">
        <f t="shared" si="296"/>
        <v>0</v>
      </c>
      <c r="BL128" s="316">
        <f t="shared" si="296"/>
        <v>0</v>
      </c>
      <c r="BM128" s="316">
        <f t="shared" si="296"/>
        <v>0</v>
      </c>
      <c r="BN128" s="316">
        <f t="shared" si="296"/>
        <v>0</v>
      </c>
      <c r="BO128" s="316">
        <f t="shared" si="296"/>
        <v>0</v>
      </c>
      <c r="BP128" s="316">
        <f t="shared" si="296"/>
        <v>0</v>
      </c>
      <c r="BQ128" s="316">
        <f t="shared" si="296"/>
        <v>0</v>
      </c>
      <c r="BR128" s="316">
        <f t="shared" si="295"/>
        <v>0</v>
      </c>
      <c r="BS128" s="316">
        <f t="shared" si="295"/>
        <v>0</v>
      </c>
      <c r="BT128" s="316">
        <f t="shared" si="295"/>
        <v>0</v>
      </c>
      <c r="BU128" s="316">
        <f t="shared" si="295"/>
        <v>0</v>
      </c>
      <c r="BV128" s="316">
        <f t="shared" si="295"/>
        <v>0</v>
      </c>
      <c r="BW128" s="316">
        <f t="shared" si="295"/>
        <v>0</v>
      </c>
      <c r="BX128" s="316">
        <f t="shared" si="295"/>
        <v>0</v>
      </c>
      <c r="BY128" s="316">
        <f t="shared" si="295"/>
        <v>0</v>
      </c>
      <c r="BZ128" s="316">
        <f t="shared" si="295"/>
        <v>0</v>
      </c>
      <c r="CA128" s="316">
        <f t="shared" si="295"/>
        <v>0</v>
      </c>
      <c r="CB128" s="316">
        <f t="shared" si="295"/>
        <v>0</v>
      </c>
      <c r="CC128" s="319">
        <f t="shared" si="295"/>
        <v>0</v>
      </c>
      <c r="CD128" s="277">
        <f t="shared" ref="CD128:CI128" si="297">+CD58+CD22+CD93</f>
        <v>0</v>
      </c>
      <c r="CE128" s="43">
        <f t="shared" si="297"/>
        <v>0</v>
      </c>
      <c r="CF128" s="43">
        <f t="shared" si="297"/>
        <v>0</v>
      </c>
      <c r="CG128" s="43">
        <f t="shared" si="297"/>
        <v>0</v>
      </c>
      <c r="CH128" s="43">
        <f t="shared" si="297"/>
        <v>0</v>
      </c>
      <c r="CI128" s="57">
        <f t="shared" si="297"/>
        <v>0</v>
      </c>
      <c r="CJ128" s="277">
        <f t="shared" ref="CJ128:CO128" si="298">+CJ58+CJ22+CJ93</f>
        <v>0</v>
      </c>
      <c r="CK128" s="43">
        <f t="shared" si="298"/>
        <v>0</v>
      </c>
      <c r="CL128" s="43">
        <f t="shared" si="298"/>
        <v>0</v>
      </c>
      <c r="CM128" s="43">
        <f t="shared" si="298"/>
        <v>0</v>
      </c>
      <c r="CN128" s="43">
        <f t="shared" si="298"/>
        <v>0</v>
      </c>
      <c r="CO128" s="57">
        <f t="shared" si="298"/>
        <v>0</v>
      </c>
      <c r="CP128" s="277">
        <f t="shared" ref="CP128:CU128" si="299">+CP58+CP22+CP93</f>
        <v>0</v>
      </c>
      <c r="CQ128" s="43">
        <f t="shared" si="299"/>
        <v>0</v>
      </c>
      <c r="CR128" s="43">
        <f t="shared" si="299"/>
        <v>0</v>
      </c>
      <c r="CS128" s="43">
        <f t="shared" si="299"/>
        <v>0</v>
      </c>
      <c r="CT128" s="43">
        <f t="shared" si="299"/>
        <v>0</v>
      </c>
      <c r="CU128" s="57">
        <f t="shared" si="299"/>
        <v>0</v>
      </c>
      <c r="CV128" s="277">
        <f t="shared" ref="CV128:DA128" si="300">+CV58+CV22+CV93</f>
        <v>0</v>
      </c>
      <c r="CW128" s="43">
        <f t="shared" si="300"/>
        <v>0</v>
      </c>
      <c r="CX128" s="43">
        <f t="shared" si="300"/>
        <v>0</v>
      </c>
      <c r="CY128" s="43">
        <f t="shared" si="300"/>
        <v>0</v>
      </c>
      <c r="CZ128" s="43">
        <f t="shared" si="300"/>
        <v>0</v>
      </c>
      <c r="DA128" s="57">
        <f t="shared" si="300"/>
        <v>0</v>
      </c>
      <c r="DB128" s="324">
        <f t="shared" si="96"/>
        <v>0</v>
      </c>
      <c r="DD128">
        <f>+DB128-BUS!HG133</f>
        <v>0</v>
      </c>
    </row>
    <row r="129" spans="1:108">
      <c r="A129" s="238">
        <v>20</v>
      </c>
      <c r="B129" s="239">
        <f t="shared" ref="B129:D129" si="301">+B94+B59+B23</f>
        <v>0</v>
      </c>
      <c r="C129" s="43">
        <f t="shared" si="301"/>
        <v>0</v>
      </c>
      <c r="D129" s="43">
        <f t="shared" si="301"/>
        <v>0</v>
      </c>
      <c r="E129" s="43">
        <f t="shared" ref="E129:F129" si="302">+E94+E59+E23</f>
        <v>0</v>
      </c>
      <c r="F129" s="283">
        <f t="shared" si="302"/>
        <v>0</v>
      </c>
      <c r="G129" s="239">
        <f t="shared" ref="G129:AY129" si="303">+G59+G23+G94</f>
        <v>0</v>
      </c>
      <c r="H129" s="43">
        <f t="shared" si="303"/>
        <v>0</v>
      </c>
      <c r="I129" s="43">
        <f t="shared" si="303"/>
        <v>0</v>
      </c>
      <c r="J129" s="316">
        <f t="shared" si="303"/>
        <v>0</v>
      </c>
      <c r="K129" s="43">
        <f t="shared" si="303"/>
        <v>0</v>
      </c>
      <c r="L129" s="283">
        <f t="shared" ref="L129" si="304">+L59+L23+L94</f>
        <v>0</v>
      </c>
      <c r="M129" s="239">
        <f t="shared" si="303"/>
        <v>0</v>
      </c>
      <c r="N129" s="43">
        <f t="shared" si="303"/>
        <v>0</v>
      </c>
      <c r="O129" s="43">
        <f t="shared" si="303"/>
        <v>0</v>
      </c>
      <c r="P129" s="43">
        <f t="shared" ref="P129:Q129" si="305">+P59+P23+P94</f>
        <v>0</v>
      </c>
      <c r="Q129" s="43">
        <f t="shared" si="305"/>
        <v>0</v>
      </c>
      <c r="R129" s="57">
        <f t="shared" si="303"/>
        <v>0</v>
      </c>
      <c r="S129" s="320">
        <f t="shared" si="303"/>
        <v>0</v>
      </c>
      <c r="T129" s="316">
        <f t="shared" si="303"/>
        <v>0</v>
      </c>
      <c r="U129" s="316">
        <f t="shared" si="303"/>
        <v>0</v>
      </c>
      <c r="V129" s="316">
        <f t="shared" ref="V129" si="306">+V59+V23+V94</f>
        <v>0</v>
      </c>
      <c r="W129" s="316">
        <f t="shared" si="303"/>
        <v>0</v>
      </c>
      <c r="X129" s="321">
        <f t="shared" si="303"/>
        <v>0</v>
      </c>
      <c r="Y129" s="315">
        <f t="shared" si="303"/>
        <v>0</v>
      </c>
      <c r="Z129" s="316">
        <f t="shared" si="303"/>
        <v>0</v>
      </c>
      <c r="AA129" s="316">
        <f t="shared" si="303"/>
        <v>0</v>
      </c>
      <c r="AB129" s="316">
        <f t="shared" si="303"/>
        <v>0</v>
      </c>
      <c r="AC129" s="319">
        <f t="shared" si="303"/>
        <v>0</v>
      </c>
      <c r="AD129" s="315">
        <f t="shared" si="303"/>
        <v>0</v>
      </c>
      <c r="AE129" s="316">
        <f t="shared" si="303"/>
        <v>0</v>
      </c>
      <c r="AF129" s="316">
        <f t="shared" si="303"/>
        <v>0</v>
      </c>
      <c r="AG129" s="316">
        <f t="shared" si="303"/>
        <v>0</v>
      </c>
      <c r="AH129" s="316">
        <f t="shared" si="303"/>
        <v>0</v>
      </c>
      <c r="AI129" s="316">
        <f t="shared" si="303"/>
        <v>0</v>
      </c>
      <c r="AJ129" s="316">
        <f t="shared" si="303"/>
        <v>0</v>
      </c>
      <c r="AK129" s="316">
        <f t="shared" si="303"/>
        <v>0</v>
      </c>
      <c r="AL129" s="316">
        <f t="shared" si="303"/>
        <v>0</v>
      </c>
      <c r="AM129" s="319">
        <f t="shared" si="303"/>
        <v>0</v>
      </c>
      <c r="AN129" s="239">
        <f t="shared" si="303"/>
        <v>0</v>
      </c>
      <c r="AO129" s="43">
        <f t="shared" si="303"/>
        <v>0</v>
      </c>
      <c r="AP129" s="43">
        <f t="shared" si="303"/>
        <v>0</v>
      </c>
      <c r="AQ129" s="43">
        <f t="shared" si="303"/>
        <v>0</v>
      </c>
      <c r="AR129" s="43">
        <f t="shared" si="303"/>
        <v>0</v>
      </c>
      <c r="AS129" s="43">
        <f t="shared" si="303"/>
        <v>0</v>
      </c>
      <c r="AT129" s="43">
        <f t="shared" si="303"/>
        <v>0</v>
      </c>
      <c r="AU129" s="57">
        <f t="shared" si="303"/>
        <v>0</v>
      </c>
      <c r="AV129" s="277">
        <f t="shared" si="303"/>
        <v>0</v>
      </c>
      <c r="AW129" s="43">
        <f t="shared" si="303"/>
        <v>0</v>
      </c>
      <c r="AX129" s="316">
        <f t="shared" si="303"/>
        <v>0</v>
      </c>
      <c r="AY129" s="283">
        <f t="shared" si="303"/>
        <v>0</v>
      </c>
      <c r="AZ129" s="239">
        <f t="shared" ref="AZ129:CC129" si="307">+AZ59+AZ23+AZ94</f>
        <v>0</v>
      </c>
      <c r="BA129" s="43">
        <f t="shared" si="307"/>
        <v>0</v>
      </c>
      <c r="BB129" s="43">
        <f t="shared" si="307"/>
        <v>0</v>
      </c>
      <c r="BC129" s="43">
        <f t="shared" si="307"/>
        <v>0</v>
      </c>
      <c r="BD129" s="43">
        <f t="shared" si="307"/>
        <v>0</v>
      </c>
      <c r="BE129" s="283">
        <f t="shared" si="307"/>
        <v>0</v>
      </c>
      <c r="BF129" s="315">
        <f t="shared" ref="BF129:BQ129" si="308">+BF59+BF23+BF94</f>
        <v>0</v>
      </c>
      <c r="BG129" s="316">
        <f t="shared" si="308"/>
        <v>0</v>
      </c>
      <c r="BH129" s="316">
        <f t="shared" si="308"/>
        <v>0</v>
      </c>
      <c r="BI129" s="316">
        <f t="shared" si="308"/>
        <v>0</v>
      </c>
      <c r="BJ129" s="316">
        <f t="shared" si="308"/>
        <v>0</v>
      </c>
      <c r="BK129" s="316">
        <f t="shared" si="308"/>
        <v>0</v>
      </c>
      <c r="BL129" s="316">
        <f t="shared" si="308"/>
        <v>0</v>
      </c>
      <c r="BM129" s="316">
        <f t="shared" si="308"/>
        <v>0</v>
      </c>
      <c r="BN129" s="316">
        <f t="shared" si="308"/>
        <v>0</v>
      </c>
      <c r="BO129" s="316">
        <f t="shared" si="308"/>
        <v>0</v>
      </c>
      <c r="BP129" s="316">
        <f t="shared" si="308"/>
        <v>0</v>
      </c>
      <c r="BQ129" s="316">
        <f t="shared" si="308"/>
        <v>0</v>
      </c>
      <c r="BR129" s="316">
        <f t="shared" si="307"/>
        <v>0</v>
      </c>
      <c r="BS129" s="316">
        <f t="shared" si="307"/>
        <v>0</v>
      </c>
      <c r="BT129" s="316">
        <f t="shared" si="307"/>
        <v>0</v>
      </c>
      <c r="BU129" s="316">
        <f t="shared" si="307"/>
        <v>0</v>
      </c>
      <c r="BV129" s="316">
        <f t="shared" si="307"/>
        <v>0</v>
      </c>
      <c r="BW129" s="316">
        <f t="shared" si="307"/>
        <v>0</v>
      </c>
      <c r="BX129" s="316">
        <f t="shared" si="307"/>
        <v>0</v>
      </c>
      <c r="BY129" s="316">
        <f t="shared" si="307"/>
        <v>0</v>
      </c>
      <c r="BZ129" s="316">
        <f t="shared" si="307"/>
        <v>0</v>
      </c>
      <c r="CA129" s="316">
        <f t="shared" si="307"/>
        <v>0</v>
      </c>
      <c r="CB129" s="316">
        <f t="shared" si="307"/>
        <v>0</v>
      </c>
      <c r="CC129" s="319">
        <f t="shared" si="307"/>
        <v>0</v>
      </c>
      <c r="CD129" s="277">
        <f t="shared" ref="CD129:CI129" si="309">+CD59+CD23+CD94</f>
        <v>0</v>
      </c>
      <c r="CE129" s="43">
        <f t="shared" si="309"/>
        <v>0</v>
      </c>
      <c r="CF129" s="43">
        <f t="shared" si="309"/>
        <v>0</v>
      </c>
      <c r="CG129" s="43">
        <f t="shared" si="309"/>
        <v>0</v>
      </c>
      <c r="CH129" s="43">
        <f t="shared" si="309"/>
        <v>0</v>
      </c>
      <c r="CI129" s="57">
        <f t="shared" si="309"/>
        <v>0</v>
      </c>
      <c r="CJ129" s="277">
        <f t="shared" ref="CJ129:CO129" si="310">+CJ59+CJ23+CJ94</f>
        <v>0</v>
      </c>
      <c r="CK129" s="43">
        <f t="shared" si="310"/>
        <v>0</v>
      </c>
      <c r="CL129" s="43">
        <f t="shared" si="310"/>
        <v>0</v>
      </c>
      <c r="CM129" s="43">
        <f t="shared" si="310"/>
        <v>0</v>
      </c>
      <c r="CN129" s="43">
        <f t="shared" si="310"/>
        <v>0</v>
      </c>
      <c r="CO129" s="57">
        <f t="shared" si="310"/>
        <v>0</v>
      </c>
      <c r="CP129" s="277">
        <f t="shared" ref="CP129:CU129" si="311">+CP59+CP23+CP94</f>
        <v>0</v>
      </c>
      <c r="CQ129" s="43">
        <f t="shared" si="311"/>
        <v>0</v>
      </c>
      <c r="CR129" s="43">
        <f t="shared" si="311"/>
        <v>0</v>
      </c>
      <c r="CS129" s="43">
        <f t="shared" si="311"/>
        <v>0</v>
      </c>
      <c r="CT129" s="43">
        <f t="shared" si="311"/>
        <v>0</v>
      </c>
      <c r="CU129" s="57">
        <f t="shared" si="311"/>
        <v>0</v>
      </c>
      <c r="CV129" s="277">
        <f t="shared" ref="CV129:DA129" si="312">+CV59+CV23+CV94</f>
        <v>0</v>
      </c>
      <c r="CW129" s="43">
        <f t="shared" si="312"/>
        <v>0</v>
      </c>
      <c r="CX129" s="43">
        <f t="shared" si="312"/>
        <v>0</v>
      </c>
      <c r="CY129" s="43">
        <f t="shared" si="312"/>
        <v>0</v>
      </c>
      <c r="CZ129" s="43">
        <f t="shared" si="312"/>
        <v>0</v>
      </c>
      <c r="DA129" s="57">
        <f t="shared" si="312"/>
        <v>0</v>
      </c>
      <c r="DB129" s="324">
        <f t="shared" si="96"/>
        <v>0</v>
      </c>
      <c r="DD129">
        <f>+DB129-BUS!HG134</f>
        <v>0</v>
      </c>
    </row>
    <row r="130" spans="1:108">
      <c r="A130" s="238">
        <v>21</v>
      </c>
      <c r="B130" s="239">
        <f t="shared" ref="B130:D130" si="313">+B95+B60+B24</f>
        <v>0</v>
      </c>
      <c r="C130" s="43">
        <f t="shared" si="313"/>
        <v>0</v>
      </c>
      <c r="D130" s="43">
        <f t="shared" si="313"/>
        <v>0</v>
      </c>
      <c r="E130" s="43">
        <f t="shared" ref="E130:F130" si="314">+E95+E60+E24</f>
        <v>0</v>
      </c>
      <c r="F130" s="283">
        <f t="shared" si="314"/>
        <v>0</v>
      </c>
      <c r="G130" s="239">
        <f t="shared" ref="G130:AY130" si="315">+G60+G24+G95</f>
        <v>0</v>
      </c>
      <c r="H130" s="43">
        <f t="shared" si="315"/>
        <v>0</v>
      </c>
      <c r="I130" s="43">
        <f t="shared" si="315"/>
        <v>0</v>
      </c>
      <c r="J130" s="316">
        <f t="shared" si="315"/>
        <v>0</v>
      </c>
      <c r="K130" s="43">
        <f t="shared" si="315"/>
        <v>0</v>
      </c>
      <c r="L130" s="283">
        <f t="shared" ref="L130" si="316">+L60+L24+L95</f>
        <v>0</v>
      </c>
      <c r="M130" s="239">
        <f t="shared" si="315"/>
        <v>0</v>
      </c>
      <c r="N130" s="43">
        <f t="shared" si="315"/>
        <v>0</v>
      </c>
      <c r="O130" s="43">
        <f t="shared" si="315"/>
        <v>0</v>
      </c>
      <c r="P130" s="43">
        <f t="shared" ref="P130:Q130" si="317">+P60+P24+P95</f>
        <v>0</v>
      </c>
      <c r="Q130" s="43">
        <f t="shared" si="317"/>
        <v>0</v>
      </c>
      <c r="R130" s="57">
        <f t="shared" si="315"/>
        <v>0</v>
      </c>
      <c r="S130" s="320">
        <f t="shared" si="315"/>
        <v>0</v>
      </c>
      <c r="T130" s="316">
        <f t="shared" si="315"/>
        <v>0</v>
      </c>
      <c r="U130" s="316">
        <f t="shared" si="315"/>
        <v>0</v>
      </c>
      <c r="V130" s="316">
        <f t="shared" ref="V130" si="318">+V60+V24+V95</f>
        <v>0</v>
      </c>
      <c r="W130" s="316">
        <f t="shared" si="315"/>
        <v>0</v>
      </c>
      <c r="X130" s="321">
        <f t="shared" si="315"/>
        <v>0</v>
      </c>
      <c r="Y130" s="315">
        <f t="shared" si="315"/>
        <v>0</v>
      </c>
      <c r="Z130" s="316">
        <f t="shared" si="315"/>
        <v>0</v>
      </c>
      <c r="AA130" s="316">
        <f t="shared" si="315"/>
        <v>0</v>
      </c>
      <c r="AB130" s="316">
        <f t="shared" si="315"/>
        <v>0</v>
      </c>
      <c r="AC130" s="319">
        <f t="shared" si="315"/>
        <v>0</v>
      </c>
      <c r="AD130" s="315">
        <f t="shared" si="315"/>
        <v>0</v>
      </c>
      <c r="AE130" s="316">
        <f t="shared" si="315"/>
        <v>0</v>
      </c>
      <c r="AF130" s="316">
        <f t="shared" si="315"/>
        <v>0</v>
      </c>
      <c r="AG130" s="316">
        <f t="shared" si="315"/>
        <v>0</v>
      </c>
      <c r="AH130" s="316">
        <f t="shared" si="315"/>
        <v>0</v>
      </c>
      <c r="AI130" s="316">
        <f t="shared" si="315"/>
        <v>0</v>
      </c>
      <c r="AJ130" s="316">
        <f t="shared" si="315"/>
        <v>0</v>
      </c>
      <c r="AK130" s="316">
        <f t="shared" si="315"/>
        <v>0</v>
      </c>
      <c r="AL130" s="316">
        <f t="shared" si="315"/>
        <v>0</v>
      </c>
      <c r="AM130" s="319">
        <f t="shared" si="315"/>
        <v>0</v>
      </c>
      <c r="AN130" s="239">
        <f t="shared" si="315"/>
        <v>0</v>
      </c>
      <c r="AO130" s="43">
        <f t="shared" si="315"/>
        <v>0</v>
      </c>
      <c r="AP130" s="43">
        <f t="shared" si="315"/>
        <v>0</v>
      </c>
      <c r="AQ130" s="43">
        <f t="shared" si="315"/>
        <v>0</v>
      </c>
      <c r="AR130" s="43">
        <f t="shared" si="315"/>
        <v>0</v>
      </c>
      <c r="AS130" s="43">
        <f t="shared" si="315"/>
        <v>0</v>
      </c>
      <c r="AT130" s="43">
        <f t="shared" si="315"/>
        <v>0</v>
      </c>
      <c r="AU130" s="57">
        <f t="shared" si="315"/>
        <v>0</v>
      </c>
      <c r="AV130" s="277">
        <f t="shared" si="315"/>
        <v>0</v>
      </c>
      <c r="AW130" s="43">
        <f t="shared" si="315"/>
        <v>0</v>
      </c>
      <c r="AX130" s="316">
        <f t="shared" si="315"/>
        <v>0</v>
      </c>
      <c r="AY130" s="283">
        <f t="shared" si="315"/>
        <v>0</v>
      </c>
      <c r="AZ130" s="239">
        <f t="shared" ref="AZ130:CC130" si="319">+AZ60+AZ24+AZ95</f>
        <v>0</v>
      </c>
      <c r="BA130" s="43">
        <f t="shared" si="319"/>
        <v>0</v>
      </c>
      <c r="BB130" s="43">
        <f t="shared" si="319"/>
        <v>0</v>
      </c>
      <c r="BC130" s="43">
        <f t="shared" si="319"/>
        <v>0</v>
      </c>
      <c r="BD130" s="43">
        <f t="shared" si="319"/>
        <v>0</v>
      </c>
      <c r="BE130" s="283">
        <f t="shared" si="319"/>
        <v>0</v>
      </c>
      <c r="BF130" s="315">
        <f t="shared" ref="BF130:BQ130" si="320">+BF60+BF24+BF95</f>
        <v>0</v>
      </c>
      <c r="BG130" s="316">
        <f t="shared" si="320"/>
        <v>0</v>
      </c>
      <c r="BH130" s="316">
        <f t="shared" si="320"/>
        <v>0</v>
      </c>
      <c r="BI130" s="316">
        <f t="shared" si="320"/>
        <v>0</v>
      </c>
      <c r="BJ130" s="316">
        <f t="shared" si="320"/>
        <v>0</v>
      </c>
      <c r="BK130" s="316">
        <f t="shared" si="320"/>
        <v>0</v>
      </c>
      <c r="BL130" s="316">
        <f t="shared" si="320"/>
        <v>0</v>
      </c>
      <c r="BM130" s="316">
        <f t="shared" si="320"/>
        <v>0</v>
      </c>
      <c r="BN130" s="316">
        <f t="shared" si="320"/>
        <v>0</v>
      </c>
      <c r="BO130" s="316">
        <f t="shared" si="320"/>
        <v>0</v>
      </c>
      <c r="BP130" s="316">
        <f t="shared" si="320"/>
        <v>0</v>
      </c>
      <c r="BQ130" s="316">
        <f t="shared" si="320"/>
        <v>0</v>
      </c>
      <c r="BR130" s="316">
        <f t="shared" si="319"/>
        <v>0</v>
      </c>
      <c r="BS130" s="316">
        <f t="shared" si="319"/>
        <v>0</v>
      </c>
      <c r="BT130" s="316">
        <f t="shared" si="319"/>
        <v>0</v>
      </c>
      <c r="BU130" s="316">
        <f t="shared" si="319"/>
        <v>0</v>
      </c>
      <c r="BV130" s="316">
        <f t="shared" si="319"/>
        <v>0</v>
      </c>
      <c r="BW130" s="316">
        <f t="shared" si="319"/>
        <v>0</v>
      </c>
      <c r="BX130" s="316">
        <f t="shared" si="319"/>
        <v>0</v>
      </c>
      <c r="BY130" s="316">
        <f t="shared" si="319"/>
        <v>0</v>
      </c>
      <c r="BZ130" s="316">
        <f t="shared" si="319"/>
        <v>0</v>
      </c>
      <c r="CA130" s="316">
        <f t="shared" si="319"/>
        <v>0</v>
      </c>
      <c r="CB130" s="316">
        <f t="shared" si="319"/>
        <v>0</v>
      </c>
      <c r="CC130" s="319">
        <f t="shared" si="319"/>
        <v>0</v>
      </c>
      <c r="CD130" s="277">
        <f t="shared" ref="CD130:CI130" si="321">+CD60+CD24+CD95</f>
        <v>0</v>
      </c>
      <c r="CE130" s="43">
        <f t="shared" si="321"/>
        <v>0</v>
      </c>
      <c r="CF130" s="43">
        <f t="shared" si="321"/>
        <v>0</v>
      </c>
      <c r="CG130" s="43">
        <f t="shared" si="321"/>
        <v>0</v>
      </c>
      <c r="CH130" s="43">
        <f t="shared" si="321"/>
        <v>0</v>
      </c>
      <c r="CI130" s="57">
        <f t="shared" si="321"/>
        <v>0</v>
      </c>
      <c r="CJ130" s="277">
        <f t="shared" ref="CJ130:CO130" si="322">+CJ60+CJ24+CJ95</f>
        <v>0</v>
      </c>
      <c r="CK130" s="43">
        <f t="shared" si="322"/>
        <v>0</v>
      </c>
      <c r="CL130" s="43">
        <f t="shared" si="322"/>
        <v>0</v>
      </c>
      <c r="CM130" s="43">
        <f t="shared" si="322"/>
        <v>0</v>
      </c>
      <c r="CN130" s="43">
        <f t="shared" si="322"/>
        <v>0</v>
      </c>
      <c r="CO130" s="57">
        <f t="shared" si="322"/>
        <v>0</v>
      </c>
      <c r="CP130" s="277">
        <f t="shared" ref="CP130:CU130" si="323">+CP60+CP24+CP95</f>
        <v>0</v>
      </c>
      <c r="CQ130" s="43">
        <f t="shared" si="323"/>
        <v>0</v>
      </c>
      <c r="CR130" s="43">
        <f t="shared" si="323"/>
        <v>0</v>
      </c>
      <c r="CS130" s="43">
        <f t="shared" si="323"/>
        <v>0</v>
      </c>
      <c r="CT130" s="43">
        <f t="shared" si="323"/>
        <v>0</v>
      </c>
      <c r="CU130" s="57">
        <f t="shared" si="323"/>
        <v>0</v>
      </c>
      <c r="CV130" s="277">
        <f t="shared" ref="CV130:DA130" si="324">+CV60+CV24+CV95</f>
        <v>0</v>
      </c>
      <c r="CW130" s="43">
        <f t="shared" si="324"/>
        <v>0</v>
      </c>
      <c r="CX130" s="43">
        <f t="shared" si="324"/>
        <v>0</v>
      </c>
      <c r="CY130" s="43">
        <f t="shared" si="324"/>
        <v>0</v>
      </c>
      <c r="CZ130" s="43">
        <f t="shared" si="324"/>
        <v>0</v>
      </c>
      <c r="DA130" s="57">
        <f t="shared" si="324"/>
        <v>0</v>
      </c>
      <c r="DB130" s="324">
        <f t="shared" si="96"/>
        <v>0</v>
      </c>
      <c r="DD130">
        <f>+DB130-BUS!HG135</f>
        <v>0</v>
      </c>
    </row>
    <row r="131" spans="1:108">
      <c r="A131" s="238">
        <v>22</v>
      </c>
      <c r="B131" s="239">
        <f t="shared" ref="B131:D131" si="325">+B96+B61+B25</f>
        <v>0</v>
      </c>
      <c r="C131" s="43">
        <f t="shared" si="325"/>
        <v>0</v>
      </c>
      <c r="D131" s="43">
        <f t="shared" si="325"/>
        <v>0</v>
      </c>
      <c r="E131" s="43">
        <f t="shared" ref="E131:F131" si="326">+E96+E61+E25</f>
        <v>0</v>
      </c>
      <c r="F131" s="283">
        <f t="shared" si="326"/>
        <v>0</v>
      </c>
      <c r="G131" s="239">
        <f t="shared" ref="G131:AY131" si="327">+G61+G25+G96</f>
        <v>0</v>
      </c>
      <c r="H131" s="43">
        <f t="shared" si="327"/>
        <v>0</v>
      </c>
      <c r="I131" s="43">
        <f t="shared" si="327"/>
        <v>0</v>
      </c>
      <c r="J131" s="316">
        <f t="shared" si="327"/>
        <v>0</v>
      </c>
      <c r="K131" s="43">
        <f t="shared" si="327"/>
        <v>0</v>
      </c>
      <c r="L131" s="283">
        <f t="shared" ref="L131" si="328">+L61+L25+L96</f>
        <v>0</v>
      </c>
      <c r="M131" s="239">
        <f t="shared" si="327"/>
        <v>0</v>
      </c>
      <c r="N131" s="43">
        <f t="shared" si="327"/>
        <v>0</v>
      </c>
      <c r="O131" s="43">
        <f t="shared" si="327"/>
        <v>0</v>
      </c>
      <c r="P131" s="43">
        <f t="shared" ref="P131:Q131" si="329">+P61+P25+P96</f>
        <v>0</v>
      </c>
      <c r="Q131" s="43">
        <f t="shared" si="329"/>
        <v>0</v>
      </c>
      <c r="R131" s="57">
        <f t="shared" si="327"/>
        <v>0</v>
      </c>
      <c r="S131" s="320">
        <f t="shared" si="327"/>
        <v>0</v>
      </c>
      <c r="T131" s="316">
        <f t="shared" si="327"/>
        <v>0</v>
      </c>
      <c r="U131" s="316">
        <f t="shared" si="327"/>
        <v>0</v>
      </c>
      <c r="V131" s="316">
        <f t="shared" ref="V131" si="330">+V61+V25+V96</f>
        <v>0</v>
      </c>
      <c r="W131" s="316">
        <f t="shared" si="327"/>
        <v>0</v>
      </c>
      <c r="X131" s="321">
        <f t="shared" si="327"/>
        <v>0</v>
      </c>
      <c r="Y131" s="315">
        <f t="shared" si="327"/>
        <v>0</v>
      </c>
      <c r="Z131" s="316">
        <f t="shared" si="327"/>
        <v>0</v>
      </c>
      <c r="AA131" s="316">
        <f t="shared" si="327"/>
        <v>0</v>
      </c>
      <c r="AB131" s="316">
        <f t="shared" si="327"/>
        <v>0</v>
      </c>
      <c r="AC131" s="319">
        <f t="shared" si="327"/>
        <v>0</v>
      </c>
      <c r="AD131" s="315">
        <f t="shared" si="327"/>
        <v>0</v>
      </c>
      <c r="AE131" s="316">
        <f t="shared" si="327"/>
        <v>0</v>
      </c>
      <c r="AF131" s="316">
        <f t="shared" si="327"/>
        <v>0</v>
      </c>
      <c r="AG131" s="316">
        <f t="shared" si="327"/>
        <v>0</v>
      </c>
      <c r="AH131" s="316">
        <f t="shared" si="327"/>
        <v>0</v>
      </c>
      <c r="AI131" s="316">
        <f t="shared" si="327"/>
        <v>0</v>
      </c>
      <c r="AJ131" s="316">
        <f t="shared" si="327"/>
        <v>0</v>
      </c>
      <c r="AK131" s="316">
        <f t="shared" si="327"/>
        <v>0</v>
      </c>
      <c r="AL131" s="316">
        <f t="shared" si="327"/>
        <v>0</v>
      </c>
      <c r="AM131" s="319">
        <f t="shared" si="327"/>
        <v>0</v>
      </c>
      <c r="AN131" s="239">
        <f t="shared" si="327"/>
        <v>0</v>
      </c>
      <c r="AO131" s="43">
        <f t="shared" si="327"/>
        <v>0</v>
      </c>
      <c r="AP131" s="43">
        <f t="shared" si="327"/>
        <v>0</v>
      </c>
      <c r="AQ131" s="43">
        <f t="shared" si="327"/>
        <v>0</v>
      </c>
      <c r="AR131" s="43">
        <f t="shared" si="327"/>
        <v>0</v>
      </c>
      <c r="AS131" s="43">
        <f t="shared" si="327"/>
        <v>0</v>
      </c>
      <c r="AT131" s="43">
        <f t="shared" si="327"/>
        <v>0</v>
      </c>
      <c r="AU131" s="57">
        <f t="shared" si="327"/>
        <v>0</v>
      </c>
      <c r="AV131" s="277">
        <f t="shared" si="327"/>
        <v>0</v>
      </c>
      <c r="AW131" s="43">
        <f t="shared" si="327"/>
        <v>0</v>
      </c>
      <c r="AX131" s="316">
        <f t="shared" si="327"/>
        <v>0</v>
      </c>
      <c r="AY131" s="283">
        <f t="shared" si="327"/>
        <v>0</v>
      </c>
      <c r="AZ131" s="239">
        <f t="shared" ref="AZ131:CC131" si="331">+AZ61+AZ25+AZ96</f>
        <v>0</v>
      </c>
      <c r="BA131" s="43">
        <f t="shared" si="331"/>
        <v>0</v>
      </c>
      <c r="BB131" s="43">
        <f t="shared" si="331"/>
        <v>0</v>
      </c>
      <c r="BC131" s="43">
        <f t="shared" si="331"/>
        <v>0</v>
      </c>
      <c r="BD131" s="43">
        <f t="shared" si="331"/>
        <v>0</v>
      </c>
      <c r="BE131" s="283">
        <f t="shared" si="331"/>
        <v>0</v>
      </c>
      <c r="BF131" s="315">
        <f t="shared" ref="BF131:BQ131" si="332">+BF61+BF25+BF96</f>
        <v>0</v>
      </c>
      <c r="BG131" s="316">
        <f t="shared" si="332"/>
        <v>0</v>
      </c>
      <c r="BH131" s="316">
        <f t="shared" si="332"/>
        <v>0</v>
      </c>
      <c r="BI131" s="316">
        <f t="shared" si="332"/>
        <v>0</v>
      </c>
      <c r="BJ131" s="316">
        <f t="shared" si="332"/>
        <v>0</v>
      </c>
      <c r="BK131" s="316">
        <f t="shared" si="332"/>
        <v>0</v>
      </c>
      <c r="BL131" s="316">
        <f t="shared" si="332"/>
        <v>0</v>
      </c>
      <c r="BM131" s="316">
        <f t="shared" si="332"/>
        <v>0</v>
      </c>
      <c r="BN131" s="316">
        <f t="shared" si="332"/>
        <v>0</v>
      </c>
      <c r="BO131" s="316">
        <f t="shared" si="332"/>
        <v>0</v>
      </c>
      <c r="BP131" s="316">
        <f t="shared" si="332"/>
        <v>0</v>
      </c>
      <c r="BQ131" s="316">
        <f t="shared" si="332"/>
        <v>0</v>
      </c>
      <c r="BR131" s="316">
        <f t="shared" si="331"/>
        <v>0</v>
      </c>
      <c r="BS131" s="316">
        <f t="shared" si="331"/>
        <v>0</v>
      </c>
      <c r="BT131" s="316">
        <f t="shared" si="331"/>
        <v>0</v>
      </c>
      <c r="BU131" s="316">
        <f t="shared" si="331"/>
        <v>0</v>
      </c>
      <c r="BV131" s="316">
        <f t="shared" si="331"/>
        <v>0</v>
      </c>
      <c r="BW131" s="316">
        <f t="shared" si="331"/>
        <v>0</v>
      </c>
      <c r="BX131" s="316">
        <f t="shared" si="331"/>
        <v>0</v>
      </c>
      <c r="BY131" s="316">
        <f t="shared" si="331"/>
        <v>0</v>
      </c>
      <c r="BZ131" s="316">
        <f t="shared" si="331"/>
        <v>0</v>
      </c>
      <c r="CA131" s="316">
        <f t="shared" si="331"/>
        <v>0</v>
      </c>
      <c r="CB131" s="316">
        <f t="shared" si="331"/>
        <v>0</v>
      </c>
      <c r="CC131" s="319">
        <f t="shared" si="331"/>
        <v>0</v>
      </c>
      <c r="CD131" s="277">
        <f t="shared" ref="CD131:CI131" si="333">+CD61+CD25+CD96</f>
        <v>0</v>
      </c>
      <c r="CE131" s="43">
        <f t="shared" si="333"/>
        <v>0</v>
      </c>
      <c r="CF131" s="43">
        <f t="shared" si="333"/>
        <v>0</v>
      </c>
      <c r="CG131" s="43">
        <f t="shared" si="333"/>
        <v>0</v>
      </c>
      <c r="CH131" s="43">
        <f t="shared" si="333"/>
        <v>0</v>
      </c>
      <c r="CI131" s="57">
        <f t="shared" si="333"/>
        <v>0</v>
      </c>
      <c r="CJ131" s="277">
        <f t="shared" ref="CJ131:CO131" si="334">+CJ61+CJ25+CJ96</f>
        <v>0</v>
      </c>
      <c r="CK131" s="43">
        <f t="shared" si="334"/>
        <v>0</v>
      </c>
      <c r="CL131" s="43">
        <f t="shared" si="334"/>
        <v>0</v>
      </c>
      <c r="CM131" s="43">
        <f t="shared" si="334"/>
        <v>0</v>
      </c>
      <c r="CN131" s="43">
        <f t="shared" si="334"/>
        <v>0</v>
      </c>
      <c r="CO131" s="57">
        <f t="shared" si="334"/>
        <v>0</v>
      </c>
      <c r="CP131" s="277">
        <f t="shared" ref="CP131:CU131" si="335">+CP61+CP25+CP96</f>
        <v>0</v>
      </c>
      <c r="CQ131" s="43">
        <f t="shared" si="335"/>
        <v>0</v>
      </c>
      <c r="CR131" s="43">
        <f t="shared" si="335"/>
        <v>0</v>
      </c>
      <c r="CS131" s="43">
        <f t="shared" si="335"/>
        <v>0</v>
      </c>
      <c r="CT131" s="43">
        <f t="shared" si="335"/>
        <v>0</v>
      </c>
      <c r="CU131" s="57">
        <f t="shared" si="335"/>
        <v>0</v>
      </c>
      <c r="CV131" s="277">
        <f t="shared" ref="CV131:DA131" si="336">+CV61+CV25+CV96</f>
        <v>0</v>
      </c>
      <c r="CW131" s="43">
        <f t="shared" si="336"/>
        <v>0</v>
      </c>
      <c r="CX131" s="43">
        <f t="shared" si="336"/>
        <v>0</v>
      </c>
      <c r="CY131" s="43">
        <f t="shared" si="336"/>
        <v>0</v>
      </c>
      <c r="CZ131" s="43">
        <f t="shared" si="336"/>
        <v>0</v>
      </c>
      <c r="DA131" s="57">
        <f t="shared" si="336"/>
        <v>0</v>
      </c>
      <c r="DB131" s="324">
        <f t="shared" si="96"/>
        <v>0</v>
      </c>
      <c r="DD131">
        <f>+DB131-BUS!HG136</f>
        <v>0</v>
      </c>
    </row>
    <row r="132" spans="1:108">
      <c r="A132" s="238">
        <v>23</v>
      </c>
      <c r="B132" s="239">
        <f t="shared" ref="B132:D132" si="337">+B97+B62+B26</f>
        <v>0</v>
      </c>
      <c r="C132" s="43">
        <f t="shared" si="337"/>
        <v>0</v>
      </c>
      <c r="D132" s="43">
        <f t="shared" si="337"/>
        <v>0</v>
      </c>
      <c r="E132" s="43">
        <f t="shared" ref="E132:F132" si="338">+E97+E62+E26</f>
        <v>0</v>
      </c>
      <c r="F132" s="283">
        <f t="shared" si="338"/>
        <v>0</v>
      </c>
      <c r="G132" s="239">
        <f t="shared" ref="G132:AY132" si="339">+G62+G26+G97</f>
        <v>0</v>
      </c>
      <c r="H132" s="43">
        <f t="shared" si="339"/>
        <v>0</v>
      </c>
      <c r="I132" s="43">
        <f t="shared" si="339"/>
        <v>0</v>
      </c>
      <c r="J132" s="316">
        <f t="shared" si="339"/>
        <v>0</v>
      </c>
      <c r="K132" s="43">
        <f t="shared" si="339"/>
        <v>0</v>
      </c>
      <c r="L132" s="283">
        <f t="shared" ref="L132" si="340">+L62+L26+L97</f>
        <v>0</v>
      </c>
      <c r="M132" s="239">
        <f t="shared" si="339"/>
        <v>0</v>
      </c>
      <c r="N132" s="43">
        <f t="shared" si="339"/>
        <v>0</v>
      </c>
      <c r="O132" s="43">
        <f t="shared" si="339"/>
        <v>0</v>
      </c>
      <c r="P132" s="43">
        <f t="shared" ref="P132:Q132" si="341">+P62+P26+P97</f>
        <v>0</v>
      </c>
      <c r="Q132" s="43">
        <f t="shared" si="341"/>
        <v>0</v>
      </c>
      <c r="R132" s="57">
        <f t="shared" si="339"/>
        <v>0</v>
      </c>
      <c r="S132" s="320">
        <f t="shared" si="339"/>
        <v>0</v>
      </c>
      <c r="T132" s="316">
        <f t="shared" si="339"/>
        <v>0</v>
      </c>
      <c r="U132" s="316">
        <f t="shared" si="339"/>
        <v>0</v>
      </c>
      <c r="V132" s="316">
        <f t="shared" ref="V132" si="342">+V62+V26+V97</f>
        <v>0</v>
      </c>
      <c r="W132" s="316">
        <f t="shared" si="339"/>
        <v>0</v>
      </c>
      <c r="X132" s="321">
        <f t="shared" si="339"/>
        <v>0</v>
      </c>
      <c r="Y132" s="315">
        <f t="shared" si="339"/>
        <v>0</v>
      </c>
      <c r="Z132" s="316">
        <f t="shared" si="339"/>
        <v>0</v>
      </c>
      <c r="AA132" s="316">
        <f t="shared" si="339"/>
        <v>0</v>
      </c>
      <c r="AB132" s="316">
        <f t="shared" si="339"/>
        <v>0</v>
      </c>
      <c r="AC132" s="319">
        <f t="shared" si="339"/>
        <v>0</v>
      </c>
      <c r="AD132" s="315">
        <f t="shared" si="339"/>
        <v>0</v>
      </c>
      <c r="AE132" s="316">
        <f t="shared" si="339"/>
        <v>0</v>
      </c>
      <c r="AF132" s="316">
        <f t="shared" si="339"/>
        <v>0</v>
      </c>
      <c r="AG132" s="316">
        <f t="shared" si="339"/>
        <v>0</v>
      </c>
      <c r="AH132" s="316">
        <f t="shared" si="339"/>
        <v>0</v>
      </c>
      <c r="AI132" s="316">
        <f t="shared" si="339"/>
        <v>0</v>
      </c>
      <c r="AJ132" s="316">
        <f t="shared" si="339"/>
        <v>0</v>
      </c>
      <c r="AK132" s="316">
        <f t="shared" si="339"/>
        <v>0</v>
      </c>
      <c r="AL132" s="316">
        <f t="shared" si="339"/>
        <v>0</v>
      </c>
      <c r="AM132" s="319">
        <f t="shared" si="339"/>
        <v>0</v>
      </c>
      <c r="AN132" s="239">
        <f t="shared" si="339"/>
        <v>0</v>
      </c>
      <c r="AO132" s="43">
        <f t="shared" si="339"/>
        <v>0</v>
      </c>
      <c r="AP132" s="43">
        <f t="shared" si="339"/>
        <v>0</v>
      </c>
      <c r="AQ132" s="43">
        <f t="shared" si="339"/>
        <v>0</v>
      </c>
      <c r="AR132" s="43">
        <f t="shared" si="339"/>
        <v>0</v>
      </c>
      <c r="AS132" s="43">
        <f t="shared" si="339"/>
        <v>0</v>
      </c>
      <c r="AT132" s="43">
        <f t="shared" si="339"/>
        <v>0</v>
      </c>
      <c r="AU132" s="57">
        <f t="shared" si="339"/>
        <v>0</v>
      </c>
      <c r="AV132" s="277">
        <f t="shared" si="339"/>
        <v>0</v>
      </c>
      <c r="AW132" s="43">
        <f t="shared" si="339"/>
        <v>0</v>
      </c>
      <c r="AX132" s="316">
        <f t="shared" si="339"/>
        <v>0</v>
      </c>
      <c r="AY132" s="283">
        <f t="shared" si="339"/>
        <v>0</v>
      </c>
      <c r="AZ132" s="239">
        <f t="shared" ref="AZ132:CC132" si="343">+AZ62+AZ26+AZ97</f>
        <v>0</v>
      </c>
      <c r="BA132" s="43">
        <f t="shared" si="343"/>
        <v>0</v>
      </c>
      <c r="BB132" s="43">
        <f t="shared" si="343"/>
        <v>0</v>
      </c>
      <c r="BC132" s="43">
        <f t="shared" si="343"/>
        <v>0</v>
      </c>
      <c r="BD132" s="43">
        <f t="shared" si="343"/>
        <v>0</v>
      </c>
      <c r="BE132" s="283">
        <f t="shared" si="343"/>
        <v>0</v>
      </c>
      <c r="BF132" s="315">
        <f t="shared" ref="BF132:BQ132" si="344">+BF62+BF26+BF97</f>
        <v>0</v>
      </c>
      <c r="BG132" s="316">
        <f t="shared" si="344"/>
        <v>0</v>
      </c>
      <c r="BH132" s="316">
        <f t="shared" si="344"/>
        <v>0</v>
      </c>
      <c r="BI132" s="316">
        <f t="shared" si="344"/>
        <v>0</v>
      </c>
      <c r="BJ132" s="316">
        <f t="shared" si="344"/>
        <v>0</v>
      </c>
      <c r="BK132" s="316">
        <f t="shared" si="344"/>
        <v>0</v>
      </c>
      <c r="BL132" s="316">
        <f t="shared" si="344"/>
        <v>0</v>
      </c>
      <c r="BM132" s="316">
        <f t="shared" si="344"/>
        <v>0</v>
      </c>
      <c r="BN132" s="316">
        <f t="shared" si="344"/>
        <v>0</v>
      </c>
      <c r="BO132" s="316">
        <f t="shared" si="344"/>
        <v>0</v>
      </c>
      <c r="BP132" s="316">
        <f t="shared" si="344"/>
        <v>0</v>
      </c>
      <c r="BQ132" s="316">
        <f t="shared" si="344"/>
        <v>0</v>
      </c>
      <c r="BR132" s="316">
        <f t="shared" si="343"/>
        <v>0</v>
      </c>
      <c r="BS132" s="316">
        <f t="shared" si="343"/>
        <v>0</v>
      </c>
      <c r="BT132" s="316">
        <f t="shared" si="343"/>
        <v>0</v>
      </c>
      <c r="BU132" s="316">
        <f t="shared" si="343"/>
        <v>0</v>
      </c>
      <c r="BV132" s="316">
        <f t="shared" si="343"/>
        <v>0</v>
      </c>
      <c r="BW132" s="316">
        <f t="shared" si="343"/>
        <v>0</v>
      </c>
      <c r="BX132" s="316">
        <f t="shared" si="343"/>
        <v>0</v>
      </c>
      <c r="BY132" s="316">
        <f t="shared" si="343"/>
        <v>0</v>
      </c>
      <c r="BZ132" s="316">
        <f t="shared" si="343"/>
        <v>0</v>
      </c>
      <c r="CA132" s="316">
        <f t="shared" si="343"/>
        <v>0</v>
      </c>
      <c r="CB132" s="316">
        <f t="shared" si="343"/>
        <v>0</v>
      </c>
      <c r="CC132" s="319">
        <f t="shared" si="343"/>
        <v>0</v>
      </c>
      <c r="CD132" s="277">
        <f t="shared" ref="CD132:CI132" si="345">+CD62+CD26+CD97</f>
        <v>0</v>
      </c>
      <c r="CE132" s="43">
        <f t="shared" si="345"/>
        <v>0</v>
      </c>
      <c r="CF132" s="43">
        <f t="shared" si="345"/>
        <v>0</v>
      </c>
      <c r="CG132" s="43">
        <f t="shared" si="345"/>
        <v>0</v>
      </c>
      <c r="CH132" s="43">
        <f t="shared" si="345"/>
        <v>0</v>
      </c>
      <c r="CI132" s="57">
        <f t="shared" si="345"/>
        <v>0</v>
      </c>
      <c r="CJ132" s="277">
        <f t="shared" ref="CJ132:CO132" si="346">+CJ62+CJ26+CJ97</f>
        <v>0</v>
      </c>
      <c r="CK132" s="43">
        <f t="shared" si="346"/>
        <v>0</v>
      </c>
      <c r="CL132" s="43">
        <f t="shared" si="346"/>
        <v>0</v>
      </c>
      <c r="CM132" s="43">
        <f t="shared" si="346"/>
        <v>0</v>
      </c>
      <c r="CN132" s="43">
        <f t="shared" si="346"/>
        <v>0</v>
      </c>
      <c r="CO132" s="57">
        <f t="shared" si="346"/>
        <v>0</v>
      </c>
      <c r="CP132" s="277">
        <f t="shared" ref="CP132:CU132" si="347">+CP62+CP26+CP97</f>
        <v>0</v>
      </c>
      <c r="CQ132" s="43">
        <f t="shared" si="347"/>
        <v>0</v>
      </c>
      <c r="CR132" s="43">
        <f t="shared" si="347"/>
        <v>0</v>
      </c>
      <c r="CS132" s="43">
        <f t="shared" si="347"/>
        <v>0</v>
      </c>
      <c r="CT132" s="43">
        <f t="shared" si="347"/>
        <v>0</v>
      </c>
      <c r="CU132" s="57">
        <f t="shared" si="347"/>
        <v>0</v>
      </c>
      <c r="CV132" s="277">
        <f t="shared" ref="CV132:DA132" si="348">+CV62+CV26+CV97</f>
        <v>0</v>
      </c>
      <c r="CW132" s="43">
        <f t="shared" si="348"/>
        <v>0</v>
      </c>
      <c r="CX132" s="43">
        <f t="shared" si="348"/>
        <v>0</v>
      </c>
      <c r="CY132" s="43">
        <f t="shared" si="348"/>
        <v>0</v>
      </c>
      <c r="CZ132" s="43">
        <f t="shared" si="348"/>
        <v>0</v>
      </c>
      <c r="DA132" s="57">
        <f t="shared" si="348"/>
        <v>0</v>
      </c>
      <c r="DB132" s="324">
        <f t="shared" si="96"/>
        <v>0</v>
      </c>
      <c r="DD132">
        <f>+DB132-BUS!HG137</f>
        <v>0</v>
      </c>
    </row>
    <row r="133" spans="1:108">
      <c r="A133" s="238">
        <v>24</v>
      </c>
      <c r="B133" s="239">
        <f t="shared" ref="B133:D133" si="349">+B98+B63+B27</f>
        <v>0</v>
      </c>
      <c r="C133" s="43">
        <f t="shared" si="349"/>
        <v>0</v>
      </c>
      <c r="D133" s="43">
        <f t="shared" si="349"/>
        <v>0</v>
      </c>
      <c r="E133" s="43">
        <f t="shared" ref="E133:F133" si="350">+E98+E63+E27</f>
        <v>0</v>
      </c>
      <c r="F133" s="283">
        <f t="shared" si="350"/>
        <v>0</v>
      </c>
      <c r="G133" s="239">
        <f t="shared" ref="G133:AY133" si="351">+G63+G27+G98</f>
        <v>0</v>
      </c>
      <c r="H133" s="43">
        <f t="shared" si="351"/>
        <v>0</v>
      </c>
      <c r="I133" s="43">
        <f t="shared" si="351"/>
        <v>0</v>
      </c>
      <c r="J133" s="316">
        <f t="shared" si="351"/>
        <v>0</v>
      </c>
      <c r="K133" s="43">
        <f t="shared" si="351"/>
        <v>0</v>
      </c>
      <c r="L133" s="283">
        <f t="shared" ref="L133" si="352">+L63+L27+L98</f>
        <v>0</v>
      </c>
      <c r="M133" s="239">
        <f t="shared" si="351"/>
        <v>0</v>
      </c>
      <c r="N133" s="43">
        <f t="shared" si="351"/>
        <v>0</v>
      </c>
      <c r="O133" s="43">
        <f t="shared" si="351"/>
        <v>0</v>
      </c>
      <c r="P133" s="43">
        <f t="shared" ref="P133:Q133" si="353">+P63+P27+P98</f>
        <v>0</v>
      </c>
      <c r="Q133" s="43">
        <f t="shared" si="353"/>
        <v>0</v>
      </c>
      <c r="R133" s="57">
        <f t="shared" si="351"/>
        <v>0</v>
      </c>
      <c r="S133" s="320">
        <f t="shared" si="351"/>
        <v>0</v>
      </c>
      <c r="T133" s="316">
        <f t="shared" si="351"/>
        <v>0</v>
      </c>
      <c r="U133" s="316">
        <f t="shared" si="351"/>
        <v>0</v>
      </c>
      <c r="V133" s="316">
        <f t="shared" ref="V133" si="354">+V63+V27+V98</f>
        <v>0</v>
      </c>
      <c r="W133" s="316">
        <f t="shared" si="351"/>
        <v>0</v>
      </c>
      <c r="X133" s="321">
        <f t="shared" si="351"/>
        <v>0</v>
      </c>
      <c r="Y133" s="315">
        <f t="shared" si="351"/>
        <v>0</v>
      </c>
      <c r="Z133" s="316">
        <f t="shared" si="351"/>
        <v>0</v>
      </c>
      <c r="AA133" s="316">
        <f t="shared" si="351"/>
        <v>0</v>
      </c>
      <c r="AB133" s="316">
        <f t="shared" si="351"/>
        <v>0</v>
      </c>
      <c r="AC133" s="319">
        <f t="shared" si="351"/>
        <v>0</v>
      </c>
      <c r="AD133" s="315">
        <f t="shared" si="351"/>
        <v>0</v>
      </c>
      <c r="AE133" s="316">
        <f t="shared" si="351"/>
        <v>0</v>
      </c>
      <c r="AF133" s="316">
        <f t="shared" si="351"/>
        <v>0</v>
      </c>
      <c r="AG133" s="316">
        <f t="shared" si="351"/>
        <v>0</v>
      </c>
      <c r="AH133" s="316">
        <f t="shared" si="351"/>
        <v>0</v>
      </c>
      <c r="AI133" s="316">
        <f t="shared" si="351"/>
        <v>0</v>
      </c>
      <c r="AJ133" s="316">
        <f t="shared" si="351"/>
        <v>0</v>
      </c>
      <c r="AK133" s="316">
        <f t="shared" si="351"/>
        <v>0</v>
      </c>
      <c r="AL133" s="316">
        <f t="shared" si="351"/>
        <v>0</v>
      </c>
      <c r="AM133" s="319">
        <f t="shared" si="351"/>
        <v>0</v>
      </c>
      <c r="AN133" s="239">
        <f t="shared" si="351"/>
        <v>0</v>
      </c>
      <c r="AO133" s="43">
        <f t="shared" si="351"/>
        <v>0</v>
      </c>
      <c r="AP133" s="43">
        <f t="shared" si="351"/>
        <v>0</v>
      </c>
      <c r="AQ133" s="43">
        <f t="shared" si="351"/>
        <v>0</v>
      </c>
      <c r="AR133" s="43">
        <f t="shared" si="351"/>
        <v>0</v>
      </c>
      <c r="AS133" s="43">
        <f t="shared" si="351"/>
        <v>0</v>
      </c>
      <c r="AT133" s="43">
        <f t="shared" si="351"/>
        <v>0</v>
      </c>
      <c r="AU133" s="57">
        <f t="shared" si="351"/>
        <v>0</v>
      </c>
      <c r="AV133" s="277">
        <f t="shared" si="351"/>
        <v>0</v>
      </c>
      <c r="AW133" s="43">
        <f t="shared" si="351"/>
        <v>0</v>
      </c>
      <c r="AX133" s="316">
        <f t="shared" si="351"/>
        <v>0</v>
      </c>
      <c r="AY133" s="283">
        <f t="shared" si="351"/>
        <v>0</v>
      </c>
      <c r="AZ133" s="239">
        <f t="shared" ref="AZ133:CC133" si="355">+AZ63+AZ27+AZ98</f>
        <v>0</v>
      </c>
      <c r="BA133" s="43">
        <f t="shared" si="355"/>
        <v>0</v>
      </c>
      <c r="BB133" s="43">
        <f t="shared" si="355"/>
        <v>0</v>
      </c>
      <c r="BC133" s="43">
        <f t="shared" si="355"/>
        <v>0</v>
      </c>
      <c r="BD133" s="43">
        <f t="shared" si="355"/>
        <v>0</v>
      </c>
      <c r="BE133" s="283">
        <f t="shared" si="355"/>
        <v>0</v>
      </c>
      <c r="BF133" s="315">
        <f t="shared" ref="BF133:BQ133" si="356">+BF63+BF27+BF98</f>
        <v>0</v>
      </c>
      <c r="BG133" s="316">
        <f t="shared" si="356"/>
        <v>0</v>
      </c>
      <c r="BH133" s="316">
        <f t="shared" si="356"/>
        <v>0</v>
      </c>
      <c r="BI133" s="316">
        <f t="shared" si="356"/>
        <v>0</v>
      </c>
      <c r="BJ133" s="316">
        <f t="shared" si="356"/>
        <v>0</v>
      </c>
      <c r="BK133" s="316">
        <f t="shared" si="356"/>
        <v>0</v>
      </c>
      <c r="BL133" s="316">
        <f t="shared" si="356"/>
        <v>0</v>
      </c>
      <c r="BM133" s="316">
        <f t="shared" si="356"/>
        <v>0</v>
      </c>
      <c r="BN133" s="316">
        <f t="shared" si="356"/>
        <v>0</v>
      </c>
      <c r="BO133" s="316">
        <f t="shared" si="356"/>
        <v>0</v>
      </c>
      <c r="BP133" s="316">
        <f t="shared" si="356"/>
        <v>0</v>
      </c>
      <c r="BQ133" s="316">
        <f t="shared" si="356"/>
        <v>0</v>
      </c>
      <c r="BR133" s="316">
        <f t="shared" si="355"/>
        <v>0</v>
      </c>
      <c r="BS133" s="316">
        <f t="shared" si="355"/>
        <v>0</v>
      </c>
      <c r="BT133" s="316">
        <f t="shared" si="355"/>
        <v>0</v>
      </c>
      <c r="BU133" s="316">
        <f t="shared" si="355"/>
        <v>0</v>
      </c>
      <c r="BV133" s="316">
        <f t="shared" si="355"/>
        <v>0</v>
      </c>
      <c r="BW133" s="316">
        <f t="shared" si="355"/>
        <v>0</v>
      </c>
      <c r="BX133" s="316">
        <f t="shared" si="355"/>
        <v>0</v>
      </c>
      <c r="BY133" s="316">
        <f t="shared" si="355"/>
        <v>0</v>
      </c>
      <c r="BZ133" s="316">
        <f t="shared" si="355"/>
        <v>0</v>
      </c>
      <c r="CA133" s="316">
        <f t="shared" si="355"/>
        <v>0</v>
      </c>
      <c r="CB133" s="316">
        <f t="shared" si="355"/>
        <v>0</v>
      </c>
      <c r="CC133" s="319">
        <f t="shared" si="355"/>
        <v>0</v>
      </c>
      <c r="CD133" s="277">
        <f t="shared" ref="CD133:CI133" si="357">+CD63+CD27+CD98</f>
        <v>0</v>
      </c>
      <c r="CE133" s="43">
        <f t="shared" si="357"/>
        <v>0</v>
      </c>
      <c r="CF133" s="43">
        <f t="shared" si="357"/>
        <v>0</v>
      </c>
      <c r="CG133" s="43">
        <f t="shared" si="357"/>
        <v>0</v>
      </c>
      <c r="CH133" s="43">
        <f t="shared" si="357"/>
        <v>0</v>
      </c>
      <c r="CI133" s="57">
        <f t="shared" si="357"/>
        <v>0</v>
      </c>
      <c r="CJ133" s="277">
        <f t="shared" ref="CJ133:CO133" si="358">+CJ63+CJ27+CJ98</f>
        <v>0</v>
      </c>
      <c r="CK133" s="43">
        <f t="shared" si="358"/>
        <v>0</v>
      </c>
      <c r="CL133" s="43">
        <f t="shared" si="358"/>
        <v>0</v>
      </c>
      <c r="CM133" s="43">
        <f t="shared" si="358"/>
        <v>0</v>
      </c>
      <c r="CN133" s="43">
        <f t="shared" si="358"/>
        <v>0</v>
      </c>
      <c r="CO133" s="57">
        <f t="shared" si="358"/>
        <v>0</v>
      </c>
      <c r="CP133" s="277">
        <f t="shared" ref="CP133:CU133" si="359">+CP63+CP27+CP98</f>
        <v>0</v>
      </c>
      <c r="CQ133" s="43">
        <f t="shared" si="359"/>
        <v>0</v>
      </c>
      <c r="CR133" s="43">
        <f t="shared" si="359"/>
        <v>0</v>
      </c>
      <c r="CS133" s="43">
        <f t="shared" si="359"/>
        <v>0</v>
      </c>
      <c r="CT133" s="43">
        <f t="shared" si="359"/>
        <v>0</v>
      </c>
      <c r="CU133" s="57">
        <f t="shared" si="359"/>
        <v>0</v>
      </c>
      <c r="CV133" s="277">
        <f t="shared" ref="CV133:DA133" si="360">+CV63+CV27+CV98</f>
        <v>0</v>
      </c>
      <c r="CW133" s="43">
        <f t="shared" si="360"/>
        <v>0</v>
      </c>
      <c r="CX133" s="43">
        <f t="shared" si="360"/>
        <v>0</v>
      </c>
      <c r="CY133" s="43">
        <f t="shared" si="360"/>
        <v>0</v>
      </c>
      <c r="CZ133" s="43">
        <f t="shared" si="360"/>
        <v>0</v>
      </c>
      <c r="DA133" s="57">
        <f t="shared" si="360"/>
        <v>0</v>
      </c>
      <c r="DB133" s="324">
        <f t="shared" si="96"/>
        <v>0</v>
      </c>
      <c r="DD133">
        <f>+DB133-BUS!HG138</f>
        <v>0</v>
      </c>
    </row>
    <row r="134" spans="1:108">
      <c r="A134" s="238">
        <v>25</v>
      </c>
      <c r="B134" s="239">
        <f t="shared" ref="B134:D134" si="361">+B99+B64+B28</f>
        <v>0</v>
      </c>
      <c r="C134" s="43">
        <f t="shared" si="361"/>
        <v>0</v>
      </c>
      <c r="D134" s="43">
        <f t="shared" si="361"/>
        <v>0</v>
      </c>
      <c r="E134" s="43">
        <f t="shared" ref="E134:F134" si="362">+E99+E64+E28</f>
        <v>0</v>
      </c>
      <c r="F134" s="283">
        <f t="shared" si="362"/>
        <v>0</v>
      </c>
      <c r="G134" s="239">
        <f t="shared" ref="G134:AY134" si="363">+G64+G28+G99</f>
        <v>0</v>
      </c>
      <c r="H134" s="43">
        <f t="shared" si="363"/>
        <v>0</v>
      </c>
      <c r="I134" s="43">
        <f t="shared" si="363"/>
        <v>0</v>
      </c>
      <c r="J134" s="316">
        <f t="shared" si="363"/>
        <v>0</v>
      </c>
      <c r="K134" s="43">
        <f t="shared" si="363"/>
        <v>0</v>
      </c>
      <c r="L134" s="283">
        <f t="shared" ref="L134" si="364">+L64+L28+L99</f>
        <v>0</v>
      </c>
      <c r="M134" s="239">
        <f t="shared" si="363"/>
        <v>0</v>
      </c>
      <c r="N134" s="43">
        <f t="shared" si="363"/>
        <v>0</v>
      </c>
      <c r="O134" s="43">
        <f t="shared" si="363"/>
        <v>0</v>
      </c>
      <c r="P134" s="43">
        <f t="shared" ref="P134:Q134" si="365">+P64+P28+P99</f>
        <v>0</v>
      </c>
      <c r="Q134" s="43">
        <f t="shared" si="365"/>
        <v>0</v>
      </c>
      <c r="R134" s="57">
        <f t="shared" si="363"/>
        <v>0</v>
      </c>
      <c r="S134" s="320">
        <f t="shared" si="363"/>
        <v>0</v>
      </c>
      <c r="T134" s="316">
        <f t="shared" si="363"/>
        <v>0</v>
      </c>
      <c r="U134" s="316">
        <f t="shared" si="363"/>
        <v>0</v>
      </c>
      <c r="V134" s="316">
        <f t="shared" ref="V134" si="366">+V64+V28+V99</f>
        <v>0</v>
      </c>
      <c r="W134" s="316">
        <f t="shared" si="363"/>
        <v>0</v>
      </c>
      <c r="X134" s="321">
        <f t="shared" si="363"/>
        <v>0</v>
      </c>
      <c r="Y134" s="315">
        <f t="shared" si="363"/>
        <v>0</v>
      </c>
      <c r="Z134" s="316">
        <f t="shared" si="363"/>
        <v>0</v>
      </c>
      <c r="AA134" s="316">
        <f t="shared" si="363"/>
        <v>0</v>
      </c>
      <c r="AB134" s="316">
        <f t="shared" si="363"/>
        <v>0</v>
      </c>
      <c r="AC134" s="319">
        <f t="shared" si="363"/>
        <v>0</v>
      </c>
      <c r="AD134" s="315">
        <f t="shared" si="363"/>
        <v>0</v>
      </c>
      <c r="AE134" s="316">
        <f t="shared" si="363"/>
        <v>0</v>
      </c>
      <c r="AF134" s="316">
        <f t="shared" si="363"/>
        <v>0</v>
      </c>
      <c r="AG134" s="316">
        <f t="shared" si="363"/>
        <v>0</v>
      </c>
      <c r="AH134" s="316">
        <f t="shared" si="363"/>
        <v>0</v>
      </c>
      <c r="AI134" s="316">
        <f t="shared" si="363"/>
        <v>0</v>
      </c>
      <c r="AJ134" s="316">
        <f t="shared" si="363"/>
        <v>0</v>
      </c>
      <c r="AK134" s="316">
        <f t="shared" si="363"/>
        <v>0</v>
      </c>
      <c r="AL134" s="316">
        <f t="shared" si="363"/>
        <v>0</v>
      </c>
      <c r="AM134" s="319">
        <f t="shared" si="363"/>
        <v>0</v>
      </c>
      <c r="AN134" s="239">
        <f t="shared" si="363"/>
        <v>0</v>
      </c>
      <c r="AO134" s="43">
        <f t="shared" si="363"/>
        <v>0</v>
      </c>
      <c r="AP134" s="43">
        <f t="shared" si="363"/>
        <v>0</v>
      </c>
      <c r="AQ134" s="43">
        <f t="shared" si="363"/>
        <v>0</v>
      </c>
      <c r="AR134" s="43">
        <f t="shared" si="363"/>
        <v>0</v>
      </c>
      <c r="AS134" s="43">
        <f t="shared" si="363"/>
        <v>0</v>
      </c>
      <c r="AT134" s="43">
        <f t="shared" si="363"/>
        <v>0</v>
      </c>
      <c r="AU134" s="57">
        <f t="shared" si="363"/>
        <v>0</v>
      </c>
      <c r="AV134" s="277">
        <f t="shared" si="363"/>
        <v>0</v>
      </c>
      <c r="AW134" s="43">
        <f t="shared" si="363"/>
        <v>0</v>
      </c>
      <c r="AX134" s="316">
        <f t="shared" si="363"/>
        <v>0</v>
      </c>
      <c r="AY134" s="283">
        <f t="shared" si="363"/>
        <v>0</v>
      </c>
      <c r="AZ134" s="239">
        <f t="shared" ref="AZ134:CC134" si="367">+AZ64+AZ28+AZ99</f>
        <v>0</v>
      </c>
      <c r="BA134" s="43">
        <f t="shared" si="367"/>
        <v>0</v>
      </c>
      <c r="BB134" s="43">
        <f t="shared" si="367"/>
        <v>0</v>
      </c>
      <c r="BC134" s="43">
        <f t="shared" si="367"/>
        <v>0</v>
      </c>
      <c r="BD134" s="43">
        <f t="shared" si="367"/>
        <v>0</v>
      </c>
      <c r="BE134" s="283">
        <f t="shared" si="367"/>
        <v>0</v>
      </c>
      <c r="BF134" s="315">
        <f t="shared" ref="BF134:BQ134" si="368">+BF64+BF28+BF99</f>
        <v>0</v>
      </c>
      <c r="BG134" s="316">
        <f t="shared" si="368"/>
        <v>0</v>
      </c>
      <c r="BH134" s="316">
        <f t="shared" si="368"/>
        <v>0</v>
      </c>
      <c r="BI134" s="316">
        <f t="shared" si="368"/>
        <v>0</v>
      </c>
      <c r="BJ134" s="316">
        <f t="shared" si="368"/>
        <v>0</v>
      </c>
      <c r="BK134" s="316">
        <f t="shared" si="368"/>
        <v>0</v>
      </c>
      <c r="BL134" s="316">
        <f t="shared" si="368"/>
        <v>0</v>
      </c>
      <c r="BM134" s="316">
        <f t="shared" si="368"/>
        <v>0</v>
      </c>
      <c r="BN134" s="316">
        <f t="shared" si="368"/>
        <v>0</v>
      </c>
      <c r="BO134" s="316">
        <f t="shared" si="368"/>
        <v>0</v>
      </c>
      <c r="BP134" s="316">
        <f t="shared" si="368"/>
        <v>0</v>
      </c>
      <c r="BQ134" s="316">
        <f t="shared" si="368"/>
        <v>0</v>
      </c>
      <c r="BR134" s="316">
        <f t="shared" si="367"/>
        <v>0</v>
      </c>
      <c r="BS134" s="316">
        <f t="shared" si="367"/>
        <v>0</v>
      </c>
      <c r="BT134" s="316">
        <f t="shared" si="367"/>
        <v>0</v>
      </c>
      <c r="BU134" s="316">
        <f t="shared" si="367"/>
        <v>0</v>
      </c>
      <c r="BV134" s="316">
        <f t="shared" si="367"/>
        <v>0</v>
      </c>
      <c r="BW134" s="316">
        <f t="shared" si="367"/>
        <v>0</v>
      </c>
      <c r="BX134" s="316">
        <f t="shared" si="367"/>
        <v>0</v>
      </c>
      <c r="BY134" s="316">
        <f t="shared" si="367"/>
        <v>0</v>
      </c>
      <c r="BZ134" s="316">
        <f t="shared" si="367"/>
        <v>0</v>
      </c>
      <c r="CA134" s="316">
        <f t="shared" si="367"/>
        <v>0</v>
      </c>
      <c r="CB134" s="316">
        <f t="shared" si="367"/>
        <v>0</v>
      </c>
      <c r="CC134" s="319">
        <f t="shared" si="367"/>
        <v>0</v>
      </c>
      <c r="CD134" s="277">
        <f t="shared" ref="CD134:CI134" si="369">+CD64+CD28+CD99</f>
        <v>0</v>
      </c>
      <c r="CE134" s="43">
        <f t="shared" si="369"/>
        <v>0</v>
      </c>
      <c r="CF134" s="43">
        <f t="shared" si="369"/>
        <v>0</v>
      </c>
      <c r="CG134" s="43">
        <f t="shared" si="369"/>
        <v>0</v>
      </c>
      <c r="CH134" s="43">
        <f t="shared" si="369"/>
        <v>0</v>
      </c>
      <c r="CI134" s="57">
        <f t="shared" si="369"/>
        <v>0</v>
      </c>
      <c r="CJ134" s="277">
        <f t="shared" ref="CJ134:CO134" si="370">+CJ64+CJ28+CJ99</f>
        <v>0</v>
      </c>
      <c r="CK134" s="43">
        <f t="shared" si="370"/>
        <v>0</v>
      </c>
      <c r="CL134" s="43">
        <f t="shared" si="370"/>
        <v>0</v>
      </c>
      <c r="CM134" s="43">
        <f t="shared" si="370"/>
        <v>0</v>
      </c>
      <c r="CN134" s="43">
        <f t="shared" si="370"/>
        <v>0</v>
      </c>
      <c r="CO134" s="57">
        <f t="shared" si="370"/>
        <v>0</v>
      </c>
      <c r="CP134" s="277">
        <f t="shared" ref="CP134:CU134" si="371">+CP64+CP28+CP99</f>
        <v>0</v>
      </c>
      <c r="CQ134" s="43">
        <f t="shared" si="371"/>
        <v>0</v>
      </c>
      <c r="CR134" s="43">
        <f t="shared" si="371"/>
        <v>0</v>
      </c>
      <c r="CS134" s="43">
        <f t="shared" si="371"/>
        <v>0</v>
      </c>
      <c r="CT134" s="43">
        <f t="shared" si="371"/>
        <v>0</v>
      </c>
      <c r="CU134" s="57">
        <f t="shared" si="371"/>
        <v>0</v>
      </c>
      <c r="CV134" s="277">
        <f t="shared" ref="CV134:DA134" si="372">+CV64+CV28+CV99</f>
        <v>0</v>
      </c>
      <c r="CW134" s="43">
        <f t="shared" si="372"/>
        <v>0</v>
      </c>
      <c r="CX134" s="43">
        <f t="shared" si="372"/>
        <v>0</v>
      </c>
      <c r="CY134" s="43">
        <f t="shared" si="372"/>
        <v>0</v>
      </c>
      <c r="CZ134" s="43">
        <f t="shared" si="372"/>
        <v>0</v>
      </c>
      <c r="DA134" s="57">
        <f t="shared" si="372"/>
        <v>0</v>
      </c>
      <c r="DB134" s="324">
        <f t="shared" si="96"/>
        <v>0</v>
      </c>
      <c r="DD134">
        <f>+DB134-BUS!HG139</f>
        <v>0</v>
      </c>
    </row>
    <row r="135" spans="1:108">
      <c r="A135" s="238">
        <v>26</v>
      </c>
      <c r="B135" s="239">
        <f t="shared" ref="B135:D135" si="373">+B100+B65+B29</f>
        <v>0</v>
      </c>
      <c r="C135" s="43">
        <f t="shared" si="373"/>
        <v>0</v>
      </c>
      <c r="D135" s="43">
        <f t="shared" si="373"/>
        <v>0</v>
      </c>
      <c r="E135" s="43">
        <f t="shared" ref="E135:F135" si="374">+E100+E65+E29</f>
        <v>0</v>
      </c>
      <c r="F135" s="283">
        <f t="shared" si="374"/>
        <v>0</v>
      </c>
      <c r="G135" s="239">
        <f t="shared" ref="G135:AY135" si="375">+G65+G29+G100</f>
        <v>0</v>
      </c>
      <c r="H135" s="43">
        <f t="shared" si="375"/>
        <v>0</v>
      </c>
      <c r="I135" s="43">
        <f t="shared" si="375"/>
        <v>0</v>
      </c>
      <c r="J135" s="316">
        <f t="shared" si="375"/>
        <v>0</v>
      </c>
      <c r="K135" s="43">
        <f t="shared" si="375"/>
        <v>0</v>
      </c>
      <c r="L135" s="283">
        <f t="shared" ref="L135" si="376">+L65+L29+L100</f>
        <v>0</v>
      </c>
      <c r="M135" s="239">
        <f t="shared" si="375"/>
        <v>0</v>
      </c>
      <c r="N135" s="43">
        <f t="shared" si="375"/>
        <v>0</v>
      </c>
      <c r="O135" s="43">
        <f t="shared" si="375"/>
        <v>0</v>
      </c>
      <c r="P135" s="43">
        <f t="shared" ref="P135:Q135" si="377">+P65+P29+P100</f>
        <v>0</v>
      </c>
      <c r="Q135" s="43">
        <f t="shared" si="377"/>
        <v>0</v>
      </c>
      <c r="R135" s="57">
        <f t="shared" si="375"/>
        <v>0</v>
      </c>
      <c r="S135" s="320">
        <f t="shared" si="375"/>
        <v>0</v>
      </c>
      <c r="T135" s="316">
        <f t="shared" si="375"/>
        <v>0</v>
      </c>
      <c r="U135" s="316">
        <f t="shared" si="375"/>
        <v>0</v>
      </c>
      <c r="V135" s="316">
        <f t="shared" ref="V135" si="378">+V65+V29+V100</f>
        <v>0</v>
      </c>
      <c r="W135" s="316">
        <f t="shared" si="375"/>
        <v>0</v>
      </c>
      <c r="X135" s="321">
        <f t="shared" si="375"/>
        <v>0</v>
      </c>
      <c r="Y135" s="315">
        <f t="shared" si="375"/>
        <v>0</v>
      </c>
      <c r="Z135" s="316">
        <f t="shared" si="375"/>
        <v>0</v>
      </c>
      <c r="AA135" s="316">
        <f t="shared" si="375"/>
        <v>0</v>
      </c>
      <c r="AB135" s="316">
        <f t="shared" si="375"/>
        <v>0</v>
      </c>
      <c r="AC135" s="319">
        <f t="shared" si="375"/>
        <v>0</v>
      </c>
      <c r="AD135" s="315">
        <f t="shared" si="375"/>
        <v>0</v>
      </c>
      <c r="AE135" s="316">
        <f t="shared" si="375"/>
        <v>0</v>
      </c>
      <c r="AF135" s="316">
        <f t="shared" si="375"/>
        <v>0</v>
      </c>
      <c r="AG135" s="316">
        <f t="shared" si="375"/>
        <v>0</v>
      </c>
      <c r="AH135" s="316">
        <f t="shared" si="375"/>
        <v>0</v>
      </c>
      <c r="AI135" s="316">
        <f t="shared" si="375"/>
        <v>0</v>
      </c>
      <c r="AJ135" s="316">
        <f t="shared" si="375"/>
        <v>0</v>
      </c>
      <c r="AK135" s="316">
        <f t="shared" si="375"/>
        <v>0</v>
      </c>
      <c r="AL135" s="316">
        <f t="shared" si="375"/>
        <v>0</v>
      </c>
      <c r="AM135" s="319">
        <f t="shared" si="375"/>
        <v>0</v>
      </c>
      <c r="AN135" s="239">
        <f t="shared" si="375"/>
        <v>0</v>
      </c>
      <c r="AO135" s="43">
        <f t="shared" si="375"/>
        <v>0</v>
      </c>
      <c r="AP135" s="43">
        <f t="shared" si="375"/>
        <v>0</v>
      </c>
      <c r="AQ135" s="43">
        <f t="shared" si="375"/>
        <v>0</v>
      </c>
      <c r="AR135" s="43">
        <f t="shared" si="375"/>
        <v>0</v>
      </c>
      <c r="AS135" s="43">
        <f t="shared" si="375"/>
        <v>0</v>
      </c>
      <c r="AT135" s="43">
        <f t="shared" si="375"/>
        <v>0</v>
      </c>
      <c r="AU135" s="57">
        <f t="shared" si="375"/>
        <v>0</v>
      </c>
      <c r="AV135" s="277">
        <f t="shared" si="375"/>
        <v>0</v>
      </c>
      <c r="AW135" s="43">
        <f t="shared" si="375"/>
        <v>0</v>
      </c>
      <c r="AX135" s="316">
        <f t="shared" si="375"/>
        <v>0</v>
      </c>
      <c r="AY135" s="283">
        <f t="shared" si="375"/>
        <v>0</v>
      </c>
      <c r="AZ135" s="239">
        <f t="shared" ref="AZ135:CC135" si="379">+AZ65+AZ29+AZ100</f>
        <v>0</v>
      </c>
      <c r="BA135" s="43">
        <f t="shared" si="379"/>
        <v>0</v>
      </c>
      <c r="BB135" s="43">
        <f t="shared" si="379"/>
        <v>0</v>
      </c>
      <c r="BC135" s="43">
        <f t="shared" si="379"/>
        <v>0</v>
      </c>
      <c r="BD135" s="43">
        <f t="shared" si="379"/>
        <v>0</v>
      </c>
      <c r="BE135" s="283">
        <f t="shared" si="379"/>
        <v>0</v>
      </c>
      <c r="BF135" s="315">
        <f t="shared" ref="BF135:BQ135" si="380">+BF65+BF29+BF100</f>
        <v>0</v>
      </c>
      <c r="BG135" s="316">
        <f t="shared" si="380"/>
        <v>0</v>
      </c>
      <c r="BH135" s="316">
        <f t="shared" si="380"/>
        <v>0</v>
      </c>
      <c r="BI135" s="316">
        <f t="shared" si="380"/>
        <v>0</v>
      </c>
      <c r="BJ135" s="316">
        <f t="shared" si="380"/>
        <v>0</v>
      </c>
      <c r="BK135" s="316">
        <f t="shared" si="380"/>
        <v>0</v>
      </c>
      <c r="BL135" s="316">
        <f t="shared" si="380"/>
        <v>0</v>
      </c>
      <c r="BM135" s="316">
        <f t="shared" si="380"/>
        <v>0</v>
      </c>
      <c r="BN135" s="316">
        <f t="shared" si="380"/>
        <v>0</v>
      </c>
      <c r="BO135" s="316">
        <f t="shared" si="380"/>
        <v>0</v>
      </c>
      <c r="BP135" s="316">
        <f t="shared" si="380"/>
        <v>0</v>
      </c>
      <c r="BQ135" s="316">
        <f t="shared" si="380"/>
        <v>0</v>
      </c>
      <c r="BR135" s="316">
        <f t="shared" si="379"/>
        <v>0</v>
      </c>
      <c r="BS135" s="316">
        <f t="shared" si="379"/>
        <v>0</v>
      </c>
      <c r="BT135" s="316">
        <f t="shared" si="379"/>
        <v>0</v>
      </c>
      <c r="BU135" s="316">
        <f t="shared" si="379"/>
        <v>0</v>
      </c>
      <c r="BV135" s="316">
        <f t="shared" si="379"/>
        <v>0</v>
      </c>
      <c r="BW135" s="316">
        <f t="shared" si="379"/>
        <v>0</v>
      </c>
      <c r="BX135" s="316">
        <f t="shared" si="379"/>
        <v>0</v>
      </c>
      <c r="BY135" s="316">
        <f t="shared" si="379"/>
        <v>0</v>
      </c>
      <c r="BZ135" s="316">
        <f t="shared" si="379"/>
        <v>0</v>
      </c>
      <c r="CA135" s="316">
        <f t="shared" si="379"/>
        <v>0</v>
      </c>
      <c r="CB135" s="316">
        <f t="shared" si="379"/>
        <v>0</v>
      </c>
      <c r="CC135" s="319">
        <f t="shared" si="379"/>
        <v>0</v>
      </c>
      <c r="CD135" s="277">
        <f t="shared" ref="CD135:CI135" si="381">+CD65+CD29+CD100</f>
        <v>0</v>
      </c>
      <c r="CE135" s="43">
        <f t="shared" si="381"/>
        <v>0</v>
      </c>
      <c r="CF135" s="43">
        <f t="shared" si="381"/>
        <v>0</v>
      </c>
      <c r="CG135" s="43">
        <f t="shared" si="381"/>
        <v>0</v>
      </c>
      <c r="CH135" s="43">
        <f t="shared" si="381"/>
        <v>0</v>
      </c>
      <c r="CI135" s="57">
        <f t="shared" si="381"/>
        <v>0</v>
      </c>
      <c r="CJ135" s="277">
        <f t="shared" ref="CJ135:CO135" si="382">+CJ65+CJ29+CJ100</f>
        <v>0</v>
      </c>
      <c r="CK135" s="43">
        <f t="shared" si="382"/>
        <v>0</v>
      </c>
      <c r="CL135" s="43">
        <f t="shared" si="382"/>
        <v>0</v>
      </c>
      <c r="CM135" s="43">
        <f t="shared" si="382"/>
        <v>0</v>
      </c>
      <c r="CN135" s="43">
        <f t="shared" si="382"/>
        <v>0</v>
      </c>
      <c r="CO135" s="57">
        <f t="shared" si="382"/>
        <v>0</v>
      </c>
      <c r="CP135" s="277">
        <f t="shared" ref="CP135:CU135" si="383">+CP65+CP29+CP100</f>
        <v>0</v>
      </c>
      <c r="CQ135" s="43">
        <f t="shared" si="383"/>
        <v>0</v>
      </c>
      <c r="CR135" s="43">
        <f t="shared" si="383"/>
        <v>0</v>
      </c>
      <c r="CS135" s="43">
        <f t="shared" si="383"/>
        <v>0</v>
      </c>
      <c r="CT135" s="43">
        <f t="shared" si="383"/>
        <v>0</v>
      </c>
      <c r="CU135" s="57">
        <f t="shared" si="383"/>
        <v>0</v>
      </c>
      <c r="CV135" s="277">
        <f t="shared" ref="CV135:DA135" si="384">+CV65+CV29+CV100</f>
        <v>0</v>
      </c>
      <c r="CW135" s="43">
        <f t="shared" si="384"/>
        <v>0</v>
      </c>
      <c r="CX135" s="43">
        <f t="shared" si="384"/>
        <v>0</v>
      </c>
      <c r="CY135" s="43">
        <f t="shared" si="384"/>
        <v>0</v>
      </c>
      <c r="CZ135" s="43">
        <f t="shared" si="384"/>
        <v>0</v>
      </c>
      <c r="DA135" s="57">
        <f t="shared" si="384"/>
        <v>0</v>
      </c>
      <c r="DB135" s="324">
        <f t="shared" si="96"/>
        <v>0</v>
      </c>
      <c r="DD135">
        <f>+DB135-BUS!HG140</f>
        <v>0</v>
      </c>
    </row>
    <row r="136" spans="1:108">
      <c r="A136" s="238">
        <v>27</v>
      </c>
      <c r="B136" s="239">
        <f t="shared" ref="B136:D136" si="385">+B101+B66+B30</f>
        <v>0</v>
      </c>
      <c r="C136" s="43">
        <f t="shared" si="385"/>
        <v>0</v>
      </c>
      <c r="D136" s="43">
        <f t="shared" si="385"/>
        <v>0</v>
      </c>
      <c r="E136" s="43">
        <f t="shared" ref="E136:F136" si="386">+E101+E66+E30</f>
        <v>0</v>
      </c>
      <c r="F136" s="283">
        <f t="shared" si="386"/>
        <v>0</v>
      </c>
      <c r="G136" s="239">
        <f t="shared" ref="G136:AY136" si="387">+G66+G30+G101</f>
        <v>0</v>
      </c>
      <c r="H136" s="43">
        <f t="shared" si="387"/>
        <v>0</v>
      </c>
      <c r="I136" s="43">
        <f t="shared" si="387"/>
        <v>0</v>
      </c>
      <c r="J136" s="316">
        <f t="shared" si="387"/>
        <v>0</v>
      </c>
      <c r="K136" s="43">
        <f t="shared" si="387"/>
        <v>0</v>
      </c>
      <c r="L136" s="283">
        <f t="shared" ref="L136" si="388">+L66+L30+L101</f>
        <v>0</v>
      </c>
      <c r="M136" s="239">
        <f t="shared" si="387"/>
        <v>0</v>
      </c>
      <c r="N136" s="43">
        <f t="shared" si="387"/>
        <v>0</v>
      </c>
      <c r="O136" s="43">
        <f t="shared" si="387"/>
        <v>0</v>
      </c>
      <c r="P136" s="43">
        <f t="shared" ref="P136:Q136" si="389">+P66+P30+P101</f>
        <v>0</v>
      </c>
      <c r="Q136" s="43">
        <f t="shared" si="389"/>
        <v>0</v>
      </c>
      <c r="R136" s="57">
        <f t="shared" si="387"/>
        <v>0</v>
      </c>
      <c r="S136" s="320">
        <f t="shared" si="387"/>
        <v>0</v>
      </c>
      <c r="T136" s="316">
        <f t="shared" si="387"/>
        <v>0</v>
      </c>
      <c r="U136" s="316">
        <f t="shared" si="387"/>
        <v>0</v>
      </c>
      <c r="V136" s="316">
        <f t="shared" ref="V136" si="390">+V66+V30+V101</f>
        <v>0</v>
      </c>
      <c r="W136" s="316">
        <f t="shared" si="387"/>
        <v>0</v>
      </c>
      <c r="X136" s="321">
        <f t="shared" si="387"/>
        <v>0</v>
      </c>
      <c r="Y136" s="315">
        <f t="shared" si="387"/>
        <v>0</v>
      </c>
      <c r="Z136" s="316">
        <f t="shared" si="387"/>
        <v>0</v>
      </c>
      <c r="AA136" s="316">
        <f t="shared" si="387"/>
        <v>0</v>
      </c>
      <c r="AB136" s="316">
        <f t="shared" si="387"/>
        <v>0</v>
      </c>
      <c r="AC136" s="319">
        <f t="shared" si="387"/>
        <v>0</v>
      </c>
      <c r="AD136" s="315">
        <f t="shared" si="387"/>
        <v>0</v>
      </c>
      <c r="AE136" s="316">
        <f t="shared" si="387"/>
        <v>0</v>
      </c>
      <c r="AF136" s="316">
        <f t="shared" si="387"/>
        <v>0</v>
      </c>
      <c r="AG136" s="316">
        <f t="shared" si="387"/>
        <v>0</v>
      </c>
      <c r="AH136" s="316">
        <f t="shared" si="387"/>
        <v>0</v>
      </c>
      <c r="AI136" s="316">
        <f t="shared" si="387"/>
        <v>0</v>
      </c>
      <c r="AJ136" s="316">
        <f t="shared" si="387"/>
        <v>0</v>
      </c>
      <c r="AK136" s="316">
        <f t="shared" si="387"/>
        <v>0</v>
      </c>
      <c r="AL136" s="316">
        <f t="shared" si="387"/>
        <v>0</v>
      </c>
      <c r="AM136" s="319">
        <f t="shared" si="387"/>
        <v>0</v>
      </c>
      <c r="AN136" s="239">
        <f t="shared" si="387"/>
        <v>0</v>
      </c>
      <c r="AO136" s="43">
        <f t="shared" si="387"/>
        <v>0</v>
      </c>
      <c r="AP136" s="43">
        <f t="shared" si="387"/>
        <v>0</v>
      </c>
      <c r="AQ136" s="43">
        <f t="shared" si="387"/>
        <v>0</v>
      </c>
      <c r="AR136" s="43">
        <f t="shared" si="387"/>
        <v>0</v>
      </c>
      <c r="AS136" s="43">
        <f t="shared" si="387"/>
        <v>0</v>
      </c>
      <c r="AT136" s="43">
        <f t="shared" si="387"/>
        <v>0</v>
      </c>
      <c r="AU136" s="57">
        <f t="shared" si="387"/>
        <v>0</v>
      </c>
      <c r="AV136" s="277">
        <f t="shared" si="387"/>
        <v>0</v>
      </c>
      <c r="AW136" s="43">
        <f t="shared" si="387"/>
        <v>0</v>
      </c>
      <c r="AX136" s="316">
        <f t="shared" si="387"/>
        <v>0</v>
      </c>
      <c r="AY136" s="283">
        <f t="shared" si="387"/>
        <v>0</v>
      </c>
      <c r="AZ136" s="239">
        <f t="shared" ref="AZ136:CC136" si="391">+AZ66+AZ30+AZ101</f>
        <v>0</v>
      </c>
      <c r="BA136" s="43">
        <f t="shared" si="391"/>
        <v>0</v>
      </c>
      <c r="BB136" s="43">
        <f t="shared" si="391"/>
        <v>0</v>
      </c>
      <c r="BC136" s="43">
        <f t="shared" si="391"/>
        <v>0</v>
      </c>
      <c r="BD136" s="43">
        <f t="shared" si="391"/>
        <v>0</v>
      </c>
      <c r="BE136" s="283">
        <f t="shared" si="391"/>
        <v>0</v>
      </c>
      <c r="BF136" s="315">
        <f t="shared" ref="BF136:BQ136" si="392">+BF66+BF30+BF101</f>
        <v>0</v>
      </c>
      <c r="BG136" s="316">
        <f t="shared" si="392"/>
        <v>0</v>
      </c>
      <c r="BH136" s="316">
        <f t="shared" si="392"/>
        <v>0</v>
      </c>
      <c r="BI136" s="316">
        <f t="shared" si="392"/>
        <v>0</v>
      </c>
      <c r="BJ136" s="316">
        <f t="shared" si="392"/>
        <v>0</v>
      </c>
      <c r="BK136" s="316">
        <f t="shared" si="392"/>
        <v>0</v>
      </c>
      <c r="BL136" s="316">
        <f t="shared" si="392"/>
        <v>0</v>
      </c>
      <c r="BM136" s="316">
        <f t="shared" si="392"/>
        <v>0</v>
      </c>
      <c r="BN136" s="316">
        <f t="shared" si="392"/>
        <v>0</v>
      </c>
      <c r="BO136" s="316">
        <f t="shared" si="392"/>
        <v>0</v>
      </c>
      <c r="BP136" s="316">
        <f t="shared" si="392"/>
        <v>0</v>
      </c>
      <c r="BQ136" s="316">
        <f t="shared" si="392"/>
        <v>0</v>
      </c>
      <c r="BR136" s="316">
        <f t="shared" si="391"/>
        <v>0</v>
      </c>
      <c r="BS136" s="316">
        <f t="shared" si="391"/>
        <v>0</v>
      </c>
      <c r="BT136" s="316">
        <f t="shared" si="391"/>
        <v>0</v>
      </c>
      <c r="BU136" s="316">
        <f t="shared" si="391"/>
        <v>0</v>
      </c>
      <c r="BV136" s="316">
        <f t="shared" si="391"/>
        <v>0</v>
      </c>
      <c r="BW136" s="316">
        <f t="shared" si="391"/>
        <v>0</v>
      </c>
      <c r="BX136" s="316">
        <f t="shared" si="391"/>
        <v>0</v>
      </c>
      <c r="BY136" s="316">
        <f t="shared" si="391"/>
        <v>0</v>
      </c>
      <c r="BZ136" s="316">
        <f t="shared" si="391"/>
        <v>0</v>
      </c>
      <c r="CA136" s="316">
        <f t="shared" si="391"/>
        <v>0</v>
      </c>
      <c r="CB136" s="316">
        <f t="shared" si="391"/>
        <v>0</v>
      </c>
      <c r="CC136" s="319">
        <f t="shared" si="391"/>
        <v>0</v>
      </c>
      <c r="CD136" s="277">
        <f t="shared" ref="CD136:CI136" si="393">+CD66+CD30+CD101</f>
        <v>0</v>
      </c>
      <c r="CE136" s="43">
        <f t="shared" si="393"/>
        <v>0</v>
      </c>
      <c r="CF136" s="43">
        <f t="shared" si="393"/>
        <v>0</v>
      </c>
      <c r="CG136" s="43">
        <f t="shared" si="393"/>
        <v>0</v>
      </c>
      <c r="CH136" s="43">
        <f t="shared" si="393"/>
        <v>0</v>
      </c>
      <c r="CI136" s="57">
        <f t="shared" si="393"/>
        <v>0</v>
      </c>
      <c r="CJ136" s="277">
        <f t="shared" ref="CJ136:CO136" si="394">+CJ66+CJ30+CJ101</f>
        <v>0</v>
      </c>
      <c r="CK136" s="43">
        <f t="shared" si="394"/>
        <v>0</v>
      </c>
      <c r="CL136" s="43">
        <f t="shared" si="394"/>
        <v>0</v>
      </c>
      <c r="CM136" s="43">
        <f t="shared" si="394"/>
        <v>0</v>
      </c>
      <c r="CN136" s="43">
        <f t="shared" si="394"/>
        <v>0</v>
      </c>
      <c r="CO136" s="57">
        <f t="shared" si="394"/>
        <v>0</v>
      </c>
      <c r="CP136" s="277">
        <f t="shared" ref="CP136:CU136" si="395">+CP66+CP30+CP101</f>
        <v>0</v>
      </c>
      <c r="CQ136" s="43">
        <f t="shared" si="395"/>
        <v>0</v>
      </c>
      <c r="CR136" s="43">
        <f t="shared" si="395"/>
        <v>0</v>
      </c>
      <c r="CS136" s="43">
        <f t="shared" si="395"/>
        <v>0</v>
      </c>
      <c r="CT136" s="43">
        <f t="shared" si="395"/>
        <v>0</v>
      </c>
      <c r="CU136" s="57">
        <f t="shared" si="395"/>
        <v>0</v>
      </c>
      <c r="CV136" s="277">
        <f t="shared" ref="CV136:DA136" si="396">+CV66+CV30+CV101</f>
        <v>0</v>
      </c>
      <c r="CW136" s="43">
        <f t="shared" si="396"/>
        <v>0</v>
      </c>
      <c r="CX136" s="43">
        <f t="shared" si="396"/>
        <v>0</v>
      </c>
      <c r="CY136" s="43">
        <f t="shared" si="396"/>
        <v>0</v>
      </c>
      <c r="CZ136" s="43">
        <f t="shared" si="396"/>
        <v>0</v>
      </c>
      <c r="DA136" s="57">
        <f t="shared" si="396"/>
        <v>0</v>
      </c>
      <c r="DB136" s="324">
        <f t="shared" si="96"/>
        <v>0</v>
      </c>
      <c r="DD136">
        <f>+DB136-BUS!HG141</f>
        <v>0</v>
      </c>
    </row>
    <row r="137" spans="1:108">
      <c r="A137" s="238">
        <v>28</v>
      </c>
      <c r="B137" s="239">
        <f t="shared" ref="B137:D137" si="397">+B102+B67+B31</f>
        <v>0</v>
      </c>
      <c r="C137" s="43">
        <f t="shared" si="397"/>
        <v>0</v>
      </c>
      <c r="D137" s="43">
        <f t="shared" si="397"/>
        <v>0</v>
      </c>
      <c r="E137" s="43">
        <f t="shared" ref="E137:F137" si="398">+E102+E67+E31</f>
        <v>0</v>
      </c>
      <c r="F137" s="283">
        <f t="shared" si="398"/>
        <v>0</v>
      </c>
      <c r="G137" s="239">
        <f t="shared" ref="G137:AY137" si="399">+G67+G31+G102</f>
        <v>0</v>
      </c>
      <c r="H137" s="43">
        <f t="shared" si="399"/>
        <v>0</v>
      </c>
      <c r="I137" s="43">
        <f t="shared" si="399"/>
        <v>0</v>
      </c>
      <c r="J137" s="316">
        <f t="shared" si="399"/>
        <v>0</v>
      </c>
      <c r="K137" s="43">
        <f t="shared" si="399"/>
        <v>0</v>
      </c>
      <c r="L137" s="283">
        <f t="shared" ref="L137" si="400">+L67+L31+L102</f>
        <v>0</v>
      </c>
      <c r="M137" s="239">
        <f t="shared" si="399"/>
        <v>0</v>
      </c>
      <c r="N137" s="43">
        <f t="shared" si="399"/>
        <v>0</v>
      </c>
      <c r="O137" s="43">
        <f t="shared" si="399"/>
        <v>0</v>
      </c>
      <c r="P137" s="43">
        <f t="shared" ref="P137:Q137" si="401">+P67+P31+P102</f>
        <v>0</v>
      </c>
      <c r="Q137" s="43">
        <f t="shared" si="401"/>
        <v>0</v>
      </c>
      <c r="R137" s="57">
        <f t="shared" si="399"/>
        <v>0</v>
      </c>
      <c r="S137" s="320">
        <f t="shared" si="399"/>
        <v>0</v>
      </c>
      <c r="T137" s="316">
        <f t="shared" si="399"/>
        <v>0</v>
      </c>
      <c r="U137" s="316">
        <f t="shared" si="399"/>
        <v>0</v>
      </c>
      <c r="V137" s="316">
        <f t="shared" ref="V137" si="402">+V67+V31+V102</f>
        <v>0</v>
      </c>
      <c r="W137" s="316">
        <f t="shared" si="399"/>
        <v>0</v>
      </c>
      <c r="X137" s="321">
        <f t="shared" si="399"/>
        <v>0</v>
      </c>
      <c r="Y137" s="315">
        <f t="shared" si="399"/>
        <v>0</v>
      </c>
      <c r="Z137" s="316">
        <f t="shared" si="399"/>
        <v>0</v>
      </c>
      <c r="AA137" s="316">
        <f t="shared" si="399"/>
        <v>0</v>
      </c>
      <c r="AB137" s="316">
        <f t="shared" si="399"/>
        <v>0</v>
      </c>
      <c r="AC137" s="319">
        <f t="shared" si="399"/>
        <v>0</v>
      </c>
      <c r="AD137" s="315">
        <f t="shared" si="399"/>
        <v>0</v>
      </c>
      <c r="AE137" s="316">
        <f t="shared" si="399"/>
        <v>0</v>
      </c>
      <c r="AF137" s="316">
        <f t="shared" si="399"/>
        <v>0</v>
      </c>
      <c r="AG137" s="316">
        <f t="shared" si="399"/>
        <v>0</v>
      </c>
      <c r="AH137" s="316">
        <f t="shared" si="399"/>
        <v>0</v>
      </c>
      <c r="AI137" s="316">
        <f t="shared" si="399"/>
        <v>0</v>
      </c>
      <c r="AJ137" s="316">
        <f t="shared" si="399"/>
        <v>0</v>
      </c>
      <c r="AK137" s="316">
        <f t="shared" si="399"/>
        <v>0</v>
      </c>
      <c r="AL137" s="316">
        <f t="shared" si="399"/>
        <v>0</v>
      </c>
      <c r="AM137" s="319">
        <f t="shared" si="399"/>
        <v>0</v>
      </c>
      <c r="AN137" s="239">
        <f t="shared" si="399"/>
        <v>0</v>
      </c>
      <c r="AO137" s="43">
        <f t="shared" si="399"/>
        <v>0</v>
      </c>
      <c r="AP137" s="43">
        <f t="shared" si="399"/>
        <v>0</v>
      </c>
      <c r="AQ137" s="43">
        <f t="shared" si="399"/>
        <v>0</v>
      </c>
      <c r="AR137" s="43">
        <f t="shared" si="399"/>
        <v>0</v>
      </c>
      <c r="AS137" s="43">
        <f t="shared" si="399"/>
        <v>0</v>
      </c>
      <c r="AT137" s="43">
        <f t="shared" si="399"/>
        <v>0</v>
      </c>
      <c r="AU137" s="57">
        <f t="shared" si="399"/>
        <v>0</v>
      </c>
      <c r="AV137" s="277">
        <f t="shared" si="399"/>
        <v>0</v>
      </c>
      <c r="AW137" s="43">
        <f t="shared" si="399"/>
        <v>0</v>
      </c>
      <c r="AX137" s="316">
        <f t="shared" si="399"/>
        <v>0</v>
      </c>
      <c r="AY137" s="283">
        <f t="shared" si="399"/>
        <v>0</v>
      </c>
      <c r="AZ137" s="239">
        <f t="shared" ref="AZ137:CC137" si="403">+AZ67+AZ31+AZ102</f>
        <v>0</v>
      </c>
      <c r="BA137" s="43">
        <f t="shared" si="403"/>
        <v>0</v>
      </c>
      <c r="BB137" s="43">
        <f t="shared" si="403"/>
        <v>0</v>
      </c>
      <c r="BC137" s="43">
        <f t="shared" si="403"/>
        <v>0</v>
      </c>
      <c r="BD137" s="43">
        <f t="shared" si="403"/>
        <v>0</v>
      </c>
      <c r="BE137" s="283">
        <f t="shared" si="403"/>
        <v>0</v>
      </c>
      <c r="BF137" s="315">
        <f t="shared" ref="BF137:BQ137" si="404">+BF67+BF31+BF102</f>
        <v>0</v>
      </c>
      <c r="BG137" s="316">
        <f t="shared" si="404"/>
        <v>0</v>
      </c>
      <c r="BH137" s="316">
        <f t="shared" si="404"/>
        <v>0</v>
      </c>
      <c r="BI137" s="316">
        <f t="shared" si="404"/>
        <v>0</v>
      </c>
      <c r="BJ137" s="316">
        <f t="shared" si="404"/>
        <v>0</v>
      </c>
      <c r="BK137" s="316">
        <f t="shared" si="404"/>
        <v>0</v>
      </c>
      <c r="BL137" s="316">
        <f t="shared" si="404"/>
        <v>0</v>
      </c>
      <c r="BM137" s="316">
        <f t="shared" si="404"/>
        <v>0</v>
      </c>
      <c r="BN137" s="316">
        <f t="shared" si="404"/>
        <v>0</v>
      </c>
      <c r="BO137" s="316">
        <f t="shared" si="404"/>
        <v>0</v>
      </c>
      <c r="BP137" s="316">
        <f t="shared" si="404"/>
        <v>0</v>
      </c>
      <c r="BQ137" s="316">
        <f t="shared" si="404"/>
        <v>0</v>
      </c>
      <c r="BR137" s="316">
        <f t="shared" si="403"/>
        <v>0</v>
      </c>
      <c r="BS137" s="316">
        <f t="shared" si="403"/>
        <v>0</v>
      </c>
      <c r="BT137" s="316">
        <f t="shared" si="403"/>
        <v>0</v>
      </c>
      <c r="BU137" s="316">
        <f t="shared" si="403"/>
        <v>0</v>
      </c>
      <c r="BV137" s="316">
        <f t="shared" si="403"/>
        <v>0</v>
      </c>
      <c r="BW137" s="316">
        <f t="shared" si="403"/>
        <v>0</v>
      </c>
      <c r="BX137" s="316">
        <f t="shared" si="403"/>
        <v>0</v>
      </c>
      <c r="BY137" s="316">
        <f t="shared" si="403"/>
        <v>0</v>
      </c>
      <c r="BZ137" s="316">
        <f t="shared" si="403"/>
        <v>0</v>
      </c>
      <c r="CA137" s="316">
        <f t="shared" si="403"/>
        <v>0</v>
      </c>
      <c r="CB137" s="316">
        <f t="shared" si="403"/>
        <v>0</v>
      </c>
      <c r="CC137" s="319">
        <f t="shared" si="403"/>
        <v>0</v>
      </c>
      <c r="CD137" s="277">
        <f t="shared" ref="CD137:CI137" si="405">+CD67+CD31+CD102</f>
        <v>0</v>
      </c>
      <c r="CE137" s="43">
        <f t="shared" si="405"/>
        <v>0</v>
      </c>
      <c r="CF137" s="43">
        <f t="shared" si="405"/>
        <v>0</v>
      </c>
      <c r="CG137" s="43">
        <f t="shared" si="405"/>
        <v>0</v>
      </c>
      <c r="CH137" s="43">
        <f t="shared" si="405"/>
        <v>0</v>
      </c>
      <c r="CI137" s="57">
        <f t="shared" si="405"/>
        <v>0</v>
      </c>
      <c r="CJ137" s="277">
        <f t="shared" ref="CJ137:CO137" si="406">+CJ67+CJ31+CJ102</f>
        <v>0</v>
      </c>
      <c r="CK137" s="43">
        <f t="shared" si="406"/>
        <v>0</v>
      </c>
      <c r="CL137" s="43">
        <f t="shared" si="406"/>
        <v>0</v>
      </c>
      <c r="CM137" s="43">
        <f t="shared" si="406"/>
        <v>0</v>
      </c>
      <c r="CN137" s="43">
        <f t="shared" si="406"/>
        <v>0</v>
      </c>
      <c r="CO137" s="57">
        <f t="shared" si="406"/>
        <v>0</v>
      </c>
      <c r="CP137" s="277">
        <f t="shared" ref="CP137:CU137" si="407">+CP67+CP31+CP102</f>
        <v>0</v>
      </c>
      <c r="CQ137" s="43">
        <f t="shared" si="407"/>
        <v>0</v>
      </c>
      <c r="CR137" s="43">
        <f t="shared" si="407"/>
        <v>0</v>
      </c>
      <c r="CS137" s="43">
        <f t="shared" si="407"/>
        <v>0</v>
      </c>
      <c r="CT137" s="43">
        <f t="shared" si="407"/>
        <v>0</v>
      </c>
      <c r="CU137" s="57">
        <f t="shared" si="407"/>
        <v>0</v>
      </c>
      <c r="CV137" s="277">
        <f t="shared" ref="CV137:DA137" si="408">+CV67+CV31+CV102</f>
        <v>0</v>
      </c>
      <c r="CW137" s="43">
        <f t="shared" si="408"/>
        <v>0</v>
      </c>
      <c r="CX137" s="43">
        <f t="shared" si="408"/>
        <v>0</v>
      </c>
      <c r="CY137" s="43">
        <f t="shared" si="408"/>
        <v>0</v>
      </c>
      <c r="CZ137" s="43">
        <f t="shared" si="408"/>
        <v>0</v>
      </c>
      <c r="DA137" s="57">
        <f t="shared" si="408"/>
        <v>0</v>
      </c>
      <c r="DB137" s="324">
        <f t="shared" si="96"/>
        <v>0</v>
      </c>
      <c r="DD137">
        <f>+DB137-BUS!HG142</f>
        <v>0</v>
      </c>
    </row>
    <row r="138" spans="1:108">
      <c r="A138" s="238">
        <v>29</v>
      </c>
      <c r="B138" s="239">
        <f t="shared" ref="B138:D138" si="409">+B103+B68+B32</f>
        <v>0</v>
      </c>
      <c r="C138" s="43">
        <f t="shared" si="409"/>
        <v>0</v>
      </c>
      <c r="D138" s="43">
        <f t="shared" si="409"/>
        <v>0</v>
      </c>
      <c r="E138" s="43">
        <f t="shared" ref="E138:F138" si="410">+E103+E68+E32</f>
        <v>0</v>
      </c>
      <c r="F138" s="283">
        <f t="shared" si="410"/>
        <v>0</v>
      </c>
      <c r="G138" s="239">
        <f t="shared" ref="G138:AY138" si="411">+G68+G32+G103</f>
        <v>0</v>
      </c>
      <c r="H138" s="43">
        <f t="shared" si="411"/>
        <v>0</v>
      </c>
      <c r="I138" s="43">
        <f t="shared" si="411"/>
        <v>0</v>
      </c>
      <c r="J138" s="316">
        <f t="shared" si="411"/>
        <v>0</v>
      </c>
      <c r="K138" s="43">
        <f t="shared" si="411"/>
        <v>0</v>
      </c>
      <c r="L138" s="283">
        <f t="shared" ref="L138" si="412">+L68+L32+L103</f>
        <v>0</v>
      </c>
      <c r="M138" s="239">
        <f t="shared" si="411"/>
        <v>0</v>
      </c>
      <c r="N138" s="43">
        <f t="shared" si="411"/>
        <v>0</v>
      </c>
      <c r="O138" s="43">
        <f t="shared" si="411"/>
        <v>0</v>
      </c>
      <c r="P138" s="43">
        <f t="shared" ref="P138:Q138" si="413">+P68+P32+P103</f>
        <v>0</v>
      </c>
      <c r="Q138" s="43">
        <f t="shared" si="413"/>
        <v>0</v>
      </c>
      <c r="R138" s="57">
        <f t="shared" si="411"/>
        <v>0</v>
      </c>
      <c r="S138" s="320">
        <f t="shared" si="411"/>
        <v>0</v>
      </c>
      <c r="T138" s="316">
        <f t="shared" si="411"/>
        <v>0</v>
      </c>
      <c r="U138" s="316">
        <f t="shared" si="411"/>
        <v>0</v>
      </c>
      <c r="V138" s="316">
        <f t="shared" ref="V138" si="414">+V68+V32+V103</f>
        <v>0</v>
      </c>
      <c r="W138" s="316">
        <f t="shared" si="411"/>
        <v>0</v>
      </c>
      <c r="X138" s="321">
        <f t="shared" si="411"/>
        <v>0</v>
      </c>
      <c r="Y138" s="315">
        <f t="shared" si="411"/>
        <v>0</v>
      </c>
      <c r="Z138" s="316">
        <f t="shared" si="411"/>
        <v>0</v>
      </c>
      <c r="AA138" s="316">
        <f t="shared" si="411"/>
        <v>0</v>
      </c>
      <c r="AB138" s="316">
        <f t="shared" si="411"/>
        <v>0</v>
      </c>
      <c r="AC138" s="319">
        <f t="shared" si="411"/>
        <v>0</v>
      </c>
      <c r="AD138" s="315">
        <f t="shared" si="411"/>
        <v>0</v>
      </c>
      <c r="AE138" s="316">
        <f t="shared" si="411"/>
        <v>0</v>
      </c>
      <c r="AF138" s="316">
        <f t="shared" si="411"/>
        <v>0</v>
      </c>
      <c r="AG138" s="316">
        <f t="shared" si="411"/>
        <v>0</v>
      </c>
      <c r="AH138" s="316">
        <f t="shared" si="411"/>
        <v>0</v>
      </c>
      <c r="AI138" s="316">
        <f t="shared" si="411"/>
        <v>0</v>
      </c>
      <c r="AJ138" s="316">
        <f t="shared" si="411"/>
        <v>0</v>
      </c>
      <c r="AK138" s="316">
        <f t="shared" si="411"/>
        <v>0</v>
      </c>
      <c r="AL138" s="316">
        <f t="shared" si="411"/>
        <v>0</v>
      </c>
      <c r="AM138" s="319">
        <f t="shared" si="411"/>
        <v>0</v>
      </c>
      <c r="AN138" s="239">
        <f t="shared" si="411"/>
        <v>0</v>
      </c>
      <c r="AO138" s="43">
        <f t="shared" si="411"/>
        <v>0</v>
      </c>
      <c r="AP138" s="43">
        <f t="shared" si="411"/>
        <v>0</v>
      </c>
      <c r="AQ138" s="43">
        <f t="shared" si="411"/>
        <v>0</v>
      </c>
      <c r="AR138" s="43">
        <f t="shared" si="411"/>
        <v>0</v>
      </c>
      <c r="AS138" s="43">
        <f t="shared" si="411"/>
        <v>0</v>
      </c>
      <c r="AT138" s="43">
        <f t="shared" si="411"/>
        <v>0</v>
      </c>
      <c r="AU138" s="57">
        <f t="shared" si="411"/>
        <v>0</v>
      </c>
      <c r="AV138" s="277">
        <f t="shared" si="411"/>
        <v>0</v>
      </c>
      <c r="AW138" s="43">
        <f t="shared" si="411"/>
        <v>0</v>
      </c>
      <c r="AX138" s="316">
        <f t="shared" si="411"/>
        <v>0</v>
      </c>
      <c r="AY138" s="283">
        <f t="shared" si="411"/>
        <v>0</v>
      </c>
      <c r="AZ138" s="239">
        <f t="shared" ref="AZ138:CC138" si="415">+AZ68+AZ32+AZ103</f>
        <v>0</v>
      </c>
      <c r="BA138" s="43">
        <f t="shared" si="415"/>
        <v>0</v>
      </c>
      <c r="BB138" s="43">
        <f t="shared" si="415"/>
        <v>0</v>
      </c>
      <c r="BC138" s="43">
        <f t="shared" si="415"/>
        <v>0</v>
      </c>
      <c r="BD138" s="43">
        <f t="shared" si="415"/>
        <v>0</v>
      </c>
      <c r="BE138" s="283">
        <f t="shared" si="415"/>
        <v>0</v>
      </c>
      <c r="BF138" s="315">
        <f t="shared" ref="BF138:BQ138" si="416">+BF68+BF32+BF103</f>
        <v>0</v>
      </c>
      <c r="BG138" s="316">
        <f t="shared" si="416"/>
        <v>0</v>
      </c>
      <c r="BH138" s="316">
        <f t="shared" si="416"/>
        <v>0</v>
      </c>
      <c r="BI138" s="316">
        <f t="shared" si="416"/>
        <v>0</v>
      </c>
      <c r="BJ138" s="316">
        <f t="shared" si="416"/>
        <v>0</v>
      </c>
      <c r="BK138" s="316">
        <f t="shared" si="416"/>
        <v>0</v>
      </c>
      <c r="BL138" s="316">
        <f t="shared" si="416"/>
        <v>0</v>
      </c>
      <c r="BM138" s="316">
        <f t="shared" si="416"/>
        <v>0</v>
      </c>
      <c r="BN138" s="316">
        <f t="shared" si="416"/>
        <v>0</v>
      </c>
      <c r="BO138" s="316">
        <f t="shared" si="416"/>
        <v>0</v>
      </c>
      <c r="BP138" s="316">
        <f t="shared" si="416"/>
        <v>0</v>
      </c>
      <c r="BQ138" s="316">
        <f t="shared" si="416"/>
        <v>0</v>
      </c>
      <c r="BR138" s="316">
        <f t="shared" si="415"/>
        <v>0</v>
      </c>
      <c r="BS138" s="316">
        <f t="shared" si="415"/>
        <v>0</v>
      </c>
      <c r="BT138" s="316">
        <f t="shared" si="415"/>
        <v>0</v>
      </c>
      <c r="BU138" s="316">
        <f t="shared" si="415"/>
        <v>0</v>
      </c>
      <c r="BV138" s="316">
        <f t="shared" si="415"/>
        <v>0</v>
      </c>
      <c r="BW138" s="316">
        <f t="shared" si="415"/>
        <v>0</v>
      </c>
      <c r="BX138" s="316">
        <f t="shared" si="415"/>
        <v>0</v>
      </c>
      <c r="BY138" s="316">
        <f t="shared" si="415"/>
        <v>0</v>
      </c>
      <c r="BZ138" s="316">
        <f t="shared" si="415"/>
        <v>0</v>
      </c>
      <c r="CA138" s="316">
        <f t="shared" si="415"/>
        <v>0</v>
      </c>
      <c r="CB138" s="316">
        <f t="shared" si="415"/>
        <v>0</v>
      </c>
      <c r="CC138" s="319">
        <f t="shared" si="415"/>
        <v>0</v>
      </c>
      <c r="CD138" s="277">
        <f t="shared" ref="CD138:CI138" si="417">+CD68+CD32+CD103</f>
        <v>0</v>
      </c>
      <c r="CE138" s="43">
        <f t="shared" si="417"/>
        <v>0</v>
      </c>
      <c r="CF138" s="43">
        <f t="shared" si="417"/>
        <v>0</v>
      </c>
      <c r="CG138" s="43">
        <f t="shared" si="417"/>
        <v>0</v>
      </c>
      <c r="CH138" s="43">
        <f t="shared" si="417"/>
        <v>0</v>
      </c>
      <c r="CI138" s="57">
        <f t="shared" si="417"/>
        <v>0</v>
      </c>
      <c r="CJ138" s="277">
        <f t="shared" ref="CJ138:CO138" si="418">+CJ68+CJ32+CJ103</f>
        <v>0</v>
      </c>
      <c r="CK138" s="43">
        <f t="shared" si="418"/>
        <v>0</v>
      </c>
      <c r="CL138" s="43">
        <f t="shared" si="418"/>
        <v>0</v>
      </c>
      <c r="CM138" s="43">
        <f t="shared" si="418"/>
        <v>0</v>
      </c>
      <c r="CN138" s="43">
        <f t="shared" si="418"/>
        <v>0</v>
      </c>
      <c r="CO138" s="57">
        <f t="shared" si="418"/>
        <v>0</v>
      </c>
      <c r="CP138" s="277">
        <f t="shared" ref="CP138:CU138" si="419">+CP68+CP32+CP103</f>
        <v>0</v>
      </c>
      <c r="CQ138" s="43">
        <f t="shared" si="419"/>
        <v>0</v>
      </c>
      <c r="CR138" s="43">
        <f t="shared" si="419"/>
        <v>0</v>
      </c>
      <c r="CS138" s="43">
        <f t="shared" si="419"/>
        <v>0</v>
      </c>
      <c r="CT138" s="43">
        <f t="shared" si="419"/>
        <v>0</v>
      </c>
      <c r="CU138" s="57">
        <f t="shared" si="419"/>
        <v>0</v>
      </c>
      <c r="CV138" s="277">
        <f t="shared" ref="CV138:DA138" si="420">+CV68+CV32+CV103</f>
        <v>0</v>
      </c>
      <c r="CW138" s="43">
        <f t="shared" si="420"/>
        <v>0</v>
      </c>
      <c r="CX138" s="43">
        <f t="shared" si="420"/>
        <v>0</v>
      </c>
      <c r="CY138" s="43">
        <f t="shared" si="420"/>
        <v>0</v>
      </c>
      <c r="CZ138" s="43">
        <f t="shared" si="420"/>
        <v>0</v>
      </c>
      <c r="DA138" s="57">
        <f t="shared" si="420"/>
        <v>0</v>
      </c>
      <c r="DB138" s="324">
        <f t="shared" si="96"/>
        <v>0</v>
      </c>
      <c r="DD138">
        <f>+DB138-BUS!HG143</f>
        <v>0</v>
      </c>
    </row>
    <row r="139" spans="1:108">
      <c r="A139" s="238">
        <v>30</v>
      </c>
      <c r="B139" s="239">
        <f t="shared" ref="B139:D139" si="421">+B104+B69+B33</f>
        <v>0</v>
      </c>
      <c r="C139" s="43">
        <f t="shared" si="421"/>
        <v>0</v>
      </c>
      <c r="D139" s="43">
        <f t="shared" si="421"/>
        <v>0</v>
      </c>
      <c r="E139" s="43">
        <f t="shared" ref="E139:F139" si="422">+E104+E69+E33</f>
        <v>0</v>
      </c>
      <c r="F139" s="283">
        <f t="shared" si="422"/>
        <v>0</v>
      </c>
      <c r="G139" s="239">
        <f t="shared" ref="G139:AY139" si="423">+G69+G33+G104</f>
        <v>0</v>
      </c>
      <c r="H139" s="43">
        <f t="shared" si="423"/>
        <v>0</v>
      </c>
      <c r="I139" s="43">
        <f t="shared" si="423"/>
        <v>0</v>
      </c>
      <c r="J139" s="316">
        <f t="shared" si="423"/>
        <v>0</v>
      </c>
      <c r="K139" s="43">
        <f t="shared" si="423"/>
        <v>0</v>
      </c>
      <c r="L139" s="283">
        <f t="shared" ref="L139" si="424">+L69+L33+L104</f>
        <v>0</v>
      </c>
      <c r="M139" s="239">
        <f t="shared" si="423"/>
        <v>0</v>
      </c>
      <c r="N139" s="43">
        <f t="shared" si="423"/>
        <v>0</v>
      </c>
      <c r="O139" s="43">
        <f t="shared" si="423"/>
        <v>0</v>
      </c>
      <c r="P139" s="43">
        <f t="shared" ref="P139:Q139" si="425">+P69+P33+P104</f>
        <v>0</v>
      </c>
      <c r="Q139" s="43">
        <f t="shared" si="425"/>
        <v>0</v>
      </c>
      <c r="R139" s="57">
        <f t="shared" si="423"/>
        <v>0</v>
      </c>
      <c r="S139" s="320">
        <f t="shared" si="423"/>
        <v>0</v>
      </c>
      <c r="T139" s="316">
        <f t="shared" si="423"/>
        <v>0</v>
      </c>
      <c r="U139" s="316">
        <f t="shared" si="423"/>
        <v>0</v>
      </c>
      <c r="V139" s="316">
        <f t="shared" ref="V139" si="426">+V69+V33+V104</f>
        <v>0</v>
      </c>
      <c r="W139" s="316">
        <f t="shared" si="423"/>
        <v>0</v>
      </c>
      <c r="X139" s="321">
        <f t="shared" si="423"/>
        <v>0</v>
      </c>
      <c r="Y139" s="315">
        <f t="shared" si="423"/>
        <v>0</v>
      </c>
      <c r="Z139" s="316">
        <f t="shared" si="423"/>
        <v>0</v>
      </c>
      <c r="AA139" s="316">
        <f t="shared" si="423"/>
        <v>0</v>
      </c>
      <c r="AB139" s="316">
        <f t="shared" si="423"/>
        <v>0</v>
      </c>
      <c r="AC139" s="319">
        <f t="shared" si="423"/>
        <v>0</v>
      </c>
      <c r="AD139" s="315">
        <f t="shared" si="423"/>
        <v>0</v>
      </c>
      <c r="AE139" s="316">
        <f t="shared" si="423"/>
        <v>0</v>
      </c>
      <c r="AF139" s="316">
        <f t="shared" si="423"/>
        <v>0</v>
      </c>
      <c r="AG139" s="316">
        <f t="shared" si="423"/>
        <v>0</v>
      </c>
      <c r="AH139" s="316">
        <f t="shared" si="423"/>
        <v>0</v>
      </c>
      <c r="AI139" s="316">
        <f t="shared" si="423"/>
        <v>0</v>
      </c>
      <c r="AJ139" s="316">
        <f t="shared" si="423"/>
        <v>0</v>
      </c>
      <c r="AK139" s="316">
        <f t="shared" si="423"/>
        <v>0</v>
      </c>
      <c r="AL139" s="316">
        <f t="shared" si="423"/>
        <v>0</v>
      </c>
      <c r="AM139" s="319">
        <f t="shared" si="423"/>
        <v>0</v>
      </c>
      <c r="AN139" s="239">
        <f t="shared" si="423"/>
        <v>0</v>
      </c>
      <c r="AO139" s="43">
        <f t="shared" si="423"/>
        <v>0</v>
      </c>
      <c r="AP139" s="43">
        <f t="shared" si="423"/>
        <v>0</v>
      </c>
      <c r="AQ139" s="43">
        <f t="shared" si="423"/>
        <v>0</v>
      </c>
      <c r="AR139" s="43">
        <f t="shared" si="423"/>
        <v>0</v>
      </c>
      <c r="AS139" s="43">
        <f t="shared" si="423"/>
        <v>0</v>
      </c>
      <c r="AT139" s="43">
        <f t="shared" si="423"/>
        <v>0</v>
      </c>
      <c r="AU139" s="57">
        <f t="shared" si="423"/>
        <v>0</v>
      </c>
      <c r="AV139" s="277">
        <f t="shared" si="423"/>
        <v>0</v>
      </c>
      <c r="AW139" s="43">
        <f t="shared" si="423"/>
        <v>0</v>
      </c>
      <c r="AX139" s="316">
        <f t="shared" si="423"/>
        <v>0</v>
      </c>
      <c r="AY139" s="283">
        <f t="shared" si="423"/>
        <v>0</v>
      </c>
      <c r="AZ139" s="239">
        <f t="shared" ref="AZ139:CC139" si="427">+AZ69+AZ33+AZ104</f>
        <v>0</v>
      </c>
      <c r="BA139" s="43">
        <f t="shared" si="427"/>
        <v>0</v>
      </c>
      <c r="BB139" s="43">
        <f t="shared" si="427"/>
        <v>0</v>
      </c>
      <c r="BC139" s="43">
        <f t="shared" si="427"/>
        <v>0</v>
      </c>
      <c r="BD139" s="43">
        <f t="shared" si="427"/>
        <v>0</v>
      </c>
      <c r="BE139" s="283">
        <f t="shared" si="427"/>
        <v>0</v>
      </c>
      <c r="BF139" s="315">
        <f t="shared" ref="BF139:BQ139" si="428">+BF69+BF33+BF104</f>
        <v>0</v>
      </c>
      <c r="BG139" s="316">
        <f t="shared" si="428"/>
        <v>0</v>
      </c>
      <c r="BH139" s="316">
        <f t="shared" si="428"/>
        <v>0</v>
      </c>
      <c r="BI139" s="316">
        <f t="shared" si="428"/>
        <v>0</v>
      </c>
      <c r="BJ139" s="316">
        <f t="shared" si="428"/>
        <v>0</v>
      </c>
      <c r="BK139" s="316">
        <f t="shared" si="428"/>
        <v>0</v>
      </c>
      <c r="BL139" s="316">
        <f t="shared" si="428"/>
        <v>0</v>
      </c>
      <c r="BM139" s="316">
        <f t="shared" si="428"/>
        <v>0</v>
      </c>
      <c r="BN139" s="316">
        <f t="shared" si="428"/>
        <v>0</v>
      </c>
      <c r="BO139" s="316">
        <f t="shared" si="428"/>
        <v>0</v>
      </c>
      <c r="BP139" s="316">
        <f t="shared" si="428"/>
        <v>0</v>
      </c>
      <c r="BQ139" s="316">
        <f t="shared" si="428"/>
        <v>0</v>
      </c>
      <c r="BR139" s="316">
        <f t="shared" si="427"/>
        <v>0</v>
      </c>
      <c r="BS139" s="316">
        <f t="shared" si="427"/>
        <v>0</v>
      </c>
      <c r="BT139" s="316">
        <f t="shared" si="427"/>
        <v>0</v>
      </c>
      <c r="BU139" s="316">
        <f t="shared" si="427"/>
        <v>0</v>
      </c>
      <c r="BV139" s="316">
        <f t="shared" si="427"/>
        <v>0</v>
      </c>
      <c r="BW139" s="316">
        <f t="shared" si="427"/>
        <v>0</v>
      </c>
      <c r="BX139" s="316">
        <f t="shared" si="427"/>
        <v>0</v>
      </c>
      <c r="BY139" s="316">
        <f t="shared" si="427"/>
        <v>0</v>
      </c>
      <c r="BZ139" s="316">
        <f t="shared" si="427"/>
        <v>0</v>
      </c>
      <c r="CA139" s="316">
        <f t="shared" si="427"/>
        <v>0</v>
      </c>
      <c r="CB139" s="316">
        <f t="shared" si="427"/>
        <v>0</v>
      </c>
      <c r="CC139" s="319">
        <f t="shared" si="427"/>
        <v>0</v>
      </c>
      <c r="CD139" s="277">
        <f t="shared" ref="CD139:CI139" si="429">+CD69+CD33+CD104</f>
        <v>0</v>
      </c>
      <c r="CE139" s="43">
        <f t="shared" si="429"/>
        <v>0</v>
      </c>
      <c r="CF139" s="43">
        <f t="shared" si="429"/>
        <v>0</v>
      </c>
      <c r="CG139" s="43">
        <f t="shared" si="429"/>
        <v>0</v>
      </c>
      <c r="CH139" s="43">
        <f t="shared" si="429"/>
        <v>0</v>
      </c>
      <c r="CI139" s="57">
        <f t="shared" si="429"/>
        <v>0</v>
      </c>
      <c r="CJ139" s="277">
        <f t="shared" ref="CJ139:CO139" si="430">+CJ69+CJ33+CJ104</f>
        <v>0</v>
      </c>
      <c r="CK139" s="43">
        <f t="shared" si="430"/>
        <v>0</v>
      </c>
      <c r="CL139" s="43">
        <f t="shared" si="430"/>
        <v>0</v>
      </c>
      <c r="CM139" s="43">
        <f t="shared" si="430"/>
        <v>0</v>
      </c>
      <c r="CN139" s="43">
        <f t="shared" si="430"/>
        <v>0</v>
      </c>
      <c r="CO139" s="57">
        <f t="shared" si="430"/>
        <v>0</v>
      </c>
      <c r="CP139" s="277">
        <f t="shared" ref="CP139:CU139" si="431">+CP69+CP33+CP104</f>
        <v>0</v>
      </c>
      <c r="CQ139" s="43">
        <f t="shared" si="431"/>
        <v>0</v>
      </c>
      <c r="CR139" s="43">
        <f t="shared" si="431"/>
        <v>0</v>
      </c>
      <c r="CS139" s="43">
        <f t="shared" si="431"/>
        <v>0</v>
      </c>
      <c r="CT139" s="43">
        <f t="shared" si="431"/>
        <v>0</v>
      </c>
      <c r="CU139" s="57">
        <f t="shared" si="431"/>
        <v>0</v>
      </c>
      <c r="CV139" s="277">
        <f t="shared" ref="CV139:DA139" si="432">+CV69+CV33+CV104</f>
        <v>0</v>
      </c>
      <c r="CW139" s="43">
        <f t="shared" si="432"/>
        <v>0</v>
      </c>
      <c r="CX139" s="43">
        <f t="shared" si="432"/>
        <v>0</v>
      </c>
      <c r="CY139" s="43">
        <f t="shared" si="432"/>
        <v>0</v>
      </c>
      <c r="CZ139" s="43">
        <f t="shared" si="432"/>
        <v>0</v>
      </c>
      <c r="DA139" s="57">
        <f t="shared" si="432"/>
        <v>0</v>
      </c>
      <c r="DB139" s="324">
        <f t="shared" si="96"/>
        <v>0</v>
      </c>
      <c r="DD139">
        <f>+DB139-BUS!HG144</f>
        <v>0</v>
      </c>
    </row>
    <row r="140" spans="1:108" ht="15.75" thickBot="1">
      <c r="A140" s="238">
        <v>31</v>
      </c>
      <c r="B140" s="239">
        <f t="shared" ref="B140:D140" si="433">+B105+B70+B34</f>
        <v>0</v>
      </c>
      <c r="C140" s="43">
        <f t="shared" si="433"/>
        <v>0</v>
      </c>
      <c r="D140" s="43">
        <f t="shared" si="433"/>
        <v>0</v>
      </c>
      <c r="E140" s="43">
        <f t="shared" ref="E140:F140" si="434">+E105+E70+E34</f>
        <v>0</v>
      </c>
      <c r="F140" s="283">
        <f t="shared" si="434"/>
        <v>0</v>
      </c>
      <c r="G140" s="244">
        <f t="shared" ref="G140:AY140" si="435">+G70+G34+G105</f>
        <v>0</v>
      </c>
      <c r="H140" s="60">
        <f t="shared" si="435"/>
        <v>0</v>
      </c>
      <c r="I140" s="60">
        <f t="shared" si="435"/>
        <v>0</v>
      </c>
      <c r="J140" s="336">
        <f t="shared" si="435"/>
        <v>0</v>
      </c>
      <c r="K140" s="60">
        <f t="shared" si="435"/>
        <v>0</v>
      </c>
      <c r="L140" s="384">
        <f t="shared" ref="L140" si="436">+L70+L34+L105</f>
        <v>0</v>
      </c>
      <c r="M140" s="244">
        <f t="shared" si="435"/>
        <v>0</v>
      </c>
      <c r="N140" s="60">
        <f t="shared" si="435"/>
        <v>0</v>
      </c>
      <c r="O140" s="60">
        <f t="shared" si="435"/>
        <v>0</v>
      </c>
      <c r="P140" s="60">
        <f t="shared" ref="P140:Q140" si="437">+P70+P34+P105</f>
        <v>0</v>
      </c>
      <c r="Q140" s="60">
        <f t="shared" si="437"/>
        <v>0</v>
      </c>
      <c r="R140" s="64">
        <f t="shared" si="435"/>
        <v>0</v>
      </c>
      <c r="S140" s="320">
        <f t="shared" si="435"/>
        <v>0</v>
      </c>
      <c r="T140" s="316">
        <f t="shared" si="435"/>
        <v>0</v>
      </c>
      <c r="U140" s="316">
        <f t="shared" si="435"/>
        <v>0</v>
      </c>
      <c r="V140" s="316">
        <f t="shared" ref="V140" si="438">+V70+V34+V105</f>
        <v>0</v>
      </c>
      <c r="W140" s="316">
        <f t="shared" si="435"/>
        <v>0</v>
      </c>
      <c r="X140" s="321">
        <f t="shared" si="435"/>
        <v>0</v>
      </c>
      <c r="Y140" s="315">
        <f t="shared" si="435"/>
        <v>0</v>
      </c>
      <c r="Z140" s="316">
        <f t="shared" si="435"/>
        <v>0</v>
      </c>
      <c r="AA140" s="316">
        <f t="shared" si="435"/>
        <v>0</v>
      </c>
      <c r="AB140" s="316">
        <f t="shared" si="435"/>
        <v>0</v>
      </c>
      <c r="AC140" s="319">
        <f t="shared" si="435"/>
        <v>0</v>
      </c>
      <c r="AD140" s="315">
        <f t="shared" si="435"/>
        <v>0</v>
      </c>
      <c r="AE140" s="316">
        <f t="shared" si="435"/>
        <v>0</v>
      </c>
      <c r="AF140" s="316">
        <f t="shared" si="435"/>
        <v>0</v>
      </c>
      <c r="AG140" s="316">
        <f t="shared" si="435"/>
        <v>0</v>
      </c>
      <c r="AH140" s="316">
        <f t="shared" si="435"/>
        <v>0</v>
      </c>
      <c r="AI140" s="316">
        <f t="shared" si="435"/>
        <v>0</v>
      </c>
      <c r="AJ140" s="316">
        <f t="shared" si="435"/>
        <v>0</v>
      </c>
      <c r="AK140" s="316">
        <f t="shared" si="435"/>
        <v>0</v>
      </c>
      <c r="AL140" s="316">
        <f t="shared" si="435"/>
        <v>0</v>
      </c>
      <c r="AM140" s="319">
        <f t="shared" si="435"/>
        <v>0</v>
      </c>
      <c r="AN140" s="308">
        <f t="shared" si="435"/>
        <v>0</v>
      </c>
      <c r="AO140" s="278">
        <f t="shared" si="435"/>
        <v>0</v>
      </c>
      <c r="AP140" s="278">
        <f t="shared" si="435"/>
        <v>0</v>
      </c>
      <c r="AQ140" s="278">
        <f t="shared" si="435"/>
        <v>0</v>
      </c>
      <c r="AR140" s="278">
        <f t="shared" si="435"/>
        <v>0</v>
      </c>
      <c r="AS140" s="278">
        <f t="shared" si="435"/>
        <v>0</v>
      </c>
      <c r="AT140" s="278">
        <f t="shared" si="435"/>
        <v>0</v>
      </c>
      <c r="AU140" s="327">
        <f t="shared" si="435"/>
        <v>0</v>
      </c>
      <c r="AV140" s="282">
        <f t="shared" si="435"/>
        <v>0</v>
      </c>
      <c r="AW140" s="278">
        <f t="shared" si="435"/>
        <v>0</v>
      </c>
      <c r="AX140" s="316">
        <f t="shared" si="435"/>
        <v>0</v>
      </c>
      <c r="AY140" s="328">
        <f t="shared" si="435"/>
        <v>0</v>
      </c>
      <c r="AZ140" s="308">
        <f t="shared" ref="AZ140:CC140" si="439">+AZ70+AZ34+AZ105</f>
        <v>0</v>
      </c>
      <c r="BA140" s="278">
        <f t="shared" si="439"/>
        <v>0</v>
      </c>
      <c r="BB140" s="278">
        <f t="shared" si="439"/>
        <v>0</v>
      </c>
      <c r="BC140" s="278">
        <f t="shared" si="439"/>
        <v>0</v>
      </c>
      <c r="BD140" s="278">
        <f t="shared" si="439"/>
        <v>0</v>
      </c>
      <c r="BE140" s="328">
        <f t="shared" si="439"/>
        <v>0</v>
      </c>
      <c r="BF140" s="332">
        <f t="shared" ref="BF140:BQ140" si="440">+BF70+BF34+BF105</f>
        <v>0</v>
      </c>
      <c r="BG140" s="336">
        <f t="shared" si="440"/>
        <v>0</v>
      </c>
      <c r="BH140" s="336">
        <f t="shared" si="440"/>
        <v>0</v>
      </c>
      <c r="BI140" s="336">
        <f t="shared" si="440"/>
        <v>0</v>
      </c>
      <c r="BJ140" s="336">
        <f t="shared" si="440"/>
        <v>0</v>
      </c>
      <c r="BK140" s="336">
        <f t="shared" si="440"/>
        <v>0</v>
      </c>
      <c r="BL140" s="336">
        <f t="shared" si="440"/>
        <v>0</v>
      </c>
      <c r="BM140" s="336">
        <f t="shared" si="440"/>
        <v>0</v>
      </c>
      <c r="BN140" s="336">
        <f t="shared" si="440"/>
        <v>0</v>
      </c>
      <c r="BO140" s="336">
        <f t="shared" si="440"/>
        <v>0</v>
      </c>
      <c r="BP140" s="336">
        <f t="shared" si="440"/>
        <v>0</v>
      </c>
      <c r="BQ140" s="336">
        <f t="shared" si="440"/>
        <v>0</v>
      </c>
      <c r="BR140" s="336">
        <f t="shared" si="439"/>
        <v>0</v>
      </c>
      <c r="BS140" s="336">
        <f t="shared" si="439"/>
        <v>0</v>
      </c>
      <c r="BT140" s="336">
        <f t="shared" si="439"/>
        <v>0</v>
      </c>
      <c r="BU140" s="336">
        <f t="shared" si="439"/>
        <v>0</v>
      </c>
      <c r="BV140" s="336">
        <f t="shared" si="439"/>
        <v>0</v>
      </c>
      <c r="BW140" s="336">
        <f t="shared" si="439"/>
        <v>0</v>
      </c>
      <c r="BX140" s="336">
        <f t="shared" si="439"/>
        <v>0</v>
      </c>
      <c r="BY140" s="336">
        <f t="shared" si="439"/>
        <v>0</v>
      </c>
      <c r="BZ140" s="336">
        <f t="shared" si="439"/>
        <v>0</v>
      </c>
      <c r="CA140" s="336">
        <f t="shared" si="439"/>
        <v>0</v>
      </c>
      <c r="CB140" s="336">
        <f t="shared" si="439"/>
        <v>0</v>
      </c>
      <c r="CC140" s="341">
        <f t="shared" si="439"/>
        <v>0</v>
      </c>
      <c r="CD140" s="282">
        <f t="shared" ref="CD140:CI140" si="441">+CD70+CD34+CD105</f>
        <v>0</v>
      </c>
      <c r="CE140" s="278">
        <f t="shared" si="441"/>
        <v>0</v>
      </c>
      <c r="CF140" s="278">
        <f t="shared" si="441"/>
        <v>0</v>
      </c>
      <c r="CG140" s="278">
        <f t="shared" si="441"/>
        <v>0</v>
      </c>
      <c r="CH140" s="278">
        <f t="shared" si="441"/>
        <v>0</v>
      </c>
      <c r="CI140" s="327">
        <f t="shared" si="441"/>
        <v>0</v>
      </c>
      <c r="CJ140" s="282">
        <f t="shared" ref="CJ140:CO140" si="442">+CJ70+CJ34+CJ105</f>
        <v>0</v>
      </c>
      <c r="CK140" s="278">
        <f t="shared" si="442"/>
        <v>0</v>
      </c>
      <c r="CL140" s="278">
        <f t="shared" si="442"/>
        <v>0</v>
      </c>
      <c r="CM140" s="278">
        <f t="shared" si="442"/>
        <v>0</v>
      </c>
      <c r="CN140" s="278">
        <f t="shared" si="442"/>
        <v>0</v>
      </c>
      <c r="CO140" s="327">
        <f t="shared" si="442"/>
        <v>0</v>
      </c>
      <c r="CP140" s="282">
        <f t="shared" ref="CP140:CU140" si="443">+CP70+CP34+CP105</f>
        <v>0</v>
      </c>
      <c r="CQ140" s="278">
        <f t="shared" si="443"/>
        <v>0</v>
      </c>
      <c r="CR140" s="278">
        <f t="shared" si="443"/>
        <v>0</v>
      </c>
      <c r="CS140" s="278">
        <f t="shared" si="443"/>
        <v>0</v>
      </c>
      <c r="CT140" s="278">
        <f t="shared" si="443"/>
        <v>0</v>
      </c>
      <c r="CU140" s="327">
        <f t="shared" si="443"/>
        <v>0</v>
      </c>
      <c r="CV140" s="282">
        <f t="shared" ref="CV140:DA140" si="444">+CV70+CV34+CV105</f>
        <v>0</v>
      </c>
      <c r="CW140" s="278">
        <f t="shared" si="444"/>
        <v>0</v>
      </c>
      <c r="CX140" s="278">
        <f t="shared" si="444"/>
        <v>0</v>
      </c>
      <c r="CY140" s="278">
        <f t="shared" si="444"/>
        <v>0</v>
      </c>
      <c r="CZ140" s="278">
        <f t="shared" si="444"/>
        <v>0</v>
      </c>
      <c r="DA140" s="327">
        <f t="shared" si="444"/>
        <v>0</v>
      </c>
      <c r="DB140" s="324">
        <f t="shared" si="96"/>
        <v>0</v>
      </c>
      <c r="DD140">
        <f>+DB140-BUS!HG145</f>
        <v>0</v>
      </c>
    </row>
    <row r="141" spans="1:108" ht="15.75" thickBot="1">
      <c r="A141" s="289"/>
      <c r="B141" s="34">
        <f t="shared" ref="B141:G141" si="445">SUM(B110:B140)</f>
        <v>0</v>
      </c>
      <c r="C141" s="322">
        <f t="shared" si="445"/>
        <v>0</v>
      </c>
      <c r="D141" s="660">
        <f t="shared" si="445"/>
        <v>0</v>
      </c>
      <c r="E141" s="660">
        <f t="shared" ref="E141:F141" si="446">SUM(E110:E140)</f>
        <v>0</v>
      </c>
      <c r="F141" s="323">
        <f t="shared" si="446"/>
        <v>0</v>
      </c>
      <c r="G141" s="32">
        <f t="shared" si="445"/>
        <v>0</v>
      </c>
      <c r="H141" s="322">
        <f t="shared" ref="H141" si="447">SUM(H110:H140)</f>
        <v>0</v>
      </c>
      <c r="I141" s="322">
        <f t="shared" ref="I141:J141" si="448">SUM(I110:I140)</f>
        <v>0</v>
      </c>
      <c r="J141" s="322">
        <f t="shared" si="448"/>
        <v>0</v>
      </c>
      <c r="K141" s="323">
        <f t="shared" ref="K141:L141" si="449">SUM(K110:K140)</f>
        <v>0</v>
      </c>
      <c r="L141" s="323">
        <f t="shared" si="449"/>
        <v>0</v>
      </c>
      <c r="M141" s="32">
        <f t="shared" ref="M141" si="450">SUM(M110:M140)</f>
        <v>0</v>
      </c>
      <c r="N141" s="322">
        <f t="shared" ref="N141" si="451">SUM(N110:N140)</f>
        <v>0</v>
      </c>
      <c r="O141" s="322">
        <f t="shared" ref="O141:P141" si="452">SUM(O110:O140)</f>
        <v>0</v>
      </c>
      <c r="P141" s="660">
        <f t="shared" si="452"/>
        <v>0</v>
      </c>
      <c r="Q141" s="660">
        <f t="shared" ref="Q141:R141" si="453">SUM(Q110:Q140)</f>
        <v>0</v>
      </c>
      <c r="R141" s="660">
        <f t="shared" si="453"/>
        <v>0</v>
      </c>
      <c r="S141" s="112">
        <f t="shared" ref="S141" si="454">SUM(S110:S140)</f>
        <v>0</v>
      </c>
      <c r="T141" s="209">
        <f t="shared" ref="T141" si="455">SUM(T110:T140)</f>
        <v>0</v>
      </c>
      <c r="U141" s="209">
        <f t="shared" ref="U141" si="456">SUM(U110:U140)</f>
        <v>0</v>
      </c>
      <c r="V141" s="209">
        <f t="shared" ref="V141:W141" si="457">SUM(V110:V140)</f>
        <v>0</v>
      </c>
      <c r="W141" s="209">
        <f t="shared" si="457"/>
        <v>0</v>
      </c>
      <c r="X141" s="210">
        <f t="shared" ref="X141" si="458">SUM(X110:X140)</f>
        <v>0</v>
      </c>
      <c r="Y141" s="123">
        <f t="shared" ref="Y141" si="459">SUM(Y110:Y140)</f>
        <v>0</v>
      </c>
      <c r="Z141" s="209">
        <f t="shared" ref="Z141:AB141" si="460">SUM(Z110:Z140)</f>
        <v>0</v>
      </c>
      <c r="AA141" s="209">
        <f t="shared" si="460"/>
        <v>0</v>
      </c>
      <c r="AB141" s="209">
        <f t="shared" si="460"/>
        <v>0</v>
      </c>
      <c r="AC141" s="318">
        <f t="shared" ref="AC141" si="461">SUM(AC110:AC140)</f>
        <v>0</v>
      </c>
      <c r="AD141" s="112">
        <f t="shared" ref="AD141" si="462">SUM(AD110:AD140)</f>
        <v>0</v>
      </c>
      <c r="AE141" s="209">
        <f t="shared" ref="AE141" si="463">SUM(AE110:AE140)</f>
        <v>0</v>
      </c>
      <c r="AF141" s="209">
        <f t="shared" ref="AF141" si="464">SUM(AF110:AF140)</f>
        <v>0</v>
      </c>
      <c r="AG141" s="209">
        <f t="shared" ref="AG141" si="465">SUM(AG110:AG140)</f>
        <v>0</v>
      </c>
      <c r="AH141" s="209">
        <f t="shared" ref="AH141" si="466">SUM(AH110:AH140)</f>
        <v>0</v>
      </c>
      <c r="AI141" s="209">
        <f t="shared" ref="AI141:AK141" si="467">SUM(AI110:AI140)</f>
        <v>0</v>
      </c>
      <c r="AJ141" s="209">
        <f t="shared" si="467"/>
        <v>0</v>
      </c>
      <c r="AK141" s="209">
        <f t="shared" si="467"/>
        <v>0</v>
      </c>
      <c r="AL141" s="209">
        <f t="shared" ref="AL141" si="468">SUM(AL110:AL140)</f>
        <v>0</v>
      </c>
      <c r="AM141" s="210">
        <f t="shared" ref="AM141" si="469">SUM(AM110:AM140)</f>
        <v>0</v>
      </c>
      <c r="AN141" s="112">
        <f t="shared" ref="AN141" si="470">SUM(AN110:AN140)</f>
        <v>0</v>
      </c>
      <c r="AO141" s="209">
        <f t="shared" ref="AO141" si="471">SUM(AO110:AO140)</f>
        <v>0</v>
      </c>
      <c r="AP141" s="209">
        <f t="shared" ref="AP141" si="472">SUM(AP110:AP140)</f>
        <v>0</v>
      </c>
      <c r="AQ141" s="209">
        <f t="shared" ref="AQ141" si="473">SUM(AQ110:AQ140)</f>
        <v>0</v>
      </c>
      <c r="AR141" s="209">
        <f t="shared" ref="AR141" si="474">SUM(AR110:AR140)</f>
        <v>0</v>
      </c>
      <c r="AS141" s="209">
        <f t="shared" ref="AS141" si="475">SUM(AS110:AS140)</f>
        <v>0</v>
      </c>
      <c r="AT141" s="209">
        <f t="shared" ref="AT141" si="476">SUM(AT110:AT140)</f>
        <v>0</v>
      </c>
      <c r="AU141" s="210">
        <f t="shared" ref="AU141" si="477">SUM(AU110:AU140)</f>
        <v>0</v>
      </c>
      <c r="AV141" s="123">
        <f t="shared" ref="AV141" si="478">SUM(AV110:AV140)</f>
        <v>0</v>
      </c>
      <c r="AW141" s="209">
        <f t="shared" ref="AW141:AX141" si="479">SUM(AW110:AW140)</f>
        <v>0</v>
      </c>
      <c r="AX141" s="209">
        <f t="shared" si="479"/>
        <v>0</v>
      </c>
      <c r="AY141" s="318">
        <f t="shared" ref="AY141:BE141" si="480">SUM(AY110:AY140)</f>
        <v>0</v>
      </c>
      <c r="AZ141" s="112">
        <f t="shared" si="480"/>
        <v>0</v>
      </c>
      <c r="BA141" s="209">
        <f t="shared" si="480"/>
        <v>0</v>
      </c>
      <c r="BB141" s="209">
        <f t="shared" si="480"/>
        <v>0</v>
      </c>
      <c r="BC141" s="209">
        <f t="shared" si="480"/>
        <v>0</v>
      </c>
      <c r="BD141" s="209">
        <f t="shared" si="480"/>
        <v>0</v>
      </c>
      <c r="BE141" s="318">
        <f t="shared" si="480"/>
        <v>0</v>
      </c>
      <c r="BF141" s="34">
        <f>SUM(BF110:BF140)</f>
        <v>0</v>
      </c>
      <c r="BG141" s="322">
        <f t="shared" ref="BG141:BQ141" si="481">SUM(BG110:BG140)</f>
        <v>0</v>
      </c>
      <c r="BH141" s="323">
        <f t="shared" si="481"/>
        <v>0</v>
      </c>
      <c r="BI141" s="34">
        <f t="shared" si="481"/>
        <v>0</v>
      </c>
      <c r="BJ141" s="322">
        <f t="shared" si="481"/>
        <v>0</v>
      </c>
      <c r="BK141" s="323">
        <f t="shared" si="481"/>
        <v>0</v>
      </c>
      <c r="BL141" s="34">
        <f t="shared" si="481"/>
        <v>0</v>
      </c>
      <c r="BM141" s="322">
        <f t="shared" si="481"/>
        <v>0</v>
      </c>
      <c r="BN141" s="323">
        <f t="shared" si="481"/>
        <v>0</v>
      </c>
      <c r="BO141" s="34">
        <f t="shared" si="481"/>
        <v>0</v>
      </c>
      <c r="BP141" s="322">
        <f t="shared" si="481"/>
        <v>0</v>
      </c>
      <c r="BQ141" s="323">
        <f t="shared" si="481"/>
        <v>0</v>
      </c>
      <c r="BR141" s="34">
        <f>SUM(BR110:BR140)</f>
        <v>0</v>
      </c>
      <c r="BS141" s="322">
        <f t="shared" ref="BS141:CC141" si="482">SUM(BS110:BS140)</f>
        <v>0</v>
      </c>
      <c r="BT141" s="323">
        <f t="shared" si="482"/>
        <v>0</v>
      </c>
      <c r="BU141" s="34">
        <f t="shared" si="482"/>
        <v>0</v>
      </c>
      <c r="BV141" s="322">
        <f t="shared" si="482"/>
        <v>0</v>
      </c>
      <c r="BW141" s="323">
        <f t="shared" si="482"/>
        <v>0</v>
      </c>
      <c r="BX141" s="34">
        <f t="shared" si="482"/>
        <v>0</v>
      </c>
      <c r="BY141" s="322">
        <f t="shared" si="482"/>
        <v>0</v>
      </c>
      <c r="BZ141" s="323">
        <f t="shared" si="482"/>
        <v>0</v>
      </c>
      <c r="CA141" s="34">
        <f t="shared" si="482"/>
        <v>0</v>
      </c>
      <c r="CB141" s="322">
        <f t="shared" si="482"/>
        <v>0</v>
      </c>
      <c r="CC141" s="323">
        <f t="shared" si="482"/>
        <v>0</v>
      </c>
      <c r="CD141" s="123">
        <f t="shared" ref="CD141:CI141" si="483">SUM(CD110:CD140)</f>
        <v>0</v>
      </c>
      <c r="CE141" s="209">
        <f t="shared" si="483"/>
        <v>0</v>
      </c>
      <c r="CF141" s="209">
        <f t="shared" si="483"/>
        <v>0</v>
      </c>
      <c r="CG141" s="209">
        <f t="shared" si="483"/>
        <v>0</v>
      </c>
      <c r="CH141" s="209">
        <f t="shared" si="483"/>
        <v>0</v>
      </c>
      <c r="CI141" s="210">
        <f t="shared" si="483"/>
        <v>0</v>
      </c>
      <c r="CJ141" s="123">
        <f t="shared" ref="CJ141:CO141" si="484">SUM(CJ110:CJ140)</f>
        <v>0</v>
      </c>
      <c r="CK141" s="209">
        <f t="shared" si="484"/>
        <v>0</v>
      </c>
      <c r="CL141" s="209">
        <f t="shared" si="484"/>
        <v>0</v>
      </c>
      <c r="CM141" s="209">
        <f t="shared" si="484"/>
        <v>0</v>
      </c>
      <c r="CN141" s="209">
        <f t="shared" si="484"/>
        <v>0</v>
      </c>
      <c r="CO141" s="210">
        <f t="shared" si="484"/>
        <v>0</v>
      </c>
      <c r="CP141" s="123">
        <f t="shared" ref="CP141:CU141" si="485">SUM(CP110:CP140)</f>
        <v>0</v>
      </c>
      <c r="CQ141" s="209">
        <f t="shared" si="485"/>
        <v>0</v>
      </c>
      <c r="CR141" s="209">
        <f t="shared" si="485"/>
        <v>0</v>
      </c>
      <c r="CS141" s="209">
        <f t="shared" si="485"/>
        <v>0</v>
      </c>
      <c r="CT141" s="209">
        <f t="shared" si="485"/>
        <v>0</v>
      </c>
      <c r="CU141" s="210">
        <f t="shared" si="485"/>
        <v>0</v>
      </c>
      <c r="CV141" s="123">
        <f t="shared" ref="CV141:DA141" si="486">SUM(CV110:CV140)</f>
        <v>0</v>
      </c>
      <c r="CW141" s="209">
        <f t="shared" si="486"/>
        <v>0</v>
      </c>
      <c r="CX141" s="209">
        <f t="shared" si="486"/>
        <v>0</v>
      </c>
      <c r="CY141" s="209">
        <f t="shared" si="486"/>
        <v>0</v>
      </c>
      <c r="CZ141" s="209">
        <f t="shared" si="486"/>
        <v>0</v>
      </c>
      <c r="DA141" s="210">
        <f t="shared" si="486"/>
        <v>0</v>
      </c>
      <c r="DB141" s="56">
        <f>SUM(DB110:DB140)</f>
        <v>0</v>
      </c>
      <c r="DD141">
        <f>+DB141-BUS!HG146</f>
        <v>0</v>
      </c>
    </row>
    <row r="144" spans="1:108" ht="15.75" thickBot="1"/>
    <row r="145" spans="1:106" ht="15.75" thickBot="1">
      <c r="A145" s="463" t="s">
        <v>2</v>
      </c>
      <c r="B145" s="449" t="s">
        <v>45</v>
      </c>
      <c r="C145" s="450"/>
      <c r="D145" s="450"/>
      <c r="E145" s="450"/>
      <c r="F145" s="451"/>
      <c r="G145" s="449" t="s">
        <v>46</v>
      </c>
      <c r="H145" s="450"/>
      <c r="I145" s="450"/>
      <c r="J145" s="450"/>
      <c r="K145" s="450"/>
      <c r="L145" s="450"/>
      <c r="M145" s="449" t="s">
        <v>47</v>
      </c>
      <c r="N145" s="450"/>
      <c r="O145" s="450"/>
      <c r="P145" s="450"/>
      <c r="Q145" s="450"/>
      <c r="R145" s="451"/>
      <c r="S145" s="449" t="s">
        <v>48</v>
      </c>
      <c r="T145" s="450"/>
      <c r="U145" s="450"/>
      <c r="V145" s="450"/>
      <c r="W145" s="450"/>
      <c r="X145" s="451"/>
      <c r="Y145" s="449" t="s">
        <v>49</v>
      </c>
      <c r="Z145" s="450"/>
      <c r="AA145" s="450"/>
      <c r="AB145" s="450"/>
      <c r="AC145" s="451"/>
      <c r="AD145" s="449" t="s">
        <v>50</v>
      </c>
      <c r="AE145" s="450"/>
      <c r="AF145" s="450"/>
      <c r="AG145" s="450"/>
      <c r="AH145" s="450"/>
      <c r="AI145" s="450"/>
      <c r="AJ145" s="450"/>
      <c r="AK145" s="450"/>
      <c r="AL145" s="450"/>
      <c r="AM145" s="451"/>
      <c r="AN145" s="450" t="s">
        <v>51</v>
      </c>
      <c r="AO145" s="450"/>
      <c r="AP145" s="450"/>
      <c r="AQ145" s="450"/>
      <c r="AR145" s="450"/>
      <c r="AS145" s="450"/>
      <c r="AT145" s="450"/>
      <c r="AU145" s="450"/>
      <c r="AV145" s="449" t="s">
        <v>52</v>
      </c>
      <c r="AW145" s="450"/>
      <c r="AX145" s="450"/>
      <c r="AY145" s="451"/>
      <c r="AZ145" s="449" t="s">
        <v>53</v>
      </c>
      <c r="BA145" s="450"/>
      <c r="BB145" s="450"/>
      <c r="BC145" s="450"/>
      <c r="BD145" s="450"/>
      <c r="BE145" s="451"/>
      <c r="BF145" s="465" t="s">
        <v>54</v>
      </c>
      <c r="BG145" s="466"/>
      <c r="BH145" s="466"/>
      <c r="BI145" s="466"/>
      <c r="BJ145" s="466"/>
      <c r="BK145" s="466"/>
      <c r="BL145" s="466"/>
      <c r="BM145" s="466"/>
      <c r="BN145" s="466"/>
      <c r="BO145" s="466"/>
      <c r="BP145" s="466"/>
      <c r="BQ145" s="466"/>
      <c r="BR145" s="466"/>
      <c r="BS145" s="466"/>
      <c r="BT145" s="466"/>
      <c r="BU145" s="466"/>
      <c r="BV145" s="466"/>
      <c r="BW145" s="466"/>
      <c r="BX145" s="466"/>
      <c r="BY145" s="466"/>
      <c r="BZ145" s="466"/>
      <c r="CA145" s="466"/>
      <c r="CB145" s="466"/>
      <c r="CC145" s="467"/>
      <c r="CD145" s="449" t="s">
        <v>55</v>
      </c>
      <c r="CE145" s="450"/>
      <c r="CF145" s="450"/>
      <c r="CG145" s="450"/>
      <c r="CH145" s="450"/>
      <c r="CI145" s="451"/>
      <c r="CJ145" s="449" t="s">
        <v>182</v>
      </c>
      <c r="CK145" s="450"/>
      <c r="CL145" s="450"/>
      <c r="CM145" s="450"/>
      <c r="CN145" s="450"/>
      <c r="CO145" s="451"/>
      <c r="CP145" s="449" t="s">
        <v>183</v>
      </c>
      <c r="CQ145" s="450"/>
      <c r="CR145" s="450"/>
      <c r="CS145" s="450"/>
      <c r="CT145" s="450"/>
      <c r="CU145" s="451"/>
      <c r="CV145" s="449" t="s">
        <v>184</v>
      </c>
      <c r="CW145" s="450"/>
      <c r="CX145" s="450"/>
      <c r="CY145" s="450"/>
      <c r="CZ145" s="450"/>
      <c r="DA145" s="451"/>
      <c r="DB145" s="464" t="s">
        <v>56</v>
      </c>
    </row>
    <row r="146" spans="1:106" ht="15.75" thickBot="1">
      <c r="A146" s="463"/>
      <c r="B146" s="285" t="s">
        <v>39</v>
      </c>
      <c r="C146" s="419" t="s">
        <v>39</v>
      </c>
      <c r="D146" s="418" t="s">
        <v>39</v>
      </c>
      <c r="E146" s="418" t="s">
        <v>39</v>
      </c>
      <c r="F146" s="419" t="s">
        <v>39</v>
      </c>
      <c r="G146" s="419" t="s">
        <v>39</v>
      </c>
      <c r="H146" s="286" t="s">
        <v>39</v>
      </c>
      <c r="I146" s="286" t="s">
        <v>39</v>
      </c>
      <c r="J146" s="286" t="s">
        <v>39</v>
      </c>
      <c r="K146" s="286" t="s">
        <v>39</v>
      </c>
      <c r="L146" s="419" t="s">
        <v>39</v>
      </c>
      <c r="M146" s="286" t="s">
        <v>39</v>
      </c>
      <c r="N146" s="286" t="s">
        <v>39</v>
      </c>
      <c r="O146" s="286" t="s">
        <v>39</v>
      </c>
      <c r="P146" s="419" t="s">
        <v>39</v>
      </c>
      <c r="Q146" s="419" t="s">
        <v>39</v>
      </c>
      <c r="R146" s="286" t="s">
        <v>39</v>
      </c>
      <c r="S146" s="285" t="s">
        <v>39</v>
      </c>
      <c r="T146" s="286" t="s">
        <v>39</v>
      </c>
      <c r="U146" s="286" t="s">
        <v>39</v>
      </c>
      <c r="V146" s="419" t="s">
        <v>39</v>
      </c>
      <c r="W146" s="286" t="s">
        <v>39</v>
      </c>
      <c r="X146" s="286" t="s">
        <v>39</v>
      </c>
      <c r="Y146" s="285" t="s">
        <v>39</v>
      </c>
      <c r="Z146" s="286" t="s">
        <v>39</v>
      </c>
      <c r="AA146" s="286" t="s">
        <v>39</v>
      </c>
      <c r="AB146" s="286" t="s">
        <v>39</v>
      </c>
      <c r="AC146" s="286" t="s">
        <v>39</v>
      </c>
      <c r="AD146" s="300" t="s">
        <v>39</v>
      </c>
      <c r="AE146" s="286" t="s">
        <v>41</v>
      </c>
      <c r="AF146" s="293" t="s">
        <v>39</v>
      </c>
      <c r="AG146" s="286" t="s">
        <v>41</v>
      </c>
      <c r="AH146" s="293" t="s">
        <v>39</v>
      </c>
      <c r="AI146" s="286" t="s">
        <v>41</v>
      </c>
      <c r="AJ146" s="293" t="s">
        <v>39</v>
      </c>
      <c r="AK146" s="286" t="s">
        <v>41</v>
      </c>
      <c r="AL146" s="293" t="s">
        <v>39</v>
      </c>
      <c r="AM146" s="286" t="s">
        <v>41</v>
      </c>
      <c r="AN146" s="293" t="s">
        <v>39</v>
      </c>
      <c r="AO146" s="286" t="s">
        <v>40</v>
      </c>
      <c r="AP146" s="293" t="s">
        <v>39</v>
      </c>
      <c r="AQ146" s="286" t="s">
        <v>40</v>
      </c>
      <c r="AR146" s="293" t="s">
        <v>39</v>
      </c>
      <c r="AS146" s="286" t="s">
        <v>40</v>
      </c>
      <c r="AT146" s="293" t="s">
        <v>39</v>
      </c>
      <c r="AU146" s="293" t="s">
        <v>40</v>
      </c>
      <c r="AV146" s="300" t="s">
        <v>39</v>
      </c>
      <c r="AW146" s="293" t="s">
        <v>39</v>
      </c>
      <c r="AX146" s="293" t="s">
        <v>39</v>
      </c>
      <c r="AY146" s="286" t="s">
        <v>39</v>
      </c>
      <c r="AZ146" s="302" t="s">
        <v>39</v>
      </c>
      <c r="BA146" s="303" t="s">
        <v>39</v>
      </c>
      <c r="BB146" s="303" t="s">
        <v>39</v>
      </c>
      <c r="BC146" s="303" t="s">
        <v>39</v>
      </c>
      <c r="BD146" s="303" t="s">
        <v>39</v>
      </c>
      <c r="BE146" s="292" t="s">
        <v>39</v>
      </c>
      <c r="BF146" s="304" t="s">
        <v>39</v>
      </c>
      <c r="BG146" s="305" t="s">
        <v>40</v>
      </c>
      <c r="BH146" s="305" t="s">
        <v>41</v>
      </c>
      <c r="BI146" s="305" t="s">
        <v>39</v>
      </c>
      <c r="BJ146" s="305" t="s">
        <v>40</v>
      </c>
      <c r="BK146" s="305" t="s">
        <v>41</v>
      </c>
      <c r="BL146" s="305" t="s">
        <v>39</v>
      </c>
      <c r="BM146" s="305" t="s">
        <v>40</v>
      </c>
      <c r="BN146" s="305" t="s">
        <v>41</v>
      </c>
      <c r="BO146" s="305" t="s">
        <v>39</v>
      </c>
      <c r="BP146" s="305" t="s">
        <v>40</v>
      </c>
      <c r="BQ146" s="305" t="s">
        <v>41</v>
      </c>
      <c r="BR146" s="305" t="s">
        <v>39</v>
      </c>
      <c r="BS146" s="305" t="s">
        <v>40</v>
      </c>
      <c r="BT146" s="305" t="s">
        <v>41</v>
      </c>
      <c r="BU146" s="305" t="s">
        <v>39</v>
      </c>
      <c r="BV146" s="305" t="s">
        <v>40</v>
      </c>
      <c r="BW146" s="305" t="s">
        <v>41</v>
      </c>
      <c r="BX146" s="305" t="s">
        <v>39</v>
      </c>
      <c r="BY146" s="305" t="s">
        <v>40</v>
      </c>
      <c r="BZ146" s="305" t="s">
        <v>41</v>
      </c>
      <c r="CA146" s="305" t="s">
        <v>39</v>
      </c>
      <c r="CB146" s="305" t="s">
        <v>40</v>
      </c>
      <c r="CC146" s="306" t="s">
        <v>41</v>
      </c>
      <c r="CD146" s="395" t="s">
        <v>39</v>
      </c>
      <c r="CE146" s="303" t="s">
        <v>39</v>
      </c>
      <c r="CF146" s="303" t="s">
        <v>39</v>
      </c>
      <c r="CG146" s="303" t="s">
        <v>39</v>
      </c>
      <c r="CH146" s="303" t="s">
        <v>39</v>
      </c>
      <c r="CI146" s="307" t="s">
        <v>39</v>
      </c>
      <c r="CJ146" s="395" t="s">
        <v>39</v>
      </c>
      <c r="CK146" s="414" t="s">
        <v>39</v>
      </c>
      <c r="CL146" s="414" t="s">
        <v>39</v>
      </c>
      <c r="CM146" s="414" t="s">
        <v>39</v>
      </c>
      <c r="CN146" s="414" t="s">
        <v>39</v>
      </c>
      <c r="CO146" s="307" t="s">
        <v>39</v>
      </c>
      <c r="CP146" s="395" t="s">
        <v>39</v>
      </c>
      <c r="CQ146" s="414" t="s">
        <v>39</v>
      </c>
      <c r="CR146" s="414" t="s">
        <v>39</v>
      </c>
      <c r="CS146" s="414" t="s">
        <v>39</v>
      </c>
      <c r="CT146" s="414" t="s">
        <v>39</v>
      </c>
      <c r="CU146" s="307" t="s">
        <v>39</v>
      </c>
      <c r="CV146" s="395" t="s">
        <v>39</v>
      </c>
      <c r="CW146" s="414" t="s">
        <v>39</v>
      </c>
      <c r="CX146" s="414" t="s">
        <v>39</v>
      </c>
      <c r="CY146" s="414" t="s">
        <v>39</v>
      </c>
      <c r="CZ146" s="414" t="s">
        <v>39</v>
      </c>
      <c r="DA146" s="307" t="s">
        <v>39</v>
      </c>
      <c r="DB146" s="464"/>
    </row>
    <row r="147" spans="1:106" ht="15.75" thickBot="1">
      <c r="A147" s="239">
        <v>1</v>
      </c>
      <c r="B147" s="239">
        <f t="shared" ref="B147:R147" si="487">+B110/20</f>
        <v>0</v>
      </c>
      <c r="C147" s="277">
        <f t="shared" si="487"/>
        <v>0</v>
      </c>
      <c r="D147" s="277">
        <f t="shared" si="487"/>
        <v>0</v>
      </c>
      <c r="E147" s="277">
        <f t="shared" ref="E147:F147" si="488">+E110/20</f>
        <v>0</v>
      </c>
      <c r="F147" s="314">
        <f t="shared" si="488"/>
        <v>0</v>
      </c>
      <c r="G147" s="329">
        <f t="shared" si="487"/>
        <v>0</v>
      </c>
      <c r="H147" s="335">
        <f t="shared" si="487"/>
        <v>0</v>
      </c>
      <c r="I147" s="335">
        <f t="shared" si="487"/>
        <v>0</v>
      </c>
      <c r="J147" s="335">
        <f t="shared" si="487"/>
        <v>0</v>
      </c>
      <c r="K147" s="335">
        <f t="shared" si="487"/>
        <v>0</v>
      </c>
      <c r="L147" s="338">
        <f t="shared" ref="L147" si="489">+L110/20</f>
        <v>0</v>
      </c>
      <c r="M147" s="329">
        <f t="shared" si="487"/>
        <v>0</v>
      </c>
      <c r="N147" s="335">
        <f t="shared" si="487"/>
        <v>0</v>
      </c>
      <c r="O147" s="335">
        <f t="shared" si="487"/>
        <v>0</v>
      </c>
      <c r="P147" s="335">
        <f t="shared" ref="P147:Q147" si="490">+P110/20</f>
        <v>0</v>
      </c>
      <c r="Q147" s="335">
        <f t="shared" si="490"/>
        <v>0</v>
      </c>
      <c r="R147" s="339">
        <f t="shared" si="487"/>
        <v>0</v>
      </c>
      <c r="S147" s="320">
        <f t="shared" ref="S147:X156" si="491">S110/20</f>
        <v>0</v>
      </c>
      <c r="T147" s="320">
        <f t="shared" si="491"/>
        <v>0</v>
      </c>
      <c r="U147" s="320">
        <f t="shared" si="491"/>
        <v>0</v>
      </c>
      <c r="V147" s="320">
        <f t="shared" ref="V147" si="492">V110/20</f>
        <v>0</v>
      </c>
      <c r="W147" s="320">
        <f t="shared" si="491"/>
        <v>0</v>
      </c>
      <c r="X147" s="331">
        <f t="shared" si="491"/>
        <v>0</v>
      </c>
      <c r="Y147" s="315">
        <f t="shared" ref="Y147:AD156" si="493">+Y110/20</f>
        <v>0</v>
      </c>
      <c r="Z147" s="320">
        <f t="shared" si="493"/>
        <v>0</v>
      </c>
      <c r="AA147" s="320">
        <f t="shared" si="493"/>
        <v>0</v>
      </c>
      <c r="AB147" s="320">
        <f t="shared" si="493"/>
        <v>0</v>
      </c>
      <c r="AC147" s="331">
        <f t="shared" si="493"/>
        <v>0</v>
      </c>
      <c r="AD147" s="315">
        <f t="shared" si="493"/>
        <v>0</v>
      </c>
      <c r="AE147" s="316">
        <f t="shared" ref="AE147:AE177" si="494">+AE110/30</f>
        <v>0</v>
      </c>
      <c r="AF147" s="316">
        <f t="shared" ref="AF147:AF177" si="495">+AF110/20</f>
        <v>0</v>
      </c>
      <c r="AG147" s="316">
        <f t="shared" ref="AG147:AG177" si="496">+AG110/30</f>
        <v>0</v>
      </c>
      <c r="AH147" s="316">
        <f t="shared" ref="AH147:AH177" si="497">+AH110/20</f>
        <v>0</v>
      </c>
      <c r="AI147" s="316">
        <f t="shared" ref="AI147:AI177" si="498">+AI110/30</f>
        <v>0</v>
      </c>
      <c r="AJ147" s="316">
        <f t="shared" ref="AJ147:AJ177" si="499">+AJ110/20</f>
        <v>0</v>
      </c>
      <c r="AK147" s="316">
        <f t="shared" ref="AK147:AK177" si="500">+AK110/30</f>
        <v>0</v>
      </c>
      <c r="AL147" s="316">
        <f t="shared" ref="AL147:AL177" si="501">+AL110/20</f>
        <v>0</v>
      </c>
      <c r="AM147" s="319">
        <f t="shared" ref="AM147:AM177" si="502">+AM110/30</f>
        <v>0</v>
      </c>
      <c r="AN147" s="329">
        <f t="shared" ref="AN147:AN177" si="503">+AN110/20</f>
        <v>0</v>
      </c>
      <c r="AO147" s="335">
        <f t="shared" ref="AO147:AO177" si="504">+AO110/25</f>
        <v>0</v>
      </c>
      <c r="AP147" s="330">
        <f t="shared" ref="AP147:AP177" si="505">+AP110/20</f>
        <v>0</v>
      </c>
      <c r="AQ147" s="335">
        <f t="shared" ref="AQ147:AQ177" si="506">+AQ110/25</f>
        <v>0</v>
      </c>
      <c r="AR147" s="330">
        <f t="shared" ref="AR147:AR177" si="507">+AR110/20</f>
        <v>0</v>
      </c>
      <c r="AS147" s="335">
        <f t="shared" ref="AS147:AS177" si="508">+AS110/25</f>
        <v>0</v>
      </c>
      <c r="AT147" s="330">
        <f t="shared" ref="AT147:AT177" si="509">+AT110/20</f>
        <v>0</v>
      </c>
      <c r="AU147" s="338">
        <f t="shared" ref="AU147:AU177" si="510">+AU110/25</f>
        <v>0</v>
      </c>
      <c r="AV147" s="329">
        <f t="shared" ref="AV147:BX147" si="511">+AV110/20</f>
        <v>0</v>
      </c>
      <c r="AW147" s="335">
        <f t="shared" si="511"/>
        <v>0</v>
      </c>
      <c r="AX147" s="335">
        <f t="shared" si="511"/>
        <v>0</v>
      </c>
      <c r="AY147" s="339">
        <f t="shared" si="511"/>
        <v>0</v>
      </c>
      <c r="AZ147" s="315">
        <f t="shared" si="511"/>
        <v>0</v>
      </c>
      <c r="BA147" s="320">
        <f t="shared" si="511"/>
        <v>0</v>
      </c>
      <c r="BB147" s="320">
        <f t="shared" si="511"/>
        <v>0</v>
      </c>
      <c r="BC147" s="320">
        <f t="shared" si="511"/>
        <v>0</v>
      </c>
      <c r="BD147" s="320">
        <f t="shared" si="511"/>
        <v>0</v>
      </c>
      <c r="BE147" s="343">
        <f t="shared" si="511"/>
        <v>0</v>
      </c>
      <c r="BF147" s="329">
        <f t="shared" ref="BF147:BL147" si="512">+BF110/20</f>
        <v>0</v>
      </c>
      <c r="BG147" s="335">
        <f>+BG110/25</f>
        <v>0</v>
      </c>
      <c r="BH147" s="335">
        <f>+BH110/30</f>
        <v>0</v>
      </c>
      <c r="BI147" s="335">
        <f t="shared" si="512"/>
        <v>0</v>
      </c>
      <c r="BJ147" s="335">
        <f>+BJ110/25</f>
        <v>0</v>
      </c>
      <c r="BK147" s="335">
        <f>+BK110/30</f>
        <v>0</v>
      </c>
      <c r="BL147" s="335">
        <f t="shared" si="512"/>
        <v>0</v>
      </c>
      <c r="BM147" s="335">
        <f>+BM110/25</f>
        <v>0</v>
      </c>
      <c r="BN147" s="335">
        <f>+BN110/30</f>
        <v>0</v>
      </c>
      <c r="BO147" s="335">
        <f>+BO110/20</f>
        <v>0</v>
      </c>
      <c r="BP147" s="335">
        <f>+BP110/25</f>
        <v>0</v>
      </c>
      <c r="BQ147" s="335">
        <f>+BQ110/30</f>
        <v>0</v>
      </c>
      <c r="BR147" s="335">
        <f t="shared" si="511"/>
        <v>0</v>
      </c>
      <c r="BS147" s="335">
        <f>+BS110/25</f>
        <v>0</v>
      </c>
      <c r="BT147" s="335">
        <f>+BT110/30</f>
        <v>0</v>
      </c>
      <c r="BU147" s="335">
        <f t="shared" si="511"/>
        <v>0</v>
      </c>
      <c r="BV147" s="335">
        <f>+BV110/25</f>
        <v>0</v>
      </c>
      <c r="BW147" s="335">
        <f>+BW110/23</f>
        <v>0</v>
      </c>
      <c r="BX147" s="335">
        <f t="shared" si="511"/>
        <v>0</v>
      </c>
      <c r="BY147" s="335">
        <f>+BY110/25</f>
        <v>0</v>
      </c>
      <c r="BZ147" s="335">
        <f>+BZ110/30</f>
        <v>0</v>
      </c>
      <c r="CA147" s="335">
        <f>+CA110/20</f>
        <v>0</v>
      </c>
      <c r="CB147" s="335">
        <f>+CB110/25</f>
        <v>0</v>
      </c>
      <c r="CC147" s="339">
        <f>+CC110/30</f>
        <v>0</v>
      </c>
      <c r="CD147" s="320">
        <f t="shared" ref="CD147:CI156" si="513">+CD110/20</f>
        <v>0</v>
      </c>
      <c r="CE147" s="320">
        <f t="shared" si="513"/>
        <v>0</v>
      </c>
      <c r="CF147" s="320">
        <f t="shared" si="513"/>
        <v>0</v>
      </c>
      <c r="CG147" s="320">
        <f t="shared" si="513"/>
        <v>0</v>
      </c>
      <c r="CH147" s="320">
        <f t="shared" si="513"/>
        <v>0</v>
      </c>
      <c r="CI147" s="331">
        <f t="shared" si="513"/>
        <v>0</v>
      </c>
      <c r="CJ147" s="320">
        <f t="shared" ref="CJ147:CO147" si="514">+CJ110/20</f>
        <v>0</v>
      </c>
      <c r="CK147" s="320">
        <f t="shared" si="514"/>
        <v>0</v>
      </c>
      <c r="CL147" s="320">
        <f t="shared" si="514"/>
        <v>0</v>
      </c>
      <c r="CM147" s="320">
        <f t="shared" si="514"/>
        <v>0</v>
      </c>
      <c r="CN147" s="320">
        <f t="shared" si="514"/>
        <v>0</v>
      </c>
      <c r="CO147" s="331">
        <f t="shared" si="514"/>
        <v>0</v>
      </c>
      <c r="CP147" s="320">
        <f t="shared" ref="CP147:CU147" si="515">+CP110/20</f>
        <v>0</v>
      </c>
      <c r="CQ147" s="320">
        <f t="shared" si="515"/>
        <v>0</v>
      </c>
      <c r="CR147" s="320">
        <f t="shared" si="515"/>
        <v>0</v>
      </c>
      <c r="CS147" s="320">
        <f t="shared" si="515"/>
        <v>0</v>
      </c>
      <c r="CT147" s="320">
        <f t="shared" si="515"/>
        <v>0</v>
      </c>
      <c r="CU147" s="331">
        <f t="shared" si="515"/>
        <v>0</v>
      </c>
      <c r="CV147" s="320">
        <f t="shared" ref="CV147:DA147" si="516">+CV110/20</f>
        <v>0</v>
      </c>
      <c r="CW147" s="320">
        <f t="shared" si="516"/>
        <v>0</v>
      </c>
      <c r="CX147" s="320">
        <f t="shared" si="516"/>
        <v>0</v>
      </c>
      <c r="CY147" s="320">
        <f t="shared" si="516"/>
        <v>0</v>
      </c>
      <c r="CZ147" s="320">
        <f t="shared" si="516"/>
        <v>0</v>
      </c>
      <c r="DA147" s="331">
        <f t="shared" si="516"/>
        <v>0</v>
      </c>
      <c r="DB147" s="344">
        <f>SUM(J147:DA147)</f>
        <v>0</v>
      </c>
    </row>
    <row r="148" spans="1:106" ht="15.75" thickBot="1">
      <c r="A148" s="239">
        <v>2</v>
      </c>
      <c r="B148" s="239">
        <f t="shared" ref="B148:R148" si="517">+B111/20</f>
        <v>0</v>
      </c>
      <c r="C148" s="277">
        <f t="shared" si="517"/>
        <v>0</v>
      </c>
      <c r="D148" s="277">
        <f t="shared" si="517"/>
        <v>0</v>
      </c>
      <c r="E148" s="277">
        <f t="shared" ref="E148:F148" si="518">+E111/20</f>
        <v>0</v>
      </c>
      <c r="F148" s="314">
        <f t="shared" si="518"/>
        <v>0</v>
      </c>
      <c r="G148" s="315">
        <f t="shared" si="517"/>
        <v>0</v>
      </c>
      <c r="H148" s="316">
        <f t="shared" si="517"/>
        <v>0</v>
      </c>
      <c r="I148" s="316">
        <f t="shared" si="517"/>
        <v>0</v>
      </c>
      <c r="J148" s="316">
        <f t="shared" si="517"/>
        <v>0</v>
      </c>
      <c r="K148" s="316">
        <f t="shared" si="517"/>
        <v>0</v>
      </c>
      <c r="L148" s="321">
        <f t="shared" ref="L148" si="519">+L111/20</f>
        <v>0</v>
      </c>
      <c r="M148" s="315">
        <f t="shared" si="517"/>
        <v>0</v>
      </c>
      <c r="N148" s="316">
        <f t="shared" si="517"/>
        <v>0</v>
      </c>
      <c r="O148" s="316">
        <f t="shared" si="517"/>
        <v>0</v>
      </c>
      <c r="P148" s="316">
        <f t="shared" ref="P148:Q148" si="520">+P111/20</f>
        <v>0</v>
      </c>
      <c r="Q148" s="316">
        <f t="shared" si="520"/>
        <v>0</v>
      </c>
      <c r="R148" s="319">
        <f t="shared" si="517"/>
        <v>0</v>
      </c>
      <c r="S148" s="320">
        <f t="shared" si="491"/>
        <v>0</v>
      </c>
      <c r="T148" s="320">
        <f t="shared" si="491"/>
        <v>0</v>
      </c>
      <c r="U148" s="320">
        <f t="shared" si="491"/>
        <v>0</v>
      </c>
      <c r="V148" s="320">
        <f t="shared" ref="V148" si="521">V111/20</f>
        <v>0</v>
      </c>
      <c r="W148" s="320">
        <f t="shared" si="491"/>
        <v>0</v>
      </c>
      <c r="X148" s="331">
        <f t="shared" si="491"/>
        <v>0</v>
      </c>
      <c r="Y148" s="315">
        <f t="shared" si="493"/>
        <v>0</v>
      </c>
      <c r="Z148" s="320">
        <f t="shared" si="493"/>
        <v>0</v>
      </c>
      <c r="AA148" s="320">
        <f t="shared" si="493"/>
        <v>0</v>
      </c>
      <c r="AB148" s="320">
        <f t="shared" si="493"/>
        <v>0</v>
      </c>
      <c r="AC148" s="331">
        <f t="shared" si="493"/>
        <v>0</v>
      </c>
      <c r="AD148" s="315">
        <f t="shared" si="493"/>
        <v>0</v>
      </c>
      <c r="AE148" s="316">
        <f t="shared" si="494"/>
        <v>0</v>
      </c>
      <c r="AF148" s="316">
        <f t="shared" si="495"/>
        <v>0</v>
      </c>
      <c r="AG148" s="316">
        <f t="shared" si="496"/>
        <v>0</v>
      </c>
      <c r="AH148" s="316">
        <f t="shared" si="497"/>
        <v>0</v>
      </c>
      <c r="AI148" s="316">
        <f t="shared" si="498"/>
        <v>0</v>
      </c>
      <c r="AJ148" s="316">
        <f t="shared" si="499"/>
        <v>0</v>
      </c>
      <c r="AK148" s="316">
        <f t="shared" si="500"/>
        <v>0</v>
      </c>
      <c r="AL148" s="316">
        <f t="shared" si="501"/>
        <v>0</v>
      </c>
      <c r="AM148" s="319">
        <f t="shared" si="502"/>
        <v>0</v>
      </c>
      <c r="AN148" s="315">
        <f t="shared" si="503"/>
        <v>0</v>
      </c>
      <c r="AO148" s="316">
        <f t="shared" si="504"/>
        <v>0</v>
      </c>
      <c r="AP148" s="320">
        <f t="shared" si="505"/>
        <v>0</v>
      </c>
      <c r="AQ148" s="316">
        <f t="shared" si="506"/>
        <v>0</v>
      </c>
      <c r="AR148" s="320">
        <f t="shared" si="507"/>
        <v>0</v>
      </c>
      <c r="AS148" s="316">
        <f t="shared" si="508"/>
        <v>0</v>
      </c>
      <c r="AT148" s="320">
        <f t="shared" si="509"/>
        <v>0</v>
      </c>
      <c r="AU148" s="321">
        <f t="shared" si="510"/>
        <v>0</v>
      </c>
      <c r="AV148" s="315">
        <f t="shared" ref="AV148:BF148" si="522">+AV111/20</f>
        <v>0</v>
      </c>
      <c r="AW148" s="316">
        <f t="shared" si="522"/>
        <v>0</v>
      </c>
      <c r="AX148" s="335">
        <f t="shared" si="522"/>
        <v>0</v>
      </c>
      <c r="AY148" s="319">
        <f t="shared" si="522"/>
        <v>0</v>
      </c>
      <c r="AZ148" s="315">
        <f t="shared" si="522"/>
        <v>0</v>
      </c>
      <c r="BA148" s="320">
        <f t="shared" si="522"/>
        <v>0</v>
      </c>
      <c r="BB148" s="320">
        <f t="shared" si="522"/>
        <v>0</v>
      </c>
      <c r="BC148" s="320">
        <f t="shared" si="522"/>
        <v>0</v>
      </c>
      <c r="BD148" s="320">
        <f t="shared" si="522"/>
        <v>0</v>
      </c>
      <c r="BE148" s="343">
        <f t="shared" si="522"/>
        <v>0</v>
      </c>
      <c r="BF148" s="315">
        <f t="shared" si="522"/>
        <v>0</v>
      </c>
      <c r="BG148" s="316">
        <f t="shared" ref="BG148:BG177" si="523">+BG111/25</f>
        <v>0</v>
      </c>
      <c r="BH148" s="316">
        <f t="shared" ref="BH148:BH177" si="524">+BH111/30</f>
        <v>0</v>
      </c>
      <c r="BI148" s="316">
        <f t="shared" ref="BI148" si="525">+BI111/20</f>
        <v>0</v>
      </c>
      <c r="BJ148" s="316">
        <f t="shared" ref="BJ148:BJ177" si="526">+BJ111/25</f>
        <v>0</v>
      </c>
      <c r="BK148" s="316">
        <f t="shared" ref="BK148:BK177" si="527">+BK111/30</f>
        <v>0</v>
      </c>
      <c r="BL148" s="316">
        <f t="shared" ref="BL148" si="528">+BL111/20</f>
        <v>0</v>
      </c>
      <c r="BM148" s="316">
        <f t="shared" ref="BM148:BM177" si="529">+BM111/25</f>
        <v>0</v>
      </c>
      <c r="BN148" s="316">
        <f t="shared" ref="BN148:BN177" si="530">+BN111/30</f>
        <v>0</v>
      </c>
      <c r="BO148" s="316">
        <f t="shared" ref="BO148:BO177" si="531">+BO111/20</f>
        <v>0</v>
      </c>
      <c r="BP148" s="316">
        <f t="shared" ref="BP148:BP177" si="532">+BP111/25</f>
        <v>0</v>
      </c>
      <c r="BQ148" s="316">
        <f t="shared" ref="BQ148:BQ177" si="533">+BQ111/30</f>
        <v>0</v>
      </c>
      <c r="BR148" s="316">
        <f t="shared" ref="BR148" si="534">+BR111/20</f>
        <v>0</v>
      </c>
      <c r="BS148" s="316">
        <f t="shared" ref="BS148:BS177" si="535">+BS111/25</f>
        <v>0</v>
      </c>
      <c r="BT148" s="316">
        <f t="shared" ref="BT148:BT177" si="536">+BT111/30</f>
        <v>0</v>
      </c>
      <c r="BU148" s="316">
        <f t="shared" ref="BU148" si="537">+BU111/20</f>
        <v>0</v>
      </c>
      <c r="BV148" s="316">
        <f t="shared" ref="BV148:BV177" si="538">+BV111/25</f>
        <v>0</v>
      </c>
      <c r="BW148" s="316">
        <f t="shared" ref="BW148:BW177" si="539">+BW111/23</f>
        <v>0</v>
      </c>
      <c r="BX148" s="316">
        <f t="shared" ref="BX148" si="540">+BX111/20</f>
        <v>0</v>
      </c>
      <c r="BY148" s="316">
        <f t="shared" ref="BY148:BY177" si="541">+BY111/25</f>
        <v>0</v>
      </c>
      <c r="BZ148" s="316">
        <f t="shared" ref="BZ148:BZ177" si="542">+BZ111/30</f>
        <v>0</v>
      </c>
      <c r="CA148" s="316">
        <f t="shared" ref="CA148:CA177" si="543">+CA111/20</f>
        <v>0</v>
      </c>
      <c r="CB148" s="316">
        <f t="shared" ref="CB148:CB177" si="544">+CB111/25</f>
        <v>0</v>
      </c>
      <c r="CC148" s="319">
        <f t="shared" ref="CC148:CC177" si="545">+CC111/30</f>
        <v>0</v>
      </c>
      <c r="CD148" s="320">
        <f t="shared" si="513"/>
        <v>0</v>
      </c>
      <c r="CE148" s="320">
        <f t="shared" si="513"/>
        <v>0</v>
      </c>
      <c r="CF148" s="320">
        <f t="shared" si="513"/>
        <v>0</v>
      </c>
      <c r="CG148" s="320">
        <f t="shared" si="513"/>
        <v>0</v>
      </c>
      <c r="CH148" s="320">
        <f t="shared" si="513"/>
        <v>0</v>
      </c>
      <c r="CI148" s="331">
        <f t="shared" si="513"/>
        <v>0</v>
      </c>
      <c r="CJ148" s="320">
        <f t="shared" ref="CJ148:CO148" si="546">+CJ111/20</f>
        <v>0</v>
      </c>
      <c r="CK148" s="320">
        <f t="shared" si="546"/>
        <v>0</v>
      </c>
      <c r="CL148" s="320">
        <f t="shared" si="546"/>
        <v>0</v>
      </c>
      <c r="CM148" s="320">
        <f t="shared" si="546"/>
        <v>0</v>
      </c>
      <c r="CN148" s="320">
        <f t="shared" si="546"/>
        <v>0</v>
      </c>
      <c r="CO148" s="331">
        <f t="shared" si="546"/>
        <v>0</v>
      </c>
      <c r="CP148" s="320">
        <f t="shared" ref="CP148:CU148" si="547">+CP111/20</f>
        <v>0</v>
      </c>
      <c r="CQ148" s="320">
        <f t="shared" si="547"/>
        <v>0</v>
      </c>
      <c r="CR148" s="320">
        <f t="shared" si="547"/>
        <v>0</v>
      </c>
      <c r="CS148" s="320">
        <f t="shared" si="547"/>
        <v>0</v>
      </c>
      <c r="CT148" s="320">
        <f t="shared" si="547"/>
        <v>0</v>
      </c>
      <c r="CU148" s="331">
        <f t="shared" si="547"/>
        <v>0</v>
      </c>
      <c r="CV148" s="320">
        <f t="shared" ref="CV148:DA148" si="548">+CV111/20</f>
        <v>0</v>
      </c>
      <c r="CW148" s="320">
        <f t="shared" si="548"/>
        <v>0</v>
      </c>
      <c r="CX148" s="320">
        <f t="shared" si="548"/>
        <v>0</v>
      </c>
      <c r="CY148" s="320">
        <f t="shared" si="548"/>
        <v>0</v>
      </c>
      <c r="CZ148" s="320">
        <f t="shared" si="548"/>
        <v>0</v>
      </c>
      <c r="DA148" s="331">
        <f t="shared" si="548"/>
        <v>0</v>
      </c>
      <c r="DB148" s="344">
        <f t="shared" ref="DB148:DB177" si="549">SUM(J148:DA148)</f>
        <v>0</v>
      </c>
    </row>
    <row r="149" spans="1:106" ht="15.75" thickBot="1">
      <c r="A149" s="239">
        <v>3</v>
      </c>
      <c r="B149" s="239">
        <f t="shared" ref="B149:R149" si="550">+B112/20</f>
        <v>0</v>
      </c>
      <c r="C149" s="277">
        <f t="shared" si="550"/>
        <v>0</v>
      </c>
      <c r="D149" s="277">
        <f t="shared" si="550"/>
        <v>0</v>
      </c>
      <c r="E149" s="277">
        <f t="shared" ref="E149:F149" si="551">+E112/20</f>
        <v>0</v>
      </c>
      <c r="F149" s="314">
        <f t="shared" si="551"/>
        <v>0</v>
      </c>
      <c r="G149" s="315">
        <f t="shared" si="550"/>
        <v>0</v>
      </c>
      <c r="H149" s="316">
        <f t="shared" si="550"/>
        <v>0</v>
      </c>
      <c r="I149" s="316">
        <f t="shared" si="550"/>
        <v>0</v>
      </c>
      <c r="J149" s="316">
        <f t="shared" si="550"/>
        <v>0</v>
      </c>
      <c r="K149" s="316">
        <f t="shared" si="550"/>
        <v>0</v>
      </c>
      <c r="L149" s="321">
        <f t="shared" ref="L149" si="552">+L112/20</f>
        <v>0</v>
      </c>
      <c r="M149" s="315">
        <f t="shared" si="550"/>
        <v>0</v>
      </c>
      <c r="N149" s="316">
        <f t="shared" si="550"/>
        <v>0</v>
      </c>
      <c r="O149" s="316">
        <f t="shared" si="550"/>
        <v>0</v>
      </c>
      <c r="P149" s="316">
        <f t="shared" ref="P149:Q149" si="553">+P112/20</f>
        <v>0</v>
      </c>
      <c r="Q149" s="316">
        <f t="shared" si="553"/>
        <v>0</v>
      </c>
      <c r="R149" s="319">
        <f t="shared" si="550"/>
        <v>0</v>
      </c>
      <c r="S149" s="320">
        <f t="shared" si="491"/>
        <v>0</v>
      </c>
      <c r="T149" s="320">
        <f t="shared" si="491"/>
        <v>0</v>
      </c>
      <c r="U149" s="320">
        <f t="shared" si="491"/>
        <v>0</v>
      </c>
      <c r="V149" s="320">
        <f t="shared" ref="V149" si="554">V112/20</f>
        <v>0</v>
      </c>
      <c r="W149" s="320">
        <f t="shared" si="491"/>
        <v>0</v>
      </c>
      <c r="X149" s="331">
        <f t="shared" si="491"/>
        <v>0</v>
      </c>
      <c r="Y149" s="315">
        <f t="shared" si="493"/>
        <v>0</v>
      </c>
      <c r="Z149" s="320">
        <f t="shared" si="493"/>
        <v>0</v>
      </c>
      <c r="AA149" s="320">
        <f t="shared" si="493"/>
        <v>0</v>
      </c>
      <c r="AB149" s="320">
        <f t="shared" si="493"/>
        <v>0</v>
      </c>
      <c r="AC149" s="331">
        <f t="shared" si="493"/>
        <v>0</v>
      </c>
      <c r="AD149" s="315">
        <f t="shared" si="493"/>
        <v>0</v>
      </c>
      <c r="AE149" s="316">
        <f t="shared" si="494"/>
        <v>0</v>
      </c>
      <c r="AF149" s="316">
        <f t="shared" si="495"/>
        <v>0</v>
      </c>
      <c r="AG149" s="316">
        <f t="shared" si="496"/>
        <v>0</v>
      </c>
      <c r="AH149" s="316">
        <f t="shared" si="497"/>
        <v>0</v>
      </c>
      <c r="AI149" s="316">
        <f t="shared" si="498"/>
        <v>0</v>
      </c>
      <c r="AJ149" s="316">
        <f t="shared" si="499"/>
        <v>0</v>
      </c>
      <c r="AK149" s="316">
        <f t="shared" si="500"/>
        <v>0</v>
      </c>
      <c r="AL149" s="316">
        <f t="shared" si="501"/>
        <v>0</v>
      </c>
      <c r="AM149" s="319">
        <f t="shared" si="502"/>
        <v>0</v>
      </c>
      <c r="AN149" s="315">
        <f t="shared" si="503"/>
        <v>0</v>
      </c>
      <c r="AO149" s="316">
        <f t="shared" si="504"/>
        <v>0</v>
      </c>
      <c r="AP149" s="320">
        <f t="shared" si="505"/>
        <v>0</v>
      </c>
      <c r="AQ149" s="316">
        <f t="shared" si="506"/>
        <v>0</v>
      </c>
      <c r="AR149" s="320">
        <f t="shared" si="507"/>
        <v>0</v>
      </c>
      <c r="AS149" s="316">
        <f t="shared" si="508"/>
        <v>0</v>
      </c>
      <c r="AT149" s="320">
        <f t="shared" si="509"/>
        <v>0</v>
      </c>
      <c r="AU149" s="321">
        <f t="shared" si="510"/>
        <v>0</v>
      </c>
      <c r="AV149" s="315">
        <f t="shared" ref="AV149:BF149" si="555">+AV112/20</f>
        <v>0</v>
      </c>
      <c r="AW149" s="316">
        <f t="shared" si="555"/>
        <v>0</v>
      </c>
      <c r="AX149" s="335">
        <f t="shared" si="555"/>
        <v>0</v>
      </c>
      <c r="AY149" s="319">
        <f t="shared" si="555"/>
        <v>0</v>
      </c>
      <c r="AZ149" s="315">
        <f t="shared" si="555"/>
        <v>0</v>
      </c>
      <c r="BA149" s="320">
        <f t="shared" si="555"/>
        <v>0</v>
      </c>
      <c r="BB149" s="320">
        <f t="shared" si="555"/>
        <v>0</v>
      </c>
      <c r="BC149" s="320">
        <f t="shared" si="555"/>
        <v>0</v>
      </c>
      <c r="BD149" s="320">
        <f t="shared" si="555"/>
        <v>0</v>
      </c>
      <c r="BE149" s="343">
        <f t="shared" si="555"/>
        <v>0</v>
      </c>
      <c r="BF149" s="315">
        <f t="shared" si="555"/>
        <v>0</v>
      </c>
      <c r="BG149" s="316">
        <f t="shared" si="523"/>
        <v>0</v>
      </c>
      <c r="BH149" s="316">
        <f t="shared" si="524"/>
        <v>0</v>
      </c>
      <c r="BI149" s="316">
        <f t="shared" ref="BI149" si="556">+BI112/20</f>
        <v>0</v>
      </c>
      <c r="BJ149" s="316">
        <f t="shared" si="526"/>
        <v>0</v>
      </c>
      <c r="BK149" s="316">
        <f t="shared" si="527"/>
        <v>0</v>
      </c>
      <c r="BL149" s="316">
        <f t="shared" ref="BL149" si="557">+BL112/20</f>
        <v>0</v>
      </c>
      <c r="BM149" s="316">
        <f t="shared" si="529"/>
        <v>0</v>
      </c>
      <c r="BN149" s="316">
        <f t="shared" si="530"/>
        <v>0</v>
      </c>
      <c r="BO149" s="316">
        <f t="shared" si="531"/>
        <v>0</v>
      </c>
      <c r="BP149" s="316">
        <f t="shared" si="532"/>
        <v>0</v>
      </c>
      <c r="BQ149" s="316">
        <f t="shared" si="533"/>
        <v>0</v>
      </c>
      <c r="BR149" s="316">
        <f t="shared" ref="BR149" si="558">+BR112/20</f>
        <v>0</v>
      </c>
      <c r="BS149" s="316">
        <f t="shared" si="535"/>
        <v>0</v>
      </c>
      <c r="BT149" s="316">
        <f t="shared" si="536"/>
        <v>0</v>
      </c>
      <c r="BU149" s="316">
        <f t="shared" ref="BU149" si="559">+BU112/20</f>
        <v>0</v>
      </c>
      <c r="BV149" s="316">
        <f t="shared" si="538"/>
        <v>0</v>
      </c>
      <c r="BW149" s="316">
        <f t="shared" si="539"/>
        <v>0</v>
      </c>
      <c r="BX149" s="316">
        <f t="shared" ref="BX149" si="560">+BX112/20</f>
        <v>0</v>
      </c>
      <c r="BY149" s="316">
        <f t="shared" si="541"/>
        <v>0</v>
      </c>
      <c r="BZ149" s="316">
        <f t="shared" si="542"/>
        <v>0</v>
      </c>
      <c r="CA149" s="316">
        <f t="shared" si="543"/>
        <v>0</v>
      </c>
      <c r="CB149" s="316">
        <f t="shared" si="544"/>
        <v>0</v>
      </c>
      <c r="CC149" s="319">
        <f t="shared" si="545"/>
        <v>0</v>
      </c>
      <c r="CD149" s="320">
        <f t="shared" si="513"/>
        <v>0</v>
      </c>
      <c r="CE149" s="320">
        <f t="shared" si="513"/>
        <v>0</v>
      </c>
      <c r="CF149" s="320">
        <f t="shared" si="513"/>
        <v>0</v>
      </c>
      <c r="CG149" s="320">
        <f t="shared" si="513"/>
        <v>0</v>
      </c>
      <c r="CH149" s="320">
        <f t="shared" si="513"/>
        <v>0</v>
      </c>
      <c r="CI149" s="331">
        <f t="shared" si="513"/>
        <v>0</v>
      </c>
      <c r="CJ149" s="320">
        <f t="shared" ref="CJ149:CO149" si="561">+CJ112/20</f>
        <v>0</v>
      </c>
      <c r="CK149" s="320">
        <f t="shared" si="561"/>
        <v>0</v>
      </c>
      <c r="CL149" s="320">
        <f t="shared" si="561"/>
        <v>0</v>
      </c>
      <c r="CM149" s="320">
        <f t="shared" si="561"/>
        <v>0</v>
      </c>
      <c r="CN149" s="320">
        <f t="shared" si="561"/>
        <v>0</v>
      </c>
      <c r="CO149" s="331">
        <f t="shared" si="561"/>
        <v>0</v>
      </c>
      <c r="CP149" s="320">
        <f t="shared" ref="CP149:CU149" si="562">+CP112/20</f>
        <v>0</v>
      </c>
      <c r="CQ149" s="320">
        <f t="shared" si="562"/>
        <v>0</v>
      </c>
      <c r="CR149" s="320">
        <f t="shared" si="562"/>
        <v>0</v>
      </c>
      <c r="CS149" s="320">
        <f t="shared" si="562"/>
        <v>0</v>
      </c>
      <c r="CT149" s="320">
        <f t="shared" si="562"/>
        <v>0</v>
      </c>
      <c r="CU149" s="331">
        <f t="shared" si="562"/>
        <v>0</v>
      </c>
      <c r="CV149" s="320">
        <f t="shared" ref="CV149:DA149" si="563">+CV112/20</f>
        <v>0</v>
      </c>
      <c r="CW149" s="320">
        <f t="shared" si="563"/>
        <v>0</v>
      </c>
      <c r="CX149" s="320">
        <f t="shared" si="563"/>
        <v>0</v>
      </c>
      <c r="CY149" s="320">
        <f t="shared" si="563"/>
        <v>0</v>
      </c>
      <c r="CZ149" s="320">
        <f t="shared" si="563"/>
        <v>0</v>
      </c>
      <c r="DA149" s="331">
        <f t="shared" si="563"/>
        <v>0</v>
      </c>
      <c r="DB149" s="344">
        <f t="shared" si="549"/>
        <v>0</v>
      </c>
    </row>
    <row r="150" spans="1:106" ht="15.75" thickBot="1">
      <c r="A150" s="239">
        <v>4</v>
      </c>
      <c r="B150" s="239">
        <f t="shared" ref="B150:R150" si="564">+B113/20</f>
        <v>0</v>
      </c>
      <c r="C150" s="277">
        <f t="shared" si="564"/>
        <v>0</v>
      </c>
      <c r="D150" s="277">
        <f t="shared" si="564"/>
        <v>0</v>
      </c>
      <c r="E150" s="277">
        <f t="shared" ref="E150:F150" si="565">+E113/20</f>
        <v>0</v>
      </c>
      <c r="F150" s="314">
        <f t="shared" si="565"/>
        <v>0</v>
      </c>
      <c r="G150" s="315">
        <f t="shared" si="564"/>
        <v>0</v>
      </c>
      <c r="H150" s="316">
        <f t="shared" si="564"/>
        <v>0</v>
      </c>
      <c r="I150" s="316">
        <f t="shared" si="564"/>
        <v>0</v>
      </c>
      <c r="J150" s="316">
        <f t="shared" si="564"/>
        <v>0</v>
      </c>
      <c r="K150" s="316">
        <f t="shared" si="564"/>
        <v>0</v>
      </c>
      <c r="L150" s="321">
        <f t="shared" ref="L150" si="566">+L113/20</f>
        <v>0</v>
      </c>
      <c r="M150" s="315">
        <f t="shared" si="564"/>
        <v>0</v>
      </c>
      <c r="N150" s="316">
        <f t="shared" si="564"/>
        <v>0</v>
      </c>
      <c r="O150" s="316">
        <f t="shared" si="564"/>
        <v>0</v>
      </c>
      <c r="P150" s="316">
        <f t="shared" ref="P150:Q150" si="567">+P113/20</f>
        <v>0</v>
      </c>
      <c r="Q150" s="316">
        <f t="shared" si="567"/>
        <v>0</v>
      </c>
      <c r="R150" s="319">
        <f t="shared" si="564"/>
        <v>0</v>
      </c>
      <c r="S150" s="320">
        <f t="shared" si="491"/>
        <v>0</v>
      </c>
      <c r="T150" s="320">
        <f t="shared" si="491"/>
        <v>0</v>
      </c>
      <c r="U150" s="320">
        <f t="shared" si="491"/>
        <v>0</v>
      </c>
      <c r="V150" s="320">
        <f t="shared" ref="V150" si="568">V113/20</f>
        <v>0</v>
      </c>
      <c r="W150" s="320">
        <f t="shared" si="491"/>
        <v>0</v>
      </c>
      <c r="X150" s="331">
        <f t="shared" si="491"/>
        <v>0</v>
      </c>
      <c r="Y150" s="315">
        <f t="shared" si="493"/>
        <v>0</v>
      </c>
      <c r="Z150" s="320">
        <f t="shared" si="493"/>
        <v>0</v>
      </c>
      <c r="AA150" s="320">
        <f t="shared" si="493"/>
        <v>0</v>
      </c>
      <c r="AB150" s="320">
        <f t="shared" si="493"/>
        <v>0</v>
      </c>
      <c r="AC150" s="331">
        <f t="shared" si="493"/>
        <v>0</v>
      </c>
      <c r="AD150" s="315">
        <f t="shared" si="493"/>
        <v>0</v>
      </c>
      <c r="AE150" s="316">
        <f t="shared" si="494"/>
        <v>0</v>
      </c>
      <c r="AF150" s="316">
        <f t="shared" si="495"/>
        <v>0</v>
      </c>
      <c r="AG150" s="316">
        <f t="shared" si="496"/>
        <v>0</v>
      </c>
      <c r="AH150" s="316">
        <f t="shared" si="497"/>
        <v>0</v>
      </c>
      <c r="AI150" s="316">
        <f t="shared" si="498"/>
        <v>0</v>
      </c>
      <c r="AJ150" s="316">
        <f t="shared" si="499"/>
        <v>0</v>
      </c>
      <c r="AK150" s="316">
        <f t="shared" si="500"/>
        <v>0</v>
      </c>
      <c r="AL150" s="316">
        <f t="shared" si="501"/>
        <v>0</v>
      </c>
      <c r="AM150" s="319">
        <f t="shared" si="502"/>
        <v>0</v>
      </c>
      <c r="AN150" s="315">
        <f t="shared" si="503"/>
        <v>0</v>
      </c>
      <c r="AO150" s="316">
        <f t="shared" si="504"/>
        <v>0</v>
      </c>
      <c r="AP150" s="320">
        <f t="shared" si="505"/>
        <v>0</v>
      </c>
      <c r="AQ150" s="316">
        <f t="shared" si="506"/>
        <v>0</v>
      </c>
      <c r="AR150" s="320">
        <f t="shared" si="507"/>
        <v>0</v>
      </c>
      <c r="AS150" s="316">
        <f t="shared" si="508"/>
        <v>0</v>
      </c>
      <c r="AT150" s="320">
        <f t="shared" si="509"/>
        <v>0</v>
      </c>
      <c r="AU150" s="321">
        <f t="shared" si="510"/>
        <v>0</v>
      </c>
      <c r="AV150" s="315">
        <f t="shared" ref="AV150:BF150" si="569">+AV113/20</f>
        <v>0</v>
      </c>
      <c r="AW150" s="316">
        <f t="shared" si="569"/>
        <v>0</v>
      </c>
      <c r="AX150" s="335">
        <f t="shared" si="569"/>
        <v>0</v>
      </c>
      <c r="AY150" s="319">
        <f t="shared" si="569"/>
        <v>0</v>
      </c>
      <c r="AZ150" s="315">
        <f t="shared" si="569"/>
        <v>0</v>
      </c>
      <c r="BA150" s="320">
        <f t="shared" si="569"/>
        <v>0</v>
      </c>
      <c r="BB150" s="320">
        <f t="shared" si="569"/>
        <v>0</v>
      </c>
      <c r="BC150" s="320">
        <f t="shared" si="569"/>
        <v>0</v>
      </c>
      <c r="BD150" s="320">
        <f t="shared" si="569"/>
        <v>0</v>
      </c>
      <c r="BE150" s="343">
        <f t="shared" si="569"/>
        <v>0</v>
      </c>
      <c r="BF150" s="315">
        <f t="shared" si="569"/>
        <v>0</v>
      </c>
      <c r="BG150" s="316">
        <f t="shared" si="523"/>
        <v>0</v>
      </c>
      <c r="BH150" s="316">
        <f t="shared" si="524"/>
        <v>0</v>
      </c>
      <c r="BI150" s="316">
        <f t="shared" ref="BI150" si="570">+BI113/20</f>
        <v>0</v>
      </c>
      <c r="BJ150" s="316">
        <f t="shared" si="526"/>
        <v>0</v>
      </c>
      <c r="BK150" s="316">
        <f t="shared" si="527"/>
        <v>0</v>
      </c>
      <c r="BL150" s="316">
        <f t="shared" ref="BL150" si="571">+BL113/20</f>
        <v>0</v>
      </c>
      <c r="BM150" s="316">
        <f t="shared" si="529"/>
        <v>0</v>
      </c>
      <c r="BN150" s="316">
        <f t="shared" si="530"/>
        <v>0</v>
      </c>
      <c r="BO150" s="316">
        <f t="shared" si="531"/>
        <v>0</v>
      </c>
      <c r="BP150" s="316">
        <f t="shared" si="532"/>
        <v>0</v>
      </c>
      <c r="BQ150" s="316">
        <f t="shared" si="533"/>
        <v>0</v>
      </c>
      <c r="BR150" s="316">
        <f t="shared" ref="BR150" si="572">+BR113/20</f>
        <v>0</v>
      </c>
      <c r="BS150" s="316">
        <f t="shared" si="535"/>
        <v>0</v>
      </c>
      <c r="BT150" s="316">
        <f t="shared" si="536"/>
        <v>0</v>
      </c>
      <c r="BU150" s="316">
        <f t="shared" ref="BU150" si="573">+BU113/20</f>
        <v>0</v>
      </c>
      <c r="BV150" s="316">
        <f t="shared" si="538"/>
        <v>0</v>
      </c>
      <c r="BW150" s="316">
        <f t="shared" si="539"/>
        <v>0</v>
      </c>
      <c r="BX150" s="316">
        <f t="shared" ref="BX150" si="574">+BX113/20</f>
        <v>0</v>
      </c>
      <c r="BY150" s="316">
        <f t="shared" si="541"/>
        <v>0</v>
      </c>
      <c r="BZ150" s="316">
        <f t="shared" si="542"/>
        <v>0</v>
      </c>
      <c r="CA150" s="316">
        <f t="shared" si="543"/>
        <v>0</v>
      </c>
      <c r="CB150" s="316">
        <f t="shared" si="544"/>
        <v>0</v>
      </c>
      <c r="CC150" s="319">
        <f t="shared" si="545"/>
        <v>0</v>
      </c>
      <c r="CD150" s="320">
        <f t="shared" si="513"/>
        <v>0</v>
      </c>
      <c r="CE150" s="320">
        <f t="shared" si="513"/>
        <v>0</v>
      </c>
      <c r="CF150" s="320">
        <f t="shared" si="513"/>
        <v>0</v>
      </c>
      <c r="CG150" s="320">
        <f t="shared" si="513"/>
        <v>0</v>
      </c>
      <c r="CH150" s="320">
        <f t="shared" si="513"/>
        <v>0</v>
      </c>
      <c r="CI150" s="331">
        <f t="shared" si="513"/>
        <v>0</v>
      </c>
      <c r="CJ150" s="320">
        <f t="shared" ref="CJ150:CO150" si="575">+CJ113/20</f>
        <v>0</v>
      </c>
      <c r="CK150" s="320">
        <f t="shared" si="575"/>
        <v>0</v>
      </c>
      <c r="CL150" s="320">
        <f t="shared" si="575"/>
        <v>0</v>
      </c>
      <c r="CM150" s="320">
        <f t="shared" si="575"/>
        <v>0</v>
      </c>
      <c r="CN150" s="320">
        <f t="shared" si="575"/>
        <v>0</v>
      </c>
      <c r="CO150" s="331">
        <f t="shared" si="575"/>
        <v>0</v>
      </c>
      <c r="CP150" s="320">
        <f t="shared" ref="CP150:CU150" si="576">+CP113/20</f>
        <v>0</v>
      </c>
      <c r="CQ150" s="320">
        <f t="shared" si="576"/>
        <v>0</v>
      </c>
      <c r="CR150" s="320">
        <f t="shared" si="576"/>
        <v>0</v>
      </c>
      <c r="CS150" s="320">
        <f t="shared" si="576"/>
        <v>0</v>
      </c>
      <c r="CT150" s="320">
        <f t="shared" si="576"/>
        <v>0</v>
      </c>
      <c r="CU150" s="331">
        <f t="shared" si="576"/>
        <v>0</v>
      </c>
      <c r="CV150" s="320">
        <f t="shared" ref="CV150:DA150" si="577">+CV113/20</f>
        <v>0</v>
      </c>
      <c r="CW150" s="320">
        <f t="shared" si="577"/>
        <v>0</v>
      </c>
      <c r="CX150" s="320">
        <f t="shared" si="577"/>
        <v>0</v>
      </c>
      <c r="CY150" s="320">
        <f t="shared" si="577"/>
        <v>0</v>
      </c>
      <c r="CZ150" s="320">
        <f t="shared" si="577"/>
        <v>0</v>
      </c>
      <c r="DA150" s="331">
        <f t="shared" si="577"/>
        <v>0</v>
      </c>
      <c r="DB150" s="344">
        <f t="shared" si="549"/>
        <v>0</v>
      </c>
    </row>
    <row r="151" spans="1:106" ht="15.75" thickBot="1">
      <c r="A151" s="239">
        <v>5</v>
      </c>
      <c r="B151" s="239">
        <f t="shared" ref="B151:R151" si="578">+B114/20</f>
        <v>0</v>
      </c>
      <c r="C151" s="277">
        <f t="shared" si="578"/>
        <v>0</v>
      </c>
      <c r="D151" s="277">
        <f t="shared" si="578"/>
        <v>0</v>
      </c>
      <c r="E151" s="277">
        <f t="shared" ref="E151:F151" si="579">+E114/20</f>
        <v>0</v>
      </c>
      <c r="F151" s="314">
        <f t="shared" si="579"/>
        <v>0</v>
      </c>
      <c r="G151" s="315">
        <f t="shared" si="578"/>
        <v>0</v>
      </c>
      <c r="H151" s="316">
        <f t="shared" si="578"/>
        <v>0</v>
      </c>
      <c r="I151" s="316">
        <f t="shared" si="578"/>
        <v>0</v>
      </c>
      <c r="J151" s="316">
        <f t="shared" si="578"/>
        <v>0</v>
      </c>
      <c r="K151" s="316">
        <f t="shared" si="578"/>
        <v>0</v>
      </c>
      <c r="L151" s="321">
        <f t="shared" ref="L151" si="580">+L114/20</f>
        <v>0</v>
      </c>
      <c r="M151" s="315">
        <f t="shared" si="578"/>
        <v>0</v>
      </c>
      <c r="N151" s="316">
        <f t="shared" si="578"/>
        <v>0</v>
      </c>
      <c r="O151" s="316">
        <f t="shared" si="578"/>
        <v>0</v>
      </c>
      <c r="P151" s="316">
        <f t="shared" ref="P151:Q151" si="581">+P114/20</f>
        <v>0</v>
      </c>
      <c r="Q151" s="316">
        <f t="shared" si="581"/>
        <v>0</v>
      </c>
      <c r="R151" s="319">
        <f t="shared" si="578"/>
        <v>0</v>
      </c>
      <c r="S151" s="320">
        <f t="shared" si="491"/>
        <v>0</v>
      </c>
      <c r="T151" s="320">
        <f t="shared" si="491"/>
        <v>0</v>
      </c>
      <c r="U151" s="320">
        <f t="shared" si="491"/>
        <v>0</v>
      </c>
      <c r="V151" s="320">
        <f t="shared" ref="V151" si="582">V114/20</f>
        <v>0</v>
      </c>
      <c r="W151" s="320">
        <f t="shared" si="491"/>
        <v>0</v>
      </c>
      <c r="X151" s="331">
        <f t="shared" si="491"/>
        <v>0</v>
      </c>
      <c r="Y151" s="315">
        <f t="shared" si="493"/>
        <v>0</v>
      </c>
      <c r="Z151" s="320">
        <f t="shared" si="493"/>
        <v>0</v>
      </c>
      <c r="AA151" s="320">
        <f t="shared" si="493"/>
        <v>0</v>
      </c>
      <c r="AB151" s="320">
        <f t="shared" si="493"/>
        <v>0</v>
      </c>
      <c r="AC151" s="331">
        <f t="shared" si="493"/>
        <v>0</v>
      </c>
      <c r="AD151" s="315">
        <f t="shared" si="493"/>
        <v>0</v>
      </c>
      <c r="AE151" s="316">
        <f t="shared" si="494"/>
        <v>0</v>
      </c>
      <c r="AF151" s="316">
        <f t="shared" si="495"/>
        <v>0</v>
      </c>
      <c r="AG151" s="316">
        <f t="shared" si="496"/>
        <v>0</v>
      </c>
      <c r="AH151" s="316">
        <f t="shared" si="497"/>
        <v>0</v>
      </c>
      <c r="AI151" s="316">
        <f t="shared" si="498"/>
        <v>0</v>
      </c>
      <c r="AJ151" s="316">
        <f t="shared" si="499"/>
        <v>0</v>
      </c>
      <c r="AK151" s="316">
        <f t="shared" si="500"/>
        <v>0</v>
      </c>
      <c r="AL151" s="316">
        <f t="shared" si="501"/>
        <v>0</v>
      </c>
      <c r="AM151" s="319">
        <f t="shared" si="502"/>
        <v>0</v>
      </c>
      <c r="AN151" s="315">
        <f t="shared" si="503"/>
        <v>0</v>
      </c>
      <c r="AO151" s="316">
        <f t="shared" si="504"/>
        <v>0</v>
      </c>
      <c r="AP151" s="320">
        <f t="shared" si="505"/>
        <v>0</v>
      </c>
      <c r="AQ151" s="316">
        <f t="shared" si="506"/>
        <v>0</v>
      </c>
      <c r="AR151" s="320">
        <f t="shared" si="507"/>
        <v>0</v>
      </c>
      <c r="AS151" s="316">
        <f t="shared" si="508"/>
        <v>0</v>
      </c>
      <c r="AT151" s="320">
        <f t="shared" si="509"/>
        <v>0</v>
      </c>
      <c r="AU151" s="321">
        <f t="shared" si="510"/>
        <v>0</v>
      </c>
      <c r="AV151" s="315">
        <f t="shared" ref="AV151:BF151" si="583">+AV114/20</f>
        <v>0</v>
      </c>
      <c r="AW151" s="316">
        <f t="shared" si="583"/>
        <v>0</v>
      </c>
      <c r="AX151" s="335">
        <f t="shared" si="583"/>
        <v>0</v>
      </c>
      <c r="AY151" s="319">
        <f t="shared" si="583"/>
        <v>0</v>
      </c>
      <c r="AZ151" s="315">
        <f t="shared" si="583"/>
        <v>0</v>
      </c>
      <c r="BA151" s="320">
        <f t="shared" si="583"/>
        <v>0</v>
      </c>
      <c r="BB151" s="320">
        <f t="shared" si="583"/>
        <v>0</v>
      </c>
      <c r="BC151" s="320">
        <f t="shared" si="583"/>
        <v>0</v>
      </c>
      <c r="BD151" s="320">
        <f t="shared" si="583"/>
        <v>0</v>
      </c>
      <c r="BE151" s="343">
        <f t="shared" si="583"/>
        <v>0</v>
      </c>
      <c r="BF151" s="315">
        <f t="shared" si="583"/>
        <v>0</v>
      </c>
      <c r="BG151" s="316">
        <f t="shared" si="523"/>
        <v>0</v>
      </c>
      <c r="BH151" s="316">
        <f t="shared" si="524"/>
        <v>0</v>
      </c>
      <c r="BI151" s="316">
        <f t="shared" ref="BI151" si="584">+BI114/20</f>
        <v>0</v>
      </c>
      <c r="BJ151" s="316">
        <f t="shared" si="526"/>
        <v>0</v>
      </c>
      <c r="BK151" s="316">
        <f t="shared" si="527"/>
        <v>0</v>
      </c>
      <c r="BL151" s="316">
        <f t="shared" ref="BL151" si="585">+BL114/20</f>
        <v>0</v>
      </c>
      <c r="BM151" s="316">
        <f t="shared" si="529"/>
        <v>0</v>
      </c>
      <c r="BN151" s="316">
        <f t="shared" si="530"/>
        <v>0</v>
      </c>
      <c r="BO151" s="316">
        <f t="shared" si="531"/>
        <v>0</v>
      </c>
      <c r="BP151" s="316">
        <f t="shared" si="532"/>
        <v>0</v>
      </c>
      <c r="BQ151" s="316">
        <f t="shared" si="533"/>
        <v>0</v>
      </c>
      <c r="BR151" s="316">
        <f t="shared" ref="BR151" si="586">+BR114/20</f>
        <v>0</v>
      </c>
      <c r="BS151" s="316">
        <f t="shared" si="535"/>
        <v>0</v>
      </c>
      <c r="BT151" s="316">
        <f t="shared" si="536"/>
        <v>0</v>
      </c>
      <c r="BU151" s="316">
        <f t="shared" ref="BU151" si="587">+BU114/20</f>
        <v>0</v>
      </c>
      <c r="BV151" s="316">
        <f t="shared" si="538"/>
        <v>0</v>
      </c>
      <c r="BW151" s="316">
        <f t="shared" si="539"/>
        <v>0</v>
      </c>
      <c r="BX151" s="316">
        <f t="shared" ref="BX151" si="588">+BX114/20</f>
        <v>0</v>
      </c>
      <c r="BY151" s="316">
        <f t="shared" si="541"/>
        <v>0</v>
      </c>
      <c r="BZ151" s="316">
        <f t="shared" si="542"/>
        <v>0</v>
      </c>
      <c r="CA151" s="316">
        <f t="shared" si="543"/>
        <v>0</v>
      </c>
      <c r="CB151" s="316">
        <f t="shared" si="544"/>
        <v>0</v>
      </c>
      <c r="CC151" s="319">
        <f t="shared" si="545"/>
        <v>0</v>
      </c>
      <c r="CD151" s="320">
        <f t="shared" si="513"/>
        <v>0</v>
      </c>
      <c r="CE151" s="320">
        <f t="shared" si="513"/>
        <v>0</v>
      </c>
      <c r="CF151" s="320">
        <f t="shared" si="513"/>
        <v>0</v>
      </c>
      <c r="CG151" s="320">
        <f t="shared" si="513"/>
        <v>0</v>
      </c>
      <c r="CH151" s="320">
        <f t="shared" si="513"/>
        <v>0</v>
      </c>
      <c r="CI151" s="331">
        <f t="shared" si="513"/>
        <v>0</v>
      </c>
      <c r="CJ151" s="320">
        <f t="shared" ref="CJ151:CO151" si="589">+CJ114/20</f>
        <v>0</v>
      </c>
      <c r="CK151" s="320">
        <f t="shared" si="589"/>
        <v>0</v>
      </c>
      <c r="CL151" s="320">
        <f t="shared" si="589"/>
        <v>0</v>
      </c>
      <c r="CM151" s="320">
        <f t="shared" si="589"/>
        <v>0</v>
      </c>
      <c r="CN151" s="320">
        <f t="shared" si="589"/>
        <v>0</v>
      </c>
      <c r="CO151" s="331">
        <f t="shared" si="589"/>
        <v>0</v>
      </c>
      <c r="CP151" s="320">
        <f t="shared" ref="CP151:CU151" si="590">+CP114/20</f>
        <v>0</v>
      </c>
      <c r="CQ151" s="320">
        <f t="shared" si="590"/>
        <v>0</v>
      </c>
      <c r="CR151" s="320">
        <f t="shared" si="590"/>
        <v>0</v>
      </c>
      <c r="CS151" s="320">
        <f t="shared" si="590"/>
        <v>0</v>
      </c>
      <c r="CT151" s="320">
        <f t="shared" si="590"/>
        <v>0</v>
      </c>
      <c r="CU151" s="331">
        <f t="shared" si="590"/>
        <v>0</v>
      </c>
      <c r="CV151" s="320">
        <f t="shared" ref="CV151:DA151" si="591">+CV114/20</f>
        <v>0</v>
      </c>
      <c r="CW151" s="320">
        <f t="shared" si="591"/>
        <v>0</v>
      </c>
      <c r="CX151" s="320">
        <f t="shared" si="591"/>
        <v>0</v>
      </c>
      <c r="CY151" s="320">
        <f t="shared" si="591"/>
        <v>0</v>
      </c>
      <c r="CZ151" s="320">
        <f t="shared" si="591"/>
        <v>0</v>
      </c>
      <c r="DA151" s="331">
        <f t="shared" si="591"/>
        <v>0</v>
      </c>
      <c r="DB151" s="344">
        <f t="shared" si="549"/>
        <v>0</v>
      </c>
    </row>
    <row r="152" spans="1:106" ht="15.75" thickBot="1">
      <c r="A152" s="239">
        <v>6</v>
      </c>
      <c r="B152" s="239">
        <f t="shared" ref="B152:R152" si="592">+B115/20</f>
        <v>0</v>
      </c>
      <c r="C152" s="277">
        <f t="shared" si="592"/>
        <v>0</v>
      </c>
      <c r="D152" s="277">
        <f t="shared" si="592"/>
        <v>0</v>
      </c>
      <c r="E152" s="277">
        <f t="shared" ref="E152:F152" si="593">+E115/20</f>
        <v>0</v>
      </c>
      <c r="F152" s="314">
        <f t="shared" si="593"/>
        <v>0</v>
      </c>
      <c r="G152" s="315">
        <f t="shared" si="592"/>
        <v>0</v>
      </c>
      <c r="H152" s="316">
        <f t="shared" si="592"/>
        <v>0</v>
      </c>
      <c r="I152" s="316">
        <f t="shared" si="592"/>
        <v>0</v>
      </c>
      <c r="J152" s="316">
        <f t="shared" si="592"/>
        <v>0</v>
      </c>
      <c r="K152" s="316">
        <f t="shared" si="592"/>
        <v>0</v>
      </c>
      <c r="L152" s="321">
        <f t="shared" ref="L152" si="594">+L115/20</f>
        <v>0</v>
      </c>
      <c r="M152" s="315">
        <f t="shared" si="592"/>
        <v>0</v>
      </c>
      <c r="N152" s="316">
        <f t="shared" si="592"/>
        <v>0</v>
      </c>
      <c r="O152" s="316">
        <f t="shared" si="592"/>
        <v>0</v>
      </c>
      <c r="P152" s="316">
        <f t="shared" ref="P152:Q152" si="595">+P115/20</f>
        <v>0</v>
      </c>
      <c r="Q152" s="316">
        <f t="shared" si="595"/>
        <v>0</v>
      </c>
      <c r="R152" s="319">
        <f t="shared" si="592"/>
        <v>0</v>
      </c>
      <c r="S152" s="320">
        <f t="shared" si="491"/>
        <v>0</v>
      </c>
      <c r="T152" s="320">
        <f t="shared" si="491"/>
        <v>0</v>
      </c>
      <c r="U152" s="320">
        <f t="shared" si="491"/>
        <v>0</v>
      </c>
      <c r="V152" s="320">
        <f t="shared" ref="V152" si="596">V115/20</f>
        <v>0</v>
      </c>
      <c r="W152" s="320">
        <f t="shared" si="491"/>
        <v>0</v>
      </c>
      <c r="X152" s="331">
        <f t="shared" si="491"/>
        <v>0</v>
      </c>
      <c r="Y152" s="315">
        <f t="shared" si="493"/>
        <v>0</v>
      </c>
      <c r="Z152" s="320">
        <f t="shared" si="493"/>
        <v>0</v>
      </c>
      <c r="AA152" s="320">
        <f t="shared" si="493"/>
        <v>0</v>
      </c>
      <c r="AB152" s="320">
        <f t="shared" si="493"/>
        <v>0</v>
      </c>
      <c r="AC152" s="331">
        <f t="shared" si="493"/>
        <v>0</v>
      </c>
      <c r="AD152" s="315">
        <f t="shared" si="493"/>
        <v>0</v>
      </c>
      <c r="AE152" s="316">
        <f t="shared" si="494"/>
        <v>0</v>
      </c>
      <c r="AF152" s="316">
        <f t="shared" si="495"/>
        <v>0</v>
      </c>
      <c r="AG152" s="316">
        <f t="shared" si="496"/>
        <v>0</v>
      </c>
      <c r="AH152" s="316">
        <f t="shared" si="497"/>
        <v>0</v>
      </c>
      <c r="AI152" s="316">
        <f t="shared" si="498"/>
        <v>0</v>
      </c>
      <c r="AJ152" s="316">
        <f t="shared" si="499"/>
        <v>0</v>
      </c>
      <c r="AK152" s="316">
        <f t="shared" si="500"/>
        <v>0</v>
      </c>
      <c r="AL152" s="316">
        <f t="shared" si="501"/>
        <v>0</v>
      </c>
      <c r="AM152" s="319">
        <f t="shared" si="502"/>
        <v>0</v>
      </c>
      <c r="AN152" s="315">
        <f t="shared" si="503"/>
        <v>0</v>
      </c>
      <c r="AO152" s="316">
        <f t="shared" si="504"/>
        <v>0</v>
      </c>
      <c r="AP152" s="320">
        <f t="shared" si="505"/>
        <v>0</v>
      </c>
      <c r="AQ152" s="316">
        <f t="shared" si="506"/>
        <v>0</v>
      </c>
      <c r="AR152" s="320">
        <f t="shared" si="507"/>
        <v>0</v>
      </c>
      <c r="AS152" s="316">
        <f t="shared" si="508"/>
        <v>0</v>
      </c>
      <c r="AT152" s="320">
        <f t="shared" si="509"/>
        <v>0</v>
      </c>
      <c r="AU152" s="321">
        <f t="shared" si="510"/>
        <v>0</v>
      </c>
      <c r="AV152" s="315">
        <f t="shared" ref="AV152:BF152" si="597">+AV115/20</f>
        <v>0</v>
      </c>
      <c r="AW152" s="316">
        <f t="shared" si="597"/>
        <v>0</v>
      </c>
      <c r="AX152" s="335">
        <f t="shared" si="597"/>
        <v>0</v>
      </c>
      <c r="AY152" s="319">
        <f t="shared" si="597"/>
        <v>0</v>
      </c>
      <c r="AZ152" s="315">
        <f t="shared" si="597"/>
        <v>0</v>
      </c>
      <c r="BA152" s="320">
        <f t="shared" si="597"/>
        <v>0</v>
      </c>
      <c r="BB152" s="320">
        <f t="shared" si="597"/>
        <v>0</v>
      </c>
      <c r="BC152" s="320">
        <f t="shared" si="597"/>
        <v>0</v>
      </c>
      <c r="BD152" s="320">
        <f t="shared" si="597"/>
        <v>0</v>
      </c>
      <c r="BE152" s="343">
        <f t="shared" si="597"/>
        <v>0</v>
      </c>
      <c r="BF152" s="315">
        <f t="shared" si="597"/>
        <v>0</v>
      </c>
      <c r="BG152" s="316">
        <f t="shared" si="523"/>
        <v>0</v>
      </c>
      <c r="BH152" s="316">
        <f t="shared" si="524"/>
        <v>0</v>
      </c>
      <c r="BI152" s="316">
        <f t="shared" ref="BI152" si="598">+BI115/20</f>
        <v>0</v>
      </c>
      <c r="BJ152" s="316">
        <f t="shared" si="526"/>
        <v>0</v>
      </c>
      <c r="BK152" s="316">
        <f t="shared" si="527"/>
        <v>0</v>
      </c>
      <c r="BL152" s="316">
        <f t="shared" ref="BL152" si="599">+BL115/20</f>
        <v>0</v>
      </c>
      <c r="BM152" s="316">
        <f t="shared" si="529"/>
        <v>0</v>
      </c>
      <c r="BN152" s="316">
        <f t="shared" si="530"/>
        <v>0</v>
      </c>
      <c r="BO152" s="316">
        <f t="shared" si="531"/>
        <v>0</v>
      </c>
      <c r="BP152" s="316">
        <f t="shared" si="532"/>
        <v>0</v>
      </c>
      <c r="BQ152" s="316">
        <f t="shared" si="533"/>
        <v>0</v>
      </c>
      <c r="BR152" s="316">
        <f t="shared" ref="BR152" si="600">+BR115/20</f>
        <v>0</v>
      </c>
      <c r="BS152" s="316">
        <f t="shared" si="535"/>
        <v>0</v>
      </c>
      <c r="BT152" s="316">
        <f t="shared" si="536"/>
        <v>0</v>
      </c>
      <c r="BU152" s="316">
        <f t="shared" ref="BU152" si="601">+BU115/20</f>
        <v>0</v>
      </c>
      <c r="BV152" s="316">
        <f t="shared" si="538"/>
        <v>0</v>
      </c>
      <c r="BW152" s="316">
        <f t="shared" si="539"/>
        <v>0</v>
      </c>
      <c r="BX152" s="316">
        <f t="shared" ref="BX152" si="602">+BX115/20</f>
        <v>0</v>
      </c>
      <c r="BY152" s="316">
        <f t="shared" si="541"/>
        <v>0</v>
      </c>
      <c r="BZ152" s="316">
        <f t="shared" si="542"/>
        <v>0</v>
      </c>
      <c r="CA152" s="316">
        <f t="shared" si="543"/>
        <v>0</v>
      </c>
      <c r="CB152" s="316">
        <f t="shared" si="544"/>
        <v>0</v>
      </c>
      <c r="CC152" s="319">
        <f t="shared" si="545"/>
        <v>0</v>
      </c>
      <c r="CD152" s="320">
        <f t="shared" si="513"/>
        <v>0</v>
      </c>
      <c r="CE152" s="320">
        <f t="shared" si="513"/>
        <v>0</v>
      </c>
      <c r="CF152" s="320">
        <f t="shared" si="513"/>
        <v>0</v>
      </c>
      <c r="CG152" s="320">
        <f t="shared" si="513"/>
        <v>0</v>
      </c>
      <c r="CH152" s="320">
        <f t="shared" si="513"/>
        <v>0</v>
      </c>
      <c r="CI152" s="331">
        <f t="shared" si="513"/>
        <v>0</v>
      </c>
      <c r="CJ152" s="320">
        <f t="shared" ref="CJ152:CO152" si="603">+CJ115/20</f>
        <v>0</v>
      </c>
      <c r="CK152" s="320">
        <f t="shared" si="603"/>
        <v>0</v>
      </c>
      <c r="CL152" s="320">
        <f t="shared" si="603"/>
        <v>0</v>
      </c>
      <c r="CM152" s="320">
        <f t="shared" si="603"/>
        <v>0</v>
      </c>
      <c r="CN152" s="320">
        <f t="shared" si="603"/>
        <v>0</v>
      </c>
      <c r="CO152" s="331">
        <f t="shared" si="603"/>
        <v>0</v>
      </c>
      <c r="CP152" s="320">
        <f t="shared" ref="CP152:CU152" si="604">+CP115/20</f>
        <v>0</v>
      </c>
      <c r="CQ152" s="320">
        <f t="shared" si="604"/>
        <v>0</v>
      </c>
      <c r="CR152" s="320">
        <f t="shared" si="604"/>
        <v>0</v>
      </c>
      <c r="CS152" s="320">
        <f t="shared" si="604"/>
        <v>0</v>
      </c>
      <c r="CT152" s="320">
        <f t="shared" si="604"/>
        <v>0</v>
      </c>
      <c r="CU152" s="331">
        <f t="shared" si="604"/>
        <v>0</v>
      </c>
      <c r="CV152" s="320">
        <f t="shared" ref="CV152:DA152" si="605">+CV115/20</f>
        <v>0</v>
      </c>
      <c r="CW152" s="320">
        <f t="shared" si="605"/>
        <v>0</v>
      </c>
      <c r="CX152" s="320">
        <f t="shared" si="605"/>
        <v>0</v>
      </c>
      <c r="CY152" s="320">
        <f t="shared" si="605"/>
        <v>0</v>
      </c>
      <c r="CZ152" s="320">
        <f t="shared" si="605"/>
        <v>0</v>
      </c>
      <c r="DA152" s="331">
        <f t="shared" si="605"/>
        <v>0</v>
      </c>
      <c r="DB152" s="344">
        <f t="shared" si="549"/>
        <v>0</v>
      </c>
    </row>
    <row r="153" spans="1:106" ht="15.75" thickBot="1">
      <c r="A153" s="239">
        <v>7</v>
      </c>
      <c r="B153" s="239">
        <f t="shared" ref="B153:R153" si="606">+B116/20</f>
        <v>0</v>
      </c>
      <c r="C153" s="277">
        <f t="shared" si="606"/>
        <v>0</v>
      </c>
      <c r="D153" s="277">
        <f t="shared" si="606"/>
        <v>0</v>
      </c>
      <c r="E153" s="277">
        <f t="shared" ref="E153:F153" si="607">+E116/20</f>
        <v>0</v>
      </c>
      <c r="F153" s="314">
        <f t="shared" si="607"/>
        <v>0</v>
      </c>
      <c r="G153" s="315">
        <f t="shared" si="606"/>
        <v>0</v>
      </c>
      <c r="H153" s="316">
        <f t="shared" si="606"/>
        <v>0</v>
      </c>
      <c r="I153" s="316">
        <f t="shared" si="606"/>
        <v>0</v>
      </c>
      <c r="J153" s="316">
        <f t="shared" si="606"/>
        <v>0</v>
      </c>
      <c r="K153" s="316">
        <f t="shared" si="606"/>
        <v>0</v>
      </c>
      <c r="L153" s="321">
        <f t="shared" ref="L153" si="608">+L116/20</f>
        <v>0</v>
      </c>
      <c r="M153" s="315">
        <f t="shared" si="606"/>
        <v>0</v>
      </c>
      <c r="N153" s="316">
        <f t="shared" si="606"/>
        <v>0</v>
      </c>
      <c r="O153" s="316">
        <f t="shared" si="606"/>
        <v>0</v>
      </c>
      <c r="P153" s="316">
        <f t="shared" ref="P153:Q153" si="609">+P116/20</f>
        <v>0</v>
      </c>
      <c r="Q153" s="316">
        <f t="shared" si="609"/>
        <v>0</v>
      </c>
      <c r="R153" s="319">
        <f t="shared" si="606"/>
        <v>0</v>
      </c>
      <c r="S153" s="320">
        <f t="shared" si="491"/>
        <v>0</v>
      </c>
      <c r="T153" s="320">
        <f t="shared" si="491"/>
        <v>0</v>
      </c>
      <c r="U153" s="320">
        <f t="shared" si="491"/>
        <v>0</v>
      </c>
      <c r="V153" s="320">
        <f t="shared" ref="V153" si="610">V116/20</f>
        <v>0</v>
      </c>
      <c r="W153" s="320">
        <f t="shared" si="491"/>
        <v>0</v>
      </c>
      <c r="X153" s="331">
        <f t="shared" si="491"/>
        <v>0</v>
      </c>
      <c r="Y153" s="315">
        <f t="shared" si="493"/>
        <v>0</v>
      </c>
      <c r="Z153" s="320">
        <f t="shared" si="493"/>
        <v>0</v>
      </c>
      <c r="AA153" s="320">
        <f t="shared" si="493"/>
        <v>0</v>
      </c>
      <c r="AB153" s="320">
        <f t="shared" si="493"/>
        <v>0</v>
      </c>
      <c r="AC153" s="331">
        <f t="shared" si="493"/>
        <v>0</v>
      </c>
      <c r="AD153" s="315">
        <f t="shared" si="493"/>
        <v>0</v>
      </c>
      <c r="AE153" s="316">
        <f t="shared" si="494"/>
        <v>0</v>
      </c>
      <c r="AF153" s="316">
        <f t="shared" si="495"/>
        <v>0</v>
      </c>
      <c r="AG153" s="316">
        <f t="shared" si="496"/>
        <v>0</v>
      </c>
      <c r="AH153" s="316">
        <f t="shared" si="497"/>
        <v>0</v>
      </c>
      <c r="AI153" s="316">
        <f t="shared" si="498"/>
        <v>0</v>
      </c>
      <c r="AJ153" s="316">
        <f t="shared" si="499"/>
        <v>0</v>
      </c>
      <c r="AK153" s="316">
        <f t="shared" si="500"/>
        <v>0</v>
      </c>
      <c r="AL153" s="316">
        <f t="shared" si="501"/>
        <v>0</v>
      </c>
      <c r="AM153" s="319">
        <f t="shared" si="502"/>
        <v>0</v>
      </c>
      <c r="AN153" s="315">
        <f t="shared" si="503"/>
        <v>0</v>
      </c>
      <c r="AO153" s="316">
        <f t="shared" si="504"/>
        <v>0</v>
      </c>
      <c r="AP153" s="320">
        <f t="shared" si="505"/>
        <v>0</v>
      </c>
      <c r="AQ153" s="316">
        <f t="shared" si="506"/>
        <v>0</v>
      </c>
      <c r="AR153" s="320">
        <f t="shared" si="507"/>
        <v>0</v>
      </c>
      <c r="AS153" s="316">
        <f t="shared" si="508"/>
        <v>0</v>
      </c>
      <c r="AT153" s="320">
        <f t="shared" si="509"/>
        <v>0</v>
      </c>
      <c r="AU153" s="321">
        <f t="shared" si="510"/>
        <v>0</v>
      </c>
      <c r="AV153" s="315">
        <f t="shared" ref="AV153:BF153" si="611">+AV116/20</f>
        <v>0</v>
      </c>
      <c r="AW153" s="316">
        <f t="shared" si="611"/>
        <v>0</v>
      </c>
      <c r="AX153" s="335">
        <f t="shared" si="611"/>
        <v>0</v>
      </c>
      <c r="AY153" s="319">
        <f t="shared" si="611"/>
        <v>0</v>
      </c>
      <c r="AZ153" s="315">
        <f t="shared" si="611"/>
        <v>0</v>
      </c>
      <c r="BA153" s="320">
        <f t="shared" si="611"/>
        <v>0</v>
      </c>
      <c r="BB153" s="320">
        <f t="shared" si="611"/>
        <v>0</v>
      </c>
      <c r="BC153" s="320">
        <f t="shared" si="611"/>
        <v>0</v>
      </c>
      <c r="BD153" s="320">
        <f t="shared" si="611"/>
        <v>0</v>
      </c>
      <c r="BE153" s="343">
        <f t="shared" si="611"/>
        <v>0</v>
      </c>
      <c r="BF153" s="315">
        <f t="shared" si="611"/>
        <v>0</v>
      </c>
      <c r="BG153" s="316">
        <f t="shared" si="523"/>
        <v>0</v>
      </c>
      <c r="BH153" s="316">
        <f t="shared" si="524"/>
        <v>0</v>
      </c>
      <c r="BI153" s="316">
        <f t="shared" ref="BI153" si="612">+BI116/20</f>
        <v>0</v>
      </c>
      <c r="BJ153" s="316">
        <f t="shared" si="526"/>
        <v>0</v>
      </c>
      <c r="BK153" s="316">
        <f t="shared" si="527"/>
        <v>0</v>
      </c>
      <c r="BL153" s="316">
        <f t="shared" ref="BL153" si="613">+BL116/20</f>
        <v>0</v>
      </c>
      <c r="BM153" s="316">
        <f t="shared" si="529"/>
        <v>0</v>
      </c>
      <c r="BN153" s="316">
        <f t="shared" si="530"/>
        <v>0</v>
      </c>
      <c r="BO153" s="316">
        <f t="shared" si="531"/>
        <v>0</v>
      </c>
      <c r="BP153" s="316">
        <f t="shared" si="532"/>
        <v>0</v>
      </c>
      <c r="BQ153" s="316">
        <f t="shared" si="533"/>
        <v>0</v>
      </c>
      <c r="BR153" s="316">
        <f t="shared" ref="BR153" si="614">+BR116/20</f>
        <v>0</v>
      </c>
      <c r="BS153" s="316">
        <f t="shared" si="535"/>
        <v>0</v>
      </c>
      <c r="BT153" s="316">
        <f t="shared" si="536"/>
        <v>0</v>
      </c>
      <c r="BU153" s="316">
        <f t="shared" ref="BU153" si="615">+BU116/20</f>
        <v>0</v>
      </c>
      <c r="BV153" s="316">
        <f t="shared" si="538"/>
        <v>0</v>
      </c>
      <c r="BW153" s="316">
        <f t="shared" si="539"/>
        <v>0</v>
      </c>
      <c r="BX153" s="316">
        <f t="shared" ref="BX153" si="616">+BX116/20</f>
        <v>0</v>
      </c>
      <c r="BY153" s="316">
        <f t="shared" si="541"/>
        <v>0</v>
      </c>
      <c r="BZ153" s="316">
        <f t="shared" si="542"/>
        <v>0</v>
      </c>
      <c r="CA153" s="316">
        <f t="shared" si="543"/>
        <v>0</v>
      </c>
      <c r="CB153" s="316">
        <f t="shared" si="544"/>
        <v>0</v>
      </c>
      <c r="CC153" s="319">
        <f t="shared" si="545"/>
        <v>0</v>
      </c>
      <c r="CD153" s="320">
        <f t="shared" si="513"/>
        <v>0</v>
      </c>
      <c r="CE153" s="320">
        <f t="shared" si="513"/>
        <v>0</v>
      </c>
      <c r="CF153" s="320">
        <f t="shared" si="513"/>
        <v>0</v>
      </c>
      <c r="CG153" s="320">
        <f t="shared" si="513"/>
        <v>0</v>
      </c>
      <c r="CH153" s="320">
        <f t="shared" si="513"/>
        <v>0</v>
      </c>
      <c r="CI153" s="331">
        <f t="shared" si="513"/>
        <v>0</v>
      </c>
      <c r="CJ153" s="320">
        <f t="shared" ref="CJ153:CO153" si="617">+CJ116/20</f>
        <v>0</v>
      </c>
      <c r="CK153" s="320">
        <f t="shared" si="617"/>
        <v>0</v>
      </c>
      <c r="CL153" s="320">
        <f t="shared" si="617"/>
        <v>0</v>
      </c>
      <c r="CM153" s="320">
        <f t="shared" si="617"/>
        <v>0</v>
      </c>
      <c r="CN153" s="320">
        <f t="shared" si="617"/>
        <v>0</v>
      </c>
      <c r="CO153" s="331">
        <f t="shared" si="617"/>
        <v>0</v>
      </c>
      <c r="CP153" s="320">
        <f t="shared" ref="CP153:CU153" si="618">+CP116/20</f>
        <v>0</v>
      </c>
      <c r="CQ153" s="320">
        <f t="shared" si="618"/>
        <v>0</v>
      </c>
      <c r="CR153" s="320">
        <f t="shared" si="618"/>
        <v>0</v>
      </c>
      <c r="CS153" s="320">
        <f t="shared" si="618"/>
        <v>0</v>
      </c>
      <c r="CT153" s="320">
        <f t="shared" si="618"/>
        <v>0</v>
      </c>
      <c r="CU153" s="331">
        <f t="shared" si="618"/>
        <v>0</v>
      </c>
      <c r="CV153" s="320">
        <f t="shared" ref="CV153:DA153" si="619">+CV116/20</f>
        <v>0</v>
      </c>
      <c r="CW153" s="320">
        <f t="shared" si="619"/>
        <v>0</v>
      </c>
      <c r="CX153" s="320">
        <f t="shared" si="619"/>
        <v>0</v>
      </c>
      <c r="CY153" s="320">
        <f t="shared" si="619"/>
        <v>0</v>
      </c>
      <c r="CZ153" s="320">
        <f t="shared" si="619"/>
        <v>0</v>
      </c>
      <c r="DA153" s="331">
        <f t="shared" si="619"/>
        <v>0</v>
      </c>
      <c r="DB153" s="344">
        <f t="shared" si="549"/>
        <v>0</v>
      </c>
    </row>
    <row r="154" spans="1:106" ht="15.75" thickBot="1">
      <c r="A154" s="239">
        <v>8</v>
      </c>
      <c r="B154" s="239">
        <f t="shared" ref="B154:R154" si="620">+B117/20</f>
        <v>0</v>
      </c>
      <c r="C154" s="277">
        <f t="shared" si="620"/>
        <v>0</v>
      </c>
      <c r="D154" s="277">
        <f t="shared" si="620"/>
        <v>0</v>
      </c>
      <c r="E154" s="277">
        <f t="shared" ref="E154:F154" si="621">+E117/20</f>
        <v>0</v>
      </c>
      <c r="F154" s="314">
        <f t="shared" si="621"/>
        <v>0</v>
      </c>
      <c r="G154" s="315">
        <f t="shared" si="620"/>
        <v>0</v>
      </c>
      <c r="H154" s="316">
        <f t="shared" si="620"/>
        <v>0</v>
      </c>
      <c r="I154" s="316">
        <f t="shared" si="620"/>
        <v>0</v>
      </c>
      <c r="J154" s="316">
        <f t="shared" si="620"/>
        <v>0</v>
      </c>
      <c r="K154" s="316">
        <f t="shared" si="620"/>
        <v>0</v>
      </c>
      <c r="L154" s="321">
        <f t="shared" ref="L154" si="622">+L117/20</f>
        <v>0</v>
      </c>
      <c r="M154" s="315">
        <f t="shared" si="620"/>
        <v>0</v>
      </c>
      <c r="N154" s="316">
        <f t="shared" si="620"/>
        <v>0</v>
      </c>
      <c r="O154" s="316">
        <f t="shared" si="620"/>
        <v>0</v>
      </c>
      <c r="P154" s="316">
        <f t="shared" ref="P154:Q154" si="623">+P117/20</f>
        <v>0</v>
      </c>
      <c r="Q154" s="316">
        <f t="shared" si="623"/>
        <v>0</v>
      </c>
      <c r="R154" s="319">
        <f t="shared" si="620"/>
        <v>0</v>
      </c>
      <c r="S154" s="320">
        <f t="shared" si="491"/>
        <v>0</v>
      </c>
      <c r="T154" s="320">
        <f t="shared" si="491"/>
        <v>0</v>
      </c>
      <c r="U154" s="320">
        <f t="shared" si="491"/>
        <v>0</v>
      </c>
      <c r="V154" s="320">
        <f t="shared" ref="V154" si="624">V117/20</f>
        <v>0</v>
      </c>
      <c r="W154" s="320">
        <f t="shared" si="491"/>
        <v>0</v>
      </c>
      <c r="X154" s="331">
        <f t="shared" si="491"/>
        <v>0</v>
      </c>
      <c r="Y154" s="315">
        <f t="shared" si="493"/>
        <v>0</v>
      </c>
      <c r="Z154" s="320">
        <f t="shared" si="493"/>
        <v>0</v>
      </c>
      <c r="AA154" s="320">
        <f t="shared" si="493"/>
        <v>0</v>
      </c>
      <c r="AB154" s="320">
        <f t="shared" si="493"/>
        <v>0</v>
      </c>
      <c r="AC154" s="331">
        <f t="shared" si="493"/>
        <v>0</v>
      </c>
      <c r="AD154" s="315">
        <f t="shared" si="493"/>
        <v>0</v>
      </c>
      <c r="AE154" s="316">
        <f t="shared" si="494"/>
        <v>0</v>
      </c>
      <c r="AF154" s="316">
        <f t="shared" si="495"/>
        <v>0</v>
      </c>
      <c r="AG154" s="316">
        <f t="shared" si="496"/>
        <v>0</v>
      </c>
      <c r="AH154" s="316">
        <f t="shared" si="497"/>
        <v>0</v>
      </c>
      <c r="AI154" s="316">
        <f t="shared" si="498"/>
        <v>0</v>
      </c>
      <c r="AJ154" s="316">
        <f t="shared" si="499"/>
        <v>0</v>
      </c>
      <c r="AK154" s="316">
        <f t="shared" si="500"/>
        <v>0</v>
      </c>
      <c r="AL154" s="316">
        <f t="shared" si="501"/>
        <v>0</v>
      </c>
      <c r="AM154" s="319">
        <f t="shared" si="502"/>
        <v>0</v>
      </c>
      <c r="AN154" s="315">
        <f t="shared" si="503"/>
        <v>0</v>
      </c>
      <c r="AO154" s="316">
        <f t="shared" si="504"/>
        <v>0</v>
      </c>
      <c r="AP154" s="320">
        <f t="shared" si="505"/>
        <v>0</v>
      </c>
      <c r="AQ154" s="316">
        <f t="shared" si="506"/>
        <v>0</v>
      </c>
      <c r="AR154" s="320">
        <f t="shared" si="507"/>
        <v>0</v>
      </c>
      <c r="AS154" s="316">
        <f t="shared" si="508"/>
        <v>0</v>
      </c>
      <c r="AT154" s="320">
        <f t="shared" si="509"/>
        <v>0</v>
      </c>
      <c r="AU154" s="321">
        <f t="shared" si="510"/>
        <v>0</v>
      </c>
      <c r="AV154" s="315">
        <f t="shared" ref="AV154:BF154" si="625">+AV117/20</f>
        <v>0</v>
      </c>
      <c r="AW154" s="316">
        <f t="shared" si="625"/>
        <v>0</v>
      </c>
      <c r="AX154" s="335">
        <f t="shared" si="625"/>
        <v>0</v>
      </c>
      <c r="AY154" s="319">
        <f t="shared" si="625"/>
        <v>0</v>
      </c>
      <c r="AZ154" s="315">
        <f t="shared" si="625"/>
        <v>0</v>
      </c>
      <c r="BA154" s="320">
        <f t="shared" si="625"/>
        <v>0</v>
      </c>
      <c r="BB154" s="320">
        <f t="shared" si="625"/>
        <v>0</v>
      </c>
      <c r="BC154" s="320">
        <f t="shared" si="625"/>
        <v>0</v>
      </c>
      <c r="BD154" s="320">
        <f t="shared" si="625"/>
        <v>0</v>
      </c>
      <c r="BE154" s="343">
        <f t="shared" si="625"/>
        <v>0</v>
      </c>
      <c r="BF154" s="315">
        <f t="shared" si="625"/>
        <v>0</v>
      </c>
      <c r="BG154" s="316">
        <f t="shared" si="523"/>
        <v>0</v>
      </c>
      <c r="BH154" s="316">
        <f t="shared" si="524"/>
        <v>0</v>
      </c>
      <c r="BI154" s="316">
        <f t="shared" ref="BI154" si="626">+BI117/20</f>
        <v>0</v>
      </c>
      <c r="BJ154" s="316">
        <f t="shared" si="526"/>
        <v>0</v>
      </c>
      <c r="BK154" s="316">
        <f t="shared" si="527"/>
        <v>0</v>
      </c>
      <c r="BL154" s="316">
        <f t="shared" ref="BL154" si="627">+BL117/20</f>
        <v>0</v>
      </c>
      <c r="BM154" s="316">
        <f t="shared" si="529"/>
        <v>0</v>
      </c>
      <c r="BN154" s="316">
        <f t="shared" si="530"/>
        <v>0</v>
      </c>
      <c r="BO154" s="316">
        <f t="shared" si="531"/>
        <v>0</v>
      </c>
      <c r="BP154" s="316">
        <f t="shared" si="532"/>
        <v>0</v>
      </c>
      <c r="BQ154" s="316">
        <f t="shared" si="533"/>
        <v>0</v>
      </c>
      <c r="BR154" s="316">
        <f t="shared" ref="BR154" si="628">+BR117/20</f>
        <v>0</v>
      </c>
      <c r="BS154" s="316">
        <f t="shared" si="535"/>
        <v>0</v>
      </c>
      <c r="BT154" s="316">
        <f t="shared" si="536"/>
        <v>0</v>
      </c>
      <c r="BU154" s="316">
        <f t="shared" ref="BU154" si="629">+BU117/20</f>
        <v>0</v>
      </c>
      <c r="BV154" s="316">
        <f t="shared" si="538"/>
        <v>0</v>
      </c>
      <c r="BW154" s="316">
        <f t="shared" si="539"/>
        <v>0</v>
      </c>
      <c r="BX154" s="316">
        <f t="shared" ref="BX154" si="630">+BX117/20</f>
        <v>0</v>
      </c>
      <c r="BY154" s="316">
        <f t="shared" si="541"/>
        <v>0</v>
      </c>
      <c r="BZ154" s="316">
        <f t="shared" si="542"/>
        <v>0</v>
      </c>
      <c r="CA154" s="316">
        <f t="shared" si="543"/>
        <v>0</v>
      </c>
      <c r="CB154" s="316">
        <f t="shared" si="544"/>
        <v>0</v>
      </c>
      <c r="CC154" s="319">
        <f t="shared" si="545"/>
        <v>0</v>
      </c>
      <c r="CD154" s="320">
        <f t="shared" si="513"/>
        <v>0</v>
      </c>
      <c r="CE154" s="320">
        <f t="shared" si="513"/>
        <v>0</v>
      </c>
      <c r="CF154" s="320">
        <f t="shared" si="513"/>
        <v>0</v>
      </c>
      <c r="CG154" s="320">
        <f t="shared" si="513"/>
        <v>0</v>
      </c>
      <c r="CH154" s="320">
        <f t="shared" si="513"/>
        <v>0</v>
      </c>
      <c r="CI154" s="331">
        <f t="shared" si="513"/>
        <v>0</v>
      </c>
      <c r="CJ154" s="320">
        <f t="shared" ref="CJ154:CO154" si="631">+CJ117/20</f>
        <v>0</v>
      </c>
      <c r="CK154" s="320">
        <f t="shared" si="631"/>
        <v>0</v>
      </c>
      <c r="CL154" s="320">
        <f t="shared" si="631"/>
        <v>0</v>
      </c>
      <c r="CM154" s="320">
        <f t="shared" si="631"/>
        <v>0</v>
      </c>
      <c r="CN154" s="320">
        <f t="shared" si="631"/>
        <v>0</v>
      </c>
      <c r="CO154" s="331">
        <f t="shared" si="631"/>
        <v>0</v>
      </c>
      <c r="CP154" s="320">
        <f t="shared" ref="CP154:CU154" si="632">+CP117/20</f>
        <v>0</v>
      </c>
      <c r="CQ154" s="320">
        <f t="shared" si="632"/>
        <v>0</v>
      </c>
      <c r="CR154" s="320">
        <f t="shared" si="632"/>
        <v>0</v>
      </c>
      <c r="CS154" s="320">
        <f t="shared" si="632"/>
        <v>0</v>
      </c>
      <c r="CT154" s="320">
        <f t="shared" si="632"/>
        <v>0</v>
      </c>
      <c r="CU154" s="331">
        <f t="shared" si="632"/>
        <v>0</v>
      </c>
      <c r="CV154" s="320">
        <f t="shared" ref="CV154:DA154" si="633">+CV117/20</f>
        <v>0</v>
      </c>
      <c r="CW154" s="320">
        <f t="shared" si="633"/>
        <v>0</v>
      </c>
      <c r="CX154" s="320">
        <f t="shared" si="633"/>
        <v>0</v>
      </c>
      <c r="CY154" s="320">
        <f t="shared" si="633"/>
        <v>0</v>
      </c>
      <c r="CZ154" s="320">
        <f t="shared" si="633"/>
        <v>0</v>
      </c>
      <c r="DA154" s="331">
        <f t="shared" si="633"/>
        <v>0</v>
      </c>
      <c r="DB154" s="344">
        <f t="shared" si="549"/>
        <v>0</v>
      </c>
    </row>
    <row r="155" spans="1:106" ht="15.75" thickBot="1">
      <c r="A155" s="239">
        <v>9</v>
      </c>
      <c r="B155" s="239">
        <f t="shared" ref="B155:R155" si="634">+B118/20</f>
        <v>0</v>
      </c>
      <c r="C155" s="277">
        <f t="shared" si="634"/>
        <v>0</v>
      </c>
      <c r="D155" s="277">
        <f t="shared" si="634"/>
        <v>0</v>
      </c>
      <c r="E155" s="277">
        <f t="shared" ref="E155:F155" si="635">+E118/20</f>
        <v>0</v>
      </c>
      <c r="F155" s="314">
        <f t="shared" si="635"/>
        <v>0</v>
      </c>
      <c r="G155" s="315">
        <f t="shared" si="634"/>
        <v>0</v>
      </c>
      <c r="H155" s="316">
        <f t="shared" si="634"/>
        <v>0</v>
      </c>
      <c r="I155" s="316">
        <f t="shared" si="634"/>
        <v>0</v>
      </c>
      <c r="J155" s="316">
        <f t="shared" si="634"/>
        <v>0</v>
      </c>
      <c r="K155" s="316">
        <f t="shared" si="634"/>
        <v>0</v>
      </c>
      <c r="L155" s="321">
        <f t="shared" ref="L155" si="636">+L118/20</f>
        <v>0</v>
      </c>
      <c r="M155" s="315">
        <f t="shared" si="634"/>
        <v>0</v>
      </c>
      <c r="N155" s="316">
        <f t="shared" si="634"/>
        <v>0</v>
      </c>
      <c r="O155" s="316">
        <f t="shared" si="634"/>
        <v>0</v>
      </c>
      <c r="P155" s="316">
        <f t="shared" ref="P155:Q155" si="637">+P118/20</f>
        <v>0</v>
      </c>
      <c r="Q155" s="316">
        <f t="shared" si="637"/>
        <v>0</v>
      </c>
      <c r="R155" s="319">
        <f t="shared" si="634"/>
        <v>0</v>
      </c>
      <c r="S155" s="320">
        <f t="shared" si="491"/>
        <v>0</v>
      </c>
      <c r="T155" s="320">
        <f t="shared" si="491"/>
        <v>0</v>
      </c>
      <c r="U155" s="320">
        <f t="shared" si="491"/>
        <v>0</v>
      </c>
      <c r="V155" s="320">
        <f t="shared" ref="V155" si="638">V118/20</f>
        <v>0</v>
      </c>
      <c r="W155" s="320">
        <f t="shared" si="491"/>
        <v>0</v>
      </c>
      <c r="X155" s="331">
        <f t="shared" si="491"/>
        <v>0</v>
      </c>
      <c r="Y155" s="315">
        <f t="shared" si="493"/>
        <v>0</v>
      </c>
      <c r="Z155" s="320">
        <f t="shared" si="493"/>
        <v>0</v>
      </c>
      <c r="AA155" s="320">
        <f t="shared" si="493"/>
        <v>0</v>
      </c>
      <c r="AB155" s="320">
        <f t="shared" si="493"/>
        <v>0</v>
      </c>
      <c r="AC155" s="331">
        <f t="shared" si="493"/>
        <v>0</v>
      </c>
      <c r="AD155" s="315">
        <f t="shared" si="493"/>
        <v>0</v>
      </c>
      <c r="AE155" s="316">
        <f t="shared" si="494"/>
        <v>0</v>
      </c>
      <c r="AF155" s="316">
        <f t="shared" si="495"/>
        <v>0</v>
      </c>
      <c r="AG155" s="316">
        <f t="shared" si="496"/>
        <v>0</v>
      </c>
      <c r="AH155" s="316">
        <f t="shared" si="497"/>
        <v>0</v>
      </c>
      <c r="AI155" s="316">
        <f t="shared" si="498"/>
        <v>0</v>
      </c>
      <c r="AJ155" s="316">
        <f t="shared" si="499"/>
        <v>0</v>
      </c>
      <c r="AK155" s="316">
        <f t="shared" si="500"/>
        <v>0</v>
      </c>
      <c r="AL155" s="316">
        <f t="shared" si="501"/>
        <v>0</v>
      </c>
      <c r="AM155" s="319">
        <f t="shared" si="502"/>
        <v>0</v>
      </c>
      <c r="AN155" s="315">
        <f t="shared" si="503"/>
        <v>0</v>
      </c>
      <c r="AO155" s="316">
        <f t="shared" si="504"/>
        <v>0</v>
      </c>
      <c r="AP155" s="320">
        <f t="shared" si="505"/>
        <v>0</v>
      </c>
      <c r="AQ155" s="316">
        <f t="shared" si="506"/>
        <v>0</v>
      </c>
      <c r="AR155" s="320">
        <f t="shared" si="507"/>
        <v>0</v>
      </c>
      <c r="AS155" s="316">
        <f t="shared" si="508"/>
        <v>0</v>
      </c>
      <c r="AT155" s="320">
        <f t="shared" si="509"/>
        <v>0</v>
      </c>
      <c r="AU155" s="321">
        <f t="shared" si="510"/>
        <v>0</v>
      </c>
      <c r="AV155" s="315">
        <f t="shared" ref="AV155:BF155" si="639">+AV118/20</f>
        <v>0</v>
      </c>
      <c r="AW155" s="316">
        <f t="shared" si="639"/>
        <v>0</v>
      </c>
      <c r="AX155" s="335">
        <f t="shared" si="639"/>
        <v>0</v>
      </c>
      <c r="AY155" s="319">
        <f t="shared" si="639"/>
        <v>0</v>
      </c>
      <c r="AZ155" s="315">
        <f t="shared" si="639"/>
        <v>0</v>
      </c>
      <c r="BA155" s="320">
        <f t="shared" si="639"/>
        <v>0</v>
      </c>
      <c r="BB155" s="320">
        <f t="shared" si="639"/>
        <v>0</v>
      </c>
      <c r="BC155" s="320">
        <f t="shared" si="639"/>
        <v>0</v>
      </c>
      <c r="BD155" s="320">
        <f t="shared" si="639"/>
        <v>0</v>
      </c>
      <c r="BE155" s="343">
        <f t="shared" si="639"/>
        <v>0</v>
      </c>
      <c r="BF155" s="315">
        <f t="shared" si="639"/>
        <v>0</v>
      </c>
      <c r="BG155" s="316">
        <f t="shared" si="523"/>
        <v>0</v>
      </c>
      <c r="BH155" s="316">
        <f t="shared" si="524"/>
        <v>0</v>
      </c>
      <c r="BI155" s="316">
        <f t="shared" ref="BI155" si="640">+BI118/20</f>
        <v>0</v>
      </c>
      <c r="BJ155" s="316">
        <f t="shared" si="526"/>
        <v>0</v>
      </c>
      <c r="BK155" s="316">
        <f t="shared" si="527"/>
        <v>0</v>
      </c>
      <c r="BL155" s="316">
        <f t="shared" ref="BL155" si="641">+BL118/20</f>
        <v>0</v>
      </c>
      <c r="BM155" s="316">
        <f t="shared" si="529"/>
        <v>0</v>
      </c>
      <c r="BN155" s="316">
        <f t="shared" si="530"/>
        <v>0</v>
      </c>
      <c r="BO155" s="316">
        <f t="shared" si="531"/>
        <v>0</v>
      </c>
      <c r="BP155" s="316">
        <f t="shared" si="532"/>
        <v>0</v>
      </c>
      <c r="BQ155" s="316">
        <f t="shared" si="533"/>
        <v>0</v>
      </c>
      <c r="BR155" s="316">
        <f t="shared" ref="BR155" si="642">+BR118/20</f>
        <v>0</v>
      </c>
      <c r="BS155" s="316">
        <f t="shared" si="535"/>
        <v>0</v>
      </c>
      <c r="BT155" s="316">
        <f t="shared" si="536"/>
        <v>0</v>
      </c>
      <c r="BU155" s="316">
        <f t="shared" ref="BU155" si="643">+BU118/20</f>
        <v>0</v>
      </c>
      <c r="BV155" s="316">
        <f t="shared" si="538"/>
        <v>0</v>
      </c>
      <c r="BW155" s="316">
        <f t="shared" si="539"/>
        <v>0</v>
      </c>
      <c r="BX155" s="316">
        <f t="shared" ref="BX155" si="644">+BX118/20</f>
        <v>0</v>
      </c>
      <c r="BY155" s="316">
        <f t="shared" si="541"/>
        <v>0</v>
      </c>
      <c r="BZ155" s="316">
        <f t="shared" si="542"/>
        <v>0</v>
      </c>
      <c r="CA155" s="316">
        <f t="shared" si="543"/>
        <v>0</v>
      </c>
      <c r="CB155" s="316">
        <f t="shared" si="544"/>
        <v>0</v>
      </c>
      <c r="CC155" s="319">
        <f t="shared" si="545"/>
        <v>0</v>
      </c>
      <c r="CD155" s="320">
        <f t="shared" si="513"/>
        <v>0</v>
      </c>
      <c r="CE155" s="320">
        <f t="shared" si="513"/>
        <v>0</v>
      </c>
      <c r="CF155" s="320">
        <f t="shared" si="513"/>
        <v>0</v>
      </c>
      <c r="CG155" s="320">
        <f t="shared" si="513"/>
        <v>0</v>
      </c>
      <c r="CH155" s="320">
        <f t="shared" si="513"/>
        <v>0</v>
      </c>
      <c r="CI155" s="331">
        <f t="shared" si="513"/>
        <v>0</v>
      </c>
      <c r="CJ155" s="320">
        <f t="shared" ref="CJ155:CO155" si="645">+CJ118/20</f>
        <v>0</v>
      </c>
      <c r="CK155" s="320">
        <f t="shared" si="645"/>
        <v>0</v>
      </c>
      <c r="CL155" s="320">
        <f t="shared" si="645"/>
        <v>0</v>
      </c>
      <c r="CM155" s="320">
        <f t="shared" si="645"/>
        <v>0</v>
      </c>
      <c r="CN155" s="320">
        <f t="shared" si="645"/>
        <v>0</v>
      </c>
      <c r="CO155" s="331">
        <f t="shared" si="645"/>
        <v>0</v>
      </c>
      <c r="CP155" s="320">
        <f t="shared" ref="CP155:CU155" si="646">+CP118/20</f>
        <v>0</v>
      </c>
      <c r="CQ155" s="320">
        <f t="shared" si="646"/>
        <v>0</v>
      </c>
      <c r="CR155" s="320">
        <f t="shared" si="646"/>
        <v>0</v>
      </c>
      <c r="CS155" s="320">
        <f t="shared" si="646"/>
        <v>0</v>
      </c>
      <c r="CT155" s="320">
        <f t="shared" si="646"/>
        <v>0</v>
      </c>
      <c r="CU155" s="331">
        <f t="shared" si="646"/>
        <v>0</v>
      </c>
      <c r="CV155" s="320">
        <f t="shared" ref="CV155:DA155" si="647">+CV118/20</f>
        <v>0</v>
      </c>
      <c r="CW155" s="320">
        <f t="shared" si="647"/>
        <v>0</v>
      </c>
      <c r="CX155" s="320">
        <f t="shared" si="647"/>
        <v>0</v>
      </c>
      <c r="CY155" s="320">
        <f t="shared" si="647"/>
        <v>0</v>
      </c>
      <c r="CZ155" s="320">
        <f t="shared" si="647"/>
        <v>0</v>
      </c>
      <c r="DA155" s="331">
        <f t="shared" si="647"/>
        <v>0</v>
      </c>
      <c r="DB155" s="344">
        <f t="shared" si="549"/>
        <v>0</v>
      </c>
    </row>
    <row r="156" spans="1:106" ht="15.75" thickBot="1">
      <c r="A156" s="239">
        <v>10</v>
      </c>
      <c r="B156" s="239">
        <f t="shared" ref="B156:R156" si="648">+B119/20</f>
        <v>0</v>
      </c>
      <c r="C156" s="277">
        <f t="shared" si="648"/>
        <v>0</v>
      </c>
      <c r="D156" s="277">
        <f t="shared" si="648"/>
        <v>0</v>
      </c>
      <c r="E156" s="277">
        <f t="shared" ref="E156:F156" si="649">+E119/20</f>
        <v>0</v>
      </c>
      <c r="F156" s="314">
        <f t="shared" si="649"/>
        <v>0</v>
      </c>
      <c r="G156" s="315">
        <f t="shared" si="648"/>
        <v>0</v>
      </c>
      <c r="H156" s="316">
        <f t="shared" si="648"/>
        <v>0</v>
      </c>
      <c r="I156" s="316">
        <f t="shared" si="648"/>
        <v>0</v>
      </c>
      <c r="J156" s="316">
        <f t="shared" si="648"/>
        <v>0</v>
      </c>
      <c r="K156" s="316">
        <f t="shared" si="648"/>
        <v>0</v>
      </c>
      <c r="L156" s="321">
        <f t="shared" ref="L156" si="650">+L119/20</f>
        <v>0</v>
      </c>
      <c r="M156" s="315">
        <f t="shared" si="648"/>
        <v>0</v>
      </c>
      <c r="N156" s="316">
        <f t="shared" si="648"/>
        <v>0</v>
      </c>
      <c r="O156" s="316">
        <f t="shared" si="648"/>
        <v>0</v>
      </c>
      <c r="P156" s="316">
        <f t="shared" ref="P156:Q156" si="651">+P119/20</f>
        <v>0</v>
      </c>
      <c r="Q156" s="316">
        <f t="shared" si="651"/>
        <v>0</v>
      </c>
      <c r="R156" s="319">
        <f t="shared" si="648"/>
        <v>0</v>
      </c>
      <c r="S156" s="320">
        <f t="shared" si="491"/>
        <v>0</v>
      </c>
      <c r="T156" s="320">
        <f t="shared" si="491"/>
        <v>0</v>
      </c>
      <c r="U156" s="320">
        <f t="shared" si="491"/>
        <v>0</v>
      </c>
      <c r="V156" s="320">
        <f t="shared" ref="V156" si="652">V119/20</f>
        <v>0</v>
      </c>
      <c r="W156" s="320">
        <f t="shared" si="491"/>
        <v>0</v>
      </c>
      <c r="X156" s="331">
        <f t="shared" si="491"/>
        <v>0</v>
      </c>
      <c r="Y156" s="315">
        <f t="shared" si="493"/>
        <v>0</v>
      </c>
      <c r="Z156" s="320">
        <f t="shared" si="493"/>
        <v>0</v>
      </c>
      <c r="AA156" s="320">
        <f t="shared" si="493"/>
        <v>0</v>
      </c>
      <c r="AB156" s="320">
        <f t="shared" si="493"/>
        <v>0</v>
      </c>
      <c r="AC156" s="331">
        <f t="shared" si="493"/>
        <v>0</v>
      </c>
      <c r="AD156" s="315">
        <f t="shared" si="493"/>
        <v>0</v>
      </c>
      <c r="AE156" s="316">
        <f t="shared" si="494"/>
        <v>0</v>
      </c>
      <c r="AF156" s="316">
        <f t="shared" si="495"/>
        <v>0</v>
      </c>
      <c r="AG156" s="316">
        <f t="shared" si="496"/>
        <v>0</v>
      </c>
      <c r="AH156" s="316">
        <f t="shared" si="497"/>
        <v>0</v>
      </c>
      <c r="AI156" s="316">
        <f t="shared" si="498"/>
        <v>0</v>
      </c>
      <c r="AJ156" s="316">
        <f t="shared" si="499"/>
        <v>0</v>
      </c>
      <c r="AK156" s="316">
        <f t="shared" si="500"/>
        <v>0</v>
      </c>
      <c r="AL156" s="316">
        <f t="shared" si="501"/>
        <v>0</v>
      </c>
      <c r="AM156" s="319">
        <f t="shared" si="502"/>
        <v>0</v>
      </c>
      <c r="AN156" s="315">
        <f t="shared" si="503"/>
        <v>0</v>
      </c>
      <c r="AO156" s="316">
        <f t="shared" si="504"/>
        <v>0</v>
      </c>
      <c r="AP156" s="320">
        <f t="shared" si="505"/>
        <v>0</v>
      </c>
      <c r="AQ156" s="316">
        <f t="shared" si="506"/>
        <v>0</v>
      </c>
      <c r="AR156" s="320">
        <f t="shared" si="507"/>
        <v>0</v>
      </c>
      <c r="AS156" s="316">
        <f t="shared" si="508"/>
        <v>0</v>
      </c>
      <c r="AT156" s="320">
        <f t="shared" si="509"/>
        <v>0</v>
      </c>
      <c r="AU156" s="321">
        <f t="shared" si="510"/>
        <v>0</v>
      </c>
      <c r="AV156" s="315">
        <f t="shared" ref="AV156:BF156" si="653">+AV119/20</f>
        <v>0</v>
      </c>
      <c r="AW156" s="316">
        <f t="shared" si="653"/>
        <v>0</v>
      </c>
      <c r="AX156" s="335">
        <f t="shared" si="653"/>
        <v>0</v>
      </c>
      <c r="AY156" s="319">
        <f t="shared" si="653"/>
        <v>0</v>
      </c>
      <c r="AZ156" s="315">
        <f t="shared" si="653"/>
        <v>0</v>
      </c>
      <c r="BA156" s="320">
        <f t="shared" si="653"/>
        <v>0</v>
      </c>
      <c r="BB156" s="320">
        <f t="shared" si="653"/>
        <v>0</v>
      </c>
      <c r="BC156" s="320">
        <f t="shared" si="653"/>
        <v>0</v>
      </c>
      <c r="BD156" s="320">
        <f t="shared" si="653"/>
        <v>0</v>
      </c>
      <c r="BE156" s="343">
        <f t="shared" si="653"/>
        <v>0</v>
      </c>
      <c r="BF156" s="315">
        <f t="shared" si="653"/>
        <v>0</v>
      </c>
      <c r="BG156" s="316">
        <f t="shared" si="523"/>
        <v>0</v>
      </c>
      <c r="BH156" s="316">
        <f t="shared" si="524"/>
        <v>0</v>
      </c>
      <c r="BI156" s="316">
        <f t="shared" ref="BI156" si="654">+BI119/20</f>
        <v>0</v>
      </c>
      <c r="BJ156" s="316">
        <f t="shared" si="526"/>
        <v>0</v>
      </c>
      <c r="BK156" s="316">
        <f t="shared" si="527"/>
        <v>0</v>
      </c>
      <c r="BL156" s="316">
        <f t="shared" ref="BL156" si="655">+BL119/20</f>
        <v>0</v>
      </c>
      <c r="BM156" s="316">
        <f t="shared" si="529"/>
        <v>0</v>
      </c>
      <c r="BN156" s="316">
        <f t="shared" si="530"/>
        <v>0</v>
      </c>
      <c r="BO156" s="316">
        <f t="shared" si="531"/>
        <v>0</v>
      </c>
      <c r="BP156" s="316">
        <f t="shared" si="532"/>
        <v>0</v>
      </c>
      <c r="BQ156" s="316">
        <f t="shared" si="533"/>
        <v>0</v>
      </c>
      <c r="BR156" s="316">
        <f t="shared" ref="BR156" si="656">+BR119/20</f>
        <v>0</v>
      </c>
      <c r="BS156" s="316">
        <f t="shared" si="535"/>
        <v>0</v>
      </c>
      <c r="BT156" s="316">
        <f t="shared" si="536"/>
        <v>0</v>
      </c>
      <c r="BU156" s="316">
        <f t="shared" ref="BU156" si="657">+BU119/20</f>
        <v>0</v>
      </c>
      <c r="BV156" s="316">
        <f t="shared" si="538"/>
        <v>0</v>
      </c>
      <c r="BW156" s="316">
        <f t="shared" si="539"/>
        <v>0</v>
      </c>
      <c r="BX156" s="316">
        <f t="shared" ref="BX156" si="658">+BX119/20</f>
        <v>0</v>
      </c>
      <c r="BY156" s="316">
        <f t="shared" si="541"/>
        <v>0</v>
      </c>
      <c r="BZ156" s="316">
        <f t="shared" si="542"/>
        <v>0</v>
      </c>
      <c r="CA156" s="316">
        <f t="shared" si="543"/>
        <v>0</v>
      </c>
      <c r="CB156" s="316">
        <f t="shared" si="544"/>
        <v>0</v>
      </c>
      <c r="CC156" s="319">
        <f t="shared" si="545"/>
        <v>0</v>
      </c>
      <c r="CD156" s="320">
        <f t="shared" si="513"/>
        <v>0</v>
      </c>
      <c r="CE156" s="320">
        <f t="shared" si="513"/>
        <v>0</v>
      </c>
      <c r="CF156" s="320">
        <f t="shared" si="513"/>
        <v>0</v>
      </c>
      <c r="CG156" s="320">
        <f t="shared" si="513"/>
        <v>0</v>
      </c>
      <c r="CH156" s="320">
        <f t="shared" si="513"/>
        <v>0</v>
      </c>
      <c r="CI156" s="331">
        <f t="shared" si="513"/>
        <v>0</v>
      </c>
      <c r="CJ156" s="320">
        <f t="shared" ref="CJ156:CO156" si="659">+CJ119/20</f>
        <v>0</v>
      </c>
      <c r="CK156" s="320">
        <f t="shared" si="659"/>
        <v>0</v>
      </c>
      <c r="CL156" s="320">
        <f t="shared" si="659"/>
        <v>0</v>
      </c>
      <c r="CM156" s="320">
        <f t="shared" si="659"/>
        <v>0</v>
      </c>
      <c r="CN156" s="320">
        <f t="shared" si="659"/>
        <v>0</v>
      </c>
      <c r="CO156" s="331">
        <f t="shared" si="659"/>
        <v>0</v>
      </c>
      <c r="CP156" s="320">
        <f t="shared" ref="CP156:CU156" si="660">+CP119/20</f>
        <v>0</v>
      </c>
      <c r="CQ156" s="320">
        <f t="shared" si="660"/>
        <v>0</v>
      </c>
      <c r="CR156" s="320">
        <f t="shared" si="660"/>
        <v>0</v>
      </c>
      <c r="CS156" s="320">
        <f t="shared" si="660"/>
        <v>0</v>
      </c>
      <c r="CT156" s="320">
        <f t="shared" si="660"/>
        <v>0</v>
      </c>
      <c r="CU156" s="331">
        <f t="shared" si="660"/>
        <v>0</v>
      </c>
      <c r="CV156" s="320">
        <f t="shared" ref="CV156:DA156" si="661">+CV119/20</f>
        <v>0</v>
      </c>
      <c r="CW156" s="320">
        <f t="shared" si="661"/>
        <v>0</v>
      </c>
      <c r="CX156" s="320">
        <f t="shared" si="661"/>
        <v>0</v>
      </c>
      <c r="CY156" s="320">
        <f t="shared" si="661"/>
        <v>0</v>
      </c>
      <c r="CZ156" s="320">
        <f t="shared" si="661"/>
        <v>0</v>
      </c>
      <c r="DA156" s="331">
        <f t="shared" si="661"/>
        <v>0</v>
      </c>
      <c r="DB156" s="344">
        <f t="shared" si="549"/>
        <v>0</v>
      </c>
    </row>
    <row r="157" spans="1:106" ht="15.75" thickBot="1">
      <c r="A157" s="239">
        <v>11</v>
      </c>
      <c r="B157" s="239">
        <f t="shared" ref="B157:R157" si="662">+B120/20</f>
        <v>0</v>
      </c>
      <c r="C157" s="277">
        <f t="shared" si="662"/>
        <v>0</v>
      </c>
      <c r="D157" s="277">
        <f t="shared" si="662"/>
        <v>0</v>
      </c>
      <c r="E157" s="277">
        <f t="shared" ref="E157:F157" si="663">+E120/20</f>
        <v>0</v>
      </c>
      <c r="F157" s="314">
        <f t="shared" si="663"/>
        <v>0</v>
      </c>
      <c r="G157" s="315">
        <f t="shared" si="662"/>
        <v>0</v>
      </c>
      <c r="H157" s="316">
        <f t="shared" si="662"/>
        <v>0</v>
      </c>
      <c r="I157" s="316">
        <f t="shared" si="662"/>
        <v>0</v>
      </c>
      <c r="J157" s="316">
        <f t="shared" si="662"/>
        <v>0</v>
      </c>
      <c r="K157" s="316">
        <f t="shared" si="662"/>
        <v>0</v>
      </c>
      <c r="L157" s="321">
        <f t="shared" ref="L157" si="664">+L120/20</f>
        <v>0</v>
      </c>
      <c r="M157" s="315">
        <f t="shared" si="662"/>
        <v>0</v>
      </c>
      <c r="N157" s="316">
        <f t="shared" si="662"/>
        <v>0</v>
      </c>
      <c r="O157" s="316">
        <f t="shared" si="662"/>
        <v>0</v>
      </c>
      <c r="P157" s="316">
        <f t="shared" ref="P157:Q157" si="665">+P120/20</f>
        <v>0</v>
      </c>
      <c r="Q157" s="316">
        <f t="shared" si="665"/>
        <v>0</v>
      </c>
      <c r="R157" s="319">
        <f t="shared" si="662"/>
        <v>0</v>
      </c>
      <c r="S157" s="320">
        <f t="shared" ref="S157:X166" si="666">S120/20</f>
        <v>0</v>
      </c>
      <c r="T157" s="320">
        <f t="shared" si="666"/>
        <v>0</v>
      </c>
      <c r="U157" s="320">
        <f t="shared" si="666"/>
        <v>0</v>
      </c>
      <c r="V157" s="320">
        <f t="shared" ref="V157" si="667">V120/20</f>
        <v>0</v>
      </c>
      <c r="W157" s="320">
        <f t="shared" si="666"/>
        <v>0</v>
      </c>
      <c r="X157" s="331">
        <f t="shared" si="666"/>
        <v>0</v>
      </c>
      <c r="Y157" s="315">
        <f t="shared" ref="Y157:AD166" si="668">+Y120/20</f>
        <v>0</v>
      </c>
      <c r="Z157" s="320">
        <f t="shared" si="668"/>
        <v>0</v>
      </c>
      <c r="AA157" s="320">
        <f t="shared" si="668"/>
        <v>0</v>
      </c>
      <c r="AB157" s="320">
        <f t="shared" si="668"/>
        <v>0</v>
      </c>
      <c r="AC157" s="331">
        <f t="shared" si="668"/>
        <v>0</v>
      </c>
      <c r="AD157" s="315">
        <f t="shared" si="668"/>
        <v>0</v>
      </c>
      <c r="AE157" s="316">
        <f t="shared" si="494"/>
        <v>0</v>
      </c>
      <c r="AF157" s="316">
        <f t="shared" si="495"/>
        <v>0</v>
      </c>
      <c r="AG157" s="316">
        <f t="shared" si="496"/>
        <v>0</v>
      </c>
      <c r="AH157" s="316">
        <f t="shared" si="497"/>
        <v>0</v>
      </c>
      <c r="AI157" s="316">
        <f t="shared" si="498"/>
        <v>0</v>
      </c>
      <c r="AJ157" s="316">
        <f t="shared" si="499"/>
        <v>0</v>
      </c>
      <c r="AK157" s="316">
        <f t="shared" si="500"/>
        <v>0</v>
      </c>
      <c r="AL157" s="316">
        <f t="shared" si="501"/>
        <v>0</v>
      </c>
      <c r="AM157" s="319">
        <f t="shared" si="502"/>
        <v>0</v>
      </c>
      <c r="AN157" s="315">
        <f t="shared" si="503"/>
        <v>0</v>
      </c>
      <c r="AO157" s="316">
        <f t="shared" si="504"/>
        <v>0</v>
      </c>
      <c r="AP157" s="320">
        <f t="shared" si="505"/>
        <v>0</v>
      </c>
      <c r="AQ157" s="316">
        <f t="shared" si="506"/>
        <v>0</v>
      </c>
      <c r="AR157" s="320">
        <f t="shared" si="507"/>
        <v>0</v>
      </c>
      <c r="AS157" s="316">
        <f t="shared" si="508"/>
        <v>0</v>
      </c>
      <c r="AT157" s="320">
        <f t="shared" si="509"/>
        <v>0</v>
      </c>
      <c r="AU157" s="321">
        <f t="shared" si="510"/>
        <v>0</v>
      </c>
      <c r="AV157" s="315">
        <f t="shared" ref="AV157:BF157" si="669">+AV120/20</f>
        <v>0</v>
      </c>
      <c r="AW157" s="316">
        <f t="shared" si="669"/>
        <v>0</v>
      </c>
      <c r="AX157" s="335">
        <f t="shared" si="669"/>
        <v>0</v>
      </c>
      <c r="AY157" s="319">
        <f t="shared" si="669"/>
        <v>0</v>
      </c>
      <c r="AZ157" s="315">
        <f t="shared" si="669"/>
        <v>0</v>
      </c>
      <c r="BA157" s="320">
        <f t="shared" si="669"/>
        <v>0</v>
      </c>
      <c r="BB157" s="320">
        <f t="shared" si="669"/>
        <v>0</v>
      </c>
      <c r="BC157" s="320">
        <f t="shared" si="669"/>
        <v>0</v>
      </c>
      <c r="BD157" s="320">
        <f t="shared" si="669"/>
        <v>0</v>
      </c>
      <c r="BE157" s="343">
        <f t="shared" si="669"/>
        <v>0</v>
      </c>
      <c r="BF157" s="315">
        <f t="shared" si="669"/>
        <v>0</v>
      </c>
      <c r="BG157" s="316">
        <f t="shared" si="523"/>
        <v>0</v>
      </c>
      <c r="BH157" s="316">
        <f t="shared" si="524"/>
        <v>0</v>
      </c>
      <c r="BI157" s="316">
        <f t="shared" ref="BI157" si="670">+BI120/20</f>
        <v>0</v>
      </c>
      <c r="BJ157" s="316">
        <f t="shared" si="526"/>
        <v>0</v>
      </c>
      <c r="BK157" s="316">
        <f t="shared" si="527"/>
        <v>0</v>
      </c>
      <c r="BL157" s="316">
        <f t="shared" ref="BL157" si="671">+BL120/20</f>
        <v>0</v>
      </c>
      <c r="BM157" s="316">
        <f t="shared" si="529"/>
        <v>0</v>
      </c>
      <c r="BN157" s="316">
        <f t="shared" si="530"/>
        <v>0</v>
      </c>
      <c r="BO157" s="316">
        <f t="shared" si="531"/>
        <v>0</v>
      </c>
      <c r="BP157" s="316">
        <f t="shared" si="532"/>
        <v>0</v>
      </c>
      <c r="BQ157" s="316">
        <f t="shared" si="533"/>
        <v>0</v>
      </c>
      <c r="BR157" s="316">
        <f t="shared" ref="BR157" si="672">+BR120/20</f>
        <v>0</v>
      </c>
      <c r="BS157" s="316">
        <f t="shared" si="535"/>
        <v>0</v>
      </c>
      <c r="BT157" s="316">
        <f t="shared" si="536"/>
        <v>0</v>
      </c>
      <c r="BU157" s="316">
        <f t="shared" ref="BU157" si="673">+BU120/20</f>
        <v>0</v>
      </c>
      <c r="BV157" s="316">
        <f t="shared" si="538"/>
        <v>0</v>
      </c>
      <c r="BW157" s="316">
        <f t="shared" si="539"/>
        <v>0</v>
      </c>
      <c r="BX157" s="316">
        <f t="shared" ref="BX157" si="674">+BX120/20</f>
        <v>0</v>
      </c>
      <c r="BY157" s="316">
        <f t="shared" si="541"/>
        <v>0</v>
      </c>
      <c r="BZ157" s="316">
        <f t="shared" si="542"/>
        <v>0</v>
      </c>
      <c r="CA157" s="316">
        <f t="shared" si="543"/>
        <v>0</v>
      </c>
      <c r="CB157" s="316">
        <f t="shared" si="544"/>
        <v>0</v>
      </c>
      <c r="CC157" s="319">
        <f t="shared" si="545"/>
        <v>0</v>
      </c>
      <c r="CD157" s="320">
        <f t="shared" ref="CD157:CI166" si="675">+CD120/20</f>
        <v>0</v>
      </c>
      <c r="CE157" s="320">
        <f t="shared" si="675"/>
        <v>0</v>
      </c>
      <c r="CF157" s="320">
        <f t="shared" si="675"/>
        <v>0</v>
      </c>
      <c r="CG157" s="320">
        <f t="shared" si="675"/>
        <v>0</v>
      </c>
      <c r="CH157" s="320">
        <f t="shared" si="675"/>
        <v>0</v>
      </c>
      <c r="CI157" s="331">
        <f t="shared" si="675"/>
        <v>0</v>
      </c>
      <c r="CJ157" s="320">
        <f t="shared" ref="CJ157:CO157" si="676">+CJ120/20</f>
        <v>0</v>
      </c>
      <c r="CK157" s="320">
        <f t="shared" si="676"/>
        <v>0</v>
      </c>
      <c r="CL157" s="320">
        <f t="shared" si="676"/>
        <v>0</v>
      </c>
      <c r="CM157" s="320">
        <f t="shared" si="676"/>
        <v>0</v>
      </c>
      <c r="CN157" s="320">
        <f t="shared" si="676"/>
        <v>0</v>
      </c>
      <c r="CO157" s="331">
        <f t="shared" si="676"/>
        <v>0</v>
      </c>
      <c r="CP157" s="320">
        <f t="shared" ref="CP157:CU157" si="677">+CP120/20</f>
        <v>0</v>
      </c>
      <c r="CQ157" s="320">
        <f t="shared" si="677"/>
        <v>0</v>
      </c>
      <c r="CR157" s="320">
        <f t="shared" si="677"/>
        <v>0</v>
      </c>
      <c r="CS157" s="320">
        <f t="shared" si="677"/>
        <v>0</v>
      </c>
      <c r="CT157" s="320">
        <f t="shared" si="677"/>
        <v>0</v>
      </c>
      <c r="CU157" s="331">
        <f t="shared" si="677"/>
        <v>0</v>
      </c>
      <c r="CV157" s="320">
        <f t="shared" ref="CV157:DA157" si="678">+CV120/20</f>
        <v>0</v>
      </c>
      <c r="CW157" s="320">
        <f t="shared" si="678"/>
        <v>0</v>
      </c>
      <c r="CX157" s="320">
        <f t="shared" si="678"/>
        <v>0</v>
      </c>
      <c r="CY157" s="320">
        <f t="shared" si="678"/>
        <v>0</v>
      </c>
      <c r="CZ157" s="320">
        <f t="shared" si="678"/>
        <v>0</v>
      </c>
      <c r="DA157" s="331">
        <f t="shared" si="678"/>
        <v>0</v>
      </c>
      <c r="DB157" s="344">
        <f t="shared" si="549"/>
        <v>0</v>
      </c>
    </row>
    <row r="158" spans="1:106" ht="15.75" thickBot="1">
      <c r="A158" s="239">
        <v>12</v>
      </c>
      <c r="B158" s="239">
        <f t="shared" ref="B158:R158" si="679">+B121/20</f>
        <v>0</v>
      </c>
      <c r="C158" s="277">
        <f t="shared" si="679"/>
        <v>0</v>
      </c>
      <c r="D158" s="277">
        <f t="shared" si="679"/>
        <v>0</v>
      </c>
      <c r="E158" s="277">
        <f t="shared" ref="E158:F158" si="680">+E121/20</f>
        <v>0</v>
      </c>
      <c r="F158" s="314">
        <f t="shared" si="680"/>
        <v>0</v>
      </c>
      <c r="G158" s="315">
        <f t="shared" si="679"/>
        <v>0</v>
      </c>
      <c r="H158" s="316">
        <f t="shared" si="679"/>
        <v>0</v>
      </c>
      <c r="I158" s="316">
        <f t="shared" si="679"/>
        <v>0</v>
      </c>
      <c r="J158" s="316">
        <f t="shared" si="679"/>
        <v>0</v>
      </c>
      <c r="K158" s="316">
        <f t="shared" si="679"/>
        <v>0</v>
      </c>
      <c r="L158" s="321">
        <f t="shared" ref="L158" si="681">+L121/20</f>
        <v>0</v>
      </c>
      <c r="M158" s="315">
        <f t="shared" si="679"/>
        <v>0</v>
      </c>
      <c r="N158" s="316">
        <f t="shared" si="679"/>
        <v>0</v>
      </c>
      <c r="O158" s="316">
        <f t="shared" si="679"/>
        <v>0</v>
      </c>
      <c r="P158" s="316">
        <f t="shared" ref="P158:Q158" si="682">+P121/20</f>
        <v>0</v>
      </c>
      <c r="Q158" s="316">
        <f t="shared" si="682"/>
        <v>0</v>
      </c>
      <c r="R158" s="319">
        <f t="shared" si="679"/>
        <v>0</v>
      </c>
      <c r="S158" s="320">
        <f t="shared" si="666"/>
        <v>0</v>
      </c>
      <c r="T158" s="320">
        <f t="shared" si="666"/>
        <v>0</v>
      </c>
      <c r="U158" s="320">
        <f t="shared" si="666"/>
        <v>0</v>
      </c>
      <c r="V158" s="320">
        <f t="shared" ref="V158" si="683">V121/20</f>
        <v>0</v>
      </c>
      <c r="W158" s="320">
        <f t="shared" si="666"/>
        <v>0</v>
      </c>
      <c r="X158" s="331">
        <f t="shared" si="666"/>
        <v>0</v>
      </c>
      <c r="Y158" s="315">
        <f t="shared" si="668"/>
        <v>0</v>
      </c>
      <c r="Z158" s="320">
        <f t="shared" si="668"/>
        <v>0</v>
      </c>
      <c r="AA158" s="320">
        <f t="shared" si="668"/>
        <v>0</v>
      </c>
      <c r="AB158" s="320">
        <f t="shared" si="668"/>
        <v>0</v>
      </c>
      <c r="AC158" s="331">
        <f t="shared" si="668"/>
        <v>0</v>
      </c>
      <c r="AD158" s="315">
        <f t="shared" si="668"/>
        <v>0</v>
      </c>
      <c r="AE158" s="316">
        <f t="shared" si="494"/>
        <v>0</v>
      </c>
      <c r="AF158" s="316">
        <f t="shared" si="495"/>
        <v>0</v>
      </c>
      <c r="AG158" s="316">
        <f t="shared" si="496"/>
        <v>0</v>
      </c>
      <c r="AH158" s="316">
        <f t="shared" si="497"/>
        <v>0</v>
      </c>
      <c r="AI158" s="316">
        <f t="shared" si="498"/>
        <v>0</v>
      </c>
      <c r="AJ158" s="316">
        <f t="shared" si="499"/>
        <v>0</v>
      </c>
      <c r="AK158" s="316">
        <f t="shared" si="500"/>
        <v>0</v>
      </c>
      <c r="AL158" s="316">
        <f t="shared" si="501"/>
        <v>0</v>
      </c>
      <c r="AM158" s="319">
        <f t="shared" si="502"/>
        <v>0</v>
      </c>
      <c r="AN158" s="315">
        <f t="shared" si="503"/>
        <v>0</v>
      </c>
      <c r="AO158" s="316">
        <f t="shared" si="504"/>
        <v>0</v>
      </c>
      <c r="AP158" s="320">
        <f t="shared" si="505"/>
        <v>0</v>
      </c>
      <c r="AQ158" s="316">
        <f t="shared" si="506"/>
        <v>0</v>
      </c>
      <c r="AR158" s="320">
        <f t="shared" si="507"/>
        <v>0</v>
      </c>
      <c r="AS158" s="316">
        <f t="shared" si="508"/>
        <v>0</v>
      </c>
      <c r="AT158" s="320">
        <f t="shared" si="509"/>
        <v>0</v>
      </c>
      <c r="AU158" s="321">
        <f t="shared" si="510"/>
        <v>0</v>
      </c>
      <c r="AV158" s="315">
        <f t="shared" ref="AV158:BF158" si="684">+AV121/20</f>
        <v>0</v>
      </c>
      <c r="AW158" s="316">
        <f t="shared" si="684"/>
        <v>0</v>
      </c>
      <c r="AX158" s="335">
        <f t="shared" si="684"/>
        <v>0</v>
      </c>
      <c r="AY158" s="319">
        <f t="shared" si="684"/>
        <v>0</v>
      </c>
      <c r="AZ158" s="315">
        <f t="shared" si="684"/>
        <v>0</v>
      </c>
      <c r="BA158" s="320">
        <f t="shared" si="684"/>
        <v>0</v>
      </c>
      <c r="BB158" s="320">
        <f t="shared" si="684"/>
        <v>0</v>
      </c>
      <c r="BC158" s="320">
        <f t="shared" si="684"/>
        <v>0</v>
      </c>
      <c r="BD158" s="320">
        <f t="shared" si="684"/>
        <v>0</v>
      </c>
      <c r="BE158" s="343">
        <f t="shared" si="684"/>
        <v>0</v>
      </c>
      <c r="BF158" s="315">
        <f t="shared" si="684"/>
        <v>0</v>
      </c>
      <c r="BG158" s="316">
        <f t="shared" si="523"/>
        <v>0</v>
      </c>
      <c r="BH158" s="316">
        <f t="shared" si="524"/>
        <v>0</v>
      </c>
      <c r="BI158" s="316">
        <f t="shared" ref="BI158" si="685">+BI121/20</f>
        <v>0</v>
      </c>
      <c r="BJ158" s="316">
        <f t="shared" si="526"/>
        <v>0</v>
      </c>
      <c r="BK158" s="316">
        <f t="shared" si="527"/>
        <v>0</v>
      </c>
      <c r="BL158" s="316">
        <f t="shared" ref="BL158" si="686">+BL121/20</f>
        <v>0</v>
      </c>
      <c r="BM158" s="316">
        <f t="shared" si="529"/>
        <v>0</v>
      </c>
      <c r="BN158" s="316">
        <f t="shared" si="530"/>
        <v>0</v>
      </c>
      <c r="BO158" s="316">
        <f t="shared" si="531"/>
        <v>0</v>
      </c>
      <c r="BP158" s="316">
        <f t="shared" si="532"/>
        <v>0</v>
      </c>
      <c r="BQ158" s="316">
        <f t="shared" si="533"/>
        <v>0</v>
      </c>
      <c r="BR158" s="316">
        <f t="shared" ref="BR158" si="687">+BR121/20</f>
        <v>0</v>
      </c>
      <c r="BS158" s="316">
        <f t="shared" si="535"/>
        <v>0</v>
      </c>
      <c r="BT158" s="316">
        <f t="shared" si="536"/>
        <v>0</v>
      </c>
      <c r="BU158" s="316">
        <f t="shared" ref="BU158" si="688">+BU121/20</f>
        <v>0</v>
      </c>
      <c r="BV158" s="316">
        <f t="shared" si="538"/>
        <v>0</v>
      </c>
      <c r="BW158" s="316">
        <f t="shared" si="539"/>
        <v>0</v>
      </c>
      <c r="BX158" s="316">
        <f t="shared" ref="BX158" si="689">+BX121/20</f>
        <v>0</v>
      </c>
      <c r="BY158" s="316">
        <f t="shared" si="541"/>
        <v>0</v>
      </c>
      <c r="BZ158" s="316">
        <f t="shared" si="542"/>
        <v>0</v>
      </c>
      <c r="CA158" s="316">
        <f t="shared" si="543"/>
        <v>0</v>
      </c>
      <c r="CB158" s="316">
        <f t="shared" si="544"/>
        <v>0</v>
      </c>
      <c r="CC158" s="319">
        <f t="shared" si="545"/>
        <v>0</v>
      </c>
      <c r="CD158" s="320">
        <f t="shared" si="675"/>
        <v>0</v>
      </c>
      <c r="CE158" s="320">
        <f t="shared" si="675"/>
        <v>0</v>
      </c>
      <c r="CF158" s="320">
        <f t="shared" si="675"/>
        <v>0</v>
      </c>
      <c r="CG158" s="320">
        <f t="shared" si="675"/>
        <v>0</v>
      </c>
      <c r="CH158" s="320">
        <f t="shared" si="675"/>
        <v>0</v>
      </c>
      <c r="CI158" s="331">
        <f t="shared" si="675"/>
        <v>0</v>
      </c>
      <c r="CJ158" s="320">
        <f t="shared" ref="CJ158:CO158" si="690">+CJ121/20</f>
        <v>0</v>
      </c>
      <c r="CK158" s="320">
        <f t="shared" si="690"/>
        <v>0</v>
      </c>
      <c r="CL158" s="320">
        <f t="shared" si="690"/>
        <v>0</v>
      </c>
      <c r="CM158" s="320">
        <f t="shared" si="690"/>
        <v>0</v>
      </c>
      <c r="CN158" s="320">
        <f t="shared" si="690"/>
        <v>0</v>
      </c>
      <c r="CO158" s="331">
        <f t="shared" si="690"/>
        <v>0</v>
      </c>
      <c r="CP158" s="320">
        <f t="shared" ref="CP158:CU158" si="691">+CP121/20</f>
        <v>0</v>
      </c>
      <c r="CQ158" s="320">
        <f t="shared" si="691"/>
        <v>0</v>
      </c>
      <c r="CR158" s="320">
        <f t="shared" si="691"/>
        <v>0</v>
      </c>
      <c r="CS158" s="320">
        <f t="shared" si="691"/>
        <v>0</v>
      </c>
      <c r="CT158" s="320">
        <f t="shared" si="691"/>
        <v>0</v>
      </c>
      <c r="CU158" s="331">
        <f t="shared" si="691"/>
        <v>0</v>
      </c>
      <c r="CV158" s="320">
        <f t="shared" ref="CV158:DA158" si="692">+CV121/20</f>
        <v>0</v>
      </c>
      <c r="CW158" s="320">
        <f t="shared" si="692"/>
        <v>0</v>
      </c>
      <c r="CX158" s="320">
        <f t="shared" si="692"/>
        <v>0</v>
      </c>
      <c r="CY158" s="320">
        <f t="shared" si="692"/>
        <v>0</v>
      </c>
      <c r="CZ158" s="320">
        <f t="shared" si="692"/>
        <v>0</v>
      </c>
      <c r="DA158" s="331">
        <f t="shared" si="692"/>
        <v>0</v>
      </c>
      <c r="DB158" s="344">
        <f t="shared" si="549"/>
        <v>0</v>
      </c>
    </row>
    <row r="159" spans="1:106" ht="15.75" thickBot="1">
      <c r="A159" s="239">
        <v>13</v>
      </c>
      <c r="B159" s="239">
        <f t="shared" ref="B159:R159" si="693">+B122/20</f>
        <v>0</v>
      </c>
      <c r="C159" s="277">
        <f t="shared" si="693"/>
        <v>0</v>
      </c>
      <c r="D159" s="277">
        <f t="shared" si="693"/>
        <v>0</v>
      </c>
      <c r="E159" s="277">
        <f t="shared" ref="E159:F159" si="694">+E122/20</f>
        <v>0</v>
      </c>
      <c r="F159" s="314">
        <f t="shared" si="694"/>
        <v>0</v>
      </c>
      <c r="G159" s="315">
        <f t="shared" si="693"/>
        <v>0</v>
      </c>
      <c r="H159" s="316">
        <f t="shared" si="693"/>
        <v>0</v>
      </c>
      <c r="I159" s="316">
        <f t="shared" si="693"/>
        <v>0</v>
      </c>
      <c r="J159" s="316">
        <f t="shared" si="693"/>
        <v>0</v>
      </c>
      <c r="K159" s="316">
        <f t="shared" si="693"/>
        <v>0</v>
      </c>
      <c r="L159" s="321">
        <f t="shared" ref="L159" si="695">+L122/20</f>
        <v>0</v>
      </c>
      <c r="M159" s="315">
        <f t="shared" si="693"/>
        <v>0</v>
      </c>
      <c r="N159" s="316">
        <f t="shared" si="693"/>
        <v>0</v>
      </c>
      <c r="O159" s="316">
        <f t="shared" si="693"/>
        <v>0</v>
      </c>
      <c r="P159" s="316">
        <f t="shared" ref="P159:Q159" si="696">+P122/20</f>
        <v>0</v>
      </c>
      <c r="Q159" s="316">
        <f t="shared" si="696"/>
        <v>0</v>
      </c>
      <c r="R159" s="319">
        <f t="shared" si="693"/>
        <v>0</v>
      </c>
      <c r="S159" s="320">
        <f t="shared" si="666"/>
        <v>0</v>
      </c>
      <c r="T159" s="320">
        <f t="shared" si="666"/>
        <v>0</v>
      </c>
      <c r="U159" s="320">
        <f t="shared" si="666"/>
        <v>0</v>
      </c>
      <c r="V159" s="320">
        <f t="shared" ref="V159" si="697">V122/20</f>
        <v>0</v>
      </c>
      <c r="W159" s="320">
        <f t="shared" si="666"/>
        <v>0</v>
      </c>
      <c r="X159" s="331">
        <f t="shared" si="666"/>
        <v>0</v>
      </c>
      <c r="Y159" s="315">
        <f t="shared" si="668"/>
        <v>0</v>
      </c>
      <c r="Z159" s="320">
        <f t="shared" si="668"/>
        <v>0</v>
      </c>
      <c r="AA159" s="320">
        <f t="shared" si="668"/>
        <v>0</v>
      </c>
      <c r="AB159" s="320">
        <f t="shared" si="668"/>
        <v>0</v>
      </c>
      <c r="AC159" s="331">
        <f t="shared" si="668"/>
        <v>0</v>
      </c>
      <c r="AD159" s="315">
        <f t="shared" si="668"/>
        <v>0</v>
      </c>
      <c r="AE159" s="316">
        <f t="shared" si="494"/>
        <v>0</v>
      </c>
      <c r="AF159" s="316">
        <f t="shared" si="495"/>
        <v>0</v>
      </c>
      <c r="AG159" s="316">
        <f t="shared" si="496"/>
        <v>0</v>
      </c>
      <c r="AH159" s="316">
        <f t="shared" si="497"/>
        <v>0</v>
      </c>
      <c r="AI159" s="316">
        <f t="shared" si="498"/>
        <v>0</v>
      </c>
      <c r="AJ159" s="316">
        <f t="shared" si="499"/>
        <v>0</v>
      </c>
      <c r="AK159" s="316">
        <f t="shared" si="500"/>
        <v>0</v>
      </c>
      <c r="AL159" s="316">
        <f t="shared" si="501"/>
        <v>0</v>
      </c>
      <c r="AM159" s="319">
        <f t="shared" si="502"/>
        <v>0</v>
      </c>
      <c r="AN159" s="315">
        <f t="shared" si="503"/>
        <v>0</v>
      </c>
      <c r="AO159" s="316">
        <f t="shared" si="504"/>
        <v>0</v>
      </c>
      <c r="AP159" s="320">
        <f t="shared" si="505"/>
        <v>0</v>
      </c>
      <c r="AQ159" s="316">
        <f t="shared" si="506"/>
        <v>0</v>
      </c>
      <c r="AR159" s="320">
        <f t="shared" si="507"/>
        <v>0</v>
      </c>
      <c r="AS159" s="316">
        <f t="shared" si="508"/>
        <v>0</v>
      </c>
      <c r="AT159" s="320">
        <f t="shared" si="509"/>
        <v>0</v>
      </c>
      <c r="AU159" s="321">
        <f t="shared" si="510"/>
        <v>0</v>
      </c>
      <c r="AV159" s="315">
        <f t="shared" ref="AV159:BF159" si="698">+AV122/20</f>
        <v>0</v>
      </c>
      <c r="AW159" s="316">
        <f t="shared" si="698"/>
        <v>0</v>
      </c>
      <c r="AX159" s="335">
        <f t="shared" si="698"/>
        <v>0</v>
      </c>
      <c r="AY159" s="319">
        <f t="shared" si="698"/>
        <v>0</v>
      </c>
      <c r="AZ159" s="315">
        <f t="shared" si="698"/>
        <v>0</v>
      </c>
      <c r="BA159" s="320">
        <f t="shared" si="698"/>
        <v>0</v>
      </c>
      <c r="BB159" s="320">
        <f t="shared" si="698"/>
        <v>0</v>
      </c>
      <c r="BC159" s="320">
        <f t="shared" si="698"/>
        <v>0</v>
      </c>
      <c r="BD159" s="320">
        <f t="shared" si="698"/>
        <v>0</v>
      </c>
      <c r="BE159" s="343">
        <f t="shared" si="698"/>
        <v>0</v>
      </c>
      <c r="BF159" s="315">
        <f t="shared" si="698"/>
        <v>0</v>
      </c>
      <c r="BG159" s="316">
        <f t="shared" si="523"/>
        <v>0</v>
      </c>
      <c r="BH159" s="316">
        <f t="shared" si="524"/>
        <v>0</v>
      </c>
      <c r="BI159" s="316">
        <f t="shared" ref="BI159" si="699">+BI122/20</f>
        <v>0</v>
      </c>
      <c r="BJ159" s="316">
        <f t="shared" si="526"/>
        <v>0</v>
      </c>
      <c r="BK159" s="316">
        <f t="shared" si="527"/>
        <v>0</v>
      </c>
      <c r="BL159" s="316">
        <f t="shared" ref="BL159" si="700">+BL122/20</f>
        <v>0</v>
      </c>
      <c r="BM159" s="316">
        <f t="shared" si="529"/>
        <v>0</v>
      </c>
      <c r="BN159" s="316">
        <f t="shared" si="530"/>
        <v>0</v>
      </c>
      <c r="BO159" s="316">
        <f t="shared" si="531"/>
        <v>0</v>
      </c>
      <c r="BP159" s="316">
        <f t="shared" si="532"/>
        <v>0</v>
      </c>
      <c r="BQ159" s="316">
        <f t="shared" si="533"/>
        <v>0</v>
      </c>
      <c r="BR159" s="316">
        <f t="shared" ref="BR159" si="701">+BR122/20</f>
        <v>0</v>
      </c>
      <c r="BS159" s="316">
        <f t="shared" si="535"/>
        <v>0</v>
      </c>
      <c r="BT159" s="316">
        <f t="shared" si="536"/>
        <v>0</v>
      </c>
      <c r="BU159" s="316">
        <f t="shared" ref="BU159" si="702">+BU122/20</f>
        <v>0</v>
      </c>
      <c r="BV159" s="316">
        <f t="shared" si="538"/>
        <v>0</v>
      </c>
      <c r="BW159" s="316">
        <f t="shared" si="539"/>
        <v>0</v>
      </c>
      <c r="BX159" s="316">
        <f t="shared" ref="BX159" si="703">+BX122/20</f>
        <v>0</v>
      </c>
      <c r="BY159" s="316">
        <f t="shared" si="541"/>
        <v>0</v>
      </c>
      <c r="BZ159" s="316">
        <f t="shared" si="542"/>
        <v>0</v>
      </c>
      <c r="CA159" s="316">
        <f t="shared" si="543"/>
        <v>0</v>
      </c>
      <c r="CB159" s="316">
        <f t="shared" si="544"/>
        <v>0</v>
      </c>
      <c r="CC159" s="319">
        <f t="shared" si="545"/>
        <v>0</v>
      </c>
      <c r="CD159" s="320">
        <f t="shared" si="675"/>
        <v>0</v>
      </c>
      <c r="CE159" s="320">
        <f t="shared" si="675"/>
        <v>0</v>
      </c>
      <c r="CF159" s="320">
        <f t="shared" si="675"/>
        <v>0</v>
      </c>
      <c r="CG159" s="320">
        <f t="shared" si="675"/>
        <v>0</v>
      </c>
      <c r="CH159" s="320">
        <f t="shared" si="675"/>
        <v>0</v>
      </c>
      <c r="CI159" s="331">
        <f t="shared" si="675"/>
        <v>0</v>
      </c>
      <c r="CJ159" s="320">
        <f t="shared" ref="CJ159:CO159" si="704">+CJ122/20</f>
        <v>0</v>
      </c>
      <c r="CK159" s="320">
        <f t="shared" si="704"/>
        <v>0</v>
      </c>
      <c r="CL159" s="320">
        <f t="shared" si="704"/>
        <v>0</v>
      </c>
      <c r="CM159" s="320">
        <f t="shared" si="704"/>
        <v>0</v>
      </c>
      <c r="CN159" s="320">
        <f t="shared" si="704"/>
        <v>0</v>
      </c>
      <c r="CO159" s="331">
        <f t="shared" si="704"/>
        <v>0</v>
      </c>
      <c r="CP159" s="320">
        <f t="shared" ref="CP159:CU159" si="705">+CP122/20</f>
        <v>0</v>
      </c>
      <c r="CQ159" s="320">
        <f t="shared" si="705"/>
        <v>0</v>
      </c>
      <c r="CR159" s="320">
        <f t="shared" si="705"/>
        <v>0</v>
      </c>
      <c r="CS159" s="320">
        <f t="shared" si="705"/>
        <v>0</v>
      </c>
      <c r="CT159" s="320">
        <f t="shared" si="705"/>
        <v>0</v>
      </c>
      <c r="CU159" s="331">
        <f t="shared" si="705"/>
        <v>0</v>
      </c>
      <c r="CV159" s="320">
        <f t="shared" ref="CV159:DA159" si="706">+CV122/20</f>
        <v>0</v>
      </c>
      <c r="CW159" s="320">
        <f t="shared" si="706"/>
        <v>0</v>
      </c>
      <c r="CX159" s="320">
        <f t="shared" si="706"/>
        <v>0</v>
      </c>
      <c r="CY159" s="320">
        <f t="shared" si="706"/>
        <v>0</v>
      </c>
      <c r="CZ159" s="320">
        <f t="shared" si="706"/>
        <v>0</v>
      </c>
      <c r="DA159" s="331">
        <f t="shared" si="706"/>
        <v>0</v>
      </c>
      <c r="DB159" s="344">
        <f t="shared" si="549"/>
        <v>0</v>
      </c>
    </row>
    <row r="160" spans="1:106" ht="15.75" thickBot="1">
      <c r="A160" s="239">
        <v>14</v>
      </c>
      <c r="B160" s="239">
        <f t="shared" ref="B160:R160" si="707">+B123/20</f>
        <v>0</v>
      </c>
      <c r="C160" s="277">
        <f t="shared" si="707"/>
        <v>0</v>
      </c>
      <c r="D160" s="277">
        <f t="shared" si="707"/>
        <v>0</v>
      </c>
      <c r="E160" s="277">
        <f t="shared" ref="E160:F160" si="708">+E123/20</f>
        <v>0</v>
      </c>
      <c r="F160" s="314">
        <f t="shared" si="708"/>
        <v>0</v>
      </c>
      <c r="G160" s="315">
        <f t="shared" si="707"/>
        <v>0</v>
      </c>
      <c r="H160" s="316">
        <f t="shared" si="707"/>
        <v>0</v>
      </c>
      <c r="I160" s="316">
        <f t="shared" si="707"/>
        <v>0</v>
      </c>
      <c r="J160" s="316">
        <f t="shared" si="707"/>
        <v>0</v>
      </c>
      <c r="K160" s="316">
        <f t="shared" si="707"/>
        <v>0</v>
      </c>
      <c r="L160" s="321">
        <f t="shared" ref="L160" si="709">+L123/20</f>
        <v>0</v>
      </c>
      <c r="M160" s="315">
        <f t="shared" si="707"/>
        <v>0</v>
      </c>
      <c r="N160" s="316">
        <f t="shared" si="707"/>
        <v>0</v>
      </c>
      <c r="O160" s="316">
        <f t="shared" si="707"/>
        <v>0</v>
      </c>
      <c r="P160" s="316">
        <f t="shared" ref="P160:Q160" si="710">+P123/20</f>
        <v>0</v>
      </c>
      <c r="Q160" s="316">
        <f t="shared" si="710"/>
        <v>0</v>
      </c>
      <c r="R160" s="319">
        <f t="shared" si="707"/>
        <v>0</v>
      </c>
      <c r="S160" s="320">
        <f t="shared" si="666"/>
        <v>0</v>
      </c>
      <c r="T160" s="320">
        <f t="shared" si="666"/>
        <v>0</v>
      </c>
      <c r="U160" s="320">
        <f t="shared" si="666"/>
        <v>0</v>
      </c>
      <c r="V160" s="320">
        <f t="shared" ref="V160" si="711">V123/20</f>
        <v>0</v>
      </c>
      <c r="W160" s="320">
        <f t="shared" si="666"/>
        <v>0</v>
      </c>
      <c r="X160" s="331">
        <f t="shared" si="666"/>
        <v>0</v>
      </c>
      <c r="Y160" s="315">
        <f t="shared" si="668"/>
        <v>0</v>
      </c>
      <c r="Z160" s="320">
        <f t="shared" si="668"/>
        <v>0</v>
      </c>
      <c r="AA160" s="320">
        <f t="shared" si="668"/>
        <v>0</v>
      </c>
      <c r="AB160" s="320">
        <f t="shared" si="668"/>
        <v>0</v>
      </c>
      <c r="AC160" s="331">
        <f t="shared" si="668"/>
        <v>0</v>
      </c>
      <c r="AD160" s="315">
        <f t="shared" si="668"/>
        <v>0</v>
      </c>
      <c r="AE160" s="316">
        <f t="shared" si="494"/>
        <v>0</v>
      </c>
      <c r="AF160" s="316">
        <f t="shared" si="495"/>
        <v>0</v>
      </c>
      <c r="AG160" s="316">
        <f t="shared" si="496"/>
        <v>0</v>
      </c>
      <c r="AH160" s="316">
        <f t="shared" si="497"/>
        <v>0</v>
      </c>
      <c r="AI160" s="316">
        <f t="shared" si="498"/>
        <v>0</v>
      </c>
      <c r="AJ160" s="316">
        <f t="shared" si="499"/>
        <v>0</v>
      </c>
      <c r="AK160" s="316">
        <f t="shared" si="500"/>
        <v>0</v>
      </c>
      <c r="AL160" s="316">
        <f t="shared" si="501"/>
        <v>0</v>
      </c>
      <c r="AM160" s="319">
        <f t="shared" si="502"/>
        <v>0</v>
      </c>
      <c r="AN160" s="315">
        <f t="shared" si="503"/>
        <v>0</v>
      </c>
      <c r="AO160" s="316">
        <f t="shared" si="504"/>
        <v>0</v>
      </c>
      <c r="AP160" s="320">
        <f t="shared" si="505"/>
        <v>0</v>
      </c>
      <c r="AQ160" s="316">
        <f t="shared" si="506"/>
        <v>0</v>
      </c>
      <c r="AR160" s="320">
        <f t="shared" si="507"/>
        <v>0</v>
      </c>
      <c r="AS160" s="316">
        <f t="shared" si="508"/>
        <v>0</v>
      </c>
      <c r="AT160" s="320">
        <f t="shared" si="509"/>
        <v>0</v>
      </c>
      <c r="AU160" s="321">
        <f t="shared" si="510"/>
        <v>0</v>
      </c>
      <c r="AV160" s="315">
        <f t="shared" ref="AV160:BF160" si="712">+AV123/20</f>
        <v>0</v>
      </c>
      <c r="AW160" s="316">
        <f t="shared" si="712"/>
        <v>0</v>
      </c>
      <c r="AX160" s="335">
        <f t="shared" si="712"/>
        <v>0</v>
      </c>
      <c r="AY160" s="319">
        <f t="shared" si="712"/>
        <v>0</v>
      </c>
      <c r="AZ160" s="315">
        <f t="shared" si="712"/>
        <v>0</v>
      </c>
      <c r="BA160" s="320">
        <f t="shared" si="712"/>
        <v>0</v>
      </c>
      <c r="BB160" s="320">
        <f t="shared" si="712"/>
        <v>0</v>
      </c>
      <c r="BC160" s="320">
        <f t="shared" si="712"/>
        <v>0</v>
      </c>
      <c r="BD160" s="320">
        <f t="shared" si="712"/>
        <v>0</v>
      </c>
      <c r="BE160" s="343">
        <f t="shared" si="712"/>
        <v>0</v>
      </c>
      <c r="BF160" s="315">
        <f t="shared" si="712"/>
        <v>0</v>
      </c>
      <c r="BG160" s="316">
        <f t="shared" si="523"/>
        <v>0</v>
      </c>
      <c r="BH160" s="316">
        <f t="shared" si="524"/>
        <v>0</v>
      </c>
      <c r="BI160" s="316">
        <f t="shared" ref="BI160" si="713">+BI123/20</f>
        <v>0</v>
      </c>
      <c r="BJ160" s="316">
        <f t="shared" si="526"/>
        <v>0</v>
      </c>
      <c r="BK160" s="316">
        <f t="shared" si="527"/>
        <v>0</v>
      </c>
      <c r="BL160" s="316">
        <f t="shared" ref="BL160" si="714">+BL123/20</f>
        <v>0</v>
      </c>
      <c r="BM160" s="316">
        <f t="shared" si="529"/>
        <v>0</v>
      </c>
      <c r="BN160" s="316">
        <f t="shared" si="530"/>
        <v>0</v>
      </c>
      <c r="BO160" s="316">
        <f t="shared" si="531"/>
        <v>0</v>
      </c>
      <c r="BP160" s="316">
        <f t="shared" si="532"/>
        <v>0</v>
      </c>
      <c r="BQ160" s="316">
        <f t="shared" si="533"/>
        <v>0</v>
      </c>
      <c r="BR160" s="316">
        <f t="shared" ref="BR160" si="715">+BR123/20</f>
        <v>0</v>
      </c>
      <c r="BS160" s="316">
        <f t="shared" si="535"/>
        <v>0</v>
      </c>
      <c r="BT160" s="316">
        <f t="shared" si="536"/>
        <v>0</v>
      </c>
      <c r="BU160" s="316">
        <f t="shared" ref="BU160" si="716">+BU123/20</f>
        <v>0</v>
      </c>
      <c r="BV160" s="316">
        <f t="shared" si="538"/>
        <v>0</v>
      </c>
      <c r="BW160" s="316">
        <f t="shared" si="539"/>
        <v>0</v>
      </c>
      <c r="BX160" s="316">
        <f t="shared" ref="BX160" si="717">+BX123/20</f>
        <v>0</v>
      </c>
      <c r="BY160" s="316">
        <f t="shared" si="541"/>
        <v>0</v>
      </c>
      <c r="BZ160" s="316">
        <f t="shared" si="542"/>
        <v>0</v>
      </c>
      <c r="CA160" s="316">
        <f t="shared" si="543"/>
        <v>0</v>
      </c>
      <c r="CB160" s="316">
        <f t="shared" si="544"/>
        <v>0</v>
      </c>
      <c r="CC160" s="319">
        <f t="shared" si="545"/>
        <v>0</v>
      </c>
      <c r="CD160" s="320">
        <f t="shared" si="675"/>
        <v>0</v>
      </c>
      <c r="CE160" s="320">
        <f t="shared" si="675"/>
        <v>0</v>
      </c>
      <c r="CF160" s="320">
        <f t="shared" si="675"/>
        <v>0</v>
      </c>
      <c r="CG160" s="320">
        <f t="shared" si="675"/>
        <v>0</v>
      </c>
      <c r="CH160" s="320">
        <f t="shared" si="675"/>
        <v>0</v>
      </c>
      <c r="CI160" s="331">
        <f t="shared" si="675"/>
        <v>0</v>
      </c>
      <c r="CJ160" s="320">
        <f t="shared" ref="CJ160:CO160" si="718">+CJ123/20</f>
        <v>0</v>
      </c>
      <c r="CK160" s="320">
        <f t="shared" si="718"/>
        <v>0</v>
      </c>
      <c r="CL160" s="320">
        <f t="shared" si="718"/>
        <v>0</v>
      </c>
      <c r="CM160" s="320">
        <f t="shared" si="718"/>
        <v>0</v>
      </c>
      <c r="CN160" s="320">
        <f t="shared" si="718"/>
        <v>0</v>
      </c>
      <c r="CO160" s="331">
        <f t="shared" si="718"/>
        <v>0</v>
      </c>
      <c r="CP160" s="320">
        <f t="shared" ref="CP160:CU160" si="719">+CP123/20</f>
        <v>0</v>
      </c>
      <c r="CQ160" s="320">
        <f t="shared" si="719"/>
        <v>0</v>
      </c>
      <c r="CR160" s="320">
        <f t="shared" si="719"/>
        <v>0</v>
      </c>
      <c r="CS160" s="320">
        <f t="shared" si="719"/>
        <v>0</v>
      </c>
      <c r="CT160" s="320">
        <f t="shared" si="719"/>
        <v>0</v>
      </c>
      <c r="CU160" s="331">
        <f t="shared" si="719"/>
        <v>0</v>
      </c>
      <c r="CV160" s="320">
        <f t="shared" ref="CV160:DA160" si="720">+CV123/20</f>
        <v>0</v>
      </c>
      <c r="CW160" s="320">
        <f t="shared" si="720"/>
        <v>0</v>
      </c>
      <c r="CX160" s="320">
        <f t="shared" si="720"/>
        <v>0</v>
      </c>
      <c r="CY160" s="320">
        <f t="shared" si="720"/>
        <v>0</v>
      </c>
      <c r="CZ160" s="320">
        <f t="shared" si="720"/>
        <v>0</v>
      </c>
      <c r="DA160" s="331">
        <f t="shared" si="720"/>
        <v>0</v>
      </c>
      <c r="DB160" s="344">
        <f t="shared" si="549"/>
        <v>0</v>
      </c>
    </row>
    <row r="161" spans="1:106" ht="15.75" thickBot="1">
      <c r="A161" s="239">
        <v>15</v>
      </c>
      <c r="B161" s="239">
        <f t="shared" ref="B161:R161" si="721">+B124/20</f>
        <v>0</v>
      </c>
      <c r="C161" s="277">
        <f t="shared" si="721"/>
        <v>0</v>
      </c>
      <c r="D161" s="277">
        <f t="shared" si="721"/>
        <v>0</v>
      </c>
      <c r="E161" s="277">
        <f t="shared" ref="E161:F161" si="722">+E124/20</f>
        <v>0</v>
      </c>
      <c r="F161" s="314">
        <f t="shared" si="722"/>
        <v>0</v>
      </c>
      <c r="G161" s="315">
        <f t="shared" si="721"/>
        <v>0</v>
      </c>
      <c r="H161" s="316">
        <f t="shared" si="721"/>
        <v>0</v>
      </c>
      <c r="I161" s="316">
        <f t="shared" si="721"/>
        <v>0</v>
      </c>
      <c r="J161" s="316">
        <f t="shared" si="721"/>
        <v>0</v>
      </c>
      <c r="K161" s="316">
        <f t="shared" si="721"/>
        <v>0</v>
      </c>
      <c r="L161" s="321">
        <f t="shared" ref="L161" si="723">+L124/20</f>
        <v>0</v>
      </c>
      <c r="M161" s="315">
        <f t="shared" si="721"/>
        <v>0</v>
      </c>
      <c r="N161" s="316">
        <f t="shared" si="721"/>
        <v>0</v>
      </c>
      <c r="O161" s="316">
        <f t="shared" si="721"/>
        <v>0</v>
      </c>
      <c r="P161" s="316">
        <f t="shared" ref="P161:Q161" si="724">+P124/20</f>
        <v>0</v>
      </c>
      <c r="Q161" s="316">
        <f t="shared" si="724"/>
        <v>0</v>
      </c>
      <c r="R161" s="319">
        <f t="shared" si="721"/>
        <v>0</v>
      </c>
      <c r="S161" s="320">
        <f t="shared" si="666"/>
        <v>0</v>
      </c>
      <c r="T161" s="320">
        <f t="shared" si="666"/>
        <v>0</v>
      </c>
      <c r="U161" s="320">
        <f t="shared" si="666"/>
        <v>0</v>
      </c>
      <c r="V161" s="320">
        <f t="shared" ref="V161" si="725">V124/20</f>
        <v>0</v>
      </c>
      <c r="W161" s="320">
        <f t="shared" si="666"/>
        <v>0</v>
      </c>
      <c r="X161" s="331">
        <f t="shared" si="666"/>
        <v>0</v>
      </c>
      <c r="Y161" s="315">
        <f t="shared" si="668"/>
        <v>0</v>
      </c>
      <c r="Z161" s="320">
        <f t="shared" si="668"/>
        <v>0</v>
      </c>
      <c r="AA161" s="320">
        <f t="shared" si="668"/>
        <v>0</v>
      </c>
      <c r="AB161" s="320">
        <f t="shared" si="668"/>
        <v>0</v>
      </c>
      <c r="AC161" s="331">
        <f t="shared" si="668"/>
        <v>0</v>
      </c>
      <c r="AD161" s="315">
        <f t="shared" si="668"/>
        <v>0</v>
      </c>
      <c r="AE161" s="316">
        <f t="shared" si="494"/>
        <v>0</v>
      </c>
      <c r="AF161" s="316">
        <f t="shared" si="495"/>
        <v>0</v>
      </c>
      <c r="AG161" s="316">
        <f t="shared" si="496"/>
        <v>0</v>
      </c>
      <c r="AH161" s="316">
        <f t="shared" si="497"/>
        <v>0</v>
      </c>
      <c r="AI161" s="316">
        <f t="shared" si="498"/>
        <v>0</v>
      </c>
      <c r="AJ161" s="316">
        <f t="shared" si="499"/>
        <v>0</v>
      </c>
      <c r="AK161" s="316">
        <f t="shared" si="500"/>
        <v>0</v>
      </c>
      <c r="AL161" s="316">
        <f t="shared" si="501"/>
        <v>0</v>
      </c>
      <c r="AM161" s="319">
        <f t="shared" si="502"/>
        <v>0</v>
      </c>
      <c r="AN161" s="315">
        <f t="shared" si="503"/>
        <v>0</v>
      </c>
      <c r="AO161" s="316">
        <f t="shared" si="504"/>
        <v>0</v>
      </c>
      <c r="AP161" s="320">
        <f t="shared" si="505"/>
        <v>0</v>
      </c>
      <c r="AQ161" s="316">
        <f t="shared" si="506"/>
        <v>0</v>
      </c>
      <c r="AR161" s="320">
        <f t="shared" si="507"/>
        <v>0</v>
      </c>
      <c r="AS161" s="316">
        <f t="shared" si="508"/>
        <v>0</v>
      </c>
      <c r="AT161" s="320">
        <f t="shared" si="509"/>
        <v>0</v>
      </c>
      <c r="AU161" s="321">
        <f t="shared" si="510"/>
        <v>0</v>
      </c>
      <c r="AV161" s="315">
        <f t="shared" ref="AV161:BF161" si="726">+AV124/20</f>
        <v>0</v>
      </c>
      <c r="AW161" s="316">
        <f t="shared" si="726"/>
        <v>0</v>
      </c>
      <c r="AX161" s="335">
        <f t="shared" si="726"/>
        <v>0</v>
      </c>
      <c r="AY161" s="319">
        <f t="shared" si="726"/>
        <v>0</v>
      </c>
      <c r="AZ161" s="315">
        <f t="shared" si="726"/>
        <v>0</v>
      </c>
      <c r="BA161" s="320">
        <f t="shared" si="726"/>
        <v>0</v>
      </c>
      <c r="BB161" s="320">
        <f t="shared" si="726"/>
        <v>0</v>
      </c>
      <c r="BC161" s="320">
        <f t="shared" si="726"/>
        <v>0</v>
      </c>
      <c r="BD161" s="320">
        <f t="shared" si="726"/>
        <v>0</v>
      </c>
      <c r="BE161" s="343">
        <f t="shared" si="726"/>
        <v>0</v>
      </c>
      <c r="BF161" s="315">
        <f t="shared" si="726"/>
        <v>0</v>
      </c>
      <c r="BG161" s="316">
        <f t="shared" si="523"/>
        <v>0</v>
      </c>
      <c r="BH161" s="316">
        <f t="shared" si="524"/>
        <v>0</v>
      </c>
      <c r="BI161" s="316">
        <f t="shared" ref="BI161" si="727">+BI124/20</f>
        <v>0</v>
      </c>
      <c r="BJ161" s="316">
        <f t="shared" si="526"/>
        <v>0</v>
      </c>
      <c r="BK161" s="316">
        <f t="shared" si="527"/>
        <v>0</v>
      </c>
      <c r="BL161" s="316">
        <f t="shared" ref="BL161" si="728">+BL124/20</f>
        <v>0</v>
      </c>
      <c r="BM161" s="316">
        <f t="shared" si="529"/>
        <v>0</v>
      </c>
      <c r="BN161" s="316">
        <f t="shared" si="530"/>
        <v>0</v>
      </c>
      <c r="BO161" s="316">
        <f t="shared" si="531"/>
        <v>0</v>
      </c>
      <c r="BP161" s="316">
        <f t="shared" si="532"/>
        <v>0</v>
      </c>
      <c r="BQ161" s="316">
        <f t="shared" si="533"/>
        <v>0</v>
      </c>
      <c r="BR161" s="316">
        <f t="shared" ref="BR161" si="729">+BR124/20</f>
        <v>0</v>
      </c>
      <c r="BS161" s="316">
        <f t="shared" si="535"/>
        <v>0</v>
      </c>
      <c r="BT161" s="316">
        <f t="shared" si="536"/>
        <v>0</v>
      </c>
      <c r="BU161" s="316">
        <f t="shared" ref="BU161" si="730">+BU124/20</f>
        <v>0</v>
      </c>
      <c r="BV161" s="316">
        <f t="shared" si="538"/>
        <v>0</v>
      </c>
      <c r="BW161" s="316">
        <f t="shared" si="539"/>
        <v>0</v>
      </c>
      <c r="BX161" s="316">
        <f t="shared" ref="BX161" si="731">+BX124/20</f>
        <v>0</v>
      </c>
      <c r="BY161" s="316">
        <f t="shared" si="541"/>
        <v>0</v>
      </c>
      <c r="BZ161" s="316">
        <f t="shared" si="542"/>
        <v>0</v>
      </c>
      <c r="CA161" s="316">
        <f t="shared" si="543"/>
        <v>0</v>
      </c>
      <c r="CB161" s="316">
        <f t="shared" si="544"/>
        <v>0</v>
      </c>
      <c r="CC161" s="319">
        <f t="shared" si="545"/>
        <v>0</v>
      </c>
      <c r="CD161" s="320">
        <f t="shared" si="675"/>
        <v>0</v>
      </c>
      <c r="CE161" s="320">
        <f t="shared" si="675"/>
        <v>0</v>
      </c>
      <c r="CF161" s="320">
        <f t="shared" si="675"/>
        <v>0</v>
      </c>
      <c r="CG161" s="320">
        <f t="shared" si="675"/>
        <v>0</v>
      </c>
      <c r="CH161" s="320">
        <f t="shared" si="675"/>
        <v>0</v>
      </c>
      <c r="CI161" s="331">
        <f t="shared" si="675"/>
        <v>0</v>
      </c>
      <c r="CJ161" s="320">
        <f t="shared" ref="CJ161:CO161" si="732">+CJ124/20</f>
        <v>0</v>
      </c>
      <c r="CK161" s="320">
        <f t="shared" si="732"/>
        <v>0</v>
      </c>
      <c r="CL161" s="320">
        <f t="shared" si="732"/>
        <v>0</v>
      </c>
      <c r="CM161" s="320">
        <f t="shared" si="732"/>
        <v>0</v>
      </c>
      <c r="CN161" s="320">
        <f t="shared" si="732"/>
        <v>0</v>
      </c>
      <c r="CO161" s="331">
        <f t="shared" si="732"/>
        <v>0</v>
      </c>
      <c r="CP161" s="320">
        <f t="shared" ref="CP161:CU161" si="733">+CP124/20</f>
        <v>0</v>
      </c>
      <c r="CQ161" s="320">
        <f t="shared" si="733"/>
        <v>0</v>
      </c>
      <c r="CR161" s="320">
        <f t="shared" si="733"/>
        <v>0</v>
      </c>
      <c r="CS161" s="320">
        <f t="shared" si="733"/>
        <v>0</v>
      </c>
      <c r="CT161" s="320">
        <f t="shared" si="733"/>
        <v>0</v>
      </c>
      <c r="CU161" s="331">
        <f t="shared" si="733"/>
        <v>0</v>
      </c>
      <c r="CV161" s="320">
        <f t="shared" ref="CV161:DA161" si="734">+CV124/20</f>
        <v>0</v>
      </c>
      <c r="CW161" s="320">
        <f t="shared" si="734"/>
        <v>0</v>
      </c>
      <c r="CX161" s="320">
        <f t="shared" si="734"/>
        <v>0</v>
      </c>
      <c r="CY161" s="320">
        <f t="shared" si="734"/>
        <v>0</v>
      </c>
      <c r="CZ161" s="320">
        <f t="shared" si="734"/>
        <v>0</v>
      </c>
      <c r="DA161" s="331">
        <f t="shared" si="734"/>
        <v>0</v>
      </c>
      <c r="DB161" s="344">
        <f t="shared" si="549"/>
        <v>0</v>
      </c>
    </row>
    <row r="162" spans="1:106" ht="15.75" thickBot="1">
      <c r="A162" s="239">
        <v>16</v>
      </c>
      <c r="B162" s="239">
        <f t="shared" ref="B162:R162" si="735">+B125/20</f>
        <v>0</v>
      </c>
      <c r="C162" s="277">
        <f t="shared" si="735"/>
        <v>0</v>
      </c>
      <c r="D162" s="277">
        <f t="shared" si="735"/>
        <v>0</v>
      </c>
      <c r="E162" s="277">
        <f t="shared" ref="E162:F162" si="736">+E125/20</f>
        <v>0</v>
      </c>
      <c r="F162" s="314">
        <f t="shared" si="736"/>
        <v>0</v>
      </c>
      <c r="G162" s="315">
        <f t="shared" si="735"/>
        <v>0</v>
      </c>
      <c r="H162" s="316">
        <f t="shared" si="735"/>
        <v>0</v>
      </c>
      <c r="I162" s="316">
        <f t="shared" si="735"/>
        <v>0</v>
      </c>
      <c r="J162" s="316">
        <f t="shared" si="735"/>
        <v>0</v>
      </c>
      <c r="K162" s="316">
        <f t="shared" si="735"/>
        <v>0</v>
      </c>
      <c r="L162" s="321">
        <f t="shared" ref="L162" si="737">+L125/20</f>
        <v>0</v>
      </c>
      <c r="M162" s="315">
        <f t="shared" si="735"/>
        <v>0</v>
      </c>
      <c r="N162" s="316">
        <f t="shared" si="735"/>
        <v>0</v>
      </c>
      <c r="O162" s="316">
        <f t="shared" si="735"/>
        <v>0</v>
      </c>
      <c r="P162" s="316">
        <f t="shared" ref="P162:Q162" si="738">+P125/20</f>
        <v>0</v>
      </c>
      <c r="Q162" s="316">
        <f t="shared" si="738"/>
        <v>0</v>
      </c>
      <c r="R162" s="319">
        <f t="shared" si="735"/>
        <v>0</v>
      </c>
      <c r="S162" s="320">
        <f t="shared" si="666"/>
        <v>0</v>
      </c>
      <c r="T162" s="320">
        <f t="shared" si="666"/>
        <v>0</v>
      </c>
      <c r="U162" s="320">
        <f t="shared" si="666"/>
        <v>0</v>
      </c>
      <c r="V162" s="320">
        <f t="shared" ref="V162" si="739">V125/20</f>
        <v>0</v>
      </c>
      <c r="W162" s="320">
        <f t="shared" si="666"/>
        <v>0</v>
      </c>
      <c r="X162" s="331">
        <f t="shared" si="666"/>
        <v>0</v>
      </c>
      <c r="Y162" s="315">
        <f t="shared" si="668"/>
        <v>0</v>
      </c>
      <c r="Z162" s="320">
        <f t="shared" si="668"/>
        <v>0</v>
      </c>
      <c r="AA162" s="320">
        <f t="shared" si="668"/>
        <v>0</v>
      </c>
      <c r="AB162" s="320">
        <f t="shared" si="668"/>
        <v>0</v>
      </c>
      <c r="AC162" s="331">
        <f t="shared" si="668"/>
        <v>0</v>
      </c>
      <c r="AD162" s="315">
        <f t="shared" si="668"/>
        <v>0</v>
      </c>
      <c r="AE162" s="316">
        <f t="shared" si="494"/>
        <v>0</v>
      </c>
      <c r="AF162" s="316">
        <f t="shared" si="495"/>
        <v>0</v>
      </c>
      <c r="AG162" s="316">
        <f t="shared" si="496"/>
        <v>0</v>
      </c>
      <c r="AH162" s="316">
        <f t="shared" si="497"/>
        <v>0</v>
      </c>
      <c r="AI162" s="316">
        <f t="shared" si="498"/>
        <v>0</v>
      </c>
      <c r="AJ162" s="316">
        <f t="shared" si="499"/>
        <v>0</v>
      </c>
      <c r="AK162" s="316">
        <f t="shared" si="500"/>
        <v>0</v>
      </c>
      <c r="AL162" s="316">
        <f t="shared" si="501"/>
        <v>0</v>
      </c>
      <c r="AM162" s="319">
        <f t="shared" si="502"/>
        <v>0</v>
      </c>
      <c r="AN162" s="315">
        <f t="shared" si="503"/>
        <v>0</v>
      </c>
      <c r="AO162" s="316">
        <f t="shared" si="504"/>
        <v>0</v>
      </c>
      <c r="AP162" s="320">
        <f t="shared" si="505"/>
        <v>0</v>
      </c>
      <c r="AQ162" s="316">
        <f t="shared" si="506"/>
        <v>0</v>
      </c>
      <c r="AR162" s="320">
        <f t="shared" si="507"/>
        <v>0</v>
      </c>
      <c r="AS162" s="316">
        <f t="shared" si="508"/>
        <v>0</v>
      </c>
      <c r="AT162" s="320">
        <f t="shared" si="509"/>
        <v>0</v>
      </c>
      <c r="AU162" s="321">
        <f t="shared" si="510"/>
        <v>0</v>
      </c>
      <c r="AV162" s="315">
        <f t="shared" ref="AV162:BF162" si="740">+AV125/20</f>
        <v>0</v>
      </c>
      <c r="AW162" s="316">
        <f t="shared" si="740"/>
        <v>0</v>
      </c>
      <c r="AX162" s="335">
        <f t="shared" si="740"/>
        <v>0</v>
      </c>
      <c r="AY162" s="319">
        <f t="shared" si="740"/>
        <v>0</v>
      </c>
      <c r="AZ162" s="315">
        <f t="shared" si="740"/>
        <v>0</v>
      </c>
      <c r="BA162" s="320">
        <f t="shared" si="740"/>
        <v>0</v>
      </c>
      <c r="BB162" s="320">
        <f t="shared" si="740"/>
        <v>0</v>
      </c>
      <c r="BC162" s="320">
        <f t="shared" si="740"/>
        <v>0</v>
      </c>
      <c r="BD162" s="320">
        <f t="shared" si="740"/>
        <v>0</v>
      </c>
      <c r="BE162" s="343">
        <f t="shared" si="740"/>
        <v>0</v>
      </c>
      <c r="BF162" s="315">
        <f t="shared" si="740"/>
        <v>0</v>
      </c>
      <c r="BG162" s="316">
        <f t="shared" si="523"/>
        <v>0</v>
      </c>
      <c r="BH162" s="316">
        <f t="shared" si="524"/>
        <v>0</v>
      </c>
      <c r="BI162" s="316">
        <f t="shared" ref="BI162" si="741">+BI125/20</f>
        <v>0</v>
      </c>
      <c r="BJ162" s="316">
        <f t="shared" si="526"/>
        <v>0</v>
      </c>
      <c r="BK162" s="316">
        <f t="shared" si="527"/>
        <v>0</v>
      </c>
      <c r="BL162" s="316">
        <f t="shared" ref="BL162" si="742">+BL125/20</f>
        <v>0</v>
      </c>
      <c r="BM162" s="316">
        <f t="shared" si="529"/>
        <v>0</v>
      </c>
      <c r="BN162" s="316">
        <f t="shared" si="530"/>
        <v>0</v>
      </c>
      <c r="BO162" s="316">
        <f t="shared" si="531"/>
        <v>0</v>
      </c>
      <c r="BP162" s="316">
        <f t="shared" si="532"/>
        <v>0</v>
      </c>
      <c r="BQ162" s="316">
        <f t="shared" si="533"/>
        <v>0</v>
      </c>
      <c r="BR162" s="316">
        <f t="shared" ref="BR162" si="743">+BR125/20</f>
        <v>0</v>
      </c>
      <c r="BS162" s="316">
        <f t="shared" si="535"/>
        <v>0</v>
      </c>
      <c r="BT162" s="316">
        <f t="shared" si="536"/>
        <v>0</v>
      </c>
      <c r="BU162" s="316">
        <f t="shared" ref="BU162" si="744">+BU125/20</f>
        <v>0</v>
      </c>
      <c r="BV162" s="316">
        <f t="shared" si="538"/>
        <v>0</v>
      </c>
      <c r="BW162" s="316">
        <f t="shared" si="539"/>
        <v>0</v>
      </c>
      <c r="BX162" s="316">
        <f t="shared" ref="BX162" si="745">+BX125/20</f>
        <v>0</v>
      </c>
      <c r="BY162" s="316">
        <f t="shared" si="541"/>
        <v>0</v>
      </c>
      <c r="BZ162" s="316">
        <f t="shared" si="542"/>
        <v>0</v>
      </c>
      <c r="CA162" s="316">
        <f t="shared" si="543"/>
        <v>0</v>
      </c>
      <c r="CB162" s="316">
        <f t="shared" si="544"/>
        <v>0</v>
      </c>
      <c r="CC162" s="319">
        <f t="shared" si="545"/>
        <v>0</v>
      </c>
      <c r="CD162" s="320">
        <f t="shared" si="675"/>
        <v>0</v>
      </c>
      <c r="CE162" s="320">
        <f t="shared" si="675"/>
        <v>0</v>
      </c>
      <c r="CF162" s="320">
        <f t="shared" si="675"/>
        <v>0</v>
      </c>
      <c r="CG162" s="320">
        <f t="shared" si="675"/>
        <v>0</v>
      </c>
      <c r="CH162" s="320">
        <f t="shared" si="675"/>
        <v>0</v>
      </c>
      <c r="CI162" s="331">
        <f t="shared" si="675"/>
        <v>0</v>
      </c>
      <c r="CJ162" s="320">
        <f t="shared" ref="CJ162:CO162" si="746">+CJ125/20</f>
        <v>0</v>
      </c>
      <c r="CK162" s="320">
        <f t="shared" si="746"/>
        <v>0</v>
      </c>
      <c r="CL162" s="320">
        <f t="shared" si="746"/>
        <v>0</v>
      </c>
      <c r="CM162" s="320">
        <f t="shared" si="746"/>
        <v>0</v>
      </c>
      <c r="CN162" s="320">
        <f t="shared" si="746"/>
        <v>0</v>
      </c>
      <c r="CO162" s="331">
        <f t="shared" si="746"/>
        <v>0</v>
      </c>
      <c r="CP162" s="320">
        <f t="shared" ref="CP162:CU162" si="747">+CP125/20</f>
        <v>0</v>
      </c>
      <c r="CQ162" s="320">
        <f t="shared" si="747"/>
        <v>0</v>
      </c>
      <c r="CR162" s="320">
        <f t="shared" si="747"/>
        <v>0</v>
      </c>
      <c r="CS162" s="320">
        <f t="shared" si="747"/>
        <v>0</v>
      </c>
      <c r="CT162" s="320">
        <f t="shared" si="747"/>
        <v>0</v>
      </c>
      <c r="CU162" s="331">
        <f t="shared" si="747"/>
        <v>0</v>
      </c>
      <c r="CV162" s="320">
        <f t="shared" ref="CV162:DA162" si="748">+CV125/20</f>
        <v>0</v>
      </c>
      <c r="CW162" s="320">
        <f t="shared" si="748"/>
        <v>0</v>
      </c>
      <c r="CX162" s="320">
        <f t="shared" si="748"/>
        <v>0</v>
      </c>
      <c r="CY162" s="320">
        <f t="shared" si="748"/>
        <v>0</v>
      </c>
      <c r="CZ162" s="320">
        <f t="shared" si="748"/>
        <v>0</v>
      </c>
      <c r="DA162" s="331">
        <f t="shared" si="748"/>
        <v>0</v>
      </c>
      <c r="DB162" s="344">
        <f t="shared" si="549"/>
        <v>0</v>
      </c>
    </row>
    <row r="163" spans="1:106" ht="15.75" thickBot="1">
      <c r="A163" s="239">
        <v>17</v>
      </c>
      <c r="B163" s="239">
        <f t="shared" ref="B163:R163" si="749">+B126/20</f>
        <v>0</v>
      </c>
      <c r="C163" s="277">
        <f t="shared" si="749"/>
        <v>0</v>
      </c>
      <c r="D163" s="277">
        <f t="shared" si="749"/>
        <v>0</v>
      </c>
      <c r="E163" s="277">
        <f t="shared" ref="E163:F163" si="750">+E126/20</f>
        <v>0</v>
      </c>
      <c r="F163" s="314">
        <f t="shared" si="750"/>
        <v>0</v>
      </c>
      <c r="G163" s="315">
        <f t="shared" si="749"/>
        <v>0</v>
      </c>
      <c r="H163" s="316">
        <f t="shared" si="749"/>
        <v>0</v>
      </c>
      <c r="I163" s="316">
        <f t="shared" si="749"/>
        <v>0</v>
      </c>
      <c r="J163" s="316">
        <f t="shared" si="749"/>
        <v>0</v>
      </c>
      <c r="K163" s="316">
        <f t="shared" si="749"/>
        <v>0</v>
      </c>
      <c r="L163" s="321">
        <f t="shared" ref="L163" si="751">+L126/20</f>
        <v>0</v>
      </c>
      <c r="M163" s="315">
        <f t="shared" si="749"/>
        <v>0</v>
      </c>
      <c r="N163" s="316">
        <f t="shared" si="749"/>
        <v>0</v>
      </c>
      <c r="O163" s="316">
        <f t="shared" si="749"/>
        <v>0</v>
      </c>
      <c r="P163" s="316">
        <f t="shared" ref="P163:Q163" si="752">+P126/20</f>
        <v>0</v>
      </c>
      <c r="Q163" s="316">
        <f t="shared" si="752"/>
        <v>0</v>
      </c>
      <c r="R163" s="319">
        <f t="shared" si="749"/>
        <v>0</v>
      </c>
      <c r="S163" s="320">
        <f t="shared" si="666"/>
        <v>0</v>
      </c>
      <c r="T163" s="320">
        <f t="shared" si="666"/>
        <v>0</v>
      </c>
      <c r="U163" s="320">
        <f t="shared" si="666"/>
        <v>0</v>
      </c>
      <c r="V163" s="320">
        <f t="shared" ref="V163" si="753">V126/20</f>
        <v>0</v>
      </c>
      <c r="W163" s="320">
        <f t="shared" si="666"/>
        <v>0</v>
      </c>
      <c r="X163" s="331">
        <f t="shared" si="666"/>
        <v>0</v>
      </c>
      <c r="Y163" s="315">
        <f t="shared" si="668"/>
        <v>0</v>
      </c>
      <c r="Z163" s="320">
        <f t="shared" si="668"/>
        <v>0</v>
      </c>
      <c r="AA163" s="320">
        <f t="shared" si="668"/>
        <v>0</v>
      </c>
      <c r="AB163" s="320">
        <f t="shared" si="668"/>
        <v>0</v>
      </c>
      <c r="AC163" s="331">
        <f t="shared" si="668"/>
        <v>0</v>
      </c>
      <c r="AD163" s="315">
        <f t="shared" si="668"/>
        <v>0</v>
      </c>
      <c r="AE163" s="316">
        <f t="shared" si="494"/>
        <v>0</v>
      </c>
      <c r="AF163" s="316">
        <f t="shared" si="495"/>
        <v>0</v>
      </c>
      <c r="AG163" s="316">
        <f t="shared" si="496"/>
        <v>0</v>
      </c>
      <c r="AH163" s="316">
        <f t="shared" si="497"/>
        <v>0</v>
      </c>
      <c r="AI163" s="316">
        <f t="shared" si="498"/>
        <v>0</v>
      </c>
      <c r="AJ163" s="316">
        <f t="shared" si="499"/>
        <v>0</v>
      </c>
      <c r="AK163" s="316">
        <f t="shared" si="500"/>
        <v>0</v>
      </c>
      <c r="AL163" s="316">
        <f t="shared" si="501"/>
        <v>0</v>
      </c>
      <c r="AM163" s="319">
        <f t="shared" si="502"/>
        <v>0</v>
      </c>
      <c r="AN163" s="315">
        <f t="shared" si="503"/>
        <v>0</v>
      </c>
      <c r="AO163" s="316">
        <f t="shared" si="504"/>
        <v>0</v>
      </c>
      <c r="AP163" s="320">
        <f t="shared" si="505"/>
        <v>0</v>
      </c>
      <c r="AQ163" s="316">
        <f t="shared" si="506"/>
        <v>0</v>
      </c>
      <c r="AR163" s="320">
        <f t="shared" si="507"/>
        <v>0</v>
      </c>
      <c r="AS163" s="316">
        <f t="shared" si="508"/>
        <v>0</v>
      </c>
      <c r="AT163" s="320">
        <f t="shared" si="509"/>
        <v>0</v>
      </c>
      <c r="AU163" s="321">
        <f t="shared" si="510"/>
        <v>0</v>
      </c>
      <c r="AV163" s="315">
        <f t="shared" ref="AV163:BF163" si="754">+AV126/20</f>
        <v>0</v>
      </c>
      <c r="AW163" s="316">
        <f t="shared" si="754"/>
        <v>0</v>
      </c>
      <c r="AX163" s="335">
        <f t="shared" si="754"/>
        <v>0</v>
      </c>
      <c r="AY163" s="319">
        <f t="shared" si="754"/>
        <v>0</v>
      </c>
      <c r="AZ163" s="315">
        <f t="shared" si="754"/>
        <v>0</v>
      </c>
      <c r="BA163" s="320">
        <f t="shared" si="754"/>
        <v>0</v>
      </c>
      <c r="BB163" s="320">
        <f t="shared" si="754"/>
        <v>0</v>
      </c>
      <c r="BC163" s="320">
        <f t="shared" si="754"/>
        <v>0</v>
      </c>
      <c r="BD163" s="320">
        <f t="shared" si="754"/>
        <v>0</v>
      </c>
      <c r="BE163" s="343">
        <f t="shared" si="754"/>
        <v>0</v>
      </c>
      <c r="BF163" s="315">
        <f t="shared" si="754"/>
        <v>0</v>
      </c>
      <c r="BG163" s="316">
        <f t="shared" si="523"/>
        <v>0</v>
      </c>
      <c r="BH163" s="316">
        <f t="shared" si="524"/>
        <v>0</v>
      </c>
      <c r="BI163" s="316">
        <f t="shared" ref="BI163" si="755">+BI126/20</f>
        <v>0</v>
      </c>
      <c r="BJ163" s="316">
        <f t="shared" si="526"/>
        <v>0</v>
      </c>
      <c r="BK163" s="316">
        <f t="shared" si="527"/>
        <v>0</v>
      </c>
      <c r="BL163" s="316">
        <f t="shared" ref="BL163" si="756">+BL126/20</f>
        <v>0</v>
      </c>
      <c r="BM163" s="316">
        <f t="shared" si="529"/>
        <v>0</v>
      </c>
      <c r="BN163" s="316">
        <f t="shared" si="530"/>
        <v>0</v>
      </c>
      <c r="BO163" s="316">
        <f t="shared" si="531"/>
        <v>0</v>
      </c>
      <c r="BP163" s="316">
        <f t="shared" si="532"/>
        <v>0</v>
      </c>
      <c r="BQ163" s="316">
        <f t="shared" si="533"/>
        <v>0</v>
      </c>
      <c r="BR163" s="316">
        <f t="shared" ref="BR163" si="757">+BR126/20</f>
        <v>0</v>
      </c>
      <c r="BS163" s="316">
        <f t="shared" si="535"/>
        <v>0</v>
      </c>
      <c r="BT163" s="316">
        <f t="shared" si="536"/>
        <v>0</v>
      </c>
      <c r="BU163" s="316">
        <f t="shared" ref="BU163" si="758">+BU126/20</f>
        <v>0</v>
      </c>
      <c r="BV163" s="316">
        <f t="shared" si="538"/>
        <v>0</v>
      </c>
      <c r="BW163" s="316">
        <f t="shared" si="539"/>
        <v>0</v>
      </c>
      <c r="BX163" s="316">
        <f t="shared" ref="BX163" si="759">+BX126/20</f>
        <v>0</v>
      </c>
      <c r="BY163" s="316">
        <f t="shared" si="541"/>
        <v>0</v>
      </c>
      <c r="BZ163" s="316">
        <f t="shared" si="542"/>
        <v>0</v>
      </c>
      <c r="CA163" s="316">
        <f t="shared" si="543"/>
        <v>0</v>
      </c>
      <c r="CB163" s="316">
        <f t="shared" si="544"/>
        <v>0</v>
      </c>
      <c r="CC163" s="319">
        <f t="shared" si="545"/>
        <v>0</v>
      </c>
      <c r="CD163" s="320">
        <f t="shared" si="675"/>
        <v>0</v>
      </c>
      <c r="CE163" s="320">
        <f t="shared" si="675"/>
        <v>0</v>
      </c>
      <c r="CF163" s="320">
        <f t="shared" si="675"/>
        <v>0</v>
      </c>
      <c r="CG163" s="320">
        <f t="shared" si="675"/>
        <v>0</v>
      </c>
      <c r="CH163" s="320">
        <f t="shared" si="675"/>
        <v>0</v>
      </c>
      <c r="CI163" s="331">
        <f t="shared" si="675"/>
        <v>0</v>
      </c>
      <c r="CJ163" s="320">
        <f t="shared" ref="CJ163:CO163" si="760">+CJ126/20</f>
        <v>0</v>
      </c>
      <c r="CK163" s="320">
        <f t="shared" si="760"/>
        <v>0</v>
      </c>
      <c r="CL163" s="320">
        <f t="shared" si="760"/>
        <v>0</v>
      </c>
      <c r="CM163" s="320">
        <f t="shared" si="760"/>
        <v>0</v>
      </c>
      <c r="CN163" s="320">
        <f t="shared" si="760"/>
        <v>0</v>
      </c>
      <c r="CO163" s="331">
        <f t="shared" si="760"/>
        <v>0</v>
      </c>
      <c r="CP163" s="320">
        <f t="shared" ref="CP163:CU163" si="761">+CP126/20</f>
        <v>0</v>
      </c>
      <c r="CQ163" s="320">
        <f t="shared" si="761"/>
        <v>0</v>
      </c>
      <c r="CR163" s="320">
        <f t="shared" si="761"/>
        <v>0</v>
      </c>
      <c r="CS163" s="320">
        <f t="shared" si="761"/>
        <v>0</v>
      </c>
      <c r="CT163" s="320">
        <f t="shared" si="761"/>
        <v>0</v>
      </c>
      <c r="CU163" s="331">
        <f t="shared" si="761"/>
        <v>0</v>
      </c>
      <c r="CV163" s="320">
        <f t="shared" ref="CV163:DA163" si="762">+CV126/20</f>
        <v>0</v>
      </c>
      <c r="CW163" s="320">
        <f t="shared" si="762"/>
        <v>0</v>
      </c>
      <c r="CX163" s="320">
        <f t="shared" si="762"/>
        <v>0</v>
      </c>
      <c r="CY163" s="320">
        <f t="shared" si="762"/>
        <v>0</v>
      </c>
      <c r="CZ163" s="320">
        <f t="shared" si="762"/>
        <v>0</v>
      </c>
      <c r="DA163" s="331">
        <f t="shared" si="762"/>
        <v>0</v>
      </c>
      <c r="DB163" s="344">
        <f t="shared" si="549"/>
        <v>0</v>
      </c>
    </row>
    <row r="164" spans="1:106" ht="15.75" thickBot="1">
      <c r="A164" s="239">
        <v>18</v>
      </c>
      <c r="B164" s="239">
        <f t="shared" ref="B164:R164" si="763">+B127/20</f>
        <v>0</v>
      </c>
      <c r="C164" s="277">
        <f t="shared" si="763"/>
        <v>0</v>
      </c>
      <c r="D164" s="277">
        <f t="shared" si="763"/>
        <v>0</v>
      </c>
      <c r="E164" s="277">
        <f t="shared" ref="E164:F164" si="764">+E127/20</f>
        <v>0</v>
      </c>
      <c r="F164" s="314">
        <f t="shared" si="764"/>
        <v>0</v>
      </c>
      <c r="G164" s="315">
        <f t="shared" si="763"/>
        <v>0</v>
      </c>
      <c r="H164" s="316">
        <f t="shared" si="763"/>
        <v>0</v>
      </c>
      <c r="I164" s="316">
        <f t="shared" si="763"/>
        <v>0</v>
      </c>
      <c r="J164" s="316">
        <f t="shared" si="763"/>
        <v>0</v>
      </c>
      <c r="K164" s="316">
        <f t="shared" si="763"/>
        <v>0</v>
      </c>
      <c r="L164" s="321">
        <f t="shared" ref="L164" si="765">+L127/20</f>
        <v>0</v>
      </c>
      <c r="M164" s="315">
        <f t="shared" si="763"/>
        <v>0</v>
      </c>
      <c r="N164" s="316">
        <f t="shared" si="763"/>
        <v>0</v>
      </c>
      <c r="O164" s="316">
        <f t="shared" si="763"/>
        <v>0</v>
      </c>
      <c r="P164" s="316">
        <f t="shared" ref="P164:Q164" si="766">+P127/20</f>
        <v>0</v>
      </c>
      <c r="Q164" s="316">
        <f t="shared" si="766"/>
        <v>0</v>
      </c>
      <c r="R164" s="319">
        <f t="shared" si="763"/>
        <v>0</v>
      </c>
      <c r="S164" s="320">
        <f t="shared" si="666"/>
        <v>0</v>
      </c>
      <c r="T164" s="320">
        <f t="shared" si="666"/>
        <v>0</v>
      </c>
      <c r="U164" s="320">
        <f t="shared" si="666"/>
        <v>0</v>
      </c>
      <c r="V164" s="320">
        <f t="shared" ref="V164" si="767">V127/20</f>
        <v>0</v>
      </c>
      <c r="W164" s="320">
        <f t="shared" si="666"/>
        <v>0</v>
      </c>
      <c r="X164" s="331">
        <f t="shared" si="666"/>
        <v>0</v>
      </c>
      <c r="Y164" s="315">
        <f t="shared" si="668"/>
        <v>0</v>
      </c>
      <c r="Z164" s="320">
        <f t="shared" si="668"/>
        <v>0</v>
      </c>
      <c r="AA164" s="320">
        <f t="shared" si="668"/>
        <v>0</v>
      </c>
      <c r="AB164" s="320">
        <f t="shared" si="668"/>
        <v>0</v>
      </c>
      <c r="AC164" s="331">
        <f t="shared" si="668"/>
        <v>0</v>
      </c>
      <c r="AD164" s="315">
        <f t="shared" si="668"/>
        <v>0</v>
      </c>
      <c r="AE164" s="316">
        <f t="shared" si="494"/>
        <v>0</v>
      </c>
      <c r="AF164" s="316">
        <f t="shared" si="495"/>
        <v>0</v>
      </c>
      <c r="AG164" s="316">
        <f t="shared" si="496"/>
        <v>0</v>
      </c>
      <c r="AH164" s="316">
        <f t="shared" si="497"/>
        <v>0</v>
      </c>
      <c r="AI164" s="316">
        <f t="shared" si="498"/>
        <v>0</v>
      </c>
      <c r="AJ164" s="316">
        <f t="shared" si="499"/>
        <v>0</v>
      </c>
      <c r="AK164" s="316">
        <f t="shared" si="500"/>
        <v>0</v>
      </c>
      <c r="AL164" s="316">
        <f t="shared" si="501"/>
        <v>0</v>
      </c>
      <c r="AM164" s="319">
        <f t="shared" si="502"/>
        <v>0</v>
      </c>
      <c r="AN164" s="315">
        <f t="shared" si="503"/>
        <v>0</v>
      </c>
      <c r="AO164" s="316">
        <f t="shared" si="504"/>
        <v>0</v>
      </c>
      <c r="AP164" s="320">
        <f t="shared" si="505"/>
        <v>0</v>
      </c>
      <c r="AQ164" s="316">
        <f t="shared" si="506"/>
        <v>0</v>
      </c>
      <c r="AR164" s="320">
        <f t="shared" si="507"/>
        <v>0</v>
      </c>
      <c r="AS164" s="316">
        <f t="shared" si="508"/>
        <v>0</v>
      </c>
      <c r="AT164" s="320">
        <f t="shared" si="509"/>
        <v>0</v>
      </c>
      <c r="AU164" s="321">
        <f t="shared" si="510"/>
        <v>0</v>
      </c>
      <c r="AV164" s="315">
        <f t="shared" ref="AV164:BF164" si="768">+AV127/20</f>
        <v>0</v>
      </c>
      <c r="AW164" s="316">
        <f t="shared" si="768"/>
        <v>0</v>
      </c>
      <c r="AX164" s="335">
        <f t="shared" si="768"/>
        <v>0</v>
      </c>
      <c r="AY164" s="319">
        <f t="shared" si="768"/>
        <v>0</v>
      </c>
      <c r="AZ164" s="315">
        <f t="shared" si="768"/>
        <v>0</v>
      </c>
      <c r="BA164" s="320">
        <f t="shared" si="768"/>
        <v>0</v>
      </c>
      <c r="BB164" s="320">
        <f t="shared" si="768"/>
        <v>0</v>
      </c>
      <c r="BC164" s="320">
        <f t="shared" si="768"/>
        <v>0</v>
      </c>
      <c r="BD164" s="320">
        <f t="shared" si="768"/>
        <v>0</v>
      </c>
      <c r="BE164" s="343">
        <f t="shared" si="768"/>
        <v>0</v>
      </c>
      <c r="BF164" s="315">
        <f t="shared" si="768"/>
        <v>0</v>
      </c>
      <c r="BG164" s="316">
        <f t="shared" si="523"/>
        <v>0</v>
      </c>
      <c r="BH164" s="316">
        <f t="shared" si="524"/>
        <v>0</v>
      </c>
      <c r="BI164" s="316">
        <f t="shared" ref="BI164" si="769">+BI127/20</f>
        <v>0</v>
      </c>
      <c r="BJ164" s="316">
        <f t="shared" si="526"/>
        <v>0</v>
      </c>
      <c r="BK164" s="316">
        <f t="shared" si="527"/>
        <v>0</v>
      </c>
      <c r="BL164" s="316">
        <f t="shared" ref="BL164" si="770">+BL127/20</f>
        <v>0</v>
      </c>
      <c r="BM164" s="316">
        <f t="shared" si="529"/>
        <v>0</v>
      </c>
      <c r="BN164" s="316">
        <f t="shared" si="530"/>
        <v>0</v>
      </c>
      <c r="BO164" s="316">
        <f t="shared" si="531"/>
        <v>0</v>
      </c>
      <c r="BP164" s="316">
        <f t="shared" si="532"/>
        <v>0</v>
      </c>
      <c r="BQ164" s="316">
        <f t="shared" si="533"/>
        <v>0</v>
      </c>
      <c r="BR164" s="316">
        <f t="shared" ref="BR164" si="771">+BR127/20</f>
        <v>0</v>
      </c>
      <c r="BS164" s="316">
        <f t="shared" si="535"/>
        <v>0</v>
      </c>
      <c r="BT164" s="316">
        <f t="shared" si="536"/>
        <v>0</v>
      </c>
      <c r="BU164" s="316">
        <f t="shared" ref="BU164" si="772">+BU127/20</f>
        <v>0</v>
      </c>
      <c r="BV164" s="316">
        <f t="shared" si="538"/>
        <v>0</v>
      </c>
      <c r="BW164" s="316">
        <f t="shared" si="539"/>
        <v>0</v>
      </c>
      <c r="BX164" s="316">
        <f t="shared" ref="BX164" si="773">+BX127/20</f>
        <v>0</v>
      </c>
      <c r="BY164" s="316">
        <f t="shared" si="541"/>
        <v>0</v>
      </c>
      <c r="BZ164" s="316">
        <f t="shared" si="542"/>
        <v>0</v>
      </c>
      <c r="CA164" s="316">
        <f t="shared" si="543"/>
        <v>0</v>
      </c>
      <c r="CB164" s="316">
        <f t="shared" si="544"/>
        <v>0</v>
      </c>
      <c r="CC164" s="319">
        <f t="shared" si="545"/>
        <v>0</v>
      </c>
      <c r="CD164" s="320">
        <f t="shared" si="675"/>
        <v>0</v>
      </c>
      <c r="CE164" s="320">
        <f t="shared" si="675"/>
        <v>0</v>
      </c>
      <c r="CF164" s="320">
        <f t="shared" si="675"/>
        <v>0</v>
      </c>
      <c r="CG164" s="320">
        <f t="shared" si="675"/>
        <v>0</v>
      </c>
      <c r="CH164" s="320">
        <f t="shared" si="675"/>
        <v>0</v>
      </c>
      <c r="CI164" s="331">
        <f t="shared" si="675"/>
        <v>0</v>
      </c>
      <c r="CJ164" s="320">
        <f t="shared" ref="CJ164:CO164" si="774">+CJ127/20</f>
        <v>0</v>
      </c>
      <c r="CK164" s="320">
        <f t="shared" si="774"/>
        <v>0</v>
      </c>
      <c r="CL164" s="320">
        <f t="shared" si="774"/>
        <v>0</v>
      </c>
      <c r="CM164" s="320">
        <f t="shared" si="774"/>
        <v>0</v>
      </c>
      <c r="CN164" s="320">
        <f t="shared" si="774"/>
        <v>0</v>
      </c>
      <c r="CO164" s="331">
        <f t="shared" si="774"/>
        <v>0</v>
      </c>
      <c r="CP164" s="320">
        <f t="shared" ref="CP164:CU164" si="775">+CP127/20</f>
        <v>0</v>
      </c>
      <c r="CQ164" s="320">
        <f t="shared" si="775"/>
        <v>0</v>
      </c>
      <c r="CR164" s="320">
        <f t="shared" si="775"/>
        <v>0</v>
      </c>
      <c r="CS164" s="320">
        <f t="shared" si="775"/>
        <v>0</v>
      </c>
      <c r="CT164" s="320">
        <f t="shared" si="775"/>
        <v>0</v>
      </c>
      <c r="CU164" s="331">
        <f t="shared" si="775"/>
        <v>0</v>
      </c>
      <c r="CV164" s="320">
        <f t="shared" ref="CV164:DA164" si="776">+CV127/20</f>
        <v>0</v>
      </c>
      <c r="CW164" s="320">
        <f t="shared" si="776"/>
        <v>0</v>
      </c>
      <c r="CX164" s="320">
        <f t="shared" si="776"/>
        <v>0</v>
      </c>
      <c r="CY164" s="320">
        <f t="shared" si="776"/>
        <v>0</v>
      </c>
      <c r="CZ164" s="320">
        <f t="shared" si="776"/>
        <v>0</v>
      </c>
      <c r="DA164" s="331">
        <f t="shared" si="776"/>
        <v>0</v>
      </c>
      <c r="DB164" s="344">
        <f t="shared" si="549"/>
        <v>0</v>
      </c>
    </row>
    <row r="165" spans="1:106" ht="15.75" thickBot="1">
      <c r="A165" s="239">
        <v>19</v>
      </c>
      <c r="B165" s="239">
        <f t="shared" ref="B165:R165" si="777">+B128/20</f>
        <v>0</v>
      </c>
      <c r="C165" s="277">
        <f t="shared" si="777"/>
        <v>0</v>
      </c>
      <c r="D165" s="277">
        <f t="shared" si="777"/>
        <v>0</v>
      </c>
      <c r="E165" s="277">
        <f t="shared" ref="E165:F165" si="778">+E128/20</f>
        <v>0</v>
      </c>
      <c r="F165" s="314">
        <f t="shared" si="778"/>
        <v>0</v>
      </c>
      <c r="G165" s="315">
        <f t="shared" si="777"/>
        <v>0</v>
      </c>
      <c r="H165" s="316">
        <f t="shared" si="777"/>
        <v>0</v>
      </c>
      <c r="I165" s="316">
        <f t="shared" si="777"/>
        <v>0</v>
      </c>
      <c r="J165" s="316">
        <f t="shared" si="777"/>
        <v>0</v>
      </c>
      <c r="K165" s="316">
        <f t="shared" si="777"/>
        <v>0</v>
      </c>
      <c r="L165" s="321">
        <f t="shared" ref="L165" si="779">+L128/20</f>
        <v>0</v>
      </c>
      <c r="M165" s="315">
        <f t="shared" si="777"/>
        <v>0</v>
      </c>
      <c r="N165" s="316">
        <f t="shared" si="777"/>
        <v>0</v>
      </c>
      <c r="O165" s="316">
        <f t="shared" si="777"/>
        <v>0</v>
      </c>
      <c r="P165" s="316">
        <f t="shared" ref="P165:Q165" si="780">+P128/20</f>
        <v>0</v>
      </c>
      <c r="Q165" s="316">
        <f t="shared" si="780"/>
        <v>0</v>
      </c>
      <c r="R165" s="319">
        <f t="shared" si="777"/>
        <v>0</v>
      </c>
      <c r="S165" s="320">
        <f t="shared" si="666"/>
        <v>0</v>
      </c>
      <c r="T165" s="320">
        <f t="shared" si="666"/>
        <v>0</v>
      </c>
      <c r="U165" s="320">
        <f t="shared" si="666"/>
        <v>0</v>
      </c>
      <c r="V165" s="320">
        <f t="shared" ref="V165" si="781">V128/20</f>
        <v>0</v>
      </c>
      <c r="W165" s="320">
        <f t="shared" si="666"/>
        <v>0</v>
      </c>
      <c r="X165" s="331">
        <f t="shared" si="666"/>
        <v>0</v>
      </c>
      <c r="Y165" s="315">
        <f t="shared" si="668"/>
        <v>0</v>
      </c>
      <c r="Z165" s="320">
        <f t="shared" si="668"/>
        <v>0</v>
      </c>
      <c r="AA165" s="320">
        <f t="shared" si="668"/>
        <v>0</v>
      </c>
      <c r="AB165" s="320">
        <f t="shared" si="668"/>
        <v>0</v>
      </c>
      <c r="AC165" s="331">
        <f t="shared" si="668"/>
        <v>0</v>
      </c>
      <c r="AD165" s="315">
        <f t="shared" si="668"/>
        <v>0</v>
      </c>
      <c r="AE165" s="316">
        <f t="shared" si="494"/>
        <v>0</v>
      </c>
      <c r="AF165" s="316">
        <f t="shared" si="495"/>
        <v>0</v>
      </c>
      <c r="AG165" s="316">
        <f t="shared" si="496"/>
        <v>0</v>
      </c>
      <c r="AH165" s="316">
        <f t="shared" si="497"/>
        <v>0</v>
      </c>
      <c r="AI165" s="316">
        <f t="shared" si="498"/>
        <v>0</v>
      </c>
      <c r="AJ165" s="316">
        <f t="shared" si="499"/>
        <v>0</v>
      </c>
      <c r="AK165" s="316">
        <f t="shared" si="500"/>
        <v>0</v>
      </c>
      <c r="AL165" s="316">
        <f t="shared" si="501"/>
        <v>0</v>
      </c>
      <c r="AM165" s="319">
        <f t="shared" si="502"/>
        <v>0</v>
      </c>
      <c r="AN165" s="315">
        <f t="shared" si="503"/>
        <v>0</v>
      </c>
      <c r="AO165" s="316">
        <f t="shared" si="504"/>
        <v>0</v>
      </c>
      <c r="AP165" s="320">
        <f t="shared" si="505"/>
        <v>0</v>
      </c>
      <c r="AQ165" s="316">
        <f t="shared" si="506"/>
        <v>0</v>
      </c>
      <c r="AR165" s="320">
        <f t="shared" si="507"/>
        <v>0</v>
      </c>
      <c r="AS165" s="316">
        <f t="shared" si="508"/>
        <v>0</v>
      </c>
      <c r="AT165" s="320">
        <f t="shared" si="509"/>
        <v>0</v>
      </c>
      <c r="AU165" s="321">
        <f t="shared" si="510"/>
        <v>0</v>
      </c>
      <c r="AV165" s="315">
        <f t="shared" ref="AV165:BF165" si="782">+AV128/20</f>
        <v>0</v>
      </c>
      <c r="AW165" s="316">
        <f t="shared" si="782"/>
        <v>0</v>
      </c>
      <c r="AX165" s="335">
        <f t="shared" si="782"/>
        <v>0</v>
      </c>
      <c r="AY165" s="319">
        <f t="shared" si="782"/>
        <v>0</v>
      </c>
      <c r="AZ165" s="315">
        <f t="shared" si="782"/>
        <v>0</v>
      </c>
      <c r="BA165" s="320">
        <f t="shared" si="782"/>
        <v>0</v>
      </c>
      <c r="BB165" s="320">
        <f t="shared" si="782"/>
        <v>0</v>
      </c>
      <c r="BC165" s="320">
        <f t="shared" si="782"/>
        <v>0</v>
      </c>
      <c r="BD165" s="320">
        <f t="shared" si="782"/>
        <v>0</v>
      </c>
      <c r="BE165" s="343">
        <f t="shared" si="782"/>
        <v>0</v>
      </c>
      <c r="BF165" s="315">
        <f t="shared" si="782"/>
        <v>0</v>
      </c>
      <c r="BG165" s="316">
        <f t="shared" si="523"/>
        <v>0</v>
      </c>
      <c r="BH165" s="316">
        <f t="shared" si="524"/>
        <v>0</v>
      </c>
      <c r="BI165" s="316">
        <f t="shared" ref="BI165" si="783">+BI128/20</f>
        <v>0</v>
      </c>
      <c r="BJ165" s="316">
        <f t="shared" si="526"/>
        <v>0</v>
      </c>
      <c r="BK165" s="316">
        <f t="shared" si="527"/>
        <v>0</v>
      </c>
      <c r="BL165" s="316">
        <f t="shared" ref="BL165" si="784">+BL128/20</f>
        <v>0</v>
      </c>
      <c r="BM165" s="316">
        <f t="shared" si="529"/>
        <v>0</v>
      </c>
      <c r="BN165" s="316">
        <f t="shared" si="530"/>
        <v>0</v>
      </c>
      <c r="BO165" s="316">
        <f t="shared" si="531"/>
        <v>0</v>
      </c>
      <c r="BP165" s="316">
        <f t="shared" si="532"/>
        <v>0</v>
      </c>
      <c r="BQ165" s="316">
        <f t="shared" si="533"/>
        <v>0</v>
      </c>
      <c r="BR165" s="316">
        <f t="shared" ref="BR165" si="785">+BR128/20</f>
        <v>0</v>
      </c>
      <c r="BS165" s="316">
        <f t="shared" si="535"/>
        <v>0</v>
      </c>
      <c r="BT165" s="316">
        <f t="shared" si="536"/>
        <v>0</v>
      </c>
      <c r="BU165" s="316">
        <f t="shared" ref="BU165" si="786">+BU128/20</f>
        <v>0</v>
      </c>
      <c r="BV165" s="316">
        <f t="shared" si="538"/>
        <v>0</v>
      </c>
      <c r="BW165" s="316">
        <f t="shared" si="539"/>
        <v>0</v>
      </c>
      <c r="BX165" s="316">
        <f t="shared" ref="BX165" si="787">+BX128/20</f>
        <v>0</v>
      </c>
      <c r="BY165" s="316">
        <f t="shared" si="541"/>
        <v>0</v>
      </c>
      <c r="BZ165" s="316">
        <f t="shared" si="542"/>
        <v>0</v>
      </c>
      <c r="CA165" s="316">
        <f t="shared" si="543"/>
        <v>0</v>
      </c>
      <c r="CB165" s="316">
        <f t="shared" si="544"/>
        <v>0</v>
      </c>
      <c r="CC165" s="319">
        <f t="shared" si="545"/>
        <v>0</v>
      </c>
      <c r="CD165" s="320">
        <f t="shared" si="675"/>
        <v>0</v>
      </c>
      <c r="CE165" s="320">
        <f t="shared" si="675"/>
        <v>0</v>
      </c>
      <c r="CF165" s="320">
        <f t="shared" si="675"/>
        <v>0</v>
      </c>
      <c r="CG165" s="320">
        <f t="shared" si="675"/>
        <v>0</v>
      </c>
      <c r="CH165" s="320">
        <f t="shared" si="675"/>
        <v>0</v>
      </c>
      <c r="CI165" s="331">
        <f t="shared" si="675"/>
        <v>0</v>
      </c>
      <c r="CJ165" s="320">
        <f t="shared" ref="CJ165:CO165" si="788">+CJ128/20</f>
        <v>0</v>
      </c>
      <c r="CK165" s="320">
        <f t="shared" si="788"/>
        <v>0</v>
      </c>
      <c r="CL165" s="320">
        <f t="shared" si="788"/>
        <v>0</v>
      </c>
      <c r="CM165" s="320">
        <f t="shared" si="788"/>
        <v>0</v>
      </c>
      <c r="CN165" s="320">
        <f t="shared" si="788"/>
        <v>0</v>
      </c>
      <c r="CO165" s="331">
        <f t="shared" si="788"/>
        <v>0</v>
      </c>
      <c r="CP165" s="320">
        <f t="shared" ref="CP165:CU165" si="789">+CP128/20</f>
        <v>0</v>
      </c>
      <c r="CQ165" s="320">
        <f t="shared" si="789"/>
        <v>0</v>
      </c>
      <c r="CR165" s="320">
        <f t="shared" si="789"/>
        <v>0</v>
      </c>
      <c r="CS165" s="320">
        <f t="shared" si="789"/>
        <v>0</v>
      </c>
      <c r="CT165" s="320">
        <f t="shared" si="789"/>
        <v>0</v>
      </c>
      <c r="CU165" s="331">
        <f t="shared" si="789"/>
        <v>0</v>
      </c>
      <c r="CV165" s="320">
        <f t="shared" ref="CV165:DA165" si="790">+CV128/20</f>
        <v>0</v>
      </c>
      <c r="CW165" s="320">
        <f t="shared" si="790"/>
        <v>0</v>
      </c>
      <c r="CX165" s="320">
        <f t="shared" si="790"/>
        <v>0</v>
      </c>
      <c r="CY165" s="320">
        <f t="shared" si="790"/>
        <v>0</v>
      </c>
      <c r="CZ165" s="320">
        <f t="shared" si="790"/>
        <v>0</v>
      </c>
      <c r="DA165" s="331">
        <f t="shared" si="790"/>
        <v>0</v>
      </c>
      <c r="DB165" s="344">
        <f t="shared" si="549"/>
        <v>0</v>
      </c>
    </row>
    <row r="166" spans="1:106" ht="15.75" thickBot="1">
      <c r="A166" s="239">
        <v>20</v>
      </c>
      <c r="B166" s="239">
        <f t="shared" ref="B166:R166" si="791">+B129/20</f>
        <v>0</v>
      </c>
      <c r="C166" s="277">
        <f t="shared" si="791"/>
        <v>0</v>
      </c>
      <c r="D166" s="277">
        <f t="shared" si="791"/>
        <v>0</v>
      </c>
      <c r="E166" s="277">
        <f t="shared" ref="E166:F166" si="792">+E129/20</f>
        <v>0</v>
      </c>
      <c r="F166" s="314">
        <f t="shared" si="792"/>
        <v>0</v>
      </c>
      <c r="G166" s="315">
        <f t="shared" si="791"/>
        <v>0</v>
      </c>
      <c r="H166" s="316">
        <f t="shared" si="791"/>
        <v>0</v>
      </c>
      <c r="I166" s="316">
        <f t="shared" si="791"/>
        <v>0</v>
      </c>
      <c r="J166" s="316">
        <f t="shared" si="791"/>
        <v>0</v>
      </c>
      <c r="K166" s="316">
        <f t="shared" si="791"/>
        <v>0</v>
      </c>
      <c r="L166" s="321">
        <f t="shared" ref="L166" si="793">+L129/20</f>
        <v>0</v>
      </c>
      <c r="M166" s="315">
        <f t="shared" si="791"/>
        <v>0</v>
      </c>
      <c r="N166" s="316">
        <f t="shared" si="791"/>
        <v>0</v>
      </c>
      <c r="O166" s="316">
        <f t="shared" si="791"/>
        <v>0</v>
      </c>
      <c r="P166" s="316">
        <f t="shared" ref="P166:Q166" si="794">+P129/20</f>
        <v>0</v>
      </c>
      <c r="Q166" s="316">
        <f t="shared" si="794"/>
        <v>0</v>
      </c>
      <c r="R166" s="319">
        <f t="shared" si="791"/>
        <v>0</v>
      </c>
      <c r="S166" s="320">
        <f t="shared" si="666"/>
        <v>0</v>
      </c>
      <c r="T166" s="320">
        <f t="shared" si="666"/>
        <v>0</v>
      </c>
      <c r="U166" s="320">
        <f t="shared" si="666"/>
        <v>0</v>
      </c>
      <c r="V166" s="320">
        <f t="shared" ref="V166" si="795">V129/20</f>
        <v>0</v>
      </c>
      <c r="W166" s="320">
        <f t="shared" si="666"/>
        <v>0</v>
      </c>
      <c r="X166" s="331">
        <f t="shared" si="666"/>
        <v>0</v>
      </c>
      <c r="Y166" s="315">
        <f t="shared" si="668"/>
        <v>0</v>
      </c>
      <c r="Z166" s="320">
        <f t="shared" si="668"/>
        <v>0</v>
      </c>
      <c r="AA166" s="320">
        <f t="shared" si="668"/>
        <v>0</v>
      </c>
      <c r="AB166" s="320">
        <f t="shared" si="668"/>
        <v>0</v>
      </c>
      <c r="AC166" s="331">
        <f t="shared" si="668"/>
        <v>0</v>
      </c>
      <c r="AD166" s="315">
        <f t="shared" si="668"/>
        <v>0</v>
      </c>
      <c r="AE166" s="316">
        <f t="shared" si="494"/>
        <v>0</v>
      </c>
      <c r="AF166" s="316">
        <f t="shared" si="495"/>
        <v>0</v>
      </c>
      <c r="AG166" s="316">
        <f t="shared" si="496"/>
        <v>0</v>
      </c>
      <c r="AH166" s="316">
        <f t="shared" si="497"/>
        <v>0</v>
      </c>
      <c r="AI166" s="316">
        <f t="shared" si="498"/>
        <v>0</v>
      </c>
      <c r="AJ166" s="316">
        <f t="shared" si="499"/>
        <v>0</v>
      </c>
      <c r="AK166" s="316">
        <f t="shared" si="500"/>
        <v>0</v>
      </c>
      <c r="AL166" s="316">
        <f t="shared" si="501"/>
        <v>0</v>
      </c>
      <c r="AM166" s="319">
        <f t="shared" si="502"/>
        <v>0</v>
      </c>
      <c r="AN166" s="315">
        <f t="shared" si="503"/>
        <v>0</v>
      </c>
      <c r="AO166" s="316">
        <f t="shared" si="504"/>
        <v>0</v>
      </c>
      <c r="AP166" s="320">
        <f t="shared" si="505"/>
        <v>0</v>
      </c>
      <c r="AQ166" s="316">
        <f t="shared" si="506"/>
        <v>0</v>
      </c>
      <c r="AR166" s="320">
        <f t="shared" si="507"/>
        <v>0</v>
      </c>
      <c r="AS166" s="316">
        <f t="shared" si="508"/>
        <v>0</v>
      </c>
      <c r="AT166" s="320">
        <f t="shared" si="509"/>
        <v>0</v>
      </c>
      <c r="AU166" s="321">
        <f t="shared" si="510"/>
        <v>0</v>
      </c>
      <c r="AV166" s="315">
        <f t="shared" ref="AV166:BF166" si="796">+AV129/20</f>
        <v>0</v>
      </c>
      <c r="AW166" s="316">
        <f t="shared" si="796"/>
        <v>0</v>
      </c>
      <c r="AX166" s="335">
        <f t="shared" si="796"/>
        <v>0</v>
      </c>
      <c r="AY166" s="319">
        <f t="shared" si="796"/>
        <v>0</v>
      </c>
      <c r="AZ166" s="315">
        <f t="shared" si="796"/>
        <v>0</v>
      </c>
      <c r="BA166" s="320">
        <f t="shared" si="796"/>
        <v>0</v>
      </c>
      <c r="BB166" s="320">
        <f t="shared" si="796"/>
        <v>0</v>
      </c>
      <c r="BC166" s="320">
        <f t="shared" si="796"/>
        <v>0</v>
      </c>
      <c r="BD166" s="320">
        <f t="shared" si="796"/>
        <v>0</v>
      </c>
      <c r="BE166" s="343">
        <f t="shared" si="796"/>
        <v>0</v>
      </c>
      <c r="BF166" s="315">
        <f t="shared" si="796"/>
        <v>0</v>
      </c>
      <c r="BG166" s="316">
        <f t="shared" si="523"/>
        <v>0</v>
      </c>
      <c r="BH166" s="316">
        <f t="shared" si="524"/>
        <v>0</v>
      </c>
      <c r="BI166" s="316">
        <f t="shared" ref="BI166" si="797">+BI129/20</f>
        <v>0</v>
      </c>
      <c r="BJ166" s="316">
        <f t="shared" si="526"/>
        <v>0</v>
      </c>
      <c r="BK166" s="316">
        <f t="shared" si="527"/>
        <v>0</v>
      </c>
      <c r="BL166" s="316">
        <f t="shared" ref="BL166" si="798">+BL129/20</f>
        <v>0</v>
      </c>
      <c r="BM166" s="316">
        <f t="shared" si="529"/>
        <v>0</v>
      </c>
      <c r="BN166" s="316">
        <f t="shared" si="530"/>
        <v>0</v>
      </c>
      <c r="BO166" s="316">
        <f t="shared" si="531"/>
        <v>0</v>
      </c>
      <c r="BP166" s="316">
        <f t="shared" si="532"/>
        <v>0</v>
      </c>
      <c r="BQ166" s="316">
        <f t="shared" si="533"/>
        <v>0</v>
      </c>
      <c r="BR166" s="316">
        <f t="shared" ref="BR166" si="799">+BR129/20</f>
        <v>0</v>
      </c>
      <c r="BS166" s="316">
        <f t="shared" si="535"/>
        <v>0</v>
      </c>
      <c r="BT166" s="316">
        <f t="shared" si="536"/>
        <v>0</v>
      </c>
      <c r="BU166" s="316">
        <f t="shared" ref="BU166" si="800">+BU129/20</f>
        <v>0</v>
      </c>
      <c r="BV166" s="316">
        <f t="shared" si="538"/>
        <v>0</v>
      </c>
      <c r="BW166" s="316">
        <f t="shared" si="539"/>
        <v>0</v>
      </c>
      <c r="BX166" s="316">
        <f t="shared" ref="BX166" si="801">+BX129/20</f>
        <v>0</v>
      </c>
      <c r="BY166" s="316">
        <f t="shared" si="541"/>
        <v>0</v>
      </c>
      <c r="BZ166" s="316">
        <f t="shared" si="542"/>
        <v>0</v>
      </c>
      <c r="CA166" s="316">
        <f t="shared" si="543"/>
        <v>0</v>
      </c>
      <c r="CB166" s="316">
        <f t="shared" si="544"/>
        <v>0</v>
      </c>
      <c r="CC166" s="319">
        <f t="shared" si="545"/>
        <v>0</v>
      </c>
      <c r="CD166" s="320">
        <f t="shared" si="675"/>
        <v>0</v>
      </c>
      <c r="CE166" s="320">
        <f t="shared" si="675"/>
        <v>0</v>
      </c>
      <c r="CF166" s="320">
        <f t="shared" si="675"/>
        <v>0</v>
      </c>
      <c r="CG166" s="320">
        <f t="shared" si="675"/>
        <v>0</v>
      </c>
      <c r="CH166" s="320">
        <f t="shared" si="675"/>
        <v>0</v>
      </c>
      <c r="CI166" s="331">
        <f t="shared" si="675"/>
        <v>0</v>
      </c>
      <c r="CJ166" s="320">
        <f t="shared" ref="CJ166:CO166" si="802">+CJ129/20</f>
        <v>0</v>
      </c>
      <c r="CK166" s="320">
        <f t="shared" si="802"/>
        <v>0</v>
      </c>
      <c r="CL166" s="320">
        <f t="shared" si="802"/>
        <v>0</v>
      </c>
      <c r="CM166" s="320">
        <f t="shared" si="802"/>
        <v>0</v>
      </c>
      <c r="CN166" s="320">
        <f t="shared" si="802"/>
        <v>0</v>
      </c>
      <c r="CO166" s="331">
        <f t="shared" si="802"/>
        <v>0</v>
      </c>
      <c r="CP166" s="320">
        <f t="shared" ref="CP166:CU166" si="803">+CP129/20</f>
        <v>0</v>
      </c>
      <c r="CQ166" s="320">
        <f t="shared" si="803"/>
        <v>0</v>
      </c>
      <c r="CR166" s="320">
        <f t="shared" si="803"/>
        <v>0</v>
      </c>
      <c r="CS166" s="320">
        <f t="shared" si="803"/>
        <v>0</v>
      </c>
      <c r="CT166" s="320">
        <f t="shared" si="803"/>
        <v>0</v>
      </c>
      <c r="CU166" s="331">
        <f t="shared" si="803"/>
        <v>0</v>
      </c>
      <c r="CV166" s="320">
        <f t="shared" ref="CV166:DA166" si="804">+CV129/20</f>
        <v>0</v>
      </c>
      <c r="CW166" s="320">
        <f t="shared" si="804"/>
        <v>0</v>
      </c>
      <c r="CX166" s="320">
        <f t="shared" si="804"/>
        <v>0</v>
      </c>
      <c r="CY166" s="320">
        <f t="shared" si="804"/>
        <v>0</v>
      </c>
      <c r="CZ166" s="320">
        <f t="shared" si="804"/>
        <v>0</v>
      </c>
      <c r="DA166" s="331">
        <f t="shared" si="804"/>
        <v>0</v>
      </c>
      <c r="DB166" s="344">
        <f t="shared" si="549"/>
        <v>0</v>
      </c>
    </row>
    <row r="167" spans="1:106" ht="15.75" thickBot="1">
      <c r="A167" s="239">
        <v>21</v>
      </c>
      <c r="B167" s="239">
        <f t="shared" ref="B167:R167" si="805">+B130/20</f>
        <v>0</v>
      </c>
      <c r="C167" s="277">
        <f t="shared" si="805"/>
        <v>0</v>
      </c>
      <c r="D167" s="277">
        <f t="shared" si="805"/>
        <v>0</v>
      </c>
      <c r="E167" s="277">
        <f t="shared" ref="E167:F167" si="806">+E130/20</f>
        <v>0</v>
      </c>
      <c r="F167" s="314">
        <f t="shared" si="806"/>
        <v>0</v>
      </c>
      <c r="G167" s="315">
        <f t="shared" si="805"/>
        <v>0</v>
      </c>
      <c r="H167" s="316">
        <f t="shared" si="805"/>
        <v>0</v>
      </c>
      <c r="I167" s="316">
        <f t="shared" si="805"/>
        <v>0</v>
      </c>
      <c r="J167" s="316">
        <f t="shared" si="805"/>
        <v>0</v>
      </c>
      <c r="K167" s="316">
        <f t="shared" si="805"/>
        <v>0</v>
      </c>
      <c r="L167" s="321">
        <f t="shared" ref="L167" si="807">+L130/20</f>
        <v>0</v>
      </c>
      <c r="M167" s="315">
        <f t="shared" si="805"/>
        <v>0</v>
      </c>
      <c r="N167" s="316">
        <f t="shared" si="805"/>
        <v>0</v>
      </c>
      <c r="O167" s="316">
        <f t="shared" si="805"/>
        <v>0</v>
      </c>
      <c r="P167" s="316">
        <f t="shared" ref="P167:Q167" si="808">+P130/20</f>
        <v>0</v>
      </c>
      <c r="Q167" s="316">
        <f t="shared" si="808"/>
        <v>0</v>
      </c>
      <c r="R167" s="319">
        <f t="shared" si="805"/>
        <v>0</v>
      </c>
      <c r="S167" s="320">
        <f t="shared" ref="S167:X176" si="809">S130/20</f>
        <v>0</v>
      </c>
      <c r="T167" s="320">
        <f t="shared" si="809"/>
        <v>0</v>
      </c>
      <c r="U167" s="320">
        <f t="shared" si="809"/>
        <v>0</v>
      </c>
      <c r="V167" s="320">
        <f t="shared" ref="V167" si="810">V130/20</f>
        <v>0</v>
      </c>
      <c r="W167" s="320">
        <f t="shared" si="809"/>
        <v>0</v>
      </c>
      <c r="X167" s="331">
        <f t="shared" si="809"/>
        <v>0</v>
      </c>
      <c r="Y167" s="315">
        <f t="shared" ref="Y167:AD176" si="811">+Y130/20</f>
        <v>0</v>
      </c>
      <c r="Z167" s="320">
        <f t="shared" si="811"/>
        <v>0</v>
      </c>
      <c r="AA167" s="320">
        <f t="shared" si="811"/>
        <v>0</v>
      </c>
      <c r="AB167" s="320">
        <f t="shared" si="811"/>
        <v>0</v>
      </c>
      <c r="AC167" s="331">
        <f t="shared" si="811"/>
        <v>0</v>
      </c>
      <c r="AD167" s="315">
        <f t="shared" si="811"/>
        <v>0</v>
      </c>
      <c r="AE167" s="316">
        <f t="shared" si="494"/>
        <v>0</v>
      </c>
      <c r="AF167" s="316">
        <f t="shared" si="495"/>
        <v>0</v>
      </c>
      <c r="AG167" s="316">
        <f t="shared" si="496"/>
        <v>0</v>
      </c>
      <c r="AH167" s="316">
        <f t="shared" si="497"/>
        <v>0</v>
      </c>
      <c r="AI167" s="316">
        <f t="shared" si="498"/>
        <v>0</v>
      </c>
      <c r="AJ167" s="316">
        <f t="shared" si="499"/>
        <v>0</v>
      </c>
      <c r="AK167" s="316">
        <f t="shared" si="500"/>
        <v>0</v>
      </c>
      <c r="AL167" s="316">
        <f t="shared" si="501"/>
        <v>0</v>
      </c>
      <c r="AM167" s="319">
        <f t="shared" si="502"/>
        <v>0</v>
      </c>
      <c r="AN167" s="315">
        <f t="shared" si="503"/>
        <v>0</v>
      </c>
      <c r="AO167" s="316">
        <f t="shared" si="504"/>
        <v>0</v>
      </c>
      <c r="AP167" s="320">
        <f t="shared" si="505"/>
        <v>0</v>
      </c>
      <c r="AQ167" s="316">
        <f t="shared" si="506"/>
        <v>0</v>
      </c>
      <c r="AR167" s="320">
        <f t="shared" si="507"/>
        <v>0</v>
      </c>
      <c r="AS167" s="316">
        <f t="shared" si="508"/>
        <v>0</v>
      </c>
      <c r="AT167" s="320">
        <f t="shared" si="509"/>
        <v>0</v>
      </c>
      <c r="AU167" s="321">
        <f t="shared" si="510"/>
        <v>0</v>
      </c>
      <c r="AV167" s="315">
        <f t="shared" ref="AV167:BF167" si="812">+AV130/20</f>
        <v>0</v>
      </c>
      <c r="AW167" s="316">
        <f t="shared" si="812"/>
        <v>0</v>
      </c>
      <c r="AX167" s="335">
        <f t="shared" si="812"/>
        <v>0</v>
      </c>
      <c r="AY167" s="319">
        <f t="shared" si="812"/>
        <v>0</v>
      </c>
      <c r="AZ167" s="315">
        <f t="shared" si="812"/>
        <v>0</v>
      </c>
      <c r="BA167" s="320">
        <f t="shared" si="812"/>
        <v>0</v>
      </c>
      <c r="BB167" s="320">
        <f t="shared" si="812"/>
        <v>0</v>
      </c>
      <c r="BC167" s="320">
        <f t="shared" si="812"/>
        <v>0</v>
      </c>
      <c r="BD167" s="320">
        <f t="shared" si="812"/>
        <v>0</v>
      </c>
      <c r="BE167" s="343">
        <f t="shared" si="812"/>
        <v>0</v>
      </c>
      <c r="BF167" s="315">
        <f t="shared" si="812"/>
        <v>0</v>
      </c>
      <c r="BG167" s="316">
        <f t="shared" si="523"/>
        <v>0</v>
      </c>
      <c r="BH167" s="316">
        <f t="shared" si="524"/>
        <v>0</v>
      </c>
      <c r="BI167" s="316">
        <f t="shared" ref="BI167" si="813">+BI130/20</f>
        <v>0</v>
      </c>
      <c r="BJ167" s="316">
        <f t="shared" si="526"/>
        <v>0</v>
      </c>
      <c r="BK167" s="316">
        <f t="shared" si="527"/>
        <v>0</v>
      </c>
      <c r="BL167" s="316">
        <f t="shared" ref="BL167" si="814">+BL130/20</f>
        <v>0</v>
      </c>
      <c r="BM167" s="316">
        <f t="shared" si="529"/>
        <v>0</v>
      </c>
      <c r="BN167" s="316">
        <f t="shared" si="530"/>
        <v>0</v>
      </c>
      <c r="BO167" s="316">
        <f t="shared" si="531"/>
        <v>0</v>
      </c>
      <c r="BP167" s="316">
        <f t="shared" si="532"/>
        <v>0</v>
      </c>
      <c r="BQ167" s="316">
        <f t="shared" si="533"/>
        <v>0</v>
      </c>
      <c r="BR167" s="316">
        <f t="shared" ref="BR167" si="815">+BR130/20</f>
        <v>0</v>
      </c>
      <c r="BS167" s="316">
        <f t="shared" si="535"/>
        <v>0</v>
      </c>
      <c r="BT167" s="316">
        <f t="shared" si="536"/>
        <v>0</v>
      </c>
      <c r="BU167" s="316">
        <f t="shared" ref="BU167" si="816">+BU130/20</f>
        <v>0</v>
      </c>
      <c r="BV167" s="316">
        <f t="shared" si="538"/>
        <v>0</v>
      </c>
      <c r="BW167" s="316">
        <f t="shared" si="539"/>
        <v>0</v>
      </c>
      <c r="BX167" s="316">
        <f t="shared" ref="BX167" si="817">+BX130/20</f>
        <v>0</v>
      </c>
      <c r="BY167" s="316">
        <f t="shared" si="541"/>
        <v>0</v>
      </c>
      <c r="BZ167" s="316">
        <f t="shared" si="542"/>
        <v>0</v>
      </c>
      <c r="CA167" s="316">
        <f t="shared" si="543"/>
        <v>0</v>
      </c>
      <c r="CB167" s="316">
        <f t="shared" si="544"/>
        <v>0</v>
      </c>
      <c r="CC167" s="319">
        <f t="shared" si="545"/>
        <v>0</v>
      </c>
      <c r="CD167" s="320">
        <f t="shared" ref="CD167:CI176" si="818">+CD130/20</f>
        <v>0</v>
      </c>
      <c r="CE167" s="320">
        <f t="shared" si="818"/>
        <v>0</v>
      </c>
      <c r="CF167" s="320">
        <f t="shared" si="818"/>
        <v>0</v>
      </c>
      <c r="CG167" s="320">
        <f t="shared" si="818"/>
        <v>0</v>
      </c>
      <c r="CH167" s="320">
        <f t="shared" si="818"/>
        <v>0</v>
      </c>
      <c r="CI167" s="331">
        <f t="shared" si="818"/>
        <v>0</v>
      </c>
      <c r="CJ167" s="320">
        <f t="shared" ref="CJ167:CO167" si="819">+CJ130/20</f>
        <v>0</v>
      </c>
      <c r="CK167" s="320">
        <f t="shared" si="819"/>
        <v>0</v>
      </c>
      <c r="CL167" s="320">
        <f t="shared" si="819"/>
        <v>0</v>
      </c>
      <c r="CM167" s="320">
        <f t="shared" si="819"/>
        <v>0</v>
      </c>
      <c r="CN167" s="320">
        <f t="shared" si="819"/>
        <v>0</v>
      </c>
      <c r="CO167" s="331">
        <f t="shared" si="819"/>
        <v>0</v>
      </c>
      <c r="CP167" s="320">
        <f t="shared" ref="CP167:CU167" si="820">+CP130/20</f>
        <v>0</v>
      </c>
      <c r="CQ167" s="320">
        <f t="shared" si="820"/>
        <v>0</v>
      </c>
      <c r="CR167" s="320">
        <f t="shared" si="820"/>
        <v>0</v>
      </c>
      <c r="CS167" s="320">
        <f t="shared" si="820"/>
        <v>0</v>
      </c>
      <c r="CT167" s="320">
        <f t="shared" si="820"/>
        <v>0</v>
      </c>
      <c r="CU167" s="331">
        <f t="shared" si="820"/>
        <v>0</v>
      </c>
      <c r="CV167" s="320">
        <f t="shared" ref="CV167:DA167" si="821">+CV130/20</f>
        <v>0</v>
      </c>
      <c r="CW167" s="320">
        <f t="shared" si="821"/>
        <v>0</v>
      </c>
      <c r="CX167" s="320">
        <f t="shared" si="821"/>
        <v>0</v>
      </c>
      <c r="CY167" s="320">
        <f t="shared" si="821"/>
        <v>0</v>
      </c>
      <c r="CZ167" s="320">
        <f t="shared" si="821"/>
        <v>0</v>
      </c>
      <c r="DA167" s="331">
        <f t="shared" si="821"/>
        <v>0</v>
      </c>
      <c r="DB167" s="344">
        <f t="shared" si="549"/>
        <v>0</v>
      </c>
    </row>
    <row r="168" spans="1:106" ht="15.75" thickBot="1">
      <c r="A168" s="239">
        <v>22</v>
      </c>
      <c r="B168" s="239">
        <f t="shared" ref="B168:R168" si="822">+B131/20</f>
        <v>0</v>
      </c>
      <c r="C168" s="277">
        <f t="shared" si="822"/>
        <v>0</v>
      </c>
      <c r="D168" s="277">
        <f t="shared" si="822"/>
        <v>0</v>
      </c>
      <c r="E168" s="277">
        <f t="shared" ref="E168:F168" si="823">+E131/20</f>
        <v>0</v>
      </c>
      <c r="F168" s="314">
        <f t="shared" si="823"/>
        <v>0</v>
      </c>
      <c r="G168" s="315">
        <f t="shared" si="822"/>
        <v>0</v>
      </c>
      <c r="H168" s="316">
        <f t="shared" si="822"/>
        <v>0</v>
      </c>
      <c r="I168" s="316">
        <f t="shared" si="822"/>
        <v>0</v>
      </c>
      <c r="J168" s="316">
        <f t="shared" si="822"/>
        <v>0</v>
      </c>
      <c r="K168" s="316">
        <f t="shared" si="822"/>
        <v>0</v>
      </c>
      <c r="L168" s="321">
        <f t="shared" ref="L168" si="824">+L131/20</f>
        <v>0</v>
      </c>
      <c r="M168" s="315">
        <f t="shared" si="822"/>
        <v>0</v>
      </c>
      <c r="N168" s="316">
        <f t="shared" si="822"/>
        <v>0</v>
      </c>
      <c r="O168" s="316">
        <f t="shared" si="822"/>
        <v>0</v>
      </c>
      <c r="P168" s="316">
        <f t="shared" ref="P168:Q168" si="825">+P131/20</f>
        <v>0</v>
      </c>
      <c r="Q168" s="316">
        <f t="shared" si="825"/>
        <v>0</v>
      </c>
      <c r="R168" s="319">
        <f t="shared" si="822"/>
        <v>0</v>
      </c>
      <c r="S168" s="320">
        <f t="shared" si="809"/>
        <v>0</v>
      </c>
      <c r="T168" s="320">
        <f t="shared" si="809"/>
        <v>0</v>
      </c>
      <c r="U168" s="320">
        <f t="shared" si="809"/>
        <v>0</v>
      </c>
      <c r="V168" s="320">
        <f t="shared" ref="V168" si="826">V131/20</f>
        <v>0</v>
      </c>
      <c r="W168" s="320">
        <f t="shared" si="809"/>
        <v>0</v>
      </c>
      <c r="X168" s="331">
        <f t="shared" si="809"/>
        <v>0</v>
      </c>
      <c r="Y168" s="315">
        <f t="shared" si="811"/>
        <v>0</v>
      </c>
      <c r="Z168" s="320">
        <f t="shared" si="811"/>
        <v>0</v>
      </c>
      <c r="AA168" s="320">
        <f t="shared" si="811"/>
        <v>0</v>
      </c>
      <c r="AB168" s="320">
        <f t="shared" si="811"/>
        <v>0</v>
      </c>
      <c r="AC168" s="331">
        <f t="shared" si="811"/>
        <v>0</v>
      </c>
      <c r="AD168" s="315">
        <f t="shared" si="811"/>
        <v>0</v>
      </c>
      <c r="AE168" s="316">
        <f t="shared" si="494"/>
        <v>0</v>
      </c>
      <c r="AF168" s="316">
        <f t="shared" si="495"/>
        <v>0</v>
      </c>
      <c r="AG168" s="316">
        <f t="shared" si="496"/>
        <v>0</v>
      </c>
      <c r="AH168" s="316">
        <f t="shared" si="497"/>
        <v>0</v>
      </c>
      <c r="AI168" s="316">
        <f t="shared" si="498"/>
        <v>0</v>
      </c>
      <c r="AJ168" s="316">
        <f t="shared" si="499"/>
        <v>0</v>
      </c>
      <c r="AK168" s="316">
        <f t="shared" si="500"/>
        <v>0</v>
      </c>
      <c r="AL168" s="316">
        <f t="shared" si="501"/>
        <v>0</v>
      </c>
      <c r="AM168" s="319">
        <f t="shared" si="502"/>
        <v>0</v>
      </c>
      <c r="AN168" s="315">
        <f t="shared" si="503"/>
        <v>0</v>
      </c>
      <c r="AO168" s="316">
        <f t="shared" si="504"/>
        <v>0</v>
      </c>
      <c r="AP168" s="320">
        <f t="shared" si="505"/>
        <v>0</v>
      </c>
      <c r="AQ168" s="316">
        <f t="shared" si="506"/>
        <v>0</v>
      </c>
      <c r="AR168" s="320">
        <f t="shared" si="507"/>
        <v>0</v>
      </c>
      <c r="AS168" s="316">
        <f t="shared" si="508"/>
        <v>0</v>
      </c>
      <c r="AT168" s="320">
        <f t="shared" si="509"/>
        <v>0</v>
      </c>
      <c r="AU168" s="321">
        <f t="shared" si="510"/>
        <v>0</v>
      </c>
      <c r="AV168" s="315">
        <f t="shared" ref="AV168:BF168" si="827">+AV131/20</f>
        <v>0</v>
      </c>
      <c r="AW168" s="316">
        <f t="shared" si="827"/>
        <v>0</v>
      </c>
      <c r="AX168" s="335">
        <f t="shared" si="827"/>
        <v>0</v>
      </c>
      <c r="AY168" s="319">
        <f t="shared" si="827"/>
        <v>0</v>
      </c>
      <c r="AZ168" s="315">
        <f t="shared" si="827"/>
        <v>0</v>
      </c>
      <c r="BA168" s="320">
        <f t="shared" si="827"/>
        <v>0</v>
      </c>
      <c r="BB168" s="320">
        <f t="shared" si="827"/>
        <v>0</v>
      </c>
      <c r="BC168" s="320">
        <f t="shared" si="827"/>
        <v>0</v>
      </c>
      <c r="BD168" s="320">
        <f t="shared" si="827"/>
        <v>0</v>
      </c>
      <c r="BE168" s="343">
        <f t="shared" si="827"/>
        <v>0</v>
      </c>
      <c r="BF168" s="315">
        <f t="shared" si="827"/>
        <v>0</v>
      </c>
      <c r="BG168" s="316">
        <f t="shared" si="523"/>
        <v>0</v>
      </c>
      <c r="BH168" s="316">
        <f t="shared" si="524"/>
        <v>0</v>
      </c>
      <c r="BI168" s="316">
        <f t="shared" ref="BI168" si="828">+BI131/20</f>
        <v>0</v>
      </c>
      <c r="BJ168" s="316">
        <f t="shared" si="526"/>
        <v>0</v>
      </c>
      <c r="BK168" s="316">
        <f t="shared" si="527"/>
        <v>0</v>
      </c>
      <c r="BL168" s="316">
        <f t="shared" ref="BL168" si="829">+BL131/20</f>
        <v>0</v>
      </c>
      <c r="BM168" s="316">
        <f t="shared" si="529"/>
        <v>0</v>
      </c>
      <c r="BN168" s="316">
        <f t="shared" si="530"/>
        <v>0</v>
      </c>
      <c r="BO168" s="316">
        <f t="shared" si="531"/>
        <v>0</v>
      </c>
      <c r="BP168" s="316">
        <f t="shared" si="532"/>
        <v>0</v>
      </c>
      <c r="BQ168" s="316">
        <f t="shared" si="533"/>
        <v>0</v>
      </c>
      <c r="BR168" s="316">
        <f t="shared" ref="BR168" si="830">+BR131/20</f>
        <v>0</v>
      </c>
      <c r="BS168" s="316">
        <f t="shared" si="535"/>
        <v>0</v>
      </c>
      <c r="BT168" s="316">
        <f t="shared" si="536"/>
        <v>0</v>
      </c>
      <c r="BU168" s="316">
        <f t="shared" ref="BU168" si="831">+BU131/20</f>
        <v>0</v>
      </c>
      <c r="BV168" s="316">
        <f t="shared" si="538"/>
        <v>0</v>
      </c>
      <c r="BW168" s="316">
        <f t="shared" si="539"/>
        <v>0</v>
      </c>
      <c r="BX168" s="316">
        <f t="shared" ref="BX168" si="832">+BX131/20</f>
        <v>0</v>
      </c>
      <c r="BY168" s="316">
        <f t="shared" si="541"/>
        <v>0</v>
      </c>
      <c r="BZ168" s="316">
        <f t="shared" si="542"/>
        <v>0</v>
      </c>
      <c r="CA168" s="316">
        <f t="shared" si="543"/>
        <v>0</v>
      </c>
      <c r="CB168" s="316">
        <f t="shared" si="544"/>
        <v>0</v>
      </c>
      <c r="CC168" s="319">
        <f t="shared" si="545"/>
        <v>0</v>
      </c>
      <c r="CD168" s="320">
        <f t="shared" si="818"/>
        <v>0</v>
      </c>
      <c r="CE168" s="320">
        <f t="shared" si="818"/>
        <v>0</v>
      </c>
      <c r="CF168" s="320">
        <f t="shared" si="818"/>
        <v>0</v>
      </c>
      <c r="CG168" s="320">
        <f t="shared" si="818"/>
        <v>0</v>
      </c>
      <c r="CH168" s="320">
        <f t="shared" si="818"/>
        <v>0</v>
      </c>
      <c r="CI168" s="331">
        <f t="shared" si="818"/>
        <v>0</v>
      </c>
      <c r="CJ168" s="320">
        <f t="shared" ref="CJ168:CO168" si="833">+CJ131/20</f>
        <v>0</v>
      </c>
      <c r="CK168" s="320">
        <f t="shared" si="833"/>
        <v>0</v>
      </c>
      <c r="CL168" s="320">
        <f t="shared" si="833"/>
        <v>0</v>
      </c>
      <c r="CM168" s="320">
        <f t="shared" si="833"/>
        <v>0</v>
      </c>
      <c r="CN168" s="320">
        <f t="shared" si="833"/>
        <v>0</v>
      </c>
      <c r="CO168" s="331">
        <f t="shared" si="833"/>
        <v>0</v>
      </c>
      <c r="CP168" s="320">
        <f t="shared" ref="CP168:CU168" si="834">+CP131/20</f>
        <v>0</v>
      </c>
      <c r="CQ168" s="320">
        <f t="shared" si="834"/>
        <v>0</v>
      </c>
      <c r="CR168" s="320">
        <f t="shared" si="834"/>
        <v>0</v>
      </c>
      <c r="CS168" s="320">
        <f t="shared" si="834"/>
        <v>0</v>
      </c>
      <c r="CT168" s="320">
        <f t="shared" si="834"/>
        <v>0</v>
      </c>
      <c r="CU168" s="331">
        <f t="shared" si="834"/>
        <v>0</v>
      </c>
      <c r="CV168" s="320">
        <f t="shared" ref="CV168:DA168" si="835">+CV131/20</f>
        <v>0</v>
      </c>
      <c r="CW168" s="320">
        <f t="shared" si="835"/>
        <v>0</v>
      </c>
      <c r="CX168" s="320">
        <f t="shared" si="835"/>
        <v>0</v>
      </c>
      <c r="CY168" s="320">
        <f t="shared" si="835"/>
        <v>0</v>
      </c>
      <c r="CZ168" s="320">
        <f t="shared" si="835"/>
        <v>0</v>
      </c>
      <c r="DA168" s="331">
        <f t="shared" si="835"/>
        <v>0</v>
      </c>
      <c r="DB168" s="344">
        <f t="shared" si="549"/>
        <v>0</v>
      </c>
    </row>
    <row r="169" spans="1:106" ht="15.75" thickBot="1">
      <c r="A169" s="239">
        <v>23</v>
      </c>
      <c r="B169" s="239">
        <f t="shared" ref="B169:R169" si="836">+B132/20</f>
        <v>0</v>
      </c>
      <c r="C169" s="277">
        <f t="shared" si="836"/>
        <v>0</v>
      </c>
      <c r="D169" s="277">
        <f t="shared" si="836"/>
        <v>0</v>
      </c>
      <c r="E169" s="277">
        <f t="shared" ref="E169:F169" si="837">+E132/20</f>
        <v>0</v>
      </c>
      <c r="F169" s="314">
        <f t="shared" si="837"/>
        <v>0</v>
      </c>
      <c r="G169" s="315">
        <f t="shared" si="836"/>
        <v>0</v>
      </c>
      <c r="H169" s="316">
        <f t="shared" si="836"/>
        <v>0</v>
      </c>
      <c r="I169" s="316">
        <f t="shared" si="836"/>
        <v>0</v>
      </c>
      <c r="J169" s="316">
        <f t="shared" si="836"/>
        <v>0</v>
      </c>
      <c r="K169" s="316">
        <f t="shared" si="836"/>
        <v>0</v>
      </c>
      <c r="L169" s="321">
        <f t="shared" ref="L169" si="838">+L132/20</f>
        <v>0</v>
      </c>
      <c r="M169" s="315">
        <f t="shared" si="836"/>
        <v>0</v>
      </c>
      <c r="N169" s="316">
        <f t="shared" si="836"/>
        <v>0</v>
      </c>
      <c r="O169" s="316">
        <f t="shared" si="836"/>
        <v>0</v>
      </c>
      <c r="P169" s="316">
        <f t="shared" ref="P169:Q169" si="839">+P132/20</f>
        <v>0</v>
      </c>
      <c r="Q169" s="316">
        <f t="shared" si="839"/>
        <v>0</v>
      </c>
      <c r="R169" s="319">
        <f t="shared" si="836"/>
        <v>0</v>
      </c>
      <c r="S169" s="320">
        <f t="shared" si="809"/>
        <v>0</v>
      </c>
      <c r="T169" s="320">
        <f t="shared" si="809"/>
        <v>0</v>
      </c>
      <c r="U169" s="320">
        <f t="shared" si="809"/>
        <v>0</v>
      </c>
      <c r="V169" s="320">
        <f t="shared" ref="V169" si="840">V132/20</f>
        <v>0</v>
      </c>
      <c r="W169" s="320">
        <f t="shared" si="809"/>
        <v>0</v>
      </c>
      <c r="X169" s="331">
        <f t="shared" si="809"/>
        <v>0</v>
      </c>
      <c r="Y169" s="315">
        <f t="shared" si="811"/>
        <v>0</v>
      </c>
      <c r="Z169" s="320">
        <f t="shared" si="811"/>
        <v>0</v>
      </c>
      <c r="AA169" s="320">
        <f t="shared" si="811"/>
        <v>0</v>
      </c>
      <c r="AB169" s="320">
        <f t="shared" si="811"/>
        <v>0</v>
      </c>
      <c r="AC169" s="331">
        <f t="shared" si="811"/>
        <v>0</v>
      </c>
      <c r="AD169" s="315">
        <f t="shared" si="811"/>
        <v>0</v>
      </c>
      <c r="AE169" s="316">
        <f t="shared" si="494"/>
        <v>0</v>
      </c>
      <c r="AF169" s="316">
        <f t="shared" si="495"/>
        <v>0</v>
      </c>
      <c r="AG169" s="316">
        <f t="shared" si="496"/>
        <v>0</v>
      </c>
      <c r="AH169" s="316">
        <f t="shared" si="497"/>
        <v>0</v>
      </c>
      <c r="AI169" s="316">
        <f t="shared" si="498"/>
        <v>0</v>
      </c>
      <c r="AJ169" s="316">
        <f t="shared" si="499"/>
        <v>0</v>
      </c>
      <c r="AK169" s="316">
        <f t="shared" si="500"/>
        <v>0</v>
      </c>
      <c r="AL169" s="316">
        <f t="shared" si="501"/>
        <v>0</v>
      </c>
      <c r="AM169" s="319">
        <f t="shared" si="502"/>
        <v>0</v>
      </c>
      <c r="AN169" s="315">
        <f t="shared" si="503"/>
        <v>0</v>
      </c>
      <c r="AO169" s="316">
        <f t="shared" si="504"/>
        <v>0</v>
      </c>
      <c r="AP169" s="320">
        <f t="shared" si="505"/>
        <v>0</v>
      </c>
      <c r="AQ169" s="316">
        <f t="shared" si="506"/>
        <v>0</v>
      </c>
      <c r="AR169" s="320">
        <f t="shared" si="507"/>
        <v>0</v>
      </c>
      <c r="AS169" s="316">
        <f t="shared" si="508"/>
        <v>0</v>
      </c>
      <c r="AT169" s="320">
        <f t="shared" si="509"/>
        <v>0</v>
      </c>
      <c r="AU169" s="321">
        <f t="shared" si="510"/>
        <v>0</v>
      </c>
      <c r="AV169" s="315">
        <f t="shared" ref="AV169:BF169" si="841">+AV132/20</f>
        <v>0</v>
      </c>
      <c r="AW169" s="316">
        <f t="shared" si="841"/>
        <v>0</v>
      </c>
      <c r="AX169" s="335">
        <f t="shared" si="841"/>
        <v>0</v>
      </c>
      <c r="AY169" s="319">
        <f t="shared" si="841"/>
        <v>0</v>
      </c>
      <c r="AZ169" s="315">
        <f t="shared" si="841"/>
        <v>0</v>
      </c>
      <c r="BA169" s="320">
        <f t="shared" si="841"/>
        <v>0</v>
      </c>
      <c r="BB169" s="320">
        <f t="shared" si="841"/>
        <v>0</v>
      </c>
      <c r="BC169" s="320">
        <f t="shared" si="841"/>
        <v>0</v>
      </c>
      <c r="BD169" s="320">
        <f t="shared" si="841"/>
        <v>0</v>
      </c>
      <c r="BE169" s="343">
        <f t="shared" si="841"/>
        <v>0</v>
      </c>
      <c r="BF169" s="315">
        <f t="shared" si="841"/>
        <v>0</v>
      </c>
      <c r="BG169" s="316">
        <f t="shared" si="523"/>
        <v>0</v>
      </c>
      <c r="BH169" s="316">
        <f t="shared" si="524"/>
        <v>0</v>
      </c>
      <c r="BI169" s="316">
        <f t="shared" ref="BI169" si="842">+BI132/20</f>
        <v>0</v>
      </c>
      <c r="BJ169" s="316">
        <f t="shared" si="526"/>
        <v>0</v>
      </c>
      <c r="BK169" s="316">
        <f t="shared" si="527"/>
        <v>0</v>
      </c>
      <c r="BL169" s="316">
        <f t="shared" ref="BL169" si="843">+BL132/20</f>
        <v>0</v>
      </c>
      <c r="BM169" s="316">
        <f t="shared" si="529"/>
        <v>0</v>
      </c>
      <c r="BN169" s="316">
        <f t="shared" si="530"/>
        <v>0</v>
      </c>
      <c r="BO169" s="316">
        <f t="shared" si="531"/>
        <v>0</v>
      </c>
      <c r="BP169" s="316">
        <f t="shared" si="532"/>
        <v>0</v>
      </c>
      <c r="BQ169" s="316">
        <f t="shared" si="533"/>
        <v>0</v>
      </c>
      <c r="BR169" s="316">
        <f t="shared" ref="BR169" si="844">+BR132/20</f>
        <v>0</v>
      </c>
      <c r="BS169" s="316">
        <f t="shared" si="535"/>
        <v>0</v>
      </c>
      <c r="BT169" s="316">
        <f t="shared" si="536"/>
        <v>0</v>
      </c>
      <c r="BU169" s="316">
        <f t="shared" ref="BU169" si="845">+BU132/20</f>
        <v>0</v>
      </c>
      <c r="BV169" s="316">
        <f t="shared" si="538"/>
        <v>0</v>
      </c>
      <c r="BW169" s="316">
        <f t="shared" si="539"/>
        <v>0</v>
      </c>
      <c r="BX169" s="316">
        <f t="shared" ref="BX169" si="846">+BX132/20</f>
        <v>0</v>
      </c>
      <c r="BY169" s="316">
        <f t="shared" si="541"/>
        <v>0</v>
      </c>
      <c r="BZ169" s="316">
        <f t="shared" si="542"/>
        <v>0</v>
      </c>
      <c r="CA169" s="316">
        <f t="shared" si="543"/>
        <v>0</v>
      </c>
      <c r="CB169" s="316">
        <f t="shared" si="544"/>
        <v>0</v>
      </c>
      <c r="CC169" s="319">
        <f t="shared" si="545"/>
        <v>0</v>
      </c>
      <c r="CD169" s="320">
        <f t="shared" si="818"/>
        <v>0</v>
      </c>
      <c r="CE169" s="320">
        <f t="shared" si="818"/>
        <v>0</v>
      </c>
      <c r="CF169" s="320">
        <f t="shared" si="818"/>
        <v>0</v>
      </c>
      <c r="CG169" s="320">
        <f t="shared" si="818"/>
        <v>0</v>
      </c>
      <c r="CH169" s="320">
        <f t="shared" si="818"/>
        <v>0</v>
      </c>
      <c r="CI169" s="331">
        <f t="shared" si="818"/>
        <v>0</v>
      </c>
      <c r="CJ169" s="320">
        <f t="shared" ref="CJ169:CO169" si="847">+CJ132/20</f>
        <v>0</v>
      </c>
      <c r="CK169" s="320">
        <f t="shared" si="847"/>
        <v>0</v>
      </c>
      <c r="CL169" s="320">
        <f t="shared" si="847"/>
        <v>0</v>
      </c>
      <c r="CM169" s="320">
        <f t="shared" si="847"/>
        <v>0</v>
      </c>
      <c r="CN169" s="320">
        <f t="shared" si="847"/>
        <v>0</v>
      </c>
      <c r="CO169" s="331">
        <f t="shared" si="847"/>
        <v>0</v>
      </c>
      <c r="CP169" s="320">
        <f t="shared" ref="CP169:CU169" si="848">+CP132/20</f>
        <v>0</v>
      </c>
      <c r="CQ169" s="320">
        <f t="shared" si="848"/>
        <v>0</v>
      </c>
      <c r="CR169" s="320">
        <f t="shared" si="848"/>
        <v>0</v>
      </c>
      <c r="CS169" s="320">
        <f t="shared" si="848"/>
        <v>0</v>
      </c>
      <c r="CT169" s="320">
        <f t="shared" si="848"/>
        <v>0</v>
      </c>
      <c r="CU169" s="331">
        <f t="shared" si="848"/>
        <v>0</v>
      </c>
      <c r="CV169" s="320">
        <f t="shared" ref="CV169:DA169" si="849">+CV132/20</f>
        <v>0</v>
      </c>
      <c r="CW169" s="320">
        <f t="shared" si="849"/>
        <v>0</v>
      </c>
      <c r="CX169" s="320">
        <f t="shared" si="849"/>
        <v>0</v>
      </c>
      <c r="CY169" s="320">
        <f t="shared" si="849"/>
        <v>0</v>
      </c>
      <c r="CZ169" s="320">
        <f t="shared" si="849"/>
        <v>0</v>
      </c>
      <c r="DA169" s="331">
        <f t="shared" si="849"/>
        <v>0</v>
      </c>
      <c r="DB169" s="344">
        <f t="shared" si="549"/>
        <v>0</v>
      </c>
    </row>
    <row r="170" spans="1:106" ht="15.75" thickBot="1">
      <c r="A170" s="239">
        <v>24</v>
      </c>
      <c r="B170" s="239">
        <f t="shared" ref="B170:R170" si="850">+B133/20</f>
        <v>0</v>
      </c>
      <c r="C170" s="277">
        <f t="shared" si="850"/>
        <v>0</v>
      </c>
      <c r="D170" s="277">
        <f t="shared" si="850"/>
        <v>0</v>
      </c>
      <c r="E170" s="277">
        <f t="shared" ref="E170:F170" si="851">+E133/20</f>
        <v>0</v>
      </c>
      <c r="F170" s="314">
        <f t="shared" si="851"/>
        <v>0</v>
      </c>
      <c r="G170" s="315">
        <f t="shared" si="850"/>
        <v>0</v>
      </c>
      <c r="H170" s="316">
        <f t="shared" si="850"/>
        <v>0</v>
      </c>
      <c r="I170" s="316">
        <f t="shared" si="850"/>
        <v>0</v>
      </c>
      <c r="J170" s="316">
        <f t="shared" si="850"/>
        <v>0</v>
      </c>
      <c r="K170" s="316">
        <f t="shared" si="850"/>
        <v>0</v>
      </c>
      <c r="L170" s="321">
        <f t="shared" ref="L170" si="852">+L133/20</f>
        <v>0</v>
      </c>
      <c r="M170" s="315">
        <f t="shared" si="850"/>
        <v>0</v>
      </c>
      <c r="N170" s="316">
        <f t="shared" si="850"/>
        <v>0</v>
      </c>
      <c r="O170" s="316">
        <f t="shared" si="850"/>
        <v>0</v>
      </c>
      <c r="P170" s="316">
        <f t="shared" ref="P170:Q170" si="853">+P133/20</f>
        <v>0</v>
      </c>
      <c r="Q170" s="316">
        <f t="shared" si="853"/>
        <v>0</v>
      </c>
      <c r="R170" s="319">
        <f t="shared" si="850"/>
        <v>0</v>
      </c>
      <c r="S170" s="320">
        <f t="shared" si="809"/>
        <v>0</v>
      </c>
      <c r="T170" s="320">
        <f t="shared" si="809"/>
        <v>0</v>
      </c>
      <c r="U170" s="320">
        <f t="shared" si="809"/>
        <v>0</v>
      </c>
      <c r="V170" s="320">
        <f t="shared" ref="V170" si="854">V133/20</f>
        <v>0</v>
      </c>
      <c r="W170" s="320">
        <f t="shared" si="809"/>
        <v>0</v>
      </c>
      <c r="X170" s="331">
        <f t="shared" si="809"/>
        <v>0</v>
      </c>
      <c r="Y170" s="315">
        <f t="shared" si="811"/>
        <v>0</v>
      </c>
      <c r="Z170" s="320">
        <f t="shared" si="811"/>
        <v>0</v>
      </c>
      <c r="AA170" s="320">
        <f t="shared" si="811"/>
        <v>0</v>
      </c>
      <c r="AB170" s="320">
        <f t="shared" si="811"/>
        <v>0</v>
      </c>
      <c r="AC170" s="331">
        <f t="shared" si="811"/>
        <v>0</v>
      </c>
      <c r="AD170" s="315">
        <f t="shared" si="811"/>
        <v>0</v>
      </c>
      <c r="AE170" s="316">
        <f t="shared" si="494"/>
        <v>0</v>
      </c>
      <c r="AF170" s="316">
        <f t="shared" si="495"/>
        <v>0</v>
      </c>
      <c r="AG170" s="316">
        <f t="shared" si="496"/>
        <v>0</v>
      </c>
      <c r="AH170" s="316">
        <f t="shared" si="497"/>
        <v>0</v>
      </c>
      <c r="AI170" s="316">
        <f t="shared" si="498"/>
        <v>0</v>
      </c>
      <c r="AJ170" s="316">
        <f t="shared" si="499"/>
        <v>0</v>
      </c>
      <c r="AK170" s="316">
        <f t="shared" si="500"/>
        <v>0</v>
      </c>
      <c r="AL170" s="316">
        <f t="shared" si="501"/>
        <v>0</v>
      </c>
      <c r="AM170" s="319">
        <f t="shared" si="502"/>
        <v>0</v>
      </c>
      <c r="AN170" s="315">
        <f t="shared" si="503"/>
        <v>0</v>
      </c>
      <c r="AO170" s="316">
        <f t="shared" si="504"/>
        <v>0</v>
      </c>
      <c r="AP170" s="320">
        <f t="shared" si="505"/>
        <v>0</v>
      </c>
      <c r="AQ170" s="316">
        <f t="shared" si="506"/>
        <v>0</v>
      </c>
      <c r="AR170" s="320">
        <f t="shared" si="507"/>
        <v>0</v>
      </c>
      <c r="AS170" s="316">
        <f t="shared" si="508"/>
        <v>0</v>
      </c>
      <c r="AT170" s="320">
        <f t="shared" si="509"/>
        <v>0</v>
      </c>
      <c r="AU170" s="321">
        <f t="shared" si="510"/>
        <v>0</v>
      </c>
      <c r="AV170" s="315">
        <f t="shared" ref="AV170:BF170" si="855">+AV133/20</f>
        <v>0</v>
      </c>
      <c r="AW170" s="316">
        <f t="shared" si="855"/>
        <v>0</v>
      </c>
      <c r="AX170" s="335">
        <f t="shared" si="855"/>
        <v>0</v>
      </c>
      <c r="AY170" s="319">
        <f t="shared" si="855"/>
        <v>0</v>
      </c>
      <c r="AZ170" s="315">
        <f t="shared" si="855"/>
        <v>0</v>
      </c>
      <c r="BA170" s="320">
        <f t="shared" si="855"/>
        <v>0</v>
      </c>
      <c r="BB170" s="320">
        <f t="shared" si="855"/>
        <v>0</v>
      </c>
      <c r="BC170" s="320">
        <f t="shared" si="855"/>
        <v>0</v>
      </c>
      <c r="BD170" s="320">
        <f t="shared" si="855"/>
        <v>0</v>
      </c>
      <c r="BE170" s="343">
        <f t="shared" si="855"/>
        <v>0</v>
      </c>
      <c r="BF170" s="315">
        <f t="shared" si="855"/>
        <v>0</v>
      </c>
      <c r="BG170" s="316">
        <f t="shared" si="523"/>
        <v>0</v>
      </c>
      <c r="BH170" s="316">
        <f t="shared" si="524"/>
        <v>0</v>
      </c>
      <c r="BI170" s="316">
        <f t="shared" ref="BI170" si="856">+BI133/20</f>
        <v>0</v>
      </c>
      <c r="BJ170" s="316">
        <f t="shared" si="526"/>
        <v>0</v>
      </c>
      <c r="BK170" s="316">
        <f t="shared" si="527"/>
        <v>0</v>
      </c>
      <c r="BL170" s="316">
        <f t="shared" ref="BL170" si="857">+BL133/20</f>
        <v>0</v>
      </c>
      <c r="BM170" s="316">
        <f t="shared" si="529"/>
        <v>0</v>
      </c>
      <c r="BN170" s="316">
        <f t="shared" si="530"/>
        <v>0</v>
      </c>
      <c r="BO170" s="316">
        <f t="shared" si="531"/>
        <v>0</v>
      </c>
      <c r="BP170" s="316">
        <f t="shared" si="532"/>
        <v>0</v>
      </c>
      <c r="BQ170" s="316">
        <f t="shared" si="533"/>
        <v>0</v>
      </c>
      <c r="BR170" s="316">
        <f t="shared" ref="BR170" si="858">+BR133/20</f>
        <v>0</v>
      </c>
      <c r="BS170" s="316">
        <f t="shared" si="535"/>
        <v>0</v>
      </c>
      <c r="BT170" s="316">
        <f t="shared" si="536"/>
        <v>0</v>
      </c>
      <c r="BU170" s="316">
        <f t="shared" ref="BU170" si="859">+BU133/20</f>
        <v>0</v>
      </c>
      <c r="BV170" s="316">
        <f t="shared" si="538"/>
        <v>0</v>
      </c>
      <c r="BW170" s="316">
        <f t="shared" si="539"/>
        <v>0</v>
      </c>
      <c r="BX170" s="316">
        <f t="shared" ref="BX170" si="860">+BX133/20</f>
        <v>0</v>
      </c>
      <c r="BY170" s="316">
        <f t="shared" si="541"/>
        <v>0</v>
      </c>
      <c r="BZ170" s="316">
        <f t="shared" si="542"/>
        <v>0</v>
      </c>
      <c r="CA170" s="316">
        <f t="shared" si="543"/>
        <v>0</v>
      </c>
      <c r="CB170" s="316">
        <f t="shared" si="544"/>
        <v>0</v>
      </c>
      <c r="CC170" s="319">
        <f t="shared" si="545"/>
        <v>0</v>
      </c>
      <c r="CD170" s="320">
        <f t="shared" si="818"/>
        <v>0</v>
      </c>
      <c r="CE170" s="320">
        <f t="shared" si="818"/>
        <v>0</v>
      </c>
      <c r="CF170" s="320">
        <f t="shared" si="818"/>
        <v>0</v>
      </c>
      <c r="CG170" s="320">
        <f t="shared" si="818"/>
        <v>0</v>
      </c>
      <c r="CH170" s="320">
        <f t="shared" si="818"/>
        <v>0</v>
      </c>
      <c r="CI170" s="331">
        <f t="shared" si="818"/>
        <v>0</v>
      </c>
      <c r="CJ170" s="320">
        <f t="shared" ref="CJ170:CO170" si="861">+CJ133/20</f>
        <v>0</v>
      </c>
      <c r="CK170" s="320">
        <f t="shared" si="861"/>
        <v>0</v>
      </c>
      <c r="CL170" s="320">
        <f t="shared" si="861"/>
        <v>0</v>
      </c>
      <c r="CM170" s="320">
        <f t="shared" si="861"/>
        <v>0</v>
      </c>
      <c r="CN170" s="320">
        <f t="shared" si="861"/>
        <v>0</v>
      </c>
      <c r="CO170" s="331">
        <f t="shared" si="861"/>
        <v>0</v>
      </c>
      <c r="CP170" s="320">
        <f t="shared" ref="CP170:CU170" si="862">+CP133/20</f>
        <v>0</v>
      </c>
      <c r="CQ170" s="320">
        <f t="shared" si="862"/>
        <v>0</v>
      </c>
      <c r="CR170" s="320">
        <f t="shared" si="862"/>
        <v>0</v>
      </c>
      <c r="CS170" s="320">
        <f t="shared" si="862"/>
        <v>0</v>
      </c>
      <c r="CT170" s="320">
        <f t="shared" si="862"/>
        <v>0</v>
      </c>
      <c r="CU170" s="331">
        <f t="shared" si="862"/>
        <v>0</v>
      </c>
      <c r="CV170" s="320">
        <f t="shared" ref="CV170:DA170" si="863">+CV133/20</f>
        <v>0</v>
      </c>
      <c r="CW170" s="320">
        <f t="shared" si="863"/>
        <v>0</v>
      </c>
      <c r="CX170" s="320">
        <f t="shared" si="863"/>
        <v>0</v>
      </c>
      <c r="CY170" s="320">
        <f t="shared" si="863"/>
        <v>0</v>
      </c>
      <c r="CZ170" s="320">
        <f t="shared" si="863"/>
        <v>0</v>
      </c>
      <c r="DA170" s="331">
        <f t="shared" si="863"/>
        <v>0</v>
      </c>
      <c r="DB170" s="344">
        <f t="shared" si="549"/>
        <v>0</v>
      </c>
    </row>
    <row r="171" spans="1:106" ht="15.75" thickBot="1">
      <c r="A171" s="239">
        <v>25</v>
      </c>
      <c r="B171" s="239">
        <f t="shared" ref="B171:R171" si="864">+B134/20</f>
        <v>0</v>
      </c>
      <c r="C171" s="277">
        <f t="shared" si="864"/>
        <v>0</v>
      </c>
      <c r="D171" s="277">
        <f t="shared" si="864"/>
        <v>0</v>
      </c>
      <c r="E171" s="277">
        <f t="shared" ref="E171:F171" si="865">+E134/20</f>
        <v>0</v>
      </c>
      <c r="F171" s="314">
        <f t="shared" si="865"/>
        <v>0</v>
      </c>
      <c r="G171" s="315">
        <f t="shared" si="864"/>
        <v>0</v>
      </c>
      <c r="H171" s="316">
        <f t="shared" si="864"/>
        <v>0</v>
      </c>
      <c r="I171" s="316">
        <f t="shared" si="864"/>
        <v>0</v>
      </c>
      <c r="J171" s="316">
        <f t="shared" si="864"/>
        <v>0</v>
      </c>
      <c r="K171" s="316">
        <f t="shared" si="864"/>
        <v>0</v>
      </c>
      <c r="L171" s="321">
        <f t="shared" ref="L171" si="866">+L134/20</f>
        <v>0</v>
      </c>
      <c r="M171" s="315">
        <f t="shared" si="864"/>
        <v>0</v>
      </c>
      <c r="N171" s="316">
        <f t="shared" si="864"/>
        <v>0</v>
      </c>
      <c r="O171" s="316">
        <f t="shared" si="864"/>
        <v>0</v>
      </c>
      <c r="P171" s="316">
        <f t="shared" ref="P171:Q171" si="867">+P134/20</f>
        <v>0</v>
      </c>
      <c r="Q171" s="316">
        <f t="shared" si="867"/>
        <v>0</v>
      </c>
      <c r="R171" s="319">
        <f t="shared" si="864"/>
        <v>0</v>
      </c>
      <c r="S171" s="320">
        <f t="shared" si="809"/>
        <v>0</v>
      </c>
      <c r="T171" s="320">
        <f t="shared" si="809"/>
        <v>0</v>
      </c>
      <c r="U171" s="320">
        <f t="shared" si="809"/>
        <v>0</v>
      </c>
      <c r="V171" s="320">
        <f t="shared" ref="V171" si="868">V134/20</f>
        <v>0</v>
      </c>
      <c r="W171" s="320">
        <f t="shared" si="809"/>
        <v>0</v>
      </c>
      <c r="X171" s="331">
        <f t="shared" si="809"/>
        <v>0</v>
      </c>
      <c r="Y171" s="315">
        <f t="shared" si="811"/>
        <v>0</v>
      </c>
      <c r="Z171" s="320">
        <f t="shared" si="811"/>
        <v>0</v>
      </c>
      <c r="AA171" s="320">
        <f t="shared" si="811"/>
        <v>0</v>
      </c>
      <c r="AB171" s="320">
        <f t="shared" si="811"/>
        <v>0</v>
      </c>
      <c r="AC171" s="331">
        <f t="shared" si="811"/>
        <v>0</v>
      </c>
      <c r="AD171" s="315">
        <f t="shared" si="811"/>
        <v>0</v>
      </c>
      <c r="AE171" s="316">
        <f t="shared" si="494"/>
        <v>0</v>
      </c>
      <c r="AF171" s="316">
        <f t="shared" si="495"/>
        <v>0</v>
      </c>
      <c r="AG171" s="316">
        <f t="shared" si="496"/>
        <v>0</v>
      </c>
      <c r="AH171" s="316">
        <f t="shared" si="497"/>
        <v>0</v>
      </c>
      <c r="AI171" s="316">
        <f t="shared" si="498"/>
        <v>0</v>
      </c>
      <c r="AJ171" s="316">
        <f t="shared" si="499"/>
        <v>0</v>
      </c>
      <c r="AK171" s="316">
        <f t="shared" si="500"/>
        <v>0</v>
      </c>
      <c r="AL171" s="316">
        <f t="shared" si="501"/>
        <v>0</v>
      </c>
      <c r="AM171" s="319">
        <f t="shared" si="502"/>
        <v>0</v>
      </c>
      <c r="AN171" s="315">
        <f t="shared" si="503"/>
        <v>0</v>
      </c>
      <c r="AO171" s="316">
        <f t="shared" si="504"/>
        <v>0</v>
      </c>
      <c r="AP171" s="320">
        <f t="shared" si="505"/>
        <v>0</v>
      </c>
      <c r="AQ171" s="316">
        <f t="shared" si="506"/>
        <v>0</v>
      </c>
      <c r="AR171" s="320">
        <f t="shared" si="507"/>
        <v>0</v>
      </c>
      <c r="AS171" s="316">
        <f t="shared" si="508"/>
        <v>0</v>
      </c>
      <c r="AT171" s="320">
        <f t="shared" si="509"/>
        <v>0</v>
      </c>
      <c r="AU171" s="321">
        <f t="shared" si="510"/>
        <v>0</v>
      </c>
      <c r="AV171" s="315">
        <f t="shared" ref="AV171:BF171" si="869">+AV134/20</f>
        <v>0</v>
      </c>
      <c r="AW171" s="316">
        <f t="shared" si="869"/>
        <v>0</v>
      </c>
      <c r="AX171" s="335">
        <f t="shared" si="869"/>
        <v>0</v>
      </c>
      <c r="AY171" s="319">
        <f t="shared" si="869"/>
        <v>0</v>
      </c>
      <c r="AZ171" s="315">
        <f t="shared" si="869"/>
        <v>0</v>
      </c>
      <c r="BA171" s="320">
        <f t="shared" si="869"/>
        <v>0</v>
      </c>
      <c r="BB171" s="320">
        <f t="shared" si="869"/>
        <v>0</v>
      </c>
      <c r="BC171" s="320">
        <f t="shared" si="869"/>
        <v>0</v>
      </c>
      <c r="BD171" s="320">
        <f t="shared" si="869"/>
        <v>0</v>
      </c>
      <c r="BE171" s="343">
        <f t="shared" si="869"/>
        <v>0</v>
      </c>
      <c r="BF171" s="315">
        <f t="shared" si="869"/>
        <v>0</v>
      </c>
      <c r="BG171" s="316">
        <f t="shared" si="523"/>
        <v>0</v>
      </c>
      <c r="BH171" s="316">
        <f t="shared" si="524"/>
        <v>0</v>
      </c>
      <c r="BI171" s="316">
        <f t="shared" ref="BI171" si="870">+BI134/20</f>
        <v>0</v>
      </c>
      <c r="BJ171" s="316">
        <f t="shared" si="526"/>
        <v>0</v>
      </c>
      <c r="BK171" s="316">
        <f t="shared" si="527"/>
        <v>0</v>
      </c>
      <c r="BL171" s="316">
        <f t="shared" ref="BL171" si="871">+BL134/20</f>
        <v>0</v>
      </c>
      <c r="BM171" s="316">
        <f t="shared" si="529"/>
        <v>0</v>
      </c>
      <c r="BN171" s="316">
        <f t="shared" si="530"/>
        <v>0</v>
      </c>
      <c r="BO171" s="316">
        <f t="shared" si="531"/>
        <v>0</v>
      </c>
      <c r="BP171" s="316">
        <f t="shared" si="532"/>
        <v>0</v>
      </c>
      <c r="BQ171" s="316">
        <f t="shared" si="533"/>
        <v>0</v>
      </c>
      <c r="BR171" s="316">
        <f t="shared" ref="BR171" si="872">+BR134/20</f>
        <v>0</v>
      </c>
      <c r="BS171" s="316">
        <f t="shared" si="535"/>
        <v>0</v>
      </c>
      <c r="BT171" s="316">
        <f t="shared" si="536"/>
        <v>0</v>
      </c>
      <c r="BU171" s="316">
        <f t="shared" ref="BU171" si="873">+BU134/20</f>
        <v>0</v>
      </c>
      <c r="BV171" s="316">
        <f t="shared" si="538"/>
        <v>0</v>
      </c>
      <c r="BW171" s="316">
        <f t="shared" si="539"/>
        <v>0</v>
      </c>
      <c r="BX171" s="316">
        <f t="shared" ref="BX171" si="874">+BX134/20</f>
        <v>0</v>
      </c>
      <c r="BY171" s="316">
        <f t="shared" si="541"/>
        <v>0</v>
      </c>
      <c r="BZ171" s="316">
        <f t="shared" si="542"/>
        <v>0</v>
      </c>
      <c r="CA171" s="316">
        <f t="shared" si="543"/>
        <v>0</v>
      </c>
      <c r="CB171" s="316">
        <f t="shared" si="544"/>
        <v>0</v>
      </c>
      <c r="CC171" s="319">
        <f t="shared" si="545"/>
        <v>0</v>
      </c>
      <c r="CD171" s="320">
        <f t="shared" si="818"/>
        <v>0</v>
      </c>
      <c r="CE171" s="320">
        <f t="shared" si="818"/>
        <v>0</v>
      </c>
      <c r="CF171" s="320">
        <f t="shared" si="818"/>
        <v>0</v>
      </c>
      <c r="CG171" s="320">
        <f t="shared" si="818"/>
        <v>0</v>
      </c>
      <c r="CH171" s="320">
        <f t="shared" si="818"/>
        <v>0</v>
      </c>
      <c r="CI171" s="331">
        <f t="shared" si="818"/>
        <v>0</v>
      </c>
      <c r="CJ171" s="320">
        <f t="shared" ref="CJ171:CO171" si="875">+CJ134/20</f>
        <v>0</v>
      </c>
      <c r="CK171" s="320">
        <f t="shared" si="875"/>
        <v>0</v>
      </c>
      <c r="CL171" s="320">
        <f t="shared" si="875"/>
        <v>0</v>
      </c>
      <c r="CM171" s="320">
        <f t="shared" si="875"/>
        <v>0</v>
      </c>
      <c r="CN171" s="320">
        <f t="shared" si="875"/>
        <v>0</v>
      </c>
      <c r="CO171" s="331">
        <f t="shared" si="875"/>
        <v>0</v>
      </c>
      <c r="CP171" s="320">
        <f t="shared" ref="CP171:CU171" si="876">+CP134/20</f>
        <v>0</v>
      </c>
      <c r="CQ171" s="320">
        <f t="shared" si="876"/>
        <v>0</v>
      </c>
      <c r="CR171" s="320">
        <f t="shared" si="876"/>
        <v>0</v>
      </c>
      <c r="CS171" s="320">
        <f t="shared" si="876"/>
        <v>0</v>
      </c>
      <c r="CT171" s="320">
        <f t="shared" si="876"/>
        <v>0</v>
      </c>
      <c r="CU171" s="331">
        <f t="shared" si="876"/>
        <v>0</v>
      </c>
      <c r="CV171" s="320">
        <f t="shared" ref="CV171:DA171" si="877">+CV134/20</f>
        <v>0</v>
      </c>
      <c r="CW171" s="320">
        <f t="shared" si="877"/>
        <v>0</v>
      </c>
      <c r="CX171" s="320">
        <f t="shared" si="877"/>
        <v>0</v>
      </c>
      <c r="CY171" s="320">
        <f t="shared" si="877"/>
        <v>0</v>
      </c>
      <c r="CZ171" s="320">
        <f t="shared" si="877"/>
        <v>0</v>
      </c>
      <c r="DA171" s="331">
        <f t="shared" si="877"/>
        <v>0</v>
      </c>
      <c r="DB171" s="344">
        <f t="shared" si="549"/>
        <v>0</v>
      </c>
    </row>
    <row r="172" spans="1:106" ht="15.75" thickBot="1">
      <c r="A172" s="239">
        <v>26</v>
      </c>
      <c r="B172" s="239">
        <f t="shared" ref="B172:R172" si="878">+B135/20</f>
        <v>0</v>
      </c>
      <c r="C172" s="277">
        <f t="shared" si="878"/>
        <v>0</v>
      </c>
      <c r="D172" s="277">
        <f t="shared" si="878"/>
        <v>0</v>
      </c>
      <c r="E172" s="277">
        <f t="shared" ref="E172:F172" si="879">+E135/20</f>
        <v>0</v>
      </c>
      <c r="F172" s="314">
        <f t="shared" si="879"/>
        <v>0</v>
      </c>
      <c r="G172" s="315">
        <f t="shared" si="878"/>
        <v>0</v>
      </c>
      <c r="H172" s="316">
        <f t="shared" si="878"/>
        <v>0</v>
      </c>
      <c r="I172" s="316">
        <f t="shared" si="878"/>
        <v>0</v>
      </c>
      <c r="J172" s="316">
        <f t="shared" si="878"/>
        <v>0</v>
      </c>
      <c r="K172" s="316">
        <f t="shared" si="878"/>
        <v>0</v>
      </c>
      <c r="L172" s="321">
        <f t="shared" ref="L172" si="880">+L135/20</f>
        <v>0</v>
      </c>
      <c r="M172" s="315">
        <f t="shared" si="878"/>
        <v>0</v>
      </c>
      <c r="N172" s="316">
        <f t="shared" si="878"/>
        <v>0</v>
      </c>
      <c r="O172" s="316">
        <f t="shared" si="878"/>
        <v>0</v>
      </c>
      <c r="P172" s="316">
        <f t="shared" ref="P172:Q172" si="881">+P135/20</f>
        <v>0</v>
      </c>
      <c r="Q172" s="316">
        <f t="shared" si="881"/>
        <v>0</v>
      </c>
      <c r="R172" s="319">
        <f t="shared" si="878"/>
        <v>0</v>
      </c>
      <c r="S172" s="320">
        <f t="shared" si="809"/>
        <v>0</v>
      </c>
      <c r="T172" s="320">
        <f t="shared" si="809"/>
        <v>0</v>
      </c>
      <c r="U172" s="320">
        <f t="shared" si="809"/>
        <v>0</v>
      </c>
      <c r="V172" s="320">
        <f t="shared" ref="V172" si="882">V135/20</f>
        <v>0</v>
      </c>
      <c r="W172" s="320">
        <f t="shared" si="809"/>
        <v>0</v>
      </c>
      <c r="X172" s="331">
        <f t="shared" si="809"/>
        <v>0</v>
      </c>
      <c r="Y172" s="315">
        <f t="shared" si="811"/>
        <v>0</v>
      </c>
      <c r="Z172" s="320">
        <f t="shared" si="811"/>
        <v>0</v>
      </c>
      <c r="AA172" s="320">
        <f t="shared" si="811"/>
        <v>0</v>
      </c>
      <c r="AB172" s="320">
        <f t="shared" si="811"/>
        <v>0</v>
      </c>
      <c r="AC172" s="331">
        <f t="shared" si="811"/>
        <v>0</v>
      </c>
      <c r="AD172" s="315">
        <f t="shared" si="811"/>
        <v>0</v>
      </c>
      <c r="AE172" s="316">
        <f t="shared" si="494"/>
        <v>0</v>
      </c>
      <c r="AF172" s="316">
        <f t="shared" si="495"/>
        <v>0</v>
      </c>
      <c r="AG172" s="316">
        <f t="shared" si="496"/>
        <v>0</v>
      </c>
      <c r="AH172" s="316">
        <f t="shared" si="497"/>
        <v>0</v>
      </c>
      <c r="AI172" s="316">
        <f t="shared" si="498"/>
        <v>0</v>
      </c>
      <c r="AJ172" s="316">
        <f t="shared" si="499"/>
        <v>0</v>
      </c>
      <c r="AK172" s="316">
        <f t="shared" si="500"/>
        <v>0</v>
      </c>
      <c r="AL172" s="316">
        <f t="shared" si="501"/>
        <v>0</v>
      </c>
      <c r="AM172" s="319">
        <f t="shared" si="502"/>
        <v>0</v>
      </c>
      <c r="AN172" s="315">
        <f t="shared" si="503"/>
        <v>0</v>
      </c>
      <c r="AO172" s="316">
        <f t="shared" si="504"/>
        <v>0</v>
      </c>
      <c r="AP172" s="320">
        <f t="shared" si="505"/>
        <v>0</v>
      </c>
      <c r="AQ172" s="316">
        <f t="shared" si="506"/>
        <v>0</v>
      </c>
      <c r="AR172" s="320">
        <f t="shared" si="507"/>
        <v>0</v>
      </c>
      <c r="AS172" s="316">
        <f t="shared" si="508"/>
        <v>0</v>
      </c>
      <c r="AT172" s="320">
        <f t="shared" si="509"/>
        <v>0</v>
      </c>
      <c r="AU172" s="321">
        <f t="shared" si="510"/>
        <v>0</v>
      </c>
      <c r="AV172" s="315">
        <f t="shared" ref="AV172:BF172" si="883">+AV135/20</f>
        <v>0</v>
      </c>
      <c r="AW172" s="316">
        <f t="shared" si="883"/>
        <v>0</v>
      </c>
      <c r="AX172" s="335">
        <f t="shared" si="883"/>
        <v>0</v>
      </c>
      <c r="AY172" s="319">
        <f t="shared" si="883"/>
        <v>0</v>
      </c>
      <c r="AZ172" s="315">
        <f t="shared" si="883"/>
        <v>0</v>
      </c>
      <c r="BA172" s="320">
        <f t="shared" si="883"/>
        <v>0</v>
      </c>
      <c r="BB172" s="320">
        <f t="shared" si="883"/>
        <v>0</v>
      </c>
      <c r="BC172" s="320">
        <f t="shared" si="883"/>
        <v>0</v>
      </c>
      <c r="BD172" s="320">
        <f t="shared" si="883"/>
        <v>0</v>
      </c>
      <c r="BE172" s="343">
        <f t="shared" si="883"/>
        <v>0</v>
      </c>
      <c r="BF172" s="315">
        <f t="shared" si="883"/>
        <v>0</v>
      </c>
      <c r="BG172" s="316">
        <f t="shared" si="523"/>
        <v>0</v>
      </c>
      <c r="BH172" s="316">
        <f t="shared" si="524"/>
        <v>0</v>
      </c>
      <c r="BI172" s="316">
        <f t="shared" ref="BI172" si="884">+BI135/20</f>
        <v>0</v>
      </c>
      <c r="BJ172" s="316">
        <f t="shared" si="526"/>
        <v>0</v>
      </c>
      <c r="BK172" s="316">
        <f t="shared" si="527"/>
        <v>0</v>
      </c>
      <c r="BL172" s="316">
        <f t="shared" ref="BL172" si="885">+BL135/20</f>
        <v>0</v>
      </c>
      <c r="BM172" s="316">
        <f t="shared" si="529"/>
        <v>0</v>
      </c>
      <c r="BN172" s="316">
        <f t="shared" si="530"/>
        <v>0</v>
      </c>
      <c r="BO172" s="316">
        <f t="shared" si="531"/>
        <v>0</v>
      </c>
      <c r="BP172" s="316">
        <f t="shared" si="532"/>
        <v>0</v>
      </c>
      <c r="BQ172" s="316">
        <f t="shared" si="533"/>
        <v>0</v>
      </c>
      <c r="BR172" s="316">
        <f t="shared" ref="BR172" si="886">+BR135/20</f>
        <v>0</v>
      </c>
      <c r="BS172" s="316">
        <f t="shared" si="535"/>
        <v>0</v>
      </c>
      <c r="BT172" s="316">
        <f t="shared" si="536"/>
        <v>0</v>
      </c>
      <c r="BU172" s="316">
        <f t="shared" ref="BU172" si="887">+BU135/20</f>
        <v>0</v>
      </c>
      <c r="BV172" s="316">
        <f t="shared" si="538"/>
        <v>0</v>
      </c>
      <c r="BW172" s="316">
        <f t="shared" si="539"/>
        <v>0</v>
      </c>
      <c r="BX172" s="316">
        <f t="shared" ref="BX172" si="888">+BX135/20</f>
        <v>0</v>
      </c>
      <c r="BY172" s="316">
        <f t="shared" si="541"/>
        <v>0</v>
      </c>
      <c r="BZ172" s="316">
        <f t="shared" si="542"/>
        <v>0</v>
      </c>
      <c r="CA172" s="316">
        <f t="shared" si="543"/>
        <v>0</v>
      </c>
      <c r="CB172" s="316">
        <f t="shared" si="544"/>
        <v>0</v>
      </c>
      <c r="CC172" s="319">
        <f t="shared" si="545"/>
        <v>0</v>
      </c>
      <c r="CD172" s="320">
        <f t="shared" si="818"/>
        <v>0</v>
      </c>
      <c r="CE172" s="320">
        <f t="shared" si="818"/>
        <v>0</v>
      </c>
      <c r="CF172" s="320">
        <f t="shared" si="818"/>
        <v>0</v>
      </c>
      <c r="CG172" s="320">
        <f t="shared" si="818"/>
        <v>0</v>
      </c>
      <c r="CH172" s="320">
        <f t="shared" si="818"/>
        <v>0</v>
      </c>
      <c r="CI172" s="331">
        <f t="shared" si="818"/>
        <v>0</v>
      </c>
      <c r="CJ172" s="320">
        <f t="shared" ref="CJ172:CO172" si="889">+CJ135/20</f>
        <v>0</v>
      </c>
      <c r="CK172" s="320">
        <f t="shared" si="889"/>
        <v>0</v>
      </c>
      <c r="CL172" s="320">
        <f t="shared" si="889"/>
        <v>0</v>
      </c>
      <c r="CM172" s="320">
        <f t="shared" si="889"/>
        <v>0</v>
      </c>
      <c r="CN172" s="320">
        <f t="shared" si="889"/>
        <v>0</v>
      </c>
      <c r="CO172" s="331">
        <f t="shared" si="889"/>
        <v>0</v>
      </c>
      <c r="CP172" s="320">
        <f t="shared" ref="CP172:CU172" si="890">+CP135/20</f>
        <v>0</v>
      </c>
      <c r="CQ172" s="320">
        <f t="shared" si="890"/>
        <v>0</v>
      </c>
      <c r="CR172" s="320">
        <f t="shared" si="890"/>
        <v>0</v>
      </c>
      <c r="CS172" s="320">
        <f t="shared" si="890"/>
        <v>0</v>
      </c>
      <c r="CT172" s="320">
        <f t="shared" si="890"/>
        <v>0</v>
      </c>
      <c r="CU172" s="331">
        <f t="shared" si="890"/>
        <v>0</v>
      </c>
      <c r="CV172" s="320">
        <f t="shared" ref="CV172:DA172" si="891">+CV135/20</f>
        <v>0</v>
      </c>
      <c r="CW172" s="320">
        <f t="shared" si="891"/>
        <v>0</v>
      </c>
      <c r="CX172" s="320">
        <f t="shared" si="891"/>
        <v>0</v>
      </c>
      <c r="CY172" s="320">
        <f t="shared" si="891"/>
        <v>0</v>
      </c>
      <c r="CZ172" s="320">
        <f t="shared" si="891"/>
        <v>0</v>
      </c>
      <c r="DA172" s="331">
        <f t="shared" si="891"/>
        <v>0</v>
      </c>
      <c r="DB172" s="344">
        <f t="shared" si="549"/>
        <v>0</v>
      </c>
    </row>
    <row r="173" spans="1:106" ht="15.75" thickBot="1">
      <c r="A173" s="239">
        <v>27</v>
      </c>
      <c r="B173" s="239">
        <f t="shared" ref="B173:R173" si="892">+B136/20</f>
        <v>0</v>
      </c>
      <c r="C173" s="277">
        <f t="shared" si="892"/>
        <v>0</v>
      </c>
      <c r="D173" s="277">
        <f t="shared" si="892"/>
        <v>0</v>
      </c>
      <c r="E173" s="277">
        <f t="shared" ref="E173:F173" si="893">+E136/20</f>
        <v>0</v>
      </c>
      <c r="F173" s="314">
        <f t="shared" si="893"/>
        <v>0</v>
      </c>
      <c r="G173" s="315">
        <f t="shared" si="892"/>
        <v>0</v>
      </c>
      <c r="H173" s="316">
        <f t="shared" si="892"/>
        <v>0</v>
      </c>
      <c r="I173" s="316">
        <f t="shared" si="892"/>
        <v>0</v>
      </c>
      <c r="J173" s="316">
        <f t="shared" si="892"/>
        <v>0</v>
      </c>
      <c r="K173" s="316">
        <f t="shared" si="892"/>
        <v>0</v>
      </c>
      <c r="L173" s="321">
        <f t="shared" ref="L173" si="894">+L136/20</f>
        <v>0</v>
      </c>
      <c r="M173" s="315">
        <f t="shared" si="892"/>
        <v>0</v>
      </c>
      <c r="N173" s="316">
        <f t="shared" si="892"/>
        <v>0</v>
      </c>
      <c r="O173" s="316">
        <f t="shared" si="892"/>
        <v>0</v>
      </c>
      <c r="P173" s="316">
        <f t="shared" ref="P173:Q173" si="895">+P136/20</f>
        <v>0</v>
      </c>
      <c r="Q173" s="316">
        <f t="shared" si="895"/>
        <v>0</v>
      </c>
      <c r="R173" s="319">
        <f t="shared" si="892"/>
        <v>0</v>
      </c>
      <c r="S173" s="320">
        <f t="shared" si="809"/>
        <v>0</v>
      </c>
      <c r="T173" s="320">
        <f t="shared" si="809"/>
        <v>0</v>
      </c>
      <c r="U173" s="320">
        <f t="shared" si="809"/>
        <v>0</v>
      </c>
      <c r="V173" s="320">
        <f t="shared" ref="V173" si="896">V136/20</f>
        <v>0</v>
      </c>
      <c r="W173" s="320">
        <f t="shared" si="809"/>
        <v>0</v>
      </c>
      <c r="X173" s="331">
        <f t="shared" si="809"/>
        <v>0</v>
      </c>
      <c r="Y173" s="315">
        <f t="shared" si="811"/>
        <v>0</v>
      </c>
      <c r="Z173" s="320">
        <f t="shared" si="811"/>
        <v>0</v>
      </c>
      <c r="AA173" s="320">
        <f t="shared" si="811"/>
        <v>0</v>
      </c>
      <c r="AB173" s="320">
        <f t="shared" si="811"/>
        <v>0</v>
      </c>
      <c r="AC173" s="331">
        <f t="shared" si="811"/>
        <v>0</v>
      </c>
      <c r="AD173" s="315">
        <f t="shared" si="811"/>
        <v>0</v>
      </c>
      <c r="AE173" s="316">
        <f t="shared" si="494"/>
        <v>0</v>
      </c>
      <c r="AF173" s="316">
        <f t="shared" si="495"/>
        <v>0</v>
      </c>
      <c r="AG173" s="316">
        <f t="shared" si="496"/>
        <v>0</v>
      </c>
      <c r="AH173" s="316">
        <f t="shared" si="497"/>
        <v>0</v>
      </c>
      <c r="AI173" s="316">
        <f t="shared" si="498"/>
        <v>0</v>
      </c>
      <c r="AJ173" s="316">
        <f t="shared" si="499"/>
        <v>0</v>
      </c>
      <c r="AK173" s="316">
        <f t="shared" si="500"/>
        <v>0</v>
      </c>
      <c r="AL173" s="316">
        <f t="shared" si="501"/>
        <v>0</v>
      </c>
      <c r="AM173" s="319">
        <f t="shared" si="502"/>
        <v>0</v>
      </c>
      <c r="AN173" s="315">
        <f t="shared" si="503"/>
        <v>0</v>
      </c>
      <c r="AO173" s="316">
        <f t="shared" si="504"/>
        <v>0</v>
      </c>
      <c r="AP173" s="320">
        <f t="shared" si="505"/>
        <v>0</v>
      </c>
      <c r="AQ173" s="316">
        <f t="shared" si="506"/>
        <v>0</v>
      </c>
      <c r="AR173" s="320">
        <f t="shared" si="507"/>
        <v>0</v>
      </c>
      <c r="AS173" s="316">
        <f t="shared" si="508"/>
        <v>0</v>
      </c>
      <c r="AT173" s="320">
        <f t="shared" si="509"/>
        <v>0</v>
      </c>
      <c r="AU173" s="321">
        <f t="shared" si="510"/>
        <v>0</v>
      </c>
      <c r="AV173" s="315">
        <f t="shared" ref="AV173:BF173" si="897">+AV136/20</f>
        <v>0</v>
      </c>
      <c r="AW173" s="316">
        <f t="shared" si="897"/>
        <v>0</v>
      </c>
      <c r="AX173" s="335">
        <f t="shared" si="897"/>
        <v>0</v>
      </c>
      <c r="AY173" s="319">
        <f t="shared" si="897"/>
        <v>0</v>
      </c>
      <c r="AZ173" s="315">
        <f t="shared" si="897"/>
        <v>0</v>
      </c>
      <c r="BA173" s="320">
        <f t="shared" si="897"/>
        <v>0</v>
      </c>
      <c r="BB173" s="320">
        <f t="shared" si="897"/>
        <v>0</v>
      </c>
      <c r="BC173" s="320">
        <f t="shared" si="897"/>
        <v>0</v>
      </c>
      <c r="BD173" s="320">
        <f t="shared" si="897"/>
        <v>0</v>
      </c>
      <c r="BE173" s="343">
        <f t="shared" si="897"/>
        <v>0</v>
      </c>
      <c r="BF173" s="315">
        <f t="shared" si="897"/>
        <v>0</v>
      </c>
      <c r="BG173" s="316">
        <f t="shared" si="523"/>
        <v>0</v>
      </c>
      <c r="BH173" s="316">
        <f t="shared" si="524"/>
        <v>0</v>
      </c>
      <c r="BI173" s="316">
        <f t="shared" ref="BI173" si="898">+BI136/20</f>
        <v>0</v>
      </c>
      <c r="BJ173" s="316">
        <f t="shared" si="526"/>
        <v>0</v>
      </c>
      <c r="BK173" s="316">
        <f t="shared" si="527"/>
        <v>0</v>
      </c>
      <c r="BL173" s="316">
        <f t="shared" ref="BL173" si="899">+BL136/20</f>
        <v>0</v>
      </c>
      <c r="BM173" s="316">
        <f t="shared" si="529"/>
        <v>0</v>
      </c>
      <c r="BN173" s="316">
        <f t="shared" si="530"/>
        <v>0</v>
      </c>
      <c r="BO173" s="316">
        <f t="shared" si="531"/>
        <v>0</v>
      </c>
      <c r="BP173" s="316">
        <f t="shared" si="532"/>
        <v>0</v>
      </c>
      <c r="BQ173" s="316">
        <f t="shared" si="533"/>
        <v>0</v>
      </c>
      <c r="BR173" s="316">
        <f t="shared" ref="BR173" si="900">+BR136/20</f>
        <v>0</v>
      </c>
      <c r="BS173" s="316">
        <f t="shared" si="535"/>
        <v>0</v>
      </c>
      <c r="BT173" s="316">
        <f t="shared" si="536"/>
        <v>0</v>
      </c>
      <c r="BU173" s="316">
        <f t="shared" ref="BU173" si="901">+BU136/20</f>
        <v>0</v>
      </c>
      <c r="BV173" s="316">
        <f t="shared" si="538"/>
        <v>0</v>
      </c>
      <c r="BW173" s="316">
        <f t="shared" si="539"/>
        <v>0</v>
      </c>
      <c r="BX173" s="316">
        <f t="shared" ref="BX173" si="902">+BX136/20</f>
        <v>0</v>
      </c>
      <c r="BY173" s="316">
        <f t="shared" si="541"/>
        <v>0</v>
      </c>
      <c r="BZ173" s="316">
        <f t="shared" si="542"/>
        <v>0</v>
      </c>
      <c r="CA173" s="316">
        <f t="shared" si="543"/>
        <v>0</v>
      </c>
      <c r="CB173" s="316">
        <f t="shared" si="544"/>
        <v>0</v>
      </c>
      <c r="CC173" s="319">
        <f t="shared" si="545"/>
        <v>0</v>
      </c>
      <c r="CD173" s="320">
        <f t="shared" si="818"/>
        <v>0</v>
      </c>
      <c r="CE173" s="320">
        <f t="shared" si="818"/>
        <v>0</v>
      </c>
      <c r="CF173" s="320">
        <f t="shared" si="818"/>
        <v>0</v>
      </c>
      <c r="CG173" s="320">
        <f t="shared" si="818"/>
        <v>0</v>
      </c>
      <c r="CH173" s="320">
        <f t="shared" si="818"/>
        <v>0</v>
      </c>
      <c r="CI173" s="331">
        <f t="shared" si="818"/>
        <v>0</v>
      </c>
      <c r="CJ173" s="320">
        <f t="shared" ref="CJ173:CO173" si="903">+CJ136/20</f>
        <v>0</v>
      </c>
      <c r="CK173" s="320">
        <f t="shared" si="903"/>
        <v>0</v>
      </c>
      <c r="CL173" s="320">
        <f t="shared" si="903"/>
        <v>0</v>
      </c>
      <c r="CM173" s="320">
        <f t="shared" si="903"/>
        <v>0</v>
      </c>
      <c r="CN173" s="320">
        <f t="shared" si="903"/>
        <v>0</v>
      </c>
      <c r="CO173" s="331">
        <f t="shared" si="903"/>
        <v>0</v>
      </c>
      <c r="CP173" s="320">
        <f t="shared" ref="CP173:CU173" si="904">+CP136/20</f>
        <v>0</v>
      </c>
      <c r="CQ173" s="320">
        <f t="shared" si="904"/>
        <v>0</v>
      </c>
      <c r="CR173" s="320">
        <f t="shared" si="904"/>
        <v>0</v>
      </c>
      <c r="CS173" s="320">
        <f t="shared" si="904"/>
        <v>0</v>
      </c>
      <c r="CT173" s="320">
        <f t="shared" si="904"/>
        <v>0</v>
      </c>
      <c r="CU173" s="331">
        <f t="shared" si="904"/>
        <v>0</v>
      </c>
      <c r="CV173" s="320">
        <f t="shared" ref="CV173:DA173" si="905">+CV136/20</f>
        <v>0</v>
      </c>
      <c r="CW173" s="320">
        <f t="shared" si="905"/>
        <v>0</v>
      </c>
      <c r="CX173" s="320">
        <f t="shared" si="905"/>
        <v>0</v>
      </c>
      <c r="CY173" s="320">
        <f t="shared" si="905"/>
        <v>0</v>
      </c>
      <c r="CZ173" s="320">
        <f t="shared" si="905"/>
        <v>0</v>
      </c>
      <c r="DA173" s="331">
        <f t="shared" si="905"/>
        <v>0</v>
      </c>
      <c r="DB173" s="344">
        <f t="shared" si="549"/>
        <v>0</v>
      </c>
    </row>
    <row r="174" spans="1:106" ht="15.75" thickBot="1">
      <c r="A174" s="239">
        <v>28</v>
      </c>
      <c r="B174" s="239">
        <f t="shared" ref="B174:R174" si="906">+B137/20</f>
        <v>0</v>
      </c>
      <c r="C174" s="277">
        <f t="shared" si="906"/>
        <v>0</v>
      </c>
      <c r="D174" s="277">
        <f t="shared" si="906"/>
        <v>0</v>
      </c>
      <c r="E174" s="277">
        <f t="shared" ref="E174:F174" si="907">+E137/20</f>
        <v>0</v>
      </c>
      <c r="F174" s="314">
        <f t="shared" si="907"/>
        <v>0</v>
      </c>
      <c r="G174" s="315">
        <f t="shared" si="906"/>
        <v>0</v>
      </c>
      <c r="H174" s="316">
        <f t="shared" si="906"/>
        <v>0</v>
      </c>
      <c r="I174" s="316">
        <f t="shared" si="906"/>
        <v>0</v>
      </c>
      <c r="J174" s="316">
        <f t="shared" si="906"/>
        <v>0</v>
      </c>
      <c r="K174" s="316">
        <f t="shared" si="906"/>
        <v>0</v>
      </c>
      <c r="L174" s="321">
        <f t="shared" ref="L174" si="908">+L137/20</f>
        <v>0</v>
      </c>
      <c r="M174" s="315">
        <f t="shared" si="906"/>
        <v>0</v>
      </c>
      <c r="N174" s="316">
        <f t="shared" si="906"/>
        <v>0</v>
      </c>
      <c r="O174" s="316">
        <f t="shared" si="906"/>
        <v>0</v>
      </c>
      <c r="P174" s="316">
        <f t="shared" ref="P174:Q174" si="909">+P137/20</f>
        <v>0</v>
      </c>
      <c r="Q174" s="316">
        <f t="shared" si="909"/>
        <v>0</v>
      </c>
      <c r="R174" s="319">
        <f t="shared" si="906"/>
        <v>0</v>
      </c>
      <c r="S174" s="320">
        <f t="shared" si="809"/>
        <v>0</v>
      </c>
      <c r="T174" s="320">
        <f t="shared" si="809"/>
        <v>0</v>
      </c>
      <c r="U174" s="320">
        <f t="shared" si="809"/>
        <v>0</v>
      </c>
      <c r="V174" s="320">
        <f t="shared" ref="V174" si="910">V137/20</f>
        <v>0</v>
      </c>
      <c r="W174" s="320">
        <f t="shared" si="809"/>
        <v>0</v>
      </c>
      <c r="X174" s="331">
        <f t="shared" si="809"/>
        <v>0</v>
      </c>
      <c r="Y174" s="315">
        <f t="shared" si="811"/>
        <v>0</v>
      </c>
      <c r="Z174" s="320">
        <f t="shared" si="811"/>
        <v>0</v>
      </c>
      <c r="AA174" s="320">
        <f t="shared" si="811"/>
        <v>0</v>
      </c>
      <c r="AB174" s="320">
        <f t="shared" si="811"/>
        <v>0</v>
      </c>
      <c r="AC174" s="331">
        <f t="shared" si="811"/>
        <v>0</v>
      </c>
      <c r="AD174" s="315">
        <f t="shared" si="811"/>
        <v>0</v>
      </c>
      <c r="AE174" s="316">
        <f t="shared" si="494"/>
        <v>0</v>
      </c>
      <c r="AF174" s="316">
        <f t="shared" si="495"/>
        <v>0</v>
      </c>
      <c r="AG174" s="316">
        <f t="shared" si="496"/>
        <v>0</v>
      </c>
      <c r="AH174" s="316">
        <f t="shared" si="497"/>
        <v>0</v>
      </c>
      <c r="AI174" s="316">
        <f t="shared" si="498"/>
        <v>0</v>
      </c>
      <c r="AJ174" s="316">
        <f t="shared" si="499"/>
        <v>0</v>
      </c>
      <c r="AK174" s="316">
        <f t="shared" si="500"/>
        <v>0</v>
      </c>
      <c r="AL174" s="316">
        <f t="shared" si="501"/>
        <v>0</v>
      </c>
      <c r="AM174" s="319">
        <f t="shared" si="502"/>
        <v>0</v>
      </c>
      <c r="AN174" s="315">
        <f t="shared" si="503"/>
        <v>0</v>
      </c>
      <c r="AO174" s="316">
        <f t="shared" si="504"/>
        <v>0</v>
      </c>
      <c r="AP174" s="320">
        <f t="shared" si="505"/>
        <v>0</v>
      </c>
      <c r="AQ174" s="316">
        <f t="shared" si="506"/>
        <v>0</v>
      </c>
      <c r="AR174" s="320">
        <f t="shared" si="507"/>
        <v>0</v>
      </c>
      <c r="AS174" s="316">
        <f t="shared" si="508"/>
        <v>0</v>
      </c>
      <c r="AT174" s="320">
        <f t="shared" si="509"/>
        <v>0</v>
      </c>
      <c r="AU174" s="321">
        <f t="shared" si="510"/>
        <v>0</v>
      </c>
      <c r="AV174" s="315">
        <f t="shared" ref="AV174:BF174" si="911">+AV137/20</f>
        <v>0</v>
      </c>
      <c r="AW174" s="316">
        <f t="shared" si="911"/>
        <v>0</v>
      </c>
      <c r="AX174" s="335">
        <f t="shared" si="911"/>
        <v>0</v>
      </c>
      <c r="AY174" s="319">
        <f t="shared" si="911"/>
        <v>0</v>
      </c>
      <c r="AZ174" s="315">
        <f t="shared" si="911"/>
        <v>0</v>
      </c>
      <c r="BA174" s="320">
        <f t="shared" si="911"/>
        <v>0</v>
      </c>
      <c r="BB174" s="320">
        <f t="shared" si="911"/>
        <v>0</v>
      </c>
      <c r="BC174" s="320">
        <f t="shared" si="911"/>
        <v>0</v>
      </c>
      <c r="BD174" s="320">
        <f t="shared" si="911"/>
        <v>0</v>
      </c>
      <c r="BE174" s="343">
        <f t="shared" si="911"/>
        <v>0</v>
      </c>
      <c r="BF174" s="315">
        <f t="shared" si="911"/>
        <v>0</v>
      </c>
      <c r="BG174" s="316">
        <f t="shared" si="523"/>
        <v>0</v>
      </c>
      <c r="BH174" s="316">
        <f t="shared" si="524"/>
        <v>0</v>
      </c>
      <c r="BI174" s="316">
        <f t="shared" ref="BI174" si="912">+BI137/20</f>
        <v>0</v>
      </c>
      <c r="BJ174" s="316">
        <f t="shared" si="526"/>
        <v>0</v>
      </c>
      <c r="BK174" s="316">
        <f t="shared" si="527"/>
        <v>0</v>
      </c>
      <c r="BL174" s="316">
        <f t="shared" ref="BL174" si="913">+BL137/20</f>
        <v>0</v>
      </c>
      <c r="BM174" s="316">
        <f t="shared" si="529"/>
        <v>0</v>
      </c>
      <c r="BN174" s="316">
        <f t="shared" si="530"/>
        <v>0</v>
      </c>
      <c r="BO174" s="316">
        <f t="shared" si="531"/>
        <v>0</v>
      </c>
      <c r="BP174" s="316">
        <f t="shared" si="532"/>
        <v>0</v>
      </c>
      <c r="BQ174" s="316">
        <f t="shared" si="533"/>
        <v>0</v>
      </c>
      <c r="BR174" s="316">
        <f t="shared" ref="BR174" si="914">+BR137/20</f>
        <v>0</v>
      </c>
      <c r="BS174" s="316">
        <f t="shared" si="535"/>
        <v>0</v>
      </c>
      <c r="BT174" s="316">
        <f t="shared" si="536"/>
        <v>0</v>
      </c>
      <c r="BU174" s="316">
        <f t="shared" ref="BU174" si="915">+BU137/20</f>
        <v>0</v>
      </c>
      <c r="BV174" s="316">
        <f t="shared" si="538"/>
        <v>0</v>
      </c>
      <c r="BW174" s="316">
        <f t="shared" si="539"/>
        <v>0</v>
      </c>
      <c r="BX174" s="316">
        <f t="shared" ref="BX174" si="916">+BX137/20</f>
        <v>0</v>
      </c>
      <c r="BY174" s="316">
        <f t="shared" si="541"/>
        <v>0</v>
      </c>
      <c r="BZ174" s="316">
        <f t="shared" si="542"/>
        <v>0</v>
      </c>
      <c r="CA174" s="316">
        <f t="shared" si="543"/>
        <v>0</v>
      </c>
      <c r="CB174" s="316">
        <f t="shared" si="544"/>
        <v>0</v>
      </c>
      <c r="CC174" s="319">
        <f t="shared" si="545"/>
        <v>0</v>
      </c>
      <c r="CD174" s="320">
        <f t="shared" si="818"/>
        <v>0</v>
      </c>
      <c r="CE174" s="320">
        <f t="shared" si="818"/>
        <v>0</v>
      </c>
      <c r="CF174" s="320">
        <f t="shared" si="818"/>
        <v>0</v>
      </c>
      <c r="CG174" s="320">
        <f t="shared" si="818"/>
        <v>0</v>
      </c>
      <c r="CH174" s="320">
        <f t="shared" si="818"/>
        <v>0</v>
      </c>
      <c r="CI174" s="331">
        <f t="shared" si="818"/>
        <v>0</v>
      </c>
      <c r="CJ174" s="320">
        <f t="shared" ref="CJ174:CO174" si="917">+CJ137/20</f>
        <v>0</v>
      </c>
      <c r="CK174" s="320">
        <f t="shared" si="917"/>
        <v>0</v>
      </c>
      <c r="CL174" s="320">
        <f t="shared" si="917"/>
        <v>0</v>
      </c>
      <c r="CM174" s="320">
        <f t="shared" si="917"/>
        <v>0</v>
      </c>
      <c r="CN174" s="320">
        <f t="shared" si="917"/>
        <v>0</v>
      </c>
      <c r="CO174" s="331">
        <f t="shared" si="917"/>
        <v>0</v>
      </c>
      <c r="CP174" s="320">
        <f t="shared" ref="CP174:CU174" si="918">+CP137/20</f>
        <v>0</v>
      </c>
      <c r="CQ174" s="320">
        <f t="shared" si="918"/>
        <v>0</v>
      </c>
      <c r="CR174" s="320">
        <f t="shared" si="918"/>
        <v>0</v>
      </c>
      <c r="CS174" s="320">
        <f t="shared" si="918"/>
        <v>0</v>
      </c>
      <c r="CT174" s="320">
        <f t="shared" si="918"/>
        <v>0</v>
      </c>
      <c r="CU174" s="331">
        <f t="shared" si="918"/>
        <v>0</v>
      </c>
      <c r="CV174" s="320">
        <f t="shared" ref="CV174:DA174" si="919">+CV137/20</f>
        <v>0</v>
      </c>
      <c r="CW174" s="320">
        <f t="shared" si="919"/>
        <v>0</v>
      </c>
      <c r="CX174" s="320">
        <f t="shared" si="919"/>
        <v>0</v>
      </c>
      <c r="CY174" s="320">
        <f t="shared" si="919"/>
        <v>0</v>
      </c>
      <c r="CZ174" s="320">
        <f t="shared" si="919"/>
        <v>0</v>
      </c>
      <c r="DA174" s="331">
        <f t="shared" si="919"/>
        <v>0</v>
      </c>
      <c r="DB174" s="344">
        <f t="shared" si="549"/>
        <v>0</v>
      </c>
    </row>
    <row r="175" spans="1:106" ht="15.75" thickBot="1">
      <c r="A175" s="239">
        <v>29</v>
      </c>
      <c r="B175" s="239">
        <f t="shared" ref="B175:R175" si="920">+B138/20</f>
        <v>0</v>
      </c>
      <c r="C175" s="277">
        <f t="shared" si="920"/>
        <v>0</v>
      </c>
      <c r="D175" s="277">
        <f t="shared" si="920"/>
        <v>0</v>
      </c>
      <c r="E175" s="277">
        <f t="shared" ref="E175:F175" si="921">+E138/20</f>
        <v>0</v>
      </c>
      <c r="F175" s="314">
        <f t="shared" si="921"/>
        <v>0</v>
      </c>
      <c r="G175" s="315">
        <f t="shared" si="920"/>
        <v>0</v>
      </c>
      <c r="H175" s="316">
        <f t="shared" si="920"/>
        <v>0</v>
      </c>
      <c r="I175" s="316">
        <f t="shared" si="920"/>
        <v>0</v>
      </c>
      <c r="J175" s="316">
        <f t="shared" si="920"/>
        <v>0</v>
      </c>
      <c r="K175" s="316">
        <f t="shared" si="920"/>
        <v>0</v>
      </c>
      <c r="L175" s="321">
        <f t="shared" ref="L175" si="922">+L138/20</f>
        <v>0</v>
      </c>
      <c r="M175" s="315">
        <f t="shared" si="920"/>
        <v>0</v>
      </c>
      <c r="N175" s="316">
        <f t="shared" si="920"/>
        <v>0</v>
      </c>
      <c r="O175" s="316">
        <f t="shared" si="920"/>
        <v>0</v>
      </c>
      <c r="P175" s="316">
        <f t="shared" ref="P175:Q175" si="923">+P138/20</f>
        <v>0</v>
      </c>
      <c r="Q175" s="316">
        <f t="shared" si="923"/>
        <v>0</v>
      </c>
      <c r="R175" s="319">
        <f t="shared" si="920"/>
        <v>0</v>
      </c>
      <c r="S175" s="320">
        <f t="shared" si="809"/>
        <v>0</v>
      </c>
      <c r="T175" s="320">
        <f t="shared" si="809"/>
        <v>0</v>
      </c>
      <c r="U175" s="320">
        <f t="shared" si="809"/>
        <v>0</v>
      </c>
      <c r="V175" s="320">
        <f t="shared" ref="V175" si="924">V138/20</f>
        <v>0</v>
      </c>
      <c r="W175" s="320">
        <f t="shared" si="809"/>
        <v>0</v>
      </c>
      <c r="X175" s="331">
        <f t="shared" si="809"/>
        <v>0</v>
      </c>
      <c r="Y175" s="315">
        <f t="shared" si="811"/>
        <v>0</v>
      </c>
      <c r="Z175" s="320">
        <f t="shared" si="811"/>
        <v>0</v>
      </c>
      <c r="AA175" s="320">
        <f t="shared" si="811"/>
        <v>0</v>
      </c>
      <c r="AB175" s="320">
        <f t="shared" si="811"/>
        <v>0</v>
      </c>
      <c r="AC175" s="331">
        <f t="shared" si="811"/>
        <v>0</v>
      </c>
      <c r="AD175" s="315">
        <f t="shared" si="811"/>
        <v>0</v>
      </c>
      <c r="AE175" s="316">
        <f t="shared" si="494"/>
        <v>0</v>
      </c>
      <c r="AF175" s="316">
        <f t="shared" si="495"/>
        <v>0</v>
      </c>
      <c r="AG175" s="316">
        <f t="shared" si="496"/>
        <v>0</v>
      </c>
      <c r="AH175" s="316">
        <f t="shared" si="497"/>
        <v>0</v>
      </c>
      <c r="AI175" s="316">
        <f t="shared" si="498"/>
        <v>0</v>
      </c>
      <c r="AJ175" s="316">
        <f t="shared" si="499"/>
        <v>0</v>
      </c>
      <c r="AK175" s="316">
        <f t="shared" si="500"/>
        <v>0</v>
      </c>
      <c r="AL175" s="316">
        <f t="shared" si="501"/>
        <v>0</v>
      </c>
      <c r="AM175" s="319">
        <f t="shared" si="502"/>
        <v>0</v>
      </c>
      <c r="AN175" s="315">
        <f t="shared" si="503"/>
        <v>0</v>
      </c>
      <c r="AO175" s="316">
        <f t="shared" si="504"/>
        <v>0</v>
      </c>
      <c r="AP175" s="320">
        <f t="shared" si="505"/>
        <v>0</v>
      </c>
      <c r="AQ175" s="316">
        <f t="shared" si="506"/>
        <v>0</v>
      </c>
      <c r="AR175" s="320">
        <f t="shared" si="507"/>
        <v>0</v>
      </c>
      <c r="AS175" s="316">
        <f t="shared" si="508"/>
        <v>0</v>
      </c>
      <c r="AT175" s="320">
        <f t="shared" si="509"/>
        <v>0</v>
      </c>
      <c r="AU175" s="321">
        <f t="shared" si="510"/>
        <v>0</v>
      </c>
      <c r="AV175" s="315">
        <f t="shared" ref="AV175:BF175" si="925">+AV138/20</f>
        <v>0</v>
      </c>
      <c r="AW175" s="316">
        <f t="shared" si="925"/>
        <v>0</v>
      </c>
      <c r="AX175" s="335">
        <f t="shared" si="925"/>
        <v>0</v>
      </c>
      <c r="AY175" s="319">
        <f t="shared" si="925"/>
        <v>0</v>
      </c>
      <c r="AZ175" s="315">
        <f t="shared" si="925"/>
        <v>0</v>
      </c>
      <c r="BA175" s="320">
        <f t="shared" si="925"/>
        <v>0</v>
      </c>
      <c r="BB175" s="320">
        <f t="shared" si="925"/>
        <v>0</v>
      </c>
      <c r="BC175" s="320">
        <f t="shared" si="925"/>
        <v>0</v>
      </c>
      <c r="BD175" s="320">
        <f t="shared" si="925"/>
        <v>0</v>
      </c>
      <c r="BE175" s="343">
        <f t="shared" si="925"/>
        <v>0</v>
      </c>
      <c r="BF175" s="315">
        <f t="shared" si="925"/>
        <v>0</v>
      </c>
      <c r="BG175" s="316">
        <f t="shared" si="523"/>
        <v>0</v>
      </c>
      <c r="BH175" s="316">
        <f t="shared" si="524"/>
        <v>0</v>
      </c>
      <c r="BI175" s="316">
        <f t="shared" ref="BI175" si="926">+BI138/20</f>
        <v>0</v>
      </c>
      <c r="BJ175" s="316">
        <f t="shared" si="526"/>
        <v>0</v>
      </c>
      <c r="BK175" s="316">
        <f t="shared" si="527"/>
        <v>0</v>
      </c>
      <c r="BL175" s="316">
        <f t="shared" ref="BL175" si="927">+BL138/20</f>
        <v>0</v>
      </c>
      <c r="BM175" s="316">
        <f t="shared" si="529"/>
        <v>0</v>
      </c>
      <c r="BN175" s="316">
        <f t="shared" si="530"/>
        <v>0</v>
      </c>
      <c r="BO175" s="316">
        <f t="shared" si="531"/>
        <v>0</v>
      </c>
      <c r="BP175" s="316">
        <f t="shared" si="532"/>
        <v>0</v>
      </c>
      <c r="BQ175" s="316">
        <f t="shared" si="533"/>
        <v>0</v>
      </c>
      <c r="BR175" s="316">
        <f t="shared" ref="BR175" si="928">+BR138/20</f>
        <v>0</v>
      </c>
      <c r="BS175" s="316">
        <f t="shared" si="535"/>
        <v>0</v>
      </c>
      <c r="BT175" s="316">
        <f t="shared" si="536"/>
        <v>0</v>
      </c>
      <c r="BU175" s="316">
        <f t="shared" ref="BU175" si="929">+BU138/20</f>
        <v>0</v>
      </c>
      <c r="BV175" s="316">
        <f t="shared" si="538"/>
        <v>0</v>
      </c>
      <c r="BW175" s="316">
        <f t="shared" si="539"/>
        <v>0</v>
      </c>
      <c r="BX175" s="316">
        <f t="shared" ref="BX175" si="930">+BX138/20</f>
        <v>0</v>
      </c>
      <c r="BY175" s="316">
        <f t="shared" si="541"/>
        <v>0</v>
      </c>
      <c r="BZ175" s="316">
        <f t="shared" si="542"/>
        <v>0</v>
      </c>
      <c r="CA175" s="316">
        <f t="shared" si="543"/>
        <v>0</v>
      </c>
      <c r="CB175" s="316">
        <f t="shared" si="544"/>
        <v>0</v>
      </c>
      <c r="CC175" s="319">
        <f t="shared" si="545"/>
        <v>0</v>
      </c>
      <c r="CD175" s="320">
        <f t="shared" si="818"/>
        <v>0</v>
      </c>
      <c r="CE175" s="320">
        <f t="shared" si="818"/>
        <v>0</v>
      </c>
      <c r="CF175" s="320">
        <f t="shared" si="818"/>
        <v>0</v>
      </c>
      <c r="CG175" s="320">
        <f t="shared" si="818"/>
        <v>0</v>
      </c>
      <c r="CH175" s="320">
        <f t="shared" si="818"/>
        <v>0</v>
      </c>
      <c r="CI175" s="331">
        <f t="shared" si="818"/>
        <v>0</v>
      </c>
      <c r="CJ175" s="320">
        <f t="shared" ref="CJ175:CO175" si="931">+CJ138/20</f>
        <v>0</v>
      </c>
      <c r="CK175" s="320">
        <f t="shared" si="931"/>
        <v>0</v>
      </c>
      <c r="CL175" s="320">
        <f t="shared" si="931"/>
        <v>0</v>
      </c>
      <c r="CM175" s="320">
        <f t="shared" si="931"/>
        <v>0</v>
      </c>
      <c r="CN175" s="320">
        <f t="shared" si="931"/>
        <v>0</v>
      </c>
      <c r="CO175" s="331">
        <f t="shared" si="931"/>
        <v>0</v>
      </c>
      <c r="CP175" s="320">
        <f t="shared" ref="CP175:CU175" si="932">+CP138/20</f>
        <v>0</v>
      </c>
      <c r="CQ175" s="320">
        <f t="shared" si="932"/>
        <v>0</v>
      </c>
      <c r="CR175" s="320">
        <f t="shared" si="932"/>
        <v>0</v>
      </c>
      <c r="CS175" s="320">
        <f t="shared" si="932"/>
        <v>0</v>
      </c>
      <c r="CT175" s="320">
        <f t="shared" si="932"/>
        <v>0</v>
      </c>
      <c r="CU175" s="331">
        <f t="shared" si="932"/>
        <v>0</v>
      </c>
      <c r="CV175" s="320">
        <f t="shared" ref="CV175:DA175" si="933">+CV138/20</f>
        <v>0</v>
      </c>
      <c r="CW175" s="320">
        <f t="shared" si="933"/>
        <v>0</v>
      </c>
      <c r="CX175" s="320">
        <f t="shared" si="933"/>
        <v>0</v>
      </c>
      <c r="CY175" s="320">
        <f t="shared" si="933"/>
        <v>0</v>
      </c>
      <c r="CZ175" s="320">
        <f t="shared" si="933"/>
        <v>0</v>
      </c>
      <c r="DA175" s="331">
        <f t="shared" si="933"/>
        <v>0</v>
      </c>
      <c r="DB175" s="344">
        <f t="shared" si="549"/>
        <v>0</v>
      </c>
    </row>
    <row r="176" spans="1:106" ht="15.75" thickBot="1">
      <c r="A176" s="239">
        <v>30</v>
      </c>
      <c r="B176" s="239">
        <f t="shared" ref="B176:R176" si="934">+B139/20</f>
        <v>0</v>
      </c>
      <c r="C176" s="277">
        <f t="shared" si="934"/>
        <v>0</v>
      </c>
      <c r="D176" s="277">
        <f t="shared" si="934"/>
        <v>0</v>
      </c>
      <c r="E176" s="277">
        <f t="shared" ref="E176:F176" si="935">+E139/20</f>
        <v>0</v>
      </c>
      <c r="F176" s="314">
        <f t="shared" si="935"/>
        <v>0</v>
      </c>
      <c r="G176" s="315">
        <f t="shared" si="934"/>
        <v>0</v>
      </c>
      <c r="H176" s="316">
        <f t="shared" si="934"/>
        <v>0</v>
      </c>
      <c r="I176" s="316">
        <f t="shared" si="934"/>
        <v>0</v>
      </c>
      <c r="J176" s="316">
        <f t="shared" si="934"/>
        <v>0</v>
      </c>
      <c r="K176" s="316">
        <f t="shared" si="934"/>
        <v>0</v>
      </c>
      <c r="L176" s="321">
        <f t="shared" ref="L176" si="936">+L139/20</f>
        <v>0</v>
      </c>
      <c r="M176" s="315">
        <f t="shared" si="934"/>
        <v>0</v>
      </c>
      <c r="N176" s="316">
        <f t="shared" si="934"/>
        <v>0</v>
      </c>
      <c r="O176" s="316">
        <f t="shared" si="934"/>
        <v>0</v>
      </c>
      <c r="P176" s="316">
        <f t="shared" ref="P176:Q176" si="937">+P139/20</f>
        <v>0</v>
      </c>
      <c r="Q176" s="316">
        <f t="shared" si="937"/>
        <v>0</v>
      </c>
      <c r="R176" s="319">
        <f t="shared" si="934"/>
        <v>0</v>
      </c>
      <c r="S176" s="320">
        <f t="shared" si="809"/>
        <v>0</v>
      </c>
      <c r="T176" s="320">
        <f t="shared" si="809"/>
        <v>0</v>
      </c>
      <c r="U176" s="320">
        <f t="shared" si="809"/>
        <v>0</v>
      </c>
      <c r="V176" s="320">
        <f t="shared" ref="V176" si="938">V139/20</f>
        <v>0</v>
      </c>
      <c r="W176" s="320">
        <f t="shared" si="809"/>
        <v>0</v>
      </c>
      <c r="X176" s="331">
        <f t="shared" si="809"/>
        <v>0</v>
      </c>
      <c r="Y176" s="315">
        <f t="shared" si="811"/>
        <v>0</v>
      </c>
      <c r="Z176" s="320">
        <f t="shared" si="811"/>
        <v>0</v>
      </c>
      <c r="AA176" s="320">
        <f t="shared" si="811"/>
        <v>0</v>
      </c>
      <c r="AB176" s="320">
        <f t="shared" si="811"/>
        <v>0</v>
      </c>
      <c r="AC176" s="331">
        <f t="shared" si="811"/>
        <v>0</v>
      </c>
      <c r="AD176" s="315">
        <f t="shared" si="811"/>
        <v>0</v>
      </c>
      <c r="AE176" s="316">
        <f t="shared" si="494"/>
        <v>0</v>
      </c>
      <c r="AF176" s="316">
        <f t="shared" si="495"/>
        <v>0</v>
      </c>
      <c r="AG176" s="316">
        <f t="shared" si="496"/>
        <v>0</v>
      </c>
      <c r="AH176" s="316">
        <f t="shared" si="497"/>
        <v>0</v>
      </c>
      <c r="AI176" s="316">
        <f t="shared" si="498"/>
        <v>0</v>
      </c>
      <c r="AJ176" s="316">
        <f t="shared" si="499"/>
        <v>0</v>
      </c>
      <c r="AK176" s="316">
        <f t="shared" si="500"/>
        <v>0</v>
      </c>
      <c r="AL176" s="316">
        <f t="shared" si="501"/>
        <v>0</v>
      </c>
      <c r="AM176" s="319">
        <f t="shared" si="502"/>
        <v>0</v>
      </c>
      <c r="AN176" s="315">
        <f t="shared" si="503"/>
        <v>0</v>
      </c>
      <c r="AO176" s="316">
        <f t="shared" si="504"/>
        <v>0</v>
      </c>
      <c r="AP176" s="320">
        <f t="shared" si="505"/>
        <v>0</v>
      </c>
      <c r="AQ176" s="316">
        <f t="shared" si="506"/>
        <v>0</v>
      </c>
      <c r="AR176" s="320">
        <f t="shared" si="507"/>
        <v>0</v>
      </c>
      <c r="AS176" s="316">
        <f t="shared" si="508"/>
        <v>0</v>
      </c>
      <c r="AT176" s="320">
        <f t="shared" si="509"/>
        <v>0</v>
      </c>
      <c r="AU176" s="321">
        <f t="shared" si="510"/>
        <v>0</v>
      </c>
      <c r="AV176" s="315">
        <f t="shared" ref="AV176:BF176" si="939">+AV139/20</f>
        <v>0</v>
      </c>
      <c r="AW176" s="316">
        <f t="shared" si="939"/>
        <v>0</v>
      </c>
      <c r="AX176" s="335">
        <f t="shared" si="939"/>
        <v>0</v>
      </c>
      <c r="AY176" s="319">
        <f t="shared" si="939"/>
        <v>0</v>
      </c>
      <c r="AZ176" s="315">
        <f t="shared" si="939"/>
        <v>0</v>
      </c>
      <c r="BA176" s="320">
        <f t="shared" si="939"/>
        <v>0</v>
      </c>
      <c r="BB176" s="320">
        <f t="shared" si="939"/>
        <v>0</v>
      </c>
      <c r="BC176" s="320">
        <f t="shared" si="939"/>
        <v>0</v>
      </c>
      <c r="BD176" s="320">
        <f t="shared" si="939"/>
        <v>0</v>
      </c>
      <c r="BE176" s="343">
        <f t="shared" si="939"/>
        <v>0</v>
      </c>
      <c r="BF176" s="315">
        <f t="shared" si="939"/>
        <v>0</v>
      </c>
      <c r="BG176" s="316">
        <f t="shared" si="523"/>
        <v>0</v>
      </c>
      <c r="BH176" s="316">
        <f t="shared" si="524"/>
        <v>0</v>
      </c>
      <c r="BI176" s="316">
        <f t="shared" ref="BI176" si="940">+BI139/20</f>
        <v>0</v>
      </c>
      <c r="BJ176" s="316">
        <f t="shared" si="526"/>
        <v>0</v>
      </c>
      <c r="BK176" s="316">
        <f t="shared" si="527"/>
        <v>0</v>
      </c>
      <c r="BL176" s="316">
        <f t="shared" ref="BL176" si="941">+BL139/20</f>
        <v>0</v>
      </c>
      <c r="BM176" s="316">
        <f t="shared" si="529"/>
        <v>0</v>
      </c>
      <c r="BN176" s="316">
        <f t="shared" si="530"/>
        <v>0</v>
      </c>
      <c r="BO176" s="316">
        <f t="shared" si="531"/>
        <v>0</v>
      </c>
      <c r="BP176" s="316">
        <f t="shared" si="532"/>
        <v>0</v>
      </c>
      <c r="BQ176" s="316">
        <f t="shared" si="533"/>
        <v>0</v>
      </c>
      <c r="BR176" s="316">
        <f t="shared" ref="BR176" si="942">+BR139/20</f>
        <v>0</v>
      </c>
      <c r="BS176" s="316">
        <f t="shared" si="535"/>
        <v>0</v>
      </c>
      <c r="BT176" s="316">
        <f t="shared" si="536"/>
        <v>0</v>
      </c>
      <c r="BU176" s="316">
        <f t="shared" ref="BU176" si="943">+BU139/20</f>
        <v>0</v>
      </c>
      <c r="BV176" s="316">
        <f t="shared" si="538"/>
        <v>0</v>
      </c>
      <c r="BW176" s="316">
        <f t="shared" si="539"/>
        <v>0</v>
      </c>
      <c r="BX176" s="316">
        <f t="shared" ref="BX176" si="944">+BX139/20</f>
        <v>0</v>
      </c>
      <c r="BY176" s="316">
        <f t="shared" si="541"/>
        <v>0</v>
      </c>
      <c r="BZ176" s="316">
        <f t="shared" si="542"/>
        <v>0</v>
      </c>
      <c r="CA176" s="316">
        <f t="shared" si="543"/>
        <v>0</v>
      </c>
      <c r="CB176" s="316">
        <f t="shared" si="544"/>
        <v>0</v>
      </c>
      <c r="CC176" s="319">
        <f t="shared" si="545"/>
        <v>0</v>
      </c>
      <c r="CD176" s="320">
        <f t="shared" si="818"/>
        <v>0</v>
      </c>
      <c r="CE176" s="320">
        <f t="shared" si="818"/>
        <v>0</v>
      </c>
      <c r="CF176" s="320">
        <f t="shared" si="818"/>
        <v>0</v>
      </c>
      <c r="CG176" s="320">
        <f t="shared" si="818"/>
        <v>0</v>
      </c>
      <c r="CH176" s="320">
        <f t="shared" si="818"/>
        <v>0</v>
      </c>
      <c r="CI176" s="331">
        <f t="shared" si="818"/>
        <v>0</v>
      </c>
      <c r="CJ176" s="320">
        <f t="shared" ref="CJ176:CO176" si="945">+CJ139/20</f>
        <v>0</v>
      </c>
      <c r="CK176" s="320">
        <f t="shared" si="945"/>
        <v>0</v>
      </c>
      <c r="CL176" s="320">
        <f t="shared" si="945"/>
        <v>0</v>
      </c>
      <c r="CM176" s="320">
        <f t="shared" si="945"/>
        <v>0</v>
      </c>
      <c r="CN176" s="320">
        <f t="shared" si="945"/>
        <v>0</v>
      </c>
      <c r="CO176" s="331">
        <f t="shared" si="945"/>
        <v>0</v>
      </c>
      <c r="CP176" s="320">
        <f t="shared" ref="CP176:CU176" si="946">+CP139/20</f>
        <v>0</v>
      </c>
      <c r="CQ176" s="320">
        <f t="shared" si="946"/>
        <v>0</v>
      </c>
      <c r="CR176" s="320">
        <f t="shared" si="946"/>
        <v>0</v>
      </c>
      <c r="CS176" s="320">
        <f t="shared" si="946"/>
        <v>0</v>
      </c>
      <c r="CT176" s="320">
        <f t="shared" si="946"/>
        <v>0</v>
      </c>
      <c r="CU176" s="331">
        <f t="shared" si="946"/>
        <v>0</v>
      </c>
      <c r="CV176" s="320">
        <f t="shared" ref="CV176:DA176" si="947">+CV139/20</f>
        <v>0</v>
      </c>
      <c r="CW176" s="320">
        <f t="shared" si="947"/>
        <v>0</v>
      </c>
      <c r="CX176" s="320">
        <f t="shared" si="947"/>
        <v>0</v>
      </c>
      <c r="CY176" s="320">
        <f t="shared" si="947"/>
        <v>0</v>
      </c>
      <c r="CZ176" s="320">
        <f t="shared" si="947"/>
        <v>0</v>
      </c>
      <c r="DA176" s="331">
        <f t="shared" si="947"/>
        <v>0</v>
      </c>
      <c r="DB176" s="344">
        <f t="shared" si="549"/>
        <v>0</v>
      </c>
    </row>
    <row r="177" spans="1:106" ht="15.75" thickBot="1">
      <c r="A177" s="239">
        <v>31</v>
      </c>
      <c r="B177" s="239">
        <f t="shared" ref="B177:R177" si="948">+B140/20</f>
        <v>0</v>
      </c>
      <c r="C177" s="277">
        <f t="shared" si="948"/>
        <v>0</v>
      </c>
      <c r="D177" s="277">
        <f t="shared" si="948"/>
        <v>0</v>
      </c>
      <c r="E177" s="277">
        <f t="shared" ref="E177:F177" si="949">+E140/20</f>
        <v>0</v>
      </c>
      <c r="F177" s="314">
        <f t="shared" si="949"/>
        <v>0</v>
      </c>
      <c r="G177" s="332">
        <f t="shared" si="948"/>
        <v>0</v>
      </c>
      <c r="H177" s="336">
        <f t="shared" si="948"/>
        <v>0</v>
      </c>
      <c r="I177" s="336">
        <f t="shared" si="948"/>
        <v>0</v>
      </c>
      <c r="J177" s="336">
        <f t="shared" si="948"/>
        <v>0</v>
      </c>
      <c r="K177" s="336">
        <f t="shared" si="948"/>
        <v>0</v>
      </c>
      <c r="L177" s="340">
        <f t="shared" ref="L177" si="950">+L140/20</f>
        <v>0</v>
      </c>
      <c r="M177" s="332">
        <f t="shared" si="948"/>
        <v>0</v>
      </c>
      <c r="N177" s="336">
        <f t="shared" si="948"/>
        <v>0</v>
      </c>
      <c r="O177" s="336">
        <f t="shared" si="948"/>
        <v>0</v>
      </c>
      <c r="P177" s="336">
        <f t="shared" ref="P177:Q177" si="951">+P140/20</f>
        <v>0</v>
      </c>
      <c r="Q177" s="336">
        <f t="shared" si="951"/>
        <v>0</v>
      </c>
      <c r="R177" s="341">
        <f t="shared" si="948"/>
        <v>0</v>
      </c>
      <c r="S177" s="320">
        <f t="shared" ref="S177:X177" si="952">S140/20</f>
        <v>0</v>
      </c>
      <c r="T177" s="320">
        <f t="shared" si="952"/>
        <v>0</v>
      </c>
      <c r="U177" s="320">
        <f t="shared" si="952"/>
        <v>0</v>
      </c>
      <c r="V177" s="320">
        <f t="shared" ref="V177" si="953">V140/20</f>
        <v>0</v>
      </c>
      <c r="W177" s="320">
        <f t="shared" si="952"/>
        <v>0</v>
      </c>
      <c r="X177" s="331">
        <f t="shared" si="952"/>
        <v>0</v>
      </c>
      <c r="Y177" s="315">
        <f t="shared" ref="Y177:AD177" si="954">+Y140/20</f>
        <v>0</v>
      </c>
      <c r="Z177" s="320">
        <f t="shared" si="954"/>
        <v>0</v>
      </c>
      <c r="AA177" s="320">
        <f t="shared" si="954"/>
        <v>0</v>
      </c>
      <c r="AB177" s="320">
        <f t="shared" si="954"/>
        <v>0</v>
      </c>
      <c r="AC177" s="331">
        <f t="shared" si="954"/>
        <v>0</v>
      </c>
      <c r="AD177" s="315">
        <f t="shared" si="954"/>
        <v>0</v>
      </c>
      <c r="AE177" s="316">
        <f t="shared" si="494"/>
        <v>0</v>
      </c>
      <c r="AF177" s="316">
        <f t="shared" si="495"/>
        <v>0</v>
      </c>
      <c r="AG177" s="316">
        <f t="shared" si="496"/>
        <v>0</v>
      </c>
      <c r="AH177" s="316">
        <f t="shared" si="497"/>
        <v>0</v>
      </c>
      <c r="AI177" s="316">
        <f t="shared" si="498"/>
        <v>0</v>
      </c>
      <c r="AJ177" s="316">
        <f t="shared" si="499"/>
        <v>0</v>
      </c>
      <c r="AK177" s="316">
        <f t="shared" si="500"/>
        <v>0</v>
      </c>
      <c r="AL177" s="316">
        <f t="shared" si="501"/>
        <v>0</v>
      </c>
      <c r="AM177" s="319">
        <f t="shared" si="502"/>
        <v>0</v>
      </c>
      <c r="AN177" s="332">
        <f t="shared" si="503"/>
        <v>0</v>
      </c>
      <c r="AO177" s="336">
        <f t="shared" si="504"/>
        <v>0</v>
      </c>
      <c r="AP177" s="333">
        <f t="shared" si="505"/>
        <v>0</v>
      </c>
      <c r="AQ177" s="336">
        <f t="shared" si="506"/>
        <v>0</v>
      </c>
      <c r="AR177" s="333">
        <f t="shared" si="507"/>
        <v>0</v>
      </c>
      <c r="AS177" s="336">
        <f t="shared" si="508"/>
        <v>0</v>
      </c>
      <c r="AT177" s="333">
        <f t="shared" si="509"/>
        <v>0</v>
      </c>
      <c r="AU177" s="340">
        <f t="shared" si="510"/>
        <v>0</v>
      </c>
      <c r="AV177" s="332">
        <f t="shared" ref="AV177:BF177" si="955">+AV140/20</f>
        <v>0</v>
      </c>
      <c r="AW177" s="336">
        <f t="shared" si="955"/>
        <v>0</v>
      </c>
      <c r="AX177" s="335">
        <f t="shared" si="955"/>
        <v>0</v>
      </c>
      <c r="AY177" s="341">
        <f t="shared" si="955"/>
        <v>0</v>
      </c>
      <c r="AZ177" s="315">
        <f t="shared" si="955"/>
        <v>0</v>
      </c>
      <c r="BA177" s="320">
        <f t="shared" si="955"/>
        <v>0</v>
      </c>
      <c r="BB177" s="320">
        <f t="shared" si="955"/>
        <v>0</v>
      </c>
      <c r="BC177" s="320">
        <f t="shared" si="955"/>
        <v>0</v>
      </c>
      <c r="BD177" s="320">
        <f t="shared" si="955"/>
        <v>0</v>
      </c>
      <c r="BE177" s="343">
        <f t="shared" si="955"/>
        <v>0</v>
      </c>
      <c r="BF177" s="332">
        <f t="shared" si="955"/>
        <v>0</v>
      </c>
      <c r="BG177" s="336">
        <f t="shared" si="523"/>
        <v>0</v>
      </c>
      <c r="BH177" s="336">
        <f t="shared" si="524"/>
        <v>0</v>
      </c>
      <c r="BI177" s="336">
        <f t="shared" ref="BI177" si="956">+BI140/20</f>
        <v>0</v>
      </c>
      <c r="BJ177" s="336">
        <f t="shared" si="526"/>
        <v>0</v>
      </c>
      <c r="BK177" s="336">
        <f t="shared" si="527"/>
        <v>0</v>
      </c>
      <c r="BL177" s="336">
        <f t="shared" ref="BL177" si="957">+BL140/20</f>
        <v>0</v>
      </c>
      <c r="BM177" s="336">
        <f t="shared" si="529"/>
        <v>0</v>
      </c>
      <c r="BN177" s="336">
        <f t="shared" si="530"/>
        <v>0</v>
      </c>
      <c r="BO177" s="336">
        <f t="shared" si="531"/>
        <v>0</v>
      </c>
      <c r="BP177" s="336">
        <f t="shared" si="532"/>
        <v>0</v>
      </c>
      <c r="BQ177" s="336">
        <f t="shared" si="533"/>
        <v>0</v>
      </c>
      <c r="BR177" s="336">
        <f t="shared" ref="BR177" si="958">+BR140/20</f>
        <v>0</v>
      </c>
      <c r="BS177" s="336">
        <f t="shared" si="535"/>
        <v>0</v>
      </c>
      <c r="BT177" s="336">
        <f t="shared" si="536"/>
        <v>0</v>
      </c>
      <c r="BU177" s="336">
        <f t="shared" ref="BU177" si="959">+BU140/20</f>
        <v>0</v>
      </c>
      <c r="BV177" s="336">
        <f t="shared" si="538"/>
        <v>0</v>
      </c>
      <c r="BW177" s="336">
        <f t="shared" si="539"/>
        <v>0</v>
      </c>
      <c r="BX177" s="336">
        <f t="shared" ref="BX177" si="960">+BX140/20</f>
        <v>0</v>
      </c>
      <c r="BY177" s="336">
        <f t="shared" si="541"/>
        <v>0</v>
      </c>
      <c r="BZ177" s="336">
        <f t="shared" si="542"/>
        <v>0</v>
      </c>
      <c r="CA177" s="336">
        <f t="shared" si="543"/>
        <v>0</v>
      </c>
      <c r="CB177" s="336">
        <f t="shared" si="544"/>
        <v>0</v>
      </c>
      <c r="CC177" s="341">
        <f t="shared" si="545"/>
        <v>0</v>
      </c>
      <c r="CD177" s="320">
        <f t="shared" ref="CD177:CI177" si="961">+CD140/20</f>
        <v>0</v>
      </c>
      <c r="CE177" s="320">
        <f t="shared" si="961"/>
        <v>0</v>
      </c>
      <c r="CF177" s="320">
        <f t="shared" si="961"/>
        <v>0</v>
      </c>
      <c r="CG177" s="320">
        <f t="shared" si="961"/>
        <v>0</v>
      </c>
      <c r="CH177" s="320">
        <f t="shared" si="961"/>
        <v>0</v>
      </c>
      <c r="CI177" s="331">
        <f t="shared" si="961"/>
        <v>0</v>
      </c>
      <c r="CJ177" s="320">
        <f t="shared" ref="CJ177:CO177" si="962">+CJ140/20</f>
        <v>0</v>
      </c>
      <c r="CK177" s="320">
        <f t="shared" si="962"/>
        <v>0</v>
      </c>
      <c r="CL177" s="320">
        <f t="shared" si="962"/>
        <v>0</v>
      </c>
      <c r="CM177" s="320">
        <f t="shared" si="962"/>
        <v>0</v>
      </c>
      <c r="CN177" s="320">
        <f t="shared" si="962"/>
        <v>0</v>
      </c>
      <c r="CO177" s="331">
        <f t="shared" si="962"/>
        <v>0</v>
      </c>
      <c r="CP177" s="320">
        <f t="shared" ref="CP177:CU177" si="963">+CP140/20</f>
        <v>0</v>
      </c>
      <c r="CQ177" s="320">
        <f t="shared" si="963"/>
        <v>0</v>
      </c>
      <c r="CR177" s="320">
        <f t="shared" si="963"/>
        <v>0</v>
      </c>
      <c r="CS177" s="320">
        <f t="shared" si="963"/>
        <v>0</v>
      </c>
      <c r="CT177" s="320">
        <f t="shared" si="963"/>
        <v>0</v>
      </c>
      <c r="CU177" s="331">
        <f t="shared" si="963"/>
        <v>0</v>
      </c>
      <c r="CV177" s="320">
        <f t="shared" ref="CV177:DA177" si="964">+CV140/20</f>
        <v>0</v>
      </c>
      <c r="CW177" s="320">
        <f t="shared" si="964"/>
        <v>0</v>
      </c>
      <c r="CX177" s="320">
        <f t="shared" si="964"/>
        <v>0</v>
      </c>
      <c r="CY177" s="320">
        <f t="shared" si="964"/>
        <v>0</v>
      </c>
      <c r="CZ177" s="320">
        <f t="shared" si="964"/>
        <v>0</v>
      </c>
      <c r="DA177" s="331">
        <f t="shared" si="964"/>
        <v>0</v>
      </c>
      <c r="DB177" s="344">
        <f t="shared" si="549"/>
        <v>0</v>
      </c>
    </row>
    <row r="178" spans="1:106" ht="15.75" thickBot="1">
      <c r="A178" s="288"/>
      <c r="B178" s="325">
        <f t="shared" ref="B178:D178" si="965">SUM(B147:B177)</f>
        <v>0</v>
      </c>
      <c r="C178" s="326">
        <f t="shared" si="965"/>
        <v>0</v>
      </c>
      <c r="D178" s="401">
        <f t="shared" si="965"/>
        <v>0</v>
      </c>
      <c r="E178" s="401">
        <f t="shared" ref="E178:F178" si="966">SUM(E147:E177)</f>
        <v>0</v>
      </c>
      <c r="F178" s="334">
        <f t="shared" si="966"/>
        <v>0</v>
      </c>
      <c r="G178" s="32">
        <f t="shared" ref="G178:CB178" si="967">SUM(G147:G177)</f>
        <v>0</v>
      </c>
      <c r="H178" s="322">
        <f t="shared" si="967"/>
        <v>0</v>
      </c>
      <c r="I178" s="322">
        <f t="shared" si="967"/>
        <v>0</v>
      </c>
      <c r="J178" s="322">
        <f t="shared" si="967"/>
        <v>0</v>
      </c>
      <c r="K178" s="323">
        <f t="shared" si="967"/>
        <v>0</v>
      </c>
      <c r="L178" s="323">
        <f t="shared" ref="L178" si="968">SUM(L147:L177)</f>
        <v>0</v>
      </c>
      <c r="M178" s="34">
        <f t="shared" si="967"/>
        <v>0</v>
      </c>
      <c r="N178" s="322">
        <f t="shared" si="967"/>
        <v>0</v>
      </c>
      <c r="O178" s="322">
        <f t="shared" si="967"/>
        <v>0</v>
      </c>
      <c r="P178" s="323">
        <f t="shared" ref="P178:Q178" si="969">SUM(P147:P177)</f>
        <v>0</v>
      </c>
      <c r="Q178" s="323">
        <f t="shared" si="969"/>
        <v>0</v>
      </c>
      <c r="R178" s="323">
        <f t="shared" si="967"/>
        <v>0</v>
      </c>
      <c r="S178" s="325">
        <f t="shared" si="967"/>
        <v>0</v>
      </c>
      <c r="T178" s="326">
        <f t="shared" si="967"/>
        <v>0</v>
      </c>
      <c r="U178" s="326">
        <f t="shared" si="967"/>
        <v>0</v>
      </c>
      <c r="V178" s="326">
        <f t="shared" ref="V178" si="970">SUM(V147:V177)</f>
        <v>0</v>
      </c>
      <c r="W178" s="326">
        <f t="shared" si="967"/>
        <v>0</v>
      </c>
      <c r="X178" s="334">
        <f t="shared" si="967"/>
        <v>0</v>
      </c>
      <c r="Y178" s="325">
        <f t="shared" si="967"/>
        <v>0</v>
      </c>
      <c r="Z178" s="326">
        <f t="shared" si="967"/>
        <v>0</v>
      </c>
      <c r="AA178" s="326">
        <f t="shared" si="967"/>
        <v>0</v>
      </c>
      <c r="AB178" s="326">
        <f t="shared" si="967"/>
        <v>0</v>
      </c>
      <c r="AC178" s="334">
        <f t="shared" si="967"/>
        <v>0</v>
      </c>
      <c r="AD178" s="325">
        <f t="shared" si="967"/>
        <v>0</v>
      </c>
      <c r="AE178" s="326">
        <f t="shared" si="967"/>
        <v>0</v>
      </c>
      <c r="AF178" s="326">
        <f t="shared" si="967"/>
        <v>0</v>
      </c>
      <c r="AG178" s="326">
        <f t="shared" si="967"/>
        <v>0</v>
      </c>
      <c r="AH178" s="326">
        <f t="shared" si="967"/>
        <v>0</v>
      </c>
      <c r="AI178" s="326">
        <f t="shared" si="967"/>
        <v>0</v>
      </c>
      <c r="AJ178" s="326">
        <f t="shared" si="967"/>
        <v>0</v>
      </c>
      <c r="AK178" s="326">
        <f t="shared" si="967"/>
        <v>0</v>
      </c>
      <c r="AL178" s="326">
        <f t="shared" si="967"/>
        <v>0</v>
      </c>
      <c r="AM178" s="334">
        <f t="shared" si="967"/>
        <v>0</v>
      </c>
      <c r="AN178" s="337">
        <f t="shared" si="967"/>
        <v>0</v>
      </c>
      <c r="AO178" s="276">
        <f t="shared" si="967"/>
        <v>0</v>
      </c>
      <c r="AP178" s="276">
        <f t="shared" si="967"/>
        <v>0</v>
      </c>
      <c r="AQ178" s="276">
        <f t="shared" si="967"/>
        <v>0</v>
      </c>
      <c r="AR178" s="276">
        <f t="shared" si="967"/>
        <v>0</v>
      </c>
      <c r="AS178" s="276">
        <f t="shared" si="967"/>
        <v>0</v>
      </c>
      <c r="AT178" s="276">
        <f t="shared" si="967"/>
        <v>0</v>
      </c>
      <c r="AU178" s="342">
        <f t="shared" si="967"/>
        <v>0</v>
      </c>
      <c r="AV178" s="34">
        <f t="shared" si="967"/>
        <v>0</v>
      </c>
      <c r="AW178" s="322">
        <f t="shared" si="967"/>
        <v>0</v>
      </c>
      <c r="AX178" s="322">
        <f t="shared" si="967"/>
        <v>0</v>
      </c>
      <c r="AY178" s="323">
        <f t="shared" si="967"/>
        <v>0</v>
      </c>
      <c r="AZ178" s="325">
        <f t="shared" ref="AZ178:BQ178" si="971">SUM(AZ147:AZ177)</f>
        <v>0</v>
      </c>
      <c r="BA178" s="326">
        <f t="shared" si="971"/>
        <v>0</v>
      </c>
      <c r="BB178" s="326">
        <f t="shared" si="971"/>
        <v>0</v>
      </c>
      <c r="BC178" s="326">
        <f t="shared" si="971"/>
        <v>0</v>
      </c>
      <c r="BD178" s="326">
        <f t="shared" si="971"/>
        <v>0</v>
      </c>
      <c r="BE178" s="401">
        <f t="shared" si="971"/>
        <v>0</v>
      </c>
      <c r="BF178" s="34">
        <f t="shared" si="971"/>
        <v>0</v>
      </c>
      <c r="BG178" s="32">
        <f t="shared" si="971"/>
        <v>0</v>
      </c>
      <c r="BH178" s="32">
        <f t="shared" si="971"/>
        <v>0</v>
      </c>
      <c r="BI178" s="32">
        <f t="shared" si="971"/>
        <v>0</v>
      </c>
      <c r="BJ178" s="32">
        <f t="shared" si="971"/>
        <v>0</v>
      </c>
      <c r="BK178" s="32">
        <f t="shared" si="971"/>
        <v>0</v>
      </c>
      <c r="BL178" s="32">
        <f t="shared" si="971"/>
        <v>0</v>
      </c>
      <c r="BM178" s="32">
        <f t="shared" si="971"/>
        <v>0</v>
      </c>
      <c r="BN178" s="32">
        <f t="shared" si="971"/>
        <v>0</v>
      </c>
      <c r="BO178" s="32">
        <f t="shared" si="971"/>
        <v>0</v>
      </c>
      <c r="BP178" s="32">
        <f t="shared" si="971"/>
        <v>0</v>
      </c>
      <c r="BQ178" s="32">
        <f t="shared" si="971"/>
        <v>0</v>
      </c>
      <c r="BR178" s="32">
        <f t="shared" si="967"/>
        <v>0</v>
      </c>
      <c r="BS178" s="32">
        <f t="shared" si="967"/>
        <v>0</v>
      </c>
      <c r="BT178" s="32">
        <f t="shared" si="967"/>
        <v>0</v>
      </c>
      <c r="BU178" s="32">
        <f t="shared" si="967"/>
        <v>0</v>
      </c>
      <c r="BV178" s="32">
        <f t="shared" si="967"/>
        <v>0</v>
      </c>
      <c r="BW178" s="32">
        <f t="shared" si="967"/>
        <v>0</v>
      </c>
      <c r="BX178" s="32">
        <f t="shared" si="967"/>
        <v>0</v>
      </c>
      <c r="BY178" s="32">
        <f t="shared" si="967"/>
        <v>0</v>
      </c>
      <c r="BZ178" s="32">
        <f t="shared" si="967"/>
        <v>0</v>
      </c>
      <c r="CA178" s="32">
        <f>SUM(CA147:CA177)</f>
        <v>0</v>
      </c>
      <c r="CB178" s="32">
        <f t="shared" si="967"/>
        <v>0</v>
      </c>
      <c r="CC178" s="394">
        <f>SUM(CC147:CC177)</f>
        <v>0</v>
      </c>
      <c r="CD178" s="402">
        <f t="shared" ref="CD178:CI178" si="972">SUM(CD147:CD177)</f>
        <v>0</v>
      </c>
      <c r="CE178" s="326">
        <f t="shared" si="972"/>
        <v>0</v>
      </c>
      <c r="CF178" s="326">
        <f t="shared" si="972"/>
        <v>0</v>
      </c>
      <c r="CG178" s="326">
        <f t="shared" si="972"/>
        <v>0</v>
      </c>
      <c r="CH178" s="326">
        <f t="shared" si="972"/>
        <v>0</v>
      </c>
      <c r="CI178" s="334">
        <f t="shared" si="972"/>
        <v>0</v>
      </c>
      <c r="CJ178" s="402">
        <f t="shared" ref="CJ178:CO178" si="973">SUM(CJ147:CJ177)</f>
        <v>0</v>
      </c>
      <c r="CK178" s="326">
        <f t="shared" si="973"/>
        <v>0</v>
      </c>
      <c r="CL178" s="326">
        <f t="shared" si="973"/>
        <v>0</v>
      </c>
      <c r="CM178" s="326">
        <f t="shared" si="973"/>
        <v>0</v>
      </c>
      <c r="CN178" s="326">
        <f t="shared" si="973"/>
        <v>0</v>
      </c>
      <c r="CO178" s="334">
        <f t="shared" si="973"/>
        <v>0</v>
      </c>
      <c r="CP178" s="402">
        <f t="shared" ref="CP178:CU178" si="974">SUM(CP147:CP177)</f>
        <v>0</v>
      </c>
      <c r="CQ178" s="326">
        <f t="shared" si="974"/>
        <v>0</v>
      </c>
      <c r="CR178" s="326">
        <f t="shared" si="974"/>
        <v>0</v>
      </c>
      <c r="CS178" s="326">
        <f t="shared" si="974"/>
        <v>0</v>
      </c>
      <c r="CT178" s="326">
        <f t="shared" si="974"/>
        <v>0</v>
      </c>
      <c r="CU178" s="334">
        <f t="shared" si="974"/>
        <v>0</v>
      </c>
      <c r="CV178" s="402">
        <f t="shared" ref="CV178:DA178" si="975">SUM(CV147:CV177)</f>
        <v>0</v>
      </c>
      <c r="CW178" s="326">
        <f t="shared" si="975"/>
        <v>0</v>
      </c>
      <c r="CX178" s="326">
        <f t="shared" si="975"/>
        <v>0</v>
      </c>
      <c r="CY178" s="326">
        <f t="shared" si="975"/>
        <v>0</v>
      </c>
      <c r="CZ178" s="326">
        <f t="shared" si="975"/>
        <v>0</v>
      </c>
      <c r="DA178" s="334">
        <f t="shared" si="975"/>
        <v>0</v>
      </c>
      <c r="DB178" s="345">
        <f>SUM(DB147:DB177)</f>
        <v>0</v>
      </c>
    </row>
  </sheetData>
  <mergeCells count="83">
    <mergeCell ref="B38:F38"/>
    <mergeCell ref="B145:F145"/>
    <mergeCell ref="G2:L2"/>
    <mergeCell ref="G38:L38"/>
    <mergeCell ref="G73:L73"/>
    <mergeCell ref="G108:L108"/>
    <mergeCell ref="G145:L145"/>
    <mergeCell ref="BF2:CC2"/>
    <mergeCell ref="BF38:CC38"/>
    <mergeCell ref="BF73:CC73"/>
    <mergeCell ref="BF108:CC108"/>
    <mergeCell ref="BF145:CC145"/>
    <mergeCell ref="DB2:DB3"/>
    <mergeCell ref="DB38:DB39"/>
    <mergeCell ref="DB73:DB74"/>
    <mergeCell ref="DB108:DB109"/>
    <mergeCell ref="DB145:DB146"/>
    <mergeCell ref="CD145:CI145"/>
    <mergeCell ref="A2:A3"/>
    <mergeCell ref="A38:A39"/>
    <mergeCell ref="A73:A74"/>
    <mergeCell ref="A108:A109"/>
    <mergeCell ref="A145:A146"/>
    <mergeCell ref="AD145:AM145"/>
    <mergeCell ref="AN145:AU145"/>
    <mergeCell ref="AV145:AY145"/>
    <mergeCell ref="AZ145:BE145"/>
    <mergeCell ref="M145:R145"/>
    <mergeCell ref="S145:X145"/>
    <mergeCell ref="Y145:AC145"/>
    <mergeCell ref="CD73:CI73"/>
    <mergeCell ref="M108:R108"/>
    <mergeCell ref="S108:X108"/>
    <mergeCell ref="Y108:AC108"/>
    <mergeCell ref="B108:F108"/>
    <mergeCell ref="AD108:AM108"/>
    <mergeCell ref="AN108:AU108"/>
    <mergeCell ref="AV108:AY108"/>
    <mergeCell ref="AZ108:BE108"/>
    <mergeCell ref="CD108:CI108"/>
    <mergeCell ref="Y73:AC73"/>
    <mergeCell ref="AD73:AM73"/>
    <mergeCell ref="AN73:AU73"/>
    <mergeCell ref="AV73:AY73"/>
    <mergeCell ref="AZ73:BE73"/>
    <mergeCell ref="G72:H72"/>
    <mergeCell ref="M73:R73"/>
    <mergeCell ref="S73:X73"/>
    <mergeCell ref="B73:F73"/>
    <mergeCell ref="CD2:CI2"/>
    <mergeCell ref="G37:H37"/>
    <mergeCell ref="M38:R38"/>
    <mergeCell ref="S38:X38"/>
    <mergeCell ref="Y38:AC38"/>
    <mergeCell ref="AD38:AM38"/>
    <mergeCell ref="AN38:AU38"/>
    <mergeCell ref="AV38:AY38"/>
    <mergeCell ref="AZ38:BE38"/>
    <mergeCell ref="CD38:CI38"/>
    <mergeCell ref="Y2:AC2"/>
    <mergeCell ref="AD2:AM2"/>
    <mergeCell ref="AN2:AU2"/>
    <mergeCell ref="AV2:AY2"/>
    <mergeCell ref="AZ2:BE2"/>
    <mergeCell ref="A1:B1"/>
    <mergeCell ref="M2:R2"/>
    <mergeCell ref="S2:X2"/>
    <mergeCell ref="B2:F2"/>
    <mergeCell ref="CJ2:CO2"/>
    <mergeCell ref="CJ38:CO38"/>
    <mergeCell ref="CJ73:CO73"/>
    <mergeCell ref="CJ108:CO108"/>
    <mergeCell ref="CJ145:CO145"/>
    <mergeCell ref="CP2:CU2"/>
    <mergeCell ref="CP38:CU38"/>
    <mergeCell ref="CP73:CU73"/>
    <mergeCell ref="CP108:CU108"/>
    <mergeCell ref="CP145:CU145"/>
    <mergeCell ref="CV2:DA2"/>
    <mergeCell ref="CV38:DA38"/>
    <mergeCell ref="CV73:DA73"/>
    <mergeCell ref="CV108:DA108"/>
    <mergeCell ref="CV145:DA145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HH41"/>
  <sheetViews>
    <sheetView topLeftCell="DR1" zoomScale="64" zoomScaleNormal="64" workbookViewId="0">
      <selection activeCell="HH5" sqref="HH5"/>
    </sheetView>
  </sheetViews>
  <sheetFormatPr baseColWidth="10" defaultColWidth="11.42578125" defaultRowHeight="15"/>
  <cols>
    <col min="1" max="1" width="5.7109375" customWidth="1"/>
    <col min="2" max="29" width="4.28515625" customWidth="1"/>
    <col min="30" max="30" width="7.28515625" customWidth="1"/>
    <col min="31" max="64" width="4.28515625" customWidth="1"/>
    <col min="65" max="65" width="7.28515625" customWidth="1"/>
    <col min="66" max="71" width="4.28515625" customWidth="1"/>
    <col min="72" max="72" width="10" customWidth="1"/>
    <col min="73" max="73" width="5.7109375" customWidth="1"/>
    <col min="74" max="143" width="4.28515625" customWidth="1"/>
    <col min="144" max="144" width="10" customWidth="1"/>
    <col min="145" max="145" width="5.7109375" customWidth="1"/>
    <col min="146" max="147" width="4.28515625" customWidth="1"/>
    <col min="148" max="148" width="5" customWidth="1"/>
    <col min="149" max="149" width="4.28515625" customWidth="1"/>
    <col min="150" max="150" width="5" customWidth="1"/>
    <col min="151" max="161" width="4.28515625" customWidth="1"/>
    <col min="162" max="162" width="5" customWidth="1"/>
    <col min="163" max="169" width="4.28515625" customWidth="1"/>
    <col min="170" max="171" width="5" customWidth="1"/>
    <col min="172" max="182" width="4.28515625" customWidth="1"/>
    <col min="183" max="183" width="5" customWidth="1"/>
    <col min="184" max="184" width="4.28515625" customWidth="1"/>
    <col min="185" max="185" width="5" customWidth="1"/>
    <col min="186" max="196" width="4.28515625" customWidth="1"/>
    <col min="197" max="197" width="5" customWidth="1"/>
    <col min="198" max="204" width="4.28515625" customWidth="1"/>
    <col min="205" max="206" width="5" customWidth="1"/>
    <col min="207" max="215" width="4.28515625" customWidth="1"/>
    <col min="216" max="216" width="6.5703125" customWidth="1"/>
  </cols>
  <sheetData>
    <row r="2" spans="1:216" ht="15.75" thickBot="1"/>
    <row r="3" spans="1:216" ht="24" thickBot="1">
      <c r="A3" s="480" t="s">
        <v>58</v>
      </c>
      <c r="B3" s="481"/>
      <c r="C3" s="481"/>
      <c r="D3" s="481"/>
      <c r="E3" s="481"/>
      <c r="F3" s="482"/>
      <c r="BU3" s="483" t="s">
        <v>42</v>
      </c>
      <c r="BV3" s="484"/>
      <c r="BW3" s="484"/>
      <c r="BX3" s="484"/>
      <c r="BY3" s="484"/>
      <c r="BZ3" s="485"/>
      <c r="EO3" s="483" t="s">
        <v>43</v>
      </c>
      <c r="EP3" s="484"/>
      <c r="EQ3" s="484"/>
      <c r="ER3" s="484"/>
      <c r="ES3" s="484"/>
      <c r="ET3" s="485"/>
    </row>
    <row r="4" spans="1:216" ht="15.75" thickBot="1">
      <c r="A4" s="405" t="s">
        <v>2</v>
      </c>
      <c r="B4" s="406" t="s">
        <v>3</v>
      </c>
      <c r="C4" s="406" t="s">
        <v>4</v>
      </c>
      <c r="D4" s="406" t="s">
        <v>5</v>
      </c>
      <c r="E4" s="406" t="s">
        <v>6</v>
      </c>
      <c r="F4" s="406" t="s">
        <v>7</v>
      </c>
      <c r="G4" s="406" t="s">
        <v>8</v>
      </c>
      <c r="H4" s="406" t="s">
        <v>9</v>
      </c>
      <c r="I4" s="406" t="s">
        <v>10</v>
      </c>
      <c r="J4" s="406" t="s">
        <v>11</v>
      </c>
      <c r="K4" s="406" t="s">
        <v>12</v>
      </c>
      <c r="L4" s="406" t="s">
        <v>13</v>
      </c>
      <c r="M4" s="406" t="s">
        <v>14</v>
      </c>
      <c r="N4" s="406" t="s">
        <v>15</v>
      </c>
      <c r="O4" s="406" t="s">
        <v>16</v>
      </c>
      <c r="P4" s="406" t="s">
        <v>17</v>
      </c>
      <c r="Q4" s="406" t="s">
        <v>18</v>
      </c>
      <c r="R4" s="406" t="s">
        <v>19</v>
      </c>
      <c r="S4" s="406" t="s">
        <v>20</v>
      </c>
      <c r="T4" s="406" t="s">
        <v>21</v>
      </c>
      <c r="U4" s="406" t="s">
        <v>22</v>
      </c>
      <c r="V4" s="406" t="s">
        <v>23</v>
      </c>
      <c r="W4" s="406" t="s">
        <v>24</v>
      </c>
      <c r="X4" s="406" t="s">
        <v>25</v>
      </c>
      <c r="Y4" s="406" t="s">
        <v>26</v>
      </c>
      <c r="Z4" s="406" t="s">
        <v>27</v>
      </c>
      <c r="AA4" s="406" t="s">
        <v>28</v>
      </c>
      <c r="AB4" s="406" t="s">
        <v>29</v>
      </c>
      <c r="AC4" s="406" t="s">
        <v>30</v>
      </c>
      <c r="AD4" s="406" t="s">
        <v>31</v>
      </c>
      <c r="AE4" s="406" t="s">
        <v>32</v>
      </c>
      <c r="AF4" s="406" t="s">
        <v>33</v>
      </c>
      <c r="AG4" s="406" t="s">
        <v>34</v>
      </c>
      <c r="AH4" s="406" t="s">
        <v>35</v>
      </c>
      <c r="AI4" s="406" t="s">
        <v>36</v>
      </c>
      <c r="AJ4" s="406" t="s">
        <v>37</v>
      </c>
      <c r="AK4" s="406" t="s">
        <v>147</v>
      </c>
      <c r="AL4" s="406" t="s">
        <v>148</v>
      </c>
      <c r="AM4" s="406" t="s">
        <v>149</v>
      </c>
      <c r="AN4" s="406" t="s">
        <v>150</v>
      </c>
      <c r="AO4" s="406" t="s">
        <v>151</v>
      </c>
      <c r="AP4" s="406" t="s">
        <v>152</v>
      </c>
      <c r="AQ4" s="406" t="s">
        <v>153</v>
      </c>
      <c r="AR4" s="406" t="s">
        <v>154</v>
      </c>
      <c r="AS4" s="406" t="s">
        <v>155</v>
      </c>
      <c r="AT4" s="406" t="s">
        <v>156</v>
      </c>
      <c r="AU4" s="406" t="s">
        <v>157</v>
      </c>
      <c r="AV4" s="406" t="s">
        <v>158</v>
      </c>
      <c r="AW4" s="406" t="s">
        <v>159</v>
      </c>
      <c r="AX4" s="406" t="s">
        <v>160</v>
      </c>
      <c r="AY4" s="406" t="s">
        <v>161</v>
      </c>
      <c r="AZ4" s="406" t="s">
        <v>162</v>
      </c>
      <c r="BA4" s="406" t="s">
        <v>163</v>
      </c>
      <c r="BB4" s="406" t="s">
        <v>164</v>
      </c>
      <c r="BC4" s="406" t="s">
        <v>165</v>
      </c>
      <c r="BD4" s="406" t="s">
        <v>166</v>
      </c>
      <c r="BE4" s="406" t="s">
        <v>167</v>
      </c>
      <c r="BF4" s="406" t="s">
        <v>168</v>
      </c>
      <c r="BG4" s="406" t="s">
        <v>169</v>
      </c>
      <c r="BH4" s="406" t="s">
        <v>170</v>
      </c>
      <c r="BI4" s="406" t="s">
        <v>171</v>
      </c>
      <c r="BJ4" s="406" t="s">
        <v>172</v>
      </c>
      <c r="BK4" s="406" t="s">
        <v>173</v>
      </c>
      <c r="BL4" s="406" t="s">
        <v>174</v>
      </c>
      <c r="BM4" s="406" t="s">
        <v>175</v>
      </c>
      <c r="BN4" s="406" t="s">
        <v>176</v>
      </c>
      <c r="BO4" s="406" t="s">
        <v>177</v>
      </c>
      <c r="BP4" s="406" t="s">
        <v>178</v>
      </c>
      <c r="BQ4" s="406" t="s">
        <v>179</v>
      </c>
      <c r="BR4" s="406" t="s">
        <v>180</v>
      </c>
      <c r="BS4" s="406" t="s">
        <v>181</v>
      </c>
      <c r="BT4" s="219" t="s">
        <v>56</v>
      </c>
      <c r="BU4" s="219" t="s">
        <v>2</v>
      </c>
      <c r="BV4" s="406" t="s">
        <v>3</v>
      </c>
      <c r="BW4" s="406" t="s">
        <v>4</v>
      </c>
      <c r="BX4" s="406" t="s">
        <v>5</v>
      </c>
      <c r="BY4" s="406" t="s">
        <v>6</v>
      </c>
      <c r="BZ4" s="406" t="s">
        <v>7</v>
      </c>
      <c r="CA4" s="406" t="s">
        <v>8</v>
      </c>
      <c r="CB4" s="406" t="s">
        <v>9</v>
      </c>
      <c r="CC4" s="406" t="s">
        <v>10</v>
      </c>
      <c r="CD4" s="406" t="s">
        <v>11</v>
      </c>
      <c r="CE4" s="406" t="s">
        <v>12</v>
      </c>
      <c r="CF4" s="406" t="s">
        <v>13</v>
      </c>
      <c r="CG4" s="406" t="s">
        <v>14</v>
      </c>
      <c r="CH4" s="406" t="s">
        <v>15</v>
      </c>
      <c r="CI4" s="406" t="s">
        <v>16</v>
      </c>
      <c r="CJ4" s="406" t="s">
        <v>17</v>
      </c>
      <c r="CK4" s="406" t="s">
        <v>18</v>
      </c>
      <c r="CL4" s="406" t="s">
        <v>19</v>
      </c>
      <c r="CM4" s="406" t="s">
        <v>20</v>
      </c>
      <c r="CN4" s="406" t="s">
        <v>21</v>
      </c>
      <c r="CO4" s="406" t="s">
        <v>22</v>
      </c>
      <c r="CP4" s="406" t="s">
        <v>23</v>
      </c>
      <c r="CQ4" s="406" t="s">
        <v>24</v>
      </c>
      <c r="CR4" s="406" t="s">
        <v>25</v>
      </c>
      <c r="CS4" s="406" t="s">
        <v>26</v>
      </c>
      <c r="CT4" s="406" t="s">
        <v>27</v>
      </c>
      <c r="CU4" s="406" t="s">
        <v>28</v>
      </c>
      <c r="CV4" s="406" t="s">
        <v>29</v>
      </c>
      <c r="CW4" s="406" t="s">
        <v>30</v>
      </c>
      <c r="CX4" s="406" t="s">
        <v>31</v>
      </c>
      <c r="CY4" s="406" t="s">
        <v>32</v>
      </c>
      <c r="CZ4" s="406" t="s">
        <v>33</v>
      </c>
      <c r="DA4" s="406" t="s">
        <v>34</v>
      </c>
      <c r="DB4" s="406" t="s">
        <v>35</v>
      </c>
      <c r="DC4" s="406" t="s">
        <v>36</v>
      </c>
      <c r="DD4" s="406" t="s">
        <v>37</v>
      </c>
      <c r="DE4" s="406" t="s">
        <v>147</v>
      </c>
      <c r="DF4" s="406" t="s">
        <v>148</v>
      </c>
      <c r="DG4" s="406" t="s">
        <v>149</v>
      </c>
      <c r="DH4" s="406" t="s">
        <v>150</v>
      </c>
      <c r="DI4" s="406" t="s">
        <v>151</v>
      </c>
      <c r="DJ4" s="406" t="s">
        <v>152</v>
      </c>
      <c r="DK4" s="406" t="s">
        <v>153</v>
      </c>
      <c r="DL4" s="406" t="s">
        <v>154</v>
      </c>
      <c r="DM4" s="406" t="s">
        <v>155</v>
      </c>
      <c r="DN4" s="406" t="s">
        <v>156</v>
      </c>
      <c r="DO4" s="406" t="s">
        <v>157</v>
      </c>
      <c r="DP4" s="406" t="s">
        <v>158</v>
      </c>
      <c r="DQ4" s="406" t="s">
        <v>159</v>
      </c>
      <c r="DR4" s="406" t="s">
        <v>160</v>
      </c>
      <c r="DS4" s="406" t="s">
        <v>161</v>
      </c>
      <c r="DT4" s="406" t="s">
        <v>162</v>
      </c>
      <c r="DU4" s="406" t="s">
        <v>163</v>
      </c>
      <c r="DV4" s="406" t="s">
        <v>164</v>
      </c>
      <c r="DW4" s="406" t="s">
        <v>165</v>
      </c>
      <c r="DX4" s="406" t="s">
        <v>166</v>
      </c>
      <c r="DY4" s="406" t="s">
        <v>167</v>
      </c>
      <c r="DZ4" s="406" t="s">
        <v>168</v>
      </c>
      <c r="EA4" s="406" t="s">
        <v>169</v>
      </c>
      <c r="EB4" s="406" t="s">
        <v>170</v>
      </c>
      <c r="EC4" s="406" t="s">
        <v>171</v>
      </c>
      <c r="ED4" s="406" t="s">
        <v>172</v>
      </c>
      <c r="EE4" s="406" t="s">
        <v>173</v>
      </c>
      <c r="EF4" s="406" t="s">
        <v>174</v>
      </c>
      <c r="EG4" s="406" t="s">
        <v>175</v>
      </c>
      <c r="EH4" s="406" t="s">
        <v>176</v>
      </c>
      <c r="EI4" s="406" t="s">
        <v>177</v>
      </c>
      <c r="EJ4" s="406" t="s">
        <v>178</v>
      </c>
      <c r="EK4" s="406" t="s">
        <v>179</v>
      </c>
      <c r="EL4" s="406" t="s">
        <v>180</v>
      </c>
      <c r="EM4" s="406" t="s">
        <v>181</v>
      </c>
      <c r="EN4" s="219" t="s">
        <v>56</v>
      </c>
      <c r="EO4" s="219" t="s">
        <v>2</v>
      </c>
      <c r="EP4" s="406" t="s">
        <v>3</v>
      </c>
      <c r="EQ4" s="406" t="s">
        <v>4</v>
      </c>
      <c r="ER4" s="406" t="s">
        <v>5</v>
      </c>
      <c r="ES4" s="406" t="s">
        <v>6</v>
      </c>
      <c r="ET4" s="406" t="s">
        <v>7</v>
      </c>
      <c r="EU4" s="406" t="s">
        <v>8</v>
      </c>
      <c r="EV4" s="406" t="s">
        <v>9</v>
      </c>
      <c r="EW4" s="406" t="s">
        <v>10</v>
      </c>
      <c r="EX4" s="406" t="s">
        <v>11</v>
      </c>
      <c r="EY4" s="406" t="s">
        <v>12</v>
      </c>
      <c r="EZ4" s="406" t="s">
        <v>13</v>
      </c>
      <c r="FA4" s="406" t="s">
        <v>14</v>
      </c>
      <c r="FB4" s="406" t="s">
        <v>15</v>
      </c>
      <c r="FC4" s="406" t="s">
        <v>16</v>
      </c>
      <c r="FD4" s="406" t="s">
        <v>17</v>
      </c>
      <c r="FE4" s="406" t="s">
        <v>18</v>
      </c>
      <c r="FF4" s="406" t="s">
        <v>19</v>
      </c>
      <c r="FG4" s="406" t="s">
        <v>20</v>
      </c>
      <c r="FH4" s="406" t="s">
        <v>21</v>
      </c>
      <c r="FI4" s="406" t="s">
        <v>22</v>
      </c>
      <c r="FJ4" s="406" t="s">
        <v>23</v>
      </c>
      <c r="FK4" s="406" t="s">
        <v>24</v>
      </c>
      <c r="FL4" s="406" t="s">
        <v>25</v>
      </c>
      <c r="FM4" s="406" t="s">
        <v>26</v>
      </c>
      <c r="FN4" s="406" t="s">
        <v>27</v>
      </c>
      <c r="FO4" s="406" t="s">
        <v>28</v>
      </c>
      <c r="FP4" s="406" t="s">
        <v>29</v>
      </c>
      <c r="FQ4" s="406" t="s">
        <v>30</v>
      </c>
      <c r="FR4" s="406" t="s">
        <v>31</v>
      </c>
      <c r="FS4" s="406" t="s">
        <v>32</v>
      </c>
      <c r="FT4" s="406" t="s">
        <v>33</v>
      </c>
      <c r="FU4" s="406" t="s">
        <v>34</v>
      </c>
      <c r="FV4" s="406" t="s">
        <v>35</v>
      </c>
      <c r="FW4" s="406" t="s">
        <v>36</v>
      </c>
      <c r="FX4" s="406" t="s">
        <v>37</v>
      </c>
      <c r="FY4" s="406" t="s">
        <v>147</v>
      </c>
      <c r="FZ4" s="406" t="s">
        <v>148</v>
      </c>
      <c r="GA4" s="406" t="s">
        <v>149</v>
      </c>
      <c r="GB4" s="406" t="s">
        <v>150</v>
      </c>
      <c r="GC4" s="406" t="s">
        <v>151</v>
      </c>
      <c r="GD4" s="406" t="s">
        <v>152</v>
      </c>
      <c r="GE4" s="406" t="s">
        <v>153</v>
      </c>
      <c r="GF4" s="406" t="s">
        <v>154</v>
      </c>
      <c r="GG4" s="406" t="s">
        <v>155</v>
      </c>
      <c r="GH4" s="406" t="s">
        <v>156</v>
      </c>
      <c r="GI4" s="406" t="s">
        <v>157</v>
      </c>
      <c r="GJ4" s="406" t="s">
        <v>158</v>
      </c>
      <c r="GK4" s="406" t="s">
        <v>159</v>
      </c>
      <c r="GL4" s="406" t="s">
        <v>160</v>
      </c>
      <c r="GM4" s="406" t="s">
        <v>161</v>
      </c>
      <c r="GN4" s="406" t="s">
        <v>162</v>
      </c>
      <c r="GO4" s="406" t="s">
        <v>163</v>
      </c>
      <c r="GP4" s="406" t="s">
        <v>164</v>
      </c>
      <c r="GQ4" s="406" t="s">
        <v>165</v>
      </c>
      <c r="GR4" s="406" t="s">
        <v>166</v>
      </c>
      <c r="GS4" s="406" t="s">
        <v>167</v>
      </c>
      <c r="GT4" s="406" t="s">
        <v>168</v>
      </c>
      <c r="GU4" s="406" t="s">
        <v>169</v>
      </c>
      <c r="GV4" s="406" t="s">
        <v>170</v>
      </c>
      <c r="GW4" s="406" t="s">
        <v>171</v>
      </c>
      <c r="GX4" s="406" t="s">
        <v>172</v>
      </c>
      <c r="GY4" s="406" t="s">
        <v>173</v>
      </c>
      <c r="GZ4" s="406" t="s">
        <v>174</v>
      </c>
      <c r="HA4" s="406" t="s">
        <v>175</v>
      </c>
      <c r="HB4" s="406" t="s">
        <v>176</v>
      </c>
      <c r="HC4" s="406" t="s">
        <v>177</v>
      </c>
      <c r="HD4" s="406" t="s">
        <v>178</v>
      </c>
      <c r="HE4" s="406" t="s">
        <v>179</v>
      </c>
      <c r="HF4" s="406" t="s">
        <v>180</v>
      </c>
      <c r="HG4" s="406" t="s">
        <v>181</v>
      </c>
      <c r="HH4" s="407" t="s">
        <v>56</v>
      </c>
    </row>
    <row r="5" spans="1:216" ht="15.75" thickBot="1">
      <c r="A5" s="312">
        <v>1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194"/>
      <c r="AI5" s="194"/>
      <c r="AJ5" s="194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194"/>
      <c r="BR5" s="194"/>
      <c r="BS5" s="194"/>
      <c r="BT5" s="279">
        <f>SUM(B5:BS5)</f>
        <v>0</v>
      </c>
      <c r="BU5" s="280">
        <v>1</v>
      </c>
      <c r="BV5" s="277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3"/>
      <c r="CN5" s="43"/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283"/>
      <c r="CZ5" s="283"/>
      <c r="DA5" s="283"/>
      <c r="DB5" s="283"/>
      <c r="DC5" s="283"/>
      <c r="DD5" s="283"/>
      <c r="DE5" s="277"/>
      <c r="DF5" s="43"/>
      <c r="DG5" s="43"/>
      <c r="DH5" s="43"/>
      <c r="DI5" s="43"/>
      <c r="DJ5" s="43"/>
      <c r="DK5" s="43"/>
      <c r="DL5" s="43"/>
      <c r="DM5" s="43"/>
      <c r="DN5" s="43"/>
      <c r="DO5" s="43"/>
      <c r="DP5" s="43"/>
      <c r="DQ5" s="43"/>
      <c r="DR5" s="43"/>
      <c r="DS5" s="43"/>
      <c r="DT5" s="43"/>
      <c r="DU5" s="43"/>
      <c r="DV5" s="43"/>
      <c r="DW5" s="43"/>
      <c r="DX5" s="43"/>
      <c r="DY5" s="43"/>
      <c r="DZ5" s="43"/>
      <c r="EA5" s="43"/>
      <c r="EB5" s="43"/>
      <c r="EC5" s="43"/>
      <c r="ED5" s="43"/>
      <c r="EE5" s="43"/>
      <c r="EF5" s="43"/>
      <c r="EG5" s="43"/>
      <c r="EH5" s="283"/>
      <c r="EI5" s="283"/>
      <c r="EJ5" s="283"/>
      <c r="EK5" s="283"/>
      <c r="EL5" s="283"/>
      <c r="EM5" s="283"/>
      <c r="EN5" s="284">
        <f>SUM(BV5:EM5)</f>
        <v>0</v>
      </c>
      <c r="EO5" s="410">
        <v>1</v>
      </c>
      <c r="EP5" s="43"/>
      <c r="EQ5" s="43"/>
      <c r="ER5" s="43"/>
      <c r="ES5" s="43"/>
      <c r="ET5" s="43"/>
      <c r="EU5" s="43"/>
      <c r="EV5" s="43"/>
      <c r="EW5" s="43"/>
      <c r="EX5" s="43"/>
      <c r="EY5" s="43"/>
      <c r="EZ5" s="43"/>
      <c r="FA5" s="43"/>
      <c r="FB5" s="43"/>
      <c r="FC5" s="43"/>
      <c r="FD5" s="43"/>
      <c r="FE5" s="43"/>
      <c r="FF5" s="43"/>
      <c r="FG5" s="43"/>
      <c r="FH5" s="43"/>
      <c r="FI5" s="43"/>
      <c r="FJ5" s="43"/>
      <c r="FK5" s="43"/>
      <c r="FL5" s="43"/>
      <c r="FM5" s="43"/>
      <c r="FN5" s="43"/>
      <c r="FO5" s="43"/>
      <c r="FP5" s="43"/>
      <c r="FQ5" s="43"/>
      <c r="FR5" s="43"/>
      <c r="FS5" s="43"/>
      <c r="FT5" s="43"/>
      <c r="FU5" s="43"/>
      <c r="FV5" s="43"/>
      <c r="FW5" s="43"/>
      <c r="FX5" s="43"/>
      <c r="FY5" s="43"/>
      <c r="FZ5" s="43"/>
      <c r="GA5" s="43"/>
      <c r="GB5" s="43"/>
      <c r="GC5" s="43"/>
      <c r="GD5" s="43"/>
      <c r="GE5" s="43"/>
      <c r="GF5" s="43"/>
      <c r="GG5" s="43"/>
      <c r="GH5" s="43"/>
      <c r="GI5" s="43"/>
      <c r="GJ5" s="43"/>
      <c r="GK5" s="43"/>
      <c r="GL5" s="43"/>
      <c r="GM5" s="43"/>
      <c r="GN5" s="43"/>
      <c r="GO5" s="43"/>
      <c r="GP5" s="43"/>
      <c r="GQ5" s="43"/>
      <c r="GR5" s="43"/>
      <c r="GS5" s="43"/>
      <c r="GT5" s="43"/>
      <c r="GU5" s="43"/>
      <c r="GV5" s="43"/>
      <c r="GW5" s="43"/>
      <c r="GX5" s="43"/>
      <c r="GY5" s="43"/>
      <c r="GZ5" s="43"/>
      <c r="HA5" s="43"/>
      <c r="HB5" s="43"/>
      <c r="HC5" s="43"/>
      <c r="HD5" s="43"/>
      <c r="HE5" s="43"/>
      <c r="HF5" s="43"/>
      <c r="HG5" s="43"/>
      <c r="HH5" s="403">
        <f>SUM(EP5:HG5)</f>
        <v>0</v>
      </c>
    </row>
    <row r="6" spans="1:216" s="1" customFormat="1" ht="15.75" thickBot="1">
      <c r="A6" s="312">
        <v>2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194"/>
      <c r="AI6" s="194"/>
      <c r="AJ6" s="194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  <c r="BI6" s="43"/>
      <c r="BJ6" s="43"/>
      <c r="BK6" s="43"/>
      <c r="BL6" s="43"/>
      <c r="BM6" s="43"/>
      <c r="BN6" s="43"/>
      <c r="BO6" s="43"/>
      <c r="BP6" s="43"/>
      <c r="BQ6" s="194"/>
      <c r="BR6" s="194"/>
      <c r="BS6" s="194"/>
      <c r="BT6" s="279">
        <f t="shared" ref="BT6:BT35" si="0">SUM(B6:BS6)</f>
        <v>0</v>
      </c>
      <c r="BU6" s="281">
        <v>2</v>
      </c>
      <c r="BV6" s="277"/>
      <c r="BW6" s="43"/>
      <c r="BX6" s="43"/>
      <c r="BY6" s="43"/>
      <c r="BZ6" s="43"/>
      <c r="CA6" s="43"/>
      <c r="CB6" s="43"/>
      <c r="CC6" s="43"/>
      <c r="CD6" s="43"/>
      <c r="CE6" s="43"/>
      <c r="CF6" s="43"/>
      <c r="CG6" s="43"/>
      <c r="CH6" s="43"/>
      <c r="CI6" s="43"/>
      <c r="CJ6" s="43"/>
      <c r="CK6" s="43"/>
      <c r="CL6" s="43"/>
      <c r="CM6" s="43"/>
      <c r="CN6" s="43"/>
      <c r="CO6" s="43"/>
      <c r="CP6" s="43"/>
      <c r="CQ6" s="43"/>
      <c r="CR6" s="43"/>
      <c r="CS6" s="43"/>
      <c r="CT6" s="43"/>
      <c r="CU6" s="43"/>
      <c r="CV6" s="43"/>
      <c r="CW6" s="43"/>
      <c r="CX6" s="43"/>
      <c r="CY6" s="283"/>
      <c r="CZ6" s="283"/>
      <c r="DA6" s="283"/>
      <c r="DB6" s="283"/>
      <c r="DC6" s="283"/>
      <c r="DD6" s="283"/>
      <c r="DE6" s="277"/>
      <c r="DF6" s="43"/>
      <c r="DG6" s="43"/>
      <c r="DH6" s="43"/>
      <c r="DI6" s="43"/>
      <c r="DJ6" s="43"/>
      <c r="DK6" s="43"/>
      <c r="DL6" s="43"/>
      <c r="DM6" s="43"/>
      <c r="DN6" s="43"/>
      <c r="DO6" s="43"/>
      <c r="DP6" s="43"/>
      <c r="DQ6" s="43"/>
      <c r="DR6" s="43"/>
      <c r="DS6" s="43"/>
      <c r="DT6" s="43"/>
      <c r="DU6" s="43"/>
      <c r="DV6" s="43"/>
      <c r="DW6" s="43"/>
      <c r="DX6" s="43"/>
      <c r="DY6" s="43"/>
      <c r="DZ6" s="43"/>
      <c r="EA6" s="43"/>
      <c r="EB6" s="43"/>
      <c r="EC6" s="43"/>
      <c r="ED6" s="43"/>
      <c r="EE6" s="43"/>
      <c r="EF6" s="43"/>
      <c r="EG6" s="43"/>
      <c r="EH6" s="283"/>
      <c r="EI6" s="283"/>
      <c r="EJ6" s="283"/>
      <c r="EK6" s="283"/>
      <c r="EL6" s="283"/>
      <c r="EM6" s="283"/>
      <c r="EN6" s="284">
        <f t="shared" ref="EN6:EN35" si="1">SUM(BV6:EM6)</f>
        <v>0</v>
      </c>
      <c r="EO6" s="410">
        <v>2</v>
      </c>
      <c r="EP6" s="43"/>
      <c r="EQ6" s="43"/>
      <c r="ER6" s="43"/>
      <c r="ES6" s="43"/>
      <c r="ET6" s="43"/>
      <c r="EU6" s="43"/>
      <c r="EV6" s="43"/>
      <c r="EW6" s="43"/>
      <c r="EX6" s="43"/>
      <c r="EY6" s="43"/>
      <c r="EZ6" s="43"/>
      <c r="FA6" s="43"/>
      <c r="FB6" s="43"/>
      <c r="FC6" s="43"/>
      <c r="FD6" s="43"/>
      <c r="FE6" s="43"/>
      <c r="FF6" s="43"/>
      <c r="FG6" s="43"/>
      <c r="FH6" s="43"/>
      <c r="FI6" s="43"/>
      <c r="FJ6" s="43"/>
      <c r="FK6" s="43"/>
      <c r="FL6" s="43"/>
      <c r="FM6" s="43"/>
      <c r="FN6" s="43"/>
      <c r="FO6" s="43"/>
      <c r="FP6" s="43"/>
      <c r="FQ6" s="43"/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03">
        <f t="shared" ref="HH6:HH35" si="2">SUM(EP6:HG6)</f>
        <v>0</v>
      </c>
    </row>
    <row r="7" spans="1:216" ht="15.75" thickBot="1">
      <c r="A7" s="312">
        <v>3</v>
      </c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194"/>
      <c r="AI7" s="194"/>
      <c r="AJ7" s="194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  <c r="BF7" s="43"/>
      <c r="BG7" s="43"/>
      <c r="BH7" s="43"/>
      <c r="BI7" s="43"/>
      <c r="BJ7" s="43"/>
      <c r="BK7" s="43"/>
      <c r="BL7" s="43"/>
      <c r="BM7" s="43"/>
      <c r="BN7" s="43"/>
      <c r="BO7" s="43"/>
      <c r="BP7" s="43"/>
      <c r="BQ7" s="194"/>
      <c r="BR7" s="194"/>
      <c r="BS7" s="194"/>
      <c r="BT7" s="279">
        <f t="shared" si="0"/>
        <v>0</v>
      </c>
      <c r="BU7" s="281">
        <v>3</v>
      </c>
      <c r="BV7" s="277"/>
      <c r="BW7" s="43"/>
      <c r="BX7" s="43"/>
      <c r="BY7" s="43"/>
      <c r="BZ7" s="43"/>
      <c r="CA7" s="43"/>
      <c r="CB7" s="43"/>
      <c r="CC7" s="43"/>
      <c r="CD7" s="43"/>
      <c r="CE7" s="43"/>
      <c r="CF7" s="43"/>
      <c r="CG7" s="43"/>
      <c r="CH7" s="43"/>
      <c r="CI7" s="43"/>
      <c r="CJ7" s="43"/>
      <c r="CK7" s="43"/>
      <c r="CL7" s="43"/>
      <c r="CM7" s="43"/>
      <c r="CN7" s="43"/>
      <c r="CO7" s="43"/>
      <c r="CP7" s="43"/>
      <c r="CQ7" s="43"/>
      <c r="CR7" s="43"/>
      <c r="CS7" s="43"/>
      <c r="CT7" s="43"/>
      <c r="CU7" s="43"/>
      <c r="CV7" s="43"/>
      <c r="CW7" s="43"/>
      <c r="CX7" s="43"/>
      <c r="CY7" s="283"/>
      <c r="CZ7" s="283"/>
      <c r="DA7" s="283"/>
      <c r="DB7" s="283"/>
      <c r="DC7" s="283"/>
      <c r="DD7" s="283"/>
      <c r="DE7" s="277"/>
      <c r="DF7" s="43"/>
      <c r="DG7" s="43"/>
      <c r="DH7" s="43"/>
      <c r="DI7" s="43"/>
      <c r="DJ7" s="43"/>
      <c r="DK7" s="43"/>
      <c r="DL7" s="43"/>
      <c r="DM7" s="43"/>
      <c r="DN7" s="43"/>
      <c r="DO7" s="43"/>
      <c r="DP7" s="43"/>
      <c r="DQ7" s="43"/>
      <c r="DR7" s="43"/>
      <c r="DS7" s="43"/>
      <c r="DT7" s="43"/>
      <c r="DU7" s="43"/>
      <c r="DV7" s="43"/>
      <c r="DW7" s="43"/>
      <c r="DX7" s="43"/>
      <c r="DY7" s="43"/>
      <c r="DZ7" s="43"/>
      <c r="EA7" s="43"/>
      <c r="EB7" s="43"/>
      <c r="EC7" s="43"/>
      <c r="ED7" s="43"/>
      <c r="EE7" s="43"/>
      <c r="EF7" s="43"/>
      <c r="EG7" s="43"/>
      <c r="EH7" s="283"/>
      <c r="EI7" s="283"/>
      <c r="EJ7" s="283"/>
      <c r="EK7" s="283"/>
      <c r="EL7" s="283"/>
      <c r="EM7" s="283"/>
      <c r="EN7" s="284">
        <f t="shared" si="1"/>
        <v>0</v>
      </c>
      <c r="EO7" s="410">
        <v>3</v>
      </c>
      <c r="EP7" s="43"/>
      <c r="EQ7" s="43"/>
      <c r="ER7" s="43"/>
      <c r="ES7" s="43"/>
      <c r="ET7" s="43"/>
      <c r="EU7" s="43"/>
      <c r="EV7" s="43"/>
      <c r="EW7" s="43"/>
      <c r="EX7" s="43"/>
      <c r="EY7" s="43"/>
      <c r="EZ7" s="43"/>
      <c r="FA7" s="43"/>
      <c r="FB7" s="43"/>
      <c r="FC7" s="43"/>
      <c r="FD7" s="43"/>
      <c r="FE7" s="43"/>
      <c r="FF7" s="43"/>
      <c r="FG7" s="43"/>
      <c r="FH7" s="43"/>
      <c r="FI7" s="43"/>
      <c r="FJ7" s="43"/>
      <c r="FK7" s="43"/>
      <c r="FL7" s="43"/>
      <c r="FM7" s="43"/>
      <c r="FN7" s="43"/>
      <c r="FO7" s="43"/>
      <c r="FP7" s="43"/>
      <c r="FQ7" s="43"/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03">
        <f t="shared" si="2"/>
        <v>0</v>
      </c>
    </row>
    <row r="8" spans="1:216" ht="15.75" thickBot="1">
      <c r="A8" s="312">
        <v>4</v>
      </c>
      <c r="B8" s="277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194"/>
      <c r="AI8" s="194"/>
      <c r="AJ8" s="194"/>
      <c r="AK8" s="277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  <c r="BF8" s="43"/>
      <c r="BG8" s="43"/>
      <c r="BH8" s="43"/>
      <c r="BI8" s="43"/>
      <c r="BJ8" s="43"/>
      <c r="BK8" s="43"/>
      <c r="BL8" s="43"/>
      <c r="BM8" s="43"/>
      <c r="BN8" s="43"/>
      <c r="BO8" s="43"/>
      <c r="BP8" s="43"/>
      <c r="BQ8" s="194"/>
      <c r="BR8" s="194"/>
      <c r="BS8" s="194"/>
      <c r="BT8" s="279">
        <f t="shared" si="0"/>
        <v>0</v>
      </c>
      <c r="BU8" s="280">
        <v>4</v>
      </c>
      <c r="BV8" s="277"/>
      <c r="BW8" s="43"/>
      <c r="BX8" s="43"/>
      <c r="BY8" s="43"/>
      <c r="BZ8" s="43"/>
      <c r="CA8" s="43"/>
      <c r="CB8" s="43"/>
      <c r="CC8" s="43"/>
      <c r="CD8" s="43"/>
      <c r="CE8" s="43"/>
      <c r="CF8" s="43"/>
      <c r="CG8" s="43"/>
      <c r="CH8" s="43"/>
      <c r="CI8" s="43"/>
      <c r="CJ8" s="43"/>
      <c r="CK8" s="43"/>
      <c r="CL8" s="43"/>
      <c r="CM8" s="43"/>
      <c r="CN8" s="43"/>
      <c r="CO8" s="43"/>
      <c r="CP8" s="43"/>
      <c r="CQ8" s="43"/>
      <c r="CR8" s="43"/>
      <c r="CS8" s="43"/>
      <c r="CT8" s="43"/>
      <c r="CU8" s="43"/>
      <c r="CV8" s="43"/>
      <c r="CW8" s="43"/>
      <c r="CX8" s="43"/>
      <c r="CY8" s="283"/>
      <c r="CZ8" s="283"/>
      <c r="DA8" s="283"/>
      <c r="DB8" s="283"/>
      <c r="DC8" s="283"/>
      <c r="DD8" s="283"/>
      <c r="DE8" s="277"/>
      <c r="DF8" s="43"/>
      <c r="DG8" s="43"/>
      <c r="DH8" s="43"/>
      <c r="DI8" s="43"/>
      <c r="DJ8" s="43"/>
      <c r="DK8" s="43"/>
      <c r="DL8" s="43"/>
      <c r="DM8" s="43"/>
      <c r="DN8" s="43"/>
      <c r="DO8" s="43"/>
      <c r="DP8" s="43"/>
      <c r="DQ8" s="43"/>
      <c r="DR8" s="43"/>
      <c r="DS8" s="43"/>
      <c r="DT8" s="43"/>
      <c r="DU8" s="43"/>
      <c r="DV8" s="43"/>
      <c r="DW8" s="43"/>
      <c r="DX8" s="43"/>
      <c r="DY8" s="43"/>
      <c r="DZ8" s="43"/>
      <c r="EA8" s="43"/>
      <c r="EB8" s="43"/>
      <c r="EC8" s="43"/>
      <c r="ED8" s="43"/>
      <c r="EE8" s="43"/>
      <c r="EF8" s="43"/>
      <c r="EG8" s="43"/>
      <c r="EH8" s="283"/>
      <c r="EI8" s="283"/>
      <c r="EJ8" s="283"/>
      <c r="EK8" s="283"/>
      <c r="EL8" s="283"/>
      <c r="EM8" s="283"/>
      <c r="EN8" s="284">
        <f t="shared" si="1"/>
        <v>0</v>
      </c>
      <c r="EO8" s="410">
        <v>4</v>
      </c>
      <c r="EP8" s="43"/>
      <c r="EQ8" s="43"/>
      <c r="ER8" s="43"/>
      <c r="ES8" s="43"/>
      <c r="ET8" s="43"/>
      <c r="EU8" s="43"/>
      <c r="EV8" s="43"/>
      <c r="EW8" s="43"/>
      <c r="EX8" s="43"/>
      <c r="EY8" s="43"/>
      <c r="EZ8" s="43"/>
      <c r="FA8" s="43"/>
      <c r="FB8" s="43"/>
      <c r="FC8" s="43"/>
      <c r="FD8" s="43"/>
      <c r="FE8" s="43"/>
      <c r="FF8" s="43"/>
      <c r="FG8" s="43"/>
      <c r="FH8" s="43"/>
      <c r="FI8" s="43"/>
      <c r="FJ8" s="43"/>
      <c r="FK8" s="43"/>
      <c r="FL8" s="43"/>
      <c r="FM8" s="43"/>
      <c r="FN8" s="43"/>
      <c r="FO8" s="43"/>
      <c r="FP8" s="43"/>
      <c r="FQ8" s="43"/>
      <c r="FR8" s="43"/>
      <c r="FS8" s="43"/>
      <c r="FT8" s="43"/>
      <c r="FU8" s="43"/>
      <c r="FV8" s="43"/>
      <c r="FW8" s="43"/>
      <c r="FX8" s="43"/>
      <c r="FY8" s="43"/>
      <c r="FZ8" s="43"/>
      <c r="GA8" s="43"/>
      <c r="GB8" s="43"/>
      <c r="GC8" s="43"/>
      <c r="GD8" s="43"/>
      <c r="GE8" s="43"/>
      <c r="GF8" s="43"/>
      <c r="GG8" s="43"/>
      <c r="GH8" s="43"/>
      <c r="GI8" s="43"/>
      <c r="GJ8" s="43"/>
      <c r="GK8" s="43"/>
      <c r="GL8" s="43"/>
      <c r="GM8" s="43"/>
      <c r="GN8" s="43"/>
      <c r="GO8" s="43"/>
      <c r="GP8" s="43"/>
      <c r="GQ8" s="43"/>
      <c r="GR8" s="43"/>
      <c r="GS8" s="43"/>
      <c r="GT8" s="43"/>
      <c r="GU8" s="43"/>
      <c r="GV8" s="43"/>
      <c r="GW8" s="43"/>
      <c r="GX8" s="43"/>
      <c r="GY8" s="43"/>
      <c r="GZ8" s="43"/>
      <c r="HA8" s="43"/>
      <c r="HB8" s="43"/>
      <c r="HC8" s="43"/>
      <c r="HD8" s="43"/>
      <c r="HE8" s="43"/>
      <c r="HF8" s="43"/>
      <c r="HG8" s="43"/>
      <c r="HH8" s="403">
        <f t="shared" si="2"/>
        <v>0</v>
      </c>
    </row>
    <row r="9" spans="1:216" ht="15.75" thickBot="1">
      <c r="A9" s="312">
        <v>5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194"/>
      <c r="AI9" s="194"/>
      <c r="AJ9" s="194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  <c r="BF9" s="43"/>
      <c r="BG9" s="43"/>
      <c r="BH9" s="43"/>
      <c r="BI9" s="43"/>
      <c r="BJ9" s="43"/>
      <c r="BK9" s="43"/>
      <c r="BL9" s="43"/>
      <c r="BM9" s="43"/>
      <c r="BN9" s="43"/>
      <c r="BO9" s="43"/>
      <c r="BP9" s="43"/>
      <c r="BQ9" s="194"/>
      <c r="BR9" s="194"/>
      <c r="BS9" s="194"/>
      <c r="BT9" s="279">
        <f t="shared" si="0"/>
        <v>0</v>
      </c>
      <c r="BU9" s="281">
        <v>5</v>
      </c>
      <c r="BV9" s="277"/>
      <c r="BW9" s="43"/>
      <c r="BX9" s="43"/>
      <c r="BY9" s="43"/>
      <c r="BZ9" s="43"/>
      <c r="CA9" s="43"/>
      <c r="CB9" s="43"/>
      <c r="CC9" s="43"/>
      <c r="CD9" s="43"/>
      <c r="CE9" s="43"/>
      <c r="CF9" s="43"/>
      <c r="CG9" s="43"/>
      <c r="CH9" s="43"/>
      <c r="CI9" s="43"/>
      <c r="CJ9" s="43"/>
      <c r="CK9" s="43"/>
      <c r="CL9" s="43"/>
      <c r="CM9" s="43"/>
      <c r="CN9" s="43"/>
      <c r="CO9" s="43"/>
      <c r="CP9" s="43"/>
      <c r="CQ9" s="43"/>
      <c r="CR9" s="43"/>
      <c r="CS9" s="43"/>
      <c r="CT9" s="43"/>
      <c r="CU9" s="43"/>
      <c r="CV9" s="43"/>
      <c r="CW9" s="43"/>
      <c r="CX9" s="43"/>
      <c r="CY9" s="283"/>
      <c r="CZ9" s="283"/>
      <c r="DA9" s="283"/>
      <c r="DB9" s="283"/>
      <c r="DC9" s="283"/>
      <c r="DD9" s="283"/>
      <c r="DE9" s="277"/>
      <c r="DF9" s="43"/>
      <c r="DG9" s="43"/>
      <c r="DH9" s="43"/>
      <c r="DI9" s="43"/>
      <c r="DJ9" s="43"/>
      <c r="DK9" s="43"/>
      <c r="DL9" s="43"/>
      <c r="DM9" s="43"/>
      <c r="DN9" s="43"/>
      <c r="DO9" s="43"/>
      <c r="DP9" s="43"/>
      <c r="DQ9" s="43"/>
      <c r="DR9" s="43"/>
      <c r="DS9" s="43"/>
      <c r="DT9" s="43"/>
      <c r="DU9" s="43"/>
      <c r="DV9" s="43"/>
      <c r="DW9" s="43"/>
      <c r="DX9" s="43"/>
      <c r="DY9" s="43"/>
      <c r="DZ9" s="43"/>
      <c r="EA9" s="43"/>
      <c r="EB9" s="43"/>
      <c r="EC9" s="43"/>
      <c r="ED9" s="43"/>
      <c r="EE9" s="43"/>
      <c r="EF9" s="43"/>
      <c r="EG9" s="43"/>
      <c r="EH9" s="283"/>
      <c r="EI9" s="283"/>
      <c r="EJ9" s="283"/>
      <c r="EK9" s="283"/>
      <c r="EL9" s="283"/>
      <c r="EM9" s="283"/>
      <c r="EN9" s="284">
        <f t="shared" si="1"/>
        <v>0</v>
      </c>
      <c r="EO9" s="410">
        <v>5</v>
      </c>
      <c r="EP9" s="43"/>
      <c r="EQ9" s="43"/>
      <c r="ER9" s="43"/>
      <c r="ES9" s="43"/>
      <c r="ET9" s="43"/>
      <c r="EU9" s="43"/>
      <c r="EV9" s="43"/>
      <c r="EW9" s="43"/>
      <c r="EX9" s="43"/>
      <c r="EY9" s="43"/>
      <c r="EZ9" s="43"/>
      <c r="FA9" s="43"/>
      <c r="FB9" s="43"/>
      <c r="FC9" s="43"/>
      <c r="FD9" s="43"/>
      <c r="FE9" s="43"/>
      <c r="FF9" s="43"/>
      <c r="FG9" s="43"/>
      <c r="FH9" s="43"/>
      <c r="FI9" s="43"/>
      <c r="FJ9" s="43"/>
      <c r="FK9" s="43"/>
      <c r="FL9" s="43"/>
      <c r="FM9" s="43"/>
      <c r="FN9" s="43"/>
      <c r="FO9" s="43"/>
      <c r="FP9" s="43"/>
      <c r="FQ9" s="43"/>
      <c r="FR9" s="43"/>
      <c r="FS9" s="43"/>
      <c r="FT9" s="43"/>
      <c r="FU9" s="43"/>
      <c r="FV9" s="43"/>
      <c r="FW9" s="43"/>
      <c r="FX9" s="43"/>
      <c r="FY9" s="43"/>
      <c r="FZ9" s="43"/>
      <c r="GA9" s="43"/>
      <c r="GB9" s="43"/>
      <c r="GC9" s="43"/>
      <c r="GD9" s="43"/>
      <c r="GE9" s="43"/>
      <c r="GF9" s="43"/>
      <c r="GG9" s="43"/>
      <c r="GH9" s="43"/>
      <c r="GI9" s="43"/>
      <c r="GJ9" s="43"/>
      <c r="GK9" s="43"/>
      <c r="GL9" s="43"/>
      <c r="GM9" s="43"/>
      <c r="GN9" s="43"/>
      <c r="GO9" s="43"/>
      <c r="GP9" s="43"/>
      <c r="GQ9" s="43"/>
      <c r="GR9" s="43"/>
      <c r="GS9" s="43"/>
      <c r="GT9" s="43"/>
      <c r="GU9" s="43"/>
      <c r="GV9" s="43"/>
      <c r="GW9" s="43"/>
      <c r="GX9" s="43"/>
      <c r="GY9" s="43"/>
      <c r="GZ9" s="43"/>
      <c r="HA9" s="43"/>
      <c r="HB9" s="43"/>
      <c r="HC9" s="43"/>
      <c r="HD9" s="43"/>
      <c r="HE9" s="43"/>
      <c r="HF9" s="43"/>
      <c r="HG9" s="43"/>
      <c r="HH9" s="403">
        <f t="shared" si="2"/>
        <v>0</v>
      </c>
    </row>
    <row r="10" spans="1:216" ht="15.75" thickBot="1">
      <c r="A10" s="312">
        <v>6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194"/>
      <c r="AI10" s="194"/>
      <c r="AJ10" s="194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  <c r="BF10" s="43"/>
      <c r="BG10" s="43"/>
      <c r="BH10" s="43"/>
      <c r="BI10" s="43"/>
      <c r="BJ10" s="43"/>
      <c r="BK10" s="43"/>
      <c r="BL10" s="43"/>
      <c r="BM10" s="43"/>
      <c r="BN10" s="43"/>
      <c r="BO10" s="43"/>
      <c r="BP10" s="43"/>
      <c r="BQ10" s="194"/>
      <c r="BR10" s="194"/>
      <c r="BS10" s="194"/>
      <c r="BT10" s="279">
        <f t="shared" si="0"/>
        <v>0</v>
      </c>
      <c r="BU10" s="281">
        <v>6</v>
      </c>
      <c r="BV10" s="277"/>
      <c r="BW10" s="43"/>
      <c r="BX10" s="43"/>
      <c r="BY10" s="43"/>
      <c r="BZ10" s="43"/>
      <c r="CA10" s="43"/>
      <c r="CB10" s="43"/>
      <c r="CC10" s="43"/>
      <c r="CD10" s="43"/>
      <c r="CE10" s="43"/>
      <c r="CF10" s="43"/>
      <c r="CG10" s="43"/>
      <c r="CH10" s="43"/>
      <c r="CI10" s="43"/>
      <c r="CJ10" s="43"/>
      <c r="CK10" s="43"/>
      <c r="CL10" s="43"/>
      <c r="CM10" s="43"/>
      <c r="CN10" s="43"/>
      <c r="CO10" s="43"/>
      <c r="CP10" s="43"/>
      <c r="CQ10" s="43"/>
      <c r="CR10" s="43"/>
      <c r="CS10" s="43"/>
      <c r="CT10" s="43"/>
      <c r="CU10" s="43"/>
      <c r="CV10" s="43"/>
      <c r="CW10" s="43"/>
      <c r="CX10" s="43"/>
      <c r="CY10" s="283"/>
      <c r="CZ10" s="283"/>
      <c r="DA10" s="283"/>
      <c r="DB10" s="283"/>
      <c r="DC10" s="283"/>
      <c r="DD10" s="283"/>
      <c r="DE10" s="277"/>
      <c r="DF10" s="43"/>
      <c r="DG10" s="43"/>
      <c r="DH10" s="43"/>
      <c r="DI10" s="43"/>
      <c r="DJ10" s="43"/>
      <c r="DK10" s="43"/>
      <c r="DL10" s="43"/>
      <c r="DM10" s="43"/>
      <c r="DN10" s="43"/>
      <c r="DO10" s="43"/>
      <c r="DP10" s="43"/>
      <c r="DQ10" s="43"/>
      <c r="DR10" s="43"/>
      <c r="DS10" s="43"/>
      <c r="DT10" s="43"/>
      <c r="DU10" s="43"/>
      <c r="DV10" s="43"/>
      <c r="DW10" s="43"/>
      <c r="DX10" s="43"/>
      <c r="DY10" s="43"/>
      <c r="DZ10" s="43"/>
      <c r="EA10" s="43"/>
      <c r="EB10" s="43"/>
      <c r="EC10" s="43"/>
      <c r="ED10" s="43"/>
      <c r="EE10" s="43"/>
      <c r="EF10" s="43"/>
      <c r="EG10" s="43"/>
      <c r="EH10" s="283"/>
      <c r="EI10" s="283"/>
      <c r="EJ10" s="283"/>
      <c r="EK10" s="283"/>
      <c r="EL10" s="283"/>
      <c r="EM10" s="283"/>
      <c r="EN10" s="284">
        <f t="shared" si="1"/>
        <v>0</v>
      </c>
      <c r="EO10" s="410">
        <v>6</v>
      </c>
      <c r="EP10" s="43"/>
      <c r="EQ10" s="43"/>
      <c r="ER10" s="43"/>
      <c r="ES10" s="43"/>
      <c r="ET10" s="43"/>
      <c r="EU10" s="43"/>
      <c r="EV10" s="43"/>
      <c r="EW10" s="43"/>
      <c r="EX10" s="43"/>
      <c r="EY10" s="43"/>
      <c r="EZ10" s="43"/>
      <c r="FA10" s="43"/>
      <c r="FB10" s="43"/>
      <c r="FC10" s="43"/>
      <c r="FD10" s="43"/>
      <c r="FE10" s="43"/>
      <c r="FF10" s="43"/>
      <c r="FG10" s="43"/>
      <c r="FH10" s="43"/>
      <c r="FI10" s="43"/>
      <c r="FJ10" s="43"/>
      <c r="FK10" s="43"/>
      <c r="FL10" s="43"/>
      <c r="FM10" s="43"/>
      <c r="FN10" s="43"/>
      <c r="FO10" s="43"/>
      <c r="FP10" s="43"/>
      <c r="FQ10" s="43"/>
      <c r="FR10" s="43"/>
      <c r="FS10" s="43"/>
      <c r="FT10" s="43"/>
      <c r="FU10" s="43"/>
      <c r="FV10" s="43"/>
      <c r="FW10" s="43"/>
      <c r="FX10" s="43"/>
      <c r="FY10" s="43"/>
      <c r="FZ10" s="43"/>
      <c r="GA10" s="43"/>
      <c r="GB10" s="43"/>
      <c r="GC10" s="43"/>
      <c r="GD10" s="43"/>
      <c r="GE10" s="43"/>
      <c r="GF10" s="43"/>
      <c r="GG10" s="43"/>
      <c r="GH10" s="43"/>
      <c r="GI10" s="43"/>
      <c r="GJ10" s="43"/>
      <c r="GK10" s="43"/>
      <c r="GL10" s="43"/>
      <c r="GM10" s="43"/>
      <c r="GN10" s="43"/>
      <c r="GO10" s="43"/>
      <c r="GP10" s="43"/>
      <c r="GQ10" s="43"/>
      <c r="GR10" s="43"/>
      <c r="GS10" s="43"/>
      <c r="GT10" s="43"/>
      <c r="GU10" s="43"/>
      <c r="GV10" s="43"/>
      <c r="GW10" s="43"/>
      <c r="GX10" s="43"/>
      <c r="GY10" s="43"/>
      <c r="GZ10" s="43"/>
      <c r="HA10" s="43"/>
      <c r="HB10" s="43"/>
      <c r="HC10" s="43"/>
      <c r="HD10" s="43"/>
      <c r="HE10" s="43"/>
      <c r="HF10" s="43"/>
      <c r="HG10" s="43"/>
      <c r="HH10" s="403">
        <f t="shared" si="2"/>
        <v>0</v>
      </c>
    </row>
    <row r="11" spans="1:216" s="1" customFormat="1" ht="15.75" thickBot="1">
      <c r="A11" s="312">
        <v>7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194"/>
      <c r="AI11" s="194"/>
      <c r="AJ11" s="194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  <c r="BF11" s="43"/>
      <c r="BG11" s="43"/>
      <c r="BH11" s="43"/>
      <c r="BI11" s="43"/>
      <c r="BJ11" s="43"/>
      <c r="BK11" s="43"/>
      <c r="BL11" s="43"/>
      <c r="BM11" s="43"/>
      <c r="BN11" s="43"/>
      <c r="BO11" s="43"/>
      <c r="BP11" s="43"/>
      <c r="BQ11" s="194"/>
      <c r="BR11" s="194"/>
      <c r="BS11" s="194"/>
      <c r="BT11" s="279">
        <f t="shared" si="0"/>
        <v>0</v>
      </c>
      <c r="BU11" s="280">
        <v>7</v>
      </c>
      <c r="BV11" s="277"/>
      <c r="BW11" s="43"/>
      <c r="BX11" s="43"/>
      <c r="BY11" s="43"/>
      <c r="BZ11" s="43"/>
      <c r="CA11" s="43"/>
      <c r="CB11" s="43"/>
      <c r="CC11" s="43"/>
      <c r="CD11" s="43"/>
      <c r="CE11" s="43"/>
      <c r="CF11" s="43"/>
      <c r="CG11" s="43"/>
      <c r="CH11" s="43"/>
      <c r="CI11" s="43"/>
      <c r="CJ11" s="43"/>
      <c r="CK11" s="43"/>
      <c r="CL11" s="43"/>
      <c r="CM11" s="43"/>
      <c r="CN11" s="43"/>
      <c r="CO11" s="43"/>
      <c r="CP11" s="43"/>
      <c r="CQ11" s="43"/>
      <c r="CR11" s="43"/>
      <c r="CS11" s="43"/>
      <c r="CT11" s="43"/>
      <c r="CU11" s="43"/>
      <c r="CV11" s="43"/>
      <c r="CW11" s="43"/>
      <c r="CX11" s="43"/>
      <c r="CY11" s="283"/>
      <c r="CZ11" s="283"/>
      <c r="DA11" s="283"/>
      <c r="DB11" s="283"/>
      <c r="DC11" s="283"/>
      <c r="DD11" s="283"/>
      <c r="DE11" s="277"/>
      <c r="DF11" s="43"/>
      <c r="DG11" s="43"/>
      <c r="DH11" s="43"/>
      <c r="DI11" s="43"/>
      <c r="DJ11" s="43"/>
      <c r="DK11" s="43"/>
      <c r="DL11" s="43"/>
      <c r="DM11" s="43"/>
      <c r="DN11" s="43"/>
      <c r="DO11" s="43"/>
      <c r="DP11" s="43"/>
      <c r="DQ11" s="43"/>
      <c r="DR11" s="43"/>
      <c r="DS11" s="43"/>
      <c r="DT11" s="43"/>
      <c r="DU11" s="43"/>
      <c r="DV11" s="43"/>
      <c r="DW11" s="43"/>
      <c r="DX11" s="43"/>
      <c r="DY11" s="43"/>
      <c r="DZ11" s="43"/>
      <c r="EA11" s="43"/>
      <c r="EB11" s="43"/>
      <c r="EC11" s="43"/>
      <c r="ED11" s="43"/>
      <c r="EE11" s="43"/>
      <c r="EF11" s="43"/>
      <c r="EG11" s="43"/>
      <c r="EH11" s="283"/>
      <c r="EI11" s="283"/>
      <c r="EJ11" s="283"/>
      <c r="EK11" s="283"/>
      <c r="EL11" s="283"/>
      <c r="EM11" s="283"/>
      <c r="EN11" s="284">
        <f t="shared" si="1"/>
        <v>0</v>
      </c>
      <c r="EO11" s="410">
        <v>7</v>
      </c>
      <c r="EP11" s="43"/>
      <c r="EQ11" s="43"/>
      <c r="ER11" s="43"/>
      <c r="ES11" s="43"/>
      <c r="ET11" s="43"/>
      <c r="EU11" s="43"/>
      <c r="EV11" s="43"/>
      <c r="EW11" s="43"/>
      <c r="EX11" s="43"/>
      <c r="EY11" s="43"/>
      <c r="EZ11" s="43"/>
      <c r="FA11" s="43"/>
      <c r="FB11" s="43"/>
      <c r="FC11" s="43"/>
      <c r="FD11" s="43"/>
      <c r="FE11" s="43"/>
      <c r="FF11" s="43"/>
      <c r="FG11" s="43"/>
      <c r="FH11" s="43"/>
      <c r="FI11" s="43"/>
      <c r="FJ11" s="43"/>
      <c r="FK11" s="43"/>
      <c r="FL11" s="43"/>
      <c r="FM11" s="43"/>
      <c r="FN11" s="43"/>
      <c r="FO11" s="43"/>
      <c r="FP11" s="43"/>
      <c r="FQ11" s="43"/>
      <c r="FR11" s="43"/>
      <c r="FS11" s="43"/>
      <c r="FT11" s="43"/>
      <c r="FU11" s="43"/>
      <c r="FV11" s="43"/>
      <c r="FW11" s="43"/>
      <c r="FX11" s="43"/>
      <c r="FY11" s="43"/>
      <c r="FZ11" s="43"/>
      <c r="GA11" s="43"/>
      <c r="GB11" s="43"/>
      <c r="GC11" s="43"/>
      <c r="GD11" s="43"/>
      <c r="GE11" s="43"/>
      <c r="GF11" s="43"/>
      <c r="GG11" s="43"/>
      <c r="GH11" s="43"/>
      <c r="GI11" s="43"/>
      <c r="GJ11" s="43"/>
      <c r="GK11" s="43"/>
      <c r="GL11" s="43"/>
      <c r="GM11" s="43"/>
      <c r="GN11" s="43"/>
      <c r="GO11" s="43"/>
      <c r="GP11" s="43"/>
      <c r="GQ11" s="43"/>
      <c r="GR11" s="43"/>
      <c r="GS11" s="43"/>
      <c r="GT11" s="43"/>
      <c r="GU11" s="43"/>
      <c r="GV11" s="43"/>
      <c r="GW11" s="43"/>
      <c r="GX11" s="43"/>
      <c r="GY11" s="43"/>
      <c r="GZ11" s="43"/>
      <c r="HA11" s="43"/>
      <c r="HB11" s="43"/>
      <c r="HC11" s="43"/>
      <c r="HD11" s="43"/>
      <c r="HE11" s="43"/>
      <c r="HF11" s="43"/>
      <c r="HG11" s="43"/>
      <c r="HH11" s="403">
        <f t="shared" si="2"/>
        <v>0</v>
      </c>
    </row>
    <row r="12" spans="1:216" s="1" customFormat="1" ht="15.75" thickBot="1">
      <c r="A12" s="312">
        <v>8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194"/>
      <c r="AI12" s="194"/>
      <c r="AJ12" s="194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194"/>
      <c r="BR12" s="194"/>
      <c r="BS12" s="194"/>
      <c r="BT12" s="279">
        <f t="shared" si="0"/>
        <v>0</v>
      </c>
      <c r="BU12" s="281">
        <v>8</v>
      </c>
      <c r="BV12" s="277"/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43"/>
      <c r="CY12" s="283"/>
      <c r="CZ12" s="283"/>
      <c r="DA12" s="283"/>
      <c r="DB12" s="283"/>
      <c r="DC12" s="283"/>
      <c r="DD12" s="283"/>
      <c r="DE12" s="277"/>
      <c r="DF12" s="43"/>
      <c r="DG12" s="43"/>
      <c r="DH12" s="43"/>
      <c r="DI12" s="43"/>
      <c r="DJ12" s="43"/>
      <c r="DK12" s="43"/>
      <c r="DL12" s="43"/>
      <c r="DM12" s="43"/>
      <c r="DN12" s="43"/>
      <c r="DO12" s="43"/>
      <c r="DP12" s="43"/>
      <c r="DQ12" s="43"/>
      <c r="DR12" s="43"/>
      <c r="DS12" s="43"/>
      <c r="DT12" s="43"/>
      <c r="DU12" s="43"/>
      <c r="DV12" s="43"/>
      <c r="DW12" s="43"/>
      <c r="DX12" s="43"/>
      <c r="DY12" s="43"/>
      <c r="DZ12" s="43"/>
      <c r="EA12" s="43"/>
      <c r="EB12" s="43"/>
      <c r="EC12" s="43"/>
      <c r="ED12" s="43"/>
      <c r="EE12" s="43"/>
      <c r="EF12" s="43"/>
      <c r="EG12" s="43"/>
      <c r="EH12" s="283"/>
      <c r="EI12" s="283"/>
      <c r="EJ12" s="283"/>
      <c r="EK12" s="283"/>
      <c r="EL12" s="283"/>
      <c r="EM12" s="283"/>
      <c r="EN12" s="284">
        <f t="shared" si="1"/>
        <v>0</v>
      </c>
      <c r="EO12" s="410">
        <v>8</v>
      </c>
      <c r="EP12" s="43"/>
      <c r="EQ12" s="43"/>
      <c r="ER12" s="43"/>
      <c r="ES12" s="43"/>
      <c r="ET12" s="43"/>
      <c r="EU12" s="43"/>
      <c r="EV12" s="43"/>
      <c r="EW12" s="43"/>
      <c r="EX12" s="43"/>
      <c r="EY12" s="43"/>
      <c r="EZ12" s="43"/>
      <c r="FA12" s="43"/>
      <c r="FB12" s="43"/>
      <c r="FC12" s="43"/>
      <c r="FD12" s="43"/>
      <c r="FE12" s="43"/>
      <c r="FF12" s="43"/>
      <c r="FG12" s="43"/>
      <c r="FH12" s="43"/>
      <c r="FI12" s="43"/>
      <c r="FJ12" s="43"/>
      <c r="FK12" s="43"/>
      <c r="FL12" s="43"/>
      <c r="FM12" s="43"/>
      <c r="FN12" s="43"/>
      <c r="FO12" s="43"/>
      <c r="FP12" s="43"/>
      <c r="FQ12" s="43"/>
      <c r="FR12" s="43"/>
      <c r="FS12" s="43"/>
      <c r="FT12" s="43"/>
      <c r="FU12" s="43"/>
      <c r="FV12" s="43"/>
      <c r="FW12" s="43"/>
      <c r="FX12" s="43"/>
      <c r="FY12" s="43"/>
      <c r="FZ12" s="43"/>
      <c r="GA12" s="43"/>
      <c r="GB12" s="43"/>
      <c r="GC12" s="43"/>
      <c r="GD12" s="43"/>
      <c r="GE12" s="43"/>
      <c r="GF12" s="43"/>
      <c r="GG12" s="43"/>
      <c r="GH12" s="43"/>
      <c r="GI12" s="43"/>
      <c r="GJ12" s="43"/>
      <c r="GK12" s="43"/>
      <c r="GL12" s="43"/>
      <c r="GM12" s="43"/>
      <c r="GN12" s="43"/>
      <c r="GO12" s="43"/>
      <c r="GP12" s="43"/>
      <c r="GQ12" s="43"/>
      <c r="GR12" s="43"/>
      <c r="GS12" s="43"/>
      <c r="GT12" s="43"/>
      <c r="GU12" s="43"/>
      <c r="GV12" s="43"/>
      <c r="GW12" s="43"/>
      <c r="GX12" s="43"/>
      <c r="GY12" s="43"/>
      <c r="GZ12" s="43"/>
      <c r="HA12" s="43"/>
      <c r="HB12" s="43"/>
      <c r="HC12" s="43"/>
      <c r="HD12" s="43"/>
      <c r="HE12" s="43"/>
      <c r="HF12" s="43"/>
      <c r="HG12" s="43"/>
      <c r="HH12" s="403">
        <f t="shared" si="2"/>
        <v>0</v>
      </c>
    </row>
    <row r="13" spans="1:216" ht="15.75" thickBot="1">
      <c r="A13" s="312">
        <v>9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194"/>
      <c r="AI13" s="194"/>
      <c r="AJ13" s="194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  <c r="BF13" s="43"/>
      <c r="BG13" s="43"/>
      <c r="BH13" s="43"/>
      <c r="BI13" s="43"/>
      <c r="BJ13" s="43"/>
      <c r="BK13" s="43"/>
      <c r="BL13" s="43"/>
      <c r="BM13" s="43"/>
      <c r="BN13" s="43"/>
      <c r="BO13" s="43"/>
      <c r="BP13" s="43"/>
      <c r="BQ13" s="194"/>
      <c r="BR13" s="194"/>
      <c r="BS13" s="194"/>
      <c r="BT13" s="279">
        <f t="shared" si="0"/>
        <v>0</v>
      </c>
      <c r="BU13" s="281">
        <v>9</v>
      </c>
      <c r="BV13" s="277"/>
      <c r="BW13" s="43"/>
      <c r="BX13" s="43"/>
      <c r="BY13" s="43"/>
      <c r="BZ13" s="43"/>
      <c r="CA13" s="43"/>
      <c r="CB13" s="43"/>
      <c r="CC13" s="43"/>
      <c r="CD13" s="43"/>
      <c r="CE13" s="43"/>
      <c r="CF13" s="43"/>
      <c r="CG13" s="43"/>
      <c r="CH13" s="43"/>
      <c r="CI13" s="43"/>
      <c r="CJ13" s="43"/>
      <c r="CK13" s="43"/>
      <c r="CL13" s="43"/>
      <c r="CM13" s="43"/>
      <c r="CN13" s="43"/>
      <c r="CO13" s="43"/>
      <c r="CP13" s="43"/>
      <c r="CQ13" s="43"/>
      <c r="CR13" s="43"/>
      <c r="CS13" s="43"/>
      <c r="CT13" s="43"/>
      <c r="CU13" s="43"/>
      <c r="CV13" s="43"/>
      <c r="CW13" s="43"/>
      <c r="CX13" s="43"/>
      <c r="CY13" s="283"/>
      <c r="CZ13" s="283"/>
      <c r="DA13" s="283"/>
      <c r="DB13" s="283"/>
      <c r="DC13" s="283"/>
      <c r="DD13" s="283"/>
      <c r="DE13" s="277"/>
      <c r="DF13" s="43"/>
      <c r="DG13" s="43"/>
      <c r="DH13" s="43"/>
      <c r="DI13" s="43"/>
      <c r="DJ13" s="43"/>
      <c r="DK13" s="43"/>
      <c r="DL13" s="43"/>
      <c r="DM13" s="43"/>
      <c r="DN13" s="43"/>
      <c r="DO13" s="43"/>
      <c r="DP13" s="43"/>
      <c r="DQ13" s="43"/>
      <c r="DR13" s="43"/>
      <c r="DS13" s="43"/>
      <c r="DT13" s="43"/>
      <c r="DU13" s="43"/>
      <c r="DV13" s="43"/>
      <c r="DW13" s="43"/>
      <c r="DX13" s="43"/>
      <c r="DY13" s="43"/>
      <c r="DZ13" s="43"/>
      <c r="EA13" s="43"/>
      <c r="EB13" s="43"/>
      <c r="EC13" s="43"/>
      <c r="ED13" s="43"/>
      <c r="EE13" s="43"/>
      <c r="EF13" s="43"/>
      <c r="EG13" s="43"/>
      <c r="EH13" s="283"/>
      <c r="EI13" s="283"/>
      <c r="EJ13" s="283"/>
      <c r="EK13" s="283"/>
      <c r="EL13" s="283"/>
      <c r="EM13" s="283"/>
      <c r="EN13" s="284">
        <f t="shared" si="1"/>
        <v>0</v>
      </c>
      <c r="EO13" s="410">
        <v>9</v>
      </c>
      <c r="EP13" s="43"/>
      <c r="EQ13" s="43"/>
      <c r="ER13" s="43"/>
      <c r="ES13" s="43"/>
      <c r="ET13" s="43"/>
      <c r="EU13" s="43"/>
      <c r="EV13" s="43"/>
      <c r="EW13" s="43"/>
      <c r="EX13" s="43"/>
      <c r="EY13" s="43"/>
      <c r="EZ13" s="43"/>
      <c r="FA13" s="43"/>
      <c r="FB13" s="43"/>
      <c r="FC13" s="43"/>
      <c r="FD13" s="43"/>
      <c r="FE13" s="43"/>
      <c r="FF13" s="43"/>
      <c r="FG13" s="43"/>
      <c r="FH13" s="43"/>
      <c r="FI13" s="43"/>
      <c r="FJ13" s="43"/>
      <c r="FK13" s="43"/>
      <c r="FL13" s="43"/>
      <c r="FM13" s="43"/>
      <c r="FN13" s="43"/>
      <c r="FO13" s="43"/>
      <c r="FP13" s="43"/>
      <c r="FQ13" s="43"/>
      <c r="FR13" s="43"/>
      <c r="FS13" s="43"/>
      <c r="FT13" s="43"/>
      <c r="FU13" s="43"/>
      <c r="FV13" s="43"/>
      <c r="FW13" s="43"/>
      <c r="FX13" s="43"/>
      <c r="FY13" s="43"/>
      <c r="FZ13" s="43"/>
      <c r="GA13" s="43"/>
      <c r="GB13" s="43"/>
      <c r="GC13" s="43"/>
      <c r="GD13" s="43"/>
      <c r="GE13" s="43"/>
      <c r="GF13" s="43"/>
      <c r="GG13" s="43"/>
      <c r="GH13" s="43"/>
      <c r="GI13" s="43"/>
      <c r="GJ13" s="43"/>
      <c r="GK13" s="43"/>
      <c r="GL13" s="43"/>
      <c r="GM13" s="43"/>
      <c r="GN13" s="43"/>
      <c r="GO13" s="43"/>
      <c r="GP13" s="43"/>
      <c r="GQ13" s="43"/>
      <c r="GR13" s="43"/>
      <c r="GS13" s="43"/>
      <c r="GT13" s="43"/>
      <c r="GU13" s="43"/>
      <c r="GV13" s="43"/>
      <c r="GW13" s="43"/>
      <c r="GX13" s="43"/>
      <c r="GY13" s="43"/>
      <c r="GZ13" s="43"/>
      <c r="HA13" s="43"/>
      <c r="HB13" s="43"/>
      <c r="HC13" s="43"/>
      <c r="HD13" s="43"/>
      <c r="HE13" s="43"/>
      <c r="HF13" s="43"/>
      <c r="HG13" s="43"/>
      <c r="HH13" s="403">
        <f t="shared" si="2"/>
        <v>0</v>
      </c>
    </row>
    <row r="14" spans="1:216" ht="15.75" thickBot="1">
      <c r="A14" s="312">
        <v>10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194"/>
      <c r="AI14" s="194"/>
      <c r="AJ14" s="194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  <c r="BM14" s="43"/>
      <c r="BN14" s="43"/>
      <c r="BO14" s="43"/>
      <c r="BP14" s="43"/>
      <c r="BQ14" s="194"/>
      <c r="BR14" s="194"/>
      <c r="BS14" s="194"/>
      <c r="BT14" s="279">
        <f t="shared" si="0"/>
        <v>0</v>
      </c>
      <c r="BU14" s="280">
        <v>10</v>
      </c>
      <c r="BV14" s="277"/>
      <c r="BW14" s="43"/>
      <c r="BX14" s="43"/>
      <c r="BY14" s="43"/>
      <c r="BZ14" s="43"/>
      <c r="CA14" s="43"/>
      <c r="CB14" s="43"/>
      <c r="CC14" s="43"/>
      <c r="CD14" s="43"/>
      <c r="CE14" s="43"/>
      <c r="CF14" s="43"/>
      <c r="CG14" s="43"/>
      <c r="CH14" s="43"/>
      <c r="CI14" s="43"/>
      <c r="CJ14" s="43"/>
      <c r="CK14" s="43"/>
      <c r="CL14" s="43"/>
      <c r="CM14" s="43"/>
      <c r="CN14" s="43"/>
      <c r="CO14" s="43"/>
      <c r="CP14" s="43"/>
      <c r="CQ14" s="43"/>
      <c r="CR14" s="43"/>
      <c r="CS14" s="43"/>
      <c r="CT14" s="43"/>
      <c r="CU14" s="43"/>
      <c r="CV14" s="43"/>
      <c r="CW14" s="43"/>
      <c r="CX14" s="43"/>
      <c r="CY14" s="283"/>
      <c r="CZ14" s="283"/>
      <c r="DA14" s="283"/>
      <c r="DB14" s="283"/>
      <c r="DC14" s="283"/>
      <c r="DD14" s="283"/>
      <c r="DE14" s="277"/>
      <c r="DF14" s="43"/>
      <c r="DG14" s="43"/>
      <c r="DH14" s="43"/>
      <c r="DI14" s="43"/>
      <c r="DJ14" s="43"/>
      <c r="DK14" s="43"/>
      <c r="DL14" s="43"/>
      <c r="DM14" s="43"/>
      <c r="DN14" s="43"/>
      <c r="DO14" s="43"/>
      <c r="DP14" s="43"/>
      <c r="DQ14" s="43"/>
      <c r="DR14" s="43"/>
      <c r="DS14" s="43"/>
      <c r="DT14" s="43"/>
      <c r="DU14" s="43"/>
      <c r="DV14" s="43"/>
      <c r="DW14" s="43"/>
      <c r="DX14" s="43"/>
      <c r="DY14" s="43"/>
      <c r="DZ14" s="43"/>
      <c r="EA14" s="43"/>
      <c r="EB14" s="43"/>
      <c r="EC14" s="43"/>
      <c r="ED14" s="43"/>
      <c r="EE14" s="43"/>
      <c r="EF14" s="43"/>
      <c r="EG14" s="43"/>
      <c r="EH14" s="283"/>
      <c r="EI14" s="283"/>
      <c r="EJ14" s="283"/>
      <c r="EK14" s="283"/>
      <c r="EL14" s="283"/>
      <c r="EM14" s="283"/>
      <c r="EN14" s="284">
        <f t="shared" si="1"/>
        <v>0</v>
      </c>
      <c r="EO14" s="410">
        <v>10</v>
      </c>
      <c r="EP14" s="43"/>
      <c r="EQ14" s="43"/>
      <c r="ER14" s="43"/>
      <c r="ES14" s="43"/>
      <c r="ET14" s="43"/>
      <c r="EU14" s="43"/>
      <c r="EV14" s="43"/>
      <c r="EW14" s="43"/>
      <c r="EX14" s="43"/>
      <c r="EY14" s="43"/>
      <c r="EZ14" s="43"/>
      <c r="FA14" s="43"/>
      <c r="FB14" s="43"/>
      <c r="FC14" s="43"/>
      <c r="FD14" s="43"/>
      <c r="FE14" s="43"/>
      <c r="FF14" s="43"/>
      <c r="FG14" s="43"/>
      <c r="FH14" s="43"/>
      <c r="FI14" s="43"/>
      <c r="FJ14" s="43"/>
      <c r="FK14" s="43"/>
      <c r="FL14" s="43"/>
      <c r="FM14" s="43"/>
      <c r="FN14" s="43"/>
      <c r="FO14" s="43"/>
      <c r="FP14" s="43"/>
      <c r="FQ14" s="43"/>
      <c r="FR14" s="43"/>
      <c r="FS14" s="43"/>
      <c r="FT14" s="43"/>
      <c r="FU14" s="43"/>
      <c r="FV14" s="43"/>
      <c r="FW14" s="43"/>
      <c r="FX14" s="43"/>
      <c r="FY14" s="43"/>
      <c r="FZ14" s="43"/>
      <c r="GA14" s="43"/>
      <c r="GB14" s="43"/>
      <c r="GC14" s="43"/>
      <c r="GD14" s="43"/>
      <c r="GE14" s="43"/>
      <c r="GF14" s="43"/>
      <c r="GG14" s="43"/>
      <c r="GH14" s="43"/>
      <c r="GI14" s="43"/>
      <c r="GJ14" s="43"/>
      <c r="GK14" s="43"/>
      <c r="GL14" s="43"/>
      <c r="GM14" s="43"/>
      <c r="GN14" s="43"/>
      <c r="GO14" s="43"/>
      <c r="GP14" s="43"/>
      <c r="GQ14" s="43"/>
      <c r="GR14" s="43"/>
      <c r="GS14" s="43"/>
      <c r="GT14" s="43"/>
      <c r="GU14" s="43"/>
      <c r="GV14" s="43"/>
      <c r="GW14" s="43"/>
      <c r="GX14" s="43"/>
      <c r="GY14" s="43"/>
      <c r="GZ14" s="43"/>
      <c r="HA14" s="43"/>
      <c r="HB14" s="43"/>
      <c r="HC14" s="43"/>
      <c r="HD14" s="43"/>
      <c r="HE14" s="43"/>
      <c r="HF14" s="43"/>
      <c r="HG14" s="43"/>
      <c r="HH14" s="403">
        <f t="shared" si="2"/>
        <v>0</v>
      </c>
    </row>
    <row r="15" spans="1:216" ht="15.75" thickBot="1">
      <c r="A15" s="312">
        <v>11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194"/>
      <c r="AI15" s="194"/>
      <c r="AJ15" s="194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  <c r="BF15" s="43"/>
      <c r="BG15" s="43"/>
      <c r="BH15" s="43"/>
      <c r="BI15" s="43"/>
      <c r="BJ15" s="43"/>
      <c r="BK15" s="43"/>
      <c r="BL15" s="43"/>
      <c r="BM15" s="43"/>
      <c r="BN15" s="43"/>
      <c r="BO15" s="43"/>
      <c r="BP15" s="43"/>
      <c r="BQ15" s="194"/>
      <c r="BR15" s="194"/>
      <c r="BS15" s="194"/>
      <c r="BT15" s="279">
        <f t="shared" si="0"/>
        <v>0</v>
      </c>
      <c r="BU15" s="281">
        <v>11</v>
      </c>
      <c r="BV15" s="277"/>
      <c r="BW15" s="43"/>
      <c r="BX15" s="43"/>
      <c r="BY15" s="43"/>
      <c r="BZ15" s="43"/>
      <c r="CA15" s="43"/>
      <c r="CB15" s="43"/>
      <c r="CC15" s="43"/>
      <c r="CD15" s="43"/>
      <c r="CE15" s="43"/>
      <c r="CF15" s="43"/>
      <c r="CG15" s="43"/>
      <c r="CH15" s="43"/>
      <c r="CI15" s="43"/>
      <c r="CJ15" s="43"/>
      <c r="CK15" s="43"/>
      <c r="CL15" s="43"/>
      <c r="CM15" s="43"/>
      <c r="CN15" s="43"/>
      <c r="CO15" s="43"/>
      <c r="CP15" s="43"/>
      <c r="CQ15" s="43"/>
      <c r="CR15" s="43"/>
      <c r="CS15" s="43"/>
      <c r="CT15" s="43"/>
      <c r="CU15" s="43"/>
      <c r="CV15" s="43"/>
      <c r="CW15" s="43"/>
      <c r="CX15" s="43"/>
      <c r="CY15" s="283"/>
      <c r="CZ15" s="283"/>
      <c r="DA15" s="283"/>
      <c r="DB15" s="283"/>
      <c r="DC15" s="283"/>
      <c r="DD15" s="283"/>
      <c r="DE15" s="277"/>
      <c r="DF15" s="43"/>
      <c r="DG15" s="43"/>
      <c r="DH15" s="43"/>
      <c r="DI15" s="43"/>
      <c r="DJ15" s="43"/>
      <c r="DK15" s="43"/>
      <c r="DL15" s="43"/>
      <c r="DM15" s="43"/>
      <c r="DN15" s="43"/>
      <c r="DO15" s="43"/>
      <c r="DP15" s="43"/>
      <c r="DQ15" s="43"/>
      <c r="DR15" s="43"/>
      <c r="DS15" s="43"/>
      <c r="DT15" s="43"/>
      <c r="DU15" s="43"/>
      <c r="DV15" s="43"/>
      <c r="DW15" s="43"/>
      <c r="DX15" s="43"/>
      <c r="DY15" s="43"/>
      <c r="DZ15" s="43"/>
      <c r="EA15" s="43"/>
      <c r="EB15" s="43"/>
      <c r="EC15" s="43"/>
      <c r="ED15" s="43"/>
      <c r="EE15" s="43"/>
      <c r="EF15" s="43"/>
      <c r="EG15" s="43"/>
      <c r="EH15" s="283"/>
      <c r="EI15" s="283"/>
      <c r="EJ15" s="283"/>
      <c r="EK15" s="283"/>
      <c r="EL15" s="283"/>
      <c r="EM15" s="283"/>
      <c r="EN15" s="284">
        <f t="shared" si="1"/>
        <v>0</v>
      </c>
      <c r="EO15" s="410">
        <v>11</v>
      </c>
      <c r="EP15" s="43"/>
      <c r="EQ15" s="43"/>
      <c r="ER15" s="43"/>
      <c r="ES15" s="43"/>
      <c r="ET15" s="43"/>
      <c r="EU15" s="43"/>
      <c r="EV15" s="43"/>
      <c r="EW15" s="43"/>
      <c r="EX15" s="43"/>
      <c r="EY15" s="43"/>
      <c r="EZ15" s="43"/>
      <c r="FA15" s="43"/>
      <c r="FB15" s="43"/>
      <c r="FC15" s="43"/>
      <c r="FD15" s="43"/>
      <c r="FE15" s="43"/>
      <c r="FF15" s="43"/>
      <c r="FG15" s="43"/>
      <c r="FH15" s="43"/>
      <c r="FI15" s="43"/>
      <c r="FJ15" s="43"/>
      <c r="FK15" s="43"/>
      <c r="FL15" s="43"/>
      <c r="FM15" s="43"/>
      <c r="FN15" s="43"/>
      <c r="FO15" s="43"/>
      <c r="FP15" s="43"/>
      <c r="FQ15" s="43"/>
      <c r="FR15" s="43"/>
      <c r="FS15" s="43"/>
      <c r="FT15" s="43"/>
      <c r="FU15" s="43"/>
      <c r="FV15" s="43"/>
      <c r="FW15" s="43"/>
      <c r="FX15" s="43"/>
      <c r="FY15" s="43"/>
      <c r="FZ15" s="43"/>
      <c r="GA15" s="43"/>
      <c r="GB15" s="43"/>
      <c r="GC15" s="43"/>
      <c r="GD15" s="43"/>
      <c r="GE15" s="43"/>
      <c r="GF15" s="43"/>
      <c r="GG15" s="43"/>
      <c r="GH15" s="43"/>
      <c r="GI15" s="43"/>
      <c r="GJ15" s="43"/>
      <c r="GK15" s="43"/>
      <c r="GL15" s="43"/>
      <c r="GM15" s="43"/>
      <c r="GN15" s="43"/>
      <c r="GO15" s="43"/>
      <c r="GP15" s="43"/>
      <c r="GQ15" s="43"/>
      <c r="GR15" s="43"/>
      <c r="GS15" s="43"/>
      <c r="GT15" s="43"/>
      <c r="GU15" s="43"/>
      <c r="GV15" s="43"/>
      <c r="GW15" s="43"/>
      <c r="GX15" s="43"/>
      <c r="GY15" s="43"/>
      <c r="GZ15" s="43"/>
      <c r="HA15" s="43"/>
      <c r="HB15" s="43"/>
      <c r="HC15" s="43"/>
      <c r="HD15" s="43"/>
      <c r="HE15" s="43"/>
      <c r="HF15" s="43"/>
      <c r="HG15" s="43"/>
      <c r="HH15" s="403">
        <f t="shared" si="2"/>
        <v>0</v>
      </c>
    </row>
    <row r="16" spans="1:216" ht="15.75" thickBot="1">
      <c r="A16" s="312">
        <v>12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194"/>
      <c r="AI16" s="194"/>
      <c r="AJ16" s="194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  <c r="BF16" s="43"/>
      <c r="BG16" s="43"/>
      <c r="BH16" s="43"/>
      <c r="BI16" s="43"/>
      <c r="BJ16" s="43"/>
      <c r="BK16" s="43"/>
      <c r="BL16" s="43"/>
      <c r="BM16" s="43"/>
      <c r="BN16" s="43"/>
      <c r="BO16" s="43"/>
      <c r="BP16" s="43"/>
      <c r="BQ16" s="194"/>
      <c r="BR16" s="194"/>
      <c r="BS16" s="194"/>
      <c r="BT16" s="279">
        <f t="shared" si="0"/>
        <v>0</v>
      </c>
      <c r="BU16" s="281">
        <v>12</v>
      </c>
      <c r="BV16" s="43"/>
      <c r="BW16" s="43"/>
      <c r="BX16" s="43"/>
      <c r="BY16" s="43"/>
      <c r="BZ16" s="43"/>
      <c r="CA16" s="43"/>
      <c r="CB16" s="43"/>
      <c r="CC16" s="43"/>
      <c r="CD16" s="43"/>
      <c r="CE16" s="43"/>
      <c r="CF16" s="43"/>
      <c r="CG16" s="43"/>
      <c r="CH16" s="43"/>
      <c r="CI16" s="43"/>
      <c r="CJ16" s="43"/>
      <c r="CK16" s="43"/>
      <c r="CL16" s="43"/>
      <c r="CM16" s="43"/>
      <c r="CN16" s="43"/>
      <c r="CO16" s="43"/>
      <c r="CP16" s="43"/>
      <c r="CQ16" s="43"/>
      <c r="CR16" s="43"/>
      <c r="CS16" s="43"/>
      <c r="CT16" s="43"/>
      <c r="CU16" s="43"/>
      <c r="CV16" s="43"/>
      <c r="CW16" s="43"/>
      <c r="CX16" s="43"/>
      <c r="CY16" s="283"/>
      <c r="CZ16" s="283"/>
      <c r="DA16" s="283"/>
      <c r="DB16" s="283"/>
      <c r="DC16" s="283"/>
      <c r="DD16" s="283"/>
      <c r="DE16" s="43"/>
      <c r="DF16" s="43"/>
      <c r="DG16" s="43"/>
      <c r="DH16" s="43"/>
      <c r="DI16" s="43"/>
      <c r="DJ16" s="43"/>
      <c r="DK16" s="43"/>
      <c r="DL16" s="43"/>
      <c r="DM16" s="43"/>
      <c r="DN16" s="43"/>
      <c r="DO16" s="43"/>
      <c r="DP16" s="43"/>
      <c r="DQ16" s="43"/>
      <c r="DR16" s="43"/>
      <c r="DS16" s="43"/>
      <c r="DT16" s="43"/>
      <c r="DU16" s="43"/>
      <c r="DV16" s="43"/>
      <c r="DW16" s="43"/>
      <c r="DX16" s="43"/>
      <c r="DY16" s="43"/>
      <c r="DZ16" s="43"/>
      <c r="EA16" s="43"/>
      <c r="EB16" s="43"/>
      <c r="EC16" s="43"/>
      <c r="ED16" s="43"/>
      <c r="EE16" s="43"/>
      <c r="EF16" s="43"/>
      <c r="EG16" s="43"/>
      <c r="EH16" s="283"/>
      <c r="EI16" s="283"/>
      <c r="EJ16" s="283"/>
      <c r="EK16" s="283"/>
      <c r="EL16" s="283"/>
      <c r="EM16" s="283"/>
      <c r="EN16" s="284">
        <f t="shared" si="1"/>
        <v>0</v>
      </c>
      <c r="EO16" s="410">
        <v>12</v>
      </c>
      <c r="EP16" s="43"/>
      <c r="EQ16" s="43"/>
      <c r="ER16" s="43"/>
      <c r="ES16" s="43"/>
      <c r="ET16" s="43"/>
      <c r="EU16" s="43"/>
      <c r="EV16" s="43"/>
      <c r="EW16" s="43"/>
      <c r="EX16" s="43"/>
      <c r="EY16" s="43"/>
      <c r="EZ16" s="43"/>
      <c r="FA16" s="43"/>
      <c r="FB16" s="43"/>
      <c r="FC16" s="43"/>
      <c r="FD16" s="43"/>
      <c r="FE16" s="43"/>
      <c r="FF16" s="43"/>
      <c r="FG16" s="43"/>
      <c r="FH16" s="43"/>
      <c r="FI16" s="43"/>
      <c r="FJ16" s="43"/>
      <c r="FK16" s="43"/>
      <c r="FL16" s="43"/>
      <c r="FM16" s="43"/>
      <c r="FN16" s="43"/>
      <c r="FO16" s="43"/>
      <c r="FP16" s="43"/>
      <c r="FQ16" s="43"/>
      <c r="FR16" s="43"/>
      <c r="FS16" s="43"/>
      <c r="FT16" s="43"/>
      <c r="FU16" s="43"/>
      <c r="FV16" s="43"/>
      <c r="FW16" s="43"/>
      <c r="FX16" s="43"/>
      <c r="FY16" s="43"/>
      <c r="FZ16" s="43"/>
      <c r="GA16" s="43"/>
      <c r="GB16" s="43"/>
      <c r="GC16" s="43"/>
      <c r="GD16" s="43"/>
      <c r="GE16" s="43"/>
      <c r="GF16" s="43"/>
      <c r="GG16" s="43"/>
      <c r="GH16" s="43"/>
      <c r="GI16" s="43"/>
      <c r="GJ16" s="43"/>
      <c r="GK16" s="43"/>
      <c r="GL16" s="43"/>
      <c r="GM16" s="43"/>
      <c r="GN16" s="43"/>
      <c r="GO16" s="43"/>
      <c r="GP16" s="43"/>
      <c r="GQ16" s="43"/>
      <c r="GR16" s="43"/>
      <c r="GS16" s="43"/>
      <c r="GT16" s="43"/>
      <c r="GU16" s="43"/>
      <c r="GV16" s="43"/>
      <c r="GW16" s="43"/>
      <c r="GX16" s="43"/>
      <c r="GY16" s="43"/>
      <c r="GZ16" s="43"/>
      <c r="HA16" s="43"/>
      <c r="HB16" s="43"/>
      <c r="HC16" s="43"/>
      <c r="HD16" s="43"/>
      <c r="HE16" s="43"/>
      <c r="HF16" s="43"/>
      <c r="HG16" s="43"/>
      <c r="HH16" s="403">
        <f t="shared" si="2"/>
        <v>0</v>
      </c>
    </row>
    <row r="17" spans="1:216" ht="15.75" thickBot="1">
      <c r="A17" s="312">
        <v>13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194"/>
      <c r="AI17" s="194"/>
      <c r="AJ17" s="194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  <c r="BF17" s="43"/>
      <c r="BG17" s="43"/>
      <c r="BH17" s="43"/>
      <c r="BI17" s="43"/>
      <c r="BJ17" s="43"/>
      <c r="BK17" s="43"/>
      <c r="BL17" s="43"/>
      <c r="BM17" s="43"/>
      <c r="BN17" s="43"/>
      <c r="BO17" s="43"/>
      <c r="BP17" s="43"/>
      <c r="BQ17" s="194"/>
      <c r="BR17" s="194"/>
      <c r="BS17" s="194"/>
      <c r="BT17" s="279">
        <f t="shared" si="0"/>
        <v>0</v>
      </c>
      <c r="BU17" s="280">
        <v>13</v>
      </c>
      <c r="BV17" s="277"/>
      <c r="BW17" s="43"/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3"/>
      <c r="CP17" s="43"/>
      <c r="CQ17" s="43"/>
      <c r="CR17" s="43"/>
      <c r="CS17" s="43"/>
      <c r="CT17" s="43"/>
      <c r="CU17" s="43"/>
      <c r="CV17" s="43"/>
      <c r="CW17" s="43"/>
      <c r="CX17" s="43"/>
      <c r="CY17" s="283"/>
      <c r="CZ17" s="283"/>
      <c r="DA17" s="283"/>
      <c r="DB17" s="283"/>
      <c r="DC17" s="283"/>
      <c r="DD17" s="283"/>
      <c r="DE17" s="277"/>
      <c r="DF17" s="43"/>
      <c r="DG17" s="43"/>
      <c r="DH17" s="43"/>
      <c r="DI17" s="43"/>
      <c r="DJ17" s="43"/>
      <c r="DK17" s="43"/>
      <c r="DL17" s="43"/>
      <c r="DM17" s="43"/>
      <c r="DN17" s="43"/>
      <c r="DO17" s="43"/>
      <c r="DP17" s="43"/>
      <c r="DQ17" s="43"/>
      <c r="DR17" s="43"/>
      <c r="DS17" s="43"/>
      <c r="DT17" s="43"/>
      <c r="DU17" s="43"/>
      <c r="DV17" s="43"/>
      <c r="DW17" s="43"/>
      <c r="DX17" s="43"/>
      <c r="DY17" s="43"/>
      <c r="DZ17" s="43"/>
      <c r="EA17" s="43"/>
      <c r="EB17" s="43"/>
      <c r="EC17" s="43"/>
      <c r="ED17" s="43"/>
      <c r="EE17" s="43"/>
      <c r="EF17" s="43"/>
      <c r="EG17" s="43"/>
      <c r="EH17" s="283"/>
      <c r="EI17" s="283"/>
      <c r="EJ17" s="283"/>
      <c r="EK17" s="283"/>
      <c r="EL17" s="283"/>
      <c r="EM17" s="283"/>
      <c r="EN17" s="284">
        <f t="shared" si="1"/>
        <v>0</v>
      </c>
      <c r="EO17" s="410">
        <v>13</v>
      </c>
      <c r="EP17" s="43"/>
      <c r="EQ17" s="43"/>
      <c r="ER17" s="43"/>
      <c r="ES17" s="43"/>
      <c r="ET17" s="43"/>
      <c r="EU17" s="43"/>
      <c r="EV17" s="43"/>
      <c r="EW17" s="43"/>
      <c r="EX17" s="43"/>
      <c r="EY17" s="43"/>
      <c r="EZ17" s="43"/>
      <c r="FA17" s="43"/>
      <c r="FB17" s="43"/>
      <c r="FC17" s="43"/>
      <c r="FD17" s="43"/>
      <c r="FE17" s="43"/>
      <c r="FF17" s="43"/>
      <c r="FG17" s="43"/>
      <c r="FH17" s="43"/>
      <c r="FI17" s="43"/>
      <c r="FJ17" s="43"/>
      <c r="FK17" s="43"/>
      <c r="FL17" s="43"/>
      <c r="FM17" s="43"/>
      <c r="FN17" s="43"/>
      <c r="FO17" s="43"/>
      <c r="FP17" s="43"/>
      <c r="FQ17" s="43"/>
      <c r="FR17" s="43"/>
      <c r="FS17" s="43"/>
      <c r="FT17" s="43"/>
      <c r="FU17" s="43"/>
      <c r="FV17" s="43"/>
      <c r="FW17" s="43"/>
      <c r="FX17" s="43"/>
      <c r="FY17" s="43"/>
      <c r="FZ17" s="43"/>
      <c r="GA17" s="43"/>
      <c r="GB17" s="43"/>
      <c r="GC17" s="43"/>
      <c r="GD17" s="43"/>
      <c r="GE17" s="43"/>
      <c r="GF17" s="43"/>
      <c r="GG17" s="43"/>
      <c r="GH17" s="43"/>
      <c r="GI17" s="43"/>
      <c r="GJ17" s="43"/>
      <c r="GK17" s="43"/>
      <c r="GL17" s="43"/>
      <c r="GM17" s="43"/>
      <c r="GN17" s="43"/>
      <c r="GO17" s="43"/>
      <c r="GP17" s="43"/>
      <c r="GQ17" s="43"/>
      <c r="GR17" s="43"/>
      <c r="GS17" s="43"/>
      <c r="GT17" s="43"/>
      <c r="GU17" s="43"/>
      <c r="GV17" s="43"/>
      <c r="GW17" s="43"/>
      <c r="GX17" s="43"/>
      <c r="GY17" s="43"/>
      <c r="GZ17" s="43"/>
      <c r="HA17" s="43"/>
      <c r="HB17" s="43"/>
      <c r="HC17" s="43"/>
      <c r="HD17" s="43"/>
      <c r="HE17" s="43"/>
      <c r="HF17" s="43"/>
      <c r="HG17" s="43"/>
      <c r="HH17" s="403">
        <f t="shared" si="2"/>
        <v>0</v>
      </c>
    </row>
    <row r="18" spans="1:216" s="1" customFormat="1" ht="15.75" thickBot="1">
      <c r="A18" s="312">
        <v>14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194"/>
      <c r="AI18" s="194"/>
      <c r="AJ18" s="194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  <c r="BF18" s="43"/>
      <c r="BG18" s="43"/>
      <c r="BH18" s="43"/>
      <c r="BI18" s="43"/>
      <c r="BJ18" s="43"/>
      <c r="BK18" s="43"/>
      <c r="BL18" s="43"/>
      <c r="BM18" s="43"/>
      <c r="BN18" s="43"/>
      <c r="BO18" s="43"/>
      <c r="BP18" s="43"/>
      <c r="BQ18" s="194"/>
      <c r="BR18" s="194"/>
      <c r="BS18" s="194"/>
      <c r="BT18" s="279">
        <f t="shared" si="0"/>
        <v>0</v>
      </c>
      <c r="BU18" s="281">
        <v>14</v>
      </c>
      <c r="BV18" s="277"/>
      <c r="BW18" s="43"/>
      <c r="BX18" s="43"/>
      <c r="BY18" s="43"/>
      <c r="BZ18" s="43"/>
      <c r="CA18" s="43"/>
      <c r="CB18" s="43"/>
      <c r="CC18" s="43"/>
      <c r="CD18" s="43"/>
      <c r="CE18" s="43"/>
      <c r="CF18" s="43"/>
      <c r="CG18" s="43"/>
      <c r="CH18" s="43"/>
      <c r="CI18" s="43"/>
      <c r="CJ18" s="43"/>
      <c r="CK18" s="43"/>
      <c r="CL18" s="43"/>
      <c r="CM18" s="43"/>
      <c r="CN18" s="43"/>
      <c r="CO18" s="43"/>
      <c r="CP18" s="43"/>
      <c r="CQ18" s="43"/>
      <c r="CR18" s="43"/>
      <c r="CS18" s="43"/>
      <c r="CT18" s="43"/>
      <c r="CU18" s="43"/>
      <c r="CV18" s="43"/>
      <c r="CW18" s="43"/>
      <c r="CX18" s="43"/>
      <c r="CY18" s="283"/>
      <c r="CZ18" s="283"/>
      <c r="DA18" s="283"/>
      <c r="DB18" s="283"/>
      <c r="DC18" s="283"/>
      <c r="DD18" s="283"/>
      <c r="DE18" s="277"/>
      <c r="DF18" s="43"/>
      <c r="DG18" s="43"/>
      <c r="DH18" s="43"/>
      <c r="DI18" s="43"/>
      <c r="DJ18" s="43"/>
      <c r="DK18" s="43"/>
      <c r="DL18" s="43"/>
      <c r="DM18" s="43"/>
      <c r="DN18" s="43"/>
      <c r="DO18" s="43"/>
      <c r="DP18" s="43"/>
      <c r="DQ18" s="43"/>
      <c r="DR18" s="43"/>
      <c r="DS18" s="43"/>
      <c r="DT18" s="43"/>
      <c r="DU18" s="43"/>
      <c r="DV18" s="43"/>
      <c r="DW18" s="43"/>
      <c r="DX18" s="43"/>
      <c r="DY18" s="43"/>
      <c r="DZ18" s="43"/>
      <c r="EA18" s="43"/>
      <c r="EB18" s="43"/>
      <c r="EC18" s="43"/>
      <c r="ED18" s="43"/>
      <c r="EE18" s="43"/>
      <c r="EF18" s="43"/>
      <c r="EG18" s="43"/>
      <c r="EH18" s="283"/>
      <c r="EI18" s="283"/>
      <c r="EJ18" s="283"/>
      <c r="EK18" s="283"/>
      <c r="EL18" s="283"/>
      <c r="EM18" s="283"/>
      <c r="EN18" s="284">
        <f t="shared" si="1"/>
        <v>0</v>
      </c>
      <c r="EO18" s="410">
        <v>14</v>
      </c>
      <c r="EP18" s="43"/>
      <c r="EQ18" s="43"/>
      <c r="ER18" s="43"/>
      <c r="ES18" s="43"/>
      <c r="ET18" s="43"/>
      <c r="EU18" s="43"/>
      <c r="EV18" s="43"/>
      <c r="EW18" s="43"/>
      <c r="EX18" s="43"/>
      <c r="EY18" s="43"/>
      <c r="EZ18" s="43"/>
      <c r="FA18" s="43"/>
      <c r="FB18" s="43"/>
      <c r="FC18" s="43"/>
      <c r="FD18" s="43"/>
      <c r="FE18" s="43"/>
      <c r="FF18" s="43"/>
      <c r="FG18" s="43"/>
      <c r="FH18" s="43"/>
      <c r="FI18" s="43"/>
      <c r="FJ18" s="43"/>
      <c r="FK18" s="43"/>
      <c r="FL18" s="43"/>
      <c r="FM18" s="43"/>
      <c r="FN18" s="43"/>
      <c r="FO18" s="43"/>
      <c r="FP18" s="43"/>
      <c r="FQ18" s="43"/>
      <c r="FR18" s="43"/>
      <c r="FS18" s="43"/>
      <c r="FT18" s="43"/>
      <c r="FU18" s="43"/>
      <c r="FV18" s="43"/>
      <c r="FW18" s="43"/>
      <c r="FX18" s="43"/>
      <c r="FY18" s="43"/>
      <c r="FZ18" s="43"/>
      <c r="GA18" s="43"/>
      <c r="GB18" s="43"/>
      <c r="GC18" s="43"/>
      <c r="GD18" s="43"/>
      <c r="GE18" s="43"/>
      <c r="GF18" s="43"/>
      <c r="GG18" s="43"/>
      <c r="GH18" s="43"/>
      <c r="GI18" s="43"/>
      <c r="GJ18" s="43"/>
      <c r="GK18" s="43"/>
      <c r="GL18" s="43"/>
      <c r="GM18" s="43"/>
      <c r="GN18" s="43"/>
      <c r="GO18" s="43"/>
      <c r="GP18" s="43"/>
      <c r="GQ18" s="43"/>
      <c r="GR18" s="43"/>
      <c r="GS18" s="43"/>
      <c r="GT18" s="43"/>
      <c r="GU18" s="43"/>
      <c r="GV18" s="43"/>
      <c r="GW18" s="43"/>
      <c r="GX18" s="43"/>
      <c r="GY18" s="43"/>
      <c r="GZ18" s="43"/>
      <c r="HA18" s="43"/>
      <c r="HB18" s="43"/>
      <c r="HC18" s="43"/>
      <c r="HD18" s="43"/>
      <c r="HE18" s="43"/>
      <c r="HF18" s="43"/>
      <c r="HG18" s="43"/>
      <c r="HH18" s="403">
        <f t="shared" si="2"/>
        <v>0</v>
      </c>
    </row>
    <row r="19" spans="1:216" ht="15.75" thickBot="1">
      <c r="A19" s="312">
        <v>15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194"/>
      <c r="AI19" s="194"/>
      <c r="AJ19" s="194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  <c r="BF19" s="43"/>
      <c r="BG19" s="43"/>
      <c r="BH19" s="43"/>
      <c r="BI19" s="43"/>
      <c r="BJ19" s="43"/>
      <c r="BK19" s="43"/>
      <c r="BL19" s="43"/>
      <c r="BM19" s="43"/>
      <c r="BN19" s="43"/>
      <c r="BO19" s="43"/>
      <c r="BP19" s="43"/>
      <c r="BQ19" s="194"/>
      <c r="BR19" s="194"/>
      <c r="BS19" s="194"/>
      <c r="BT19" s="279">
        <f t="shared" si="0"/>
        <v>0</v>
      </c>
      <c r="BU19" s="281">
        <v>15</v>
      </c>
      <c r="BV19" s="277"/>
      <c r="BW19" s="43"/>
      <c r="BX19" s="43"/>
      <c r="BY19" s="43"/>
      <c r="BZ19" s="43"/>
      <c r="CA19" s="43"/>
      <c r="CB19" s="43"/>
      <c r="CC19" s="43"/>
      <c r="CD19" s="43"/>
      <c r="CE19" s="43"/>
      <c r="CF19" s="43"/>
      <c r="CG19" s="43"/>
      <c r="CH19" s="43"/>
      <c r="CI19" s="43"/>
      <c r="CJ19" s="43"/>
      <c r="CK19" s="43"/>
      <c r="CL19" s="43"/>
      <c r="CM19" s="43"/>
      <c r="CN19" s="43"/>
      <c r="CO19" s="43"/>
      <c r="CP19" s="43"/>
      <c r="CQ19" s="43"/>
      <c r="CR19" s="43"/>
      <c r="CS19" s="43"/>
      <c r="CT19" s="43"/>
      <c r="CU19" s="43"/>
      <c r="CV19" s="43"/>
      <c r="CW19" s="43"/>
      <c r="CX19" s="43"/>
      <c r="CY19" s="283"/>
      <c r="CZ19" s="283"/>
      <c r="DA19" s="283"/>
      <c r="DB19" s="283"/>
      <c r="DC19" s="283"/>
      <c r="DD19" s="283"/>
      <c r="DE19" s="277"/>
      <c r="DF19" s="43"/>
      <c r="DG19" s="43"/>
      <c r="DH19" s="43"/>
      <c r="DI19" s="43"/>
      <c r="DJ19" s="43"/>
      <c r="DK19" s="43"/>
      <c r="DL19" s="43"/>
      <c r="DM19" s="43"/>
      <c r="DN19" s="43"/>
      <c r="DO19" s="43"/>
      <c r="DP19" s="43"/>
      <c r="DQ19" s="43"/>
      <c r="DR19" s="43"/>
      <c r="DS19" s="43"/>
      <c r="DT19" s="43"/>
      <c r="DU19" s="43"/>
      <c r="DV19" s="43"/>
      <c r="DW19" s="43"/>
      <c r="DX19" s="43"/>
      <c r="DY19" s="43"/>
      <c r="DZ19" s="43"/>
      <c r="EA19" s="43"/>
      <c r="EB19" s="43"/>
      <c r="EC19" s="43"/>
      <c r="ED19" s="43"/>
      <c r="EE19" s="43"/>
      <c r="EF19" s="43"/>
      <c r="EG19" s="43"/>
      <c r="EH19" s="283"/>
      <c r="EI19" s="283"/>
      <c r="EJ19" s="283"/>
      <c r="EK19" s="283"/>
      <c r="EL19" s="283"/>
      <c r="EM19" s="283"/>
      <c r="EN19" s="284">
        <f t="shared" si="1"/>
        <v>0</v>
      </c>
      <c r="EO19" s="410">
        <v>15</v>
      </c>
      <c r="EP19" s="43"/>
      <c r="EQ19" s="43"/>
      <c r="ER19" s="43"/>
      <c r="ES19" s="43"/>
      <c r="ET19" s="43"/>
      <c r="EU19" s="43"/>
      <c r="EV19" s="43"/>
      <c r="EW19" s="43"/>
      <c r="EX19" s="43"/>
      <c r="EY19" s="43"/>
      <c r="EZ19" s="43"/>
      <c r="FA19" s="43"/>
      <c r="FB19" s="43"/>
      <c r="FC19" s="43"/>
      <c r="FD19" s="43"/>
      <c r="FE19" s="43"/>
      <c r="FF19" s="43"/>
      <c r="FG19" s="43"/>
      <c r="FH19" s="43"/>
      <c r="FI19" s="43"/>
      <c r="FJ19" s="43"/>
      <c r="FK19" s="43"/>
      <c r="FL19" s="43"/>
      <c r="FM19" s="43"/>
      <c r="FN19" s="43"/>
      <c r="FO19" s="43"/>
      <c r="FP19" s="43"/>
      <c r="FQ19" s="43"/>
      <c r="FR19" s="43"/>
      <c r="FS19" s="43"/>
      <c r="FT19" s="43"/>
      <c r="FU19" s="43"/>
      <c r="FV19" s="43"/>
      <c r="FW19" s="43"/>
      <c r="FX19" s="43"/>
      <c r="FY19" s="43"/>
      <c r="FZ19" s="43"/>
      <c r="GA19" s="43"/>
      <c r="GB19" s="43"/>
      <c r="GC19" s="43"/>
      <c r="GD19" s="43"/>
      <c r="GE19" s="43"/>
      <c r="GF19" s="43"/>
      <c r="GG19" s="43"/>
      <c r="GH19" s="43"/>
      <c r="GI19" s="43"/>
      <c r="GJ19" s="43"/>
      <c r="GK19" s="43"/>
      <c r="GL19" s="43"/>
      <c r="GM19" s="43"/>
      <c r="GN19" s="43"/>
      <c r="GO19" s="43"/>
      <c r="GP19" s="43"/>
      <c r="GQ19" s="43"/>
      <c r="GR19" s="43"/>
      <c r="GS19" s="43"/>
      <c r="GT19" s="43"/>
      <c r="GU19" s="43"/>
      <c r="GV19" s="43"/>
      <c r="GW19" s="43"/>
      <c r="GX19" s="43"/>
      <c r="GY19" s="43"/>
      <c r="GZ19" s="43"/>
      <c r="HA19" s="43"/>
      <c r="HB19" s="43"/>
      <c r="HC19" s="43"/>
      <c r="HD19" s="43"/>
      <c r="HE19" s="43"/>
      <c r="HF19" s="43"/>
      <c r="HG19" s="43"/>
      <c r="HH19" s="403">
        <f t="shared" si="2"/>
        <v>0</v>
      </c>
    </row>
    <row r="20" spans="1:216" ht="15.75" thickBot="1">
      <c r="A20" s="312">
        <v>16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194"/>
      <c r="AI20" s="194"/>
      <c r="AJ20" s="194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  <c r="BF20" s="43"/>
      <c r="BG20" s="43"/>
      <c r="BH20" s="43"/>
      <c r="BI20" s="43"/>
      <c r="BJ20" s="43"/>
      <c r="BK20" s="43"/>
      <c r="BL20" s="43"/>
      <c r="BM20" s="43"/>
      <c r="BN20" s="43"/>
      <c r="BO20" s="43"/>
      <c r="BP20" s="43"/>
      <c r="BQ20" s="194"/>
      <c r="BR20" s="194"/>
      <c r="BS20" s="194"/>
      <c r="BT20" s="279">
        <f t="shared" si="0"/>
        <v>0</v>
      </c>
      <c r="BU20" s="280">
        <v>16</v>
      </c>
      <c r="BV20" s="277"/>
      <c r="BW20" s="43"/>
      <c r="BX20" s="43"/>
      <c r="BY20" s="43"/>
      <c r="BZ20" s="43"/>
      <c r="CA20" s="43"/>
      <c r="CB20" s="43"/>
      <c r="CC20" s="43"/>
      <c r="CD20" s="43"/>
      <c r="CE20" s="43"/>
      <c r="CF20" s="43"/>
      <c r="CG20" s="43"/>
      <c r="CH20" s="43"/>
      <c r="CI20" s="43"/>
      <c r="CJ20" s="43"/>
      <c r="CK20" s="43"/>
      <c r="CL20" s="43"/>
      <c r="CM20" s="43"/>
      <c r="CN20" s="43"/>
      <c r="CO20" s="43"/>
      <c r="CP20" s="43"/>
      <c r="CQ20" s="43"/>
      <c r="CR20" s="43"/>
      <c r="CS20" s="43"/>
      <c r="CT20" s="43"/>
      <c r="CU20" s="43"/>
      <c r="CV20" s="43"/>
      <c r="CW20" s="43"/>
      <c r="CX20" s="43"/>
      <c r="CY20" s="283"/>
      <c r="CZ20" s="283"/>
      <c r="DA20" s="283"/>
      <c r="DB20" s="283"/>
      <c r="DC20" s="283"/>
      <c r="DD20" s="283"/>
      <c r="DE20" s="277"/>
      <c r="DF20" s="43"/>
      <c r="DG20" s="43"/>
      <c r="DH20" s="43"/>
      <c r="DI20" s="43"/>
      <c r="DJ20" s="43"/>
      <c r="DK20" s="43"/>
      <c r="DL20" s="43"/>
      <c r="DM20" s="43"/>
      <c r="DN20" s="43"/>
      <c r="DO20" s="43"/>
      <c r="DP20" s="43"/>
      <c r="DQ20" s="43"/>
      <c r="DR20" s="43"/>
      <c r="DS20" s="43"/>
      <c r="DT20" s="43"/>
      <c r="DU20" s="43"/>
      <c r="DV20" s="43"/>
      <c r="DW20" s="43"/>
      <c r="DX20" s="43"/>
      <c r="DY20" s="43"/>
      <c r="DZ20" s="43"/>
      <c r="EA20" s="43"/>
      <c r="EB20" s="43"/>
      <c r="EC20" s="43"/>
      <c r="ED20" s="43"/>
      <c r="EE20" s="43"/>
      <c r="EF20" s="43"/>
      <c r="EG20" s="43"/>
      <c r="EH20" s="283"/>
      <c r="EI20" s="283"/>
      <c r="EJ20" s="283"/>
      <c r="EK20" s="283"/>
      <c r="EL20" s="283"/>
      <c r="EM20" s="283"/>
      <c r="EN20" s="284">
        <f t="shared" si="1"/>
        <v>0</v>
      </c>
      <c r="EO20" s="410">
        <v>16</v>
      </c>
      <c r="EP20" s="43"/>
      <c r="EQ20" s="43"/>
      <c r="ER20" s="43"/>
      <c r="ES20" s="43"/>
      <c r="ET20" s="43"/>
      <c r="EU20" s="43"/>
      <c r="EV20" s="43"/>
      <c r="EW20" s="43"/>
      <c r="EX20" s="43"/>
      <c r="EY20" s="43"/>
      <c r="EZ20" s="43"/>
      <c r="FA20" s="43"/>
      <c r="FB20" s="43"/>
      <c r="FC20" s="43"/>
      <c r="FD20" s="43"/>
      <c r="FE20" s="43"/>
      <c r="FF20" s="43"/>
      <c r="FG20" s="43"/>
      <c r="FH20" s="43"/>
      <c r="FI20" s="43"/>
      <c r="FJ20" s="43"/>
      <c r="FK20" s="43"/>
      <c r="FL20" s="43"/>
      <c r="FM20" s="43"/>
      <c r="FN20" s="43"/>
      <c r="FO20" s="43"/>
      <c r="FP20" s="43"/>
      <c r="FQ20" s="43"/>
      <c r="FR20" s="43"/>
      <c r="FS20" s="43"/>
      <c r="FT20" s="43"/>
      <c r="FU20" s="43"/>
      <c r="FV20" s="43"/>
      <c r="FW20" s="43"/>
      <c r="FX20" s="43"/>
      <c r="FY20" s="43"/>
      <c r="FZ20" s="43"/>
      <c r="GA20" s="43"/>
      <c r="GB20" s="43"/>
      <c r="GC20" s="43"/>
      <c r="GD20" s="43"/>
      <c r="GE20" s="43"/>
      <c r="GF20" s="43"/>
      <c r="GG20" s="43"/>
      <c r="GH20" s="43"/>
      <c r="GI20" s="43"/>
      <c r="GJ20" s="43"/>
      <c r="GK20" s="43"/>
      <c r="GL20" s="43"/>
      <c r="GM20" s="43"/>
      <c r="GN20" s="43"/>
      <c r="GO20" s="43"/>
      <c r="GP20" s="43"/>
      <c r="GQ20" s="43"/>
      <c r="GR20" s="43"/>
      <c r="GS20" s="43"/>
      <c r="GT20" s="43"/>
      <c r="GU20" s="43"/>
      <c r="GV20" s="43"/>
      <c r="GW20" s="43"/>
      <c r="GX20" s="43"/>
      <c r="GY20" s="43"/>
      <c r="GZ20" s="43"/>
      <c r="HA20" s="43"/>
      <c r="HB20" s="43"/>
      <c r="HC20" s="43"/>
      <c r="HD20" s="43"/>
      <c r="HE20" s="43"/>
      <c r="HF20" s="43"/>
      <c r="HG20" s="43"/>
      <c r="HH20" s="403">
        <f t="shared" si="2"/>
        <v>0</v>
      </c>
    </row>
    <row r="21" spans="1:216" ht="15.75" thickBot="1">
      <c r="A21" s="312">
        <v>17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194"/>
      <c r="AI21" s="194"/>
      <c r="AJ21" s="194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  <c r="BF21" s="43"/>
      <c r="BG21" s="43"/>
      <c r="BH21" s="43"/>
      <c r="BI21" s="43"/>
      <c r="BJ21" s="43"/>
      <c r="BK21" s="43"/>
      <c r="BL21" s="43"/>
      <c r="BM21" s="43"/>
      <c r="BN21" s="43"/>
      <c r="BO21" s="43"/>
      <c r="BP21" s="43"/>
      <c r="BQ21" s="194"/>
      <c r="BR21" s="194"/>
      <c r="BS21" s="194"/>
      <c r="BT21" s="279">
        <f t="shared" si="0"/>
        <v>0</v>
      </c>
      <c r="BU21" s="281">
        <v>17</v>
      </c>
      <c r="BV21" s="277"/>
      <c r="BW21" s="43"/>
      <c r="BX21" s="43"/>
      <c r="BY21" s="43"/>
      <c r="BZ21" s="43"/>
      <c r="CA21" s="43"/>
      <c r="CB21" s="43"/>
      <c r="CC21" s="43"/>
      <c r="CD21" s="43"/>
      <c r="CE21" s="43"/>
      <c r="CF21" s="43"/>
      <c r="CG21" s="43"/>
      <c r="CH21" s="43"/>
      <c r="CI21" s="43"/>
      <c r="CJ21" s="43"/>
      <c r="CK21" s="43"/>
      <c r="CL21" s="43"/>
      <c r="CM21" s="43"/>
      <c r="CN21" s="43"/>
      <c r="CO21" s="43"/>
      <c r="CP21" s="43"/>
      <c r="CQ21" s="43"/>
      <c r="CR21" s="43"/>
      <c r="CS21" s="43"/>
      <c r="CT21" s="43"/>
      <c r="CU21" s="43"/>
      <c r="CV21" s="43"/>
      <c r="CW21" s="43"/>
      <c r="CX21" s="43"/>
      <c r="CY21" s="283"/>
      <c r="CZ21" s="283"/>
      <c r="DA21" s="283"/>
      <c r="DB21" s="283"/>
      <c r="DC21" s="283"/>
      <c r="DD21" s="283"/>
      <c r="DE21" s="277"/>
      <c r="DF21" s="43"/>
      <c r="DG21" s="43"/>
      <c r="DH21" s="43"/>
      <c r="DI21" s="43"/>
      <c r="DJ21" s="43"/>
      <c r="DK21" s="43"/>
      <c r="DL21" s="43"/>
      <c r="DM21" s="43"/>
      <c r="DN21" s="43"/>
      <c r="DO21" s="43"/>
      <c r="DP21" s="43"/>
      <c r="DQ21" s="43"/>
      <c r="DR21" s="43"/>
      <c r="DS21" s="43"/>
      <c r="DT21" s="43"/>
      <c r="DU21" s="43"/>
      <c r="DV21" s="43"/>
      <c r="DW21" s="43"/>
      <c r="DX21" s="43"/>
      <c r="DY21" s="43"/>
      <c r="DZ21" s="43"/>
      <c r="EA21" s="43"/>
      <c r="EB21" s="43"/>
      <c r="EC21" s="43"/>
      <c r="ED21" s="43"/>
      <c r="EE21" s="43"/>
      <c r="EF21" s="43"/>
      <c r="EG21" s="43"/>
      <c r="EH21" s="283"/>
      <c r="EI21" s="283"/>
      <c r="EJ21" s="283"/>
      <c r="EK21" s="283"/>
      <c r="EL21" s="283"/>
      <c r="EM21" s="283"/>
      <c r="EN21" s="284">
        <f t="shared" si="1"/>
        <v>0</v>
      </c>
      <c r="EO21" s="410">
        <v>17</v>
      </c>
      <c r="EP21" s="43"/>
      <c r="EQ21" s="43"/>
      <c r="ER21" s="43"/>
      <c r="ES21" s="43"/>
      <c r="ET21" s="43"/>
      <c r="EU21" s="43"/>
      <c r="EV21" s="43"/>
      <c r="EW21" s="43"/>
      <c r="EX21" s="43"/>
      <c r="EY21" s="43"/>
      <c r="EZ21" s="43"/>
      <c r="FA21" s="43"/>
      <c r="FB21" s="43"/>
      <c r="FC21" s="43"/>
      <c r="FD21" s="43"/>
      <c r="FE21" s="43"/>
      <c r="FF21" s="43"/>
      <c r="FG21" s="43"/>
      <c r="FH21" s="43"/>
      <c r="FI21" s="43"/>
      <c r="FJ21" s="43"/>
      <c r="FK21" s="43"/>
      <c r="FL21" s="43"/>
      <c r="FM21" s="43"/>
      <c r="FN21" s="43"/>
      <c r="FO21" s="43"/>
      <c r="FP21" s="43"/>
      <c r="FQ21" s="43"/>
      <c r="FR21" s="43"/>
      <c r="FS21" s="43"/>
      <c r="FT21" s="43"/>
      <c r="FU21" s="43"/>
      <c r="FV21" s="43"/>
      <c r="FW21" s="43"/>
      <c r="FX21" s="43"/>
      <c r="FY21" s="43"/>
      <c r="FZ21" s="43"/>
      <c r="GA21" s="43"/>
      <c r="GB21" s="43"/>
      <c r="GC21" s="43"/>
      <c r="GD21" s="43"/>
      <c r="GE21" s="43"/>
      <c r="GF21" s="43"/>
      <c r="GG21" s="43"/>
      <c r="GH21" s="43"/>
      <c r="GI21" s="43"/>
      <c r="GJ21" s="43"/>
      <c r="GK21" s="43"/>
      <c r="GL21" s="43"/>
      <c r="GM21" s="43"/>
      <c r="GN21" s="43"/>
      <c r="GO21" s="43"/>
      <c r="GP21" s="43"/>
      <c r="GQ21" s="43"/>
      <c r="GR21" s="43"/>
      <c r="GS21" s="43"/>
      <c r="GT21" s="43"/>
      <c r="GU21" s="43"/>
      <c r="GV21" s="43"/>
      <c r="GW21" s="43"/>
      <c r="GX21" s="43"/>
      <c r="GY21" s="43"/>
      <c r="GZ21" s="43"/>
      <c r="HA21" s="43"/>
      <c r="HB21" s="43"/>
      <c r="HC21" s="43"/>
      <c r="HD21" s="43"/>
      <c r="HE21" s="43"/>
      <c r="HF21" s="43"/>
      <c r="HG21" s="43"/>
      <c r="HH21" s="403">
        <f t="shared" si="2"/>
        <v>0</v>
      </c>
    </row>
    <row r="22" spans="1:216" ht="15.75" thickBot="1">
      <c r="A22" s="312">
        <v>18</v>
      </c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194"/>
      <c r="AI22" s="194"/>
      <c r="AJ22" s="194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43"/>
      <c r="BK22" s="43"/>
      <c r="BL22" s="43"/>
      <c r="BM22" s="43"/>
      <c r="BN22" s="43"/>
      <c r="BO22" s="43"/>
      <c r="BP22" s="43"/>
      <c r="BQ22" s="194"/>
      <c r="BR22" s="194"/>
      <c r="BS22" s="194"/>
      <c r="BT22" s="279">
        <f t="shared" si="0"/>
        <v>0</v>
      </c>
      <c r="BU22" s="281">
        <v>18</v>
      </c>
      <c r="BV22" s="277"/>
      <c r="BW22" s="43"/>
      <c r="BX22" s="43"/>
      <c r="BY22" s="43"/>
      <c r="BZ22" s="43"/>
      <c r="CA22" s="43"/>
      <c r="CB22" s="43"/>
      <c r="CC22" s="43"/>
      <c r="CD22" s="43"/>
      <c r="CE22" s="43"/>
      <c r="CF22" s="43"/>
      <c r="CG22" s="43"/>
      <c r="CH22" s="43"/>
      <c r="CI22" s="43"/>
      <c r="CJ22" s="43"/>
      <c r="CK22" s="43"/>
      <c r="CL22" s="43"/>
      <c r="CM22" s="43"/>
      <c r="CN22" s="43"/>
      <c r="CO22" s="43"/>
      <c r="CP22" s="43"/>
      <c r="CQ22" s="43"/>
      <c r="CR22" s="43"/>
      <c r="CS22" s="43"/>
      <c r="CT22" s="43"/>
      <c r="CU22" s="43"/>
      <c r="CV22" s="43"/>
      <c r="CW22" s="43"/>
      <c r="CX22" s="43"/>
      <c r="CY22" s="283"/>
      <c r="CZ22" s="283"/>
      <c r="DA22" s="283"/>
      <c r="DB22" s="283"/>
      <c r="DC22" s="283"/>
      <c r="DD22" s="283"/>
      <c r="DE22" s="277"/>
      <c r="DF22" s="43"/>
      <c r="DG22" s="43"/>
      <c r="DH22" s="43"/>
      <c r="DI22" s="43"/>
      <c r="DJ22" s="43"/>
      <c r="DK22" s="43"/>
      <c r="DL22" s="43"/>
      <c r="DM22" s="43"/>
      <c r="DN22" s="43"/>
      <c r="DO22" s="43"/>
      <c r="DP22" s="43"/>
      <c r="DQ22" s="43"/>
      <c r="DR22" s="43"/>
      <c r="DS22" s="43"/>
      <c r="DT22" s="43"/>
      <c r="DU22" s="43"/>
      <c r="DV22" s="43"/>
      <c r="DW22" s="43"/>
      <c r="DX22" s="43"/>
      <c r="DY22" s="43"/>
      <c r="DZ22" s="43"/>
      <c r="EA22" s="43"/>
      <c r="EB22" s="43"/>
      <c r="EC22" s="43"/>
      <c r="ED22" s="43"/>
      <c r="EE22" s="43"/>
      <c r="EF22" s="43"/>
      <c r="EG22" s="43"/>
      <c r="EH22" s="283"/>
      <c r="EI22" s="283"/>
      <c r="EJ22" s="283"/>
      <c r="EK22" s="283"/>
      <c r="EL22" s="283"/>
      <c r="EM22" s="283"/>
      <c r="EN22" s="284">
        <f t="shared" si="1"/>
        <v>0</v>
      </c>
      <c r="EO22" s="410">
        <v>18</v>
      </c>
      <c r="EP22" s="43"/>
      <c r="EQ22" s="43"/>
      <c r="ER22" s="43"/>
      <c r="ES22" s="43"/>
      <c r="ET22" s="43"/>
      <c r="EU22" s="43"/>
      <c r="EV22" s="43"/>
      <c r="EW22" s="43"/>
      <c r="EX22" s="43"/>
      <c r="EY22" s="43"/>
      <c r="EZ22" s="43"/>
      <c r="FA22" s="43"/>
      <c r="FB22" s="43"/>
      <c r="FC22" s="43"/>
      <c r="FD22" s="43"/>
      <c r="FE22" s="43"/>
      <c r="FF22" s="43"/>
      <c r="FG22" s="43"/>
      <c r="FH22" s="43"/>
      <c r="FI22" s="43"/>
      <c r="FJ22" s="43"/>
      <c r="FK22" s="43"/>
      <c r="FL22" s="43"/>
      <c r="FM22" s="43"/>
      <c r="FN22" s="43"/>
      <c r="FO22" s="43"/>
      <c r="FP22" s="43"/>
      <c r="FQ22" s="43"/>
      <c r="FR22" s="43"/>
      <c r="FS22" s="43"/>
      <c r="FT22" s="43"/>
      <c r="FU22" s="43"/>
      <c r="FV22" s="43"/>
      <c r="FW22" s="43"/>
      <c r="FX22" s="43"/>
      <c r="FY22" s="43"/>
      <c r="FZ22" s="43"/>
      <c r="GA22" s="43"/>
      <c r="GB22" s="43"/>
      <c r="GC22" s="43"/>
      <c r="GD22" s="43"/>
      <c r="GE22" s="43"/>
      <c r="GF22" s="43"/>
      <c r="GG22" s="43"/>
      <c r="GH22" s="43"/>
      <c r="GI22" s="43"/>
      <c r="GJ22" s="43"/>
      <c r="GK22" s="43"/>
      <c r="GL22" s="43"/>
      <c r="GM22" s="43"/>
      <c r="GN22" s="43"/>
      <c r="GO22" s="43"/>
      <c r="GP22" s="43"/>
      <c r="GQ22" s="43"/>
      <c r="GR22" s="43"/>
      <c r="GS22" s="43"/>
      <c r="GT22" s="43"/>
      <c r="GU22" s="43"/>
      <c r="GV22" s="43"/>
      <c r="GW22" s="43"/>
      <c r="GX22" s="43"/>
      <c r="GY22" s="43"/>
      <c r="GZ22" s="43"/>
      <c r="HA22" s="43"/>
      <c r="HB22" s="43"/>
      <c r="HC22" s="43"/>
      <c r="HD22" s="43"/>
      <c r="HE22" s="43"/>
      <c r="HF22" s="43"/>
      <c r="HG22" s="43"/>
      <c r="HH22" s="403">
        <f t="shared" si="2"/>
        <v>0</v>
      </c>
    </row>
    <row r="23" spans="1:216" ht="15.75" thickBot="1">
      <c r="A23" s="312">
        <v>19</v>
      </c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194"/>
      <c r="AI23" s="194"/>
      <c r="AJ23" s="194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  <c r="BF23" s="43"/>
      <c r="BG23" s="43"/>
      <c r="BH23" s="43"/>
      <c r="BI23" s="43"/>
      <c r="BJ23" s="43"/>
      <c r="BK23" s="43"/>
      <c r="BL23" s="43"/>
      <c r="BM23" s="43"/>
      <c r="BN23" s="43"/>
      <c r="BO23" s="43"/>
      <c r="BP23" s="43"/>
      <c r="BQ23" s="194"/>
      <c r="BR23" s="194"/>
      <c r="BS23" s="194"/>
      <c r="BT23" s="279">
        <f t="shared" si="0"/>
        <v>0</v>
      </c>
      <c r="BU23" s="280">
        <v>19</v>
      </c>
      <c r="BV23" s="277"/>
      <c r="BW23" s="43"/>
      <c r="BX23" s="43"/>
      <c r="BY23" s="43"/>
      <c r="BZ23" s="43"/>
      <c r="CA23" s="43"/>
      <c r="CB23" s="43"/>
      <c r="CC23" s="43"/>
      <c r="CD23" s="43"/>
      <c r="CE23" s="43"/>
      <c r="CF23" s="43"/>
      <c r="CG23" s="43"/>
      <c r="CH23" s="43"/>
      <c r="CI23" s="43"/>
      <c r="CJ23" s="43"/>
      <c r="CK23" s="43"/>
      <c r="CL23" s="43"/>
      <c r="CM23" s="43"/>
      <c r="CN23" s="43"/>
      <c r="CO23" s="43"/>
      <c r="CP23" s="43"/>
      <c r="CQ23" s="43"/>
      <c r="CR23" s="43"/>
      <c r="CS23" s="43"/>
      <c r="CT23" s="43"/>
      <c r="CU23" s="43"/>
      <c r="CV23" s="43"/>
      <c r="CW23" s="43"/>
      <c r="CX23" s="43"/>
      <c r="CY23" s="283"/>
      <c r="CZ23" s="283"/>
      <c r="DA23" s="283"/>
      <c r="DB23" s="283"/>
      <c r="DC23" s="283"/>
      <c r="DD23" s="283"/>
      <c r="DE23" s="277"/>
      <c r="DF23" s="43"/>
      <c r="DG23" s="43"/>
      <c r="DH23" s="43"/>
      <c r="DI23" s="43"/>
      <c r="DJ23" s="43"/>
      <c r="DK23" s="43"/>
      <c r="DL23" s="43"/>
      <c r="DM23" s="43"/>
      <c r="DN23" s="43"/>
      <c r="DO23" s="43"/>
      <c r="DP23" s="43"/>
      <c r="DQ23" s="43"/>
      <c r="DR23" s="43"/>
      <c r="DS23" s="43"/>
      <c r="DT23" s="43"/>
      <c r="DU23" s="43"/>
      <c r="DV23" s="43"/>
      <c r="DW23" s="43"/>
      <c r="DX23" s="43"/>
      <c r="DY23" s="43"/>
      <c r="DZ23" s="43"/>
      <c r="EA23" s="43"/>
      <c r="EB23" s="43"/>
      <c r="EC23" s="43"/>
      <c r="ED23" s="43"/>
      <c r="EE23" s="43"/>
      <c r="EF23" s="43"/>
      <c r="EG23" s="43"/>
      <c r="EH23" s="283"/>
      <c r="EI23" s="283"/>
      <c r="EJ23" s="283"/>
      <c r="EK23" s="283"/>
      <c r="EL23" s="283"/>
      <c r="EM23" s="283"/>
      <c r="EN23" s="284">
        <f t="shared" si="1"/>
        <v>0</v>
      </c>
      <c r="EO23" s="410">
        <v>19</v>
      </c>
      <c r="EP23" s="43"/>
      <c r="EQ23" s="43"/>
      <c r="ER23" s="43"/>
      <c r="ES23" s="43"/>
      <c r="ET23" s="43"/>
      <c r="EU23" s="43"/>
      <c r="EV23" s="43"/>
      <c r="EW23" s="43"/>
      <c r="EX23" s="43"/>
      <c r="EY23" s="43"/>
      <c r="EZ23" s="43"/>
      <c r="FA23" s="43"/>
      <c r="FB23" s="43"/>
      <c r="FC23" s="43"/>
      <c r="FD23" s="43"/>
      <c r="FE23" s="43"/>
      <c r="FF23" s="43"/>
      <c r="FG23" s="43"/>
      <c r="FH23" s="43"/>
      <c r="FI23" s="43"/>
      <c r="FJ23" s="43"/>
      <c r="FK23" s="43"/>
      <c r="FL23" s="43"/>
      <c r="FM23" s="43"/>
      <c r="FN23" s="43"/>
      <c r="FO23" s="43"/>
      <c r="FP23" s="43"/>
      <c r="FQ23" s="43"/>
      <c r="FR23" s="43"/>
      <c r="FS23" s="43"/>
      <c r="FT23" s="43"/>
      <c r="FU23" s="43"/>
      <c r="FV23" s="43"/>
      <c r="FW23" s="43"/>
      <c r="FX23" s="43"/>
      <c r="FY23" s="43"/>
      <c r="FZ23" s="43"/>
      <c r="GA23" s="43"/>
      <c r="GB23" s="43"/>
      <c r="GC23" s="43"/>
      <c r="GD23" s="43"/>
      <c r="GE23" s="43"/>
      <c r="GF23" s="43"/>
      <c r="GG23" s="43"/>
      <c r="GH23" s="43"/>
      <c r="GI23" s="43"/>
      <c r="GJ23" s="43"/>
      <c r="GK23" s="43"/>
      <c r="GL23" s="43"/>
      <c r="GM23" s="43"/>
      <c r="GN23" s="43"/>
      <c r="GO23" s="43"/>
      <c r="GP23" s="43"/>
      <c r="GQ23" s="43"/>
      <c r="GR23" s="43"/>
      <c r="GS23" s="43"/>
      <c r="GT23" s="43"/>
      <c r="GU23" s="43"/>
      <c r="GV23" s="43"/>
      <c r="GW23" s="43"/>
      <c r="GX23" s="43"/>
      <c r="GY23" s="43"/>
      <c r="GZ23" s="43"/>
      <c r="HA23" s="43"/>
      <c r="HB23" s="43"/>
      <c r="HC23" s="43"/>
      <c r="HD23" s="43"/>
      <c r="HE23" s="43"/>
      <c r="HF23" s="43"/>
      <c r="HG23" s="43"/>
      <c r="HH23" s="403">
        <f t="shared" si="2"/>
        <v>0</v>
      </c>
    </row>
    <row r="24" spans="1:216" ht="15.75" thickBot="1">
      <c r="A24" s="312">
        <v>20</v>
      </c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194"/>
      <c r="AI24" s="194"/>
      <c r="AJ24" s="194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  <c r="BF24" s="43"/>
      <c r="BG24" s="43"/>
      <c r="BH24" s="43"/>
      <c r="BI24" s="43"/>
      <c r="BJ24" s="43"/>
      <c r="BK24" s="43"/>
      <c r="BL24" s="43"/>
      <c r="BM24" s="43"/>
      <c r="BN24" s="43"/>
      <c r="BO24" s="43"/>
      <c r="BP24" s="43"/>
      <c r="BQ24" s="194"/>
      <c r="BR24" s="194"/>
      <c r="BS24" s="194"/>
      <c r="BT24" s="279">
        <f t="shared" si="0"/>
        <v>0</v>
      </c>
      <c r="BU24" s="281">
        <v>20</v>
      </c>
      <c r="BV24" s="277"/>
      <c r="BW24" s="43"/>
      <c r="BX24" s="43"/>
      <c r="BY24" s="43"/>
      <c r="BZ24" s="43"/>
      <c r="CA24" s="43"/>
      <c r="CB24" s="43"/>
      <c r="CC24" s="43"/>
      <c r="CD24" s="43"/>
      <c r="CE24" s="43"/>
      <c r="CF24" s="43"/>
      <c r="CG24" s="43"/>
      <c r="CH24" s="43"/>
      <c r="CI24" s="43"/>
      <c r="CJ24" s="43"/>
      <c r="CK24" s="43"/>
      <c r="CL24" s="43"/>
      <c r="CM24" s="43"/>
      <c r="CN24" s="43"/>
      <c r="CO24" s="43"/>
      <c r="CP24" s="43"/>
      <c r="CQ24" s="43"/>
      <c r="CR24" s="43"/>
      <c r="CS24" s="43"/>
      <c r="CT24" s="43"/>
      <c r="CU24" s="43"/>
      <c r="CV24" s="43"/>
      <c r="CW24" s="43"/>
      <c r="CX24" s="43"/>
      <c r="CY24" s="283"/>
      <c r="CZ24" s="283"/>
      <c r="DA24" s="283"/>
      <c r="DB24" s="283"/>
      <c r="DC24" s="283"/>
      <c r="DD24" s="283"/>
      <c r="DE24" s="277"/>
      <c r="DF24" s="43"/>
      <c r="DG24" s="43"/>
      <c r="DH24" s="43"/>
      <c r="DI24" s="43"/>
      <c r="DJ24" s="43"/>
      <c r="DK24" s="43"/>
      <c r="DL24" s="43"/>
      <c r="DM24" s="43"/>
      <c r="DN24" s="43"/>
      <c r="DO24" s="43"/>
      <c r="DP24" s="43"/>
      <c r="DQ24" s="43"/>
      <c r="DR24" s="43"/>
      <c r="DS24" s="43"/>
      <c r="DT24" s="43"/>
      <c r="DU24" s="43"/>
      <c r="DV24" s="43"/>
      <c r="DW24" s="43"/>
      <c r="DX24" s="43"/>
      <c r="DY24" s="43"/>
      <c r="DZ24" s="43"/>
      <c r="EA24" s="43"/>
      <c r="EB24" s="43"/>
      <c r="EC24" s="43"/>
      <c r="ED24" s="43"/>
      <c r="EE24" s="43"/>
      <c r="EF24" s="43"/>
      <c r="EG24" s="43"/>
      <c r="EH24" s="283"/>
      <c r="EI24" s="283"/>
      <c r="EJ24" s="283"/>
      <c r="EK24" s="283"/>
      <c r="EL24" s="283"/>
      <c r="EM24" s="283"/>
      <c r="EN24" s="284">
        <f t="shared" si="1"/>
        <v>0</v>
      </c>
      <c r="EO24" s="410">
        <v>20</v>
      </c>
      <c r="EP24" s="43"/>
      <c r="EQ24" s="43"/>
      <c r="ER24" s="43"/>
      <c r="ES24" s="43"/>
      <c r="ET24" s="43"/>
      <c r="EU24" s="43"/>
      <c r="EV24" s="43"/>
      <c r="EW24" s="43"/>
      <c r="EX24" s="43"/>
      <c r="EY24" s="43"/>
      <c r="EZ24" s="43"/>
      <c r="FA24" s="43"/>
      <c r="FB24" s="43"/>
      <c r="FC24" s="43"/>
      <c r="FD24" s="43"/>
      <c r="FE24" s="43"/>
      <c r="FF24" s="43"/>
      <c r="FG24" s="43"/>
      <c r="FH24" s="43"/>
      <c r="FI24" s="43"/>
      <c r="FJ24" s="43"/>
      <c r="FK24" s="43"/>
      <c r="FL24" s="43"/>
      <c r="FM24" s="43"/>
      <c r="FN24" s="43"/>
      <c r="FO24" s="43"/>
      <c r="FP24" s="43"/>
      <c r="FQ24" s="43"/>
      <c r="FR24" s="43"/>
      <c r="FS24" s="43"/>
      <c r="FT24" s="43"/>
      <c r="FU24" s="43"/>
      <c r="FV24" s="43"/>
      <c r="FW24" s="43"/>
      <c r="FX24" s="43"/>
      <c r="FY24" s="43"/>
      <c r="FZ24" s="43"/>
      <c r="GA24" s="43"/>
      <c r="GB24" s="43"/>
      <c r="GC24" s="43"/>
      <c r="GD24" s="43"/>
      <c r="GE24" s="43"/>
      <c r="GF24" s="43"/>
      <c r="GG24" s="43"/>
      <c r="GH24" s="43"/>
      <c r="GI24" s="43"/>
      <c r="GJ24" s="43"/>
      <c r="GK24" s="43"/>
      <c r="GL24" s="43"/>
      <c r="GM24" s="43"/>
      <c r="GN24" s="43"/>
      <c r="GO24" s="43"/>
      <c r="GP24" s="43"/>
      <c r="GQ24" s="43"/>
      <c r="GR24" s="43"/>
      <c r="GS24" s="43"/>
      <c r="GT24" s="43"/>
      <c r="GU24" s="43"/>
      <c r="GV24" s="43"/>
      <c r="GW24" s="43"/>
      <c r="GX24" s="43"/>
      <c r="GY24" s="43"/>
      <c r="GZ24" s="43"/>
      <c r="HA24" s="43"/>
      <c r="HB24" s="43"/>
      <c r="HC24" s="43"/>
      <c r="HD24" s="43"/>
      <c r="HE24" s="43"/>
      <c r="HF24" s="43"/>
      <c r="HG24" s="43"/>
      <c r="HH24" s="403">
        <f t="shared" si="2"/>
        <v>0</v>
      </c>
    </row>
    <row r="25" spans="1:216" ht="15.75" thickBot="1">
      <c r="A25" s="312">
        <v>21</v>
      </c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194"/>
      <c r="AI25" s="194"/>
      <c r="AJ25" s="194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  <c r="BF25" s="43"/>
      <c r="BG25" s="43"/>
      <c r="BH25" s="43"/>
      <c r="BI25" s="43"/>
      <c r="BJ25" s="43"/>
      <c r="BK25" s="43"/>
      <c r="BL25" s="43"/>
      <c r="BM25" s="43"/>
      <c r="BN25" s="43"/>
      <c r="BO25" s="43"/>
      <c r="BP25" s="43"/>
      <c r="BQ25" s="194"/>
      <c r="BR25" s="194"/>
      <c r="BS25" s="194"/>
      <c r="BT25" s="279">
        <f t="shared" si="0"/>
        <v>0</v>
      </c>
      <c r="BU25" s="281">
        <v>21</v>
      </c>
      <c r="BV25" s="277"/>
      <c r="BW25" s="43"/>
      <c r="BX25" s="43"/>
      <c r="BY25" s="43"/>
      <c r="BZ25" s="43"/>
      <c r="CA25" s="43"/>
      <c r="CB25" s="43"/>
      <c r="CC25" s="43"/>
      <c r="CD25" s="43"/>
      <c r="CE25" s="43"/>
      <c r="CF25" s="43"/>
      <c r="CG25" s="43"/>
      <c r="CH25" s="43"/>
      <c r="CI25" s="43"/>
      <c r="CJ25" s="43"/>
      <c r="CK25" s="43"/>
      <c r="CL25" s="43"/>
      <c r="CM25" s="43"/>
      <c r="CN25" s="43"/>
      <c r="CO25" s="43"/>
      <c r="CP25" s="43"/>
      <c r="CQ25" s="43"/>
      <c r="CR25" s="43"/>
      <c r="CS25" s="43"/>
      <c r="CT25" s="43"/>
      <c r="CU25" s="43"/>
      <c r="CV25" s="43"/>
      <c r="CW25" s="43"/>
      <c r="CX25" s="43"/>
      <c r="CY25" s="283"/>
      <c r="CZ25" s="283"/>
      <c r="DA25" s="283"/>
      <c r="DB25" s="283"/>
      <c r="DC25" s="283"/>
      <c r="DD25" s="283"/>
      <c r="DE25" s="277"/>
      <c r="DF25" s="43"/>
      <c r="DG25" s="43"/>
      <c r="DH25" s="43"/>
      <c r="DI25" s="43"/>
      <c r="DJ25" s="43"/>
      <c r="DK25" s="43"/>
      <c r="DL25" s="43"/>
      <c r="DM25" s="43"/>
      <c r="DN25" s="43"/>
      <c r="DO25" s="43"/>
      <c r="DP25" s="43"/>
      <c r="DQ25" s="43"/>
      <c r="DR25" s="43"/>
      <c r="DS25" s="43"/>
      <c r="DT25" s="43"/>
      <c r="DU25" s="43"/>
      <c r="DV25" s="43"/>
      <c r="DW25" s="43"/>
      <c r="DX25" s="43"/>
      <c r="DY25" s="43"/>
      <c r="DZ25" s="43"/>
      <c r="EA25" s="43"/>
      <c r="EB25" s="43"/>
      <c r="EC25" s="43"/>
      <c r="ED25" s="43"/>
      <c r="EE25" s="43"/>
      <c r="EF25" s="43"/>
      <c r="EG25" s="43"/>
      <c r="EH25" s="283"/>
      <c r="EI25" s="283"/>
      <c r="EJ25" s="283"/>
      <c r="EK25" s="283"/>
      <c r="EL25" s="283"/>
      <c r="EM25" s="283"/>
      <c r="EN25" s="284">
        <f t="shared" si="1"/>
        <v>0</v>
      </c>
      <c r="EO25" s="410">
        <v>21</v>
      </c>
      <c r="EP25" s="43"/>
      <c r="EQ25" s="43"/>
      <c r="ER25" s="43"/>
      <c r="ES25" s="43"/>
      <c r="ET25" s="43"/>
      <c r="EU25" s="43"/>
      <c r="EV25" s="43"/>
      <c r="EW25" s="43"/>
      <c r="EX25" s="43"/>
      <c r="EY25" s="43"/>
      <c r="EZ25" s="43"/>
      <c r="FA25" s="43"/>
      <c r="FB25" s="43"/>
      <c r="FC25" s="43"/>
      <c r="FD25" s="43"/>
      <c r="FE25" s="43"/>
      <c r="FF25" s="43"/>
      <c r="FG25" s="43"/>
      <c r="FH25" s="43"/>
      <c r="FI25" s="43"/>
      <c r="FJ25" s="43"/>
      <c r="FK25" s="43"/>
      <c r="FL25" s="43"/>
      <c r="FM25" s="43"/>
      <c r="FN25" s="43"/>
      <c r="FO25" s="43"/>
      <c r="FP25" s="43"/>
      <c r="FQ25" s="43"/>
      <c r="FR25" s="43"/>
      <c r="FS25" s="43"/>
      <c r="FT25" s="43"/>
      <c r="FU25" s="43"/>
      <c r="FV25" s="43"/>
      <c r="FW25" s="43"/>
      <c r="FX25" s="43"/>
      <c r="FY25" s="43"/>
      <c r="FZ25" s="43"/>
      <c r="GA25" s="43"/>
      <c r="GB25" s="43"/>
      <c r="GC25" s="43"/>
      <c r="GD25" s="43"/>
      <c r="GE25" s="43"/>
      <c r="GF25" s="43"/>
      <c r="GG25" s="43"/>
      <c r="GH25" s="43"/>
      <c r="GI25" s="43"/>
      <c r="GJ25" s="43"/>
      <c r="GK25" s="43"/>
      <c r="GL25" s="43"/>
      <c r="GM25" s="43"/>
      <c r="GN25" s="43"/>
      <c r="GO25" s="43"/>
      <c r="GP25" s="43"/>
      <c r="GQ25" s="43"/>
      <c r="GR25" s="43"/>
      <c r="GS25" s="43"/>
      <c r="GT25" s="43"/>
      <c r="GU25" s="43"/>
      <c r="GV25" s="43"/>
      <c r="GW25" s="43"/>
      <c r="GX25" s="43"/>
      <c r="GY25" s="43"/>
      <c r="GZ25" s="43"/>
      <c r="HA25" s="43"/>
      <c r="HB25" s="43"/>
      <c r="HC25" s="43"/>
      <c r="HD25" s="43"/>
      <c r="HE25" s="43"/>
      <c r="HF25" s="43"/>
      <c r="HG25" s="43"/>
      <c r="HH25" s="403">
        <f t="shared" si="2"/>
        <v>0</v>
      </c>
    </row>
    <row r="26" spans="1:216" s="1" customFormat="1" ht="15.75" thickBot="1">
      <c r="A26" s="312">
        <v>22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194"/>
      <c r="AI26" s="194"/>
      <c r="AJ26" s="194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  <c r="BI26" s="43"/>
      <c r="BJ26" s="43"/>
      <c r="BK26" s="43"/>
      <c r="BL26" s="43"/>
      <c r="BM26" s="43"/>
      <c r="BN26" s="43"/>
      <c r="BO26" s="43"/>
      <c r="BP26" s="43"/>
      <c r="BQ26" s="194"/>
      <c r="BR26" s="194"/>
      <c r="BS26" s="194"/>
      <c r="BT26" s="279">
        <f t="shared" si="0"/>
        <v>0</v>
      </c>
      <c r="BU26" s="280">
        <v>22</v>
      </c>
      <c r="BV26" s="277"/>
      <c r="BW26" s="43"/>
      <c r="BX26" s="43"/>
      <c r="BY26" s="43"/>
      <c r="BZ26" s="43"/>
      <c r="CA26" s="43"/>
      <c r="CB26" s="43"/>
      <c r="CC26" s="43"/>
      <c r="CD26" s="43"/>
      <c r="CE26" s="43"/>
      <c r="CF26" s="43"/>
      <c r="CG26" s="43"/>
      <c r="CH26" s="43"/>
      <c r="CI26" s="43"/>
      <c r="CJ26" s="43"/>
      <c r="CK26" s="43"/>
      <c r="CL26" s="43"/>
      <c r="CM26" s="43"/>
      <c r="CN26" s="43"/>
      <c r="CO26" s="43"/>
      <c r="CP26" s="43"/>
      <c r="CQ26" s="43"/>
      <c r="CR26" s="43"/>
      <c r="CS26" s="43"/>
      <c r="CT26" s="43"/>
      <c r="CU26" s="43"/>
      <c r="CV26" s="43"/>
      <c r="CW26" s="43"/>
      <c r="CX26" s="43"/>
      <c r="CY26" s="283"/>
      <c r="CZ26" s="283"/>
      <c r="DA26" s="283"/>
      <c r="DB26" s="283"/>
      <c r="DC26" s="283"/>
      <c r="DD26" s="283"/>
      <c r="DE26" s="277"/>
      <c r="DF26" s="43"/>
      <c r="DG26" s="43"/>
      <c r="DH26" s="43"/>
      <c r="DI26" s="43"/>
      <c r="DJ26" s="43"/>
      <c r="DK26" s="43"/>
      <c r="DL26" s="43"/>
      <c r="DM26" s="43"/>
      <c r="DN26" s="43"/>
      <c r="DO26" s="43"/>
      <c r="DP26" s="43"/>
      <c r="DQ26" s="43"/>
      <c r="DR26" s="43"/>
      <c r="DS26" s="43"/>
      <c r="DT26" s="43"/>
      <c r="DU26" s="43"/>
      <c r="DV26" s="43"/>
      <c r="DW26" s="43"/>
      <c r="DX26" s="43"/>
      <c r="DY26" s="43"/>
      <c r="DZ26" s="43"/>
      <c r="EA26" s="43"/>
      <c r="EB26" s="43"/>
      <c r="EC26" s="43"/>
      <c r="ED26" s="43"/>
      <c r="EE26" s="43"/>
      <c r="EF26" s="43"/>
      <c r="EG26" s="43"/>
      <c r="EH26" s="283"/>
      <c r="EI26" s="283"/>
      <c r="EJ26" s="283"/>
      <c r="EK26" s="283"/>
      <c r="EL26" s="283"/>
      <c r="EM26" s="283"/>
      <c r="EN26" s="284">
        <f t="shared" si="1"/>
        <v>0</v>
      </c>
      <c r="EO26" s="410">
        <v>22</v>
      </c>
      <c r="EP26" s="43"/>
      <c r="EQ26" s="43"/>
      <c r="ER26" s="43"/>
      <c r="ES26" s="43"/>
      <c r="ET26" s="43"/>
      <c r="EU26" s="43"/>
      <c r="EV26" s="43"/>
      <c r="EW26" s="43"/>
      <c r="EX26" s="43"/>
      <c r="EY26" s="43"/>
      <c r="EZ26" s="43"/>
      <c r="FA26" s="43"/>
      <c r="FB26" s="43"/>
      <c r="FC26" s="43"/>
      <c r="FD26" s="43"/>
      <c r="FE26" s="43"/>
      <c r="FF26" s="43"/>
      <c r="FG26" s="43"/>
      <c r="FH26" s="43"/>
      <c r="FI26" s="43"/>
      <c r="FJ26" s="43"/>
      <c r="FK26" s="43"/>
      <c r="FL26" s="43"/>
      <c r="FM26" s="43"/>
      <c r="FN26" s="43"/>
      <c r="FO26" s="43"/>
      <c r="FP26" s="43"/>
      <c r="FQ26" s="43"/>
      <c r="FR26" s="43"/>
      <c r="FS26" s="43"/>
      <c r="FT26" s="43"/>
      <c r="FU26" s="43"/>
      <c r="FV26" s="43"/>
      <c r="FW26" s="43"/>
      <c r="FX26" s="43"/>
      <c r="FY26" s="43"/>
      <c r="FZ26" s="43"/>
      <c r="GA26" s="43"/>
      <c r="GB26" s="43"/>
      <c r="GC26" s="43"/>
      <c r="GD26" s="43"/>
      <c r="GE26" s="43"/>
      <c r="GF26" s="43"/>
      <c r="GG26" s="43"/>
      <c r="GH26" s="43"/>
      <c r="GI26" s="43"/>
      <c r="GJ26" s="43"/>
      <c r="GK26" s="43"/>
      <c r="GL26" s="43"/>
      <c r="GM26" s="43"/>
      <c r="GN26" s="43"/>
      <c r="GO26" s="43"/>
      <c r="GP26" s="43"/>
      <c r="GQ26" s="43"/>
      <c r="GR26" s="43"/>
      <c r="GS26" s="43"/>
      <c r="GT26" s="43"/>
      <c r="GU26" s="43"/>
      <c r="GV26" s="43"/>
      <c r="GW26" s="43"/>
      <c r="GX26" s="43"/>
      <c r="GY26" s="43"/>
      <c r="GZ26" s="43"/>
      <c r="HA26" s="43"/>
      <c r="HB26" s="43"/>
      <c r="HC26" s="43"/>
      <c r="HD26" s="43"/>
      <c r="HE26" s="43"/>
      <c r="HF26" s="43"/>
      <c r="HG26" s="43"/>
      <c r="HH26" s="403">
        <f t="shared" si="2"/>
        <v>0</v>
      </c>
    </row>
    <row r="27" spans="1:216" ht="15.75" thickBot="1">
      <c r="A27" s="312">
        <v>23</v>
      </c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194"/>
      <c r="AI27" s="194"/>
      <c r="AJ27" s="194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  <c r="BF27" s="43"/>
      <c r="BG27" s="43"/>
      <c r="BH27" s="43"/>
      <c r="BI27" s="43"/>
      <c r="BJ27" s="43"/>
      <c r="BK27" s="43"/>
      <c r="BL27" s="43"/>
      <c r="BM27" s="43"/>
      <c r="BN27" s="43"/>
      <c r="BO27" s="43"/>
      <c r="BP27" s="43"/>
      <c r="BQ27" s="194"/>
      <c r="BR27" s="194"/>
      <c r="BS27" s="194"/>
      <c r="BT27" s="279">
        <f t="shared" si="0"/>
        <v>0</v>
      </c>
      <c r="BU27" s="281">
        <v>23</v>
      </c>
      <c r="BV27" s="43"/>
      <c r="BW27" s="43"/>
      <c r="BX27" s="43"/>
      <c r="BY27" s="43"/>
      <c r="BZ27" s="43"/>
      <c r="CA27" s="43"/>
      <c r="CB27" s="43"/>
      <c r="CC27" s="43"/>
      <c r="CD27" s="43"/>
      <c r="CE27" s="43"/>
      <c r="CF27" s="43"/>
      <c r="CG27" s="43"/>
      <c r="CH27" s="43"/>
      <c r="CI27" s="43"/>
      <c r="CJ27" s="43"/>
      <c r="CK27" s="43"/>
      <c r="CL27" s="43"/>
      <c r="CM27" s="43"/>
      <c r="CN27" s="43"/>
      <c r="CO27" s="43"/>
      <c r="CP27" s="43"/>
      <c r="CQ27" s="43"/>
      <c r="CR27" s="43"/>
      <c r="CS27" s="43"/>
      <c r="CT27" s="43"/>
      <c r="CU27" s="43"/>
      <c r="CV27" s="43"/>
      <c r="CW27" s="43"/>
      <c r="CX27" s="43"/>
      <c r="CY27" s="283"/>
      <c r="CZ27" s="283"/>
      <c r="DA27" s="283"/>
      <c r="DB27" s="283"/>
      <c r="DC27" s="283"/>
      <c r="DD27" s="283"/>
      <c r="DE27" s="43"/>
      <c r="DF27" s="43"/>
      <c r="DG27" s="43"/>
      <c r="DH27" s="43"/>
      <c r="DI27" s="43"/>
      <c r="DJ27" s="43"/>
      <c r="DK27" s="43"/>
      <c r="DL27" s="43"/>
      <c r="DM27" s="43"/>
      <c r="DN27" s="43"/>
      <c r="DO27" s="43"/>
      <c r="DP27" s="43"/>
      <c r="DQ27" s="43"/>
      <c r="DR27" s="43"/>
      <c r="DS27" s="43"/>
      <c r="DT27" s="43"/>
      <c r="DU27" s="43"/>
      <c r="DV27" s="43"/>
      <c r="DW27" s="43"/>
      <c r="DX27" s="43"/>
      <c r="DY27" s="43"/>
      <c r="DZ27" s="43"/>
      <c r="EA27" s="43"/>
      <c r="EB27" s="43"/>
      <c r="EC27" s="43"/>
      <c r="ED27" s="43"/>
      <c r="EE27" s="43"/>
      <c r="EF27" s="43"/>
      <c r="EG27" s="43"/>
      <c r="EH27" s="283"/>
      <c r="EI27" s="283"/>
      <c r="EJ27" s="283"/>
      <c r="EK27" s="283"/>
      <c r="EL27" s="283"/>
      <c r="EM27" s="283"/>
      <c r="EN27" s="284">
        <f t="shared" si="1"/>
        <v>0</v>
      </c>
      <c r="EO27" s="410">
        <v>23</v>
      </c>
      <c r="EP27" s="43"/>
      <c r="EQ27" s="43"/>
      <c r="ER27" s="43"/>
      <c r="ES27" s="43"/>
      <c r="ET27" s="43"/>
      <c r="EU27" s="43"/>
      <c r="EV27" s="43"/>
      <c r="EW27" s="43"/>
      <c r="EX27" s="43"/>
      <c r="EY27" s="43"/>
      <c r="EZ27" s="43"/>
      <c r="FA27" s="43"/>
      <c r="FB27" s="43"/>
      <c r="FC27" s="43"/>
      <c r="FD27" s="43"/>
      <c r="FE27" s="43"/>
      <c r="FF27" s="43"/>
      <c r="FG27" s="43"/>
      <c r="FH27" s="43"/>
      <c r="FI27" s="43"/>
      <c r="FJ27" s="43"/>
      <c r="FK27" s="43"/>
      <c r="FL27" s="43"/>
      <c r="FM27" s="43"/>
      <c r="FN27" s="43"/>
      <c r="FO27" s="43"/>
      <c r="FP27" s="43"/>
      <c r="FQ27" s="43"/>
      <c r="FR27" s="43"/>
      <c r="FS27" s="43"/>
      <c r="FT27" s="43"/>
      <c r="FU27" s="43"/>
      <c r="FV27" s="43"/>
      <c r="FW27" s="43"/>
      <c r="FX27" s="43"/>
      <c r="FY27" s="43"/>
      <c r="FZ27" s="43"/>
      <c r="GA27" s="43"/>
      <c r="GB27" s="43"/>
      <c r="GC27" s="43"/>
      <c r="GD27" s="43"/>
      <c r="GE27" s="43"/>
      <c r="GF27" s="43"/>
      <c r="GG27" s="43"/>
      <c r="GH27" s="43"/>
      <c r="GI27" s="43"/>
      <c r="GJ27" s="43"/>
      <c r="GK27" s="43"/>
      <c r="GL27" s="43"/>
      <c r="GM27" s="43"/>
      <c r="GN27" s="43"/>
      <c r="GO27" s="43"/>
      <c r="GP27" s="43"/>
      <c r="GQ27" s="43"/>
      <c r="GR27" s="43"/>
      <c r="GS27" s="43"/>
      <c r="GT27" s="43"/>
      <c r="GU27" s="43"/>
      <c r="GV27" s="43"/>
      <c r="GW27" s="43"/>
      <c r="GX27" s="43"/>
      <c r="GY27" s="43"/>
      <c r="GZ27" s="43"/>
      <c r="HA27" s="43"/>
      <c r="HB27" s="43"/>
      <c r="HC27" s="43"/>
      <c r="HD27" s="43"/>
      <c r="HE27" s="43"/>
      <c r="HF27" s="43"/>
      <c r="HG27" s="43"/>
      <c r="HH27" s="403">
        <f t="shared" si="2"/>
        <v>0</v>
      </c>
    </row>
    <row r="28" spans="1:216" ht="15.75" thickBot="1">
      <c r="A28" s="312">
        <v>24</v>
      </c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194"/>
      <c r="AI28" s="194"/>
      <c r="AJ28" s="194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3"/>
      <c r="BK28" s="43"/>
      <c r="BL28" s="43"/>
      <c r="BM28" s="43"/>
      <c r="BN28" s="43"/>
      <c r="BO28" s="43"/>
      <c r="BP28" s="43"/>
      <c r="BQ28" s="194"/>
      <c r="BR28" s="194"/>
      <c r="BS28" s="194"/>
      <c r="BT28" s="279">
        <f t="shared" si="0"/>
        <v>0</v>
      </c>
      <c r="BU28" s="281">
        <v>24</v>
      </c>
      <c r="BV28" s="43"/>
      <c r="BW28" s="43"/>
      <c r="BX28" s="43"/>
      <c r="BY28" s="43"/>
      <c r="BZ28" s="43"/>
      <c r="CA28" s="43"/>
      <c r="CB28" s="43"/>
      <c r="CC28" s="43"/>
      <c r="CD28" s="43"/>
      <c r="CE28" s="43"/>
      <c r="CF28" s="43"/>
      <c r="CG28" s="43"/>
      <c r="CH28" s="43"/>
      <c r="CI28" s="43"/>
      <c r="CJ28" s="43"/>
      <c r="CK28" s="43"/>
      <c r="CL28" s="43"/>
      <c r="CM28" s="43"/>
      <c r="CN28" s="43"/>
      <c r="CO28" s="43"/>
      <c r="CP28" s="43"/>
      <c r="CQ28" s="43"/>
      <c r="CR28" s="43"/>
      <c r="CS28" s="43"/>
      <c r="CT28" s="43"/>
      <c r="CU28" s="43"/>
      <c r="CV28" s="43"/>
      <c r="CW28" s="43"/>
      <c r="CX28" s="43"/>
      <c r="CY28" s="283"/>
      <c r="CZ28" s="283"/>
      <c r="DA28" s="283"/>
      <c r="DB28" s="283"/>
      <c r="DC28" s="283"/>
      <c r="DD28" s="283"/>
      <c r="DE28" s="43"/>
      <c r="DF28" s="43"/>
      <c r="DG28" s="43"/>
      <c r="DH28" s="43"/>
      <c r="DI28" s="43"/>
      <c r="DJ28" s="43"/>
      <c r="DK28" s="43"/>
      <c r="DL28" s="43"/>
      <c r="DM28" s="43"/>
      <c r="DN28" s="43"/>
      <c r="DO28" s="43"/>
      <c r="DP28" s="43"/>
      <c r="DQ28" s="43"/>
      <c r="DR28" s="43"/>
      <c r="DS28" s="43"/>
      <c r="DT28" s="43"/>
      <c r="DU28" s="43"/>
      <c r="DV28" s="43"/>
      <c r="DW28" s="43"/>
      <c r="DX28" s="43"/>
      <c r="DY28" s="43"/>
      <c r="DZ28" s="43"/>
      <c r="EA28" s="43"/>
      <c r="EB28" s="43"/>
      <c r="EC28" s="43"/>
      <c r="ED28" s="43"/>
      <c r="EE28" s="43"/>
      <c r="EF28" s="43"/>
      <c r="EG28" s="43"/>
      <c r="EH28" s="283"/>
      <c r="EI28" s="283"/>
      <c r="EJ28" s="283"/>
      <c r="EK28" s="283"/>
      <c r="EL28" s="283"/>
      <c r="EM28" s="283"/>
      <c r="EN28" s="284">
        <f t="shared" si="1"/>
        <v>0</v>
      </c>
      <c r="EO28" s="410">
        <v>24</v>
      </c>
      <c r="EP28" s="43"/>
      <c r="EQ28" s="43"/>
      <c r="ER28" s="43"/>
      <c r="ES28" s="43"/>
      <c r="ET28" s="43"/>
      <c r="EU28" s="43"/>
      <c r="EV28" s="43"/>
      <c r="EW28" s="43"/>
      <c r="EX28" s="43"/>
      <c r="EY28" s="43"/>
      <c r="EZ28" s="43"/>
      <c r="FA28" s="43"/>
      <c r="FB28" s="43"/>
      <c r="FC28" s="43"/>
      <c r="FD28" s="43"/>
      <c r="FE28" s="43"/>
      <c r="FF28" s="43"/>
      <c r="FG28" s="43"/>
      <c r="FH28" s="43"/>
      <c r="FI28" s="43"/>
      <c r="FJ28" s="43"/>
      <c r="FK28" s="43"/>
      <c r="FL28" s="43"/>
      <c r="FM28" s="43"/>
      <c r="FN28" s="43"/>
      <c r="FO28" s="43"/>
      <c r="FP28" s="43"/>
      <c r="FQ28" s="43"/>
      <c r="FR28" s="43"/>
      <c r="FS28" s="43"/>
      <c r="FT28" s="43"/>
      <c r="FU28" s="43"/>
      <c r="FV28" s="43"/>
      <c r="FW28" s="43"/>
      <c r="FX28" s="43"/>
      <c r="FY28" s="43"/>
      <c r="FZ28" s="43"/>
      <c r="GA28" s="43"/>
      <c r="GB28" s="43"/>
      <c r="GC28" s="43"/>
      <c r="GD28" s="43"/>
      <c r="GE28" s="43"/>
      <c r="GF28" s="43"/>
      <c r="GG28" s="43"/>
      <c r="GH28" s="43"/>
      <c r="GI28" s="43"/>
      <c r="GJ28" s="43"/>
      <c r="GK28" s="43"/>
      <c r="GL28" s="43"/>
      <c r="GM28" s="43"/>
      <c r="GN28" s="43"/>
      <c r="GO28" s="43"/>
      <c r="GP28" s="43"/>
      <c r="GQ28" s="43"/>
      <c r="GR28" s="43"/>
      <c r="GS28" s="43"/>
      <c r="GT28" s="43"/>
      <c r="GU28" s="43"/>
      <c r="GV28" s="43"/>
      <c r="GW28" s="43"/>
      <c r="GX28" s="43"/>
      <c r="GY28" s="43"/>
      <c r="GZ28" s="43"/>
      <c r="HA28" s="43"/>
      <c r="HB28" s="43"/>
      <c r="HC28" s="43"/>
      <c r="HD28" s="43"/>
      <c r="HE28" s="43"/>
      <c r="HF28" s="43"/>
      <c r="HG28" s="43"/>
      <c r="HH28" s="403">
        <f t="shared" si="2"/>
        <v>0</v>
      </c>
    </row>
    <row r="29" spans="1:216" ht="15.75" thickBot="1">
      <c r="A29" s="312">
        <v>25</v>
      </c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194"/>
      <c r="AI29" s="194"/>
      <c r="AJ29" s="194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  <c r="BF29" s="43"/>
      <c r="BG29" s="43"/>
      <c r="BH29" s="43"/>
      <c r="BI29" s="43"/>
      <c r="BJ29" s="43"/>
      <c r="BK29" s="43"/>
      <c r="BL29" s="43"/>
      <c r="BM29" s="43"/>
      <c r="BN29" s="43"/>
      <c r="BO29" s="43"/>
      <c r="BP29" s="43"/>
      <c r="BQ29" s="194"/>
      <c r="BR29" s="194"/>
      <c r="BS29" s="194"/>
      <c r="BT29" s="279">
        <f t="shared" si="0"/>
        <v>0</v>
      </c>
      <c r="BU29" s="280">
        <v>25</v>
      </c>
      <c r="BV29" s="277"/>
      <c r="BW29" s="43"/>
      <c r="BX29" s="43"/>
      <c r="BY29" s="43"/>
      <c r="BZ29" s="43"/>
      <c r="CA29" s="43"/>
      <c r="CB29" s="43"/>
      <c r="CC29" s="43"/>
      <c r="CD29" s="43"/>
      <c r="CE29" s="43"/>
      <c r="CF29" s="43"/>
      <c r="CG29" s="43"/>
      <c r="CH29" s="43"/>
      <c r="CI29" s="43"/>
      <c r="CJ29" s="43"/>
      <c r="CK29" s="43"/>
      <c r="CL29" s="43"/>
      <c r="CM29" s="43"/>
      <c r="CN29" s="43"/>
      <c r="CO29" s="43"/>
      <c r="CP29" s="43"/>
      <c r="CQ29" s="43"/>
      <c r="CR29" s="43"/>
      <c r="CS29" s="43"/>
      <c r="CT29" s="43"/>
      <c r="CU29" s="43"/>
      <c r="CV29" s="43"/>
      <c r="CW29" s="43"/>
      <c r="CX29" s="43"/>
      <c r="CY29" s="283"/>
      <c r="CZ29" s="283"/>
      <c r="DA29" s="283"/>
      <c r="DB29" s="283"/>
      <c r="DC29" s="283"/>
      <c r="DD29" s="283"/>
      <c r="DE29" s="277"/>
      <c r="DF29" s="43"/>
      <c r="DG29" s="43"/>
      <c r="DH29" s="43"/>
      <c r="DI29" s="43"/>
      <c r="DJ29" s="43"/>
      <c r="DK29" s="43"/>
      <c r="DL29" s="43"/>
      <c r="DM29" s="43"/>
      <c r="DN29" s="43"/>
      <c r="DO29" s="43"/>
      <c r="DP29" s="43"/>
      <c r="DQ29" s="43"/>
      <c r="DR29" s="43"/>
      <c r="DS29" s="43"/>
      <c r="DT29" s="43"/>
      <c r="DU29" s="43"/>
      <c r="DV29" s="43"/>
      <c r="DW29" s="43"/>
      <c r="DX29" s="43"/>
      <c r="DY29" s="43"/>
      <c r="DZ29" s="43"/>
      <c r="EA29" s="43"/>
      <c r="EB29" s="43"/>
      <c r="EC29" s="43"/>
      <c r="ED29" s="43"/>
      <c r="EE29" s="43"/>
      <c r="EF29" s="43"/>
      <c r="EG29" s="43"/>
      <c r="EH29" s="283"/>
      <c r="EI29" s="283"/>
      <c r="EJ29" s="283"/>
      <c r="EK29" s="283"/>
      <c r="EL29" s="283"/>
      <c r="EM29" s="283"/>
      <c r="EN29" s="284">
        <f t="shared" si="1"/>
        <v>0</v>
      </c>
      <c r="EO29" s="410">
        <v>25</v>
      </c>
      <c r="EP29" s="43"/>
      <c r="EQ29" s="43"/>
      <c r="ER29" s="43"/>
      <c r="ES29" s="43"/>
      <c r="ET29" s="43"/>
      <c r="EU29" s="43"/>
      <c r="EV29" s="43"/>
      <c r="EW29" s="43"/>
      <c r="EX29" s="43"/>
      <c r="EY29" s="43"/>
      <c r="EZ29" s="43"/>
      <c r="FA29" s="43"/>
      <c r="FB29" s="43"/>
      <c r="FC29" s="43"/>
      <c r="FD29" s="43"/>
      <c r="FE29" s="43"/>
      <c r="FF29" s="43"/>
      <c r="FG29" s="43"/>
      <c r="FH29" s="43"/>
      <c r="FI29" s="43"/>
      <c r="FJ29" s="43"/>
      <c r="FK29" s="43"/>
      <c r="FL29" s="43"/>
      <c r="FM29" s="43"/>
      <c r="FN29" s="43"/>
      <c r="FO29" s="43"/>
      <c r="FP29" s="43"/>
      <c r="FQ29" s="43"/>
      <c r="FR29" s="43"/>
      <c r="FS29" s="43"/>
      <c r="FT29" s="43"/>
      <c r="FU29" s="43"/>
      <c r="FV29" s="43"/>
      <c r="FW29" s="43"/>
      <c r="FX29" s="43"/>
      <c r="FY29" s="43"/>
      <c r="FZ29" s="43"/>
      <c r="GA29" s="43"/>
      <c r="GB29" s="43"/>
      <c r="GC29" s="43"/>
      <c r="GD29" s="43"/>
      <c r="GE29" s="43"/>
      <c r="GF29" s="43"/>
      <c r="GG29" s="43"/>
      <c r="GH29" s="43"/>
      <c r="GI29" s="43"/>
      <c r="GJ29" s="43"/>
      <c r="GK29" s="43"/>
      <c r="GL29" s="43"/>
      <c r="GM29" s="43"/>
      <c r="GN29" s="43"/>
      <c r="GO29" s="43"/>
      <c r="GP29" s="43"/>
      <c r="GQ29" s="43"/>
      <c r="GR29" s="43"/>
      <c r="GS29" s="43"/>
      <c r="GT29" s="43"/>
      <c r="GU29" s="43"/>
      <c r="GV29" s="43"/>
      <c r="GW29" s="43"/>
      <c r="GX29" s="43"/>
      <c r="GY29" s="43"/>
      <c r="GZ29" s="43"/>
      <c r="HA29" s="43"/>
      <c r="HB29" s="43"/>
      <c r="HC29" s="43"/>
      <c r="HD29" s="43"/>
      <c r="HE29" s="43"/>
      <c r="HF29" s="43"/>
      <c r="HG29" s="43"/>
      <c r="HH29" s="403">
        <f t="shared" si="2"/>
        <v>0</v>
      </c>
    </row>
    <row r="30" spans="1:216" ht="15.75" thickBot="1">
      <c r="A30" s="312">
        <v>26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194"/>
      <c r="AI30" s="194"/>
      <c r="AJ30" s="194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  <c r="BF30" s="43"/>
      <c r="BG30" s="43"/>
      <c r="BH30" s="43"/>
      <c r="BI30" s="43"/>
      <c r="BJ30" s="43"/>
      <c r="BK30" s="43"/>
      <c r="BL30" s="43"/>
      <c r="BM30" s="43"/>
      <c r="BN30" s="43"/>
      <c r="BO30" s="43"/>
      <c r="BP30" s="43"/>
      <c r="BQ30" s="194"/>
      <c r="BR30" s="194"/>
      <c r="BS30" s="194"/>
      <c r="BT30" s="279">
        <f t="shared" si="0"/>
        <v>0</v>
      </c>
      <c r="BU30" s="281">
        <v>26</v>
      </c>
      <c r="BV30" s="277"/>
      <c r="BW30" s="43"/>
      <c r="BX30" s="43"/>
      <c r="BY30" s="43"/>
      <c r="BZ30" s="43"/>
      <c r="CA30" s="43"/>
      <c r="CB30" s="43"/>
      <c r="CC30" s="43"/>
      <c r="CD30" s="43"/>
      <c r="CE30" s="43"/>
      <c r="CF30" s="43"/>
      <c r="CG30" s="43"/>
      <c r="CH30" s="43"/>
      <c r="CI30" s="43"/>
      <c r="CJ30" s="43"/>
      <c r="CK30" s="43"/>
      <c r="CL30" s="43"/>
      <c r="CM30" s="43"/>
      <c r="CN30" s="43"/>
      <c r="CO30" s="43"/>
      <c r="CP30" s="43"/>
      <c r="CQ30" s="43"/>
      <c r="CR30" s="43"/>
      <c r="CS30" s="43"/>
      <c r="CT30" s="43"/>
      <c r="CU30" s="43"/>
      <c r="CV30" s="43"/>
      <c r="CW30" s="43"/>
      <c r="CX30" s="43"/>
      <c r="CY30" s="283"/>
      <c r="CZ30" s="283"/>
      <c r="DA30" s="283"/>
      <c r="DB30" s="283"/>
      <c r="DC30" s="283"/>
      <c r="DD30" s="283"/>
      <c r="DE30" s="277"/>
      <c r="DF30" s="43"/>
      <c r="DG30" s="43"/>
      <c r="DH30" s="43"/>
      <c r="DI30" s="43"/>
      <c r="DJ30" s="43"/>
      <c r="DK30" s="43"/>
      <c r="DL30" s="43"/>
      <c r="DM30" s="43"/>
      <c r="DN30" s="43"/>
      <c r="DO30" s="43"/>
      <c r="DP30" s="43"/>
      <c r="DQ30" s="43"/>
      <c r="DR30" s="43"/>
      <c r="DS30" s="43"/>
      <c r="DT30" s="43"/>
      <c r="DU30" s="43"/>
      <c r="DV30" s="43"/>
      <c r="DW30" s="43"/>
      <c r="DX30" s="43"/>
      <c r="DY30" s="43"/>
      <c r="DZ30" s="43"/>
      <c r="EA30" s="43"/>
      <c r="EB30" s="43"/>
      <c r="EC30" s="43"/>
      <c r="ED30" s="43"/>
      <c r="EE30" s="43"/>
      <c r="EF30" s="43"/>
      <c r="EG30" s="43"/>
      <c r="EH30" s="283"/>
      <c r="EI30" s="283"/>
      <c r="EJ30" s="283"/>
      <c r="EK30" s="283"/>
      <c r="EL30" s="283"/>
      <c r="EM30" s="283"/>
      <c r="EN30" s="284">
        <f t="shared" si="1"/>
        <v>0</v>
      </c>
      <c r="EO30" s="410">
        <v>26</v>
      </c>
      <c r="EP30" s="43"/>
      <c r="EQ30" s="43"/>
      <c r="ER30" s="43"/>
      <c r="ES30" s="43"/>
      <c r="ET30" s="43"/>
      <c r="EU30" s="43"/>
      <c r="EV30" s="43"/>
      <c r="EW30" s="43"/>
      <c r="EX30" s="43"/>
      <c r="EY30" s="43"/>
      <c r="EZ30" s="43"/>
      <c r="FA30" s="43"/>
      <c r="FB30" s="43"/>
      <c r="FC30" s="43"/>
      <c r="FD30" s="43"/>
      <c r="FE30" s="43"/>
      <c r="FF30" s="43"/>
      <c r="FG30" s="43"/>
      <c r="FH30" s="43"/>
      <c r="FI30" s="43"/>
      <c r="FJ30" s="43"/>
      <c r="FK30" s="43"/>
      <c r="FL30" s="43"/>
      <c r="FM30" s="43"/>
      <c r="FN30" s="43"/>
      <c r="FO30" s="43"/>
      <c r="FP30" s="43"/>
      <c r="FQ30" s="43"/>
      <c r="FR30" s="43"/>
      <c r="FS30" s="43"/>
      <c r="FT30" s="43"/>
      <c r="FU30" s="43"/>
      <c r="FV30" s="43"/>
      <c r="FW30" s="43"/>
      <c r="FX30" s="43"/>
      <c r="FY30" s="43"/>
      <c r="FZ30" s="43"/>
      <c r="GA30" s="43"/>
      <c r="GB30" s="43"/>
      <c r="GC30" s="43"/>
      <c r="GD30" s="43"/>
      <c r="GE30" s="43"/>
      <c r="GF30" s="43"/>
      <c r="GG30" s="43"/>
      <c r="GH30" s="43"/>
      <c r="GI30" s="43"/>
      <c r="GJ30" s="43"/>
      <c r="GK30" s="43"/>
      <c r="GL30" s="43"/>
      <c r="GM30" s="43"/>
      <c r="GN30" s="43"/>
      <c r="GO30" s="43"/>
      <c r="GP30" s="43"/>
      <c r="GQ30" s="43"/>
      <c r="GR30" s="43"/>
      <c r="GS30" s="43"/>
      <c r="GT30" s="43"/>
      <c r="GU30" s="43"/>
      <c r="GV30" s="43"/>
      <c r="GW30" s="43"/>
      <c r="GX30" s="43"/>
      <c r="GY30" s="43"/>
      <c r="GZ30" s="43"/>
      <c r="HA30" s="43"/>
      <c r="HB30" s="43"/>
      <c r="HC30" s="43"/>
      <c r="HD30" s="43"/>
      <c r="HE30" s="43"/>
      <c r="HF30" s="43"/>
      <c r="HG30" s="43"/>
      <c r="HH30" s="403">
        <f t="shared" si="2"/>
        <v>0</v>
      </c>
    </row>
    <row r="31" spans="1:216" ht="15.75" thickBot="1">
      <c r="A31" s="312">
        <v>27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194"/>
      <c r="AI31" s="194"/>
      <c r="AJ31" s="194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  <c r="BF31" s="43"/>
      <c r="BG31" s="43"/>
      <c r="BH31" s="43"/>
      <c r="BI31" s="43"/>
      <c r="BJ31" s="43"/>
      <c r="BK31" s="43"/>
      <c r="BL31" s="43"/>
      <c r="BM31" s="43"/>
      <c r="BN31" s="43"/>
      <c r="BO31" s="43"/>
      <c r="BP31" s="43"/>
      <c r="BQ31" s="194"/>
      <c r="BR31" s="194"/>
      <c r="BS31" s="194"/>
      <c r="BT31" s="279">
        <f t="shared" si="0"/>
        <v>0</v>
      </c>
      <c r="BU31" s="281">
        <v>27</v>
      </c>
      <c r="BV31" s="277"/>
      <c r="BW31" s="43"/>
      <c r="BX31" s="43"/>
      <c r="BY31" s="43"/>
      <c r="BZ31" s="43"/>
      <c r="CA31" s="43"/>
      <c r="CB31" s="43"/>
      <c r="CC31" s="43"/>
      <c r="CD31" s="43"/>
      <c r="CE31" s="43"/>
      <c r="CF31" s="43"/>
      <c r="CG31" s="43"/>
      <c r="CH31" s="43"/>
      <c r="CI31" s="43"/>
      <c r="CJ31" s="43"/>
      <c r="CK31" s="43"/>
      <c r="CL31" s="43"/>
      <c r="CM31" s="43"/>
      <c r="CN31" s="43"/>
      <c r="CO31" s="43"/>
      <c r="CP31" s="43"/>
      <c r="CQ31" s="43"/>
      <c r="CR31" s="43"/>
      <c r="CS31" s="43"/>
      <c r="CT31" s="43"/>
      <c r="CU31" s="43"/>
      <c r="CV31" s="43"/>
      <c r="CW31" s="43"/>
      <c r="CX31" s="43"/>
      <c r="CY31" s="283"/>
      <c r="CZ31" s="283"/>
      <c r="DA31" s="283"/>
      <c r="DB31" s="283"/>
      <c r="DC31" s="283"/>
      <c r="DD31" s="283"/>
      <c r="DE31" s="277"/>
      <c r="DF31" s="43"/>
      <c r="DG31" s="43"/>
      <c r="DH31" s="43"/>
      <c r="DI31" s="43"/>
      <c r="DJ31" s="43"/>
      <c r="DK31" s="43"/>
      <c r="DL31" s="43"/>
      <c r="DM31" s="43"/>
      <c r="DN31" s="43"/>
      <c r="DO31" s="43"/>
      <c r="DP31" s="43"/>
      <c r="DQ31" s="43"/>
      <c r="DR31" s="43"/>
      <c r="DS31" s="43"/>
      <c r="DT31" s="43"/>
      <c r="DU31" s="43"/>
      <c r="DV31" s="43"/>
      <c r="DW31" s="43"/>
      <c r="DX31" s="43"/>
      <c r="DY31" s="43"/>
      <c r="DZ31" s="43"/>
      <c r="EA31" s="43"/>
      <c r="EB31" s="43"/>
      <c r="EC31" s="43"/>
      <c r="ED31" s="43"/>
      <c r="EE31" s="43"/>
      <c r="EF31" s="43"/>
      <c r="EG31" s="43"/>
      <c r="EH31" s="283"/>
      <c r="EI31" s="283"/>
      <c r="EJ31" s="283"/>
      <c r="EK31" s="283"/>
      <c r="EL31" s="283"/>
      <c r="EM31" s="283"/>
      <c r="EN31" s="284">
        <f t="shared" si="1"/>
        <v>0</v>
      </c>
      <c r="EO31" s="410">
        <v>27</v>
      </c>
      <c r="EP31" s="43"/>
      <c r="EQ31" s="43"/>
      <c r="ER31" s="43"/>
      <c r="ES31" s="43"/>
      <c r="ET31" s="43"/>
      <c r="EU31" s="43"/>
      <c r="EV31" s="43"/>
      <c r="EW31" s="43"/>
      <c r="EX31" s="43"/>
      <c r="EY31" s="43"/>
      <c r="EZ31" s="43"/>
      <c r="FA31" s="43"/>
      <c r="FB31" s="43"/>
      <c r="FC31" s="43"/>
      <c r="FD31" s="43"/>
      <c r="FE31" s="43"/>
      <c r="FF31" s="43"/>
      <c r="FG31" s="43"/>
      <c r="FH31" s="43"/>
      <c r="FI31" s="43"/>
      <c r="FJ31" s="43"/>
      <c r="FK31" s="43"/>
      <c r="FL31" s="43"/>
      <c r="FM31" s="43"/>
      <c r="FN31" s="43"/>
      <c r="FO31" s="43"/>
      <c r="FP31" s="43"/>
      <c r="FQ31" s="43"/>
      <c r="FR31" s="43"/>
      <c r="FS31" s="43"/>
      <c r="FT31" s="43"/>
      <c r="FU31" s="43"/>
      <c r="FV31" s="43"/>
      <c r="FW31" s="43"/>
      <c r="FX31" s="43"/>
      <c r="FY31" s="43"/>
      <c r="FZ31" s="43"/>
      <c r="GA31" s="43"/>
      <c r="GB31" s="43"/>
      <c r="GC31" s="43"/>
      <c r="GD31" s="43"/>
      <c r="GE31" s="43"/>
      <c r="GF31" s="43"/>
      <c r="GG31" s="43"/>
      <c r="GH31" s="43"/>
      <c r="GI31" s="43"/>
      <c r="GJ31" s="43"/>
      <c r="GK31" s="43"/>
      <c r="GL31" s="43"/>
      <c r="GM31" s="43"/>
      <c r="GN31" s="43"/>
      <c r="GO31" s="43"/>
      <c r="GP31" s="43"/>
      <c r="GQ31" s="43"/>
      <c r="GR31" s="43"/>
      <c r="GS31" s="43"/>
      <c r="GT31" s="43"/>
      <c r="GU31" s="43"/>
      <c r="GV31" s="43"/>
      <c r="GW31" s="43"/>
      <c r="GX31" s="43"/>
      <c r="GY31" s="43"/>
      <c r="GZ31" s="43"/>
      <c r="HA31" s="43"/>
      <c r="HB31" s="43"/>
      <c r="HC31" s="43"/>
      <c r="HD31" s="43"/>
      <c r="HE31" s="43"/>
      <c r="HF31" s="43"/>
      <c r="HG31" s="43"/>
      <c r="HH31" s="403">
        <f t="shared" si="2"/>
        <v>0</v>
      </c>
    </row>
    <row r="32" spans="1:216" ht="15.75" thickBot="1">
      <c r="A32" s="312">
        <v>28</v>
      </c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194"/>
      <c r="AI32" s="194"/>
      <c r="AJ32" s="194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43"/>
      <c r="BD32" s="43"/>
      <c r="BE32" s="43"/>
      <c r="BF32" s="43"/>
      <c r="BG32" s="43"/>
      <c r="BH32" s="43"/>
      <c r="BI32" s="43"/>
      <c r="BJ32" s="43"/>
      <c r="BK32" s="43"/>
      <c r="BL32" s="43"/>
      <c r="BM32" s="43"/>
      <c r="BN32" s="43"/>
      <c r="BO32" s="43"/>
      <c r="BP32" s="43"/>
      <c r="BQ32" s="194"/>
      <c r="BR32" s="194"/>
      <c r="BS32" s="194"/>
      <c r="BT32" s="279">
        <f t="shared" si="0"/>
        <v>0</v>
      </c>
      <c r="BU32" s="280">
        <v>28</v>
      </c>
      <c r="BV32" s="43"/>
      <c r="BW32" s="43"/>
      <c r="BX32" s="43"/>
      <c r="BY32" s="43"/>
      <c r="BZ32" s="43"/>
      <c r="CA32" s="43"/>
      <c r="CB32" s="43"/>
      <c r="CC32" s="43"/>
      <c r="CD32" s="43"/>
      <c r="CE32" s="43"/>
      <c r="CF32" s="43"/>
      <c r="CG32" s="43"/>
      <c r="CH32" s="43"/>
      <c r="CI32" s="43"/>
      <c r="CJ32" s="43"/>
      <c r="CK32" s="43"/>
      <c r="CL32" s="43"/>
      <c r="CM32" s="43"/>
      <c r="CN32" s="43"/>
      <c r="CO32" s="43"/>
      <c r="CP32" s="43"/>
      <c r="CQ32" s="43"/>
      <c r="CR32" s="43"/>
      <c r="CS32" s="43"/>
      <c r="CT32" s="43"/>
      <c r="CU32" s="43"/>
      <c r="CV32" s="43"/>
      <c r="CW32" s="43"/>
      <c r="CX32" s="43"/>
      <c r="CY32" s="283"/>
      <c r="CZ32" s="283"/>
      <c r="DA32" s="283"/>
      <c r="DB32" s="283"/>
      <c r="DC32" s="283"/>
      <c r="DD32" s="283"/>
      <c r="DE32" s="43"/>
      <c r="DF32" s="43"/>
      <c r="DG32" s="43"/>
      <c r="DH32" s="43"/>
      <c r="DI32" s="43"/>
      <c r="DJ32" s="43"/>
      <c r="DK32" s="43"/>
      <c r="DL32" s="43"/>
      <c r="DM32" s="43"/>
      <c r="DN32" s="43"/>
      <c r="DO32" s="43"/>
      <c r="DP32" s="43"/>
      <c r="DQ32" s="43"/>
      <c r="DR32" s="43"/>
      <c r="DS32" s="43"/>
      <c r="DT32" s="43"/>
      <c r="DU32" s="43"/>
      <c r="DV32" s="43"/>
      <c r="DW32" s="43"/>
      <c r="DX32" s="43"/>
      <c r="DY32" s="43"/>
      <c r="DZ32" s="43"/>
      <c r="EA32" s="43"/>
      <c r="EB32" s="43"/>
      <c r="EC32" s="43"/>
      <c r="ED32" s="43"/>
      <c r="EE32" s="43"/>
      <c r="EF32" s="43"/>
      <c r="EG32" s="43"/>
      <c r="EH32" s="283"/>
      <c r="EI32" s="283"/>
      <c r="EJ32" s="283"/>
      <c r="EK32" s="283"/>
      <c r="EL32" s="283"/>
      <c r="EM32" s="283"/>
      <c r="EN32" s="284">
        <f t="shared" si="1"/>
        <v>0</v>
      </c>
      <c r="EO32" s="410">
        <v>28</v>
      </c>
      <c r="EP32" s="43"/>
      <c r="EQ32" s="43"/>
      <c r="ER32" s="43"/>
      <c r="ES32" s="43"/>
      <c r="ET32" s="43"/>
      <c r="EU32" s="43"/>
      <c r="EV32" s="43"/>
      <c r="EW32" s="43"/>
      <c r="EX32" s="43"/>
      <c r="EY32" s="43"/>
      <c r="EZ32" s="43"/>
      <c r="FA32" s="43"/>
      <c r="FB32" s="43"/>
      <c r="FC32" s="43"/>
      <c r="FD32" s="43"/>
      <c r="FE32" s="43"/>
      <c r="FF32" s="43"/>
      <c r="FG32" s="43"/>
      <c r="FH32" s="43"/>
      <c r="FI32" s="43"/>
      <c r="FJ32" s="43"/>
      <c r="FK32" s="43"/>
      <c r="FL32" s="43"/>
      <c r="FM32" s="43"/>
      <c r="FN32" s="43"/>
      <c r="FO32" s="43"/>
      <c r="FP32" s="43"/>
      <c r="FQ32" s="43"/>
      <c r="FR32" s="43"/>
      <c r="FS32" s="43"/>
      <c r="FT32" s="43"/>
      <c r="FU32" s="43"/>
      <c r="FV32" s="43"/>
      <c r="FW32" s="43"/>
      <c r="FX32" s="43"/>
      <c r="FY32" s="43"/>
      <c r="FZ32" s="43"/>
      <c r="GA32" s="43"/>
      <c r="GB32" s="43"/>
      <c r="GC32" s="43"/>
      <c r="GD32" s="43"/>
      <c r="GE32" s="43"/>
      <c r="GF32" s="43"/>
      <c r="GG32" s="43"/>
      <c r="GH32" s="43"/>
      <c r="GI32" s="43"/>
      <c r="GJ32" s="43"/>
      <c r="GK32" s="43"/>
      <c r="GL32" s="43"/>
      <c r="GM32" s="43"/>
      <c r="GN32" s="43"/>
      <c r="GO32" s="43"/>
      <c r="GP32" s="43"/>
      <c r="GQ32" s="43"/>
      <c r="GR32" s="43"/>
      <c r="GS32" s="43"/>
      <c r="GT32" s="43"/>
      <c r="GU32" s="43"/>
      <c r="GV32" s="43"/>
      <c r="GW32" s="43"/>
      <c r="GX32" s="43"/>
      <c r="GY32" s="43"/>
      <c r="GZ32" s="43"/>
      <c r="HA32" s="43"/>
      <c r="HB32" s="43"/>
      <c r="HC32" s="43"/>
      <c r="HD32" s="43"/>
      <c r="HE32" s="43"/>
      <c r="HF32" s="43"/>
      <c r="HG32" s="43"/>
      <c r="HH32" s="403">
        <f t="shared" si="2"/>
        <v>0</v>
      </c>
    </row>
    <row r="33" spans="1:216" s="1" customFormat="1" ht="15.75" thickBot="1">
      <c r="A33" s="312">
        <v>29</v>
      </c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194"/>
      <c r="AI33" s="194"/>
      <c r="AJ33" s="194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43"/>
      <c r="BD33" s="43"/>
      <c r="BE33" s="43"/>
      <c r="BF33" s="43"/>
      <c r="BG33" s="43"/>
      <c r="BH33" s="43"/>
      <c r="BI33" s="43"/>
      <c r="BJ33" s="43"/>
      <c r="BK33" s="43"/>
      <c r="BL33" s="43"/>
      <c r="BM33" s="43"/>
      <c r="BN33" s="43"/>
      <c r="BO33" s="43"/>
      <c r="BP33" s="43"/>
      <c r="BQ33" s="194"/>
      <c r="BR33" s="194"/>
      <c r="BS33" s="194"/>
      <c r="BT33" s="279">
        <f t="shared" si="0"/>
        <v>0</v>
      </c>
      <c r="BU33" s="281">
        <v>29</v>
      </c>
      <c r="BV33" s="277"/>
      <c r="BW33" s="43"/>
      <c r="BX33" s="43"/>
      <c r="BY33" s="43"/>
      <c r="BZ33" s="43"/>
      <c r="CA33" s="43"/>
      <c r="CB33" s="43"/>
      <c r="CC33" s="43"/>
      <c r="CD33" s="43"/>
      <c r="CE33" s="43"/>
      <c r="CF33" s="43"/>
      <c r="CG33" s="43"/>
      <c r="CH33" s="43"/>
      <c r="CI33" s="43"/>
      <c r="CJ33" s="43"/>
      <c r="CK33" s="43"/>
      <c r="CL33" s="43"/>
      <c r="CM33" s="43"/>
      <c r="CN33" s="43"/>
      <c r="CO33" s="43"/>
      <c r="CP33" s="43"/>
      <c r="CQ33" s="43"/>
      <c r="CR33" s="43"/>
      <c r="CS33" s="43"/>
      <c r="CT33" s="43"/>
      <c r="CU33" s="43"/>
      <c r="CV33" s="43"/>
      <c r="CW33" s="43"/>
      <c r="CX33" s="43"/>
      <c r="CY33" s="283"/>
      <c r="CZ33" s="283"/>
      <c r="DA33" s="283"/>
      <c r="DB33" s="283"/>
      <c r="DC33" s="283"/>
      <c r="DD33" s="283"/>
      <c r="DE33" s="277"/>
      <c r="DF33" s="43"/>
      <c r="DG33" s="43"/>
      <c r="DH33" s="43"/>
      <c r="DI33" s="43"/>
      <c r="DJ33" s="43"/>
      <c r="DK33" s="43"/>
      <c r="DL33" s="43"/>
      <c r="DM33" s="43"/>
      <c r="DN33" s="43"/>
      <c r="DO33" s="43"/>
      <c r="DP33" s="43"/>
      <c r="DQ33" s="43"/>
      <c r="DR33" s="43"/>
      <c r="DS33" s="43"/>
      <c r="DT33" s="43"/>
      <c r="DU33" s="43"/>
      <c r="DV33" s="43"/>
      <c r="DW33" s="43"/>
      <c r="DX33" s="43"/>
      <c r="DY33" s="43"/>
      <c r="DZ33" s="43"/>
      <c r="EA33" s="43"/>
      <c r="EB33" s="43"/>
      <c r="EC33" s="43"/>
      <c r="ED33" s="43"/>
      <c r="EE33" s="43"/>
      <c r="EF33" s="43"/>
      <c r="EG33" s="43"/>
      <c r="EH33" s="283"/>
      <c r="EI33" s="283"/>
      <c r="EJ33" s="283"/>
      <c r="EK33" s="283"/>
      <c r="EL33" s="283"/>
      <c r="EM33" s="283"/>
      <c r="EN33" s="284">
        <f t="shared" si="1"/>
        <v>0</v>
      </c>
      <c r="EO33" s="410">
        <v>29</v>
      </c>
      <c r="EP33" s="43"/>
      <c r="EQ33" s="43"/>
      <c r="ER33" s="43"/>
      <c r="ES33" s="43"/>
      <c r="ET33" s="43"/>
      <c r="EU33" s="43"/>
      <c r="EV33" s="43"/>
      <c r="EW33" s="43"/>
      <c r="EX33" s="43"/>
      <c r="EY33" s="43"/>
      <c r="EZ33" s="43"/>
      <c r="FA33" s="43"/>
      <c r="FB33" s="43"/>
      <c r="FC33" s="43"/>
      <c r="FD33" s="43"/>
      <c r="FE33" s="43"/>
      <c r="FF33" s="43"/>
      <c r="FG33" s="43"/>
      <c r="FH33" s="43"/>
      <c r="FI33" s="43"/>
      <c r="FJ33" s="43"/>
      <c r="FK33" s="43"/>
      <c r="FL33" s="43"/>
      <c r="FM33" s="43"/>
      <c r="FN33" s="43"/>
      <c r="FO33" s="43"/>
      <c r="FP33" s="43"/>
      <c r="FQ33" s="43"/>
      <c r="FR33" s="43"/>
      <c r="FS33" s="43"/>
      <c r="FT33" s="43"/>
      <c r="FU33" s="43"/>
      <c r="FV33" s="43"/>
      <c r="FW33" s="43"/>
      <c r="FX33" s="43"/>
      <c r="FY33" s="43"/>
      <c r="FZ33" s="43"/>
      <c r="GA33" s="43"/>
      <c r="GB33" s="43"/>
      <c r="GC33" s="43"/>
      <c r="GD33" s="43"/>
      <c r="GE33" s="43"/>
      <c r="GF33" s="43"/>
      <c r="GG33" s="43"/>
      <c r="GH33" s="43"/>
      <c r="GI33" s="43"/>
      <c r="GJ33" s="43"/>
      <c r="GK33" s="43"/>
      <c r="GL33" s="43"/>
      <c r="GM33" s="43"/>
      <c r="GN33" s="43"/>
      <c r="GO33" s="43"/>
      <c r="GP33" s="43"/>
      <c r="GQ33" s="43"/>
      <c r="GR33" s="43"/>
      <c r="GS33" s="43"/>
      <c r="GT33" s="43"/>
      <c r="GU33" s="43"/>
      <c r="GV33" s="43"/>
      <c r="GW33" s="43"/>
      <c r="GX33" s="43"/>
      <c r="GY33" s="43"/>
      <c r="GZ33" s="43"/>
      <c r="HA33" s="43"/>
      <c r="HB33" s="43"/>
      <c r="HC33" s="43"/>
      <c r="HD33" s="43"/>
      <c r="HE33" s="43"/>
      <c r="HF33" s="43"/>
      <c r="HG33" s="43"/>
      <c r="HH33" s="403">
        <f t="shared" si="2"/>
        <v>0</v>
      </c>
    </row>
    <row r="34" spans="1:216" ht="15.75" thickBot="1">
      <c r="A34" s="312">
        <v>30</v>
      </c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194"/>
      <c r="AI34" s="194"/>
      <c r="AJ34" s="194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  <c r="BD34" s="43"/>
      <c r="BE34" s="43"/>
      <c r="BF34" s="43"/>
      <c r="BG34" s="43"/>
      <c r="BH34" s="43"/>
      <c r="BI34" s="43"/>
      <c r="BJ34" s="43"/>
      <c r="BK34" s="43"/>
      <c r="BL34" s="43"/>
      <c r="BM34" s="43"/>
      <c r="BN34" s="43"/>
      <c r="BO34" s="43"/>
      <c r="BP34" s="43"/>
      <c r="BQ34" s="194"/>
      <c r="BR34" s="194"/>
      <c r="BS34" s="194"/>
      <c r="BT34" s="279">
        <f t="shared" si="0"/>
        <v>0</v>
      </c>
      <c r="BU34" s="281">
        <v>30</v>
      </c>
      <c r="BV34" s="277"/>
      <c r="BW34" s="43"/>
      <c r="BX34" s="43"/>
      <c r="BY34" s="43"/>
      <c r="BZ34" s="43"/>
      <c r="CA34" s="43"/>
      <c r="CB34" s="43"/>
      <c r="CC34" s="43"/>
      <c r="CD34" s="43"/>
      <c r="CE34" s="43"/>
      <c r="CF34" s="43"/>
      <c r="CG34" s="43"/>
      <c r="CH34" s="43"/>
      <c r="CI34" s="43"/>
      <c r="CJ34" s="43"/>
      <c r="CK34" s="43"/>
      <c r="CL34" s="43"/>
      <c r="CM34" s="43"/>
      <c r="CN34" s="43"/>
      <c r="CO34" s="43"/>
      <c r="CP34" s="43"/>
      <c r="CQ34" s="43"/>
      <c r="CR34" s="43"/>
      <c r="CS34" s="43"/>
      <c r="CT34" s="43"/>
      <c r="CU34" s="43"/>
      <c r="CV34" s="43"/>
      <c r="CW34" s="43"/>
      <c r="CX34" s="43"/>
      <c r="CY34" s="283"/>
      <c r="CZ34" s="283"/>
      <c r="DA34" s="283"/>
      <c r="DB34" s="283"/>
      <c r="DC34" s="283"/>
      <c r="DD34" s="283"/>
      <c r="DE34" s="277"/>
      <c r="DF34" s="43"/>
      <c r="DG34" s="43"/>
      <c r="DH34" s="43"/>
      <c r="DI34" s="43"/>
      <c r="DJ34" s="43"/>
      <c r="DK34" s="43"/>
      <c r="DL34" s="43"/>
      <c r="DM34" s="43"/>
      <c r="DN34" s="43"/>
      <c r="DO34" s="43"/>
      <c r="DP34" s="43"/>
      <c r="DQ34" s="43"/>
      <c r="DR34" s="43"/>
      <c r="DS34" s="43"/>
      <c r="DT34" s="43"/>
      <c r="DU34" s="43"/>
      <c r="DV34" s="43"/>
      <c r="DW34" s="43"/>
      <c r="DX34" s="43"/>
      <c r="DY34" s="43"/>
      <c r="DZ34" s="43"/>
      <c r="EA34" s="43"/>
      <c r="EB34" s="43"/>
      <c r="EC34" s="43"/>
      <c r="ED34" s="43"/>
      <c r="EE34" s="43"/>
      <c r="EF34" s="43"/>
      <c r="EG34" s="43"/>
      <c r="EH34" s="283"/>
      <c r="EI34" s="283"/>
      <c r="EJ34" s="283"/>
      <c r="EK34" s="283"/>
      <c r="EL34" s="283"/>
      <c r="EM34" s="283"/>
      <c r="EN34" s="284">
        <f t="shared" si="1"/>
        <v>0</v>
      </c>
      <c r="EO34" s="410">
        <v>30</v>
      </c>
      <c r="EP34" s="43"/>
      <c r="EQ34" s="43"/>
      <c r="ER34" s="43"/>
      <c r="ES34" s="43"/>
      <c r="ET34" s="43"/>
      <c r="EU34" s="43"/>
      <c r="EV34" s="43"/>
      <c r="EW34" s="43"/>
      <c r="EX34" s="43"/>
      <c r="EY34" s="43"/>
      <c r="EZ34" s="43"/>
      <c r="FA34" s="43"/>
      <c r="FB34" s="43"/>
      <c r="FC34" s="43"/>
      <c r="FD34" s="43"/>
      <c r="FE34" s="43"/>
      <c r="FF34" s="43"/>
      <c r="FG34" s="43"/>
      <c r="FH34" s="43"/>
      <c r="FI34" s="43"/>
      <c r="FJ34" s="43"/>
      <c r="FK34" s="43"/>
      <c r="FL34" s="43"/>
      <c r="FM34" s="43"/>
      <c r="FN34" s="43"/>
      <c r="FO34" s="43"/>
      <c r="FP34" s="43"/>
      <c r="FQ34" s="43"/>
      <c r="FR34" s="43"/>
      <c r="FS34" s="43"/>
      <c r="FT34" s="43"/>
      <c r="FU34" s="43"/>
      <c r="FV34" s="43"/>
      <c r="FW34" s="43"/>
      <c r="FX34" s="43"/>
      <c r="FY34" s="43"/>
      <c r="FZ34" s="43"/>
      <c r="GA34" s="43"/>
      <c r="GB34" s="43"/>
      <c r="GC34" s="43"/>
      <c r="GD34" s="43"/>
      <c r="GE34" s="43"/>
      <c r="GF34" s="43"/>
      <c r="GG34" s="43"/>
      <c r="GH34" s="43"/>
      <c r="GI34" s="43"/>
      <c r="GJ34" s="43"/>
      <c r="GK34" s="43"/>
      <c r="GL34" s="43"/>
      <c r="GM34" s="43"/>
      <c r="GN34" s="43"/>
      <c r="GO34" s="43"/>
      <c r="GP34" s="43"/>
      <c r="GQ34" s="43"/>
      <c r="GR34" s="43"/>
      <c r="GS34" s="43"/>
      <c r="GT34" s="43"/>
      <c r="GU34" s="43"/>
      <c r="GV34" s="43"/>
      <c r="GW34" s="43"/>
      <c r="GX34" s="43"/>
      <c r="GY34" s="43"/>
      <c r="GZ34" s="43"/>
      <c r="HA34" s="43"/>
      <c r="HB34" s="43"/>
      <c r="HC34" s="43"/>
      <c r="HD34" s="43"/>
      <c r="HE34" s="43"/>
      <c r="HF34" s="43"/>
      <c r="HG34" s="43"/>
      <c r="HH34" s="403">
        <f t="shared" si="2"/>
        <v>0</v>
      </c>
    </row>
    <row r="35" spans="1:216" ht="15.75" thickBot="1">
      <c r="A35" s="312">
        <v>31</v>
      </c>
      <c r="B35" s="278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194"/>
      <c r="AI35" s="194"/>
      <c r="AJ35" s="194"/>
      <c r="AK35" s="278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43"/>
      <c r="BE35" s="43"/>
      <c r="BF35" s="43"/>
      <c r="BG35" s="43"/>
      <c r="BH35" s="43"/>
      <c r="BI35" s="43"/>
      <c r="BJ35" s="43"/>
      <c r="BK35" s="43"/>
      <c r="BL35" s="43"/>
      <c r="BM35" s="43"/>
      <c r="BN35" s="43"/>
      <c r="BO35" s="43"/>
      <c r="BP35" s="43"/>
      <c r="BQ35" s="194"/>
      <c r="BR35" s="194"/>
      <c r="BS35" s="194"/>
      <c r="BT35" s="279">
        <f t="shared" si="0"/>
        <v>0</v>
      </c>
      <c r="BU35" s="280">
        <v>31</v>
      </c>
      <c r="BV35" s="282"/>
      <c r="BW35" s="43"/>
      <c r="BX35" s="43"/>
      <c r="BY35" s="43"/>
      <c r="BZ35" s="43"/>
      <c r="CA35" s="43"/>
      <c r="CB35" s="43"/>
      <c r="CC35" s="43"/>
      <c r="CD35" s="43"/>
      <c r="CE35" s="43"/>
      <c r="CF35" s="43"/>
      <c r="CG35" s="43"/>
      <c r="CH35" s="43"/>
      <c r="CI35" s="43"/>
      <c r="CJ35" s="43"/>
      <c r="CK35" s="43"/>
      <c r="CL35" s="43"/>
      <c r="CM35" s="43"/>
      <c r="CN35" s="43"/>
      <c r="CO35" s="43"/>
      <c r="CP35" s="43"/>
      <c r="CQ35" s="43"/>
      <c r="CR35" s="43"/>
      <c r="CS35" s="43"/>
      <c r="CT35" s="43"/>
      <c r="CU35" s="43"/>
      <c r="CV35" s="43"/>
      <c r="CW35" s="43"/>
      <c r="CX35" s="43"/>
      <c r="CY35" s="283"/>
      <c r="CZ35" s="283"/>
      <c r="DA35" s="283"/>
      <c r="DB35" s="283"/>
      <c r="DC35" s="283"/>
      <c r="DD35" s="283"/>
      <c r="DE35" s="282"/>
      <c r="DF35" s="43"/>
      <c r="DG35" s="43"/>
      <c r="DH35" s="43"/>
      <c r="DI35" s="43"/>
      <c r="DJ35" s="43"/>
      <c r="DK35" s="43"/>
      <c r="DL35" s="43"/>
      <c r="DM35" s="43"/>
      <c r="DN35" s="43"/>
      <c r="DO35" s="43"/>
      <c r="DP35" s="43"/>
      <c r="DQ35" s="43"/>
      <c r="DR35" s="43"/>
      <c r="DS35" s="43"/>
      <c r="DT35" s="43"/>
      <c r="DU35" s="43"/>
      <c r="DV35" s="43"/>
      <c r="DW35" s="43"/>
      <c r="DX35" s="43"/>
      <c r="DY35" s="43"/>
      <c r="DZ35" s="43"/>
      <c r="EA35" s="43"/>
      <c r="EB35" s="43"/>
      <c r="EC35" s="43"/>
      <c r="ED35" s="43"/>
      <c r="EE35" s="43"/>
      <c r="EF35" s="43"/>
      <c r="EG35" s="43"/>
      <c r="EH35" s="283"/>
      <c r="EI35" s="283"/>
      <c r="EJ35" s="283"/>
      <c r="EK35" s="283"/>
      <c r="EL35" s="283"/>
      <c r="EM35" s="283"/>
      <c r="EN35" s="284">
        <f t="shared" si="1"/>
        <v>0</v>
      </c>
      <c r="EO35" s="410">
        <v>31</v>
      </c>
      <c r="EP35" s="43"/>
      <c r="EQ35" s="43"/>
      <c r="ER35" s="43"/>
      <c r="ES35" s="43"/>
      <c r="ET35" s="43"/>
      <c r="EU35" s="43"/>
      <c r="EV35" s="43"/>
      <c r="EW35" s="43"/>
      <c r="EX35" s="43"/>
      <c r="EY35" s="43"/>
      <c r="EZ35" s="43"/>
      <c r="FA35" s="43"/>
      <c r="FB35" s="43"/>
      <c r="FC35" s="43"/>
      <c r="FD35" s="43"/>
      <c r="FE35" s="43"/>
      <c r="FF35" s="43"/>
      <c r="FG35" s="43"/>
      <c r="FH35" s="43"/>
      <c r="FI35" s="43"/>
      <c r="FJ35" s="43"/>
      <c r="FK35" s="43"/>
      <c r="FL35" s="43"/>
      <c r="FM35" s="43"/>
      <c r="FN35" s="43"/>
      <c r="FO35" s="43"/>
      <c r="FP35" s="43"/>
      <c r="FQ35" s="43"/>
      <c r="FR35" s="43"/>
      <c r="FS35" s="43"/>
      <c r="FT35" s="43"/>
      <c r="FU35" s="43"/>
      <c r="FV35" s="43"/>
      <c r="FW35" s="43"/>
      <c r="FX35" s="43"/>
      <c r="FY35" s="43"/>
      <c r="FZ35" s="43"/>
      <c r="GA35" s="43"/>
      <c r="GB35" s="43"/>
      <c r="GC35" s="43"/>
      <c r="GD35" s="43"/>
      <c r="GE35" s="43"/>
      <c r="GF35" s="43"/>
      <c r="GG35" s="43"/>
      <c r="GH35" s="43"/>
      <c r="GI35" s="43"/>
      <c r="GJ35" s="43"/>
      <c r="GK35" s="43"/>
      <c r="GL35" s="43"/>
      <c r="GM35" s="43"/>
      <c r="GN35" s="43"/>
      <c r="GO35" s="43"/>
      <c r="GP35" s="43"/>
      <c r="GQ35" s="43"/>
      <c r="GR35" s="43"/>
      <c r="GS35" s="43"/>
      <c r="GT35" s="43"/>
      <c r="GU35" s="43"/>
      <c r="GV35" s="43"/>
      <c r="GW35" s="43"/>
      <c r="GX35" s="43"/>
      <c r="GY35" s="43"/>
      <c r="GZ35" s="43"/>
      <c r="HA35" s="43"/>
      <c r="HB35" s="43"/>
      <c r="HC35" s="43"/>
      <c r="HD35" s="43"/>
      <c r="HE35" s="43"/>
      <c r="HF35" s="43"/>
      <c r="HG35" s="43"/>
      <c r="HH35" s="403">
        <f t="shared" si="2"/>
        <v>0</v>
      </c>
    </row>
    <row r="36" spans="1:216" ht="15.75" thickBot="1">
      <c r="A36" s="113" t="s">
        <v>59</v>
      </c>
      <c r="B36" s="113">
        <f>SUM(B5:B35)</f>
        <v>0</v>
      </c>
      <c r="C36" s="113">
        <f t="shared" ref="C36:AJ36" si="3">SUM(C5:C35)</f>
        <v>0</v>
      </c>
      <c r="D36" s="113">
        <f t="shared" si="3"/>
        <v>0</v>
      </c>
      <c r="E36" s="113">
        <f t="shared" si="3"/>
        <v>0</v>
      </c>
      <c r="F36" s="113">
        <f t="shared" si="3"/>
        <v>0</v>
      </c>
      <c r="G36" s="113">
        <f t="shared" si="3"/>
        <v>0</v>
      </c>
      <c r="H36" s="113">
        <f t="shared" si="3"/>
        <v>0</v>
      </c>
      <c r="I36" s="113">
        <f t="shared" si="3"/>
        <v>0</v>
      </c>
      <c r="J36" s="113">
        <f t="shared" si="3"/>
        <v>0</v>
      </c>
      <c r="K36" s="113">
        <f t="shared" si="3"/>
        <v>0</v>
      </c>
      <c r="L36" s="113">
        <f t="shared" si="3"/>
        <v>0</v>
      </c>
      <c r="M36" s="113">
        <f t="shared" si="3"/>
        <v>0</v>
      </c>
      <c r="N36" s="113">
        <f t="shared" si="3"/>
        <v>0</v>
      </c>
      <c r="O36" s="113">
        <f t="shared" si="3"/>
        <v>0</v>
      </c>
      <c r="P36" s="113">
        <f t="shared" si="3"/>
        <v>0</v>
      </c>
      <c r="Q36" s="113">
        <f t="shared" si="3"/>
        <v>0</v>
      </c>
      <c r="R36" s="113">
        <f t="shared" si="3"/>
        <v>0</v>
      </c>
      <c r="S36" s="113">
        <f t="shared" si="3"/>
        <v>0</v>
      </c>
      <c r="T36" s="113">
        <f t="shared" si="3"/>
        <v>0</v>
      </c>
      <c r="U36" s="113">
        <f t="shared" si="3"/>
        <v>0</v>
      </c>
      <c r="V36" s="113">
        <f t="shared" si="3"/>
        <v>0</v>
      </c>
      <c r="W36" s="113">
        <f t="shared" si="3"/>
        <v>0</v>
      </c>
      <c r="X36" s="113">
        <f t="shared" si="3"/>
        <v>0</v>
      </c>
      <c r="Y36" s="113">
        <f t="shared" si="3"/>
        <v>0</v>
      </c>
      <c r="Z36" s="113">
        <f t="shared" si="3"/>
        <v>0</v>
      </c>
      <c r="AA36" s="113">
        <f t="shared" si="3"/>
        <v>0</v>
      </c>
      <c r="AB36" s="113">
        <f t="shared" si="3"/>
        <v>0</v>
      </c>
      <c r="AC36" s="113">
        <f t="shared" si="3"/>
        <v>0</v>
      </c>
      <c r="AD36" s="400">
        <f t="shared" si="3"/>
        <v>0</v>
      </c>
      <c r="AE36" s="400">
        <f t="shared" si="3"/>
        <v>0</v>
      </c>
      <c r="AF36" s="400">
        <f t="shared" si="3"/>
        <v>0</v>
      </c>
      <c r="AG36" s="400">
        <f t="shared" si="3"/>
        <v>0</v>
      </c>
      <c r="AH36" s="400">
        <f t="shared" si="3"/>
        <v>0</v>
      </c>
      <c r="AI36" s="400">
        <f t="shared" si="3"/>
        <v>0</v>
      </c>
      <c r="AJ36" s="400">
        <f t="shared" si="3"/>
        <v>0</v>
      </c>
      <c r="AK36" s="113">
        <f>SUM(AK5:AK35)</f>
        <v>0</v>
      </c>
      <c r="AL36" s="113">
        <f t="shared" ref="AL36:BS36" si="4">SUM(AL5:AL35)</f>
        <v>0</v>
      </c>
      <c r="AM36" s="113">
        <f t="shared" si="4"/>
        <v>0</v>
      </c>
      <c r="AN36" s="113">
        <f t="shared" si="4"/>
        <v>0</v>
      </c>
      <c r="AO36" s="113">
        <f t="shared" si="4"/>
        <v>0</v>
      </c>
      <c r="AP36" s="113">
        <f t="shared" si="4"/>
        <v>0</v>
      </c>
      <c r="AQ36" s="113">
        <f t="shared" si="4"/>
        <v>0</v>
      </c>
      <c r="AR36" s="113">
        <f t="shared" si="4"/>
        <v>0</v>
      </c>
      <c r="AS36" s="113">
        <f t="shared" si="4"/>
        <v>0</v>
      </c>
      <c r="AT36" s="113">
        <f t="shared" si="4"/>
        <v>0</v>
      </c>
      <c r="AU36" s="113">
        <f t="shared" si="4"/>
        <v>0</v>
      </c>
      <c r="AV36" s="113">
        <f t="shared" si="4"/>
        <v>0</v>
      </c>
      <c r="AW36" s="113">
        <f t="shared" si="4"/>
        <v>0</v>
      </c>
      <c r="AX36" s="113">
        <f t="shared" si="4"/>
        <v>0</v>
      </c>
      <c r="AY36" s="113">
        <f t="shared" si="4"/>
        <v>0</v>
      </c>
      <c r="AZ36" s="113">
        <f t="shared" si="4"/>
        <v>0</v>
      </c>
      <c r="BA36" s="113">
        <f t="shared" si="4"/>
        <v>0</v>
      </c>
      <c r="BB36" s="113">
        <f t="shared" si="4"/>
        <v>0</v>
      </c>
      <c r="BC36" s="113">
        <f t="shared" si="4"/>
        <v>0</v>
      </c>
      <c r="BD36" s="113">
        <f t="shared" si="4"/>
        <v>0</v>
      </c>
      <c r="BE36" s="113">
        <f t="shared" si="4"/>
        <v>0</v>
      </c>
      <c r="BF36" s="113">
        <f t="shared" si="4"/>
        <v>0</v>
      </c>
      <c r="BG36" s="113">
        <f t="shared" si="4"/>
        <v>0</v>
      </c>
      <c r="BH36" s="113">
        <f t="shared" si="4"/>
        <v>0</v>
      </c>
      <c r="BI36" s="113">
        <f t="shared" si="4"/>
        <v>0</v>
      </c>
      <c r="BJ36" s="113">
        <f t="shared" si="4"/>
        <v>0</v>
      </c>
      <c r="BK36" s="113">
        <f t="shared" si="4"/>
        <v>0</v>
      </c>
      <c r="BL36" s="113">
        <f t="shared" si="4"/>
        <v>0</v>
      </c>
      <c r="BM36" s="400">
        <f t="shared" si="4"/>
        <v>0</v>
      </c>
      <c r="BN36" s="400">
        <f t="shared" si="4"/>
        <v>0</v>
      </c>
      <c r="BO36" s="400">
        <f t="shared" si="4"/>
        <v>0</v>
      </c>
      <c r="BP36" s="400">
        <f t="shared" si="4"/>
        <v>0</v>
      </c>
      <c r="BQ36" s="400">
        <f t="shared" si="4"/>
        <v>0</v>
      </c>
      <c r="BR36" s="400">
        <f t="shared" si="4"/>
        <v>0</v>
      </c>
      <c r="BS36" s="400">
        <f t="shared" si="4"/>
        <v>0</v>
      </c>
      <c r="BT36" s="113">
        <f>SUM(BT5:BT35)</f>
        <v>0</v>
      </c>
      <c r="BU36" s="113" t="s">
        <v>59</v>
      </c>
      <c r="BV36" s="113">
        <f>SUM(BV5:BV35)</f>
        <v>0</v>
      </c>
      <c r="BW36" s="113">
        <f t="shared" ref="BW36" si="5">SUM(BW5:BW35)</f>
        <v>0</v>
      </c>
      <c r="BX36" s="113">
        <f t="shared" ref="BX36" si="6">SUM(BX5:BX35)</f>
        <v>0</v>
      </c>
      <c r="BY36" s="113">
        <f t="shared" ref="BY36" si="7">SUM(BY5:BY35)</f>
        <v>0</v>
      </c>
      <c r="BZ36" s="113">
        <f t="shared" ref="BZ36" si="8">SUM(BZ5:BZ35)</f>
        <v>0</v>
      </c>
      <c r="CA36" s="113">
        <f t="shared" ref="CA36" si="9">SUM(CA5:CA35)</f>
        <v>0</v>
      </c>
      <c r="CB36" s="113">
        <f t="shared" ref="CB36" si="10">SUM(CB5:CB35)</f>
        <v>0</v>
      </c>
      <c r="CC36" s="113">
        <f t="shared" ref="CC36" si="11">SUM(CC5:CC35)</f>
        <v>0</v>
      </c>
      <c r="CD36" s="113">
        <f t="shared" ref="CD36" si="12">SUM(CD5:CD35)</f>
        <v>0</v>
      </c>
      <c r="CE36" s="113">
        <f t="shared" ref="CE36" si="13">SUM(CE5:CE35)</f>
        <v>0</v>
      </c>
      <c r="CF36" s="113">
        <f t="shared" ref="CF36" si="14">SUM(CF5:CF35)</f>
        <v>0</v>
      </c>
      <c r="CG36" s="113">
        <f t="shared" ref="CG36" si="15">SUM(CG5:CG35)</f>
        <v>0</v>
      </c>
      <c r="CH36" s="113">
        <f t="shared" ref="CH36" si="16">SUM(CH5:CH35)</f>
        <v>0</v>
      </c>
      <c r="CI36" s="113">
        <f t="shared" ref="CI36" si="17">SUM(CI5:CI35)</f>
        <v>0</v>
      </c>
      <c r="CJ36" s="113">
        <f t="shared" ref="CJ36" si="18">SUM(CJ5:CJ35)</f>
        <v>0</v>
      </c>
      <c r="CK36" s="113">
        <f t="shared" ref="CK36" si="19">SUM(CK5:CK35)</f>
        <v>0</v>
      </c>
      <c r="CL36" s="113">
        <f t="shared" ref="CL36" si="20">SUM(CL5:CL35)</f>
        <v>0</v>
      </c>
      <c r="CM36" s="113">
        <f t="shared" ref="CM36" si="21">SUM(CM5:CM35)</f>
        <v>0</v>
      </c>
      <c r="CN36" s="113">
        <f t="shared" ref="CN36" si="22">SUM(CN5:CN35)</f>
        <v>0</v>
      </c>
      <c r="CO36" s="113">
        <f t="shared" ref="CO36" si="23">SUM(CO5:CO35)</f>
        <v>0</v>
      </c>
      <c r="CP36" s="113">
        <f t="shared" ref="CP36" si="24">SUM(CP5:CP35)</f>
        <v>0</v>
      </c>
      <c r="CQ36" s="113">
        <f t="shared" ref="CQ36" si="25">SUM(CQ5:CQ35)</f>
        <v>0</v>
      </c>
      <c r="CR36" s="113">
        <f t="shared" ref="CR36" si="26">SUM(CR5:CR35)</f>
        <v>0</v>
      </c>
      <c r="CS36" s="113">
        <f t="shared" ref="CS36" si="27">SUM(CS5:CS35)</f>
        <v>0</v>
      </c>
      <c r="CT36" s="113">
        <f t="shared" ref="CT36" si="28">SUM(CT5:CT35)</f>
        <v>0</v>
      </c>
      <c r="CU36" s="113">
        <f t="shared" ref="CU36" si="29">SUM(CU5:CU35)</f>
        <v>0</v>
      </c>
      <c r="CV36" s="113">
        <f t="shared" ref="CV36" si="30">SUM(CV5:CV35)</f>
        <v>0</v>
      </c>
      <c r="CW36" s="113">
        <f t="shared" ref="CW36" si="31">SUM(CW5:CW35)</f>
        <v>0</v>
      </c>
      <c r="CX36" s="113">
        <f t="shared" ref="CX36" si="32">SUM(CX5:CX35)</f>
        <v>0</v>
      </c>
      <c r="CY36" s="113">
        <f t="shared" ref="CY36:DD36" si="33">SUM(CY5:CY35)</f>
        <v>0</v>
      </c>
      <c r="CZ36" s="113">
        <f t="shared" si="33"/>
        <v>0</v>
      </c>
      <c r="DA36" s="113">
        <f t="shared" si="33"/>
        <v>0</v>
      </c>
      <c r="DB36" s="113">
        <f t="shared" si="33"/>
        <v>0</v>
      </c>
      <c r="DC36" s="113">
        <f t="shared" si="33"/>
        <v>0</v>
      </c>
      <c r="DD36" s="113">
        <f t="shared" si="33"/>
        <v>0</v>
      </c>
      <c r="DE36" s="113">
        <f>SUM(DE5:DE35)</f>
        <v>0</v>
      </c>
      <c r="DF36" s="113">
        <f t="shared" ref="DF36:EM36" si="34">SUM(DF5:DF35)</f>
        <v>0</v>
      </c>
      <c r="DG36" s="113">
        <f t="shared" si="34"/>
        <v>0</v>
      </c>
      <c r="DH36" s="113">
        <f t="shared" si="34"/>
        <v>0</v>
      </c>
      <c r="DI36" s="113">
        <f t="shared" si="34"/>
        <v>0</v>
      </c>
      <c r="DJ36" s="113">
        <f t="shared" si="34"/>
        <v>0</v>
      </c>
      <c r="DK36" s="113">
        <f t="shared" si="34"/>
        <v>0</v>
      </c>
      <c r="DL36" s="113">
        <f t="shared" si="34"/>
        <v>0</v>
      </c>
      <c r="DM36" s="113">
        <f t="shared" si="34"/>
        <v>0</v>
      </c>
      <c r="DN36" s="113">
        <f t="shared" si="34"/>
        <v>0</v>
      </c>
      <c r="DO36" s="113">
        <f t="shared" si="34"/>
        <v>0</v>
      </c>
      <c r="DP36" s="113">
        <f t="shared" si="34"/>
        <v>0</v>
      </c>
      <c r="DQ36" s="113">
        <f t="shared" si="34"/>
        <v>0</v>
      </c>
      <c r="DR36" s="113">
        <f t="shared" si="34"/>
        <v>0</v>
      </c>
      <c r="DS36" s="113">
        <f t="shared" si="34"/>
        <v>0</v>
      </c>
      <c r="DT36" s="113">
        <f t="shared" si="34"/>
        <v>0</v>
      </c>
      <c r="DU36" s="113">
        <f t="shared" si="34"/>
        <v>0</v>
      </c>
      <c r="DV36" s="113">
        <f t="shared" si="34"/>
        <v>0</v>
      </c>
      <c r="DW36" s="113">
        <f t="shared" si="34"/>
        <v>0</v>
      </c>
      <c r="DX36" s="113">
        <f t="shared" si="34"/>
        <v>0</v>
      </c>
      <c r="DY36" s="113">
        <f t="shared" si="34"/>
        <v>0</v>
      </c>
      <c r="DZ36" s="113">
        <f t="shared" si="34"/>
        <v>0</v>
      </c>
      <c r="EA36" s="113">
        <f t="shared" si="34"/>
        <v>0</v>
      </c>
      <c r="EB36" s="113">
        <f t="shared" si="34"/>
        <v>0</v>
      </c>
      <c r="EC36" s="113">
        <f t="shared" si="34"/>
        <v>0</v>
      </c>
      <c r="ED36" s="113">
        <f t="shared" si="34"/>
        <v>0</v>
      </c>
      <c r="EE36" s="113">
        <f t="shared" si="34"/>
        <v>0</v>
      </c>
      <c r="EF36" s="113">
        <f t="shared" si="34"/>
        <v>0</v>
      </c>
      <c r="EG36" s="113">
        <f t="shared" si="34"/>
        <v>0</v>
      </c>
      <c r="EH36" s="113">
        <f t="shared" si="34"/>
        <v>0</v>
      </c>
      <c r="EI36" s="113">
        <f t="shared" si="34"/>
        <v>0</v>
      </c>
      <c r="EJ36" s="113">
        <f t="shared" si="34"/>
        <v>0</v>
      </c>
      <c r="EK36" s="113">
        <f t="shared" si="34"/>
        <v>0</v>
      </c>
      <c r="EL36" s="113">
        <f t="shared" si="34"/>
        <v>0</v>
      </c>
      <c r="EM36" s="113">
        <f t="shared" si="34"/>
        <v>0</v>
      </c>
      <c r="EN36" s="113">
        <f>SUM(EN5:EN35)</f>
        <v>0</v>
      </c>
      <c r="EO36" s="113" t="s">
        <v>59</v>
      </c>
      <c r="EP36" s="404">
        <f>SUM(EP5:EP35)</f>
        <v>0</v>
      </c>
      <c r="EQ36" s="404">
        <f t="shared" ref="EQ36:HH36" si="35">SUM(EQ5:EQ35)</f>
        <v>0</v>
      </c>
      <c r="ER36" s="404">
        <f t="shared" si="35"/>
        <v>0</v>
      </c>
      <c r="ES36" s="404">
        <f t="shared" si="35"/>
        <v>0</v>
      </c>
      <c r="ET36" s="404">
        <f t="shared" si="35"/>
        <v>0</v>
      </c>
      <c r="EU36" s="404">
        <f t="shared" si="35"/>
        <v>0</v>
      </c>
      <c r="EV36" s="404">
        <f t="shared" si="35"/>
        <v>0</v>
      </c>
      <c r="EW36" s="404">
        <f t="shared" si="35"/>
        <v>0</v>
      </c>
      <c r="EX36" s="404">
        <f t="shared" si="35"/>
        <v>0</v>
      </c>
      <c r="EY36" s="404">
        <f t="shared" si="35"/>
        <v>0</v>
      </c>
      <c r="EZ36" s="404">
        <f t="shared" si="35"/>
        <v>0</v>
      </c>
      <c r="FA36" s="404">
        <f t="shared" si="35"/>
        <v>0</v>
      </c>
      <c r="FB36" s="404">
        <f t="shared" si="35"/>
        <v>0</v>
      </c>
      <c r="FC36" s="404">
        <f t="shared" si="35"/>
        <v>0</v>
      </c>
      <c r="FD36" s="404">
        <f t="shared" si="35"/>
        <v>0</v>
      </c>
      <c r="FE36" s="404">
        <f t="shared" si="35"/>
        <v>0</v>
      </c>
      <c r="FF36" s="404">
        <f t="shared" si="35"/>
        <v>0</v>
      </c>
      <c r="FG36" s="404">
        <f t="shared" si="35"/>
        <v>0</v>
      </c>
      <c r="FH36" s="404">
        <f t="shared" si="35"/>
        <v>0</v>
      </c>
      <c r="FI36" s="404">
        <f t="shared" si="35"/>
        <v>0</v>
      </c>
      <c r="FJ36" s="404">
        <f t="shared" si="35"/>
        <v>0</v>
      </c>
      <c r="FK36" s="404">
        <f t="shared" si="35"/>
        <v>0</v>
      </c>
      <c r="FL36" s="404">
        <f t="shared" si="35"/>
        <v>0</v>
      </c>
      <c r="FM36" s="404">
        <f t="shared" si="35"/>
        <v>0</v>
      </c>
      <c r="FN36" s="404">
        <f t="shared" si="35"/>
        <v>0</v>
      </c>
      <c r="FO36" s="404">
        <f t="shared" si="35"/>
        <v>0</v>
      </c>
      <c r="FP36" s="404">
        <f t="shared" si="35"/>
        <v>0</v>
      </c>
      <c r="FQ36" s="404">
        <f t="shared" si="35"/>
        <v>0</v>
      </c>
      <c r="FR36" s="404">
        <f t="shared" si="35"/>
        <v>0</v>
      </c>
      <c r="FS36" s="404">
        <f t="shared" si="35"/>
        <v>0</v>
      </c>
      <c r="FT36" s="404">
        <f t="shared" si="35"/>
        <v>0</v>
      </c>
      <c r="FU36" s="404">
        <f t="shared" si="35"/>
        <v>0</v>
      </c>
      <c r="FV36" s="404">
        <f t="shared" si="35"/>
        <v>0</v>
      </c>
      <c r="FW36" s="404">
        <f t="shared" si="35"/>
        <v>0</v>
      </c>
      <c r="FX36" s="404">
        <f t="shared" si="35"/>
        <v>0</v>
      </c>
      <c r="FY36" s="404">
        <f>SUM(FY5:FY35)</f>
        <v>0</v>
      </c>
      <c r="FZ36" s="404">
        <f t="shared" ref="FZ36:HG36" si="36">SUM(FZ5:FZ35)</f>
        <v>0</v>
      </c>
      <c r="GA36" s="404">
        <f t="shared" si="36"/>
        <v>0</v>
      </c>
      <c r="GB36" s="404">
        <f t="shared" si="36"/>
        <v>0</v>
      </c>
      <c r="GC36" s="404">
        <f t="shared" si="36"/>
        <v>0</v>
      </c>
      <c r="GD36" s="404">
        <f t="shared" si="36"/>
        <v>0</v>
      </c>
      <c r="GE36" s="404">
        <f t="shared" si="36"/>
        <v>0</v>
      </c>
      <c r="GF36" s="404">
        <f t="shared" si="36"/>
        <v>0</v>
      </c>
      <c r="GG36" s="404">
        <f t="shared" si="36"/>
        <v>0</v>
      </c>
      <c r="GH36" s="404">
        <f t="shared" si="36"/>
        <v>0</v>
      </c>
      <c r="GI36" s="404">
        <f t="shared" si="36"/>
        <v>0</v>
      </c>
      <c r="GJ36" s="404">
        <f t="shared" si="36"/>
        <v>0</v>
      </c>
      <c r="GK36" s="404">
        <f t="shared" si="36"/>
        <v>0</v>
      </c>
      <c r="GL36" s="404">
        <f t="shared" si="36"/>
        <v>0</v>
      </c>
      <c r="GM36" s="404">
        <f t="shared" si="36"/>
        <v>0</v>
      </c>
      <c r="GN36" s="404">
        <f t="shared" si="36"/>
        <v>0</v>
      </c>
      <c r="GO36" s="404">
        <f t="shared" si="36"/>
        <v>0</v>
      </c>
      <c r="GP36" s="404">
        <f t="shared" si="36"/>
        <v>0</v>
      </c>
      <c r="GQ36" s="404">
        <f t="shared" si="36"/>
        <v>0</v>
      </c>
      <c r="GR36" s="404">
        <f t="shared" si="36"/>
        <v>0</v>
      </c>
      <c r="GS36" s="404">
        <f t="shared" si="36"/>
        <v>0</v>
      </c>
      <c r="GT36" s="404">
        <f t="shared" si="36"/>
        <v>0</v>
      </c>
      <c r="GU36" s="404">
        <f t="shared" si="36"/>
        <v>0</v>
      </c>
      <c r="GV36" s="404">
        <f t="shared" si="36"/>
        <v>0</v>
      </c>
      <c r="GW36" s="404">
        <f t="shared" si="36"/>
        <v>0</v>
      </c>
      <c r="GX36" s="404">
        <f t="shared" si="36"/>
        <v>0</v>
      </c>
      <c r="GY36" s="404">
        <f t="shared" si="36"/>
        <v>0</v>
      </c>
      <c r="GZ36" s="404">
        <f t="shared" si="36"/>
        <v>0</v>
      </c>
      <c r="HA36" s="404">
        <f t="shared" si="36"/>
        <v>0</v>
      </c>
      <c r="HB36" s="404">
        <f t="shared" si="36"/>
        <v>0</v>
      </c>
      <c r="HC36" s="404">
        <f t="shared" si="36"/>
        <v>0</v>
      </c>
      <c r="HD36" s="404">
        <f t="shared" si="36"/>
        <v>0</v>
      </c>
      <c r="HE36" s="404">
        <f t="shared" si="36"/>
        <v>0</v>
      </c>
      <c r="HF36" s="404">
        <f t="shared" si="36"/>
        <v>0</v>
      </c>
      <c r="HG36" s="404">
        <f t="shared" si="36"/>
        <v>0</v>
      </c>
      <c r="HH36" s="113">
        <f t="shared" si="35"/>
        <v>0</v>
      </c>
    </row>
    <row r="37" spans="1:216" ht="15.75" thickBot="1"/>
    <row r="38" spans="1:216" ht="15" customHeight="1">
      <c r="D38" s="468" t="s">
        <v>60</v>
      </c>
      <c r="E38" s="469"/>
      <c r="F38" s="469"/>
      <c r="G38" s="469"/>
      <c r="H38" s="469"/>
      <c r="I38" s="469"/>
      <c r="J38" s="469"/>
      <c r="K38" s="469"/>
      <c r="L38" s="470"/>
      <c r="M38" s="486">
        <f>+BT36+EN36+HH36</f>
        <v>0</v>
      </c>
      <c r="N38" s="487"/>
      <c r="O38" s="487"/>
      <c r="P38" s="487"/>
      <c r="Q38" s="487"/>
      <c r="R38" s="487"/>
      <c r="S38" s="487"/>
      <c r="T38" s="487"/>
      <c r="U38" s="488"/>
    </row>
    <row r="39" spans="1:216" ht="15.75" customHeight="1" thickBot="1">
      <c r="D39" s="471"/>
      <c r="E39" s="472"/>
      <c r="F39" s="472"/>
      <c r="G39" s="472"/>
      <c r="H39" s="472"/>
      <c r="I39" s="472"/>
      <c r="J39" s="472"/>
      <c r="K39" s="472"/>
      <c r="L39" s="473"/>
      <c r="M39" s="489"/>
      <c r="N39" s="490"/>
      <c r="O39" s="490"/>
      <c r="P39" s="490"/>
      <c r="Q39" s="490"/>
      <c r="R39" s="490"/>
      <c r="S39" s="490"/>
      <c r="T39" s="490"/>
      <c r="U39" s="491"/>
    </row>
    <row r="40" spans="1:216" ht="15" customHeight="1">
      <c r="D40" s="468" t="s">
        <v>61</v>
      </c>
      <c r="E40" s="469"/>
      <c r="F40" s="469"/>
      <c r="G40" s="469"/>
      <c r="H40" s="469"/>
      <c r="I40" s="469"/>
      <c r="J40" s="469"/>
      <c r="K40" s="469"/>
      <c r="L40" s="470"/>
      <c r="M40" s="474">
        <f>+M38*200</f>
        <v>0</v>
      </c>
      <c r="N40" s="475"/>
      <c r="O40" s="475"/>
      <c r="P40" s="475"/>
      <c r="Q40" s="475"/>
      <c r="R40" s="475"/>
      <c r="S40" s="475"/>
      <c r="T40" s="475"/>
      <c r="U40" s="476"/>
    </row>
    <row r="41" spans="1:216" ht="15.75" customHeight="1" thickBot="1">
      <c r="D41" s="471"/>
      <c r="E41" s="472"/>
      <c r="F41" s="472"/>
      <c r="G41" s="472"/>
      <c r="H41" s="472"/>
      <c r="I41" s="472"/>
      <c r="J41" s="472"/>
      <c r="K41" s="472"/>
      <c r="L41" s="473"/>
      <c r="M41" s="477"/>
      <c r="N41" s="478"/>
      <c r="O41" s="478"/>
      <c r="P41" s="478"/>
      <c r="Q41" s="478"/>
      <c r="R41" s="478"/>
      <c r="S41" s="478"/>
      <c r="T41" s="478"/>
      <c r="U41" s="479"/>
    </row>
  </sheetData>
  <mergeCells count="7">
    <mergeCell ref="D40:L41"/>
    <mergeCell ref="M40:U41"/>
    <mergeCell ref="A3:F3"/>
    <mergeCell ref="BU3:BZ3"/>
    <mergeCell ref="EO3:ET3"/>
    <mergeCell ref="D38:L39"/>
    <mergeCell ref="M38:U39"/>
  </mergeCells>
  <phoneticPr fontId="31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Q64"/>
  <sheetViews>
    <sheetView topLeftCell="EA1" zoomScale="70" zoomScaleNormal="70" workbookViewId="0">
      <selection activeCell="ED1" sqref="ED1:ED1048576"/>
    </sheetView>
  </sheetViews>
  <sheetFormatPr baseColWidth="10" defaultColWidth="11.42578125" defaultRowHeight="15"/>
  <cols>
    <col min="1" max="1" width="3.7109375" customWidth="1"/>
    <col min="2" max="2" width="8.7109375" customWidth="1"/>
    <col min="3" max="4" width="6" customWidth="1"/>
    <col min="5" max="64" width="6.42578125" style="231" customWidth="1"/>
    <col min="65" max="65" width="6.5703125" customWidth="1"/>
    <col min="66" max="66" width="3.7109375" customWidth="1"/>
    <col min="67" max="67" width="5.7109375" customWidth="1"/>
    <col min="68" max="68" width="6.42578125" customWidth="1"/>
    <col min="69" max="69" width="8" customWidth="1"/>
    <col min="70" max="70" width="7.28515625" customWidth="1"/>
    <col min="71" max="71" width="5.5703125" customWidth="1"/>
    <col min="72" max="73" width="6" customWidth="1"/>
    <col min="74" max="74" width="5.5703125" customWidth="1"/>
    <col min="75" max="113" width="3.7109375" customWidth="1"/>
    <col min="114" max="129" width="6.42578125" style="231" customWidth="1"/>
    <col min="130" max="130" width="6.5703125" customWidth="1"/>
    <col min="131" max="131" width="3.7109375" customWidth="1"/>
    <col min="132" max="132" width="5.7109375" customWidth="1"/>
    <col min="133" max="133" width="6.42578125" customWidth="1"/>
    <col min="134" max="134" width="8" customWidth="1"/>
    <col min="135" max="135" width="7.28515625" customWidth="1"/>
    <col min="136" max="136" width="5.5703125" customWidth="1"/>
    <col min="137" max="138" width="6" customWidth="1"/>
    <col min="139" max="139" width="5.5703125" customWidth="1"/>
    <col min="140" max="178" width="3.7109375" customWidth="1"/>
    <col min="179" max="194" width="6.42578125" style="231" customWidth="1"/>
    <col min="195" max="195" width="6.5703125" customWidth="1"/>
  </cols>
  <sheetData>
    <row r="1" spans="1:199" ht="15.75" thickBot="1"/>
    <row r="2" spans="1:199" ht="15.75" thickBot="1">
      <c r="A2" s="505" t="s">
        <v>58</v>
      </c>
      <c r="B2" s="506"/>
      <c r="C2" s="506"/>
      <c r="D2" s="506"/>
      <c r="E2" s="506"/>
      <c r="F2" s="506"/>
      <c r="G2" s="506"/>
      <c r="H2" s="506"/>
      <c r="I2" s="507"/>
      <c r="BN2" s="505" t="s">
        <v>62</v>
      </c>
      <c r="BO2" s="506"/>
      <c r="BP2" s="506"/>
      <c r="BQ2" s="506"/>
      <c r="BR2" s="506"/>
      <c r="BS2" s="506"/>
      <c r="BT2" s="506"/>
      <c r="BU2" s="506"/>
      <c r="BV2" s="507"/>
      <c r="BW2" s="260"/>
      <c r="BX2" s="260"/>
      <c r="BY2" s="260"/>
      <c r="BZ2" s="260"/>
      <c r="CA2" s="263"/>
      <c r="CB2" s="263"/>
      <c r="CC2" s="263"/>
      <c r="CD2" s="263"/>
      <c r="CE2" s="263"/>
      <c r="CF2" s="260"/>
      <c r="CG2" s="260"/>
      <c r="CH2" s="260"/>
      <c r="CI2" s="260"/>
      <c r="CJ2" s="260"/>
      <c r="CK2" s="260"/>
      <c r="CL2" s="260"/>
      <c r="CM2" s="260"/>
      <c r="CN2" s="260"/>
      <c r="CO2" s="260"/>
      <c r="CP2" s="260"/>
      <c r="CQ2" s="260"/>
      <c r="CR2" s="260"/>
      <c r="CS2" s="260"/>
      <c r="CT2" s="260"/>
      <c r="CU2" s="260"/>
      <c r="CV2" s="260"/>
      <c r="CW2" s="260"/>
      <c r="CX2" s="260"/>
      <c r="CY2" s="260"/>
      <c r="CZ2" s="260"/>
      <c r="DA2" s="260"/>
      <c r="DB2" s="260"/>
      <c r="DC2" s="260"/>
      <c r="DD2" s="260"/>
      <c r="DE2" s="260"/>
      <c r="DF2" s="260"/>
      <c r="DG2" s="260"/>
      <c r="DH2" s="260"/>
      <c r="DI2" s="260"/>
      <c r="DZ2" s="260"/>
      <c r="EA2" s="505" t="s">
        <v>43</v>
      </c>
      <c r="EB2" s="506"/>
      <c r="EC2" s="506"/>
      <c r="ED2" s="506"/>
      <c r="EE2" s="506"/>
      <c r="EF2" s="506"/>
      <c r="EG2" s="506"/>
      <c r="EH2" s="506"/>
      <c r="EI2" s="507"/>
      <c r="EJ2" s="260"/>
      <c r="EK2" s="260"/>
      <c r="EL2" s="260"/>
      <c r="EM2" s="260"/>
      <c r="EN2" s="263"/>
      <c r="EO2" s="263"/>
      <c r="EP2" s="263"/>
      <c r="EQ2" s="263"/>
      <c r="ER2" s="263"/>
      <c r="ES2" s="260"/>
      <c r="ET2" s="260"/>
      <c r="EU2" s="260"/>
      <c r="EV2" s="260"/>
      <c r="EW2" s="260"/>
      <c r="EX2" s="260"/>
      <c r="EY2" s="260"/>
      <c r="EZ2" s="260"/>
      <c r="FA2" s="260"/>
      <c r="FB2" s="260"/>
      <c r="FC2" s="260"/>
      <c r="FD2" s="260"/>
      <c r="FE2" s="260"/>
      <c r="FF2" s="260"/>
      <c r="FG2" s="260"/>
      <c r="FH2" s="260"/>
      <c r="FI2" s="260"/>
      <c r="FJ2" s="260"/>
      <c r="FK2" s="260"/>
      <c r="FL2" s="260"/>
      <c r="FM2" s="260"/>
      <c r="FN2" s="260"/>
      <c r="FO2" s="260"/>
      <c r="FP2" s="260"/>
      <c r="FQ2" s="260"/>
      <c r="FR2" s="260"/>
      <c r="FS2" s="260"/>
      <c r="FT2" s="260"/>
      <c r="FU2" s="260"/>
      <c r="FV2" s="260"/>
      <c r="GM2" s="260"/>
    </row>
    <row r="3" spans="1:199" ht="15.75" customHeight="1" thickBot="1">
      <c r="A3" s="521" t="s">
        <v>2</v>
      </c>
      <c r="B3" s="495" t="s">
        <v>45</v>
      </c>
      <c r="C3" s="496"/>
      <c r="D3" s="497"/>
      <c r="E3" s="496" t="s">
        <v>46</v>
      </c>
      <c r="F3" s="496"/>
      <c r="G3" s="496"/>
      <c r="H3" s="496"/>
      <c r="I3" s="496"/>
      <c r="J3" s="495" t="s">
        <v>47</v>
      </c>
      <c r="K3" s="496"/>
      <c r="L3" s="496"/>
      <c r="M3" s="496"/>
      <c r="N3" s="510" t="s">
        <v>48</v>
      </c>
      <c r="O3" s="511"/>
      <c r="P3" s="511"/>
      <c r="Q3" s="511"/>
      <c r="R3" s="512"/>
      <c r="S3" s="496" t="s">
        <v>49</v>
      </c>
      <c r="T3" s="496"/>
      <c r="U3" s="496"/>
      <c r="V3" s="496"/>
      <c r="W3" s="496"/>
      <c r="X3" s="495" t="s">
        <v>50</v>
      </c>
      <c r="Y3" s="496"/>
      <c r="Z3" s="496"/>
      <c r="AA3" s="496"/>
      <c r="AB3" s="497"/>
      <c r="AC3" s="496" t="s">
        <v>51</v>
      </c>
      <c r="AD3" s="496"/>
      <c r="AE3" s="496"/>
      <c r="AF3" s="496"/>
      <c r="AG3" s="495" t="s">
        <v>63</v>
      </c>
      <c r="AH3" s="496"/>
      <c r="AI3" s="496"/>
      <c r="AJ3" s="497"/>
      <c r="AK3" s="513" t="s">
        <v>53</v>
      </c>
      <c r="AL3" s="514"/>
      <c r="AM3" s="515"/>
      <c r="AN3" s="515"/>
      <c r="AO3" s="515"/>
      <c r="AP3" s="516"/>
      <c r="AQ3" s="513" t="s">
        <v>54</v>
      </c>
      <c r="AR3" s="514"/>
      <c r="AS3" s="515"/>
      <c r="AT3" s="515"/>
      <c r="AU3" s="515"/>
      <c r="AV3" s="516"/>
      <c r="AW3" s="495" t="s">
        <v>64</v>
      </c>
      <c r="AX3" s="496"/>
      <c r="AY3" s="496"/>
      <c r="AZ3" s="497"/>
      <c r="BA3" s="495" t="s">
        <v>192</v>
      </c>
      <c r="BB3" s="496"/>
      <c r="BC3" s="496"/>
      <c r="BD3" s="497"/>
      <c r="BE3" s="495" t="s">
        <v>193</v>
      </c>
      <c r="BF3" s="496"/>
      <c r="BG3" s="496"/>
      <c r="BH3" s="497"/>
      <c r="BI3" s="495" t="s">
        <v>188</v>
      </c>
      <c r="BJ3" s="496"/>
      <c r="BK3" s="496"/>
      <c r="BL3" s="497"/>
      <c r="BM3" s="467" t="s">
        <v>56</v>
      </c>
      <c r="BN3" s="508" t="s">
        <v>2</v>
      </c>
      <c r="BO3" s="517" t="s">
        <v>45</v>
      </c>
      <c r="BP3" s="518"/>
      <c r="BQ3" s="519"/>
      <c r="BR3" s="495" t="s">
        <v>46</v>
      </c>
      <c r="BS3" s="496"/>
      <c r="BT3" s="496"/>
      <c r="BU3" s="496"/>
      <c r="BV3" s="497"/>
      <c r="BW3" s="495" t="s">
        <v>47</v>
      </c>
      <c r="BX3" s="496"/>
      <c r="BY3" s="496"/>
      <c r="BZ3" s="496"/>
      <c r="CA3" s="510" t="s">
        <v>48</v>
      </c>
      <c r="CB3" s="511"/>
      <c r="CC3" s="511"/>
      <c r="CD3" s="511"/>
      <c r="CE3" s="512"/>
      <c r="CF3" s="518" t="s">
        <v>49</v>
      </c>
      <c r="CG3" s="518"/>
      <c r="CH3" s="518"/>
      <c r="CI3" s="518"/>
      <c r="CJ3" s="519"/>
      <c r="CK3" s="495" t="s">
        <v>50</v>
      </c>
      <c r="CL3" s="496"/>
      <c r="CM3" s="496"/>
      <c r="CN3" s="496"/>
      <c r="CO3" s="497"/>
      <c r="CP3" s="496" t="s">
        <v>51</v>
      </c>
      <c r="CQ3" s="496"/>
      <c r="CR3" s="496"/>
      <c r="CS3" s="496"/>
      <c r="CT3" s="495" t="s">
        <v>63</v>
      </c>
      <c r="CU3" s="496"/>
      <c r="CV3" s="496"/>
      <c r="CW3" s="497"/>
      <c r="CX3" s="520" t="s">
        <v>65</v>
      </c>
      <c r="CY3" s="514"/>
      <c r="CZ3" s="515"/>
      <c r="DA3" s="515"/>
      <c r="DB3" s="515"/>
      <c r="DC3" s="516"/>
      <c r="DD3" s="520" t="s">
        <v>66</v>
      </c>
      <c r="DE3" s="514"/>
      <c r="DF3" s="515"/>
      <c r="DG3" s="515"/>
      <c r="DH3" s="515"/>
      <c r="DI3" s="516"/>
      <c r="DJ3" s="495" t="s">
        <v>64</v>
      </c>
      <c r="DK3" s="496"/>
      <c r="DL3" s="496"/>
      <c r="DM3" s="497"/>
      <c r="DN3" s="495" t="s">
        <v>192</v>
      </c>
      <c r="DO3" s="496"/>
      <c r="DP3" s="496"/>
      <c r="DQ3" s="497"/>
      <c r="DR3" s="495" t="s">
        <v>193</v>
      </c>
      <c r="DS3" s="496"/>
      <c r="DT3" s="496"/>
      <c r="DU3" s="497"/>
      <c r="DV3" s="495" t="s">
        <v>188</v>
      </c>
      <c r="DW3" s="496"/>
      <c r="DX3" s="496"/>
      <c r="DY3" s="497"/>
      <c r="DZ3" s="467" t="s">
        <v>56</v>
      </c>
      <c r="EA3" s="508" t="s">
        <v>2</v>
      </c>
      <c r="EB3" s="517" t="s">
        <v>45</v>
      </c>
      <c r="EC3" s="518"/>
      <c r="ED3" s="519"/>
      <c r="EE3" s="495" t="s">
        <v>46</v>
      </c>
      <c r="EF3" s="496"/>
      <c r="EG3" s="496"/>
      <c r="EH3" s="496"/>
      <c r="EI3" s="497"/>
      <c r="EJ3" s="495" t="s">
        <v>47</v>
      </c>
      <c r="EK3" s="496"/>
      <c r="EL3" s="496"/>
      <c r="EM3" s="496"/>
      <c r="EN3" s="510" t="s">
        <v>48</v>
      </c>
      <c r="EO3" s="511"/>
      <c r="EP3" s="511"/>
      <c r="EQ3" s="511"/>
      <c r="ER3" s="512"/>
      <c r="ES3" s="518" t="s">
        <v>49</v>
      </c>
      <c r="ET3" s="518"/>
      <c r="EU3" s="518"/>
      <c r="EV3" s="518"/>
      <c r="EW3" s="519"/>
      <c r="EX3" s="495" t="s">
        <v>50</v>
      </c>
      <c r="EY3" s="496"/>
      <c r="EZ3" s="496"/>
      <c r="FA3" s="496"/>
      <c r="FB3" s="497"/>
      <c r="FC3" s="496" t="s">
        <v>51</v>
      </c>
      <c r="FD3" s="496"/>
      <c r="FE3" s="496"/>
      <c r="FF3" s="496"/>
      <c r="FG3" s="495" t="s">
        <v>63</v>
      </c>
      <c r="FH3" s="496"/>
      <c r="FI3" s="496"/>
      <c r="FJ3" s="497"/>
      <c r="FK3" s="520" t="s">
        <v>65</v>
      </c>
      <c r="FL3" s="514"/>
      <c r="FM3" s="515"/>
      <c r="FN3" s="515"/>
      <c r="FO3" s="515"/>
      <c r="FP3" s="516"/>
      <c r="FQ3" s="520" t="s">
        <v>66</v>
      </c>
      <c r="FR3" s="514"/>
      <c r="FS3" s="515"/>
      <c r="FT3" s="515"/>
      <c r="FU3" s="515"/>
      <c r="FV3" s="516"/>
      <c r="FW3" s="495" t="s">
        <v>64</v>
      </c>
      <c r="FX3" s="496"/>
      <c r="FY3" s="496"/>
      <c r="FZ3" s="497"/>
      <c r="GA3" s="495" t="s">
        <v>192</v>
      </c>
      <c r="GB3" s="496"/>
      <c r="GC3" s="496"/>
      <c r="GD3" s="497"/>
      <c r="GE3" s="495" t="s">
        <v>193</v>
      </c>
      <c r="GF3" s="496"/>
      <c r="GG3" s="496"/>
      <c r="GH3" s="497"/>
      <c r="GI3" s="495" t="s">
        <v>188</v>
      </c>
      <c r="GJ3" s="496"/>
      <c r="GK3" s="496"/>
      <c r="GL3" s="497"/>
      <c r="GM3" s="467" t="s">
        <v>56</v>
      </c>
      <c r="GO3" s="523" t="s">
        <v>68</v>
      </c>
      <c r="GP3" s="525" t="s">
        <v>69</v>
      </c>
      <c r="GQ3" s="525" t="s">
        <v>70</v>
      </c>
    </row>
    <row r="4" spans="1:199" ht="15.75" thickBot="1">
      <c r="A4" s="522"/>
      <c r="B4" s="232" t="s">
        <v>71</v>
      </c>
      <c r="C4" s="233" t="s">
        <v>72</v>
      </c>
      <c r="D4" s="233" t="s">
        <v>73</v>
      </c>
      <c r="E4" s="233" t="s">
        <v>71</v>
      </c>
      <c r="F4" s="233" t="s">
        <v>72</v>
      </c>
      <c r="G4" s="233" t="s">
        <v>73</v>
      </c>
      <c r="H4" s="233" t="s">
        <v>74</v>
      </c>
      <c r="I4" s="233" t="s">
        <v>75</v>
      </c>
      <c r="J4" s="232" t="s">
        <v>71</v>
      </c>
      <c r="K4" s="233" t="s">
        <v>72</v>
      </c>
      <c r="L4" s="233" t="s">
        <v>73</v>
      </c>
      <c r="M4" s="233" t="s">
        <v>74</v>
      </c>
      <c r="N4" s="248" t="s">
        <v>71</v>
      </c>
      <c r="O4" s="249" t="s">
        <v>72</v>
      </c>
      <c r="P4" s="249" t="s">
        <v>73</v>
      </c>
      <c r="Q4" s="249" t="s">
        <v>74</v>
      </c>
      <c r="R4" s="253" t="s">
        <v>75</v>
      </c>
      <c r="S4" s="233" t="s">
        <v>71</v>
      </c>
      <c r="T4" s="233" t="s">
        <v>72</v>
      </c>
      <c r="U4" s="233" t="s">
        <v>73</v>
      </c>
      <c r="V4" s="233" t="s">
        <v>74</v>
      </c>
      <c r="W4" s="233" t="s">
        <v>75</v>
      </c>
      <c r="X4" s="232" t="s">
        <v>71</v>
      </c>
      <c r="Y4" s="233" t="s">
        <v>72</v>
      </c>
      <c r="Z4" s="233" t="s">
        <v>73</v>
      </c>
      <c r="AA4" s="233" t="s">
        <v>74</v>
      </c>
      <c r="AB4" s="233" t="s">
        <v>75</v>
      </c>
      <c r="AC4" s="233" t="s">
        <v>71</v>
      </c>
      <c r="AD4" s="233" t="s">
        <v>72</v>
      </c>
      <c r="AE4" s="233" t="s">
        <v>73</v>
      </c>
      <c r="AF4" s="233" t="s">
        <v>74</v>
      </c>
      <c r="AG4" s="232" t="s">
        <v>71</v>
      </c>
      <c r="AH4" s="233" t="s">
        <v>72</v>
      </c>
      <c r="AI4" s="233" t="s">
        <v>73</v>
      </c>
      <c r="AJ4" s="233" t="s">
        <v>74</v>
      </c>
      <c r="AK4" s="233" t="s">
        <v>71</v>
      </c>
      <c r="AL4" s="233" t="s">
        <v>72</v>
      </c>
      <c r="AM4" s="233" t="s">
        <v>73</v>
      </c>
      <c r="AN4" s="257" t="s">
        <v>74</v>
      </c>
      <c r="AO4" s="257" t="s">
        <v>75</v>
      </c>
      <c r="AP4" s="257" t="s">
        <v>76</v>
      </c>
      <c r="AQ4" s="233" t="s">
        <v>71</v>
      </c>
      <c r="AR4" s="233" t="s">
        <v>72</v>
      </c>
      <c r="AS4" s="233" t="s">
        <v>73</v>
      </c>
      <c r="AT4" s="257" t="s">
        <v>74</v>
      </c>
      <c r="AU4" s="257" t="s">
        <v>75</v>
      </c>
      <c r="AV4" s="257" t="s">
        <v>76</v>
      </c>
      <c r="AW4" s="232" t="s">
        <v>71</v>
      </c>
      <c r="AX4" s="233" t="s">
        <v>72</v>
      </c>
      <c r="AY4" s="233" t="s">
        <v>73</v>
      </c>
      <c r="AZ4" s="257" t="s">
        <v>74</v>
      </c>
      <c r="BA4" s="232" t="s">
        <v>71</v>
      </c>
      <c r="BB4" s="233" t="s">
        <v>72</v>
      </c>
      <c r="BC4" s="233" t="s">
        <v>73</v>
      </c>
      <c r="BD4" s="257" t="s">
        <v>74</v>
      </c>
      <c r="BE4" s="232" t="s">
        <v>71</v>
      </c>
      <c r="BF4" s="233" t="s">
        <v>72</v>
      </c>
      <c r="BG4" s="233" t="s">
        <v>73</v>
      </c>
      <c r="BH4" s="257" t="s">
        <v>74</v>
      </c>
      <c r="BI4" s="232" t="s">
        <v>71</v>
      </c>
      <c r="BJ4" s="233" t="s">
        <v>72</v>
      </c>
      <c r="BK4" s="233" t="s">
        <v>73</v>
      </c>
      <c r="BL4" s="257" t="s">
        <v>74</v>
      </c>
      <c r="BM4" s="498"/>
      <c r="BN4" s="509"/>
      <c r="BO4" s="232" t="s">
        <v>71</v>
      </c>
      <c r="BP4" s="233" t="s">
        <v>72</v>
      </c>
      <c r="BQ4" s="233" t="s">
        <v>73</v>
      </c>
      <c r="BR4" s="232" t="s">
        <v>71</v>
      </c>
      <c r="BS4" s="233" t="s">
        <v>72</v>
      </c>
      <c r="BT4" s="233" t="s">
        <v>73</v>
      </c>
      <c r="BU4" s="233" t="s">
        <v>74</v>
      </c>
      <c r="BV4" s="257" t="s">
        <v>74</v>
      </c>
      <c r="BW4" s="232" t="s">
        <v>71</v>
      </c>
      <c r="BX4" s="233" t="s">
        <v>72</v>
      </c>
      <c r="BY4" s="233" t="s">
        <v>73</v>
      </c>
      <c r="BZ4" s="233" t="s">
        <v>74</v>
      </c>
      <c r="CA4" s="264" t="s">
        <v>71</v>
      </c>
      <c r="CB4" s="265" t="s">
        <v>72</v>
      </c>
      <c r="CC4" s="265" t="s">
        <v>73</v>
      </c>
      <c r="CD4" s="265" t="s">
        <v>74</v>
      </c>
      <c r="CE4" s="266" t="s">
        <v>77</v>
      </c>
      <c r="CF4" s="233" t="s">
        <v>71</v>
      </c>
      <c r="CG4" s="233" t="s">
        <v>72</v>
      </c>
      <c r="CH4" s="233" t="s">
        <v>73</v>
      </c>
      <c r="CI4" s="233" t="s">
        <v>74</v>
      </c>
      <c r="CJ4" s="233" t="s">
        <v>75</v>
      </c>
      <c r="CK4" s="232" t="s">
        <v>71</v>
      </c>
      <c r="CL4" s="233" t="s">
        <v>72</v>
      </c>
      <c r="CM4" s="233" t="s">
        <v>73</v>
      </c>
      <c r="CN4" s="233" t="s">
        <v>74</v>
      </c>
      <c r="CO4" s="257" t="s">
        <v>75</v>
      </c>
      <c r="CP4" s="233" t="s">
        <v>71</v>
      </c>
      <c r="CQ4" s="233" t="s">
        <v>72</v>
      </c>
      <c r="CR4" s="233" t="s">
        <v>73</v>
      </c>
      <c r="CS4" s="233" t="s">
        <v>74</v>
      </c>
      <c r="CT4" s="232" t="s">
        <v>71</v>
      </c>
      <c r="CU4" s="233" t="s">
        <v>72</v>
      </c>
      <c r="CV4" s="233" t="s">
        <v>73</v>
      </c>
      <c r="CW4" s="233" t="s">
        <v>74</v>
      </c>
      <c r="CX4" s="232" t="s">
        <v>71</v>
      </c>
      <c r="CY4" s="233" t="s">
        <v>72</v>
      </c>
      <c r="CZ4" s="233" t="s">
        <v>73</v>
      </c>
      <c r="DA4" s="233" t="s">
        <v>74</v>
      </c>
      <c r="DB4" s="233" t="s">
        <v>75</v>
      </c>
      <c r="DC4" s="233" t="s">
        <v>76</v>
      </c>
      <c r="DD4" s="232" t="s">
        <v>71</v>
      </c>
      <c r="DE4" s="233" t="s">
        <v>72</v>
      </c>
      <c r="DF4" s="233" t="s">
        <v>73</v>
      </c>
      <c r="DG4" s="233" t="s">
        <v>74</v>
      </c>
      <c r="DH4" s="233" t="s">
        <v>75</v>
      </c>
      <c r="DI4" s="233" t="s">
        <v>76</v>
      </c>
      <c r="DJ4" s="232" t="s">
        <v>71</v>
      </c>
      <c r="DK4" s="233" t="s">
        <v>72</v>
      </c>
      <c r="DL4" s="233" t="s">
        <v>73</v>
      </c>
      <c r="DM4" s="257" t="s">
        <v>74</v>
      </c>
      <c r="DN4" s="232" t="s">
        <v>71</v>
      </c>
      <c r="DO4" s="233" t="s">
        <v>72</v>
      </c>
      <c r="DP4" s="233" t="s">
        <v>73</v>
      </c>
      <c r="DQ4" s="257" t="s">
        <v>74</v>
      </c>
      <c r="DR4" s="232" t="s">
        <v>71</v>
      </c>
      <c r="DS4" s="233" t="s">
        <v>72</v>
      </c>
      <c r="DT4" s="233" t="s">
        <v>73</v>
      </c>
      <c r="DU4" s="257" t="s">
        <v>74</v>
      </c>
      <c r="DV4" s="232" t="s">
        <v>71</v>
      </c>
      <c r="DW4" s="233" t="s">
        <v>72</v>
      </c>
      <c r="DX4" s="233" t="s">
        <v>73</v>
      </c>
      <c r="DY4" s="257" t="s">
        <v>74</v>
      </c>
      <c r="DZ4" s="498"/>
      <c r="EA4" s="509"/>
      <c r="EB4" s="232" t="s">
        <v>71</v>
      </c>
      <c r="EC4" s="233" t="s">
        <v>72</v>
      </c>
      <c r="ED4" s="233" t="s">
        <v>73</v>
      </c>
      <c r="EE4" s="232" t="s">
        <v>71</v>
      </c>
      <c r="EF4" s="233" t="s">
        <v>72</v>
      </c>
      <c r="EG4" s="233" t="s">
        <v>73</v>
      </c>
      <c r="EH4" s="233" t="s">
        <v>74</v>
      </c>
      <c r="EI4" s="257" t="s">
        <v>74</v>
      </c>
      <c r="EJ4" s="232" t="s">
        <v>71</v>
      </c>
      <c r="EK4" s="233" t="s">
        <v>72</v>
      </c>
      <c r="EL4" s="233" t="s">
        <v>73</v>
      </c>
      <c r="EM4" s="233" t="s">
        <v>74</v>
      </c>
      <c r="EN4" s="264" t="s">
        <v>71</v>
      </c>
      <c r="EO4" s="265" t="s">
        <v>72</v>
      </c>
      <c r="EP4" s="265" t="s">
        <v>73</v>
      </c>
      <c r="EQ4" s="265" t="s">
        <v>74</v>
      </c>
      <c r="ER4" s="266" t="s">
        <v>77</v>
      </c>
      <c r="ES4" s="233" t="s">
        <v>71</v>
      </c>
      <c r="ET4" s="233" t="s">
        <v>72</v>
      </c>
      <c r="EU4" s="233" t="s">
        <v>73</v>
      </c>
      <c r="EV4" s="233" t="s">
        <v>74</v>
      </c>
      <c r="EW4" s="233" t="s">
        <v>75</v>
      </c>
      <c r="EX4" s="232" t="s">
        <v>71</v>
      </c>
      <c r="EY4" s="233" t="s">
        <v>72</v>
      </c>
      <c r="EZ4" s="233" t="s">
        <v>73</v>
      </c>
      <c r="FA4" s="233" t="s">
        <v>74</v>
      </c>
      <c r="FB4" s="257" t="s">
        <v>75</v>
      </c>
      <c r="FC4" s="233" t="s">
        <v>71</v>
      </c>
      <c r="FD4" s="233" t="s">
        <v>72</v>
      </c>
      <c r="FE4" s="233" t="s">
        <v>73</v>
      </c>
      <c r="FF4" s="233" t="s">
        <v>74</v>
      </c>
      <c r="FG4" s="232" t="s">
        <v>71</v>
      </c>
      <c r="FH4" s="233" t="s">
        <v>72</v>
      </c>
      <c r="FI4" s="233" t="s">
        <v>73</v>
      </c>
      <c r="FJ4" s="233" t="s">
        <v>74</v>
      </c>
      <c r="FK4" s="232" t="s">
        <v>71</v>
      </c>
      <c r="FL4" s="233" t="s">
        <v>72</v>
      </c>
      <c r="FM4" s="233" t="s">
        <v>73</v>
      </c>
      <c r="FN4" s="233" t="s">
        <v>74</v>
      </c>
      <c r="FO4" s="233" t="s">
        <v>75</v>
      </c>
      <c r="FP4" s="233" t="s">
        <v>76</v>
      </c>
      <c r="FQ4" s="232" t="s">
        <v>71</v>
      </c>
      <c r="FR4" s="233" t="s">
        <v>72</v>
      </c>
      <c r="FS4" s="233" t="s">
        <v>73</v>
      </c>
      <c r="FT4" s="233" t="s">
        <v>74</v>
      </c>
      <c r="FU4" s="233" t="s">
        <v>75</v>
      </c>
      <c r="FV4" s="233" t="s">
        <v>76</v>
      </c>
      <c r="FW4" s="232" t="s">
        <v>71</v>
      </c>
      <c r="FX4" s="233" t="s">
        <v>72</v>
      </c>
      <c r="FY4" s="233" t="s">
        <v>73</v>
      </c>
      <c r="FZ4" s="257" t="s">
        <v>74</v>
      </c>
      <c r="GA4" s="232" t="s">
        <v>71</v>
      </c>
      <c r="GB4" s="233" t="s">
        <v>72</v>
      </c>
      <c r="GC4" s="233" t="s">
        <v>73</v>
      </c>
      <c r="GD4" s="257" t="s">
        <v>74</v>
      </c>
      <c r="GE4" s="232" t="s">
        <v>71</v>
      </c>
      <c r="GF4" s="233" t="s">
        <v>72</v>
      </c>
      <c r="GG4" s="233" t="s">
        <v>73</v>
      </c>
      <c r="GH4" s="257" t="s">
        <v>74</v>
      </c>
      <c r="GI4" s="232" t="s">
        <v>71</v>
      </c>
      <c r="GJ4" s="233" t="s">
        <v>72</v>
      </c>
      <c r="GK4" s="233" t="s">
        <v>73</v>
      </c>
      <c r="GL4" s="257" t="s">
        <v>74</v>
      </c>
      <c r="GM4" s="498"/>
      <c r="GO4" s="524"/>
      <c r="GP4" s="526"/>
      <c r="GQ4" s="526"/>
    </row>
    <row r="5" spans="1:199" ht="15.75" thickBot="1">
      <c r="A5" s="234">
        <v>1</v>
      </c>
      <c r="B5" s="120"/>
      <c r="C5" s="41"/>
      <c r="D5" s="122"/>
      <c r="E5" s="235"/>
      <c r="F5" s="236"/>
      <c r="G5" s="236"/>
      <c r="H5" s="237"/>
      <c r="I5" s="237"/>
      <c r="J5" s="250"/>
      <c r="K5" s="236"/>
      <c r="L5" s="236"/>
      <c r="M5" s="237"/>
      <c r="N5" s="251"/>
      <c r="O5" s="241"/>
      <c r="P5" s="241"/>
      <c r="Q5" s="241"/>
      <c r="R5" s="254"/>
      <c r="S5" s="235"/>
      <c r="T5" s="236"/>
      <c r="U5" s="237"/>
      <c r="V5" s="237"/>
      <c r="W5" s="237"/>
      <c r="X5" s="250"/>
      <c r="Y5" s="236"/>
      <c r="Z5" s="236"/>
      <c r="AA5" s="237"/>
      <c r="AB5" s="256"/>
      <c r="AC5" s="235"/>
      <c r="AD5" s="236"/>
      <c r="AE5" s="236"/>
      <c r="AF5" s="237"/>
      <c r="AG5" s="250"/>
      <c r="AH5" s="236"/>
      <c r="AI5" s="237"/>
      <c r="AJ5" s="256"/>
      <c r="AK5" s="235"/>
      <c r="AL5" s="236"/>
      <c r="AM5" s="236"/>
      <c r="AN5" s="236"/>
      <c r="AO5" s="237"/>
      <c r="AP5" s="256"/>
      <c r="AQ5" s="235"/>
      <c r="AR5" s="236"/>
      <c r="AS5" s="236"/>
      <c r="AT5" s="236"/>
      <c r="AU5" s="237"/>
      <c r="AV5" s="256"/>
      <c r="AW5" s="250"/>
      <c r="AX5" s="236"/>
      <c r="AY5" s="236"/>
      <c r="AZ5" s="256"/>
      <c r="BA5" s="250"/>
      <c r="BB5" s="236"/>
      <c r="BC5" s="236"/>
      <c r="BD5" s="256"/>
      <c r="BE5" s="250"/>
      <c r="BF5" s="236"/>
      <c r="BG5" s="236"/>
      <c r="BH5" s="256"/>
      <c r="BI5" s="250"/>
      <c r="BJ5" s="236"/>
      <c r="BK5" s="236"/>
      <c r="BL5" s="256"/>
      <c r="BM5" s="258">
        <f>SUM(B5:BL5)</f>
        <v>0</v>
      </c>
      <c r="BN5" s="234">
        <v>1</v>
      </c>
      <c r="BO5" s="120"/>
      <c r="BP5" s="41"/>
      <c r="BQ5" s="122"/>
      <c r="BR5" s="261"/>
      <c r="BS5" s="262"/>
      <c r="BT5" s="262"/>
      <c r="BU5" s="262"/>
      <c r="BV5" s="262"/>
      <c r="BW5" s="262"/>
      <c r="BX5" s="262"/>
      <c r="BY5" s="262"/>
      <c r="BZ5" s="267"/>
      <c r="CA5" s="268"/>
      <c r="CB5" s="262"/>
      <c r="CC5" s="262"/>
      <c r="CD5" s="262"/>
      <c r="CE5" s="269"/>
      <c r="CF5" s="261"/>
      <c r="CG5" s="262"/>
      <c r="CH5" s="262"/>
      <c r="CI5" s="262"/>
      <c r="CJ5" s="262"/>
      <c r="CK5" s="237"/>
      <c r="CL5" s="236"/>
      <c r="CM5" s="236"/>
      <c r="CN5" s="236"/>
      <c r="CO5" s="256"/>
      <c r="CP5" s="235"/>
      <c r="CQ5" s="236"/>
      <c r="CR5" s="236"/>
      <c r="CS5" s="237"/>
      <c r="CT5" s="250"/>
      <c r="CU5" s="236"/>
      <c r="CV5" s="237"/>
      <c r="CW5" s="256"/>
      <c r="CX5" s="250"/>
      <c r="CY5" s="236"/>
      <c r="CZ5" s="237"/>
      <c r="DA5" s="237"/>
      <c r="DB5" s="237"/>
      <c r="DC5" s="256"/>
      <c r="DD5" s="250"/>
      <c r="DE5" s="236"/>
      <c r="DF5" s="237"/>
      <c r="DG5" s="237"/>
      <c r="DH5" s="237"/>
      <c r="DI5" s="256"/>
      <c r="DJ5" s="250"/>
      <c r="DK5" s="236"/>
      <c r="DL5" s="236"/>
      <c r="DM5" s="256"/>
      <c r="DN5" s="250"/>
      <c r="DO5" s="236"/>
      <c r="DP5" s="236"/>
      <c r="DQ5" s="256"/>
      <c r="DR5" s="250"/>
      <c r="DS5" s="236"/>
      <c r="DT5" s="236"/>
      <c r="DU5" s="256"/>
      <c r="DV5" s="250"/>
      <c r="DW5" s="236"/>
      <c r="DX5" s="236"/>
      <c r="DY5" s="256"/>
      <c r="DZ5" s="258">
        <f>SUM(BO5:DY5)</f>
        <v>0</v>
      </c>
      <c r="EA5" s="413">
        <v>1</v>
      </c>
      <c r="EB5" s="120"/>
      <c r="EC5" s="41"/>
      <c r="ED5" s="122"/>
      <c r="EE5" s="261"/>
      <c r="EF5" s="262"/>
      <c r="EG5" s="262"/>
      <c r="EH5" s="262"/>
      <c r="EI5" s="262"/>
      <c r="EJ5" s="262"/>
      <c r="EK5" s="262"/>
      <c r="EL5" s="262"/>
      <c r="EM5" s="267"/>
      <c r="EN5" s="268"/>
      <c r="EO5" s="262"/>
      <c r="EP5" s="262"/>
      <c r="EQ5" s="262"/>
      <c r="ER5" s="269"/>
      <c r="ES5" s="261"/>
      <c r="ET5" s="262"/>
      <c r="EU5" s="262"/>
      <c r="EV5" s="262"/>
      <c r="EW5" s="262"/>
      <c r="EX5" s="237"/>
      <c r="EY5" s="236"/>
      <c r="EZ5" s="236"/>
      <c r="FA5" s="236"/>
      <c r="FB5" s="256"/>
      <c r="FC5" s="235"/>
      <c r="FD5" s="236"/>
      <c r="FE5" s="236"/>
      <c r="FF5" s="237"/>
      <c r="FG5" s="250"/>
      <c r="FH5" s="236"/>
      <c r="FI5" s="237"/>
      <c r="FJ5" s="256"/>
      <c r="FK5" s="250"/>
      <c r="FL5" s="236"/>
      <c r="FM5" s="237"/>
      <c r="FN5" s="237"/>
      <c r="FO5" s="237"/>
      <c r="FP5" s="256"/>
      <c r="FQ5" s="250"/>
      <c r="FR5" s="236"/>
      <c r="FS5" s="237"/>
      <c r="FT5" s="237"/>
      <c r="FU5" s="237"/>
      <c r="FV5" s="256"/>
      <c r="FW5" s="250"/>
      <c r="FX5" s="236"/>
      <c r="FY5" s="236"/>
      <c r="FZ5" s="256"/>
      <c r="GA5" s="250"/>
      <c r="GB5" s="236"/>
      <c r="GC5" s="236"/>
      <c r="GD5" s="256"/>
      <c r="GE5" s="250"/>
      <c r="GF5" s="236"/>
      <c r="GG5" s="236"/>
      <c r="GH5" s="256"/>
      <c r="GI5" s="250"/>
      <c r="GJ5" s="236"/>
      <c r="GK5" s="236"/>
      <c r="GL5" s="256"/>
      <c r="GM5" s="258">
        <f>SUM(EB5:GL5)</f>
        <v>0</v>
      </c>
      <c r="GO5" s="205">
        <f>+'RETAION-BUS'!BT5+'RETAION-BUS'!EN5+'RETAION-BUS'!HH5</f>
        <v>0</v>
      </c>
      <c r="GP5" s="204">
        <f>+DZ5+BM5+GM5</f>
        <v>0</v>
      </c>
      <c r="GQ5" s="272">
        <f>+GO5-GP5</f>
        <v>0</v>
      </c>
    </row>
    <row r="6" spans="1:199" ht="15.75" thickBot="1">
      <c r="A6" s="238">
        <v>2</v>
      </c>
      <c r="B6" s="239"/>
      <c r="C6" s="43"/>
      <c r="D6" s="57"/>
      <c r="E6" s="240"/>
      <c r="F6" s="241"/>
      <c r="G6" s="241"/>
      <c r="H6" s="242"/>
      <c r="I6" s="242"/>
      <c r="J6" s="251"/>
      <c r="K6" s="241"/>
      <c r="L6" s="241"/>
      <c r="M6" s="242"/>
      <c r="N6" s="251"/>
      <c r="O6" s="241"/>
      <c r="P6" s="241"/>
      <c r="Q6" s="241"/>
      <c r="R6" s="254"/>
      <c r="S6" s="240"/>
      <c r="T6" s="241"/>
      <c r="U6" s="242"/>
      <c r="V6" s="242"/>
      <c r="W6" s="242"/>
      <c r="X6" s="251"/>
      <c r="Y6" s="241"/>
      <c r="Z6" s="241"/>
      <c r="AA6" s="242"/>
      <c r="AB6" s="254"/>
      <c r="AC6" s="240"/>
      <c r="AD6" s="241"/>
      <c r="AE6" s="241"/>
      <c r="AF6" s="242"/>
      <c r="AG6" s="251"/>
      <c r="AH6" s="241"/>
      <c r="AI6" s="242"/>
      <c r="AJ6" s="254"/>
      <c r="AK6" s="240"/>
      <c r="AL6" s="241"/>
      <c r="AM6" s="241"/>
      <c r="AN6" s="241"/>
      <c r="AO6" s="242"/>
      <c r="AP6" s="254"/>
      <c r="AQ6" s="240"/>
      <c r="AR6" s="241"/>
      <c r="AS6" s="241"/>
      <c r="AT6" s="241"/>
      <c r="AU6" s="242"/>
      <c r="AV6" s="254"/>
      <c r="AW6" s="251"/>
      <c r="AX6" s="241"/>
      <c r="AY6" s="241"/>
      <c r="AZ6" s="254"/>
      <c r="BA6" s="251"/>
      <c r="BB6" s="241"/>
      <c r="BC6" s="241"/>
      <c r="BD6" s="254"/>
      <c r="BE6" s="251"/>
      <c r="BF6" s="241"/>
      <c r="BG6" s="241"/>
      <c r="BH6" s="254"/>
      <c r="BI6" s="251"/>
      <c r="BJ6" s="241"/>
      <c r="BK6" s="241"/>
      <c r="BL6" s="254"/>
      <c r="BM6" s="258">
        <f t="shared" ref="BM6:BM34" si="0">SUM(B6:BL6)</f>
        <v>0</v>
      </c>
      <c r="BN6" s="238">
        <v>2</v>
      </c>
      <c r="BO6" s="239"/>
      <c r="BP6" s="43"/>
      <c r="BQ6" s="57"/>
      <c r="BR6" s="240"/>
      <c r="BS6" s="241"/>
      <c r="BT6" s="241"/>
      <c r="BU6" s="242"/>
      <c r="BV6" s="254"/>
      <c r="BW6" s="251"/>
      <c r="BX6" s="241"/>
      <c r="BY6" s="241"/>
      <c r="BZ6" s="242"/>
      <c r="CA6" s="251"/>
      <c r="CB6" s="241"/>
      <c r="CC6" s="241"/>
      <c r="CD6" s="241"/>
      <c r="CE6" s="254"/>
      <c r="CF6" s="270"/>
      <c r="CG6" s="251"/>
      <c r="CH6" s="240"/>
      <c r="CI6" s="240"/>
      <c r="CJ6" s="241"/>
      <c r="CK6" s="251"/>
      <c r="CL6" s="241"/>
      <c r="CM6" s="241"/>
      <c r="CN6" s="241"/>
      <c r="CO6" s="254"/>
      <c r="CP6" s="240"/>
      <c r="CQ6" s="241"/>
      <c r="CR6" s="241"/>
      <c r="CS6" s="242"/>
      <c r="CT6" s="251"/>
      <c r="CU6" s="241"/>
      <c r="CV6" s="242"/>
      <c r="CW6" s="254"/>
      <c r="CX6" s="251"/>
      <c r="CY6" s="241"/>
      <c r="CZ6" s="241"/>
      <c r="DA6" s="241"/>
      <c r="DB6" s="241"/>
      <c r="DC6" s="254"/>
      <c r="DD6" s="251"/>
      <c r="DE6" s="241"/>
      <c r="DF6" s="241"/>
      <c r="DG6" s="241"/>
      <c r="DH6" s="241"/>
      <c r="DI6" s="254"/>
      <c r="DJ6" s="251"/>
      <c r="DK6" s="241"/>
      <c r="DL6" s="241"/>
      <c r="DM6" s="254"/>
      <c r="DN6" s="251"/>
      <c r="DO6" s="241"/>
      <c r="DP6" s="241"/>
      <c r="DQ6" s="254"/>
      <c r="DR6" s="251"/>
      <c r="DS6" s="241"/>
      <c r="DT6" s="241"/>
      <c r="DU6" s="254"/>
      <c r="DV6" s="251"/>
      <c r="DW6" s="241"/>
      <c r="DX6" s="241"/>
      <c r="DY6" s="254"/>
      <c r="DZ6" s="258">
        <f t="shared" ref="DZ6:DZ35" si="1">SUM(BO6:DY6)</f>
        <v>0</v>
      </c>
      <c r="EA6" s="238">
        <v>2</v>
      </c>
      <c r="EB6" s="239"/>
      <c r="EC6" s="43"/>
      <c r="ED6" s="57"/>
      <c r="EE6" s="240"/>
      <c r="EF6" s="241"/>
      <c r="EG6" s="241"/>
      <c r="EH6" s="242"/>
      <c r="EI6" s="254"/>
      <c r="EJ6" s="251"/>
      <c r="EK6" s="241"/>
      <c r="EL6" s="241"/>
      <c r="EM6" s="242"/>
      <c r="EN6" s="251"/>
      <c r="EO6" s="241"/>
      <c r="EP6" s="241"/>
      <c r="EQ6" s="241"/>
      <c r="ER6" s="254"/>
      <c r="ES6" s="270"/>
      <c r="ET6" s="251"/>
      <c r="EU6" s="240"/>
      <c r="EV6" s="240"/>
      <c r="EW6" s="241"/>
      <c r="EX6" s="251"/>
      <c r="EY6" s="241"/>
      <c r="EZ6" s="241"/>
      <c r="FA6" s="241"/>
      <c r="FB6" s="254"/>
      <c r="FC6" s="240"/>
      <c r="FD6" s="241"/>
      <c r="FE6" s="241"/>
      <c r="FF6" s="242"/>
      <c r="FG6" s="251"/>
      <c r="FH6" s="241"/>
      <c r="FI6" s="242"/>
      <c r="FJ6" s="254"/>
      <c r="FK6" s="251"/>
      <c r="FL6" s="241"/>
      <c r="FM6" s="241"/>
      <c r="FN6" s="241"/>
      <c r="FO6" s="241"/>
      <c r="FP6" s="254"/>
      <c r="FQ6" s="251"/>
      <c r="FR6" s="241"/>
      <c r="FS6" s="241"/>
      <c r="FT6" s="241"/>
      <c r="FU6" s="241"/>
      <c r="FV6" s="254"/>
      <c r="FW6" s="251"/>
      <c r="FX6" s="241"/>
      <c r="FY6" s="241"/>
      <c r="FZ6" s="254"/>
      <c r="GA6" s="251"/>
      <c r="GB6" s="241"/>
      <c r="GC6" s="241"/>
      <c r="GD6" s="254"/>
      <c r="GE6" s="251"/>
      <c r="GF6" s="241"/>
      <c r="GG6" s="241"/>
      <c r="GH6" s="254"/>
      <c r="GI6" s="251"/>
      <c r="GJ6" s="241"/>
      <c r="GK6" s="241"/>
      <c r="GL6" s="254"/>
      <c r="GM6" s="258">
        <f t="shared" ref="GM6:GM35" si="2">SUM(EB6:GL6)</f>
        <v>0</v>
      </c>
      <c r="GO6" s="205">
        <f>+'RETAION-BUS'!BT6+'RETAION-BUS'!EN6+'RETAION-BUS'!HH6</f>
        <v>0</v>
      </c>
      <c r="GP6" s="204">
        <f t="shared" ref="GP6:GP35" si="3">+DZ6+BM6+GM6</f>
        <v>0</v>
      </c>
      <c r="GQ6" s="273">
        <f t="shared" ref="GQ6:GQ35" si="4">+GO6-GP6</f>
        <v>0</v>
      </c>
    </row>
    <row r="7" spans="1:199" ht="15.75" thickBot="1">
      <c r="A7" s="243">
        <v>3</v>
      </c>
      <c r="B7" s="239"/>
      <c r="C7" s="43"/>
      <c r="D7" s="57"/>
      <c r="E7" s="240"/>
      <c r="F7" s="241"/>
      <c r="G7" s="241"/>
      <c r="H7" s="242"/>
      <c r="I7" s="242"/>
      <c r="J7" s="251"/>
      <c r="K7" s="241"/>
      <c r="L7" s="241"/>
      <c r="M7" s="242"/>
      <c r="N7" s="251"/>
      <c r="O7" s="241"/>
      <c r="P7" s="241"/>
      <c r="Q7" s="241"/>
      <c r="R7" s="254"/>
      <c r="S7" s="240"/>
      <c r="T7" s="241"/>
      <c r="U7" s="242"/>
      <c r="V7" s="242"/>
      <c r="W7" s="242"/>
      <c r="X7" s="251"/>
      <c r="Y7" s="241"/>
      <c r="Z7" s="241"/>
      <c r="AA7" s="242"/>
      <c r="AB7" s="254"/>
      <c r="AC7" s="240"/>
      <c r="AD7" s="241"/>
      <c r="AE7" s="241"/>
      <c r="AF7" s="242"/>
      <c r="AG7" s="251"/>
      <c r="AH7" s="241"/>
      <c r="AI7" s="242"/>
      <c r="AJ7" s="254"/>
      <c r="AK7" s="240"/>
      <c r="AL7" s="241"/>
      <c r="AM7" s="241"/>
      <c r="AN7" s="241"/>
      <c r="AO7" s="242"/>
      <c r="AP7" s="254"/>
      <c r="AQ7" s="240"/>
      <c r="AR7" s="241"/>
      <c r="AS7" s="241"/>
      <c r="AT7" s="241"/>
      <c r="AU7" s="242"/>
      <c r="AV7" s="254"/>
      <c r="AW7" s="251"/>
      <c r="AX7" s="241"/>
      <c r="AY7" s="241"/>
      <c r="AZ7" s="254"/>
      <c r="BA7" s="251"/>
      <c r="BB7" s="241"/>
      <c r="BC7" s="241"/>
      <c r="BD7" s="254"/>
      <c r="BE7" s="251"/>
      <c r="BF7" s="241"/>
      <c r="BG7" s="241"/>
      <c r="BH7" s="254"/>
      <c r="BI7" s="251"/>
      <c r="BJ7" s="241"/>
      <c r="BK7" s="241"/>
      <c r="BL7" s="254"/>
      <c r="BM7" s="258">
        <f t="shared" si="0"/>
        <v>0</v>
      </c>
      <c r="BN7" s="243">
        <v>3</v>
      </c>
      <c r="BO7" s="239"/>
      <c r="BP7" s="43"/>
      <c r="BQ7" s="57"/>
      <c r="BR7" s="240"/>
      <c r="BS7" s="241"/>
      <c r="BT7" s="241"/>
      <c r="BU7" s="242"/>
      <c r="BV7" s="254"/>
      <c r="BW7" s="251"/>
      <c r="BX7" s="241"/>
      <c r="BY7" s="241"/>
      <c r="BZ7" s="242"/>
      <c r="CA7" s="251"/>
      <c r="CB7" s="241"/>
      <c r="CC7" s="241"/>
      <c r="CD7" s="241"/>
      <c r="CE7" s="254"/>
      <c r="CF7" s="240"/>
      <c r="CG7" s="241"/>
      <c r="CH7" s="242"/>
      <c r="CI7" s="242"/>
      <c r="CJ7" s="254"/>
      <c r="CK7" s="251"/>
      <c r="CL7" s="241"/>
      <c r="CM7" s="241"/>
      <c r="CN7" s="241"/>
      <c r="CO7" s="254"/>
      <c r="CP7" s="240"/>
      <c r="CQ7" s="241"/>
      <c r="CR7" s="241"/>
      <c r="CS7" s="242"/>
      <c r="CT7" s="251"/>
      <c r="CU7" s="241"/>
      <c r="CV7" s="242"/>
      <c r="CW7" s="254"/>
      <c r="CX7" s="251"/>
      <c r="CY7" s="241"/>
      <c r="CZ7" s="242"/>
      <c r="DA7" s="242"/>
      <c r="DB7" s="242"/>
      <c r="DC7" s="254"/>
      <c r="DD7" s="251"/>
      <c r="DE7" s="241"/>
      <c r="DF7" s="242"/>
      <c r="DG7" s="242"/>
      <c r="DH7" s="242"/>
      <c r="DI7" s="254"/>
      <c r="DJ7" s="251"/>
      <c r="DK7" s="241"/>
      <c r="DL7" s="241"/>
      <c r="DM7" s="254"/>
      <c r="DN7" s="251"/>
      <c r="DO7" s="241"/>
      <c r="DP7" s="241"/>
      <c r="DQ7" s="254"/>
      <c r="DR7" s="251"/>
      <c r="DS7" s="241"/>
      <c r="DT7" s="241"/>
      <c r="DU7" s="254"/>
      <c r="DV7" s="251"/>
      <c r="DW7" s="241"/>
      <c r="DX7" s="241"/>
      <c r="DY7" s="254"/>
      <c r="DZ7" s="258">
        <f t="shared" si="1"/>
        <v>0</v>
      </c>
      <c r="EA7" s="243">
        <v>3</v>
      </c>
      <c r="EB7" s="239"/>
      <c r="EC7" s="43"/>
      <c r="ED7" s="57"/>
      <c r="EE7" s="240"/>
      <c r="EF7" s="241"/>
      <c r="EG7" s="241"/>
      <c r="EH7" s="242"/>
      <c r="EI7" s="254"/>
      <c r="EJ7" s="251"/>
      <c r="EK7" s="241"/>
      <c r="EL7" s="241"/>
      <c r="EM7" s="242"/>
      <c r="EN7" s="251"/>
      <c r="EO7" s="241"/>
      <c r="EP7" s="241"/>
      <c r="EQ7" s="241"/>
      <c r="ER7" s="254"/>
      <c r="ES7" s="240"/>
      <c r="ET7" s="241"/>
      <c r="EU7" s="242"/>
      <c r="EV7" s="242"/>
      <c r="EW7" s="254"/>
      <c r="EX7" s="251"/>
      <c r="EY7" s="241"/>
      <c r="EZ7" s="241"/>
      <c r="FA7" s="241"/>
      <c r="FB7" s="254"/>
      <c r="FC7" s="240"/>
      <c r="FD7" s="241"/>
      <c r="FE7" s="241"/>
      <c r="FF7" s="242"/>
      <c r="FG7" s="251"/>
      <c r="FH7" s="241"/>
      <c r="FI7" s="242"/>
      <c r="FJ7" s="254"/>
      <c r="FK7" s="251"/>
      <c r="FL7" s="241"/>
      <c r="FM7" s="242"/>
      <c r="FN7" s="242"/>
      <c r="FO7" s="242"/>
      <c r="FP7" s="254"/>
      <c r="FQ7" s="251"/>
      <c r="FR7" s="241"/>
      <c r="FS7" s="242"/>
      <c r="FT7" s="242"/>
      <c r="FU7" s="242"/>
      <c r="FV7" s="254"/>
      <c r="FW7" s="251"/>
      <c r="FX7" s="241"/>
      <c r="FY7" s="241"/>
      <c r="FZ7" s="254"/>
      <c r="GA7" s="251"/>
      <c r="GB7" s="241"/>
      <c r="GC7" s="241"/>
      <c r="GD7" s="254"/>
      <c r="GE7" s="251"/>
      <c r="GF7" s="241"/>
      <c r="GG7" s="241"/>
      <c r="GH7" s="254"/>
      <c r="GI7" s="251"/>
      <c r="GJ7" s="241"/>
      <c r="GK7" s="241"/>
      <c r="GL7" s="254"/>
      <c r="GM7" s="258">
        <f t="shared" si="2"/>
        <v>0</v>
      </c>
      <c r="GO7" s="205">
        <f>+'RETAION-BUS'!BT7+'RETAION-BUS'!EN7+'RETAION-BUS'!HH7</f>
        <v>0</v>
      </c>
      <c r="GP7" s="204">
        <f t="shared" si="3"/>
        <v>0</v>
      </c>
      <c r="GQ7" s="274">
        <f t="shared" si="4"/>
        <v>0</v>
      </c>
    </row>
    <row r="8" spans="1:199" ht="15.75" thickBot="1">
      <c r="A8" s="234">
        <v>4</v>
      </c>
      <c r="B8" s="239"/>
      <c r="C8" s="43"/>
      <c r="D8" s="57"/>
      <c r="E8" s="240"/>
      <c r="F8" s="241"/>
      <c r="G8" s="241"/>
      <c r="H8" s="242"/>
      <c r="I8" s="242"/>
      <c r="J8" s="251"/>
      <c r="K8" s="241"/>
      <c r="L8" s="241"/>
      <c r="M8" s="242"/>
      <c r="N8" s="251"/>
      <c r="O8" s="241"/>
      <c r="P8" s="241"/>
      <c r="Q8" s="241"/>
      <c r="R8" s="254"/>
      <c r="S8" s="240"/>
      <c r="T8" s="241"/>
      <c r="U8" s="242"/>
      <c r="V8" s="242"/>
      <c r="W8" s="242"/>
      <c r="X8" s="251"/>
      <c r="Y8" s="241"/>
      <c r="Z8" s="241"/>
      <c r="AA8" s="242"/>
      <c r="AB8" s="254"/>
      <c r="AC8" s="240"/>
      <c r="AD8" s="241"/>
      <c r="AE8" s="241"/>
      <c r="AF8" s="242"/>
      <c r="AG8" s="251"/>
      <c r="AH8" s="241"/>
      <c r="AI8" s="242"/>
      <c r="AJ8" s="254"/>
      <c r="AK8" s="240"/>
      <c r="AL8" s="241"/>
      <c r="AM8" s="241"/>
      <c r="AN8" s="241"/>
      <c r="AO8" s="242"/>
      <c r="AP8" s="254"/>
      <c r="AQ8" s="240"/>
      <c r="AR8" s="241"/>
      <c r="AS8" s="241"/>
      <c r="AT8" s="241"/>
      <c r="AU8" s="242"/>
      <c r="AV8" s="254"/>
      <c r="AW8" s="251"/>
      <c r="AX8" s="241"/>
      <c r="AY8" s="241"/>
      <c r="AZ8" s="254"/>
      <c r="BA8" s="251"/>
      <c r="BB8" s="241"/>
      <c r="BC8" s="241"/>
      <c r="BD8" s="254"/>
      <c r="BE8" s="251"/>
      <c r="BF8" s="241"/>
      <c r="BG8" s="241"/>
      <c r="BH8" s="254"/>
      <c r="BI8" s="251"/>
      <c r="BJ8" s="241"/>
      <c r="BK8" s="241"/>
      <c r="BL8" s="254"/>
      <c r="BM8" s="258">
        <f t="shared" si="0"/>
        <v>0</v>
      </c>
      <c r="BN8" s="234">
        <v>4</v>
      </c>
      <c r="BO8" s="239"/>
      <c r="BP8" s="43"/>
      <c r="BQ8" s="57"/>
      <c r="BR8" s="240"/>
      <c r="BS8" s="241"/>
      <c r="BT8" s="241"/>
      <c r="BU8" s="242"/>
      <c r="BV8" s="254"/>
      <c r="BW8" s="251"/>
      <c r="BX8" s="241"/>
      <c r="BY8" s="241"/>
      <c r="BZ8" s="242"/>
      <c r="CA8" s="251"/>
      <c r="CB8" s="241"/>
      <c r="CC8" s="241"/>
      <c r="CD8" s="241"/>
      <c r="CE8" s="254"/>
      <c r="CF8" s="240"/>
      <c r="CG8" s="241"/>
      <c r="CH8" s="242"/>
      <c r="CI8" s="242"/>
      <c r="CJ8" s="254"/>
      <c r="CK8" s="251"/>
      <c r="CL8" s="241"/>
      <c r="CM8" s="241"/>
      <c r="CN8" s="241"/>
      <c r="CO8" s="254"/>
      <c r="CP8" s="240"/>
      <c r="CQ8" s="241"/>
      <c r="CR8" s="241"/>
      <c r="CS8" s="242"/>
      <c r="CT8" s="251"/>
      <c r="CU8" s="241"/>
      <c r="CV8" s="242"/>
      <c r="CW8" s="254"/>
      <c r="CX8" s="251"/>
      <c r="CY8" s="241"/>
      <c r="CZ8" s="242"/>
      <c r="DA8" s="242"/>
      <c r="DB8" s="242"/>
      <c r="DC8" s="254"/>
      <c r="DD8" s="251"/>
      <c r="DE8" s="241"/>
      <c r="DF8" s="242"/>
      <c r="DG8" s="242"/>
      <c r="DH8" s="242"/>
      <c r="DI8" s="254"/>
      <c r="DJ8" s="251"/>
      <c r="DK8" s="241"/>
      <c r="DL8" s="241"/>
      <c r="DM8" s="254"/>
      <c r="DN8" s="251"/>
      <c r="DO8" s="241"/>
      <c r="DP8" s="241"/>
      <c r="DQ8" s="254"/>
      <c r="DR8" s="251"/>
      <c r="DS8" s="241"/>
      <c r="DT8" s="241"/>
      <c r="DU8" s="254"/>
      <c r="DV8" s="251"/>
      <c r="DW8" s="241"/>
      <c r="DX8" s="241"/>
      <c r="DY8" s="254"/>
      <c r="DZ8" s="258">
        <f t="shared" si="1"/>
        <v>0</v>
      </c>
      <c r="EA8" s="413">
        <v>4</v>
      </c>
      <c r="EB8" s="239"/>
      <c r="EC8" s="43"/>
      <c r="ED8" s="57"/>
      <c r="EE8" s="240"/>
      <c r="EF8" s="241"/>
      <c r="EG8" s="241"/>
      <c r="EH8" s="242"/>
      <c r="EI8" s="254"/>
      <c r="EJ8" s="251"/>
      <c r="EK8" s="241"/>
      <c r="EL8" s="241"/>
      <c r="EM8" s="242"/>
      <c r="EN8" s="251"/>
      <c r="EO8" s="241"/>
      <c r="EP8" s="241"/>
      <c r="EQ8" s="241"/>
      <c r="ER8" s="254"/>
      <c r="ES8" s="240"/>
      <c r="ET8" s="241"/>
      <c r="EU8" s="242"/>
      <c r="EV8" s="242"/>
      <c r="EW8" s="254"/>
      <c r="EX8" s="251"/>
      <c r="EY8" s="241"/>
      <c r="EZ8" s="241"/>
      <c r="FA8" s="241"/>
      <c r="FB8" s="254"/>
      <c r="FC8" s="240"/>
      <c r="FD8" s="241"/>
      <c r="FE8" s="241"/>
      <c r="FF8" s="242"/>
      <c r="FG8" s="251"/>
      <c r="FH8" s="241"/>
      <c r="FI8" s="242"/>
      <c r="FJ8" s="254"/>
      <c r="FK8" s="251"/>
      <c r="FL8" s="241"/>
      <c r="FM8" s="242"/>
      <c r="FN8" s="242"/>
      <c r="FO8" s="242"/>
      <c r="FP8" s="254"/>
      <c r="FQ8" s="251"/>
      <c r="FR8" s="241"/>
      <c r="FS8" s="242"/>
      <c r="FT8" s="242"/>
      <c r="FU8" s="242"/>
      <c r="FV8" s="254"/>
      <c r="FW8" s="251"/>
      <c r="FX8" s="241"/>
      <c r="FY8" s="241"/>
      <c r="FZ8" s="254"/>
      <c r="GA8" s="251"/>
      <c r="GB8" s="241"/>
      <c r="GC8" s="241"/>
      <c r="GD8" s="254"/>
      <c r="GE8" s="251"/>
      <c r="GF8" s="241"/>
      <c r="GG8" s="241"/>
      <c r="GH8" s="254"/>
      <c r="GI8" s="251"/>
      <c r="GJ8" s="241"/>
      <c r="GK8" s="241"/>
      <c r="GL8" s="254"/>
      <c r="GM8" s="258">
        <f t="shared" si="2"/>
        <v>0</v>
      </c>
      <c r="GO8" s="205">
        <f>+'RETAION-BUS'!BT8+'RETAION-BUS'!EN8+'RETAION-BUS'!HH8</f>
        <v>0</v>
      </c>
      <c r="GP8" s="204">
        <f t="shared" si="3"/>
        <v>0</v>
      </c>
      <c r="GQ8" s="274">
        <f t="shared" si="4"/>
        <v>0</v>
      </c>
    </row>
    <row r="9" spans="1:199" ht="15.75" thickBot="1">
      <c r="A9" s="238">
        <v>5</v>
      </c>
      <c r="B9" s="239"/>
      <c r="C9" s="43"/>
      <c r="D9" s="57"/>
      <c r="E9" s="240"/>
      <c r="F9" s="241"/>
      <c r="G9" s="241"/>
      <c r="H9" s="242"/>
      <c r="I9" s="242"/>
      <c r="J9" s="251"/>
      <c r="K9" s="241"/>
      <c r="L9" s="241"/>
      <c r="M9" s="242"/>
      <c r="N9" s="251"/>
      <c r="O9" s="241"/>
      <c r="P9" s="241"/>
      <c r="Q9" s="241"/>
      <c r="R9" s="254"/>
      <c r="S9" s="240"/>
      <c r="T9" s="241"/>
      <c r="U9" s="242"/>
      <c r="V9" s="242"/>
      <c r="W9" s="242"/>
      <c r="X9" s="251"/>
      <c r="Y9" s="241"/>
      <c r="Z9" s="241"/>
      <c r="AA9" s="242"/>
      <c r="AB9" s="254"/>
      <c r="AC9" s="240"/>
      <c r="AD9" s="241"/>
      <c r="AE9" s="241"/>
      <c r="AF9" s="242"/>
      <c r="AG9" s="251"/>
      <c r="AH9" s="241"/>
      <c r="AI9" s="242"/>
      <c r="AJ9" s="254"/>
      <c r="AK9" s="240"/>
      <c r="AL9" s="241"/>
      <c r="AM9" s="241"/>
      <c r="AN9" s="241"/>
      <c r="AO9" s="242"/>
      <c r="AP9" s="254"/>
      <c r="AQ9" s="240"/>
      <c r="AR9" s="241"/>
      <c r="AS9" s="241"/>
      <c r="AT9" s="241"/>
      <c r="AU9" s="242"/>
      <c r="AV9" s="254"/>
      <c r="AW9" s="251"/>
      <c r="AX9" s="241"/>
      <c r="AY9" s="241"/>
      <c r="AZ9" s="254"/>
      <c r="BA9" s="251"/>
      <c r="BB9" s="241"/>
      <c r="BC9" s="241"/>
      <c r="BD9" s="254"/>
      <c r="BE9" s="251"/>
      <c r="BF9" s="241"/>
      <c r="BG9" s="241"/>
      <c r="BH9" s="254"/>
      <c r="BI9" s="251"/>
      <c r="BJ9" s="241"/>
      <c r="BK9" s="241"/>
      <c r="BL9" s="254"/>
      <c r="BM9" s="258">
        <f t="shared" si="0"/>
        <v>0</v>
      </c>
      <c r="BN9" s="238">
        <v>5</v>
      </c>
      <c r="BO9" s="239"/>
      <c r="BP9" s="43"/>
      <c r="BQ9" s="57"/>
      <c r="BR9" s="240"/>
      <c r="BS9" s="241"/>
      <c r="BT9" s="241"/>
      <c r="BU9" s="242"/>
      <c r="BV9" s="254"/>
      <c r="BW9" s="251"/>
      <c r="BX9" s="241"/>
      <c r="BY9" s="241"/>
      <c r="BZ9" s="242"/>
      <c r="CA9" s="251"/>
      <c r="CB9" s="241"/>
      <c r="CC9" s="241"/>
      <c r="CD9" s="241"/>
      <c r="CE9" s="254"/>
      <c r="CF9" s="240"/>
      <c r="CG9" s="241"/>
      <c r="CH9" s="242"/>
      <c r="CI9" s="242"/>
      <c r="CJ9" s="254"/>
      <c r="CK9" s="251"/>
      <c r="CL9" s="241"/>
      <c r="CM9" s="241"/>
      <c r="CN9" s="241"/>
      <c r="CO9" s="254"/>
      <c r="CP9" s="240"/>
      <c r="CQ9" s="241"/>
      <c r="CR9" s="241"/>
      <c r="CS9" s="242"/>
      <c r="CT9" s="251"/>
      <c r="CU9" s="241"/>
      <c r="CV9" s="242"/>
      <c r="CW9" s="254"/>
      <c r="CX9" s="251"/>
      <c r="CY9" s="241"/>
      <c r="CZ9" s="242"/>
      <c r="DA9" s="242"/>
      <c r="DB9" s="242"/>
      <c r="DC9" s="254"/>
      <c r="DD9" s="251"/>
      <c r="DE9" s="241"/>
      <c r="DF9" s="242"/>
      <c r="DG9" s="242"/>
      <c r="DH9" s="242"/>
      <c r="DI9" s="254"/>
      <c r="DJ9" s="251"/>
      <c r="DK9" s="241"/>
      <c r="DL9" s="241"/>
      <c r="DM9" s="254"/>
      <c r="DN9" s="251"/>
      <c r="DO9" s="241"/>
      <c r="DP9" s="241"/>
      <c r="DQ9" s="254"/>
      <c r="DR9" s="251"/>
      <c r="DS9" s="241"/>
      <c r="DT9" s="241"/>
      <c r="DU9" s="254"/>
      <c r="DV9" s="251"/>
      <c r="DW9" s="241"/>
      <c r="DX9" s="241"/>
      <c r="DY9" s="254"/>
      <c r="DZ9" s="258">
        <f t="shared" si="1"/>
        <v>0</v>
      </c>
      <c r="EA9" s="238">
        <v>5</v>
      </c>
      <c r="EB9" s="239"/>
      <c r="EC9" s="43"/>
      <c r="ED9" s="57"/>
      <c r="EE9" s="240"/>
      <c r="EF9" s="241"/>
      <c r="EG9" s="241"/>
      <c r="EH9" s="242"/>
      <c r="EI9" s="254"/>
      <c r="EJ9" s="251"/>
      <c r="EK9" s="241"/>
      <c r="EL9" s="241"/>
      <c r="EM9" s="242"/>
      <c r="EN9" s="251"/>
      <c r="EO9" s="241"/>
      <c r="EP9" s="241"/>
      <c r="EQ9" s="241"/>
      <c r="ER9" s="254"/>
      <c r="ES9" s="240"/>
      <c r="ET9" s="241"/>
      <c r="EU9" s="242"/>
      <c r="EV9" s="242"/>
      <c r="EW9" s="254"/>
      <c r="EX9" s="251"/>
      <c r="EY9" s="241"/>
      <c r="EZ9" s="241"/>
      <c r="FA9" s="241"/>
      <c r="FB9" s="254"/>
      <c r="FC9" s="240"/>
      <c r="FD9" s="241"/>
      <c r="FE9" s="241"/>
      <c r="FF9" s="242"/>
      <c r="FG9" s="251"/>
      <c r="FH9" s="241"/>
      <c r="FI9" s="242"/>
      <c r="FJ9" s="254"/>
      <c r="FK9" s="251"/>
      <c r="FL9" s="241"/>
      <c r="FM9" s="242"/>
      <c r="FN9" s="242"/>
      <c r="FO9" s="242"/>
      <c r="FP9" s="254"/>
      <c r="FQ9" s="251"/>
      <c r="FR9" s="241"/>
      <c r="FS9" s="242"/>
      <c r="FT9" s="242"/>
      <c r="FU9" s="242"/>
      <c r="FV9" s="254"/>
      <c r="FW9" s="251"/>
      <c r="FX9" s="241"/>
      <c r="FY9" s="241"/>
      <c r="FZ9" s="254"/>
      <c r="GA9" s="251"/>
      <c r="GB9" s="241"/>
      <c r="GC9" s="241"/>
      <c r="GD9" s="254"/>
      <c r="GE9" s="251"/>
      <c r="GF9" s="241"/>
      <c r="GG9" s="241"/>
      <c r="GH9" s="254"/>
      <c r="GI9" s="251"/>
      <c r="GJ9" s="241"/>
      <c r="GK9" s="241"/>
      <c r="GL9" s="254"/>
      <c r="GM9" s="258">
        <f t="shared" si="2"/>
        <v>0</v>
      </c>
      <c r="GO9" s="205">
        <f>+'RETAION-BUS'!BT9+'RETAION-BUS'!EN9+'RETAION-BUS'!HH9</f>
        <v>0</v>
      </c>
      <c r="GP9" s="204">
        <f t="shared" si="3"/>
        <v>0</v>
      </c>
      <c r="GQ9" s="274">
        <f t="shared" si="4"/>
        <v>0</v>
      </c>
    </row>
    <row r="10" spans="1:199" ht="15.75" thickBot="1">
      <c r="A10" s="243">
        <v>6</v>
      </c>
      <c r="B10" s="239"/>
      <c r="C10" s="43"/>
      <c r="D10" s="57"/>
      <c r="E10" s="240"/>
      <c r="F10" s="241"/>
      <c r="G10" s="241"/>
      <c r="H10" s="242"/>
      <c r="I10" s="242"/>
      <c r="J10" s="251"/>
      <c r="K10" s="241"/>
      <c r="L10" s="241"/>
      <c r="M10" s="242"/>
      <c r="N10" s="251"/>
      <c r="O10" s="241"/>
      <c r="P10" s="241"/>
      <c r="Q10" s="241"/>
      <c r="R10" s="254"/>
      <c r="S10" s="240"/>
      <c r="T10" s="241"/>
      <c r="U10" s="242"/>
      <c r="V10" s="242"/>
      <c r="W10" s="242"/>
      <c r="X10" s="251"/>
      <c r="Y10" s="241"/>
      <c r="Z10" s="241"/>
      <c r="AA10" s="242"/>
      <c r="AB10" s="254"/>
      <c r="AC10" s="240"/>
      <c r="AD10" s="241"/>
      <c r="AE10" s="241"/>
      <c r="AF10" s="242"/>
      <c r="AG10" s="251"/>
      <c r="AH10" s="241"/>
      <c r="AI10" s="242"/>
      <c r="AJ10" s="254"/>
      <c r="AK10" s="240"/>
      <c r="AL10" s="241"/>
      <c r="AM10" s="241"/>
      <c r="AN10" s="241"/>
      <c r="AO10" s="242"/>
      <c r="AP10" s="254"/>
      <c r="AQ10" s="240"/>
      <c r="AR10" s="241"/>
      <c r="AS10" s="241"/>
      <c r="AT10" s="241"/>
      <c r="AU10" s="242"/>
      <c r="AV10" s="254"/>
      <c r="AW10" s="251"/>
      <c r="AX10" s="241"/>
      <c r="AY10" s="241"/>
      <c r="AZ10" s="254"/>
      <c r="BA10" s="251"/>
      <c r="BB10" s="241"/>
      <c r="BC10" s="241"/>
      <c r="BD10" s="254"/>
      <c r="BE10" s="251"/>
      <c r="BF10" s="241"/>
      <c r="BG10" s="241"/>
      <c r="BH10" s="254"/>
      <c r="BI10" s="251"/>
      <c r="BJ10" s="241"/>
      <c r="BK10" s="241"/>
      <c r="BL10" s="254"/>
      <c r="BM10" s="258">
        <f t="shared" si="0"/>
        <v>0</v>
      </c>
      <c r="BN10" s="243">
        <v>6</v>
      </c>
      <c r="BO10" s="239"/>
      <c r="BP10" s="43"/>
      <c r="BQ10" s="57"/>
      <c r="BR10" s="240"/>
      <c r="BS10" s="241"/>
      <c r="BT10" s="241"/>
      <c r="BU10" s="242"/>
      <c r="BV10" s="254"/>
      <c r="BW10" s="251"/>
      <c r="BX10" s="241"/>
      <c r="BY10" s="241"/>
      <c r="BZ10" s="242"/>
      <c r="CA10" s="251"/>
      <c r="CB10" s="241"/>
      <c r="CC10" s="241"/>
      <c r="CD10" s="241"/>
      <c r="CE10" s="254"/>
      <c r="CF10" s="240"/>
      <c r="CG10" s="241"/>
      <c r="CH10" s="242"/>
      <c r="CI10" s="242"/>
      <c r="CJ10" s="254"/>
      <c r="CK10" s="251"/>
      <c r="CL10" s="241"/>
      <c r="CM10" s="241"/>
      <c r="CN10" s="241"/>
      <c r="CO10" s="254"/>
      <c r="CP10" s="240"/>
      <c r="CQ10" s="241"/>
      <c r="CR10" s="241"/>
      <c r="CS10" s="242"/>
      <c r="CT10" s="251"/>
      <c r="CU10" s="241"/>
      <c r="CV10" s="242"/>
      <c r="CW10" s="254"/>
      <c r="CX10" s="251"/>
      <c r="CY10" s="241"/>
      <c r="CZ10" s="242"/>
      <c r="DA10" s="242"/>
      <c r="DB10" s="242"/>
      <c r="DC10" s="254"/>
      <c r="DD10" s="251"/>
      <c r="DE10" s="241"/>
      <c r="DF10" s="242"/>
      <c r="DG10" s="242"/>
      <c r="DH10" s="242"/>
      <c r="DI10" s="254"/>
      <c r="DJ10" s="251"/>
      <c r="DK10" s="241"/>
      <c r="DL10" s="241"/>
      <c r="DM10" s="254"/>
      <c r="DN10" s="251"/>
      <c r="DO10" s="241"/>
      <c r="DP10" s="241"/>
      <c r="DQ10" s="254"/>
      <c r="DR10" s="251"/>
      <c r="DS10" s="241"/>
      <c r="DT10" s="241"/>
      <c r="DU10" s="254"/>
      <c r="DV10" s="251"/>
      <c r="DW10" s="241"/>
      <c r="DX10" s="241"/>
      <c r="DY10" s="254"/>
      <c r="DZ10" s="258">
        <f t="shared" si="1"/>
        <v>0</v>
      </c>
      <c r="EA10" s="243">
        <v>6</v>
      </c>
      <c r="EB10" s="239"/>
      <c r="EC10" s="43"/>
      <c r="ED10" s="57"/>
      <c r="EE10" s="240"/>
      <c r="EF10" s="241"/>
      <c r="EG10" s="241"/>
      <c r="EH10" s="242"/>
      <c r="EI10" s="254"/>
      <c r="EJ10" s="251"/>
      <c r="EK10" s="241"/>
      <c r="EL10" s="241"/>
      <c r="EM10" s="242"/>
      <c r="EN10" s="251"/>
      <c r="EO10" s="241"/>
      <c r="EP10" s="241"/>
      <c r="EQ10" s="241"/>
      <c r="ER10" s="254"/>
      <c r="ES10" s="240"/>
      <c r="ET10" s="241"/>
      <c r="EU10" s="242"/>
      <c r="EV10" s="242"/>
      <c r="EW10" s="254"/>
      <c r="EX10" s="251"/>
      <c r="EY10" s="241"/>
      <c r="EZ10" s="241"/>
      <c r="FA10" s="241"/>
      <c r="FB10" s="254"/>
      <c r="FC10" s="240"/>
      <c r="FD10" s="241"/>
      <c r="FE10" s="241"/>
      <c r="FF10" s="242"/>
      <c r="FG10" s="251"/>
      <c r="FH10" s="241"/>
      <c r="FI10" s="242"/>
      <c r="FJ10" s="254"/>
      <c r="FK10" s="251"/>
      <c r="FL10" s="241"/>
      <c r="FM10" s="242"/>
      <c r="FN10" s="242"/>
      <c r="FO10" s="242"/>
      <c r="FP10" s="254"/>
      <c r="FQ10" s="251"/>
      <c r="FR10" s="241"/>
      <c r="FS10" s="242"/>
      <c r="FT10" s="242"/>
      <c r="FU10" s="242"/>
      <c r="FV10" s="254"/>
      <c r="FW10" s="251"/>
      <c r="FX10" s="241"/>
      <c r="FY10" s="241"/>
      <c r="FZ10" s="254"/>
      <c r="GA10" s="251"/>
      <c r="GB10" s="241"/>
      <c r="GC10" s="241"/>
      <c r="GD10" s="254"/>
      <c r="GE10" s="251"/>
      <c r="GF10" s="241"/>
      <c r="GG10" s="241"/>
      <c r="GH10" s="254"/>
      <c r="GI10" s="251"/>
      <c r="GJ10" s="241"/>
      <c r="GK10" s="241"/>
      <c r="GL10" s="254"/>
      <c r="GM10" s="258">
        <f t="shared" si="2"/>
        <v>0</v>
      </c>
      <c r="GO10" s="205">
        <f>+'RETAION-BUS'!BT10+'RETAION-BUS'!EN10+'RETAION-BUS'!HH10</f>
        <v>0</v>
      </c>
      <c r="GP10" s="204">
        <f t="shared" si="3"/>
        <v>0</v>
      </c>
      <c r="GQ10" s="274">
        <f t="shared" si="4"/>
        <v>0</v>
      </c>
    </row>
    <row r="11" spans="1:199" s="1" customFormat="1" ht="14.25" customHeight="1" thickBot="1">
      <c r="A11" s="234">
        <v>7</v>
      </c>
      <c r="B11" s="239"/>
      <c r="C11" s="43"/>
      <c r="D11" s="57"/>
      <c r="E11" s="240"/>
      <c r="F11" s="241"/>
      <c r="G11" s="241"/>
      <c r="H11" s="242"/>
      <c r="I11" s="242"/>
      <c r="J11" s="251"/>
      <c r="K11" s="241"/>
      <c r="L11" s="241"/>
      <c r="M11" s="242"/>
      <c r="N11" s="251"/>
      <c r="O11" s="241"/>
      <c r="P11" s="241"/>
      <c r="Q11" s="241"/>
      <c r="R11" s="254"/>
      <c r="S11" s="240"/>
      <c r="T11" s="241"/>
      <c r="U11" s="242"/>
      <c r="V11" s="242"/>
      <c r="W11" s="242"/>
      <c r="X11" s="251"/>
      <c r="Y11" s="241"/>
      <c r="Z11" s="241"/>
      <c r="AA11" s="242"/>
      <c r="AB11" s="254"/>
      <c r="AC11" s="240"/>
      <c r="AD11" s="241"/>
      <c r="AE11" s="241"/>
      <c r="AF11" s="242"/>
      <c r="AG11" s="251"/>
      <c r="AH11" s="241"/>
      <c r="AI11" s="242"/>
      <c r="AJ11" s="254"/>
      <c r="AK11" s="240"/>
      <c r="AL11" s="241"/>
      <c r="AM11" s="241"/>
      <c r="AN11" s="241"/>
      <c r="AO11" s="242"/>
      <c r="AP11" s="254"/>
      <c r="AQ11" s="240"/>
      <c r="AR11" s="241"/>
      <c r="AS11" s="241"/>
      <c r="AT11" s="241"/>
      <c r="AU11" s="242"/>
      <c r="AV11" s="254"/>
      <c r="AW11" s="251"/>
      <c r="AX11" s="241"/>
      <c r="AY11" s="241"/>
      <c r="AZ11" s="254"/>
      <c r="BA11" s="251"/>
      <c r="BB11" s="241"/>
      <c r="BC11" s="241"/>
      <c r="BD11" s="254"/>
      <c r="BE11" s="251"/>
      <c r="BF11" s="241"/>
      <c r="BG11" s="241"/>
      <c r="BH11" s="254"/>
      <c r="BI11" s="251"/>
      <c r="BJ11" s="241"/>
      <c r="BK11" s="241"/>
      <c r="BL11" s="254"/>
      <c r="BM11" s="258">
        <f t="shared" si="0"/>
        <v>0</v>
      </c>
      <c r="BN11" s="234">
        <v>7</v>
      </c>
      <c r="BO11" s="239"/>
      <c r="BP11" s="43"/>
      <c r="BQ11" s="57"/>
      <c r="BR11" s="240"/>
      <c r="BS11" s="241"/>
      <c r="BT11" s="241"/>
      <c r="BU11" s="242"/>
      <c r="BV11" s="254"/>
      <c r="BW11" s="251"/>
      <c r="BX11" s="241"/>
      <c r="BY11" s="241"/>
      <c r="BZ11" s="242"/>
      <c r="CA11" s="251"/>
      <c r="CB11" s="241"/>
      <c r="CC11" s="241"/>
      <c r="CD11" s="241"/>
      <c r="CE11" s="254"/>
      <c r="CF11" s="240"/>
      <c r="CG11" s="241"/>
      <c r="CH11" s="242"/>
      <c r="CI11" s="242"/>
      <c r="CJ11" s="254"/>
      <c r="CK11" s="251"/>
      <c r="CL11" s="241"/>
      <c r="CM11" s="241"/>
      <c r="CN11" s="241"/>
      <c r="CO11" s="254"/>
      <c r="CP11" s="240"/>
      <c r="CQ11" s="241"/>
      <c r="CR11" s="241"/>
      <c r="CS11" s="242"/>
      <c r="CT11" s="251"/>
      <c r="CU11" s="241"/>
      <c r="CV11" s="242"/>
      <c r="CW11" s="254"/>
      <c r="CX11" s="251"/>
      <c r="CY11" s="241"/>
      <c r="CZ11" s="242"/>
      <c r="DA11" s="242"/>
      <c r="DB11" s="242"/>
      <c r="DC11" s="254"/>
      <c r="DD11" s="251"/>
      <c r="DE11" s="241"/>
      <c r="DF11" s="242"/>
      <c r="DG11" s="242"/>
      <c r="DH11" s="242"/>
      <c r="DI11" s="254"/>
      <c r="DJ11" s="251"/>
      <c r="DK11" s="241"/>
      <c r="DL11" s="241"/>
      <c r="DM11" s="254"/>
      <c r="DN11" s="251"/>
      <c r="DO11" s="241"/>
      <c r="DP11" s="241"/>
      <c r="DQ11" s="254"/>
      <c r="DR11" s="251"/>
      <c r="DS11" s="241"/>
      <c r="DT11" s="241"/>
      <c r="DU11" s="254"/>
      <c r="DV11" s="251"/>
      <c r="DW11" s="241"/>
      <c r="DX11" s="241"/>
      <c r="DY11" s="254"/>
      <c r="DZ11" s="258">
        <f t="shared" si="1"/>
        <v>0</v>
      </c>
      <c r="EA11" s="413">
        <v>7</v>
      </c>
      <c r="EB11" s="239"/>
      <c r="EC11" s="43"/>
      <c r="ED11" s="57"/>
      <c r="EE11" s="240"/>
      <c r="EF11" s="241"/>
      <c r="EG11" s="241"/>
      <c r="EH11" s="242"/>
      <c r="EI11" s="254"/>
      <c r="EJ11" s="251"/>
      <c r="EK11" s="241"/>
      <c r="EL11" s="241"/>
      <c r="EM11" s="242"/>
      <c r="EN11" s="251"/>
      <c r="EO11" s="241"/>
      <c r="EP11" s="241"/>
      <c r="EQ11" s="241"/>
      <c r="ER11" s="254"/>
      <c r="ES11" s="240"/>
      <c r="ET11" s="241"/>
      <c r="EU11" s="242"/>
      <c r="EV11" s="242"/>
      <c r="EW11" s="254"/>
      <c r="EX11" s="251"/>
      <c r="EY11" s="241"/>
      <c r="EZ11" s="241"/>
      <c r="FA11" s="241"/>
      <c r="FB11" s="254"/>
      <c r="FC11" s="240"/>
      <c r="FD11" s="241"/>
      <c r="FE11" s="241"/>
      <c r="FF11" s="242"/>
      <c r="FG11" s="251"/>
      <c r="FH11" s="241"/>
      <c r="FI11" s="242"/>
      <c r="FJ11" s="254"/>
      <c r="FK11" s="251"/>
      <c r="FL11" s="241"/>
      <c r="FM11" s="242"/>
      <c r="FN11" s="242"/>
      <c r="FO11" s="242"/>
      <c r="FP11" s="254"/>
      <c r="FQ11" s="251"/>
      <c r="FR11" s="241"/>
      <c r="FS11" s="242"/>
      <c r="FT11" s="242"/>
      <c r="FU11" s="242"/>
      <c r="FV11" s="254"/>
      <c r="FW11" s="251"/>
      <c r="FX11" s="241"/>
      <c r="FY11" s="241"/>
      <c r="FZ11" s="254"/>
      <c r="GA11" s="251"/>
      <c r="GB11" s="241"/>
      <c r="GC11" s="241"/>
      <c r="GD11" s="254"/>
      <c r="GE11" s="251"/>
      <c r="GF11" s="241"/>
      <c r="GG11" s="241"/>
      <c r="GH11" s="254"/>
      <c r="GI11" s="251"/>
      <c r="GJ11" s="241"/>
      <c r="GK11" s="241"/>
      <c r="GL11" s="254"/>
      <c r="GM11" s="258">
        <f t="shared" si="2"/>
        <v>0</v>
      </c>
      <c r="GO11" s="205">
        <f>+'RETAION-BUS'!BT11+'RETAION-BUS'!EN11+'RETAION-BUS'!HH11</f>
        <v>0</v>
      </c>
      <c r="GP11" s="204">
        <f t="shared" si="3"/>
        <v>0</v>
      </c>
      <c r="GQ11" s="274">
        <f t="shared" si="4"/>
        <v>0</v>
      </c>
    </row>
    <row r="12" spans="1:199" s="1" customFormat="1" ht="15.75" thickBot="1">
      <c r="A12" s="238">
        <v>8</v>
      </c>
      <c r="B12" s="239"/>
      <c r="C12" s="43"/>
      <c r="D12" s="57"/>
      <c r="E12" s="240"/>
      <c r="F12" s="241"/>
      <c r="G12" s="241"/>
      <c r="H12" s="242"/>
      <c r="I12" s="242"/>
      <c r="J12" s="251"/>
      <c r="K12" s="241"/>
      <c r="L12" s="241"/>
      <c r="M12" s="242"/>
      <c r="N12" s="251"/>
      <c r="O12" s="241"/>
      <c r="P12" s="241"/>
      <c r="Q12" s="241"/>
      <c r="R12" s="254"/>
      <c r="S12" s="240"/>
      <c r="T12" s="241"/>
      <c r="U12" s="242"/>
      <c r="V12" s="242"/>
      <c r="W12" s="242"/>
      <c r="X12" s="251"/>
      <c r="Y12" s="241"/>
      <c r="Z12" s="241"/>
      <c r="AA12" s="242"/>
      <c r="AB12" s="254"/>
      <c r="AC12" s="240"/>
      <c r="AD12" s="241"/>
      <c r="AE12" s="241"/>
      <c r="AF12" s="242"/>
      <c r="AG12" s="251"/>
      <c r="AH12" s="241"/>
      <c r="AI12" s="242"/>
      <c r="AJ12" s="254"/>
      <c r="AK12" s="240"/>
      <c r="AL12" s="241"/>
      <c r="AM12" s="241"/>
      <c r="AN12" s="241"/>
      <c r="AO12" s="242"/>
      <c r="AP12" s="254"/>
      <c r="AQ12" s="240"/>
      <c r="AR12" s="241"/>
      <c r="AS12" s="241"/>
      <c r="AT12" s="241"/>
      <c r="AU12" s="242"/>
      <c r="AV12" s="254"/>
      <c r="AW12" s="251"/>
      <c r="AX12" s="241"/>
      <c r="AY12" s="241"/>
      <c r="AZ12" s="254"/>
      <c r="BA12" s="251"/>
      <c r="BB12" s="241"/>
      <c r="BC12" s="241"/>
      <c r="BD12" s="254"/>
      <c r="BE12" s="251"/>
      <c r="BF12" s="241"/>
      <c r="BG12" s="241"/>
      <c r="BH12" s="254"/>
      <c r="BI12" s="251"/>
      <c r="BJ12" s="241"/>
      <c r="BK12" s="241"/>
      <c r="BL12" s="254"/>
      <c r="BM12" s="258">
        <f t="shared" si="0"/>
        <v>0</v>
      </c>
      <c r="BN12" s="238">
        <v>8</v>
      </c>
      <c r="BO12" s="239"/>
      <c r="BP12" s="43"/>
      <c r="BQ12" s="57"/>
      <c r="BR12" s="240"/>
      <c r="BS12" s="241"/>
      <c r="BT12" s="241"/>
      <c r="BU12" s="242"/>
      <c r="BV12" s="254"/>
      <c r="BW12" s="251"/>
      <c r="BX12" s="241"/>
      <c r="BY12" s="241"/>
      <c r="BZ12" s="242"/>
      <c r="CA12" s="251"/>
      <c r="CB12" s="241"/>
      <c r="CC12" s="241"/>
      <c r="CD12" s="241"/>
      <c r="CE12" s="254"/>
      <c r="CF12" s="240"/>
      <c r="CG12" s="241"/>
      <c r="CH12" s="242"/>
      <c r="CI12" s="242"/>
      <c r="CJ12" s="254"/>
      <c r="CK12" s="251"/>
      <c r="CL12" s="241"/>
      <c r="CM12" s="241"/>
      <c r="CN12" s="241"/>
      <c r="CO12" s="254"/>
      <c r="CP12" s="240"/>
      <c r="CQ12" s="241"/>
      <c r="CR12" s="241"/>
      <c r="CS12" s="242"/>
      <c r="CT12" s="251"/>
      <c r="CU12" s="241"/>
      <c r="CV12" s="242"/>
      <c r="CW12" s="254"/>
      <c r="CX12" s="251"/>
      <c r="CY12" s="241"/>
      <c r="CZ12" s="242"/>
      <c r="DA12" s="242"/>
      <c r="DB12" s="242"/>
      <c r="DC12" s="254"/>
      <c r="DD12" s="251"/>
      <c r="DE12" s="241"/>
      <c r="DF12" s="242"/>
      <c r="DG12" s="242"/>
      <c r="DH12" s="242"/>
      <c r="DI12" s="254"/>
      <c r="DJ12" s="251"/>
      <c r="DK12" s="241"/>
      <c r="DL12" s="241"/>
      <c r="DM12" s="254"/>
      <c r="DN12" s="251"/>
      <c r="DO12" s="241"/>
      <c r="DP12" s="241"/>
      <c r="DQ12" s="254"/>
      <c r="DR12" s="251"/>
      <c r="DS12" s="241"/>
      <c r="DT12" s="241"/>
      <c r="DU12" s="254"/>
      <c r="DV12" s="251"/>
      <c r="DW12" s="241"/>
      <c r="DX12" s="241"/>
      <c r="DY12" s="254"/>
      <c r="DZ12" s="258">
        <f t="shared" si="1"/>
        <v>0</v>
      </c>
      <c r="EA12" s="238">
        <v>8</v>
      </c>
      <c r="EB12" s="239"/>
      <c r="EC12" s="43"/>
      <c r="ED12" s="57"/>
      <c r="EE12" s="240"/>
      <c r="EF12" s="241"/>
      <c r="EG12" s="241"/>
      <c r="EH12" s="242"/>
      <c r="EI12" s="254"/>
      <c r="EJ12" s="251"/>
      <c r="EK12" s="241"/>
      <c r="EL12" s="241"/>
      <c r="EM12" s="242"/>
      <c r="EN12" s="251"/>
      <c r="EO12" s="241"/>
      <c r="EP12" s="241"/>
      <c r="EQ12" s="241"/>
      <c r="ER12" s="254"/>
      <c r="ES12" s="240"/>
      <c r="ET12" s="241"/>
      <c r="EU12" s="242"/>
      <c r="EV12" s="242"/>
      <c r="EW12" s="254"/>
      <c r="EX12" s="251"/>
      <c r="EY12" s="241"/>
      <c r="EZ12" s="241"/>
      <c r="FA12" s="241"/>
      <c r="FB12" s="254"/>
      <c r="FC12" s="240"/>
      <c r="FD12" s="241"/>
      <c r="FE12" s="241"/>
      <c r="FF12" s="242"/>
      <c r="FG12" s="251"/>
      <c r="FH12" s="241"/>
      <c r="FI12" s="242"/>
      <c r="FJ12" s="254"/>
      <c r="FK12" s="251"/>
      <c r="FL12" s="241"/>
      <c r="FM12" s="242"/>
      <c r="FN12" s="242"/>
      <c r="FO12" s="242"/>
      <c r="FP12" s="254"/>
      <c r="FQ12" s="251"/>
      <c r="FR12" s="241"/>
      <c r="FS12" s="242"/>
      <c r="FT12" s="242"/>
      <c r="FU12" s="242"/>
      <c r="FV12" s="254"/>
      <c r="FW12" s="251"/>
      <c r="FX12" s="241"/>
      <c r="FY12" s="241"/>
      <c r="FZ12" s="254"/>
      <c r="GA12" s="251"/>
      <c r="GB12" s="241"/>
      <c r="GC12" s="241"/>
      <c r="GD12" s="254"/>
      <c r="GE12" s="251"/>
      <c r="GF12" s="241"/>
      <c r="GG12" s="241"/>
      <c r="GH12" s="254"/>
      <c r="GI12" s="251"/>
      <c r="GJ12" s="241"/>
      <c r="GK12" s="241"/>
      <c r="GL12" s="254"/>
      <c r="GM12" s="258">
        <f t="shared" si="2"/>
        <v>0</v>
      </c>
      <c r="GO12" s="205">
        <f>+'RETAION-BUS'!BT12+'RETAION-BUS'!EN12+'RETAION-BUS'!HH12</f>
        <v>0</v>
      </c>
      <c r="GP12" s="204">
        <f t="shared" si="3"/>
        <v>0</v>
      </c>
      <c r="GQ12" s="274">
        <f t="shared" si="4"/>
        <v>0</v>
      </c>
    </row>
    <row r="13" spans="1:199" ht="15.75" thickBot="1">
      <c r="A13" s="243">
        <v>9</v>
      </c>
      <c r="B13" s="239"/>
      <c r="C13" s="43"/>
      <c r="D13" s="57"/>
      <c r="E13" s="240"/>
      <c r="F13" s="241"/>
      <c r="G13" s="241"/>
      <c r="H13" s="242"/>
      <c r="I13" s="242"/>
      <c r="J13" s="251"/>
      <c r="K13" s="241"/>
      <c r="L13" s="241"/>
      <c r="M13" s="242"/>
      <c r="N13" s="251"/>
      <c r="O13" s="241"/>
      <c r="P13" s="241"/>
      <c r="Q13" s="241"/>
      <c r="R13" s="254"/>
      <c r="S13" s="240"/>
      <c r="T13" s="241"/>
      <c r="U13" s="242"/>
      <c r="V13" s="242"/>
      <c r="W13" s="242"/>
      <c r="X13" s="251"/>
      <c r="Y13" s="241"/>
      <c r="Z13" s="241"/>
      <c r="AA13" s="242"/>
      <c r="AB13" s="254"/>
      <c r="AC13" s="240"/>
      <c r="AD13" s="241"/>
      <c r="AE13" s="241"/>
      <c r="AF13" s="242"/>
      <c r="AG13" s="251"/>
      <c r="AH13" s="241"/>
      <c r="AI13" s="242"/>
      <c r="AJ13" s="254"/>
      <c r="AK13" s="240"/>
      <c r="AL13" s="241"/>
      <c r="AM13" s="241"/>
      <c r="AN13" s="241"/>
      <c r="AO13" s="242"/>
      <c r="AP13" s="254"/>
      <c r="AQ13" s="240"/>
      <c r="AR13" s="241"/>
      <c r="AS13" s="241"/>
      <c r="AT13" s="241"/>
      <c r="AU13" s="242"/>
      <c r="AV13" s="254"/>
      <c r="AW13" s="251"/>
      <c r="AX13" s="241"/>
      <c r="AY13" s="241"/>
      <c r="AZ13" s="254"/>
      <c r="BA13" s="251"/>
      <c r="BB13" s="241"/>
      <c r="BC13" s="241"/>
      <c r="BD13" s="254"/>
      <c r="BE13" s="251"/>
      <c r="BF13" s="241"/>
      <c r="BG13" s="241"/>
      <c r="BH13" s="254"/>
      <c r="BI13" s="251"/>
      <c r="BJ13" s="241"/>
      <c r="BK13" s="241"/>
      <c r="BL13" s="254"/>
      <c r="BM13" s="258">
        <f t="shared" si="0"/>
        <v>0</v>
      </c>
      <c r="BN13" s="243">
        <v>9</v>
      </c>
      <c r="BO13" s="239"/>
      <c r="BP13" s="43"/>
      <c r="BQ13" s="57"/>
      <c r="BR13" s="240"/>
      <c r="BS13" s="241"/>
      <c r="BT13" s="241"/>
      <c r="BU13" s="242"/>
      <c r="BV13" s="254"/>
      <c r="BW13" s="251"/>
      <c r="BX13" s="241"/>
      <c r="BY13" s="241"/>
      <c r="BZ13" s="242"/>
      <c r="CA13" s="251"/>
      <c r="CB13" s="241"/>
      <c r="CC13" s="241"/>
      <c r="CD13" s="241"/>
      <c r="CE13" s="254"/>
      <c r="CF13" s="240"/>
      <c r="CG13" s="241"/>
      <c r="CH13" s="242"/>
      <c r="CI13" s="242"/>
      <c r="CJ13" s="254"/>
      <c r="CK13" s="251"/>
      <c r="CL13" s="241"/>
      <c r="CM13" s="241"/>
      <c r="CN13" s="241"/>
      <c r="CO13" s="254"/>
      <c r="CP13" s="240"/>
      <c r="CQ13" s="241"/>
      <c r="CR13" s="241"/>
      <c r="CS13" s="242"/>
      <c r="CT13" s="251"/>
      <c r="CU13" s="241"/>
      <c r="CV13" s="242"/>
      <c r="CW13" s="254"/>
      <c r="CX13" s="251"/>
      <c r="CY13" s="241"/>
      <c r="CZ13" s="242"/>
      <c r="DA13" s="242"/>
      <c r="DB13" s="242"/>
      <c r="DC13" s="254"/>
      <c r="DD13" s="251"/>
      <c r="DE13" s="241"/>
      <c r="DF13" s="242"/>
      <c r="DG13" s="242"/>
      <c r="DH13" s="242"/>
      <c r="DI13" s="254"/>
      <c r="DJ13" s="251"/>
      <c r="DK13" s="241"/>
      <c r="DL13" s="241"/>
      <c r="DM13" s="254"/>
      <c r="DN13" s="251"/>
      <c r="DO13" s="241"/>
      <c r="DP13" s="241"/>
      <c r="DQ13" s="254"/>
      <c r="DR13" s="251"/>
      <c r="DS13" s="241"/>
      <c r="DT13" s="241"/>
      <c r="DU13" s="254"/>
      <c r="DV13" s="251"/>
      <c r="DW13" s="241"/>
      <c r="DX13" s="241"/>
      <c r="DY13" s="254"/>
      <c r="DZ13" s="258">
        <f t="shared" si="1"/>
        <v>0</v>
      </c>
      <c r="EA13" s="243">
        <v>9</v>
      </c>
      <c r="EB13" s="239"/>
      <c r="EC13" s="43"/>
      <c r="ED13" s="57"/>
      <c r="EE13" s="240"/>
      <c r="EF13" s="241"/>
      <c r="EG13" s="241"/>
      <c r="EH13" s="242"/>
      <c r="EI13" s="254"/>
      <c r="EJ13" s="251"/>
      <c r="EK13" s="241"/>
      <c r="EL13" s="241"/>
      <c r="EM13" s="242"/>
      <c r="EN13" s="251"/>
      <c r="EO13" s="241"/>
      <c r="EP13" s="241"/>
      <c r="EQ13" s="241"/>
      <c r="ER13" s="254"/>
      <c r="ES13" s="240"/>
      <c r="ET13" s="241"/>
      <c r="EU13" s="242"/>
      <c r="EV13" s="242"/>
      <c r="EW13" s="254"/>
      <c r="EX13" s="251"/>
      <c r="EY13" s="241"/>
      <c r="EZ13" s="241"/>
      <c r="FA13" s="241"/>
      <c r="FB13" s="254"/>
      <c r="FC13" s="240"/>
      <c r="FD13" s="241"/>
      <c r="FE13" s="241"/>
      <c r="FF13" s="242"/>
      <c r="FG13" s="251"/>
      <c r="FH13" s="241"/>
      <c r="FI13" s="242"/>
      <c r="FJ13" s="254"/>
      <c r="FK13" s="251"/>
      <c r="FL13" s="241"/>
      <c r="FM13" s="242"/>
      <c r="FN13" s="242"/>
      <c r="FO13" s="242"/>
      <c r="FP13" s="254"/>
      <c r="FQ13" s="251"/>
      <c r="FR13" s="241"/>
      <c r="FS13" s="242"/>
      <c r="FT13" s="242"/>
      <c r="FU13" s="242"/>
      <c r="FV13" s="254"/>
      <c r="FW13" s="251"/>
      <c r="FX13" s="241"/>
      <c r="FY13" s="241"/>
      <c r="FZ13" s="254"/>
      <c r="GA13" s="251"/>
      <c r="GB13" s="241"/>
      <c r="GC13" s="241"/>
      <c r="GD13" s="254"/>
      <c r="GE13" s="251"/>
      <c r="GF13" s="241"/>
      <c r="GG13" s="241"/>
      <c r="GH13" s="254"/>
      <c r="GI13" s="251"/>
      <c r="GJ13" s="241"/>
      <c r="GK13" s="241"/>
      <c r="GL13" s="254"/>
      <c r="GM13" s="258">
        <f t="shared" si="2"/>
        <v>0</v>
      </c>
      <c r="GO13" s="205">
        <f>+'RETAION-BUS'!BT13+'RETAION-BUS'!EN13+'RETAION-BUS'!HH13</f>
        <v>0</v>
      </c>
      <c r="GP13" s="204">
        <f t="shared" si="3"/>
        <v>0</v>
      </c>
      <c r="GQ13" s="274">
        <f t="shared" si="4"/>
        <v>0</v>
      </c>
    </row>
    <row r="14" spans="1:199" ht="15.75" thickBot="1">
      <c r="A14" s="234">
        <v>10</v>
      </c>
      <c r="B14" s="239"/>
      <c r="C14" s="43"/>
      <c r="D14" s="57"/>
      <c r="E14" s="240"/>
      <c r="F14" s="241"/>
      <c r="G14" s="241"/>
      <c r="H14" s="242"/>
      <c r="I14" s="242"/>
      <c r="J14" s="251"/>
      <c r="K14" s="241"/>
      <c r="L14" s="241"/>
      <c r="M14" s="242"/>
      <c r="N14" s="251"/>
      <c r="O14" s="241"/>
      <c r="P14" s="241"/>
      <c r="Q14" s="241"/>
      <c r="R14" s="254"/>
      <c r="S14" s="240"/>
      <c r="T14" s="241"/>
      <c r="U14" s="242"/>
      <c r="V14" s="242"/>
      <c r="W14" s="242"/>
      <c r="X14" s="251"/>
      <c r="Y14" s="241"/>
      <c r="Z14" s="241"/>
      <c r="AA14" s="242"/>
      <c r="AB14" s="254"/>
      <c r="AC14" s="240"/>
      <c r="AD14" s="241"/>
      <c r="AE14" s="241"/>
      <c r="AF14" s="242"/>
      <c r="AG14" s="251"/>
      <c r="AH14" s="241"/>
      <c r="AI14" s="242"/>
      <c r="AJ14" s="254"/>
      <c r="AK14" s="240"/>
      <c r="AL14" s="241"/>
      <c r="AM14" s="241"/>
      <c r="AN14" s="241"/>
      <c r="AO14" s="242"/>
      <c r="AP14" s="254"/>
      <c r="AQ14" s="240"/>
      <c r="AR14" s="241"/>
      <c r="AS14" s="241"/>
      <c r="AT14" s="241"/>
      <c r="AU14" s="242"/>
      <c r="AV14" s="254"/>
      <c r="AW14" s="251"/>
      <c r="AX14" s="241"/>
      <c r="AY14" s="241"/>
      <c r="AZ14" s="254"/>
      <c r="BA14" s="251"/>
      <c r="BB14" s="241"/>
      <c r="BC14" s="241"/>
      <c r="BD14" s="254"/>
      <c r="BE14" s="251"/>
      <c r="BF14" s="241"/>
      <c r="BG14" s="241"/>
      <c r="BH14" s="254"/>
      <c r="BI14" s="251"/>
      <c r="BJ14" s="241"/>
      <c r="BK14" s="241"/>
      <c r="BL14" s="254"/>
      <c r="BM14" s="258">
        <f t="shared" si="0"/>
        <v>0</v>
      </c>
      <c r="BN14" s="234">
        <v>10</v>
      </c>
      <c r="BO14" s="239"/>
      <c r="BP14" s="43"/>
      <c r="BQ14" s="57"/>
      <c r="BR14" s="240"/>
      <c r="BS14" s="241"/>
      <c r="BT14" s="241"/>
      <c r="BU14" s="242"/>
      <c r="BV14" s="254"/>
      <c r="BW14" s="251"/>
      <c r="BX14" s="241"/>
      <c r="BY14" s="241"/>
      <c r="BZ14" s="242"/>
      <c r="CA14" s="251"/>
      <c r="CB14" s="241"/>
      <c r="CC14" s="241"/>
      <c r="CD14" s="241"/>
      <c r="CE14" s="254"/>
      <c r="CF14" s="240"/>
      <c r="CG14" s="241"/>
      <c r="CH14" s="242"/>
      <c r="CI14" s="242"/>
      <c r="CJ14" s="254"/>
      <c r="CK14" s="251"/>
      <c r="CL14" s="241"/>
      <c r="CM14" s="241"/>
      <c r="CN14" s="241"/>
      <c r="CO14" s="254"/>
      <c r="CP14" s="240"/>
      <c r="CQ14" s="241"/>
      <c r="CR14" s="241"/>
      <c r="CS14" s="242"/>
      <c r="CT14" s="251"/>
      <c r="CU14" s="241"/>
      <c r="CV14" s="242"/>
      <c r="CW14" s="254"/>
      <c r="CX14" s="251"/>
      <c r="CY14" s="241"/>
      <c r="CZ14" s="242"/>
      <c r="DA14" s="242"/>
      <c r="DB14" s="242"/>
      <c r="DC14" s="254"/>
      <c r="DD14" s="251"/>
      <c r="DE14" s="241"/>
      <c r="DF14" s="242"/>
      <c r="DG14" s="242"/>
      <c r="DH14" s="242"/>
      <c r="DI14" s="254"/>
      <c r="DJ14" s="251"/>
      <c r="DK14" s="241"/>
      <c r="DL14" s="241"/>
      <c r="DM14" s="254"/>
      <c r="DN14" s="251"/>
      <c r="DO14" s="241"/>
      <c r="DP14" s="241"/>
      <c r="DQ14" s="254"/>
      <c r="DR14" s="251"/>
      <c r="DS14" s="241"/>
      <c r="DT14" s="241"/>
      <c r="DU14" s="254"/>
      <c r="DV14" s="251"/>
      <c r="DW14" s="241"/>
      <c r="DX14" s="241"/>
      <c r="DY14" s="254"/>
      <c r="DZ14" s="258">
        <f t="shared" si="1"/>
        <v>0</v>
      </c>
      <c r="EA14" s="413">
        <v>10</v>
      </c>
      <c r="EB14" s="239"/>
      <c r="EC14" s="43"/>
      <c r="ED14" s="57"/>
      <c r="EE14" s="240"/>
      <c r="EF14" s="241"/>
      <c r="EG14" s="241"/>
      <c r="EH14" s="242"/>
      <c r="EI14" s="254"/>
      <c r="EJ14" s="251"/>
      <c r="EK14" s="241"/>
      <c r="EL14" s="241"/>
      <c r="EM14" s="242"/>
      <c r="EN14" s="251"/>
      <c r="EO14" s="241"/>
      <c r="EP14" s="241"/>
      <c r="EQ14" s="241"/>
      <c r="ER14" s="254"/>
      <c r="ES14" s="240"/>
      <c r="ET14" s="241"/>
      <c r="EU14" s="242"/>
      <c r="EV14" s="242"/>
      <c r="EW14" s="254"/>
      <c r="EX14" s="251"/>
      <c r="EY14" s="241"/>
      <c r="EZ14" s="241"/>
      <c r="FA14" s="241"/>
      <c r="FB14" s="254"/>
      <c r="FC14" s="240"/>
      <c r="FD14" s="241"/>
      <c r="FE14" s="241"/>
      <c r="FF14" s="242"/>
      <c r="FG14" s="251"/>
      <c r="FH14" s="241"/>
      <c r="FI14" s="242"/>
      <c r="FJ14" s="254"/>
      <c r="FK14" s="251"/>
      <c r="FL14" s="241"/>
      <c r="FM14" s="242"/>
      <c r="FN14" s="242"/>
      <c r="FO14" s="242"/>
      <c r="FP14" s="254"/>
      <c r="FQ14" s="251"/>
      <c r="FR14" s="241"/>
      <c r="FS14" s="242"/>
      <c r="FT14" s="242"/>
      <c r="FU14" s="242"/>
      <c r="FV14" s="254"/>
      <c r="FW14" s="251"/>
      <c r="FX14" s="241"/>
      <c r="FY14" s="241"/>
      <c r="FZ14" s="254"/>
      <c r="GA14" s="251"/>
      <c r="GB14" s="241"/>
      <c r="GC14" s="241"/>
      <c r="GD14" s="254"/>
      <c r="GE14" s="251"/>
      <c r="GF14" s="241"/>
      <c r="GG14" s="241"/>
      <c r="GH14" s="254"/>
      <c r="GI14" s="251"/>
      <c r="GJ14" s="241"/>
      <c r="GK14" s="241"/>
      <c r="GL14" s="254"/>
      <c r="GM14" s="258">
        <f t="shared" si="2"/>
        <v>0</v>
      </c>
      <c r="GO14" s="205">
        <f>+'RETAION-BUS'!BT14+'RETAION-BUS'!EN14+'RETAION-BUS'!HH14</f>
        <v>0</v>
      </c>
      <c r="GP14" s="204">
        <f t="shared" si="3"/>
        <v>0</v>
      </c>
      <c r="GQ14" s="274">
        <f t="shared" si="4"/>
        <v>0</v>
      </c>
    </row>
    <row r="15" spans="1:199" ht="15.75" thickBot="1">
      <c r="A15" s="238">
        <v>11</v>
      </c>
      <c r="B15" s="239"/>
      <c r="C15" s="43"/>
      <c r="D15" s="57"/>
      <c r="E15" s="240"/>
      <c r="F15" s="241"/>
      <c r="G15" s="241"/>
      <c r="H15" s="242"/>
      <c r="I15" s="242"/>
      <c r="J15" s="251"/>
      <c r="K15" s="241"/>
      <c r="L15" s="241"/>
      <c r="M15" s="242"/>
      <c r="N15" s="251"/>
      <c r="O15" s="241"/>
      <c r="P15" s="241"/>
      <c r="Q15" s="241"/>
      <c r="R15" s="254"/>
      <c r="S15" s="240"/>
      <c r="T15" s="241"/>
      <c r="U15" s="242"/>
      <c r="V15" s="242"/>
      <c r="W15" s="242"/>
      <c r="X15" s="251"/>
      <c r="Y15" s="241"/>
      <c r="Z15" s="241"/>
      <c r="AA15" s="242"/>
      <c r="AB15" s="254"/>
      <c r="AC15" s="240"/>
      <c r="AD15" s="241"/>
      <c r="AE15" s="241"/>
      <c r="AF15" s="242"/>
      <c r="AG15" s="251"/>
      <c r="AH15" s="241"/>
      <c r="AI15" s="242"/>
      <c r="AJ15" s="254"/>
      <c r="AK15" s="240"/>
      <c r="AL15" s="241"/>
      <c r="AM15" s="241"/>
      <c r="AN15" s="241"/>
      <c r="AO15" s="242"/>
      <c r="AP15" s="254"/>
      <c r="AQ15" s="240"/>
      <c r="AR15" s="241"/>
      <c r="AS15" s="241"/>
      <c r="AT15" s="241"/>
      <c r="AU15" s="242"/>
      <c r="AV15" s="254"/>
      <c r="AW15" s="251"/>
      <c r="AX15" s="241"/>
      <c r="AY15" s="241"/>
      <c r="AZ15" s="254"/>
      <c r="BA15" s="251"/>
      <c r="BB15" s="241"/>
      <c r="BC15" s="241"/>
      <c r="BD15" s="254"/>
      <c r="BE15" s="251"/>
      <c r="BF15" s="241"/>
      <c r="BG15" s="241"/>
      <c r="BH15" s="254"/>
      <c r="BI15" s="251"/>
      <c r="BJ15" s="241"/>
      <c r="BK15" s="241"/>
      <c r="BL15" s="254"/>
      <c r="BM15" s="258">
        <f t="shared" si="0"/>
        <v>0</v>
      </c>
      <c r="BN15" s="238">
        <v>11</v>
      </c>
      <c r="BO15" s="239"/>
      <c r="BP15" s="43"/>
      <c r="BQ15" s="57"/>
      <c r="BR15" s="240"/>
      <c r="BS15" s="241"/>
      <c r="BT15" s="241"/>
      <c r="BU15" s="242"/>
      <c r="BV15" s="254"/>
      <c r="BW15" s="251"/>
      <c r="BX15" s="241"/>
      <c r="BY15" s="241"/>
      <c r="BZ15" s="242"/>
      <c r="CA15" s="251"/>
      <c r="CB15" s="241"/>
      <c r="CC15" s="241"/>
      <c r="CD15" s="241"/>
      <c r="CE15" s="254"/>
      <c r="CF15" s="240"/>
      <c r="CG15" s="241"/>
      <c r="CH15" s="242"/>
      <c r="CI15" s="242"/>
      <c r="CJ15" s="254"/>
      <c r="CK15" s="251"/>
      <c r="CL15" s="241"/>
      <c r="CM15" s="241"/>
      <c r="CN15" s="241"/>
      <c r="CO15" s="254"/>
      <c r="CP15" s="240"/>
      <c r="CQ15" s="241"/>
      <c r="CR15" s="241"/>
      <c r="CS15" s="242"/>
      <c r="CT15" s="251"/>
      <c r="CU15" s="241"/>
      <c r="CV15" s="242"/>
      <c r="CW15" s="254"/>
      <c r="CX15" s="251"/>
      <c r="CY15" s="241"/>
      <c r="CZ15" s="242"/>
      <c r="DA15" s="242"/>
      <c r="DB15" s="242"/>
      <c r="DC15" s="254"/>
      <c r="DD15" s="251"/>
      <c r="DE15" s="241"/>
      <c r="DF15" s="242"/>
      <c r="DG15" s="242"/>
      <c r="DH15" s="242"/>
      <c r="DI15" s="254"/>
      <c r="DJ15" s="251"/>
      <c r="DK15" s="241"/>
      <c r="DL15" s="241"/>
      <c r="DM15" s="254"/>
      <c r="DN15" s="251"/>
      <c r="DO15" s="241"/>
      <c r="DP15" s="241"/>
      <c r="DQ15" s="254"/>
      <c r="DR15" s="251"/>
      <c r="DS15" s="241"/>
      <c r="DT15" s="241"/>
      <c r="DU15" s="254"/>
      <c r="DV15" s="251"/>
      <c r="DW15" s="241"/>
      <c r="DX15" s="241"/>
      <c r="DY15" s="254"/>
      <c r="DZ15" s="258">
        <f t="shared" si="1"/>
        <v>0</v>
      </c>
      <c r="EA15" s="238">
        <v>11</v>
      </c>
      <c r="EB15" s="239"/>
      <c r="EC15" s="43"/>
      <c r="ED15" s="57"/>
      <c r="EE15" s="240"/>
      <c r="EF15" s="241"/>
      <c r="EG15" s="241"/>
      <c r="EH15" s="242"/>
      <c r="EI15" s="254"/>
      <c r="EJ15" s="251"/>
      <c r="EK15" s="241"/>
      <c r="EL15" s="241"/>
      <c r="EM15" s="242"/>
      <c r="EN15" s="251"/>
      <c r="EO15" s="241"/>
      <c r="EP15" s="241"/>
      <c r="EQ15" s="241"/>
      <c r="ER15" s="254"/>
      <c r="ES15" s="240"/>
      <c r="ET15" s="241"/>
      <c r="EU15" s="242"/>
      <c r="EV15" s="242"/>
      <c r="EW15" s="254"/>
      <c r="EX15" s="251"/>
      <c r="EY15" s="241"/>
      <c r="EZ15" s="241"/>
      <c r="FA15" s="241"/>
      <c r="FB15" s="254"/>
      <c r="FC15" s="240"/>
      <c r="FD15" s="241"/>
      <c r="FE15" s="241"/>
      <c r="FF15" s="242"/>
      <c r="FG15" s="251"/>
      <c r="FH15" s="241"/>
      <c r="FI15" s="242"/>
      <c r="FJ15" s="254"/>
      <c r="FK15" s="251"/>
      <c r="FL15" s="241"/>
      <c r="FM15" s="242"/>
      <c r="FN15" s="242"/>
      <c r="FO15" s="242"/>
      <c r="FP15" s="254"/>
      <c r="FQ15" s="251"/>
      <c r="FR15" s="241"/>
      <c r="FS15" s="242"/>
      <c r="FT15" s="242"/>
      <c r="FU15" s="242"/>
      <c r="FV15" s="254"/>
      <c r="FW15" s="251"/>
      <c r="FX15" s="241"/>
      <c r="FY15" s="241"/>
      <c r="FZ15" s="254"/>
      <c r="GA15" s="251"/>
      <c r="GB15" s="241"/>
      <c r="GC15" s="241"/>
      <c r="GD15" s="254"/>
      <c r="GE15" s="251"/>
      <c r="GF15" s="241"/>
      <c r="GG15" s="241"/>
      <c r="GH15" s="254"/>
      <c r="GI15" s="251"/>
      <c r="GJ15" s="241"/>
      <c r="GK15" s="241"/>
      <c r="GL15" s="254"/>
      <c r="GM15" s="258">
        <f t="shared" si="2"/>
        <v>0</v>
      </c>
      <c r="GO15" s="205">
        <f>+'RETAION-BUS'!BT15+'RETAION-BUS'!EN15+'RETAION-BUS'!HH15</f>
        <v>0</v>
      </c>
      <c r="GP15" s="204">
        <f t="shared" si="3"/>
        <v>0</v>
      </c>
      <c r="GQ15" s="274">
        <f t="shared" si="4"/>
        <v>0</v>
      </c>
    </row>
    <row r="16" spans="1:199" ht="15.75" thickBot="1">
      <c r="A16" s="243">
        <v>12</v>
      </c>
      <c r="B16" s="239"/>
      <c r="C16" s="43"/>
      <c r="D16" s="57"/>
      <c r="E16" s="240"/>
      <c r="F16" s="241"/>
      <c r="G16" s="241"/>
      <c r="H16" s="242"/>
      <c r="I16" s="242"/>
      <c r="J16" s="251"/>
      <c r="K16" s="241"/>
      <c r="L16" s="241"/>
      <c r="M16" s="242"/>
      <c r="N16" s="251"/>
      <c r="O16" s="241"/>
      <c r="P16" s="241"/>
      <c r="Q16" s="241"/>
      <c r="R16" s="254"/>
      <c r="S16" s="240"/>
      <c r="T16" s="241"/>
      <c r="U16" s="242"/>
      <c r="V16" s="242"/>
      <c r="W16" s="242"/>
      <c r="X16" s="251"/>
      <c r="Y16" s="241"/>
      <c r="Z16" s="241"/>
      <c r="AA16" s="242"/>
      <c r="AB16" s="254"/>
      <c r="AC16" s="240"/>
      <c r="AD16" s="241"/>
      <c r="AE16" s="241"/>
      <c r="AF16" s="242"/>
      <c r="AG16" s="251"/>
      <c r="AH16" s="241"/>
      <c r="AI16" s="242"/>
      <c r="AJ16" s="254"/>
      <c r="AK16" s="240"/>
      <c r="AL16" s="241"/>
      <c r="AM16" s="241"/>
      <c r="AN16" s="241"/>
      <c r="AO16" s="242"/>
      <c r="AP16" s="254"/>
      <c r="AQ16" s="240"/>
      <c r="AR16" s="241"/>
      <c r="AS16" s="241"/>
      <c r="AT16" s="241"/>
      <c r="AU16" s="242"/>
      <c r="AV16" s="254"/>
      <c r="AW16" s="251"/>
      <c r="AX16" s="241"/>
      <c r="AY16" s="241"/>
      <c r="AZ16" s="254"/>
      <c r="BA16" s="251"/>
      <c r="BB16" s="241"/>
      <c r="BC16" s="241"/>
      <c r="BD16" s="254"/>
      <c r="BE16" s="251"/>
      <c r="BF16" s="241"/>
      <c r="BG16" s="241"/>
      <c r="BH16" s="254"/>
      <c r="BI16" s="251"/>
      <c r="BJ16" s="241"/>
      <c r="BK16" s="241"/>
      <c r="BL16" s="254"/>
      <c r="BM16" s="258">
        <f t="shared" si="0"/>
        <v>0</v>
      </c>
      <c r="BN16" s="243">
        <v>12</v>
      </c>
      <c r="BO16" s="239"/>
      <c r="BP16" s="43"/>
      <c r="BQ16" s="57"/>
      <c r="BR16" s="240"/>
      <c r="BS16" s="241"/>
      <c r="BT16" s="241"/>
      <c r="BU16" s="242"/>
      <c r="BV16" s="254"/>
      <c r="BW16" s="251"/>
      <c r="BX16" s="241"/>
      <c r="BY16" s="241"/>
      <c r="BZ16" s="242"/>
      <c r="CA16" s="251"/>
      <c r="CB16" s="241"/>
      <c r="CC16" s="241"/>
      <c r="CD16" s="241"/>
      <c r="CE16" s="254"/>
      <c r="CF16" s="240"/>
      <c r="CG16" s="241"/>
      <c r="CH16" s="242"/>
      <c r="CI16" s="242"/>
      <c r="CJ16" s="254"/>
      <c r="CK16" s="251"/>
      <c r="CL16" s="241"/>
      <c r="CM16" s="241"/>
      <c r="CN16" s="241"/>
      <c r="CO16" s="254"/>
      <c r="CP16" s="240"/>
      <c r="CQ16" s="241"/>
      <c r="CR16" s="241"/>
      <c r="CS16" s="242"/>
      <c r="CT16" s="251"/>
      <c r="CU16" s="241"/>
      <c r="CV16" s="242"/>
      <c r="CW16" s="254"/>
      <c r="CX16" s="251"/>
      <c r="CY16" s="241"/>
      <c r="CZ16" s="242"/>
      <c r="DA16" s="242"/>
      <c r="DB16" s="242"/>
      <c r="DC16" s="254"/>
      <c r="DD16" s="251"/>
      <c r="DE16" s="241"/>
      <c r="DF16" s="242"/>
      <c r="DG16" s="242"/>
      <c r="DH16" s="242"/>
      <c r="DI16" s="254"/>
      <c r="DJ16" s="251"/>
      <c r="DK16" s="241"/>
      <c r="DL16" s="241"/>
      <c r="DM16" s="254"/>
      <c r="DN16" s="251"/>
      <c r="DO16" s="241"/>
      <c r="DP16" s="241"/>
      <c r="DQ16" s="254"/>
      <c r="DR16" s="251"/>
      <c r="DS16" s="241"/>
      <c r="DT16" s="241"/>
      <c r="DU16" s="254"/>
      <c r="DV16" s="251"/>
      <c r="DW16" s="241"/>
      <c r="DX16" s="241"/>
      <c r="DY16" s="254"/>
      <c r="DZ16" s="258">
        <f t="shared" si="1"/>
        <v>0</v>
      </c>
      <c r="EA16" s="243">
        <v>12</v>
      </c>
      <c r="EB16" s="239"/>
      <c r="EC16" s="43"/>
      <c r="ED16" s="57"/>
      <c r="EE16" s="240"/>
      <c r="EF16" s="241"/>
      <c r="EG16" s="241"/>
      <c r="EH16" s="242"/>
      <c r="EI16" s="254"/>
      <c r="EJ16" s="251"/>
      <c r="EK16" s="241"/>
      <c r="EL16" s="241"/>
      <c r="EM16" s="242"/>
      <c r="EN16" s="251"/>
      <c r="EO16" s="241"/>
      <c r="EP16" s="241"/>
      <c r="EQ16" s="241"/>
      <c r="ER16" s="254"/>
      <c r="ES16" s="240"/>
      <c r="ET16" s="241"/>
      <c r="EU16" s="242"/>
      <c r="EV16" s="242"/>
      <c r="EW16" s="254"/>
      <c r="EX16" s="251"/>
      <c r="EY16" s="241"/>
      <c r="EZ16" s="241"/>
      <c r="FA16" s="241"/>
      <c r="FB16" s="254"/>
      <c r="FC16" s="240"/>
      <c r="FD16" s="241"/>
      <c r="FE16" s="241"/>
      <c r="FF16" s="242"/>
      <c r="FG16" s="251"/>
      <c r="FH16" s="241"/>
      <c r="FI16" s="242"/>
      <c r="FJ16" s="254"/>
      <c r="FK16" s="251"/>
      <c r="FL16" s="241"/>
      <c r="FM16" s="242"/>
      <c r="FN16" s="242"/>
      <c r="FO16" s="242"/>
      <c r="FP16" s="254"/>
      <c r="FQ16" s="251"/>
      <c r="FR16" s="241"/>
      <c r="FS16" s="242"/>
      <c r="FT16" s="242"/>
      <c r="FU16" s="242"/>
      <c r="FV16" s="254"/>
      <c r="FW16" s="251"/>
      <c r="FX16" s="241"/>
      <c r="FY16" s="241"/>
      <c r="FZ16" s="254"/>
      <c r="GA16" s="251"/>
      <c r="GB16" s="241"/>
      <c r="GC16" s="241"/>
      <c r="GD16" s="254"/>
      <c r="GE16" s="251"/>
      <c r="GF16" s="241"/>
      <c r="GG16" s="241"/>
      <c r="GH16" s="254"/>
      <c r="GI16" s="251"/>
      <c r="GJ16" s="241"/>
      <c r="GK16" s="241"/>
      <c r="GL16" s="254"/>
      <c r="GM16" s="258">
        <f t="shared" si="2"/>
        <v>0</v>
      </c>
      <c r="GO16" s="205">
        <f>+'RETAION-BUS'!BT16+'RETAION-BUS'!EN16+'RETAION-BUS'!HH16</f>
        <v>0</v>
      </c>
      <c r="GP16" s="204">
        <f t="shared" si="3"/>
        <v>0</v>
      </c>
      <c r="GQ16" s="274">
        <f t="shared" si="4"/>
        <v>0</v>
      </c>
    </row>
    <row r="17" spans="1:199" ht="15.75" thickBot="1">
      <c r="A17" s="234">
        <v>13</v>
      </c>
      <c r="B17" s="239"/>
      <c r="C17" s="43"/>
      <c r="D17" s="57"/>
      <c r="E17" s="240"/>
      <c r="F17" s="241"/>
      <c r="G17" s="241"/>
      <c r="H17" s="242"/>
      <c r="I17" s="242"/>
      <c r="J17" s="251"/>
      <c r="K17" s="241"/>
      <c r="L17" s="241"/>
      <c r="M17" s="242"/>
      <c r="N17" s="251"/>
      <c r="O17" s="241"/>
      <c r="P17" s="241"/>
      <c r="Q17" s="241"/>
      <c r="R17" s="254"/>
      <c r="S17" s="240"/>
      <c r="T17" s="241"/>
      <c r="U17" s="242"/>
      <c r="V17" s="242"/>
      <c r="W17" s="242"/>
      <c r="X17" s="251"/>
      <c r="Y17" s="241"/>
      <c r="Z17" s="241"/>
      <c r="AA17" s="242"/>
      <c r="AB17" s="254"/>
      <c r="AC17" s="240"/>
      <c r="AD17" s="241"/>
      <c r="AE17" s="241"/>
      <c r="AF17" s="242"/>
      <c r="AG17" s="251"/>
      <c r="AH17" s="241"/>
      <c r="AI17" s="242"/>
      <c r="AJ17" s="254"/>
      <c r="AK17" s="240"/>
      <c r="AL17" s="241"/>
      <c r="AM17" s="241"/>
      <c r="AN17" s="241"/>
      <c r="AO17" s="242"/>
      <c r="AP17" s="254"/>
      <c r="AQ17" s="240"/>
      <c r="AR17" s="241"/>
      <c r="AS17" s="241"/>
      <c r="AT17" s="241"/>
      <c r="AU17" s="242"/>
      <c r="AV17" s="254"/>
      <c r="AW17" s="251"/>
      <c r="AX17" s="241"/>
      <c r="AY17" s="241"/>
      <c r="AZ17" s="254"/>
      <c r="BA17" s="251"/>
      <c r="BB17" s="241"/>
      <c r="BC17" s="241"/>
      <c r="BD17" s="254"/>
      <c r="BE17" s="251"/>
      <c r="BF17" s="241"/>
      <c r="BG17" s="241"/>
      <c r="BH17" s="254"/>
      <c r="BI17" s="251"/>
      <c r="BJ17" s="241"/>
      <c r="BK17" s="241"/>
      <c r="BL17" s="254"/>
      <c r="BM17" s="258">
        <f t="shared" si="0"/>
        <v>0</v>
      </c>
      <c r="BN17" s="234">
        <v>13</v>
      </c>
      <c r="BO17" s="239"/>
      <c r="BP17" s="43"/>
      <c r="BQ17" s="57"/>
      <c r="BR17" s="240"/>
      <c r="BS17" s="241"/>
      <c r="BT17" s="241"/>
      <c r="BU17" s="242"/>
      <c r="BV17" s="254"/>
      <c r="BW17" s="251"/>
      <c r="BX17" s="241"/>
      <c r="BY17" s="241"/>
      <c r="BZ17" s="242"/>
      <c r="CA17" s="251"/>
      <c r="CB17" s="241"/>
      <c r="CC17" s="241"/>
      <c r="CD17" s="241"/>
      <c r="CE17" s="254"/>
      <c r="CF17" s="240"/>
      <c r="CG17" s="241"/>
      <c r="CH17" s="242"/>
      <c r="CI17" s="242"/>
      <c r="CJ17" s="254"/>
      <c r="CK17" s="251"/>
      <c r="CL17" s="241"/>
      <c r="CM17" s="241"/>
      <c r="CN17" s="241"/>
      <c r="CO17" s="254"/>
      <c r="CP17" s="240"/>
      <c r="CQ17" s="241"/>
      <c r="CR17" s="241"/>
      <c r="CS17" s="242"/>
      <c r="CT17" s="251"/>
      <c r="CU17" s="241"/>
      <c r="CV17" s="242"/>
      <c r="CW17" s="254"/>
      <c r="CX17" s="251"/>
      <c r="CY17" s="241"/>
      <c r="CZ17" s="242"/>
      <c r="DA17" s="242"/>
      <c r="DB17" s="242"/>
      <c r="DC17" s="254"/>
      <c r="DD17" s="251"/>
      <c r="DE17" s="241"/>
      <c r="DF17" s="242"/>
      <c r="DG17" s="242"/>
      <c r="DH17" s="242"/>
      <c r="DI17" s="254"/>
      <c r="DJ17" s="251"/>
      <c r="DK17" s="241"/>
      <c r="DL17" s="241"/>
      <c r="DM17" s="254"/>
      <c r="DN17" s="251"/>
      <c r="DO17" s="241"/>
      <c r="DP17" s="241"/>
      <c r="DQ17" s="254"/>
      <c r="DR17" s="251"/>
      <c r="DS17" s="241"/>
      <c r="DT17" s="241"/>
      <c r="DU17" s="254"/>
      <c r="DV17" s="251"/>
      <c r="DW17" s="241"/>
      <c r="DX17" s="241"/>
      <c r="DY17" s="254"/>
      <c r="DZ17" s="258">
        <f t="shared" si="1"/>
        <v>0</v>
      </c>
      <c r="EA17" s="413">
        <v>13</v>
      </c>
      <c r="EB17" s="239"/>
      <c r="EC17" s="43"/>
      <c r="ED17" s="57"/>
      <c r="EE17" s="240"/>
      <c r="EF17" s="241"/>
      <c r="EG17" s="241"/>
      <c r="EH17" s="242"/>
      <c r="EI17" s="254"/>
      <c r="EJ17" s="251"/>
      <c r="EK17" s="241"/>
      <c r="EL17" s="241"/>
      <c r="EM17" s="242"/>
      <c r="EN17" s="251"/>
      <c r="EO17" s="241"/>
      <c r="EP17" s="241"/>
      <c r="EQ17" s="241"/>
      <c r="ER17" s="254"/>
      <c r="ES17" s="240"/>
      <c r="ET17" s="241"/>
      <c r="EU17" s="242"/>
      <c r="EV17" s="242"/>
      <c r="EW17" s="254"/>
      <c r="EX17" s="251"/>
      <c r="EY17" s="241"/>
      <c r="EZ17" s="241"/>
      <c r="FA17" s="241"/>
      <c r="FB17" s="254"/>
      <c r="FC17" s="240"/>
      <c r="FD17" s="241"/>
      <c r="FE17" s="241"/>
      <c r="FF17" s="242"/>
      <c r="FG17" s="251"/>
      <c r="FH17" s="241"/>
      <c r="FI17" s="242"/>
      <c r="FJ17" s="254"/>
      <c r="FK17" s="251"/>
      <c r="FL17" s="241"/>
      <c r="FM17" s="242"/>
      <c r="FN17" s="242"/>
      <c r="FO17" s="242"/>
      <c r="FP17" s="254"/>
      <c r="FQ17" s="251"/>
      <c r="FR17" s="241"/>
      <c r="FS17" s="242"/>
      <c r="FT17" s="242"/>
      <c r="FU17" s="242"/>
      <c r="FV17" s="254"/>
      <c r="FW17" s="251"/>
      <c r="FX17" s="241"/>
      <c r="FY17" s="241"/>
      <c r="FZ17" s="254"/>
      <c r="GA17" s="251"/>
      <c r="GB17" s="241"/>
      <c r="GC17" s="241"/>
      <c r="GD17" s="254"/>
      <c r="GE17" s="251"/>
      <c r="GF17" s="241"/>
      <c r="GG17" s="241"/>
      <c r="GH17" s="254"/>
      <c r="GI17" s="251"/>
      <c r="GJ17" s="241"/>
      <c r="GK17" s="241"/>
      <c r="GL17" s="254"/>
      <c r="GM17" s="258">
        <f t="shared" si="2"/>
        <v>0</v>
      </c>
      <c r="GO17" s="205">
        <f>+'RETAION-BUS'!BT17+'RETAION-BUS'!EN17+'RETAION-BUS'!HH17</f>
        <v>0</v>
      </c>
      <c r="GP17" s="204">
        <f t="shared" si="3"/>
        <v>0</v>
      </c>
      <c r="GQ17" s="274">
        <f t="shared" si="4"/>
        <v>0</v>
      </c>
    </row>
    <row r="18" spans="1:199" s="1" customFormat="1" ht="15.75" thickBot="1">
      <c r="A18" s="243">
        <v>14</v>
      </c>
      <c r="B18" s="239"/>
      <c r="C18" s="43"/>
      <c r="D18" s="57"/>
      <c r="E18" s="240"/>
      <c r="F18" s="241"/>
      <c r="G18" s="241"/>
      <c r="H18" s="242"/>
      <c r="I18" s="242"/>
      <c r="J18" s="251"/>
      <c r="K18" s="241"/>
      <c r="L18" s="241"/>
      <c r="M18" s="242"/>
      <c r="N18" s="251"/>
      <c r="O18" s="241"/>
      <c r="P18" s="241"/>
      <c r="Q18" s="241"/>
      <c r="R18" s="254"/>
      <c r="S18" s="240"/>
      <c r="T18" s="241"/>
      <c r="U18" s="242"/>
      <c r="V18" s="242"/>
      <c r="W18" s="242"/>
      <c r="X18" s="251"/>
      <c r="Y18" s="241"/>
      <c r="Z18" s="241"/>
      <c r="AA18" s="242"/>
      <c r="AB18" s="254"/>
      <c r="AC18" s="240"/>
      <c r="AD18" s="241"/>
      <c r="AE18" s="241"/>
      <c r="AF18" s="242"/>
      <c r="AG18" s="251"/>
      <c r="AH18" s="241"/>
      <c r="AI18" s="242"/>
      <c r="AJ18" s="254"/>
      <c r="AK18" s="240"/>
      <c r="AL18" s="241"/>
      <c r="AM18" s="241"/>
      <c r="AN18" s="241"/>
      <c r="AO18" s="242"/>
      <c r="AP18" s="254"/>
      <c r="AQ18" s="240"/>
      <c r="AR18" s="241"/>
      <c r="AS18" s="241"/>
      <c r="AT18" s="241"/>
      <c r="AU18" s="242"/>
      <c r="AV18" s="254"/>
      <c r="AW18" s="251"/>
      <c r="AX18" s="241"/>
      <c r="AY18" s="241"/>
      <c r="AZ18" s="254"/>
      <c r="BA18" s="251"/>
      <c r="BB18" s="241"/>
      <c r="BC18" s="241"/>
      <c r="BD18" s="254"/>
      <c r="BE18" s="251"/>
      <c r="BF18" s="241"/>
      <c r="BG18" s="241"/>
      <c r="BH18" s="254"/>
      <c r="BI18" s="251"/>
      <c r="BJ18" s="241"/>
      <c r="BK18" s="241"/>
      <c r="BL18" s="254"/>
      <c r="BM18" s="258">
        <f t="shared" si="0"/>
        <v>0</v>
      </c>
      <c r="BN18" s="243">
        <v>14</v>
      </c>
      <c r="BO18" s="239"/>
      <c r="BP18" s="43"/>
      <c r="BQ18" s="57"/>
      <c r="BR18" s="240"/>
      <c r="BS18" s="241"/>
      <c r="BT18" s="241"/>
      <c r="BU18" s="242"/>
      <c r="BV18" s="254"/>
      <c r="BW18" s="251"/>
      <c r="BX18" s="241"/>
      <c r="BY18" s="241"/>
      <c r="BZ18" s="242"/>
      <c r="CA18" s="251"/>
      <c r="CB18" s="241"/>
      <c r="CC18" s="241"/>
      <c r="CD18" s="241"/>
      <c r="CE18" s="254"/>
      <c r="CF18" s="240"/>
      <c r="CG18" s="241"/>
      <c r="CH18" s="242"/>
      <c r="CI18" s="242"/>
      <c r="CJ18" s="254"/>
      <c r="CK18" s="251"/>
      <c r="CL18" s="241"/>
      <c r="CM18" s="241"/>
      <c r="CN18" s="241"/>
      <c r="CO18" s="254"/>
      <c r="CP18" s="240"/>
      <c r="CQ18" s="241"/>
      <c r="CR18" s="241"/>
      <c r="CS18" s="242"/>
      <c r="CT18" s="251"/>
      <c r="CU18" s="241"/>
      <c r="CV18" s="242"/>
      <c r="CW18" s="254"/>
      <c r="CX18" s="251"/>
      <c r="CY18" s="241"/>
      <c r="CZ18" s="242"/>
      <c r="DA18" s="242"/>
      <c r="DB18" s="242"/>
      <c r="DC18" s="254"/>
      <c r="DD18" s="251"/>
      <c r="DE18" s="241"/>
      <c r="DF18" s="242"/>
      <c r="DG18" s="242"/>
      <c r="DH18" s="242"/>
      <c r="DI18" s="254"/>
      <c r="DJ18" s="251"/>
      <c r="DK18" s="241"/>
      <c r="DL18" s="241"/>
      <c r="DM18" s="254"/>
      <c r="DN18" s="251"/>
      <c r="DO18" s="241"/>
      <c r="DP18" s="241"/>
      <c r="DQ18" s="254"/>
      <c r="DR18" s="251"/>
      <c r="DS18" s="241"/>
      <c r="DT18" s="241"/>
      <c r="DU18" s="254"/>
      <c r="DV18" s="251"/>
      <c r="DW18" s="241"/>
      <c r="DX18" s="241"/>
      <c r="DY18" s="254"/>
      <c r="DZ18" s="258">
        <f t="shared" si="1"/>
        <v>0</v>
      </c>
      <c r="EA18" s="243">
        <v>14</v>
      </c>
      <c r="EB18" s="239"/>
      <c r="EC18" s="43"/>
      <c r="ED18" s="57"/>
      <c r="EE18" s="240"/>
      <c r="EF18" s="241"/>
      <c r="EG18" s="241"/>
      <c r="EH18" s="242"/>
      <c r="EI18" s="254"/>
      <c r="EJ18" s="251"/>
      <c r="EK18" s="241"/>
      <c r="EL18" s="241"/>
      <c r="EM18" s="242"/>
      <c r="EN18" s="251"/>
      <c r="EO18" s="241"/>
      <c r="EP18" s="241"/>
      <c r="EQ18" s="241"/>
      <c r="ER18" s="254"/>
      <c r="ES18" s="240"/>
      <c r="ET18" s="241"/>
      <c r="EU18" s="242"/>
      <c r="EV18" s="242"/>
      <c r="EW18" s="254"/>
      <c r="EX18" s="251"/>
      <c r="EY18" s="241"/>
      <c r="EZ18" s="241"/>
      <c r="FA18" s="241"/>
      <c r="FB18" s="254"/>
      <c r="FC18" s="240"/>
      <c r="FD18" s="241"/>
      <c r="FE18" s="241"/>
      <c r="FF18" s="242"/>
      <c r="FG18" s="251"/>
      <c r="FH18" s="241"/>
      <c r="FI18" s="242"/>
      <c r="FJ18" s="254"/>
      <c r="FK18" s="251"/>
      <c r="FL18" s="241"/>
      <c r="FM18" s="242"/>
      <c r="FN18" s="242"/>
      <c r="FO18" s="242"/>
      <c r="FP18" s="254"/>
      <c r="FQ18" s="251"/>
      <c r="FR18" s="241"/>
      <c r="FS18" s="242"/>
      <c r="FT18" s="242"/>
      <c r="FU18" s="242"/>
      <c r="FV18" s="254"/>
      <c r="FW18" s="251"/>
      <c r="FX18" s="241"/>
      <c r="FY18" s="241"/>
      <c r="FZ18" s="254"/>
      <c r="GA18" s="251"/>
      <c r="GB18" s="241"/>
      <c r="GC18" s="241"/>
      <c r="GD18" s="254"/>
      <c r="GE18" s="251"/>
      <c r="GF18" s="241"/>
      <c r="GG18" s="241"/>
      <c r="GH18" s="254"/>
      <c r="GI18" s="251"/>
      <c r="GJ18" s="241"/>
      <c r="GK18" s="241"/>
      <c r="GL18" s="254"/>
      <c r="GM18" s="258">
        <f t="shared" si="2"/>
        <v>0</v>
      </c>
      <c r="GO18" s="205">
        <f>+'RETAION-BUS'!BT18+'RETAION-BUS'!EN18+'RETAION-BUS'!HH18</f>
        <v>0</v>
      </c>
      <c r="GP18" s="204">
        <f t="shared" si="3"/>
        <v>0</v>
      </c>
      <c r="GQ18" s="274">
        <f t="shared" si="4"/>
        <v>0</v>
      </c>
    </row>
    <row r="19" spans="1:199" ht="15.75" thickBot="1">
      <c r="A19" s="243">
        <v>15</v>
      </c>
      <c r="B19" s="239"/>
      <c r="C19" s="43"/>
      <c r="D19" s="57"/>
      <c r="E19" s="240"/>
      <c r="F19" s="241"/>
      <c r="G19" s="241"/>
      <c r="H19" s="242"/>
      <c r="I19" s="242"/>
      <c r="J19" s="251"/>
      <c r="K19" s="241"/>
      <c r="L19" s="241"/>
      <c r="M19" s="242"/>
      <c r="N19" s="251"/>
      <c r="O19" s="241"/>
      <c r="P19" s="241"/>
      <c r="Q19" s="241"/>
      <c r="R19" s="254"/>
      <c r="S19" s="240"/>
      <c r="T19" s="241"/>
      <c r="U19" s="242"/>
      <c r="V19" s="242"/>
      <c r="W19" s="242"/>
      <c r="X19" s="251"/>
      <c r="Y19" s="241"/>
      <c r="Z19" s="241"/>
      <c r="AA19" s="242"/>
      <c r="AB19" s="254"/>
      <c r="AC19" s="240"/>
      <c r="AD19" s="241"/>
      <c r="AE19" s="241"/>
      <c r="AF19" s="242"/>
      <c r="AG19" s="251"/>
      <c r="AH19" s="241"/>
      <c r="AI19" s="242"/>
      <c r="AJ19" s="254"/>
      <c r="AK19" s="240"/>
      <c r="AL19" s="241"/>
      <c r="AM19" s="241"/>
      <c r="AN19" s="241"/>
      <c r="AO19" s="242"/>
      <c r="AP19" s="254"/>
      <c r="AQ19" s="240"/>
      <c r="AR19" s="241"/>
      <c r="AS19" s="241"/>
      <c r="AT19" s="241"/>
      <c r="AU19" s="242"/>
      <c r="AV19" s="254"/>
      <c r="AW19" s="251"/>
      <c r="AX19" s="241"/>
      <c r="AY19" s="241"/>
      <c r="AZ19" s="254"/>
      <c r="BA19" s="251"/>
      <c r="BB19" s="241"/>
      <c r="BC19" s="241"/>
      <c r="BD19" s="254"/>
      <c r="BE19" s="251"/>
      <c r="BF19" s="241"/>
      <c r="BG19" s="241"/>
      <c r="BH19" s="254"/>
      <c r="BI19" s="251"/>
      <c r="BJ19" s="241"/>
      <c r="BK19" s="241"/>
      <c r="BL19" s="254"/>
      <c r="BM19" s="258">
        <f t="shared" si="0"/>
        <v>0</v>
      </c>
      <c r="BN19" s="243">
        <v>15</v>
      </c>
      <c r="BO19" s="239"/>
      <c r="BP19" s="43"/>
      <c r="BQ19" s="57"/>
      <c r="BR19" s="240"/>
      <c r="BS19" s="241"/>
      <c r="BT19" s="241"/>
      <c r="BU19" s="242"/>
      <c r="BV19" s="254"/>
      <c r="BW19" s="251"/>
      <c r="BX19" s="241"/>
      <c r="BY19" s="241"/>
      <c r="BZ19" s="242"/>
      <c r="CA19" s="251"/>
      <c r="CB19" s="241"/>
      <c r="CC19" s="241"/>
      <c r="CD19" s="241"/>
      <c r="CE19" s="254"/>
      <c r="CF19" s="240"/>
      <c r="CG19" s="241"/>
      <c r="CH19" s="242"/>
      <c r="CI19" s="242"/>
      <c r="CJ19" s="254"/>
      <c r="CK19" s="251"/>
      <c r="CL19" s="241"/>
      <c r="CM19" s="241"/>
      <c r="CN19" s="241"/>
      <c r="CO19" s="254"/>
      <c r="CP19" s="240"/>
      <c r="CQ19" s="241"/>
      <c r="CR19" s="241"/>
      <c r="CS19" s="242"/>
      <c r="CT19" s="251"/>
      <c r="CU19" s="241"/>
      <c r="CV19" s="242"/>
      <c r="CW19" s="254"/>
      <c r="CX19" s="251"/>
      <c r="CY19" s="241"/>
      <c r="CZ19" s="242"/>
      <c r="DA19" s="242"/>
      <c r="DB19" s="242"/>
      <c r="DC19" s="254"/>
      <c r="DD19" s="251"/>
      <c r="DE19" s="241"/>
      <c r="DF19" s="242"/>
      <c r="DG19" s="242"/>
      <c r="DH19" s="242"/>
      <c r="DI19" s="254"/>
      <c r="DJ19" s="251"/>
      <c r="DK19" s="241"/>
      <c r="DL19" s="241"/>
      <c r="DM19" s="254"/>
      <c r="DN19" s="251"/>
      <c r="DO19" s="241"/>
      <c r="DP19" s="241"/>
      <c r="DQ19" s="254"/>
      <c r="DR19" s="251"/>
      <c r="DS19" s="241"/>
      <c r="DT19" s="241"/>
      <c r="DU19" s="254"/>
      <c r="DV19" s="251"/>
      <c r="DW19" s="241"/>
      <c r="DX19" s="241"/>
      <c r="DY19" s="254"/>
      <c r="DZ19" s="258">
        <f t="shared" si="1"/>
        <v>0</v>
      </c>
      <c r="EA19" s="243">
        <v>15</v>
      </c>
      <c r="EB19" s="239"/>
      <c r="EC19" s="43"/>
      <c r="ED19" s="57"/>
      <c r="EE19" s="240"/>
      <c r="EF19" s="241"/>
      <c r="EG19" s="241"/>
      <c r="EH19" s="242"/>
      <c r="EI19" s="254"/>
      <c r="EJ19" s="251"/>
      <c r="EK19" s="241"/>
      <c r="EL19" s="241"/>
      <c r="EM19" s="242"/>
      <c r="EN19" s="251"/>
      <c r="EO19" s="241"/>
      <c r="EP19" s="241"/>
      <c r="EQ19" s="241"/>
      <c r="ER19" s="254"/>
      <c r="ES19" s="240"/>
      <c r="ET19" s="241"/>
      <c r="EU19" s="242"/>
      <c r="EV19" s="242"/>
      <c r="EW19" s="254"/>
      <c r="EX19" s="251"/>
      <c r="EY19" s="241"/>
      <c r="EZ19" s="241"/>
      <c r="FA19" s="241"/>
      <c r="FB19" s="254"/>
      <c r="FC19" s="240"/>
      <c r="FD19" s="241"/>
      <c r="FE19" s="241"/>
      <c r="FF19" s="242"/>
      <c r="FG19" s="251"/>
      <c r="FH19" s="241"/>
      <c r="FI19" s="242"/>
      <c r="FJ19" s="254"/>
      <c r="FK19" s="251"/>
      <c r="FL19" s="241"/>
      <c r="FM19" s="242"/>
      <c r="FN19" s="242"/>
      <c r="FO19" s="242"/>
      <c r="FP19" s="254"/>
      <c r="FQ19" s="251"/>
      <c r="FR19" s="241"/>
      <c r="FS19" s="242"/>
      <c r="FT19" s="242"/>
      <c r="FU19" s="242"/>
      <c r="FV19" s="254"/>
      <c r="FW19" s="251"/>
      <c r="FX19" s="241"/>
      <c r="FY19" s="241"/>
      <c r="FZ19" s="254"/>
      <c r="GA19" s="251"/>
      <c r="GB19" s="241"/>
      <c r="GC19" s="241"/>
      <c r="GD19" s="254"/>
      <c r="GE19" s="251"/>
      <c r="GF19" s="241"/>
      <c r="GG19" s="241"/>
      <c r="GH19" s="254"/>
      <c r="GI19" s="251"/>
      <c r="GJ19" s="241"/>
      <c r="GK19" s="241"/>
      <c r="GL19" s="254"/>
      <c r="GM19" s="258">
        <f t="shared" si="2"/>
        <v>0</v>
      </c>
      <c r="GO19" s="205">
        <f>+'RETAION-BUS'!BT19+'RETAION-BUS'!EN19+'RETAION-BUS'!HH19</f>
        <v>0</v>
      </c>
      <c r="GP19" s="204">
        <f t="shared" si="3"/>
        <v>0</v>
      </c>
      <c r="GQ19" s="274">
        <f t="shared" si="4"/>
        <v>0</v>
      </c>
    </row>
    <row r="20" spans="1:199" ht="15.75" thickBot="1">
      <c r="A20" s="234">
        <v>16</v>
      </c>
      <c r="B20" s="239"/>
      <c r="C20" s="43"/>
      <c r="D20" s="57"/>
      <c r="E20" s="240"/>
      <c r="F20" s="241"/>
      <c r="G20" s="241"/>
      <c r="H20" s="242"/>
      <c r="I20" s="242"/>
      <c r="J20" s="251"/>
      <c r="K20" s="241"/>
      <c r="L20" s="241"/>
      <c r="M20" s="242"/>
      <c r="N20" s="251"/>
      <c r="O20" s="241"/>
      <c r="P20" s="241"/>
      <c r="Q20" s="241"/>
      <c r="R20" s="254"/>
      <c r="S20" s="240"/>
      <c r="T20" s="241"/>
      <c r="U20" s="242"/>
      <c r="V20" s="242"/>
      <c r="W20" s="242"/>
      <c r="X20" s="251"/>
      <c r="Y20" s="241"/>
      <c r="Z20" s="241"/>
      <c r="AA20" s="242"/>
      <c r="AB20" s="254"/>
      <c r="AC20" s="240"/>
      <c r="AD20" s="241"/>
      <c r="AE20" s="241"/>
      <c r="AF20" s="242"/>
      <c r="AG20" s="251"/>
      <c r="AH20" s="241"/>
      <c r="AI20" s="242"/>
      <c r="AJ20" s="254"/>
      <c r="AK20" s="240"/>
      <c r="AL20" s="241"/>
      <c r="AM20" s="241"/>
      <c r="AN20" s="241"/>
      <c r="AO20" s="242"/>
      <c r="AP20" s="254"/>
      <c r="AQ20" s="240"/>
      <c r="AR20" s="241"/>
      <c r="AS20" s="241"/>
      <c r="AT20" s="241"/>
      <c r="AU20" s="242"/>
      <c r="AV20" s="254"/>
      <c r="AW20" s="251"/>
      <c r="AX20" s="241"/>
      <c r="AY20" s="241"/>
      <c r="AZ20" s="254"/>
      <c r="BA20" s="251"/>
      <c r="BB20" s="241"/>
      <c r="BC20" s="241"/>
      <c r="BD20" s="254"/>
      <c r="BE20" s="251"/>
      <c r="BF20" s="241"/>
      <c r="BG20" s="241"/>
      <c r="BH20" s="254"/>
      <c r="BI20" s="251"/>
      <c r="BJ20" s="241"/>
      <c r="BK20" s="241"/>
      <c r="BL20" s="254"/>
      <c r="BM20" s="258">
        <f t="shared" si="0"/>
        <v>0</v>
      </c>
      <c r="BN20" s="234">
        <v>16</v>
      </c>
      <c r="BO20" s="239"/>
      <c r="BP20" s="43"/>
      <c r="BQ20" s="57"/>
      <c r="BR20" s="240"/>
      <c r="BS20" s="241"/>
      <c r="BT20" s="241"/>
      <c r="BU20" s="242"/>
      <c r="BV20" s="254"/>
      <c r="BW20" s="251"/>
      <c r="BX20" s="241"/>
      <c r="BY20" s="241"/>
      <c r="BZ20" s="242"/>
      <c r="CA20" s="251"/>
      <c r="CB20" s="241"/>
      <c r="CC20" s="241"/>
      <c r="CD20" s="241"/>
      <c r="CE20" s="254"/>
      <c r="CF20" s="240"/>
      <c r="CG20" s="241"/>
      <c r="CH20" s="242"/>
      <c r="CI20" s="242"/>
      <c r="CJ20" s="254"/>
      <c r="CK20" s="251"/>
      <c r="CL20" s="241"/>
      <c r="CM20" s="241"/>
      <c r="CN20" s="241"/>
      <c r="CO20" s="254"/>
      <c r="CP20" s="240"/>
      <c r="CQ20" s="241"/>
      <c r="CR20" s="241"/>
      <c r="CS20" s="242"/>
      <c r="CT20" s="251"/>
      <c r="CU20" s="241"/>
      <c r="CV20" s="242"/>
      <c r="CW20" s="254"/>
      <c r="CX20" s="251"/>
      <c r="CY20" s="241"/>
      <c r="CZ20" s="242"/>
      <c r="DA20" s="242"/>
      <c r="DB20" s="242"/>
      <c r="DC20" s="254"/>
      <c r="DD20" s="251"/>
      <c r="DE20" s="241"/>
      <c r="DF20" s="242"/>
      <c r="DG20" s="242"/>
      <c r="DH20" s="242"/>
      <c r="DI20" s="254"/>
      <c r="DJ20" s="251"/>
      <c r="DK20" s="241"/>
      <c r="DL20" s="241"/>
      <c r="DM20" s="254"/>
      <c r="DN20" s="251"/>
      <c r="DO20" s="241"/>
      <c r="DP20" s="241"/>
      <c r="DQ20" s="254"/>
      <c r="DR20" s="251"/>
      <c r="DS20" s="241"/>
      <c r="DT20" s="241"/>
      <c r="DU20" s="254"/>
      <c r="DV20" s="251"/>
      <c r="DW20" s="241"/>
      <c r="DX20" s="241"/>
      <c r="DY20" s="254"/>
      <c r="DZ20" s="258">
        <f t="shared" si="1"/>
        <v>0</v>
      </c>
      <c r="EA20" s="413">
        <v>16</v>
      </c>
      <c r="EB20" s="239"/>
      <c r="EC20" s="43"/>
      <c r="ED20" s="57"/>
      <c r="EE20" s="240"/>
      <c r="EF20" s="241"/>
      <c r="EG20" s="241"/>
      <c r="EH20" s="242"/>
      <c r="EI20" s="254"/>
      <c r="EJ20" s="251"/>
      <c r="EK20" s="241"/>
      <c r="EL20" s="241"/>
      <c r="EM20" s="242"/>
      <c r="EN20" s="251"/>
      <c r="EO20" s="241"/>
      <c r="EP20" s="241"/>
      <c r="EQ20" s="241"/>
      <c r="ER20" s="254"/>
      <c r="ES20" s="240"/>
      <c r="ET20" s="241"/>
      <c r="EU20" s="242"/>
      <c r="EV20" s="242"/>
      <c r="EW20" s="254"/>
      <c r="EX20" s="251"/>
      <c r="EY20" s="241"/>
      <c r="EZ20" s="241"/>
      <c r="FA20" s="241"/>
      <c r="FB20" s="254"/>
      <c r="FC20" s="240"/>
      <c r="FD20" s="241"/>
      <c r="FE20" s="241"/>
      <c r="FF20" s="242"/>
      <c r="FG20" s="251"/>
      <c r="FH20" s="241"/>
      <c r="FI20" s="242"/>
      <c r="FJ20" s="254"/>
      <c r="FK20" s="251"/>
      <c r="FL20" s="241"/>
      <c r="FM20" s="242"/>
      <c r="FN20" s="242"/>
      <c r="FO20" s="242"/>
      <c r="FP20" s="254"/>
      <c r="FQ20" s="251"/>
      <c r="FR20" s="241"/>
      <c r="FS20" s="242"/>
      <c r="FT20" s="242"/>
      <c r="FU20" s="242"/>
      <c r="FV20" s="254"/>
      <c r="FW20" s="251"/>
      <c r="FX20" s="241"/>
      <c r="FY20" s="241"/>
      <c r="FZ20" s="254"/>
      <c r="GA20" s="251"/>
      <c r="GB20" s="241"/>
      <c r="GC20" s="241"/>
      <c r="GD20" s="254"/>
      <c r="GE20" s="251"/>
      <c r="GF20" s="241"/>
      <c r="GG20" s="241"/>
      <c r="GH20" s="254"/>
      <c r="GI20" s="251"/>
      <c r="GJ20" s="241"/>
      <c r="GK20" s="241"/>
      <c r="GL20" s="254"/>
      <c r="GM20" s="258">
        <f t="shared" si="2"/>
        <v>0</v>
      </c>
      <c r="GO20" s="205">
        <f>+'RETAION-BUS'!BT20+'RETAION-BUS'!EN20+'RETAION-BUS'!HH20</f>
        <v>0</v>
      </c>
      <c r="GP20" s="204">
        <f t="shared" si="3"/>
        <v>0</v>
      </c>
      <c r="GQ20" s="274">
        <f t="shared" ref="GQ20" si="5">+GO20-GP20</f>
        <v>0</v>
      </c>
    </row>
    <row r="21" spans="1:199" ht="15.75" thickBot="1">
      <c r="A21" s="238">
        <v>17</v>
      </c>
      <c r="B21" s="239"/>
      <c r="C21" s="43"/>
      <c r="D21" s="57"/>
      <c r="E21" s="240"/>
      <c r="F21" s="241"/>
      <c r="G21" s="241"/>
      <c r="H21" s="242"/>
      <c r="I21" s="242"/>
      <c r="J21" s="251"/>
      <c r="K21" s="241"/>
      <c r="L21" s="241"/>
      <c r="M21" s="242"/>
      <c r="N21" s="251"/>
      <c r="O21" s="241"/>
      <c r="P21" s="241"/>
      <c r="Q21" s="241"/>
      <c r="R21" s="254"/>
      <c r="S21" s="240"/>
      <c r="T21" s="241"/>
      <c r="U21" s="242"/>
      <c r="V21" s="242"/>
      <c r="W21" s="242"/>
      <c r="X21" s="251"/>
      <c r="Y21" s="241"/>
      <c r="Z21" s="241"/>
      <c r="AA21" s="242"/>
      <c r="AB21" s="254"/>
      <c r="AC21" s="240"/>
      <c r="AD21" s="241"/>
      <c r="AE21" s="241"/>
      <c r="AF21" s="242"/>
      <c r="AG21" s="251"/>
      <c r="AH21" s="241"/>
      <c r="AI21" s="242"/>
      <c r="AJ21" s="254"/>
      <c r="AK21" s="240"/>
      <c r="AL21" s="241"/>
      <c r="AM21" s="241"/>
      <c r="AN21" s="241"/>
      <c r="AO21" s="242"/>
      <c r="AP21" s="254"/>
      <c r="AQ21" s="240"/>
      <c r="AR21" s="241"/>
      <c r="AS21" s="241"/>
      <c r="AT21" s="241"/>
      <c r="AU21" s="242"/>
      <c r="AV21" s="254"/>
      <c r="AW21" s="251"/>
      <c r="AX21" s="241"/>
      <c r="AY21" s="241"/>
      <c r="AZ21" s="254"/>
      <c r="BA21" s="251"/>
      <c r="BB21" s="241"/>
      <c r="BC21" s="241"/>
      <c r="BD21" s="254"/>
      <c r="BE21" s="251"/>
      <c r="BF21" s="241"/>
      <c r="BG21" s="241"/>
      <c r="BH21" s="254"/>
      <c r="BI21" s="251"/>
      <c r="BJ21" s="241"/>
      <c r="BK21" s="241"/>
      <c r="BL21" s="254"/>
      <c r="BM21" s="258">
        <f t="shared" si="0"/>
        <v>0</v>
      </c>
      <c r="BN21" s="238">
        <v>17</v>
      </c>
      <c r="BO21" s="239"/>
      <c r="BP21" s="43"/>
      <c r="BQ21" s="57"/>
      <c r="BR21" s="240"/>
      <c r="BS21" s="241"/>
      <c r="BT21" s="241"/>
      <c r="BU21" s="242"/>
      <c r="BV21" s="254"/>
      <c r="BW21" s="251"/>
      <c r="BX21" s="241"/>
      <c r="BY21" s="241"/>
      <c r="BZ21" s="242"/>
      <c r="CA21" s="251"/>
      <c r="CB21" s="241"/>
      <c r="CC21" s="241"/>
      <c r="CD21" s="241"/>
      <c r="CE21" s="254"/>
      <c r="CF21" s="240"/>
      <c r="CG21" s="241"/>
      <c r="CH21" s="242"/>
      <c r="CI21" s="242"/>
      <c r="CJ21" s="254"/>
      <c r="CK21" s="251"/>
      <c r="CL21" s="241"/>
      <c r="CM21" s="241"/>
      <c r="CN21" s="241"/>
      <c r="CO21" s="254"/>
      <c r="CP21" s="240"/>
      <c r="CQ21" s="241"/>
      <c r="CR21" s="241"/>
      <c r="CS21" s="242"/>
      <c r="CT21" s="251"/>
      <c r="CU21" s="241"/>
      <c r="CV21" s="242"/>
      <c r="CW21" s="254"/>
      <c r="CX21" s="251"/>
      <c r="CY21" s="241"/>
      <c r="CZ21" s="242"/>
      <c r="DA21" s="242"/>
      <c r="DB21" s="242"/>
      <c r="DC21" s="254"/>
      <c r="DD21" s="251"/>
      <c r="DE21" s="241"/>
      <c r="DF21" s="242"/>
      <c r="DG21" s="242"/>
      <c r="DH21" s="242"/>
      <c r="DI21" s="254"/>
      <c r="DJ21" s="251"/>
      <c r="DK21" s="241"/>
      <c r="DL21" s="241"/>
      <c r="DM21" s="254"/>
      <c r="DN21" s="251"/>
      <c r="DO21" s="241"/>
      <c r="DP21" s="241"/>
      <c r="DQ21" s="254"/>
      <c r="DR21" s="251"/>
      <c r="DS21" s="241"/>
      <c r="DT21" s="241"/>
      <c r="DU21" s="254"/>
      <c r="DV21" s="251"/>
      <c r="DW21" s="241"/>
      <c r="DX21" s="241"/>
      <c r="DY21" s="254"/>
      <c r="DZ21" s="258">
        <f t="shared" si="1"/>
        <v>0</v>
      </c>
      <c r="EA21" s="238">
        <v>17</v>
      </c>
      <c r="EB21" s="239"/>
      <c r="EC21" s="43"/>
      <c r="ED21" s="57"/>
      <c r="EE21" s="240"/>
      <c r="EF21" s="241"/>
      <c r="EG21" s="241"/>
      <c r="EH21" s="242"/>
      <c r="EI21" s="254"/>
      <c r="EJ21" s="251"/>
      <c r="EK21" s="241"/>
      <c r="EL21" s="241"/>
      <c r="EM21" s="242"/>
      <c r="EN21" s="251"/>
      <c r="EO21" s="241"/>
      <c r="EP21" s="241"/>
      <c r="EQ21" s="241"/>
      <c r="ER21" s="254"/>
      <c r="ES21" s="240"/>
      <c r="ET21" s="241"/>
      <c r="EU21" s="242"/>
      <c r="EV21" s="242"/>
      <c r="EW21" s="254"/>
      <c r="EX21" s="251"/>
      <c r="EY21" s="241"/>
      <c r="EZ21" s="241"/>
      <c r="FA21" s="241"/>
      <c r="FB21" s="254"/>
      <c r="FC21" s="240"/>
      <c r="FD21" s="241"/>
      <c r="FE21" s="241"/>
      <c r="FF21" s="242"/>
      <c r="FG21" s="251"/>
      <c r="FH21" s="241"/>
      <c r="FI21" s="242"/>
      <c r="FJ21" s="254"/>
      <c r="FK21" s="251"/>
      <c r="FL21" s="241"/>
      <c r="FM21" s="242"/>
      <c r="FN21" s="242"/>
      <c r="FO21" s="242"/>
      <c r="FP21" s="254"/>
      <c r="FQ21" s="251"/>
      <c r="FR21" s="241"/>
      <c r="FS21" s="242"/>
      <c r="FT21" s="242"/>
      <c r="FU21" s="242"/>
      <c r="FV21" s="254"/>
      <c r="FW21" s="251"/>
      <c r="FX21" s="241"/>
      <c r="FY21" s="241"/>
      <c r="FZ21" s="254"/>
      <c r="GA21" s="251"/>
      <c r="GB21" s="241"/>
      <c r="GC21" s="241"/>
      <c r="GD21" s="254"/>
      <c r="GE21" s="251"/>
      <c r="GF21" s="241"/>
      <c r="GG21" s="241"/>
      <c r="GH21" s="254"/>
      <c r="GI21" s="251"/>
      <c r="GJ21" s="241"/>
      <c r="GK21" s="241"/>
      <c r="GL21" s="254"/>
      <c r="GM21" s="258">
        <f t="shared" si="2"/>
        <v>0</v>
      </c>
      <c r="GO21" s="205">
        <f>+'RETAION-BUS'!BT21+'RETAION-BUS'!EN21+'RETAION-BUS'!HH21</f>
        <v>0</v>
      </c>
      <c r="GP21" s="204">
        <f t="shared" si="3"/>
        <v>0</v>
      </c>
      <c r="GQ21" s="274">
        <f t="shared" si="4"/>
        <v>0</v>
      </c>
    </row>
    <row r="22" spans="1:199" ht="15.75" thickBot="1">
      <c r="A22" s="243">
        <v>18</v>
      </c>
      <c r="B22" s="239"/>
      <c r="C22" s="43"/>
      <c r="D22" s="57"/>
      <c r="E22" s="240"/>
      <c r="F22" s="241"/>
      <c r="G22" s="241"/>
      <c r="H22" s="242"/>
      <c r="I22" s="242"/>
      <c r="J22" s="251"/>
      <c r="K22" s="241"/>
      <c r="L22" s="241"/>
      <c r="M22" s="242"/>
      <c r="N22" s="251"/>
      <c r="O22" s="241"/>
      <c r="P22" s="241"/>
      <c r="Q22" s="241"/>
      <c r="R22" s="254"/>
      <c r="S22" s="240"/>
      <c r="T22" s="241"/>
      <c r="U22" s="242"/>
      <c r="V22" s="242"/>
      <c r="W22" s="242"/>
      <c r="X22" s="251"/>
      <c r="Y22" s="241"/>
      <c r="Z22" s="241"/>
      <c r="AA22" s="242"/>
      <c r="AB22" s="254"/>
      <c r="AC22" s="240"/>
      <c r="AD22" s="241"/>
      <c r="AE22" s="241"/>
      <c r="AF22" s="242"/>
      <c r="AG22" s="251"/>
      <c r="AH22" s="241"/>
      <c r="AI22" s="242"/>
      <c r="AJ22" s="254"/>
      <c r="AK22" s="240"/>
      <c r="AL22" s="241"/>
      <c r="AM22" s="241"/>
      <c r="AN22" s="241"/>
      <c r="AO22" s="242"/>
      <c r="AP22" s="254"/>
      <c r="AQ22" s="240"/>
      <c r="AR22" s="241"/>
      <c r="AS22" s="241"/>
      <c r="AT22" s="241"/>
      <c r="AU22" s="242"/>
      <c r="AV22" s="254"/>
      <c r="AW22" s="251"/>
      <c r="AX22" s="241"/>
      <c r="AY22" s="241"/>
      <c r="AZ22" s="254"/>
      <c r="BA22" s="251"/>
      <c r="BB22" s="241"/>
      <c r="BC22" s="241"/>
      <c r="BD22" s="254"/>
      <c r="BE22" s="251"/>
      <c r="BF22" s="241"/>
      <c r="BG22" s="241"/>
      <c r="BH22" s="254"/>
      <c r="BI22" s="251"/>
      <c r="BJ22" s="241"/>
      <c r="BK22" s="241"/>
      <c r="BL22" s="254"/>
      <c r="BM22" s="258">
        <f t="shared" si="0"/>
        <v>0</v>
      </c>
      <c r="BN22" s="243">
        <v>18</v>
      </c>
      <c r="BO22" s="239"/>
      <c r="BP22" s="43"/>
      <c r="BQ22" s="57"/>
      <c r="BR22" s="240"/>
      <c r="BS22" s="241"/>
      <c r="BT22" s="241"/>
      <c r="BU22" s="242"/>
      <c r="BV22" s="254"/>
      <c r="BW22" s="251"/>
      <c r="BX22" s="241"/>
      <c r="BY22" s="241"/>
      <c r="BZ22" s="242"/>
      <c r="CA22" s="251"/>
      <c r="CB22" s="241"/>
      <c r="CC22" s="241"/>
      <c r="CD22" s="241"/>
      <c r="CE22" s="254"/>
      <c r="CF22" s="240"/>
      <c r="CG22" s="241"/>
      <c r="CH22" s="242"/>
      <c r="CI22" s="242"/>
      <c r="CJ22" s="254"/>
      <c r="CK22" s="251"/>
      <c r="CL22" s="241"/>
      <c r="CM22" s="241"/>
      <c r="CN22" s="241"/>
      <c r="CO22" s="254"/>
      <c r="CP22" s="240"/>
      <c r="CQ22" s="241"/>
      <c r="CR22" s="241"/>
      <c r="CS22" s="241"/>
      <c r="CT22" s="251"/>
      <c r="CU22" s="241"/>
      <c r="CV22" s="242"/>
      <c r="CW22" s="254"/>
      <c r="CX22" s="251"/>
      <c r="CY22" s="241"/>
      <c r="CZ22" s="242"/>
      <c r="DA22" s="242"/>
      <c r="DB22" s="242"/>
      <c r="DC22" s="254"/>
      <c r="DD22" s="251"/>
      <c r="DE22" s="241"/>
      <c r="DF22" s="242"/>
      <c r="DG22" s="242"/>
      <c r="DH22" s="242"/>
      <c r="DI22" s="254"/>
      <c r="DJ22" s="251"/>
      <c r="DK22" s="241"/>
      <c r="DL22" s="241"/>
      <c r="DM22" s="254"/>
      <c r="DN22" s="251"/>
      <c r="DO22" s="241"/>
      <c r="DP22" s="241"/>
      <c r="DQ22" s="254"/>
      <c r="DR22" s="251"/>
      <c r="DS22" s="241"/>
      <c r="DT22" s="241"/>
      <c r="DU22" s="254"/>
      <c r="DV22" s="251"/>
      <c r="DW22" s="241"/>
      <c r="DX22" s="241"/>
      <c r="DY22" s="254"/>
      <c r="DZ22" s="258">
        <f t="shared" si="1"/>
        <v>0</v>
      </c>
      <c r="EA22" s="243">
        <v>18</v>
      </c>
      <c r="EB22" s="239"/>
      <c r="EC22" s="43"/>
      <c r="ED22" s="57"/>
      <c r="EE22" s="240"/>
      <c r="EF22" s="241"/>
      <c r="EG22" s="241"/>
      <c r="EH22" s="242"/>
      <c r="EI22" s="254"/>
      <c r="EJ22" s="251"/>
      <c r="EK22" s="241"/>
      <c r="EL22" s="241"/>
      <c r="EM22" s="242"/>
      <c r="EN22" s="251"/>
      <c r="EO22" s="241"/>
      <c r="EP22" s="241"/>
      <c r="EQ22" s="241"/>
      <c r="ER22" s="254"/>
      <c r="ES22" s="240"/>
      <c r="ET22" s="241"/>
      <c r="EU22" s="242"/>
      <c r="EV22" s="242"/>
      <c r="EW22" s="254"/>
      <c r="EX22" s="251"/>
      <c r="EY22" s="241"/>
      <c r="EZ22" s="241"/>
      <c r="FA22" s="241"/>
      <c r="FB22" s="254"/>
      <c r="FC22" s="240"/>
      <c r="FD22" s="241"/>
      <c r="FE22" s="241"/>
      <c r="FF22" s="241"/>
      <c r="FG22" s="251"/>
      <c r="FH22" s="241"/>
      <c r="FI22" s="242"/>
      <c r="FJ22" s="254"/>
      <c r="FK22" s="251"/>
      <c r="FL22" s="241"/>
      <c r="FM22" s="242"/>
      <c r="FN22" s="242"/>
      <c r="FO22" s="242"/>
      <c r="FP22" s="254"/>
      <c r="FQ22" s="251"/>
      <c r="FR22" s="241"/>
      <c r="FS22" s="242"/>
      <c r="FT22" s="242"/>
      <c r="FU22" s="242"/>
      <c r="FV22" s="254"/>
      <c r="FW22" s="251"/>
      <c r="FX22" s="241"/>
      <c r="FY22" s="241"/>
      <c r="FZ22" s="254"/>
      <c r="GA22" s="251"/>
      <c r="GB22" s="241"/>
      <c r="GC22" s="241"/>
      <c r="GD22" s="254"/>
      <c r="GE22" s="251"/>
      <c r="GF22" s="241"/>
      <c r="GG22" s="241"/>
      <c r="GH22" s="254"/>
      <c r="GI22" s="251"/>
      <c r="GJ22" s="241"/>
      <c r="GK22" s="241"/>
      <c r="GL22" s="254"/>
      <c r="GM22" s="258">
        <f t="shared" si="2"/>
        <v>0</v>
      </c>
      <c r="GO22" s="205">
        <f>+'RETAION-BUS'!BT22+'RETAION-BUS'!EN22+'RETAION-BUS'!HH22</f>
        <v>0</v>
      </c>
      <c r="GP22" s="204">
        <f t="shared" si="3"/>
        <v>0</v>
      </c>
      <c r="GQ22" s="274">
        <f t="shared" si="4"/>
        <v>0</v>
      </c>
    </row>
    <row r="23" spans="1:199" ht="15.75" thickBot="1">
      <c r="A23" s="234">
        <v>19</v>
      </c>
      <c r="B23" s="239"/>
      <c r="C23" s="43"/>
      <c r="D23" s="57"/>
      <c r="E23" s="240"/>
      <c r="F23" s="241"/>
      <c r="G23" s="241"/>
      <c r="H23" s="242"/>
      <c r="I23" s="242"/>
      <c r="J23" s="251"/>
      <c r="K23" s="241"/>
      <c r="L23" s="241"/>
      <c r="M23" s="242"/>
      <c r="N23" s="251"/>
      <c r="O23" s="241"/>
      <c r="P23" s="241"/>
      <c r="Q23" s="241"/>
      <c r="R23" s="254"/>
      <c r="S23" s="240"/>
      <c r="T23" s="241"/>
      <c r="U23" s="242"/>
      <c r="V23" s="242"/>
      <c r="W23" s="242"/>
      <c r="X23" s="251"/>
      <c r="Y23" s="241"/>
      <c r="Z23" s="241"/>
      <c r="AA23" s="242"/>
      <c r="AB23" s="254"/>
      <c r="AC23" s="240"/>
      <c r="AD23" s="241"/>
      <c r="AE23" s="241"/>
      <c r="AF23" s="242"/>
      <c r="AG23" s="251"/>
      <c r="AH23" s="241"/>
      <c r="AI23" s="242"/>
      <c r="AJ23" s="254"/>
      <c r="AK23" s="240"/>
      <c r="AL23" s="241"/>
      <c r="AM23" s="241"/>
      <c r="AN23" s="241"/>
      <c r="AO23" s="242"/>
      <c r="AP23" s="254"/>
      <c r="AQ23" s="240"/>
      <c r="AR23" s="241"/>
      <c r="AS23" s="241"/>
      <c r="AT23" s="241"/>
      <c r="AU23" s="242"/>
      <c r="AV23" s="254"/>
      <c r="AW23" s="251"/>
      <c r="AX23" s="241"/>
      <c r="AY23" s="241"/>
      <c r="AZ23" s="254"/>
      <c r="BA23" s="251"/>
      <c r="BB23" s="241"/>
      <c r="BC23" s="241"/>
      <c r="BD23" s="254"/>
      <c r="BE23" s="251"/>
      <c r="BF23" s="241"/>
      <c r="BG23" s="241"/>
      <c r="BH23" s="254"/>
      <c r="BI23" s="251"/>
      <c r="BJ23" s="241"/>
      <c r="BK23" s="241"/>
      <c r="BL23" s="254"/>
      <c r="BM23" s="258">
        <f t="shared" si="0"/>
        <v>0</v>
      </c>
      <c r="BN23" s="234">
        <v>19</v>
      </c>
      <c r="BO23" s="239"/>
      <c r="BP23" s="43"/>
      <c r="BQ23" s="57"/>
      <c r="BR23" s="240"/>
      <c r="BS23" s="241"/>
      <c r="BT23" s="241"/>
      <c r="BU23" s="242"/>
      <c r="BV23" s="254"/>
      <c r="BW23" s="251"/>
      <c r="BX23" s="241"/>
      <c r="BY23" s="241"/>
      <c r="BZ23" s="242"/>
      <c r="CA23" s="251"/>
      <c r="CB23" s="241"/>
      <c r="CC23" s="241"/>
      <c r="CD23" s="241"/>
      <c r="CE23" s="254"/>
      <c r="CF23" s="240"/>
      <c r="CG23" s="241"/>
      <c r="CH23" s="242"/>
      <c r="CI23" s="242"/>
      <c r="CJ23" s="254"/>
      <c r="CK23" s="251"/>
      <c r="CL23" s="241"/>
      <c r="CM23" s="241"/>
      <c r="CN23" s="241"/>
      <c r="CO23" s="254"/>
      <c r="CP23" s="240"/>
      <c r="CQ23" s="241"/>
      <c r="CR23" s="241"/>
      <c r="CS23" s="241"/>
      <c r="CT23" s="251"/>
      <c r="CU23" s="241"/>
      <c r="CV23" s="242"/>
      <c r="CW23" s="254"/>
      <c r="CX23" s="251"/>
      <c r="CY23" s="241"/>
      <c r="CZ23" s="242"/>
      <c r="DA23" s="242"/>
      <c r="DB23" s="242"/>
      <c r="DC23" s="254"/>
      <c r="DD23" s="251"/>
      <c r="DE23" s="241"/>
      <c r="DF23" s="242"/>
      <c r="DG23" s="242"/>
      <c r="DH23" s="242"/>
      <c r="DI23" s="254"/>
      <c r="DJ23" s="251"/>
      <c r="DK23" s="241"/>
      <c r="DL23" s="241"/>
      <c r="DM23" s="254"/>
      <c r="DN23" s="251"/>
      <c r="DO23" s="241"/>
      <c r="DP23" s="241"/>
      <c r="DQ23" s="254"/>
      <c r="DR23" s="251"/>
      <c r="DS23" s="241"/>
      <c r="DT23" s="241"/>
      <c r="DU23" s="254"/>
      <c r="DV23" s="251"/>
      <c r="DW23" s="241"/>
      <c r="DX23" s="241"/>
      <c r="DY23" s="254"/>
      <c r="DZ23" s="258">
        <f t="shared" si="1"/>
        <v>0</v>
      </c>
      <c r="EA23" s="413">
        <v>19</v>
      </c>
      <c r="EB23" s="239"/>
      <c r="EC23" s="43"/>
      <c r="ED23" s="57"/>
      <c r="EE23" s="240"/>
      <c r="EF23" s="241"/>
      <c r="EG23" s="241"/>
      <c r="EH23" s="242"/>
      <c r="EI23" s="254"/>
      <c r="EJ23" s="251"/>
      <c r="EK23" s="241"/>
      <c r="EL23" s="241"/>
      <c r="EM23" s="242"/>
      <c r="EN23" s="251"/>
      <c r="EO23" s="241"/>
      <c r="EP23" s="241"/>
      <c r="EQ23" s="241"/>
      <c r="ER23" s="254"/>
      <c r="ES23" s="240"/>
      <c r="ET23" s="241"/>
      <c r="EU23" s="242"/>
      <c r="EV23" s="242"/>
      <c r="EW23" s="254"/>
      <c r="EX23" s="251"/>
      <c r="EY23" s="241"/>
      <c r="EZ23" s="241"/>
      <c r="FA23" s="241"/>
      <c r="FB23" s="254"/>
      <c r="FC23" s="240"/>
      <c r="FD23" s="241"/>
      <c r="FE23" s="241"/>
      <c r="FF23" s="241"/>
      <c r="FG23" s="251"/>
      <c r="FH23" s="241"/>
      <c r="FI23" s="242"/>
      <c r="FJ23" s="254"/>
      <c r="FK23" s="251"/>
      <c r="FL23" s="241"/>
      <c r="FM23" s="242"/>
      <c r="FN23" s="242"/>
      <c r="FO23" s="242"/>
      <c r="FP23" s="254"/>
      <c r="FQ23" s="251"/>
      <c r="FR23" s="241"/>
      <c r="FS23" s="242"/>
      <c r="FT23" s="242"/>
      <c r="FU23" s="242"/>
      <c r="FV23" s="254"/>
      <c r="FW23" s="251"/>
      <c r="FX23" s="241"/>
      <c r="FY23" s="241"/>
      <c r="FZ23" s="254"/>
      <c r="GA23" s="251"/>
      <c r="GB23" s="241"/>
      <c r="GC23" s="241"/>
      <c r="GD23" s="254"/>
      <c r="GE23" s="251"/>
      <c r="GF23" s="241"/>
      <c r="GG23" s="241"/>
      <c r="GH23" s="254"/>
      <c r="GI23" s="251"/>
      <c r="GJ23" s="241"/>
      <c r="GK23" s="241"/>
      <c r="GL23" s="254"/>
      <c r="GM23" s="258">
        <f t="shared" si="2"/>
        <v>0</v>
      </c>
      <c r="GO23" s="205">
        <f>+'RETAION-BUS'!BT23+'RETAION-BUS'!EN23+'RETAION-BUS'!HH23</f>
        <v>0</v>
      </c>
      <c r="GP23" s="204">
        <f t="shared" si="3"/>
        <v>0</v>
      </c>
      <c r="GQ23" s="274">
        <f t="shared" si="4"/>
        <v>0</v>
      </c>
    </row>
    <row r="24" spans="1:199" ht="15.75" thickBot="1">
      <c r="A24" s="238">
        <v>20</v>
      </c>
      <c r="B24" s="239"/>
      <c r="C24" s="43"/>
      <c r="D24" s="57"/>
      <c r="E24" s="240"/>
      <c r="F24" s="241"/>
      <c r="G24" s="241"/>
      <c r="H24" s="242"/>
      <c r="I24" s="242"/>
      <c r="J24" s="251"/>
      <c r="K24" s="241"/>
      <c r="L24" s="241"/>
      <c r="M24" s="242"/>
      <c r="N24" s="251"/>
      <c r="O24" s="241"/>
      <c r="P24" s="241"/>
      <c r="Q24" s="241"/>
      <c r="R24" s="254"/>
      <c r="S24" s="240"/>
      <c r="T24" s="241"/>
      <c r="U24" s="242"/>
      <c r="V24" s="242"/>
      <c r="W24" s="242"/>
      <c r="X24" s="251"/>
      <c r="Y24" s="241"/>
      <c r="Z24" s="241"/>
      <c r="AA24" s="242"/>
      <c r="AB24" s="254"/>
      <c r="AC24" s="240"/>
      <c r="AD24" s="241"/>
      <c r="AE24" s="241"/>
      <c r="AF24" s="242"/>
      <c r="AG24" s="251"/>
      <c r="AH24" s="241"/>
      <c r="AI24" s="242"/>
      <c r="AJ24" s="254"/>
      <c r="AK24" s="240"/>
      <c r="AL24" s="241"/>
      <c r="AM24" s="241"/>
      <c r="AN24" s="241"/>
      <c r="AO24" s="242"/>
      <c r="AP24" s="254"/>
      <c r="AQ24" s="240"/>
      <c r="AR24" s="241"/>
      <c r="AS24" s="241"/>
      <c r="AT24" s="241"/>
      <c r="AU24" s="242"/>
      <c r="AV24" s="254"/>
      <c r="AW24" s="251"/>
      <c r="AX24" s="241"/>
      <c r="AY24" s="241"/>
      <c r="AZ24" s="254"/>
      <c r="BA24" s="251"/>
      <c r="BB24" s="241"/>
      <c r="BC24" s="241"/>
      <c r="BD24" s="254"/>
      <c r="BE24" s="251"/>
      <c r="BF24" s="241"/>
      <c r="BG24" s="241"/>
      <c r="BH24" s="254"/>
      <c r="BI24" s="251"/>
      <c r="BJ24" s="241"/>
      <c r="BK24" s="241"/>
      <c r="BL24" s="254"/>
      <c r="BM24" s="258">
        <f t="shared" si="0"/>
        <v>0</v>
      </c>
      <c r="BN24" s="238">
        <v>20</v>
      </c>
      <c r="BO24" s="239"/>
      <c r="BP24" s="43"/>
      <c r="BQ24" s="57"/>
      <c r="BR24" s="240"/>
      <c r="BS24" s="241"/>
      <c r="BT24" s="241"/>
      <c r="BU24" s="242"/>
      <c r="BV24" s="254"/>
      <c r="BW24" s="251"/>
      <c r="BX24" s="241"/>
      <c r="BY24" s="241"/>
      <c r="BZ24" s="242"/>
      <c r="CA24" s="251"/>
      <c r="CB24" s="241"/>
      <c r="CC24" s="241"/>
      <c r="CD24" s="241"/>
      <c r="CE24" s="254"/>
      <c r="CF24" s="240"/>
      <c r="CG24" s="241"/>
      <c r="CH24" s="242"/>
      <c r="CI24" s="242"/>
      <c r="CJ24" s="254"/>
      <c r="CK24" s="251"/>
      <c r="CL24" s="241"/>
      <c r="CM24" s="241"/>
      <c r="CN24" s="241"/>
      <c r="CO24" s="254"/>
      <c r="CP24" s="240"/>
      <c r="CQ24" s="241"/>
      <c r="CR24" s="241"/>
      <c r="CS24" s="241"/>
      <c r="CT24" s="251"/>
      <c r="CU24" s="241"/>
      <c r="CV24" s="242"/>
      <c r="CW24" s="254"/>
      <c r="CX24" s="251"/>
      <c r="CY24" s="241"/>
      <c r="CZ24" s="242"/>
      <c r="DA24" s="242"/>
      <c r="DB24" s="242"/>
      <c r="DC24" s="254"/>
      <c r="DD24" s="251"/>
      <c r="DE24" s="241"/>
      <c r="DF24" s="242"/>
      <c r="DG24" s="242"/>
      <c r="DH24" s="242"/>
      <c r="DI24" s="254"/>
      <c r="DJ24" s="251"/>
      <c r="DK24" s="241"/>
      <c r="DL24" s="241"/>
      <c r="DM24" s="254"/>
      <c r="DN24" s="251"/>
      <c r="DO24" s="241"/>
      <c r="DP24" s="241"/>
      <c r="DQ24" s="254"/>
      <c r="DR24" s="251"/>
      <c r="DS24" s="241"/>
      <c r="DT24" s="241"/>
      <c r="DU24" s="254"/>
      <c r="DV24" s="251"/>
      <c r="DW24" s="241"/>
      <c r="DX24" s="241"/>
      <c r="DY24" s="254"/>
      <c r="DZ24" s="258">
        <f t="shared" si="1"/>
        <v>0</v>
      </c>
      <c r="EA24" s="238">
        <v>20</v>
      </c>
      <c r="EB24" s="239"/>
      <c r="EC24" s="43"/>
      <c r="ED24" s="57"/>
      <c r="EE24" s="240"/>
      <c r="EF24" s="241"/>
      <c r="EG24" s="241"/>
      <c r="EH24" s="242"/>
      <c r="EI24" s="254"/>
      <c r="EJ24" s="251"/>
      <c r="EK24" s="241"/>
      <c r="EL24" s="241"/>
      <c r="EM24" s="242"/>
      <c r="EN24" s="251"/>
      <c r="EO24" s="241"/>
      <c r="EP24" s="241"/>
      <c r="EQ24" s="241"/>
      <c r="ER24" s="254"/>
      <c r="ES24" s="240"/>
      <c r="ET24" s="241"/>
      <c r="EU24" s="242"/>
      <c r="EV24" s="242"/>
      <c r="EW24" s="254"/>
      <c r="EX24" s="251"/>
      <c r="EY24" s="241"/>
      <c r="EZ24" s="241"/>
      <c r="FA24" s="241"/>
      <c r="FB24" s="254"/>
      <c r="FC24" s="240"/>
      <c r="FD24" s="241"/>
      <c r="FE24" s="241"/>
      <c r="FF24" s="241"/>
      <c r="FG24" s="251"/>
      <c r="FH24" s="241"/>
      <c r="FI24" s="242"/>
      <c r="FJ24" s="254"/>
      <c r="FK24" s="251"/>
      <c r="FL24" s="241"/>
      <c r="FM24" s="242"/>
      <c r="FN24" s="242"/>
      <c r="FO24" s="242"/>
      <c r="FP24" s="254"/>
      <c r="FQ24" s="251"/>
      <c r="FR24" s="241"/>
      <c r="FS24" s="242"/>
      <c r="FT24" s="242"/>
      <c r="FU24" s="242"/>
      <c r="FV24" s="254"/>
      <c r="FW24" s="251"/>
      <c r="FX24" s="241"/>
      <c r="FY24" s="241"/>
      <c r="FZ24" s="254"/>
      <c r="GA24" s="251"/>
      <c r="GB24" s="241"/>
      <c r="GC24" s="241"/>
      <c r="GD24" s="254"/>
      <c r="GE24" s="251"/>
      <c r="GF24" s="241"/>
      <c r="GG24" s="241"/>
      <c r="GH24" s="254"/>
      <c r="GI24" s="251"/>
      <c r="GJ24" s="241"/>
      <c r="GK24" s="241"/>
      <c r="GL24" s="254"/>
      <c r="GM24" s="258">
        <f t="shared" si="2"/>
        <v>0</v>
      </c>
      <c r="GO24" s="205">
        <f>+'RETAION-BUS'!BT24+'RETAION-BUS'!EN24+'RETAION-BUS'!HH24</f>
        <v>0</v>
      </c>
      <c r="GP24" s="204">
        <f t="shared" si="3"/>
        <v>0</v>
      </c>
      <c r="GQ24" s="274">
        <f t="shared" si="4"/>
        <v>0</v>
      </c>
    </row>
    <row r="25" spans="1:199" ht="15.75" thickBot="1">
      <c r="A25" s="243">
        <v>21</v>
      </c>
      <c r="B25" s="239"/>
      <c r="C25" s="43"/>
      <c r="D25" s="57"/>
      <c r="E25" s="240"/>
      <c r="F25" s="241"/>
      <c r="G25" s="241"/>
      <c r="H25" s="242"/>
      <c r="I25" s="242"/>
      <c r="J25" s="251"/>
      <c r="K25" s="241"/>
      <c r="L25" s="241"/>
      <c r="M25" s="242"/>
      <c r="N25" s="251"/>
      <c r="O25" s="241"/>
      <c r="P25" s="241"/>
      <c r="Q25" s="241"/>
      <c r="R25" s="254"/>
      <c r="S25" s="240"/>
      <c r="T25" s="241"/>
      <c r="U25" s="242"/>
      <c r="V25" s="242"/>
      <c r="W25" s="242"/>
      <c r="X25" s="251"/>
      <c r="Y25" s="241"/>
      <c r="Z25" s="241"/>
      <c r="AA25" s="242"/>
      <c r="AB25" s="254"/>
      <c r="AC25" s="240"/>
      <c r="AD25" s="241"/>
      <c r="AE25" s="241"/>
      <c r="AF25" s="242"/>
      <c r="AG25" s="251"/>
      <c r="AH25" s="241"/>
      <c r="AI25" s="242"/>
      <c r="AJ25" s="254"/>
      <c r="AK25" s="240"/>
      <c r="AL25" s="241"/>
      <c r="AM25" s="241"/>
      <c r="AN25" s="241"/>
      <c r="AO25" s="242"/>
      <c r="AP25" s="254"/>
      <c r="AQ25" s="240"/>
      <c r="AR25" s="241"/>
      <c r="AS25" s="241"/>
      <c r="AT25" s="241"/>
      <c r="AU25" s="242"/>
      <c r="AV25" s="254"/>
      <c r="AW25" s="251"/>
      <c r="AX25" s="241"/>
      <c r="AY25" s="241"/>
      <c r="AZ25" s="254"/>
      <c r="BA25" s="251"/>
      <c r="BB25" s="241"/>
      <c r="BC25" s="241"/>
      <c r="BD25" s="254"/>
      <c r="BE25" s="251"/>
      <c r="BF25" s="241"/>
      <c r="BG25" s="241"/>
      <c r="BH25" s="254"/>
      <c r="BI25" s="251"/>
      <c r="BJ25" s="241"/>
      <c r="BK25" s="241"/>
      <c r="BL25" s="254"/>
      <c r="BM25" s="258">
        <f t="shared" si="0"/>
        <v>0</v>
      </c>
      <c r="BN25" s="243">
        <v>21</v>
      </c>
      <c r="BO25" s="239"/>
      <c r="BP25" s="43"/>
      <c r="BQ25" s="57"/>
      <c r="BR25" s="240"/>
      <c r="BS25" s="241"/>
      <c r="BT25" s="241"/>
      <c r="BU25" s="242"/>
      <c r="BV25" s="254"/>
      <c r="BW25" s="251"/>
      <c r="BX25" s="241"/>
      <c r="BY25" s="241"/>
      <c r="BZ25" s="242"/>
      <c r="CA25" s="251"/>
      <c r="CB25" s="241"/>
      <c r="CC25" s="241"/>
      <c r="CD25" s="241"/>
      <c r="CE25" s="254"/>
      <c r="CF25" s="240"/>
      <c r="CG25" s="241"/>
      <c r="CH25" s="242"/>
      <c r="CI25" s="242"/>
      <c r="CJ25" s="254"/>
      <c r="CK25" s="251"/>
      <c r="CL25" s="241"/>
      <c r="CM25" s="241"/>
      <c r="CN25" s="241"/>
      <c r="CO25" s="254"/>
      <c r="CP25" s="240"/>
      <c r="CQ25" s="241"/>
      <c r="CR25" s="241"/>
      <c r="CS25" s="242"/>
      <c r="CT25" s="251"/>
      <c r="CU25" s="241"/>
      <c r="CV25" s="242"/>
      <c r="CW25" s="254"/>
      <c r="CX25" s="251"/>
      <c r="CY25" s="241"/>
      <c r="CZ25" s="242"/>
      <c r="DA25" s="242"/>
      <c r="DB25" s="242"/>
      <c r="DC25" s="254"/>
      <c r="DD25" s="251"/>
      <c r="DE25" s="241"/>
      <c r="DF25" s="242"/>
      <c r="DG25" s="242"/>
      <c r="DH25" s="242"/>
      <c r="DI25" s="254"/>
      <c r="DJ25" s="251"/>
      <c r="DK25" s="241"/>
      <c r="DL25" s="241"/>
      <c r="DM25" s="254"/>
      <c r="DN25" s="251"/>
      <c r="DO25" s="241"/>
      <c r="DP25" s="241"/>
      <c r="DQ25" s="254"/>
      <c r="DR25" s="251"/>
      <c r="DS25" s="241"/>
      <c r="DT25" s="241"/>
      <c r="DU25" s="254"/>
      <c r="DV25" s="251"/>
      <c r="DW25" s="241"/>
      <c r="DX25" s="241"/>
      <c r="DY25" s="254"/>
      <c r="DZ25" s="258">
        <f t="shared" si="1"/>
        <v>0</v>
      </c>
      <c r="EA25" s="243">
        <v>21</v>
      </c>
      <c r="EB25" s="239"/>
      <c r="EC25" s="43"/>
      <c r="ED25" s="57"/>
      <c r="EE25" s="240"/>
      <c r="EF25" s="241"/>
      <c r="EG25" s="241"/>
      <c r="EH25" s="242"/>
      <c r="EI25" s="254"/>
      <c r="EJ25" s="251"/>
      <c r="EK25" s="241"/>
      <c r="EL25" s="241"/>
      <c r="EM25" s="242"/>
      <c r="EN25" s="251"/>
      <c r="EO25" s="241"/>
      <c r="EP25" s="241"/>
      <c r="EQ25" s="241"/>
      <c r="ER25" s="254"/>
      <c r="ES25" s="240"/>
      <c r="ET25" s="241"/>
      <c r="EU25" s="242"/>
      <c r="EV25" s="242"/>
      <c r="EW25" s="254"/>
      <c r="EX25" s="251"/>
      <c r="EY25" s="241"/>
      <c r="EZ25" s="241"/>
      <c r="FA25" s="241"/>
      <c r="FB25" s="254"/>
      <c r="FC25" s="240"/>
      <c r="FD25" s="241"/>
      <c r="FE25" s="241"/>
      <c r="FF25" s="242"/>
      <c r="FG25" s="251"/>
      <c r="FH25" s="241"/>
      <c r="FI25" s="242"/>
      <c r="FJ25" s="254"/>
      <c r="FK25" s="251"/>
      <c r="FL25" s="241"/>
      <c r="FM25" s="242"/>
      <c r="FN25" s="242"/>
      <c r="FO25" s="242"/>
      <c r="FP25" s="254"/>
      <c r="FQ25" s="251"/>
      <c r="FR25" s="241"/>
      <c r="FS25" s="242"/>
      <c r="FT25" s="242"/>
      <c r="FU25" s="242"/>
      <c r="FV25" s="254"/>
      <c r="FW25" s="251"/>
      <c r="FX25" s="241"/>
      <c r="FY25" s="241"/>
      <c r="FZ25" s="254"/>
      <c r="GA25" s="251"/>
      <c r="GB25" s="241"/>
      <c r="GC25" s="241"/>
      <c r="GD25" s="254"/>
      <c r="GE25" s="251"/>
      <c r="GF25" s="241"/>
      <c r="GG25" s="241"/>
      <c r="GH25" s="254"/>
      <c r="GI25" s="251"/>
      <c r="GJ25" s="241"/>
      <c r="GK25" s="241"/>
      <c r="GL25" s="254"/>
      <c r="GM25" s="258">
        <f t="shared" si="2"/>
        <v>0</v>
      </c>
      <c r="GO25" s="205">
        <f>+'RETAION-BUS'!BT25+'RETAION-BUS'!EN25+'RETAION-BUS'!HH25</f>
        <v>0</v>
      </c>
      <c r="GP25" s="204">
        <f t="shared" si="3"/>
        <v>0</v>
      </c>
      <c r="GQ25" s="274">
        <f t="shared" si="4"/>
        <v>0</v>
      </c>
    </row>
    <row r="26" spans="1:199" ht="15.75" thickBot="1">
      <c r="A26" s="234">
        <v>22</v>
      </c>
      <c r="B26" s="239"/>
      <c r="C26" s="43"/>
      <c r="D26" s="57"/>
      <c r="E26" s="240"/>
      <c r="F26" s="241"/>
      <c r="G26" s="241"/>
      <c r="H26" s="242"/>
      <c r="I26" s="242"/>
      <c r="J26" s="251"/>
      <c r="K26" s="241"/>
      <c r="L26" s="241"/>
      <c r="M26" s="242"/>
      <c r="N26" s="251"/>
      <c r="O26" s="241"/>
      <c r="P26" s="241"/>
      <c r="Q26" s="241"/>
      <c r="R26" s="254"/>
      <c r="S26" s="240"/>
      <c r="T26" s="241"/>
      <c r="U26" s="242"/>
      <c r="V26" s="242"/>
      <c r="W26" s="242"/>
      <c r="X26" s="251"/>
      <c r="Y26" s="241"/>
      <c r="Z26" s="241"/>
      <c r="AA26" s="242"/>
      <c r="AB26" s="254"/>
      <c r="AC26" s="240"/>
      <c r="AD26" s="241"/>
      <c r="AE26" s="241"/>
      <c r="AF26" s="242"/>
      <c r="AG26" s="251"/>
      <c r="AH26" s="241"/>
      <c r="AI26" s="242"/>
      <c r="AJ26" s="254"/>
      <c r="AK26" s="240"/>
      <c r="AL26" s="241"/>
      <c r="AM26" s="241"/>
      <c r="AN26" s="241"/>
      <c r="AO26" s="242"/>
      <c r="AP26" s="254"/>
      <c r="AQ26" s="240"/>
      <c r="AR26" s="241"/>
      <c r="AS26" s="241"/>
      <c r="AT26" s="241"/>
      <c r="AU26" s="242"/>
      <c r="AV26" s="254"/>
      <c r="AW26" s="251"/>
      <c r="AX26" s="241"/>
      <c r="AY26" s="241"/>
      <c r="AZ26" s="254"/>
      <c r="BA26" s="251"/>
      <c r="BB26" s="241"/>
      <c r="BC26" s="241"/>
      <c r="BD26" s="254"/>
      <c r="BE26" s="251"/>
      <c r="BF26" s="241"/>
      <c r="BG26" s="241"/>
      <c r="BH26" s="254"/>
      <c r="BI26" s="251"/>
      <c r="BJ26" s="241"/>
      <c r="BK26" s="241"/>
      <c r="BL26" s="254"/>
      <c r="BM26" s="258">
        <f t="shared" si="0"/>
        <v>0</v>
      </c>
      <c r="BN26" s="234">
        <v>22</v>
      </c>
      <c r="BO26" s="239"/>
      <c r="BP26" s="43"/>
      <c r="BQ26" s="57"/>
      <c r="BR26" s="240"/>
      <c r="BS26" s="241"/>
      <c r="BT26" s="241"/>
      <c r="BU26" s="242"/>
      <c r="BV26" s="254"/>
      <c r="BW26" s="251"/>
      <c r="BX26" s="241"/>
      <c r="BY26" s="241"/>
      <c r="BZ26" s="242"/>
      <c r="CA26" s="251"/>
      <c r="CB26" s="241"/>
      <c r="CC26" s="241"/>
      <c r="CD26" s="241"/>
      <c r="CE26" s="254"/>
      <c r="CF26" s="240"/>
      <c r="CG26" s="241"/>
      <c r="CH26" s="242"/>
      <c r="CI26" s="242"/>
      <c r="CJ26" s="254"/>
      <c r="CK26" s="251"/>
      <c r="CL26" s="241"/>
      <c r="CM26" s="241"/>
      <c r="CN26" s="241"/>
      <c r="CO26" s="254"/>
      <c r="CP26" s="240"/>
      <c r="CQ26" s="241"/>
      <c r="CR26" s="241"/>
      <c r="CS26" s="242"/>
      <c r="CT26" s="251"/>
      <c r="CU26" s="241"/>
      <c r="CV26" s="242"/>
      <c r="CW26" s="254"/>
      <c r="CX26" s="251"/>
      <c r="CY26" s="241"/>
      <c r="CZ26" s="242"/>
      <c r="DA26" s="242"/>
      <c r="DB26" s="242"/>
      <c r="DC26" s="254"/>
      <c r="DD26" s="251"/>
      <c r="DE26" s="241"/>
      <c r="DF26" s="242"/>
      <c r="DG26" s="242"/>
      <c r="DH26" s="242"/>
      <c r="DI26" s="254"/>
      <c r="DJ26" s="251"/>
      <c r="DK26" s="241"/>
      <c r="DL26" s="241"/>
      <c r="DM26" s="254"/>
      <c r="DN26" s="251"/>
      <c r="DO26" s="241"/>
      <c r="DP26" s="241"/>
      <c r="DQ26" s="254"/>
      <c r="DR26" s="251"/>
      <c r="DS26" s="241"/>
      <c r="DT26" s="241"/>
      <c r="DU26" s="254"/>
      <c r="DV26" s="251"/>
      <c r="DW26" s="241"/>
      <c r="DX26" s="241"/>
      <c r="DY26" s="254"/>
      <c r="DZ26" s="258">
        <f t="shared" si="1"/>
        <v>0</v>
      </c>
      <c r="EA26" s="413">
        <v>22</v>
      </c>
      <c r="EB26" s="239"/>
      <c r="EC26" s="43"/>
      <c r="ED26" s="57"/>
      <c r="EE26" s="240"/>
      <c r="EF26" s="241"/>
      <c r="EG26" s="241"/>
      <c r="EH26" s="242"/>
      <c r="EI26" s="254"/>
      <c r="EJ26" s="251"/>
      <c r="EK26" s="241"/>
      <c r="EL26" s="241"/>
      <c r="EM26" s="242"/>
      <c r="EN26" s="251"/>
      <c r="EO26" s="241"/>
      <c r="EP26" s="241"/>
      <c r="EQ26" s="241"/>
      <c r="ER26" s="254"/>
      <c r="ES26" s="240"/>
      <c r="ET26" s="241"/>
      <c r="EU26" s="242"/>
      <c r="EV26" s="242"/>
      <c r="EW26" s="254"/>
      <c r="EX26" s="251"/>
      <c r="EY26" s="241"/>
      <c r="EZ26" s="241"/>
      <c r="FA26" s="241"/>
      <c r="FB26" s="254"/>
      <c r="FC26" s="240"/>
      <c r="FD26" s="241"/>
      <c r="FE26" s="241"/>
      <c r="FF26" s="242"/>
      <c r="FG26" s="251"/>
      <c r="FH26" s="241"/>
      <c r="FI26" s="242"/>
      <c r="FJ26" s="254"/>
      <c r="FK26" s="251"/>
      <c r="FL26" s="241"/>
      <c r="FM26" s="242"/>
      <c r="FN26" s="242"/>
      <c r="FO26" s="242"/>
      <c r="FP26" s="254"/>
      <c r="FQ26" s="251"/>
      <c r="FR26" s="241"/>
      <c r="FS26" s="242"/>
      <c r="FT26" s="242"/>
      <c r="FU26" s="242"/>
      <c r="FV26" s="254"/>
      <c r="FW26" s="251"/>
      <c r="FX26" s="241"/>
      <c r="FY26" s="241"/>
      <c r="FZ26" s="254"/>
      <c r="GA26" s="251"/>
      <c r="GB26" s="241"/>
      <c r="GC26" s="241"/>
      <c r="GD26" s="254"/>
      <c r="GE26" s="251"/>
      <c r="GF26" s="241"/>
      <c r="GG26" s="241"/>
      <c r="GH26" s="254"/>
      <c r="GI26" s="251"/>
      <c r="GJ26" s="241"/>
      <c r="GK26" s="241"/>
      <c r="GL26" s="254"/>
      <c r="GM26" s="258">
        <f t="shared" si="2"/>
        <v>0</v>
      </c>
      <c r="GN26" t="s">
        <v>78</v>
      </c>
      <c r="GO26" s="205">
        <f>+'RETAION-BUS'!BT26+'RETAION-BUS'!EN26+'RETAION-BUS'!HH26</f>
        <v>0</v>
      </c>
      <c r="GP26" s="204">
        <f t="shared" si="3"/>
        <v>0</v>
      </c>
      <c r="GQ26" s="274">
        <f t="shared" si="4"/>
        <v>0</v>
      </c>
    </row>
    <row r="27" spans="1:199" ht="15.75" thickBot="1">
      <c r="A27" s="238">
        <v>23</v>
      </c>
      <c r="B27" s="239"/>
      <c r="C27" s="43"/>
      <c r="D27" s="57"/>
      <c r="E27" s="240"/>
      <c r="F27" s="241"/>
      <c r="G27" s="241"/>
      <c r="H27" s="242"/>
      <c r="I27" s="242"/>
      <c r="J27" s="251"/>
      <c r="K27" s="241"/>
      <c r="L27" s="241"/>
      <c r="M27" s="242"/>
      <c r="N27" s="251"/>
      <c r="O27" s="241"/>
      <c r="P27" s="241"/>
      <c r="Q27" s="241"/>
      <c r="R27" s="254"/>
      <c r="S27" s="240"/>
      <c r="T27" s="241"/>
      <c r="U27" s="242"/>
      <c r="V27" s="242"/>
      <c r="W27" s="242"/>
      <c r="X27" s="251"/>
      <c r="Y27" s="241"/>
      <c r="Z27" s="241"/>
      <c r="AA27" s="242"/>
      <c r="AB27" s="254"/>
      <c r="AC27" s="240"/>
      <c r="AD27" s="241"/>
      <c r="AE27" s="241"/>
      <c r="AF27" s="242"/>
      <c r="AG27" s="251"/>
      <c r="AH27" s="241"/>
      <c r="AI27" s="242"/>
      <c r="AJ27" s="254"/>
      <c r="AK27" s="240"/>
      <c r="AL27" s="241"/>
      <c r="AM27" s="241"/>
      <c r="AN27" s="241"/>
      <c r="AO27" s="242"/>
      <c r="AP27" s="254"/>
      <c r="AQ27" s="240"/>
      <c r="AR27" s="241"/>
      <c r="AS27" s="241"/>
      <c r="AT27" s="241"/>
      <c r="AU27" s="242"/>
      <c r="AV27" s="254"/>
      <c r="AW27" s="251"/>
      <c r="AX27" s="241"/>
      <c r="AY27" s="241"/>
      <c r="AZ27" s="254"/>
      <c r="BA27" s="251"/>
      <c r="BB27" s="241"/>
      <c r="BC27" s="241"/>
      <c r="BD27" s="254"/>
      <c r="BE27" s="251"/>
      <c r="BF27" s="241"/>
      <c r="BG27" s="241"/>
      <c r="BH27" s="254"/>
      <c r="BI27" s="251"/>
      <c r="BJ27" s="241"/>
      <c r="BK27" s="241"/>
      <c r="BL27" s="254"/>
      <c r="BM27" s="258">
        <f t="shared" si="0"/>
        <v>0</v>
      </c>
      <c r="BN27" s="238">
        <v>23</v>
      </c>
      <c r="BO27" s="239"/>
      <c r="BP27" s="43"/>
      <c r="BQ27" s="57"/>
      <c r="BR27" s="240"/>
      <c r="BS27" s="241"/>
      <c r="BT27" s="241"/>
      <c r="BU27" s="242"/>
      <c r="BV27" s="254"/>
      <c r="BW27" s="251"/>
      <c r="BX27" s="241"/>
      <c r="BY27" s="241"/>
      <c r="BZ27" s="242"/>
      <c r="CA27" s="251"/>
      <c r="CB27" s="241"/>
      <c r="CC27" s="241"/>
      <c r="CD27" s="241"/>
      <c r="CE27" s="254"/>
      <c r="CF27" s="240"/>
      <c r="CG27" s="241"/>
      <c r="CH27" s="242"/>
      <c r="CI27" s="242"/>
      <c r="CJ27" s="254"/>
      <c r="CK27" s="251"/>
      <c r="CL27" s="241"/>
      <c r="CM27" s="241"/>
      <c r="CN27" s="241"/>
      <c r="CO27" s="254"/>
      <c r="CP27" s="240"/>
      <c r="CQ27" s="241"/>
      <c r="CR27" s="241"/>
      <c r="CS27" s="242"/>
      <c r="CT27" s="251"/>
      <c r="CU27" s="241"/>
      <c r="CV27" s="242"/>
      <c r="CW27" s="254"/>
      <c r="CX27" s="251"/>
      <c r="CY27" s="241"/>
      <c r="CZ27" s="242"/>
      <c r="DA27" s="242"/>
      <c r="DB27" s="242"/>
      <c r="DC27" s="254"/>
      <c r="DD27" s="251"/>
      <c r="DE27" s="241"/>
      <c r="DF27" s="242"/>
      <c r="DG27" s="242"/>
      <c r="DH27" s="242"/>
      <c r="DI27" s="254"/>
      <c r="DJ27" s="251"/>
      <c r="DK27" s="241"/>
      <c r="DL27" s="241"/>
      <c r="DM27" s="254"/>
      <c r="DN27" s="251"/>
      <c r="DO27" s="241"/>
      <c r="DP27" s="241"/>
      <c r="DQ27" s="254"/>
      <c r="DR27" s="251"/>
      <c r="DS27" s="241"/>
      <c r="DT27" s="241"/>
      <c r="DU27" s="254"/>
      <c r="DV27" s="251"/>
      <c r="DW27" s="241"/>
      <c r="DX27" s="241"/>
      <c r="DY27" s="254"/>
      <c r="DZ27" s="258">
        <f t="shared" si="1"/>
        <v>0</v>
      </c>
      <c r="EA27" s="238">
        <v>23</v>
      </c>
      <c r="EB27" s="239"/>
      <c r="EC27" s="43"/>
      <c r="ED27" s="57"/>
      <c r="EE27" s="240"/>
      <c r="EF27" s="241"/>
      <c r="EG27" s="241"/>
      <c r="EH27" s="242"/>
      <c r="EI27" s="254"/>
      <c r="EJ27" s="251"/>
      <c r="EK27" s="241"/>
      <c r="EL27" s="241"/>
      <c r="EM27" s="242"/>
      <c r="EN27" s="251"/>
      <c r="EO27" s="241"/>
      <c r="EP27" s="241"/>
      <c r="EQ27" s="241"/>
      <c r="ER27" s="254"/>
      <c r="ES27" s="240"/>
      <c r="ET27" s="241"/>
      <c r="EU27" s="242"/>
      <c r="EV27" s="242"/>
      <c r="EW27" s="254"/>
      <c r="EX27" s="251"/>
      <c r="EY27" s="241"/>
      <c r="EZ27" s="241"/>
      <c r="FA27" s="241"/>
      <c r="FB27" s="254"/>
      <c r="FC27" s="240"/>
      <c r="FD27" s="241"/>
      <c r="FE27" s="241"/>
      <c r="FF27" s="242"/>
      <c r="FG27" s="251"/>
      <c r="FH27" s="241"/>
      <c r="FI27" s="242"/>
      <c r="FJ27" s="254"/>
      <c r="FK27" s="251"/>
      <c r="FL27" s="241"/>
      <c r="FM27" s="242"/>
      <c r="FN27" s="242"/>
      <c r="FO27" s="242"/>
      <c r="FP27" s="254"/>
      <c r="FQ27" s="251"/>
      <c r="FR27" s="241"/>
      <c r="FS27" s="242"/>
      <c r="FT27" s="242"/>
      <c r="FU27" s="242"/>
      <c r="FV27" s="254"/>
      <c r="FW27" s="251"/>
      <c r="FX27" s="241"/>
      <c r="FY27" s="241"/>
      <c r="FZ27" s="254"/>
      <c r="GA27" s="251"/>
      <c r="GB27" s="241"/>
      <c r="GC27" s="241"/>
      <c r="GD27" s="254"/>
      <c r="GE27" s="251"/>
      <c r="GF27" s="241"/>
      <c r="GG27" s="241"/>
      <c r="GH27" s="254"/>
      <c r="GI27" s="251"/>
      <c r="GJ27" s="241"/>
      <c r="GK27" s="241"/>
      <c r="GL27" s="254"/>
      <c r="GM27" s="258">
        <f t="shared" si="2"/>
        <v>0</v>
      </c>
      <c r="GO27" s="205">
        <f>+'RETAION-BUS'!BT27+'RETAION-BUS'!EN27+'RETAION-BUS'!HH27</f>
        <v>0</v>
      </c>
      <c r="GP27" s="204">
        <f t="shared" si="3"/>
        <v>0</v>
      </c>
      <c r="GQ27" s="274">
        <f t="shared" si="4"/>
        <v>0</v>
      </c>
    </row>
    <row r="28" spans="1:199" ht="15.75" thickBot="1">
      <c r="A28" s="243">
        <v>24</v>
      </c>
      <c r="B28" s="239"/>
      <c r="C28" s="43"/>
      <c r="D28" s="57"/>
      <c r="E28" s="240"/>
      <c r="F28" s="241"/>
      <c r="G28" s="241"/>
      <c r="H28" s="242"/>
      <c r="I28" s="242"/>
      <c r="J28" s="251"/>
      <c r="K28" s="241"/>
      <c r="L28" s="241"/>
      <c r="M28" s="242"/>
      <c r="N28" s="251"/>
      <c r="O28" s="241"/>
      <c r="P28" s="241"/>
      <c r="Q28" s="241"/>
      <c r="R28" s="254"/>
      <c r="S28" s="240"/>
      <c r="T28" s="241"/>
      <c r="U28" s="242"/>
      <c r="V28" s="242"/>
      <c r="W28" s="242"/>
      <c r="X28" s="251"/>
      <c r="Y28" s="241"/>
      <c r="Z28" s="241"/>
      <c r="AA28" s="242"/>
      <c r="AB28" s="254"/>
      <c r="AC28" s="240"/>
      <c r="AD28" s="241"/>
      <c r="AE28" s="241"/>
      <c r="AF28" s="242"/>
      <c r="AG28" s="251"/>
      <c r="AH28" s="241"/>
      <c r="AI28" s="242"/>
      <c r="AJ28" s="254"/>
      <c r="AK28" s="240"/>
      <c r="AL28" s="241"/>
      <c r="AM28" s="241"/>
      <c r="AN28" s="241"/>
      <c r="AO28" s="242"/>
      <c r="AP28" s="254"/>
      <c r="AQ28" s="240"/>
      <c r="AR28" s="241"/>
      <c r="AS28" s="241"/>
      <c r="AT28" s="241"/>
      <c r="AU28" s="242"/>
      <c r="AV28" s="254"/>
      <c r="AW28" s="251"/>
      <c r="AX28" s="241"/>
      <c r="AY28" s="241"/>
      <c r="AZ28" s="254"/>
      <c r="BA28" s="251"/>
      <c r="BB28" s="241"/>
      <c r="BC28" s="241"/>
      <c r="BD28" s="254"/>
      <c r="BE28" s="251"/>
      <c r="BF28" s="241"/>
      <c r="BG28" s="241"/>
      <c r="BH28" s="254"/>
      <c r="BI28" s="251"/>
      <c r="BJ28" s="241"/>
      <c r="BK28" s="241"/>
      <c r="BL28" s="254"/>
      <c r="BM28" s="258">
        <f t="shared" si="0"/>
        <v>0</v>
      </c>
      <c r="BN28" s="243">
        <v>24</v>
      </c>
      <c r="BO28" s="239"/>
      <c r="BP28" s="43"/>
      <c r="BQ28" s="57"/>
      <c r="BR28" s="240"/>
      <c r="BS28" s="241"/>
      <c r="BT28" s="241"/>
      <c r="BU28" s="242"/>
      <c r="BV28" s="254"/>
      <c r="BW28" s="251"/>
      <c r="BX28" s="241"/>
      <c r="BY28" s="241"/>
      <c r="BZ28" s="242"/>
      <c r="CA28" s="251"/>
      <c r="CB28" s="241"/>
      <c r="CC28" s="241"/>
      <c r="CD28" s="241"/>
      <c r="CE28" s="254"/>
      <c r="CF28" s="240"/>
      <c r="CG28" s="241"/>
      <c r="CH28" s="242"/>
      <c r="CI28" s="242"/>
      <c r="CJ28" s="254"/>
      <c r="CK28" s="251"/>
      <c r="CL28" s="241"/>
      <c r="CM28" s="241"/>
      <c r="CN28" s="241"/>
      <c r="CO28" s="254"/>
      <c r="CP28" s="240"/>
      <c r="CQ28" s="241"/>
      <c r="CR28" s="241"/>
      <c r="CS28" s="242"/>
      <c r="CT28" s="251"/>
      <c r="CU28" s="241"/>
      <c r="CV28" s="242"/>
      <c r="CW28" s="254"/>
      <c r="CX28" s="251"/>
      <c r="CY28" s="241"/>
      <c r="CZ28" s="242"/>
      <c r="DA28" s="242"/>
      <c r="DB28" s="242"/>
      <c r="DC28" s="254"/>
      <c r="DD28" s="251"/>
      <c r="DE28" s="241"/>
      <c r="DF28" s="242"/>
      <c r="DG28" s="242"/>
      <c r="DH28" s="242"/>
      <c r="DI28" s="254"/>
      <c r="DJ28" s="251"/>
      <c r="DK28" s="241"/>
      <c r="DL28" s="241"/>
      <c r="DM28" s="254"/>
      <c r="DN28" s="251"/>
      <c r="DO28" s="241"/>
      <c r="DP28" s="241"/>
      <c r="DQ28" s="254"/>
      <c r="DR28" s="251"/>
      <c r="DS28" s="241"/>
      <c r="DT28" s="241"/>
      <c r="DU28" s="254"/>
      <c r="DV28" s="251"/>
      <c r="DW28" s="241"/>
      <c r="DX28" s="241"/>
      <c r="DY28" s="254"/>
      <c r="DZ28" s="258">
        <f t="shared" si="1"/>
        <v>0</v>
      </c>
      <c r="EA28" s="243">
        <v>24</v>
      </c>
      <c r="EB28" s="239"/>
      <c r="EC28" s="43"/>
      <c r="ED28" s="57"/>
      <c r="EE28" s="240"/>
      <c r="EF28" s="241"/>
      <c r="EG28" s="241"/>
      <c r="EH28" s="242"/>
      <c r="EI28" s="254"/>
      <c r="EJ28" s="251"/>
      <c r="EK28" s="241"/>
      <c r="EL28" s="241"/>
      <c r="EM28" s="242"/>
      <c r="EN28" s="251"/>
      <c r="EO28" s="241"/>
      <c r="EP28" s="241"/>
      <c r="EQ28" s="241"/>
      <c r="ER28" s="254"/>
      <c r="ES28" s="240"/>
      <c r="ET28" s="241"/>
      <c r="EU28" s="242"/>
      <c r="EV28" s="242"/>
      <c r="EW28" s="254"/>
      <c r="EX28" s="251"/>
      <c r="EY28" s="241"/>
      <c r="EZ28" s="241"/>
      <c r="FA28" s="241"/>
      <c r="FB28" s="254"/>
      <c r="FC28" s="240"/>
      <c r="FD28" s="241"/>
      <c r="FE28" s="241"/>
      <c r="FF28" s="242"/>
      <c r="FG28" s="251"/>
      <c r="FH28" s="241"/>
      <c r="FI28" s="242"/>
      <c r="FJ28" s="254"/>
      <c r="FK28" s="251"/>
      <c r="FL28" s="241"/>
      <c r="FM28" s="242"/>
      <c r="FN28" s="242"/>
      <c r="FO28" s="242"/>
      <c r="FP28" s="254"/>
      <c r="FQ28" s="251"/>
      <c r="FR28" s="241"/>
      <c r="FS28" s="242"/>
      <c r="FT28" s="242"/>
      <c r="FU28" s="242"/>
      <c r="FV28" s="254"/>
      <c r="FW28" s="251"/>
      <c r="FX28" s="241"/>
      <c r="FY28" s="241"/>
      <c r="FZ28" s="254"/>
      <c r="GA28" s="251"/>
      <c r="GB28" s="241"/>
      <c r="GC28" s="241"/>
      <c r="GD28" s="254"/>
      <c r="GE28" s="251"/>
      <c r="GF28" s="241"/>
      <c r="GG28" s="241"/>
      <c r="GH28" s="254"/>
      <c r="GI28" s="251"/>
      <c r="GJ28" s="241"/>
      <c r="GK28" s="241"/>
      <c r="GL28" s="254"/>
      <c r="GM28" s="258">
        <f t="shared" si="2"/>
        <v>0</v>
      </c>
      <c r="GO28" s="205">
        <f>+'RETAION-BUS'!BT28+'RETAION-BUS'!EN28+'RETAION-BUS'!HH28</f>
        <v>0</v>
      </c>
      <c r="GP28" s="204">
        <f t="shared" si="3"/>
        <v>0</v>
      </c>
      <c r="GQ28" s="274">
        <f t="shared" si="4"/>
        <v>0</v>
      </c>
    </row>
    <row r="29" spans="1:199" ht="15.75" thickBot="1">
      <c r="A29" s="234">
        <v>25</v>
      </c>
      <c r="B29" s="239"/>
      <c r="C29" s="43"/>
      <c r="D29" s="57"/>
      <c r="E29" s="240"/>
      <c r="F29" s="241"/>
      <c r="G29" s="241"/>
      <c r="H29" s="242"/>
      <c r="I29" s="242"/>
      <c r="J29" s="251"/>
      <c r="K29" s="241"/>
      <c r="L29" s="241"/>
      <c r="M29" s="242"/>
      <c r="N29" s="251"/>
      <c r="O29" s="241"/>
      <c r="P29" s="241"/>
      <c r="Q29" s="241"/>
      <c r="R29" s="254"/>
      <c r="S29" s="240"/>
      <c r="T29" s="241"/>
      <c r="U29" s="242"/>
      <c r="V29" s="242"/>
      <c r="W29" s="242"/>
      <c r="X29" s="251"/>
      <c r="Y29" s="241"/>
      <c r="Z29" s="241"/>
      <c r="AA29" s="242"/>
      <c r="AB29" s="254"/>
      <c r="AC29" s="240"/>
      <c r="AD29" s="241"/>
      <c r="AE29" s="241"/>
      <c r="AF29" s="242"/>
      <c r="AG29" s="251"/>
      <c r="AH29" s="241"/>
      <c r="AI29" s="242"/>
      <c r="AJ29" s="254"/>
      <c r="AK29" s="240"/>
      <c r="AL29" s="241"/>
      <c r="AM29" s="241"/>
      <c r="AN29" s="241"/>
      <c r="AO29" s="242"/>
      <c r="AP29" s="254"/>
      <c r="AQ29" s="240"/>
      <c r="AR29" s="241"/>
      <c r="AS29" s="241"/>
      <c r="AT29" s="241"/>
      <c r="AU29" s="242"/>
      <c r="AV29" s="254"/>
      <c r="AW29" s="251"/>
      <c r="AX29" s="241"/>
      <c r="AY29" s="241"/>
      <c r="AZ29" s="254"/>
      <c r="BA29" s="251"/>
      <c r="BB29" s="241"/>
      <c r="BC29" s="241"/>
      <c r="BD29" s="254"/>
      <c r="BE29" s="251"/>
      <c r="BF29" s="241"/>
      <c r="BG29" s="241"/>
      <c r="BH29" s="254"/>
      <c r="BI29" s="251"/>
      <c r="BJ29" s="241"/>
      <c r="BK29" s="241"/>
      <c r="BL29" s="254"/>
      <c r="BM29" s="258">
        <f t="shared" si="0"/>
        <v>0</v>
      </c>
      <c r="BN29" s="234">
        <v>25</v>
      </c>
      <c r="BO29" s="239"/>
      <c r="BP29" s="43"/>
      <c r="BQ29" s="57"/>
      <c r="BR29" s="240"/>
      <c r="BS29" s="241"/>
      <c r="BT29" s="241"/>
      <c r="BU29" s="242"/>
      <c r="BV29" s="254"/>
      <c r="BW29" s="251"/>
      <c r="BX29" s="241"/>
      <c r="BY29" s="241"/>
      <c r="BZ29" s="242"/>
      <c r="CA29" s="251"/>
      <c r="CB29" s="241"/>
      <c r="CC29" s="241"/>
      <c r="CD29" s="241"/>
      <c r="CE29" s="254"/>
      <c r="CF29" s="240"/>
      <c r="CG29" s="241"/>
      <c r="CH29" s="242"/>
      <c r="CI29" s="242"/>
      <c r="CJ29" s="254"/>
      <c r="CK29" s="251"/>
      <c r="CL29" s="241"/>
      <c r="CM29" s="241"/>
      <c r="CN29" s="241"/>
      <c r="CO29" s="254"/>
      <c r="CP29" s="240"/>
      <c r="CQ29" s="241"/>
      <c r="CR29" s="241"/>
      <c r="CS29" s="242"/>
      <c r="CT29" s="251"/>
      <c r="CU29" s="241"/>
      <c r="CV29" s="242"/>
      <c r="CW29" s="254"/>
      <c r="CX29" s="251"/>
      <c r="CY29" s="241"/>
      <c r="CZ29" s="242"/>
      <c r="DA29" s="242"/>
      <c r="DB29" s="242"/>
      <c r="DC29" s="254"/>
      <c r="DD29" s="251"/>
      <c r="DE29" s="241"/>
      <c r="DF29" s="242"/>
      <c r="DG29" s="242"/>
      <c r="DH29" s="242"/>
      <c r="DI29" s="254"/>
      <c r="DJ29" s="251"/>
      <c r="DK29" s="241"/>
      <c r="DL29" s="241"/>
      <c r="DM29" s="254"/>
      <c r="DN29" s="251"/>
      <c r="DO29" s="241"/>
      <c r="DP29" s="241"/>
      <c r="DQ29" s="254"/>
      <c r="DR29" s="251"/>
      <c r="DS29" s="241"/>
      <c r="DT29" s="241"/>
      <c r="DU29" s="254"/>
      <c r="DV29" s="251"/>
      <c r="DW29" s="241"/>
      <c r="DX29" s="241"/>
      <c r="DY29" s="254"/>
      <c r="DZ29" s="258">
        <f t="shared" si="1"/>
        <v>0</v>
      </c>
      <c r="EA29" s="413">
        <v>25</v>
      </c>
      <c r="EB29" s="239"/>
      <c r="EC29" s="43"/>
      <c r="ED29" s="57"/>
      <c r="EE29" s="240"/>
      <c r="EF29" s="241"/>
      <c r="EG29" s="241"/>
      <c r="EH29" s="242"/>
      <c r="EI29" s="254"/>
      <c r="EJ29" s="251"/>
      <c r="EK29" s="241"/>
      <c r="EL29" s="241"/>
      <c r="EM29" s="242"/>
      <c r="EN29" s="251"/>
      <c r="EO29" s="241"/>
      <c r="EP29" s="241"/>
      <c r="EQ29" s="241"/>
      <c r="ER29" s="254"/>
      <c r="ES29" s="240"/>
      <c r="ET29" s="241"/>
      <c r="EU29" s="242"/>
      <c r="EV29" s="242"/>
      <c r="EW29" s="254"/>
      <c r="EX29" s="251"/>
      <c r="EY29" s="241"/>
      <c r="EZ29" s="241"/>
      <c r="FA29" s="241"/>
      <c r="FB29" s="254"/>
      <c r="FC29" s="240"/>
      <c r="FD29" s="241"/>
      <c r="FE29" s="241"/>
      <c r="FF29" s="242"/>
      <c r="FG29" s="251"/>
      <c r="FH29" s="241"/>
      <c r="FI29" s="242"/>
      <c r="FJ29" s="254"/>
      <c r="FK29" s="251"/>
      <c r="FL29" s="241"/>
      <c r="FM29" s="242"/>
      <c r="FN29" s="242"/>
      <c r="FO29" s="242"/>
      <c r="FP29" s="254"/>
      <c r="FQ29" s="251"/>
      <c r="FR29" s="241"/>
      <c r="FS29" s="242"/>
      <c r="FT29" s="242"/>
      <c r="FU29" s="242"/>
      <c r="FV29" s="254"/>
      <c r="FW29" s="251"/>
      <c r="FX29" s="241"/>
      <c r="FY29" s="241"/>
      <c r="FZ29" s="254"/>
      <c r="GA29" s="251"/>
      <c r="GB29" s="241"/>
      <c r="GC29" s="241"/>
      <c r="GD29" s="254"/>
      <c r="GE29" s="251"/>
      <c r="GF29" s="241"/>
      <c r="GG29" s="241"/>
      <c r="GH29" s="254"/>
      <c r="GI29" s="251"/>
      <c r="GJ29" s="241"/>
      <c r="GK29" s="241"/>
      <c r="GL29" s="254"/>
      <c r="GM29" s="258">
        <f t="shared" si="2"/>
        <v>0</v>
      </c>
      <c r="GO29" s="205">
        <f>+'RETAION-BUS'!BT29+'RETAION-BUS'!EN29+'RETAION-BUS'!HH29</f>
        <v>0</v>
      </c>
      <c r="GP29" s="204">
        <f t="shared" si="3"/>
        <v>0</v>
      </c>
      <c r="GQ29" s="274">
        <f t="shared" si="4"/>
        <v>0</v>
      </c>
    </row>
    <row r="30" spans="1:199" ht="15.75" thickBot="1">
      <c r="A30" s="238">
        <v>26</v>
      </c>
      <c r="B30" s="239"/>
      <c r="C30" s="43"/>
      <c r="D30" s="57"/>
      <c r="E30" s="240"/>
      <c r="F30" s="241"/>
      <c r="G30" s="241"/>
      <c r="H30" s="242"/>
      <c r="I30" s="242"/>
      <c r="J30" s="251"/>
      <c r="K30" s="241"/>
      <c r="L30" s="241"/>
      <c r="M30" s="242"/>
      <c r="N30" s="251"/>
      <c r="O30" s="241"/>
      <c r="P30" s="241"/>
      <c r="Q30" s="241"/>
      <c r="R30" s="254"/>
      <c r="S30" s="240"/>
      <c r="T30" s="241"/>
      <c r="U30" s="242"/>
      <c r="V30" s="242"/>
      <c r="W30" s="242"/>
      <c r="X30" s="251"/>
      <c r="Y30" s="241"/>
      <c r="Z30" s="241"/>
      <c r="AA30" s="242"/>
      <c r="AB30" s="254"/>
      <c r="AC30" s="240"/>
      <c r="AD30" s="241"/>
      <c r="AE30" s="241"/>
      <c r="AF30" s="242"/>
      <c r="AG30" s="251"/>
      <c r="AH30" s="241"/>
      <c r="AI30" s="242"/>
      <c r="AJ30" s="254"/>
      <c r="AK30" s="240"/>
      <c r="AL30" s="241"/>
      <c r="AM30" s="241"/>
      <c r="AN30" s="241"/>
      <c r="AO30" s="242"/>
      <c r="AP30" s="254"/>
      <c r="AQ30" s="240"/>
      <c r="AR30" s="241"/>
      <c r="AS30" s="241"/>
      <c r="AT30" s="241"/>
      <c r="AU30" s="242"/>
      <c r="AV30" s="254"/>
      <c r="AW30" s="251"/>
      <c r="AX30" s="241"/>
      <c r="AY30" s="241"/>
      <c r="AZ30" s="254"/>
      <c r="BA30" s="251"/>
      <c r="BB30" s="241"/>
      <c r="BC30" s="241"/>
      <c r="BD30" s="254"/>
      <c r="BE30" s="251"/>
      <c r="BF30" s="241"/>
      <c r="BG30" s="241"/>
      <c r="BH30" s="254"/>
      <c r="BI30" s="251"/>
      <c r="BJ30" s="241"/>
      <c r="BK30" s="241"/>
      <c r="BL30" s="254"/>
      <c r="BM30" s="258">
        <f t="shared" si="0"/>
        <v>0</v>
      </c>
      <c r="BN30" s="238">
        <v>26</v>
      </c>
      <c r="BO30" s="239"/>
      <c r="BP30" s="43"/>
      <c r="BQ30" s="57"/>
      <c r="BR30" s="240"/>
      <c r="BS30" s="241"/>
      <c r="BT30" s="241"/>
      <c r="BU30" s="242"/>
      <c r="BV30" s="254"/>
      <c r="BW30" s="251"/>
      <c r="BX30" s="241"/>
      <c r="BY30" s="241"/>
      <c r="BZ30" s="242"/>
      <c r="CA30" s="251"/>
      <c r="CB30" s="241"/>
      <c r="CC30" s="241"/>
      <c r="CD30" s="241"/>
      <c r="CE30" s="254"/>
      <c r="CF30" s="240"/>
      <c r="CG30" s="241"/>
      <c r="CH30" s="242"/>
      <c r="CI30" s="242"/>
      <c r="CJ30" s="254"/>
      <c r="CK30" s="251"/>
      <c r="CL30" s="241"/>
      <c r="CM30" s="241"/>
      <c r="CN30" s="241"/>
      <c r="CO30" s="254"/>
      <c r="CP30" s="240"/>
      <c r="CQ30" s="241"/>
      <c r="CR30" s="241"/>
      <c r="CS30" s="242"/>
      <c r="CT30" s="251"/>
      <c r="CU30" s="241"/>
      <c r="CV30" s="242"/>
      <c r="CW30" s="254"/>
      <c r="CX30" s="251"/>
      <c r="CY30" s="241"/>
      <c r="CZ30" s="242"/>
      <c r="DA30" s="242"/>
      <c r="DB30" s="242"/>
      <c r="DC30" s="254"/>
      <c r="DD30" s="251"/>
      <c r="DE30" s="241"/>
      <c r="DF30" s="242"/>
      <c r="DG30" s="242"/>
      <c r="DH30" s="242"/>
      <c r="DI30" s="254"/>
      <c r="DJ30" s="251"/>
      <c r="DK30" s="241"/>
      <c r="DL30" s="241"/>
      <c r="DM30" s="254"/>
      <c r="DN30" s="251"/>
      <c r="DO30" s="241"/>
      <c r="DP30" s="241"/>
      <c r="DQ30" s="254"/>
      <c r="DR30" s="251"/>
      <c r="DS30" s="241"/>
      <c r="DT30" s="241"/>
      <c r="DU30" s="254"/>
      <c r="DV30" s="251"/>
      <c r="DW30" s="241"/>
      <c r="DX30" s="241"/>
      <c r="DY30" s="254"/>
      <c r="DZ30" s="258">
        <f t="shared" si="1"/>
        <v>0</v>
      </c>
      <c r="EA30" s="238">
        <v>26</v>
      </c>
      <c r="EB30" s="239"/>
      <c r="EC30" s="43"/>
      <c r="ED30" s="57"/>
      <c r="EE30" s="240"/>
      <c r="EF30" s="241"/>
      <c r="EG30" s="241"/>
      <c r="EH30" s="242"/>
      <c r="EI30" s="254"/>
      <c r="EJ30" s="251"/>
      <c r="EK30" s="241"/>
      <c r="EL30" s="241"/>
      <c r="EM30" s="242"/>
      <c r="EN30" s="251"/>
      <c r="EO30" s="241"/>
      <c r="EP30" s="241"/>
      <c r="EQ30" s="241"/>
      <c r="ER30" s="254"/>
      <c r="ES30" s="240"/>
      <c r="ET30" s="241"/>
      <c r="EU30" s="242"/>
      <c r="EV30" s="242"/>
      <c r="EW30" s="254"/>
      <c r="EX30" s="251"/>
      <c r="EY30" s="241"/>
      <c r="EZ30" s="241"/>
      <c r="FA30" s="241"/>
      <c r="FB30" s="254"/>
      <c r="FC30" s="240"/>
      <c r="FD30" s="241"/>
      <c r="FE30" s="241"/>
      <c r="FF30" s="242"/>
      <c r="FG30" s="251"/>
      <c r="FH30" s="241"/>
      <c r="FI30" s="242"/>
      <c r="FJ30" s="254"/>
      <c r="FK30" s="251"/>
      <c r="FL30" s="241"/>
      <c r="FM30" s="242"/>
      <c r="FN30" s="242"/>
      <c r="FO30" s="242"/>
      <c r="FP30" s="254"/>
      <c r="FQ30" s="251"/>
      <c r="FR30" s="241"/>
      <c r="FS30" s="242"/>
      <c r="FT30" s="242"/>
      <c r="FU30" s="242"/>
      <c r="FV30" s="254"/>
      <c r="FW30" s="251"/>
      <c r="FX30" s="241"/>
      <c r="FY30" s="241"/>
      <c r="FZ30" s="254"/>
      <c r="GA30" s="251"/>
      <c r="GB30" s="241"/>
      <c r="GC30" s="241"/>
      <c r="GD30" s="254"/>
      <c r="GE30" s="251"/>
      <c r="GF30" s="241"/>
      <c r="GG30" s="241"/>
      <c r="GH30" s="254"/>
      <c r="GI30" s="251"/>
      <c r="GJ30" s="241"/>
      <c r="GK30" s="241"/>
      <c r="GL30" s="254"/>
      <c r="GM30" s="258">
        <f t="shared" si="2"/>
        <v>0</v>
      </c>
      <c r="GO30" s="205">
        <f>+'RETAION-BUS'!BT30+'RETAION-BUS'!EN30+'RETAION-BUS'!HH30</f>
        <v>0</v>
      </c>
      <c r="GP30" s="204">
        <f t="shared" si="3"/>
        <v>0</v>
      </c>
      <c r="GQ30" s="274">
        <f t="shared" si="4"/>
        <v>0</v>
      </c>
    </row>
    <row r="31" spans="1:199" ht="15.75" thickBot="1">
      <c r="A31" s="243">
        <v>27</v>
      </c>
      <c r="B31" s="239"/>
      <c r="C31" s="43"/>
      <c r="D31" s="57"/>
      <c r="E31" s="240"/>
      <c r="F31" s="241"/>
      <c r="G31" s="241"/>
      <c r="H31" s="242"/>
      <c r="I31" s="242"/>
      <c r="J31" s="251"/>
      <c r="K31" s="241"/>
      <c r="L31" s="241"/>
      <c r="M31" s="242"/>
      <c r="N31" s="251"/>
      <c r="O31" s="241"/>
      <c r="P31" s="241"/>
      <c r="Q31" s="241"/>
      <c r="R31" s="254"/>
      <c r="S31" s="240"/>
      <c r="T31" s="241"/>
      <c r="U31" s="242"/>
      <c r="V31" s="242"/>
      <c r="W31" s="242"/>
      <c r="X31" s="251"/>
      <c r="Y31" s="241"/>
      <c r="Z31" s="241"/>
      <c r="AA31" s="242"/>
      <c r="AB31" s="254"/>
      <c r="AC31" s="240"/>
      <c r="AD31" s="241"/>
      <c r="AE31" s="241"/>
      <c r="AF31" s="242"/>
      <c r="AG31" s="251"/>
      <c r="AH31" s="241"/>
      <c r="AI31" s="242"/>
      <c r="AJ31" s="254"/>
      <c r="AK31" s="240"/>
      <c r="AL31" s="241"/>
      <c r="AM31" s="241"/>
      <c r="AN31" s="241"/>
      <c r="AO31" s="242"/>
      <c r="AP31" s="254"/>
      <c r="AQ31" s="240"/>
      <c r="AR31" s="241"/>
      <c r="AS31" s="241"/>
      <c r="AT31" s="241"/>
      <c r="AU31" s="242"/>
      <c r="AV31" s="254"/>
      <c r="AW31" s="251"/>
      <c r="AX31" s="241"/>
      <c r="AY31" s="241"/>
      <c r="AZ31" s="254"/>
      <c r="BA31" s="251"/>
      <c r="BB31" s="241"/>
      <c r="BC31" s="241"/>
      <c r="BD31" s="254"/>
      <c r="BE31" s="251"/>
      <c r="BF31" s="241"/>
      <c r="BG31" s="241"/>
      <c r="BH31" s="254"/>
      <c r="BI31" s="251"/>
      <c r="BJ31" s="241"/>
      <c r="BK31" s="241"/>
      <c r="BL31" s="254"/>
      <c r="BM31" s="258">
        <f t="shared" si="0"/>
        <v>0</v>
      </c>
      <c r="BN31" s="243">
        <v>27</v>
      </c>
      <c r="BO31" s="239"/>
      <c r="BP31" s="43"/>
      <c r="BQ31" s="57"/>
      <c r="BR31" s="240"/>
      <c r="BS31" s="241"/>
      <c r="BT31" s="241"/>
      <c r="BU31" s="242"/>
      <c r="BV31" s="254"/>
      <c r="BW31" s="251"/>
      <c r="BX31" s="241"/>
      <c r="BY31" s="241"/>
      <c r="BZ31" s="242"/>
      <c r="CA31" s="251"/>
      <c r="CB31" s="241"/>
      <c r="CC31" s="241"/>
      <c r="CD31" s="241"/>
      <c r="CE31" s="254"/>
      <c r="CF31" s="240"/>
      <c r="CG31" s="241"/>
      <c r="CH31" s="242"/>
      <c r="CI31" s="242"/>
      <c r="CJ31" s="254"/>
      <c r="CK31" s="251"/>
      <c r="CL31" s="241"/>
      <c r="CM31" s="241"/>
      <c r="CN31" s="241"/>
      <c r="CO31" s="254"/>
      <c r="CP31" s="240"/>
      <c r="CQ31" s="241"/>
      <c r="CR31" s="241"/>
      <c r="CS31" s="242"/>
      <c r="CT31" s="251"/>
      <c r="CU31" s="241"/>
      <c r="CV31" s="242"/>
      <c r="CW31" s="254"/>
      <c r="CX31" s="251"/>
      <c r="CY31" s="241"/>
      <c r="CZ31" s="242"/>
      <c r="DA31" s="242"/>
      <c r="DB31" s="242"/>
      <c r="DC31" s="254"/>
      <c r="DD31" s="251"/>
      <c r="DE31" s="241"/>
      <c r="DF31" s="242"/>
      <c r="DG31" s="242"/>
      <c r="DH31" s="242"/>
      <c r="DI31" s="254"/>
      <c r="DJ31" s="251"/>
      <c r="DK31" s="241"/>
      <c r="DL31" s="241"/>
      <c r="DM31" s="254"/>
      <c r="DN31" s="251"/>
      <c r="DO31" s="241"/>
      <c r="DP31" s="241"/>
      <c r="DQ31" s="254"/>
      <c r="DR31" s="251"/>
      <c r="DS31" s="241"/>
      <c r="DT31" s="241"/>
      <c r="DU31" s="254"/>
      <c r="DV31" s="251"/>
      <c r="DW31" s="241"/>
      <c r="DX31" s="241"/>
      <c r="DY31" s="254"/>
      <c r="DZ31" s="258">
        <f t="shared" si="1"/>
        <v>0</v>
      </c>
      <c r="EA31" s="243">
        <v>27</v>
      </c>
      <c r="EB31" s="239"/>
      <c r="EC31" s="43"/>
      <c r="ED31" s="57"/>
      <c r="EE31" s="240"/>
      <c r="EF31" s="241"/>
      <c r="EG31" s="241"/>
      <c r="EH31" s="242"/>
      <c r="EI31" s="254"/>
      <c r="EJ31" s="251"/>
      <c r="EK31" s="241"/>
      <c r="EL31" s="241"/>
      <c r="EM31" s="242"/>
      <c r="EN31" s="251"/>
      <c r="EO31" s="241"/>
      <c r="EP31" s="241"/>
      <c r="EQ31" s="241"/>
      <c r="ER31" s="254"/>
      <c r="ES31" s="240"/>
      <c r="ET31" s="241"/>
      <c r="EU31" s="242"/>
      <c r="EV31" s="242"/>
      <c r="EW31" s="254"/>
      <c r="EX31" s="251"/>
      <c r="EY31" s="241"/>
      <c r="EZ31" s="241"/>
      <c r="FA31" s="241"/>
      <c r="FB31" s="254"/>
      <c r="FC31" s="240"/>
      <c r="FD31" s="241"/>
      <c r="FE31" s="241"/>
      <c r="FF31" s="242"/>
      <c r="FG31" s="251"/>
      <c r="FH31" s="241"/>
      <c r="FI31" s="242"/>
      <c r="FJ31" s="254"/>
      <c r="FK31" s="251"/>
      <c r="FL31" s="241"/>
      <c r="FM31" s="242"/>
      <c r="FN31" s="242"/>
      <c r="FO31" s="242"/>
      <c r="FP31" s="254"/>
      <c r="FQ31" s="251"/>
      <c r="FR31" s="241"/>
      <c r="FS31" s="242"/>
      <c r="FT31" s="242"/>
      <c r="FU31" s="242"/>
      <c r="FV31" s="254"/>
      <c r="FW31" s="251"/>
      <c r="FX31" s="241"/>
      <c r="FY31" s="241"/>
      <c r="FZ31" s="254"/>
      <c r="GA31" s="251"/>
      <c r="GB31" s="241"/>
      <c r="GC31" s="241"/>
      <c r="GD31" s="254"/>
      <c r="GE31" s="251"/>
      <c r="GF31" s="241"/>
      <c r="GG31" s="241"/>
      <c r="GH31" s="254"/>
      <c r="GI31" s="251"/>
      <c r="GJ31" s="241"/>
      <c r="GK31" s="241"/>
      <c r="GL31" s="254"/>
      <c r="GM31" s="258">
        <f t="shared" si="2"/>
        <v>0</v>
      </c>
      <c r="GO31" s="205">
        <f>+'RETAION-BUS'!BT31+'RETAION-BUS'!EN31+'RETAION-BUS'!HH31</f>
        <v>0</v>
      </c>
      <c r="GP31" s="204">
        <f t="shared" si="3"/>
        <v>0</v>
      </c>
      <c r="GQ31" s="274">
        <f t="shared" si="4"/>
        <v>0</v>
      </c>
    </row>
    <row r="32" spans="1:199" ht="15.75" thickBot="1">
      <c r="A32" s="234">
        <v>28</v>
      </c>
      <c r="B32" s="239"/>
      <c r="C32" s="43"/>
      <c r="D32" s="57"/>
      <c r="E32" s="240"/>
      <c r="F32" s="241"/>
      <c r="G32" s="241"/>
      <c r="H32" s="242"/>
      <c r="I32" s="242"/>
      <c r="J32" s="251"/>
      <c r="K32" s="241"/>
      <c r="L32" s="241"/>
      <c r="M32" s="242"/>
      <c r="N32" s="251"/>
      <c r="O32" s="241"/>
      <c r="P32" s="241"/>
      <c r="Q32" s="241"/>
      <c r="R32" s="254"/>
      <c r="S32" s="240"/>
      <c r="T32" s="241"/>
      <c r="U32" s="242"/>
      <c r="V32" s="242"/>
      <c r="W32" s="242"/>
      <c r="X32" s="251"/>
      <c r="Y32" s="241"/>
      <c r="Z32" s="241"/>
      <c r="AA32" s="242"/>
      <c r="AB32" s="254"/>
      <c r="AC32" s="240"/>
      <c r="AD32" s="241"/>
      <c r="AE32" s="241"/>
      <c r="AF32" s="242"/>
      <c r="AG32" s="251"/>
      <c r="AH32" s="241"/>
      <c r="AI32" s="242"/>
      <c r="AJ32" s="254"/>
      <c r="AK32" s="240"/>
      <c r="AL32" s="241"/>
      <c r="AM32" s="241"/>
      <c r="AN32" s="241"/>
      <c r="AO32" s="242"/>
      <c r="AP32" s="254"/>
      <c r="AQ32" s="240"/>
      <c r="AR32" s="241"/>
      <c r="AS32" s="241"/>
      <c r="AT32" s="241"/>
      <c r="AU32" s="242"/>
      <c r="AV32" s="254"/>
      <c r="AW32" s="251"/>
      <c r="AX32" s="241"/>
      <c r="AY32" s="241"/>
      <c r="AZ32" s="254"/>
      <c r="BA32" s="251"/>
      <c r="BB32" s="241"/>
      <c r="BC32" s="241"/>
      <c r="BD32" s="254"/>
      <c r="BE32" s="251"/>
      <c r="BF32" s="241"/>
      <c r="BG32" s="241"/>
      <c r="BH32" s="254"/>
      <c r="BI32" s="251"/>
      <c r="BJ32" s="241"/>
      <c r="BK32" s="241"/>
      <c r="BL32" s="254"/>
      <c r="BM32" s="258">
        <f t="shared" si="0"/>
        <v>0</v>
      </c>
      <c r="BN32" s="234">
        <v>28</v>
      </c>
      <c r="BO32" s="239"/>
      <c r="BP32" s="43"/>
      <c r="BQ32" s="57"/>
      <c r="BR32" s="240"/>
      <c r="BS32" s="241"/>
      <c r="BT32" s="241"/>
      <c r="BU32" s="242"/>
      <c r="BV32" s="254"/>
      <c r="BW32" s="251"/>
      <c r="BX32" s="241"/>
      <c r="BY32" s="241"/>
      <c r="BZ32" s="242"/>
      <c r="CA32" s="251"/>
      <c r="CB32" s="241"/>
      <c r="CC32" s="241"/>
      <c r="CD32" s="241"/>
      <c r="CE32" s="254"/>
      <c r="CF32" s="240"/>
      <c r="CG32" s="241"/>
      <c r="CH32" s="242"/>
      <c r="CI32" s="242"/>
      <c r="CJ32" s="254"/>
      <c r="CK32" s="251"/>
      <c r="CL32" s="241"/>
      <c r="CM32" s="241"/>
      <c r="CN32" s="241"/>
      <c r="CO32" s="254"/>
      <c r="CP32" s="240"/>
      <c r="CQ32" s="241"/>
      <c r="CR32" s="241"/>
      <c r="CS32" s="242"/>
      <c r="CT32" s="251"/>
      <c r="CU32" s="241"/>
      <c r="CV32" s="242"/>
      <c r="CW32" s="254"/>
      <c r="CX32" s="251"/>
      <c r="CY32" s="241"/>
      <c r="CZ32" s="242"/>
      <c r="DA32" s="242"/>
      <c r="DB32" s="242"/>
      <c r="DC32" s="254"/>
      <c r="DD32" s="251"/>
      <c r="DE32" s="241"/>
      <c r="DF32" s="242"/>
      <c r="DG32" s="242"/>
      <c r="DH32" s="242"/>
      <c r="DI32" s="254"/>
      <c r="DJ32" s="251"/>
      <c r="DK32" s="241"/>
      <c r="DL32" s="241"/>
      <c r="DM32" s="254"/>
      <c r="DN32" s="251"/>
      <c r="DO32" s="241"/>
      <c r="DP32" s="241"/>
      <c r="DQ32" s="254"/>
      <c r="DR32" s="251"/>
      <c r="DS32" s="241"/>
      <c r="DT32" s="241"/>
      <c r="DU32" s="254"/>
      <c r="DV32" s="251"/>
      <c r="DW32" s="241"/>
      <c r="DX32" s="241"/>
      <c r="DY32" s="254"/>
      <c r="DZ32" s="258">
        <f t="shared" si="1"/>
        <v>0</v>
      </c>
      <c r="EA32" s="413">
        <v>28</v>
      </c>
      <c r="EB32" s="239"/>
      <c r="EC32" s="43"/>
      <c r="ED32" s="57"/>
      <c r="EE32" s="240"/>
      <c r="EF32" s="241"/>
      <c r="EG32" s="241"/>
      <c r="EH32" s="242"/>
      <c r="EI32" s="254"/>
      <c r="EJ32" s="251"/>
      <c r="EK32" s="241"/>
      <c r="EL32" s="241"/>
      <c r="EM32" s="242"/>
      <c r="EN32" s="251"/>
      <c r="EO32" s="241"/>
      <c r="EP32" s="241"/>
      <c r="EQ32" s="241"/>
      <c r="ER32" s="254"/>
      <c r="ES32" s="240"/>
      <c r="ET32" s="241"/>
      <c r="EU32" s="242"/>
      <c r="EV32" s="242"/>
      <c r="EW32" s="254"/>
      <c r="EX32" s="251"/>
      <c r="EY32" s="241"/>
      <c r="EZ32" s="241"/>
      <c r="FA32" s="241"/>
      <c r="FB32" s="254"/>
      <c r="FC32" s="240"/>
      <c r="FD32" s="241"/>
      <c r="FE32" s="241"/>
      <c r="FF32" s="242"/>
      <c r="FG32" s="251"/>
      <c r="FH32" s="241"/>
      <c r="FI32" s="242"/>
      <c r="FJ32" s="254"/>
      <c r="FK32" s="251"/>
      <c r="FL32" s="241"/>
      <c r="FM32" s="242"/>
      <c r="FN32" s="242"/>
      <c r="FO32" s="242"/>
      <c r="FP32" s="254"/>
      <c r="FQ32" s="251"/>
      <c r="FR32" s="241"/>
      <c r="FS32" s="242"/>
      <c r="FT32" s="242"/>
      <c r="FU32" s="242"/>
      <c r="FV32" s="254"/>
      <c r="FW32" s="251"/>
      <c r="FX32" s="241"/>
      <c r="FY32" s="241"/>
      <c r="FZ32" s="254"/>
      <c r="GA32" s="251"/>
      <c r="GB32" s="241"/>
      <c r="GC32" s="241"/>
      <c r="GD32" s="254"/>
      <c r="GE32" s="251"/>
      <c r="GF32" s="241"/>
      <c r="GG32" s="241"/>
      <c r="GH32" s="254"/>
      <c r="GI32" s="251"/>
      <c r="GJ32" s="241"/>
      <c r="GK32" s="241"/>
      <c r="GL32" s="254"/>
      <c r="GM32" s="258">
        <f t="shared" si="2"/>
        <v>0</v>
      </c>
      <c r="GO32" s="205">
        <f>+'RETAION-BUS'!BT32+'RETAION-BUS'!EN32+'RETAION-BUS'!HH32</f>
        <v>0</v>
      </c>
      <c r="GP32" s="204">
        <f t="shared" si="3"/>
        <v>0</v>
      </c>
      <c r="GQ32" s="274">
        <f t="shared" si="4"/>
        <v>0</v>
      </c>
    </row>
    <row r="33" spans="1:199" s="1" customFormat="1" ht="15.75" thickBot="1">
      <c r="A33" s="238">
        <v>29</v>
      </c>
      <c r="B33" s="239"/>
      <c r="C33" s="43"/>
      <c r="D33" s="57"/>
      <c r="E33" s="240"/>
      <c r="F33" s="241"/>
      <c r="G33" s="241"/>
      <c r="H33" s="242"/>
      <c r="I33" s="242"/>
      <c r="J33" s="251"/>
      <c r="K33" s="241"/>
      <c r="L33" s="241"/>
      <c r="M33" s="242"/>
      <c r="N33" s="251"/>
      <c r="O33" s="241"/>
      <c r="P33" s="241"/>
      <c r="Q33" s="241"/>
      <c r="R33" s="254"/>
      <c r="S33" s="240"/>
      <c r="T33" s="241"/>
      <c r="U33" s="242"/>
      <c r="V33" s="242"/>
      <c r="W33" s="242"/>
      <c r="X33" s="251"/>
      <c r="Y33" s="241"/>
      <c r="Z33" s="241"/>
      <c r="AA33" s="242"/>
      <c r="AB33" s="254"/>
      <c r="AC33" s="240"/>
      <c r="AD33" s="241"/>
      <c r="AE33" s="241"/>
      <c r="AF33" s="242"/>
      <c r="AG33" s="251"/>
      <c r="AH33" s="241"/>
      <c r="AI33" s="242"/>
      <c r="AJ33" s="254"/>
      <c r="AK33" s="240"/>
      <c r="AL33" s="241"/>
      <c r="AM33" s="241"/>
      <c r="AN33" s="241"/>
      <c r="AO33" s="242"/>
      <c r="AP33" s="254"/>
      <c r="AQ33" s="240"/>
      <c r="AR33" s="241"/>
      <c r="AS33" s="241"/>
      <c r="AT33" s="241"/>
      <c r="AU33" s="242"/>
      <c r="AV33" s="254"/>
      <c r="AW33" s="251"/>
      <c r="AX33" s="241"/>
      <c r="AY33" s="241"/>
      <c r="AZ33" s="254"/>
      <c r="BA33" s="251"/>
      <c r="BB33" s="241"/>
      <c r="BC33" s="241"/>
      <c r="BD33" s="254"/>
      <c r="BE33" s="251"/>
      <c r="BF33" s="241"/>
      <c r="BG33" s="241"/>
      <c r="BH33" s="254"/>
      <c r="BI33" s="251"/>
      <c r="BJ33" s="241"/>
      <c r="BK33" s="241"/>
      <c r="BL33" s="254"/>
      <c r="BM33" s="258">
        <f t="shared" si="0"/>
        <v>0</v>
      </c>
      <c r="BN33" s="238">
        <v>29</v>
      </c>
      <c r="BO33" s="239"/>
      <c r="BP33" s="43"/>
      <c r="BQ33" s="57"/>
      <c r="BR33" s="240"/>
      <c r="BS33" s="241"/>
      <c r="BT33" s="241"/>
      <c r="BU33" s="242"/>
      <c r="BV33" s="254"/>
      <c r="BW33" s="251"/>
      <c r="BX33" s="241"/>
      <c r="BY33" s="241"/>
      <c r="BZ33" s="242"/>
      <c r="CA33" s="251"/>
      <c r="CB33" s="241"/>
      <c r="CC33" s="241"/>
      <c r="CD33" s="241"/>
      <c r="CE33" s="254"/>
      <c r="CF33" s="240"/>
      <c r="CG33" s="241"/>
      <c r="CH33" s="242"/>
      <c r="CI33" s="242"/>
      <c r="CJ33" s="254"/>
      <c r="CK33" s="251"/>
      <c r="CL33" s="241"/>
      <c r="CM33" s="241"/>
      <c r="CN33" s="241"/>
      <c r="CO33" s="254"/>
      <c r="CP33" s="240"/>
      <c r="CQ33" s="241"/>
      <c r="CR33" s="241"/>
      <c r="CS33" s="242"/>
      <c r="CT33" s="251"/>
      <c r="CU33" s="241"/>
      <c r="CV33" s="242"/>
      <c r="CW33" s="254"/>
      <c r="CX33" s="251"/>
      <c r="CY33" s="241"/>
      <c r="CZ33" s="242"/>
      <c r="DA33" s="242"/>
      <c r="DB33" s="242"/>
      <c r="DC33" s="254"/>
      <c r="DD33" s="251"/>
      <c r="DE33" s="241"/>
      <c r="DF33" s="242"/>
      <c r="DG33" s="242"/>
      <c r="DH33" s="242"/>
      <c r="DI33" s="254"/>
      <c r="DJ33" s="251"/>
      <c r="DK33" s="241"/>
      <c r="DL33" s="241"/>
      <c r="DM33" s="254"/>
      <c r="DN33" s="251"/>
      <c r="DO33" s="241"/>
      <c r="DP33" s="241"/>
      <c r="DQ33" s="254"/>
      <c r="DR33" s="251"/>
      <c r="DS33" s="241"/>
      <c r="DT33" s="241"/>
      <c r="DU33" s="254"/>
      <c r="DV33" s="251"/>
      <c r="DW33" s="241"/>
      <c r="DX33" s="241"/>
      <c r="DY33" s="254"/>
      <c r="DZ33" s="258">
        <f t="shared" si="1"/>
        <v>0</v>
      </c>
      <c r="EA33" s="238">
        <v>29</v>
      </c>
      <c r="EB33" s="239"/>
      <c r="EC33" s="43"/>
      <c r="ED33" s="57"/>
      <c r="EE33" s="240"/>
      <c r="EF33" s="241"/>
      <c r="EG33" s="241"/>
      <c r="EH33" s="242"/>
      <c r="EI33" s="254"/>
      <c r="EJ33" s="251"/>
      <c r="EK33" s="241"/>
      <c r="EL33" s="241"/>
      <c r="EM33" s="242"/>
      <c r="EN33" s="251"/>
      <c r="EO33" s="241"/>
      <c r="EP33" s="241"/>
      <c r="EQ33" s="241"/>
      <c r="ER33" s="254"/>
      <c r="ES33" s="240"/>
      <c r="ET33" s="241"/>
      <c r="EU33" s="242"/>
      <c r="EV33" s="242"/>
      <c r="EW33" s="254"/>
      <c r="EX33" s="251"/>
      <c r="EY33" s="241"/>
      <c r="EZ33" s="241"/>
      <c r="FA33" s="241"/>
      <c r="FB33" s="254"/>
      <c r="FC33" s="240"/>
      <c r="FD33" s="241"/>
      <c r="FE33" s="241"/>
      <c r="FF33" s="242"/>
      <c r="FG33" s="251"/>
      <c r="FH33" s="241"/>
      <c r="FI33" s="242"/>
      <c r="FJ33" s="254"/>
      <c r="FK33" s="251"/>
      <c r="FL33" s="241"/>
      <c r="FM33" s="242"/>
      <c r="FN33" s="242"/>
      <c r="FO33" s="242"/>
      <c r="FP33" s="254"/>
      <c r="FQ33" s="251"/>
      <c r="FR33" s="241"/>
      <c r="FS33" s="242"/>
      <c r="FT33" s="242"/>
      <c r="FU33" s="242"/>
      <c r="FV33" s="254"/>
      <c r="FW33" s="251"/>
      <c r="FX33" s="241"/>
      <c r="FY33" s="241"/>
      <c r="FZ33" s="254"/>
      <c r="GA33" s="251"/>
      <c r="GB33" s="241"/>
      <c r="GC33" s="241"/>
      <c r="GD33" s="254"/>
      <c r="GE33" s="251"/>
      <c r="GF33" s="241"/>
      <c r="GG33" s="241"/>
      <c r="GH33" s="254"/>
      <c r="GI33" s="251"/>
      <c r="GJ33" s="241"/>
      <c r="GK33" s="241"/>
      <c r="GL33" s="254"/>
      <c r="GM33" s="258">
        <f t="shared" si="2"/>
        <v>0</v>
      </c>
      <c r="GO33" s="205">
        <f>+'RETAION-BUS'!BT33+'RETAION-BUS'!EN33+'RETAION-BUS'!HH33</f>
        <v>0</v>
      </c>
      <c r="GP33" s="204">
        <f t="shared" si="3"/>
        <v>0</v>
      </c>
      <c r="GQ33" s="274">
        <f t="shared" si="4"/>
        <v>0</v>
      </c>
    </row>
    <row r="34" spans="1:199" ht="15.75" thickBot="1">
      <c r="A34" s="243">
        <v>30</v>
      </c>
      <c r="B34" s="239"/>
      <c r="C34" s="43"/>
      <c r="D34" s="57"/>
      <c r="E34" s="240"/>
      <c r="F34" s="241"/>
      <c r="G34" s="241"/>
      <c r="H34" s="242"/>
      <c r="I34" s="242"/>
      <c r="J34" s="251"/>
      <c r="K34" s="241"/>
      <c r="L34" s="241"/>
      <c r="M34" s="242"/>
      <c r="N34" s="251"/>
      <c r="O34" s="241"/>
      <c r="P34" s="241"/>
      <c r="Q34" s="241"/>
      <c r="R34" s="254"/>
      <c r="S34" s="240"/>
      <c r="T34" s="241"/>
      <c r="U34" s="242"/>
      <c r="V34" s="242"/>
      <c r="W34" s="242"/>
      <c r="X34" s="251"/>
      <c r="Y34" s="241"/>
      <c r="Z34" s="241"/>
      <c r="AA34" s="242"/>
      <c r="AB34" s="254"/>
      <c r="AC34" s="240"/>
      <c r="AD34" s="241"/>
      <c r="AE34" s="241"/>
      <c r="AF34" s="242"/>
      <c r="AG34" s="251"/>
      <c r="AH34" s="241"/>
      <c r="AI34" s="242"/>
      <c r="AJ34" s="254"/>
      <c r="AK34" s="240"/>
      <c r="AL34" s="241"/>
      <c r="AM34" s="241"/>
      <c r="AN34" s="241"/>
      <c r="AO34" s="242"/>
      <c r="AP34" s="254"/>
      <c r="AQ34" s="240"/>
      <c r="AR34" s="241"/>
      <c r="AS34" s="241"/>
      <c r="AT34" s="241"/>
      <c r="AU34" s="242"/>
      <c r="AV34" s="254"/>
      <c r="AW34" s="251"/>
      <c r="AX34" s="241"/>
      <c r="AY34" s="241"/>
      <c r="AZ34" s="254"/>
      <c r="BA34" s="251"/>
      <c r="BB34" s="241"/>
      <c r="BC34" s="241"/>
      <c r="BD34" s="254"/>
      <c r="BE34" s="251"/>
      <c r="BF34" s="241"/>
      <c r="BG34" s="241"/>
      <c r="BH34" s="254"/>
      <c r="BI34" s="251"/>
      <c r="BJ34" s="241"/>
      <c r="BK34" s="241"/>
      <c r="BL34" s="254"/>
      <c r="BM34" s="258">
        <f t="shared" si="0"/>
        <v>0</v>
      </c>
      <c r="BN34" s="243">
        <v>30</v>
      </c>
      <c r="BO34" s="239"/>
      <c r="BP34" s="43"/>
      <c r="BQ34" s="57"/>
      <c r="BR34" s="240"/>
      <c r="BS34" s="241"/>
      <c r="BT34" s="241"/>
      <c r="BU34" s="242"/>
      <c r="BV34" s="254"/>
      <c r="BW34" s="251"/>
      <c r="BX34" s="241"/>
      <c r="BY34" s="241"/>
      <c r="BZ34" s="242"/>
      <c r="CA34" s="251"/>
      <c r="CB34" s="241"/>
      <c r="CC34" s="241"/>
      <c r="CD34" s="241"/>
      <c r="CE34" s="254"/>
      <c r="CF34" s="240"/>
      <c r="CG34" s="241"/>
      <c r="CH34" s="242"/>
      <c r="CI34" s="242"/>
      <c r="CJ34" s="254"/>
      <c r="CK34" s="251"/>
      <c r="CL34" s="241"/>
      <c r="CM34" s="241"/>
      <c r="CN34" s="241"/>
      <c r="CO34" s="254"/>
      <c r="CP34" s="240"/>
      <c r="CQ34" s="241"/>
      <c r="CR34" s="241"/>
      <c r="CS34" s="242"/>
      <c r="CT34" s="251"/>
      <c r="CU34" s="241"/>
      <c r="CV34" s="242"/>
      <c r="CW34" s="254"/>
      <c r="CX34" s="251"/>
      <c r="CY34" s="241"/>
      <c r="CZ34" s="242"/>
      <c r="DA34" s="242"/>
      <c r="DB34" s="242"/>
      <c r="DC34" s="254"/>
      <c r="DD34" s="251"/>
      <c r="DE34" s="241"/>
      <c r="DF34" s="242"/>
      <c r="DG34" s="242"/>
      <c r="DH34" s="242"/>
      <c r="DI34" s="254"/>
      <c r="DJ34" s="251"/>
      <c r="DK34" s="241"/>
      <c r="DL34" s="241"/>
      <c r="DM34" s="254"/>
      <c r="DN34" s="251"/>
      <c r="DO34" s="241"/>
      <c r="DP34" s="241"/>
      <c r="DQ34" s="254"/>
      <c r="DR34" s="251"/>
      <c r="DS34" s="241"/>
      <c r="DT34" s="241"/>
      <c r="DU34" s="254"/>
      <c r="DV34" s="251"/>
      <c r="DW34" s="241"/>
      <c r="DX34" s="241"/>
      <c r="DY34" s="254"/>
      <c r="DZ34" s="258">
        <f t="shared" si="1"/>
        <v>0</v>
      </c>
      <c r="EA34" s="243">
        <v>30</v>
      </c>
      <c r="EB34" s="239"/>
      <c r="EC34" s="43"/>
      <c r="ED34" s="57"/>
      <c r="EE34" s="240"/>
      <c r="EF34" s="241"/>
      <c r="EG34" s="241"/>
      <c r="EH34" s="242"/>
      <c r="EI34" s="254"/>
      <c r="EJ34" s="251"/>
      <c r="EK34" s="241"/>
      <c r="EL34" s="241"/>
      <c r="EM34" s="242"/>
      <c r="EN34" s="251"/>
      <c r="EO34" s="241"/>
      <c r="EP34" s="241"/>
      <c r="EQ34" s="241"/>
      <c r="ER34" s="254"/>
      <c r="ES34" s="240"/>
      <c r="ET34" s="241"/>
      <c r="EU34" s="242"/>
      <c r="EV34" s="242"/>
      <c r="EW34" s="254"/>
      <c r="EX34" s="251"/>
      <c r="EY34" s="241"/>
      <c r="EZ34" s="241"/>
      <c r="FA34" s="241"/>
      <c r="FB34" s="254"/>
      <c r="FC34" s="240"/>
      <c r="FD34" s="241"/>
      <c r="FE34" s="241"/>
      <c r="FF34" s="242"/>
      <c r="FG34" s="251"/>
      <c r="FH34" s="241"/>
      <c r="FI34" s="242"/>
      <c r="FJ34" s="254"/>
      <c r="FK34" s="251"/>
      <c r="FL34" s="241"/>
      <c r="FM34" s="242"/>
      <c r="FN34" s="242"/>
      <c r="FO34" s="242"/>
      <c r="FP34" s="254"/>
      <c r="FQ34" s="251"/>
      <c r="FR34" s="241"/>
      <c r="FS34" s="242"/>
      <c r="FT34" s="242"/>
      <c r="FU34" s="242"/>
      <c r="FV34" s="254"/>
      <c r="FW34" s="251"/>
      <c r="FX34" s="241"/>
      <c r="FY34" s="241"/>
      <c r="FZ34" s="254"/>
      <c r="GA34" s="251"/>
      <c r="GB34" s="241"/>
      <c r="GC34" s="241"/>
      <c r="GD34" s="254"/>
      <c r="GE34" s="251"/>
      <c r="GF34" s="241"/>
      <c r="GG34" s="241"/>
      <c r="GH34" s="254"/>
      <c r="GI34" s="251"/>
      <c r="GJ34" s="241"/>
      <c r="GK34" s="241"/>
      <c r="GL34" s="254"/>
      <c r="GM34" s="258">
        <f t="shared" si="2"/>
        <v>0</v>
      </c>
      <c r="GO34" s="205">
        <f>+'RETAION-BUS'!BT34+'RETAION-BUS'!EN34+'RETAION-BUS'!HH34</f>
        <v>0</v>
      </c>
      <c r="GP34" s="204">
        <f t="shared" si="3"/>
        <v>0</v>
      </c>
      <c r="GQ34" s="274">
        <f t="shared" si="4"/>
        <v>0</v>
      </c>
    </row>
    <row r="35" spans="1:199" ht="15.75" thickBot="1">
      <c r="A35" s="234">
        <v>31</v>
      </c>
      <c r="B35" s="244"/>
      <c r="C35" s="60"/>
      <c r="D35" s="64"/>
      <c r="E35" s="245"/>
      <c r="F35" s="246"/>
      <c r="G35" s="246"/>
      <c r="H35" s="247"/>
      <c r="I35" s="247"/>
      <c r="J35" s="252"/>
      <c r="K35" s="246"/>
      <c r="L35" s="246"/>
      <c r="M35" s="247"/>
      <c r="N35" s="252"/>
      <c r="O35" s="246"/>
      <c r="P35" s="246"/>
      <c r="Q35" s="246"/>
      <c r="R35" s="255"/>
      <c r="S35" s="245"/>
      <c r="T35" s="246"/>
      <c r="U35" s="247"/>
      <c r="V35" s="247"/>
      <c r="W35" s="247"/>
      <c r="X35" s="252"/>
      <c r="Y35" s="246"/>
      <c r="Z35" s="246"/>
      <c r="AA35" s="247"/>
      <c r="AB35" s="255"/>
      <c r="AC35" s="245"/>
      <c r="AD35" s="246"/>
      <c r="AE35" s="246"/>
      <c r="AF35" s="247"/>
      <c r="AG35" s="252"/>
      <c r="AH35" s="246"/>
      <c r="AI35" s="247"/>
      <c r="AJ35" s="255"/>
      <c r="AK35" s="245"/>
      <c r="AL35" s="246"/>
      <c r="AM35" s="246"/>
      <c r="AN35" s="246"/>
      <c r="AO35" s="247"/>
      <c r="AP35" s="255"/>
      <c r="AQ35" s="245"/>
      <c r="AR35" s="246"/>
      <c r="AS35" s="246"/>
      <c r="AT35" s="246"/>
      <c r="AU35" s="247"/>
      <c r="AV35" s="255"/>
      <c r="AW35" s="252"/>
      <c r="AX35" s="246"/>
      <c r="AY35" s="246"/>
      <c r="AZ35" s="255"/>
      <c r="BA35" s="252"/>
      <c r="BB35" s="246"/>
      <c r="BC35" s="246"/>
      <c r="BD35" s="255"/>
      <c r="BE35" s="252"/>
      <c r="BF35" s="246"/>
      <c r="BG35" s="246"/>
      <c r="BH35" s="255"/>
      <c r="BI35" s="252"/>
      <c r="BJ35" s="246"/>
      <c r="BK35" s="246"/>
      <c r="BL35" s="255"/>
      <c r="BM35" s="258">
        <f>SUM(B35:BL35)</f>
        <v>0</v>
      </c>
      <c r="BN35" s="234">
        <v>31</v>
      </c>
      <c r="BO35" s="244"/>
      <c r="BP35" s="60"/>
      <c r="BQ35" s="64"/>
      <c r="BR35" s="245"/>
      <c r="BS35" s="246"/>
      <c r="BT35" s="246"/>
      <c r="BU35" s="247"/>
      <c r="BV35" s="255"/>
      <c r="BW35" s="252"/>
      <c r="BX35" s="246"/>
      <c r="BY35" s="246"/>
      <c r="BZ35" s="247"/>
      <c r="CA35" s="252"/>
      <c r="CB35" s="246"/>
      <c r="CC35" s="246"/>
      <c r="CD35" s="246"/>
      <c r="CE35" s="255"/>
      <c r="CF35" s="245"/>
      <c r="CG35" s="246"/>
      <c r="CH35" s="247"/>
      <c r="CI35" s="247"/>
      <c r="CJ35" s="255"/>
      <c r="CK35" s="252"/>
      <c r="CL35" s="246"/>
      <c r="CM35" s="246"/>
      <c r="CN35" s="246"/>
      <c r="CO35" s="255"/>
      <c r="CP35" s="245"/>
      <c r="CQ35" s="246"/>
      <c r="CR35" s="246"/>
      <c r="CS35" s="247"/>
      <c r="CT35" s="252"/>
      <c r="CU35" s="246"/>
      <c r="CV35" s="247"/>
      <c r="CW35" s="255"/>
      <c r="CX35" s="252"/>
      <c r="CY35" s="246"/>
      <c r="CZ35" s="247"/>
      <c r="DA35" s="247"/>
      <c r="DB35" s="247"/>
      <c r="DC35" s="255"/>
      <c r="DD35" s="252"/>
      <c r="DE35" s="246"/>
      <c r="DF35" s="247"/>
      <c r="DG35" s="247"/>
      <c r="DH35" s="247"/>
      <c r="DI35" s="255"/>
      <c r="DJ35" s="252"/>
      <c r="DK35" s="246"/>
      <c r="DL35" s="246"/>
      <c r="DM35" s="255"/>
      <c r="DN35" s="252"/>
      <c r="DO35" s="246"/>
      <c r="DP35" s="246"/>
      <c r="DQ35" s="255"/>
      <c r="DR35" s="252"/>
      <c r="DS35" s="246"/>
      <c r="DT35" s="246"/>
      <c r="DU35" s="255"/>
      <c r="DV35" s="252"/>
      <c r="DW35" s="246"/>
      <c r="DX35" s="246"/>
      <c r="DY35" s="255"/>
      <c r="DZ35" s="258">
        <f t="shared" si="1"/>
        <v>0</v>
      </c>
      <c r="EA35" s="413">
        <v>31</v>
      </c>
      <c r="EB35" s="244"/>
      <c r="EC35" s="60"/>
      <c r="ED35" s="64"/>
      <c r="EE35" s="245"/>
      <c r="EF35" s="246"/>
      <c r="EG35" s="246"/>
      <c r="EH35" s="247"/>
      <c r="EI35" s="255"/>
      <c r="EJ35" s="252"/>
      <c r="EK35" s="246"/>
      <c r="EL35" s="246"/>
      <c r="EM35" s="247"/>
      <c r="EN35" s="252"/>
      <c r="EO35" s="246"/>
      <c r="EP35" s="246"/>
      <c r="EQ35" s="246"/>
      <c r="ER35" s="255"/>
      <c r="ES35" s="245"/>
      <c r="ET35" s="246"/>
      <c r="EU35" s="247"/>
      <c r="EV35" s="247"/>
      <c r="EW35" s="255"/>
      <c r="EX35" s="252"/>
      <c r="EY35" s="246"/>
      <c r="EZ35" s="246"/>
      <c r="FA35" s="246"/>
      <c r="FB35" s="255"/>
      <c r="FC35" s="245"/>
      <c r="FD35" s="246"/>
      <c r="FE35" s="246"/>
      <c r="FF35" s="247"/>
      <c r="FG35" s="252"/>
      <c r="FH35" s="246"/>
      <c r="FI35" s="247"/>
      <c r="FJ35" s="255"/>
      <c r="FK35" s="252"/>
      <c r="FL35" s="246"/>
      <c r="FM35" s="247"/>
      <c r="FN35" s="247"/>
      <c r="FO35" s="247"/>
      <c r="FP35" s="255"/>
      <c r="FQ35" s="252"/>
      <c r="FR35" s="246"/>
      <c r="FS35" s="247"/>
      <c r="FT35" s="247"/>
      <c r="FU35" s="247"/>
      <c r="FV35" s="255"/>
      <c r="FW35" s="252"/>
      <c r="FX35" s="246"/>
      <c r="FY35" s="246"/>
      <c r="FZ35" s="255"/>
      <c r="GA35" s="252"/>
      <c r="GB35" s="246"/>
      <c r="GC35" s="246"/>
      <c r="GD35" s="255"/>
      <c r="GE35" s="252"/>
      <c r="GF35" s="246"/>
      <c r="GG35" s="246"/>
      <c r="GH35" s="255"/>
      <c r="GI35" s="252"/>
      <c r="GJ35" s="246"/>
      <c r="GK35" s="246"/>
      <c r="GL35" s="255"/>
      <c r="GM35" s="258">
        <f t="shared" si="2"/>
        <v>0</v>
      </c>
      <c r="GO35" s="205">
        <f>+'RETAION-BUS'!BT35+'RETAION-BUS'!EN35+'RETAION-BUS'!HH35</f>
        <v>0</v>
      </c>
      <c r="GP35" s="204">
        <f>+DZ35+BM35+GM35</f>
        <v>0</v>
      </c>
      <c r="GQ35" s="275">
        <f t="shared" si="4"/>
        <v>0</v>
      </c>
    </row>
    <row r="36" spans="1:199" ht="15.75" thickBot="1">
      <c r="B36" s="502">
        <f>SUM(B5:D35)</f>
        <v>0</v>
      </c>
      <c r="C36" s="503"/>
      <c r="D36" s="503"/>
      <c r="E36" s="492">
        <f>SUM(E5:I35)</f>
        <v>0</v>
      </c>
      <c r="F36" s="493"/>
      <c r="G36" s="493"/>
      <c r="H36" s="493"/>
      <c r="I36" s="494"/>
      <c r="J36" s="492">
        <f>SUM(J5:M35)</f>
        <v>0</v>
      </c>
      <c r="K36" s="493"/>
      <c r="L36" s="493"/>
      <c r="M36" s="494"/>
      <c r="N36" s="492">
        <f>SUM(N5:R35)</f>
        <v>0</v>
      </c>
      <c r="O36" s="493"/>
      <c r="P36" s="493"/>
      <c r="Q36" s="493"/>
      <c r="R36" s="494"/>
      <c r="S36" s="492">
        <f>SUM(S5:W35)</f>
        <v>0</v>
      </c>
      <c r="T36" s="493"/>
      <c r="U36" s="493"/>
      <c r="V36" s="493"/>
      <c r="W36" s="494"/>
      <c r="X36" s="492">
        <f>SUM(X5:AB35)</f>
        <v>0</v>
      </c>
      <c r="Y36" s="493"/>
      <c r="Z36" s="493"/>
      <c r="AA36" s="493"/>
      <c r="AB36" s="494"/>
      <c r="AC36" s="492">
        <f>SUM(AC5:AF35)</f>
        <v>0</v>
      </c>
      <c r="AD36" s="493"/>
      <c r="AE36" s="493"/>
      <c r="AF36" s="494"/>
      <c r="AG36" s="492">
        <f>SUM(AG5:AJ35)</f>
        <v>0</v>
      </c>
      <c r="AH36" s="493"/>
      <c r="AI36" s="493"/>
      <c r="AJ36" s="494"/>
      <c r="AK36" s="492">
        <f>SUM(AK5:AP35)</f>
        <v>0</v>
      </c>
      <c r="AL36" s="493"/>
      <c r="AM36" s="493"/>
      <c r="AN36" s="493"/>
      <c r="AO36" s="493"/>
      <c r="AP36" s="494"/>
      <c r="AQ36" s="492">
        <f>SUM(AQ5:AV35)</f>
        <v>0</v>
      </c>
      <c r="AR36" s="493"/>
      <c r="AS36" s="493"/>
      <c r="AT36" s="493"/>
      <c r="AU36" s="493"/>
      <c r="AV36" s="494"/>
      <c r="AW36" s="492">
        <f>SUM(AW5:AZ35)</f>
        <v>0</v>
      </c>
      <c r="AX36" s="493"/>
      <c r="AY36" s="493"/>
      <c r="AZ36" s="494"/>
      <c r="BA36" s="492">
        <f>SUM(BA5:BD35)</f>
        <v>0</v>
      </c>
      <c r="BB36" s="493"/>
      <c r="BC36" s="493"/>
      <c r="BD36" s="494"/>
      <c r="BE36" s="492">
        <f>SUM(BE5:BH35)</f>
        <v>0</v>
      </c>
      <c r="BF36" s="493"/>
      <c r="BG36" s="493"/>
      <c r="BH36" s="494"/>
      <c r="BI36" s="492">
        <f>SUM(BI5:BL35)</f>
        <v>0</v>
      </c>
      <c r="BJ36" s="493"/>
      <c r="BK36" s="493"/>
      <c r="BL36" s="494"/>
      <c r="BM36" s="259">
        <f>SUM(BM5:BM35)</f>
        <v>0</v>
      </c>
      <c r="BO36" s="499">
        <f>SUM(BO5:BQ35)</f>
        <v>0</v>
      </c>
      <c r="BP36" s="500"/>
      <c r="BQ36" s="501"/>
      <c r="BR36" s="502">
        <f>SUM(BR5:BV35)</f>
        <v>0</v>
      </c>
      <c r="BS36" s="503"/>
      <c r="BT36" s="503"/>
      <c r="BU36" s="503"/>
      <c r="BV36" s="504"/>
      <c r="BW36" s="503">
        <f>SUM(BW5:BZ35)</f>
        <v>0</v>
      </c>
      <c r="BX36" s="503"/>
      <c r="BY36" s="503"/>
      <c r="BZ36" s="504"/>
      <c r="CA36" s="502">
        <f>SUM(CA5:CE35)</f>
        <v>0</v>
      </c>
      <c r="CB36" s="503"/>
      <c r="CC36" s="503"/>
      <c r="CD36" s="503"/>
      <c r="CE36" s="504"/>
      <c r="CF36" s="502">
        <f>SUM(CF5:CJ35)</f>
        <v>0</v>
      </c>
      <c r="CG36" s="503"/>
      <c r="CH36" s="503"/>
      <c r="CI36" s="503"/>
      <c r="CJ36" s="504"/>
      <c r="CK36" s="502">
        <f>SUM(CK5:CO35)</f>
        <v>0</v>
      </c>
      <c r="CL36" s="503"/>
      <c r="CM36" s="503"/>
      <c r="CN36" s="503"/>
      <c r="CO36" s="504"/>
      <c r="CP36" s="502">
        <f>SUM(CP5:CS35)</f>
        <v>0</v>
      </c>
      <c r="CQ36" s="503"/>
      <c r="CR36" s="503"/>
      <c r="CS36" s="504"/>
      <c r="CT36" s="502">
        <f>SUM(CT5:CW35)</f>
        <v>0</v>
      </c>
      <c r="CU36" s="503"/>
      <c r="CV36" s="503"/>
      <c r="CW36" s="504"/>
      <c r="CX36" s="502">
        <f>SUM(CX5:DC35)</f>
        <v>0</v>
      </c>
      <c r="CY36" s="503"/>
      <c r="CZ36" s="503"/>
      <c r="DA36" s="503"/>
      <c r="DB36" s="503"/>
      <c r="DC36" s="504"/>
      <c r="DD36" s="502">
        <f>SUM(DD5:DI35)</f>
        <v>0</v>
      </c>
      <c r="DE36" s="503"/>
      <c r="DF36" s="503"/>
      <c r="DG36" s="503"/>
      <c r="DH36" s="503"/>
      <c r="DI36" s="504"/>
      <c r="DJ36" s="492">
        <f>SUM(DJ5:DM35)</f>
        <v>0</v>
      </c>
      <c r="DK36" s="493"/>
      <c r="DL36" s="493"/>
      <c r="DM36" s="494"/>
      <c r="DN36" s="492">
        <f>SUM(DN5:DQ35)</f>
        <v>0</v>
      </c>
      <c r="DO36" s="493"/>
      <c r="DP36" s="493"/>
      <c r="DQ36" s="494"/>
      <c r="DR36" s="492">
        <f>SUM(DR5:DU35)</f>
        <v>0</v>
      </c>
      <c r="DS36" s="493"/>
      <c r="DT36" s="493"/>
      <c r="DU36" s="494"/>
      <c r="DV36" s="492">
        <f>SUM(DV5:DY35)</f>
        <v>0</v>
      </c>
      <c r="DW36" s="493"/>
      <c r="DX36" s="493"/>
      <c r="DY36" s="494"/>
      <c r="DZ36" s="271">
        <f>SUM(DZ5:DZ35)</f>
        <v>0</v>
      </c>
      <c r="EB36" s="499">
        <f>SUM(EB5:ED35)</f>
        <v>0</v>
      </c>
      <c r="EC36" s="500"/>
      <c r="ED36" s="501"/>
      <c r="EE36" s="502">
        <f>SUM(EE5:EI35)</f>
        <v>0</v>
      </c>
      <c r="EF36" s="503"/>
      <c r="EG36" s="503"/>
      <c r="EH36" s="503"/>
      <c r="EI36" s="504"/>
      <c r="EJ36" s="503">
        <f>SUM(EJ5:EM35)</f>
        <v>0</v>
      </c>
      <c r="EK36" s="503"/>
      <c r="EL36" s="503"/>
      <c r="EM36" s="504"/>
      <c r="EN36" s="502">
        <f>SUM(EN5:ER35)</f>
        <v>0</v>
      </c>
      <c r="EO36" s="503"/>
      <c r="EP36" s="503"/>
      <c r="EQ36" s="503"/>
      <c r="ER36" s="504"/>
      <c r="ES36" s="502">
        <f>SUM(ES5:EW35)</f>
        <v>0</v>
      </c>
      <c r="ET36" s="503"/>
      <c r="EU36" s="503"/>
      <c r="EV36" s="503"/>
      <c r="EW36" s="504"/>
      <c r="EX36" s="502">
        <f>SUM(EX5:FB35)</f>
        <v>0</v>
      </c>
      <c r="EY36" s="503"/>
      <c r="EZ36" s="503"/>
      <c r="FA36" s="503"/>
      <c r="FB36" s="504"/>
      <c r="FC36" s="502">
        <f>SUM(FC5:FF35)</f>
        <v>0</v>
      </c>
      <c r="FD36" s="503"/>
      <c r="FE36" s="503"/>
      <c r="FF36" s="504"/>
      <c r="FG36" s="502">
        <f>SUM(FG5:FJ35)</f>
        <v>0</v>
      </c>
      <c r="FH36" s="503"/>
      <c r="FI36" s="503"/>
      <c r="FJ36" s="504"/>
      <c r="FK36" s="502">
        <f>SUM(FK5:FP35)</f>
        <v>0</v>
      </c>
      <c r="FL36" s="503"/>
      <c r="FM36" s="503"/>
      <c r="FN36" s="503"/>
      <c r="FO36" s="503"/>
      <c r="FP36" s="504"/>
      <c r="FQ36" s="502">
        <f>SUM(FQ5:FV35)</f>
        <v>0</v>
      </c>
      <c r="FR36" s="503"/>
      <c r="FS36" s="503"/>
      <c r="FT36" s="503"/>
      <c r="FU36" s="503"/>
      <c r="FV36" s="504"/>
      <c r="FW36" s="492">
        <f>SUM(FW5:FZ35)</f>
        <v>0</v>
      </c>
      <c r="FX36" s="493"/>
      <c r="FY36" s="493"/>
      <c r="FZ36" s="494"/>
      <c r="GA36" s="492">
        <f>SUM(GA5:GD35)</f>
        <v>0</v>
      </c>
      <c r="GB36" s="493"/>
      <c r="GC36" s="493"/>
      <c r="GD36" s="494"/>
      <c r="GE36" s="492">
        <f>SUM(GE5:GH35)</f>
        <v>0</v>
      </c>
      <c r="GF36" s="493"/>
      <c r="GG36" s="493"/>
      <c r="GH36" s="494"/>
      <c r="GI36" s="492">
        <f>SUM(GI5:GL35)</f>
        <v>0</v>
      </c>
      <c r="GJ36" s="493"/>
      <c r="GK36" s="493"/>
      <c r="GL36" s="494"/>
      <c r="GM36" s="271">
        <f>SUM(GM5:GM35)</f>
        <v>0</v>
      </c>
      <c r="GP36" s="145">
        <f>+DZ36+BM36</f>
        <v>0</v>
      </c>
    </row>
    <row r="64" spans="25:25">
      <c r="Y64" s="231" t="s">
        <v>79</v>
      </c>
    </row>
  </sheetData>
  <mergeCells count="96">
    <mergeCell ref="GQ3:GQ4"/>
    <mergeCell ref="FQ3:FV3"/>
    <mergeCell ref="FW3:FZ3"/>
    <mergeCell ref="GA3:GD3"/>
    <mergeCell ref="BA3:BD3"/>
    <mergeCell ref="BE3:BH3"/>
    <mergeCell ref="BI3:BL3"/>
    <mergeCell ref="GO3:GO4"/>
    <mergeCell ref="GP3:GP4"/>
    <mergeCell ref="BM3:BM4"/>
    <mergeCell ref="BN3:BN4"/>
    <mergeCell ref="DZ3:DZ4"/>
    <mergeCell ref="CT3:CW3"/>
    <mergeCell ref="CX3:DC3"/>
    <mergeCell ref="DD3:DI3"/>
    <mergeCell ref="DJ3:DM3"/>
    <mergeCell ref="DD36:DI36"/>
    <mergeCell ref="DJ36:DM36"/>
    <mergeCell ref="DN36:DQ36"/>
    <mergeCell ref="DR36:DU36"/>
    <mergeCell ref="DV36:DY36"/>
    <mergeCell ref="CF36:CJ36"/>
    <mergeCell ref="CK36:CO36"/>
    <mergeCell ref="CP36:CS36"/>
    <mergeCell ref="CT36:CW36"/>
    <mergeCell ref="CX36:DC36"/>
    <mergeCell ref="AW36:AZ36"/>
    <mergeCell ref="BO36:BQ36"/>
    <mergeCell ref="BR36:BV36"/>
    <mergeCell ref="BW36:BZ36"/>
    <mergeCell ref="CA36:CE36"/>
    <mergeCell ref="BA36:BD36"/>
    <mergeCell ref="BE36:BH36"/>
    <mergeCell ref="BI36:BL36"/>
    <mergeCell ref="X36:AB36"/>
    <mergeCell ref="AC36:AF36"/>
    <mergeCell ref="AG36:AJ36"/>
    <mergeCell ref="AK36:AP36"/>
    <mergeCell ref="AQ36:AV36"/>
    <mergeCell ref="B36:D36"/>
    <mergeCell ref="E36:I36"/>
    <mergeCell ref="J36:M36"/>
    <mergeCell ref="N36:R36"/>
    <mergeCell ref="S36:W36"/>
    <mergeCell ref="DN3:DQ3"/>
    <mergeCell ref="DR3:DU3"/>
    <mergeCell ref="DV3:DY3"/>
    <mergeCell ref="ES3:EW3"/>
    <mergeCell ref="EX3:FB3"/>
    <mergeCell ref="BW3:BZ3"/>
    <mergeCell ref="CA3:CE3"/>
    <mergeCell ref="CF3:CJ3"/>
    <mergeCell ref="CK3:CO3"/>
    <mergeCell ref="CP3:CS3"/>
    <mergeCell ref="A2:I2"/>
    <mergeCell ref="BN2:BV2"/>
    <mergeCell ref="B3:D3"/>
    <mergeCell ref="E3:I3"/>
    <mergeCell ref="J3:M3"/>
    <mergeCell ref="N3:R3"/>
    <mergeCell ref="S3:W3"/>
    <mergeCell ref="X3:AB3"/>
    <mergeCell ref="AC3:AF3"/>
    <mergeCell ref="AG3:AJ3"/>
    <mergeCell ref="AK3:AP3"/>
    <mergeCell ref="AQ3:AV3"/>
    <mergeCell ref="AW3:AZ3"/>
    <mergeCell ref="BO3:BQ3"/>
    <mergeCell ref="BR3:BV3"/>
    <mergeCell ref="A3:A4"/>
    <mergeCell ref="GE36:GH36"/>
    <mergeCell ref="EA2:EI2"/>
    <mergeCell ref="EA3:EA4"/>
    <mergeCell ref="EE3:EI3"/>
    <mergeCell ref="EJ3:EM3"/>
    <mergeCell ref="EN3:ER3"/>
    <mergeCell ref="EB3:ED3"/>
    <mergeCell ref="FC3:FF3"/>
    <mergeCell ref="FG3:FJ3"/>
    <mergeCell ref="FK3:FP3"/>
    <mergeCell ref="GI36:GL36"/>
    <mergeCell ref="GE3:GH3"/>
    <mergeCell ref="GI3:GL3"/>
    <mergeCell ref="GM3:GM4"/>
    <mergeCell ref="EB36:ED36"/>
    <mergeCell ref="EE36:EI36"/>
    <mergeCell ref="EJ36:EM36"/>
    <mergeCell ref="EN36:ER36"/>
    <mergeCell ref="ES36:EW36"/>
    <mergeCell ref="EX36:FB36"/>
    <mergeCell ref="FC36:FF36"/>
    <mergeCell ref="FG36:FJ36"/>
    <mergeCell ref="FK36:FP36"/>
    <mergeCell ref="FQ36:FV36"/>
    <mergeCell ref="FW36:FZ36"/>
    <mergeCell ref="GA36:GD36"/>
  </mergeCell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BG79"/>
  <sheetViews>
    <sheetView topLeftCell="I1" zoomScale="70" zoomScaleNormal="70" workbookViewId="0">
      <selection activeCell="BA6" sqref="BA6"/>
    </sheetView>
  </sheetViews>
  <sheetFormatPr baseColWidth="10" defaultColWidth="11.42578125" defaultRowHeight="15"/>
  <cols>
    <col min="1" max="1" width="6.5703125" style="215" customWidth="1"/>
    <col min="2" max="2" width="6.7109375" style="216" customWidth="1"/>
    <col min="3" max="3" width="7" style="216" customWidth="1"/>
    <col min="4" max="4" width="6.85546875" style="216" customWidth="1"/>
    <col min="5" max="5" width="8.140625" style="216" customWidth="1"/>
    <col min="6" max="9" width="6.7109375" style="216" customWidth="1"/>
    <col min="10" max="11" width="10" style="216" customWidth="1"/>
    <col min="12" max="12" width="7" style="216" customWidth="1"/>
    <col min="13" max="13" width="10" style="216" customWidth="1"/>
    <col min="14" max="14" width="6.85546875" style="216" customWidth="1"/>
    <col min="15" max="16" width="6.7109375" style="216" customWidth="1"/>
    <col min="17" max="17" width="10.5703125" style="216" customWidth="1"/>
    <col min="18" max="18" width="7" style="216" customWidth="1"/>
    <col min="19" max="19" width="6.7109375" style="216" customWidth="1"/>
    <col min="20" max="20" width="7.85546875" style="216" customWidth="1"/>
    <col min="21" max="21" width="7" style="216" customWidth="1"/>
    <col min="22" max="23" width="6.85546875" style="216" customWidth="1"/>
    <col min="24" max="24" width="7.5703125" style="216" customWidth="1"/>
    <col min="25" max="26" width="6.85546875" style="216" customWidth="1"/>
    <col min="27" max="27" width="7" style="216" customWidth="1"/>
    <col min="28" max="29" width="6.7109375" style="216" customWidth="1"/>
    <col min="30" max="30" width="6.5703125" style="216" customWidth="1"/>
    <col min="31" max="36" width="6.85546875" style="216" customWidth="1"/>
    <col min="37" max="37" width="6.7109375" style="216" customWidth="1"/>
    <col min="38" max="38" width="8" style="216" customWidth="1"/>
    <col min="39" max="39" width="7" style="216" customWidth="1"/>
    <col min="40" max="40" width="6.7109375" style="216" customWidth="1"/>
    <col min="41" max="41" width="7.85546875" style="216" customWidth="1"/>
    <col min="42" max="42" width="7" style="216" customWidth="1"/>
    <col min="43" max="44" width="6.85546875" style="216" customWidth="1"/>
    <col min="45" max="45" width="7.5703125" style="216" customWidth="1"/>
    <col min="46" max="47" width="6.85546875" style="216" customWidth="1"/>
    <col min="48" max="48" width="7" style="216" customWidth="1"/>
    <col min="49" max="50" width="6.7109375" style="216" customWidth="1"/>
    <col min="51" max="51" width="6.5703125" style="216" customWidth="1"/>
    <col min="52" max="57" width="6.85546875" style="216" customWidth="1"/>
    <col min="58" max="58" width="12" style="216" customWidth="1"/>
    <col min="59" max="16384" width="11.42578125" style="215"/>
  </cols>
  <sheetData>
    <row r="2" spans="1:58" ht="27" thickBot="1">
      <c r="A2" s="527"/>
      <c r="B2" s="528"/>
      <c r="C2" s="528"/>
      <c r="D2" s="528"/>
      <c r="E2" s="528"/>
      <c r="F2" s="528"/>
      <c r="G2" s="528"/>
      <c r="H2" s="528"/>
      <c r="I2" s="528"/>
      <c r="J2" s="528"/>
      <c r="K2" s="528"/>
      <c r="L2" s="528"/>
      <c r="M2" s="528"/>
      <c r="N2" s="528"/>
      <c r="O2" s="528"/>
      <c r="P2" s="528"/>
      <c r="Q2" s="528"/>
      <c r="R2" s="528"/>
      <c r="S2" s="528"/>
      <c r="T2" s="528"/>
      <c r="U2" s="528"/>
      <c r="V2" s="528"/>
      <c r="W2" s="528"/>
      <c r="X2" s="528"/>
      <c r="Y2" s="528"/>
      <c r="Z2" s="528"/>
      <c r="AA2" s="528"/>
      <c r="AB2" s="528"/>
      <c r="AC2" s="528"/>
      <c r="AD2" s="528"/>
      <c r="AE2" s="528"/>
      <c r="AF2" s="528"/>
      <c r="AG2" s="528"/>
      <c r="AH2" s="528"/>
      <c r="AI2" s="528"/>
      <c r="AJ2" s="528"/>
      <c r="AK2" s="528"/>
      <c r="AL2" s="528"/>
      <c r="AM2" s="528"/>
      <c r="AN2" s="528"/>
      <c r="AO2" s="528"/>
      <c r="AP2" s="528"/>
      <c r="AQ2" s="528"/>
      <c r="AR2" s="528"/>
      <c r="AS2" s="528"/>
      <c r="AT2" s="528"/>
      <c r="AU2" s="528"/>
      <c r="AV2" s="528"/>
      <c r="AW2" s="528"/>
      <c r="AX2" s="528"/>
      <c r="AY2" s="528"/>
      <c r="AZ2" s="528"/>
      <c r="BA2" s="528"/>
      <c r="BB2" s="528"/>
      <c r="BC2" s="528"/>
      <c r="BD2" s="528"/>
      <c r="BE2" s="528"/>
      <c r="BF2" s="529"/>
    </row>
    <row r="3" spans="1:58" ht="13.5" customHeight="1" thickBot="1">
      <c r="A3" s="217" t="s">
        <v>2</v>
      </c>
      <c r="B3" s="218" t="s">
        <v>3</v>
      </c>
      <c r="C3" s="219" t="s">
        <v>4</v>
      </c>
      <c r="D3" s="219" t="s">
        <v>5</v>
      </c>
      <c r="E3" s="219" t="s">
        <v>6</v>
      </c>
      <c r="F3" s="219" t="s">
        <v>7</v>
      </c>
      <c r="G3" s="219" t="s">
        <v>8</v>
      </c>
      <c r="H3" s="219" t="s">
        <v>9</v>
      </c>
      <c r="I3" s="219" t="s">
        <v>10</v>
      </c>
      <c r="J3" s="219" t="s">
        <v>11</v>
      </c>
      <c r="K3" s="219" t="s">
        <v>12</v>
      </c>
      <c r="L3" s="219" t="s">
        <v>13</v>
      </c>
      <c r="M3" s="219" t="s">
        <v>14</v>
      </c>
      <c r="N3" s="219" t="s">
        <v>15</v>
      </c>
      <c r="O3" s="219" t="s">
        <v>16</v>
      </c>
      <c r="P3" s="219" t="s">
        <v>17</v>
      </c>
      <c r="Q3" s="219" t="s">
        <v>18</v>
      </c>
      <c r="R3" s="219" t="s">
        <v>19</v>
      </c>
      <c r="S3" s="219" t="s">
        <v>20</v>
      </c>
      <c r="T3" s="219" t="s">
        <v>21</v>
      </c>
      <c r="U3" s="219" t="s">
        <v>22</v>
      </c>
      <c r="V3" s="219" t="s">
        <v>23</v>
      </c>
      <c r="W3" s="219" t="s">
        <v>24</v>
      </c>
      <c r="X3" s="219" t="s">
        <v>25</v>
      </c>
      <c r="Y3" s="219" t="s">
        <v>26</v>
      </c>
      <c r="Z3" s="219" t="s">
        <v>27</v>
      </c>
      <c r="AA3" s="219" t="s">
        <v>28</v>
      </c>
      <c r="AB3" s="219" t="s">
        <v>29</v>
      </c>
      <c r="AC3" s="219" t="s">
        <v>30</v>
      </c>
      <c r="AD3" s="219" t="s">
        <v>31</v>
      </c>
      <c r="AE3" s="224" t="s">
        <v>32</v>
      </c>
      <c r="AF3" s="224" t="s">
        <v>33</v>
      </c>
      <c r="AG3" s="224" t="s">
        <v>34</v>
      </c>
      <c r="AH3" s="224" t="s">
        <v>35</v>
      </c>
      <c r="AI3" s="224" t="s">
        <v>36</v>
      </c>
      <c r="AJ3" s="224" t="s">
        <v>37</v>
      </c>
      <c r="AK3" s="224" t="s">
        <v>147</v>
      </c>
      <c r="AL3" s="224" t="s">
        <v>148</v>
      </c>
      <c r="AM3" s="224" t="s">
        <v>149</v>
      </c>
      <c r="AN3" s="224" t="s">
        <v>150</v>
      </c>
      <c r="AO3" s="224" t="s">
        <v>151</v>
      </c>
      <c r="AP3" s="224" t="s">
        <v>152</v>
      </c>
      <c r="AQ3" s="224" t="s">
        <v>153</v>
      </c>
      <c r="AR3" s="224" t="s">
        <v>154</v>
      </c>
      <c r="AS3" s="224" t="s">
        <v>155</v>
      </c>
      <c r="AT3" s="224" t="s">
        <v>156</v>
      </c>
      <c r="AU3" s="224" t="s">
        <v>157</v>
      </c>
      <c r="AV3" s="224" t="s">
        <v>158</v>
      </c>
      <c r="AW3" s="224" t="s">
        <v>159</v>
      </c>
      <c r="AX3" s="224" t="s">
        <v>160</v>
      </c>
      <c r="AY3" s="224" t="s">
        <v>161</v>
      </c>
      <c r="AZ3" s="224" t="s">
        <v>162</v>
      </c>
      <c r="BA3" s="224" t="s">
        <v>163</v>
      </c>
      <c r="BB3" s="224" t="s">
        <v>164</v>
      </c>
      <c r="BC3" s="224" t="s">
        <v>165</v>
      </c>
      <c r="BD3" s="224" t="s">
        <v>166</v>
      </c>
      <c r="BE3" s="224" t="s">
        <v>167</v>
      </c>
      <c r="BF3" s="113" t="s">
        <v>56</v>
      </c>
    </row>
    <row r="4" spans="1:58" ht="19.5" customHeight="1">
      <c r="A4" s="137">
        <v>1</v>
      </c>
      <c r="B4" s="43">
        <f>+BUS!B115+BUS!C115+BUS!D115</f>
        <v>0</v>
      </c>
      <c r="C4" s="43">
        <f>+BUS!E115+BUS!F115+BUS!G115</f>
        <v>0</v>
      </c>
      <c r="D4" s="43">
        <f>+BUS!H115+BUS!I115+BUS!J115</f>
        <v>0</v>
      </c>
      <c r="E4" s="43">
        <f>+BUS!K115+BUS!L115+BUS!M115</f>
        <v>0</v>
      </c>
      <c r="F4" s="43">
        <f>+BUS!N115+BUS!O115+BUS!P115</f>
        <v>0</v>
      </c>
      <c r="G4" s="43">
        <f>+BUS!Q115+BUS!R115+BUS!S115</f>
        <v>0</v>
      </c>
      <c r="H4" s="43">
        <f>+BUS!T115+BUS!U115+BUS!V115</f>
        <v>0</v>
      </c>
      <c r="I4" s="43">
        <f>+BUS!W115+BUS!X115+BUS!Y115</f>
        <v>0</v>
      </c>
      <c r="J4" s="43">
        <f>+BUS!Z115+BUS!AA115+BUS!AB115</f>
        <v>0</v>
      </c>
      <c r="K4" s="43">
        <f>+BUS!AC115+BUS!AD115+BUS!AE115</f>
        <v>0</v>
      </c>
      <c r="L4" s="43">
        <f>+BUS!AF115+BUS!AG115+BUS!AH115</f>
        <v>0</v>
      </c>
      <c r="M4" s="43">
        <f>+BUS!AI115+BUS!AJ115+BUS!AK115</f>
        <v>0</v>
      </c>
      <c r="N4" s="43">
        <f>+BUS!AL115+BUS!AM115+BUS!AN115</f>
        <v>0</v>
      </c>
      <c r="O4" s="43">
        <f>+BUS!AO115+BUS!AP115+BUS!AQ115</f>
        <v>0</v>
      </c>
      <c r="P4" s="43">
        <f>+BUS!AR115+BUS!AS115+BUS!AT115</f>
        <v>0</v>
      </c>
      <c r="Q4" s="43">
        <f>+BUS!AU115+BUS!AV115+BUS!AW115</f>
        <v>0</v>
      </c>
      <c r="R4" s="43">
        <f>+BUS!AX115+BUS!AY115+BUS!AZ115</f>
        <v>0</v>
      </c>
      <c r="S4" s="43">
        <f>+BUS!BA115+BUS!BB115+BUS!BC115</f>
        <v>0</v>
      </c>
      <c r="T4" s="43">
        <f>+BUS!BD115+BUS!BE115+BUS!BF115</f>
        <v>0</v>
      </c>
      <c r="U4" s="43">
        <f>+BUS!BG115+BUS!BH115+BUS!BI115</f>
        <v>0</v>
      </c>
      <c r="V4" s="43">
        <f>+BUS!BJ115+BUS!BK115+BUS!BL115</f>
        <v>0</v>
      </c>
      <c r="W4" s="43">
        <f>+BUS!BM115+BUS!BN115+BUS!BO115</f>
        <v>0</v>
      </c>
      <c r="X4" s="43">
        <f>+BUS!BP115+BUS!BQ115+BUS!BR115</f>
        <v>0</v>
      </c>
      <c r="Y4" s="43">
        <f>+BUS!BS115+BUS!BT115+BUS!BU115</f>
        <v>0</v>
      </c>
      <c r="Z4" s="43">
        <f>+BUS!BV115+BUS!BW115+BUS!BX115</f>
        <v>0</v>
      </c>
      <c r="AA4" s="43">
        <f>+BUS!BY115+BUS!BZ115+BUS!CA115</f>
        <v>0</v>
      </c>
      <c r="AB4" s="43">
        <f>+BUS!CB115+BUS!CC115+BUS!CD115</f>
        <v>0</v>
      </c>
      <c r="AC4" s="43">
        <f>+BUS!CE115+BUS!CF115+BUS!CG115</f>
        <v>0</v>
      </c>
      <c r="AD4" s="43">
        <f>+BUS!CH115+BUS!CI115+BUS!CJ115</f>
        <v>0</v>
      </c>
      <c r="AE4" s="43">
        <f>+BUS!CK115+BUS!CL115+BUS!CM115</f>
        <v>0</v>
      </c>
      <c r="AF4" s="43">
        <f>+BUS!CN115+BUS!CO115+BUS!CP115</f>
        <v>0</v>
      </c>
      <c r="AG4" s="43">
        <f>+BUS!CQ115+BUS!CR115+BUS!CS115</f>
        <v>0</v>
      </c>
      <c r="AH4" s="43">
        <f>+BUS!CT115+BUS!CU115+BUS!CV115</f>
        <v>0</v>
      </c>
      <c r="AI4" s="43">
        <f>+BUS!CW115+BUS!CX115+BUS!CY115</f>
        <v>0</v>
      </c>
      <c r="AJ4" s="43">
        <f>+BUS!CZ115+BUS!DA115+BUS!DB115</f>
        <v>0</v>
      </c>
      <c r="AK4" s="43">
        <f>+BUS!DC115+BUS!DD115+BUS!DE115</f>
        <v>0</v>
      </c>
      <c r="AL4" s="43">
        <f>+BUS!DF115+BUS!DG115+BUS!DH115</f>
        <v>0</v>
      </c>
      <c r="AM4" s="43">
        <f>+BUS!DI115+BUS!DJ115+BUS!DK115</f>
        <v>0</v>
      </c>
      <c r="AN4" s="43">
        <f>+BUS!DL115+BUS!DM115+BUS!DN115</f>
        <v>0</v>
      </c>
      <c r="AO4" s="43">
        <f>+BUS!DO115+BUS!DP115+BUS!DQ115</f>
        <v>0</v>
      </c>
      <c r="AP4" s="43">
        <f>+BUS!DR115+BUS!DS115+BUS!DT115</f>
        <v>0</v>
      </c>
      <c r="AQ4" s="43">
        <f>+BUS!DU115+BUS!DV115+BUS!DW115</f>
        <v>0</v>
      </c>
      <c r="AR4" s="43">
        <f>+BUS!DX115+BUS!DY115+BUS!DZ115</f>
        <v>0</v>
      </c>
      <c r="AS4" s="43">
        <f>+BUS!EA115+BUS!EB115+BUS!EC115</f>
        <v>0</v>
      </c>
      <c r="AT4" s="43">
        <f>+BUS!ED115+BUS!EE115+BUS!EF115</f>
        <v>0</v>
      </c>
      <c r="AU4" s="43">
        <f>+BUS!EH115+BUS!EI115+BUS!EG115</f>
        <v>0</v>
      </c>
      <c r="AV4" s="43">
        <f>+BUS!EK115+BUS!EL115+BUS!EJ115</f>
        <v>0</v>
      </c>
      <c r="AW4" s="43">
        <f>+BUS!EN115+BUS!EO115+BUS!EM115</f>
        <v>0</v>
      </c>
      <c r="AX4" s="43">
        <f>+BUS!EQ115+BUS!ER115+BUS!EP115</f>
        <v>0</v>
      </c>
      <c r="AY4" s="43">
        <f>+BUS!ET115+BUS!EU115+BUS!ES115</f>
        <v>0</v>
      </c>
      <c r="AZ4" s="43">
        <f>+BUS!EW115+BUS!EX115+BUS!EV115</f>
        <v>0</v>
      </c>
      <c r="BA4" s="43">
        <f>+BUS!EZ115+BUS!FA115+BUS!EY115</f>
        <v>0</v>
      </c>
      <c r="BB4" s="43">
        <f>+BUS!FC115+BUS!FD115+BUS!FB115</f>
        <v>0</v>
      </c>
      <c r="BC4" s="43">
        <f>+BUS!FF115+BUS!FG115+BUS!FE115</f>
        <v>0</v>
      </c>
      <c r="BD4" s="43">
        <f>+BUS!FI115+BUS!FJ115+BUS!FH115</f>
        <v>0</v>
      </c>
      <c r="BE4" s="43">
        <f>+BUS!FL115+BUS!FM115+BUS!FK115</f>
        <v>0</v>
      </c>
      <c r="BF4" s="225">
        <f>SUM(B4:BE4)</f>
        <v>0</v>
      </c>
    </row>
    <row r="5" spans="1:58" ht="17.25" customHeight="1">
      <c r="A5" s="137">
        <v>2</v>
      </c>
      <c r="B5" s="43">
        <f>+BUS!B116+BUS!C116+BUS!D116</f>
        <v>0</v>
      </c>
      <c r="C5" s="43">
        <f>+BUS!E116+BUS!F116+BUS!G116</f>
        <v>0</v>
      </c>
      <c r="D5" s="43">
        <f>+BUS!H116+BUS!I116+BUS!J116</f>
        <v>0</v>
      </c>
      <c r="E5" s="43">
        <f>+BUS!K116+BUS!L116+BUS!M116</f>
        <v>0</v>
      </c>
      <c r="F5" s="43">
        <f>+BUS!N116+BUS!O116+BUS!P116</f>
        <v>0</v>
      </c>
      <c r="G5" s="43">
        <f>+BUS!Q116+BUS!R116+BUS!S116</f>
        <v>0</v>
      </c>
      <c r="H5" s="43">
        <f>+BUS!T116+BUS!U116+BUS!V116</f>
        <v>0</v>
      </c>
      <c r="I5" s="43">
        <f>+BUS!W116+BUS!X116+BUS!Y116</f>
        <v>0</v>
      </c>
      <c r="J5" s="43">
        <f>+BUS!Z116+BUS!AA116+BUS!AB116</f>
        <v>0</v>
      </c>
      <c r="K5" s="43">
        <f>+BUS!AC116+BUS!AD116+BUS!AE116</f>
        <v>0</v>
      </c>
      <c r="L5" s="43">
        <f>+BUS!AF116+BUS!AG116+BUS!AH116</f>
        <v>0</v>
      </c>
      <c r="M5" s="43">
        <f>+BUS!AI116+BUS!AJ116+BUS!AK116</f>
        <v>0</v>
      </c>
      <c r="N5" s="43">
        <f>+BUS!AL116+BUS!AM116+BUS!AN116</f>
        <v>0</v>
      </c>
      <c r="O5" s="43">
        <f>+BUS!AO116+BUS!AP116+BUS!AQ116</f>
        <v>0</v>
      </c>
      <c r="P5" s="43">
        <f>+BUS!AR116+BUS!AS116+BUS!AT116</f>
        <v>0</v>
      </c>
      <c r="Q5" s="43">
        <f>+BUS!AU116+BUS!AV116+BUS!AW116</f>
        <v>0</v>
      </c>
      <c r="R5" s="43">
        <f>+BUS!AX116+BUS!AY116+BUS!AZ116</f>
        <v>0</v>
      </c>
      <c r="S5" s="43">
        <f>+BUS!BA116+BUS!BB116+BUS!BC116</f>
        <v>0</v>
      </c>
      <c r="T5" s="43">
        <f>+BUS!BD116+BUS!BE116+BUS!BF116</f>
        <v>0</v>
      </c>
      <c r="U5" s="43">
        <f>+BUS!BG116+BUS!BH116+BUS!BI116</f>
        <v>0</v>
      </c>
      <c r="V5" s="43">
        <f>+BUS!BJ116+BUS!BK116+BUS!BL116</f>
        <v>0</v>
      </c>
      <c r="W5" s="43">
        <f>+BUS!BM116+BUS!BN116+BUS!BO116</f>
        <v>0</v>
      </c>
      <c r="X5" s="43">
        <f>+BUS!BP116+BUS!BQ116+BUS!BR116</f>
        <v>0</v>
      </c>
      <c r="Y5" s="43">
        <f>+BUS!BS116+BUS!BT116+BUS!BU116</f>
        <v>0</v>
      </c>
      <c r="Z5" s="43">
        <f>+BUS!BV116+BUS!BW116+BUS!BX116</f>
        <v>0</v>
      </c>
      <c r="AA5" s="43">
        <f>+BUS!BY116+BUS!BZ116+BUS!CA116</f>
        <v>0</v>
      </c>
      <c r="AB5" s="43">
        <f>+BUS!CB116+BUS!CC116+BUS!CD116</f>
        <v>0</v>
      </c>
      <c r="AC5" s="43">
        <f>+BUS!CE116+BUS!CF116+BUS!CG116</f>
        <v>0</v>
      </c>
      <c r="AD5" s="43">
        <f>+BUS!CH116+BUS!CI116+BUS!CJ116</f>
        <v>0</v>
      </c>
      <c r="AE5" s="43">
        <f>+BUS!CK116+BUS!CL116+BUS!CM116</f>
        <v>0</v>
      </c>
      <c r="AF5" s="43">
        <f>+BUS!CN116+BUS!CO116+BUS!CP116</f>
        <v>0</v>
      </c>
      <c r="AG5" s="43">
        <f>+BUS!CQ116+BUS!CR116+BUS!CS116</f>
        <v>0</v>
      </c>
      <c r="AH5" s="43">
        <f>+BUS!CT116+BUS!CU116+BUS!CV116</f>
        <v>0</v>
      </c>
      <c r="AI5" s="43">
        <f>+BUS!CW116+BUS!CX116+BUS!CY116</f>
        <v>0</v>
      </c>
      <c r="AJ5" s="43">
        <f>+BUS!CZ116+BUS!DA116+BUS!DB116</f>
        <v>0</v>
      </c>
      <c r="AK5" s="43">
        <f>+BUS!DC116+BUS!DD116+BUS!DE116</f>
        <v>0</v>
      </c>
      <c r="AL5" s="43">
        <f>+BUS!DF116+BUS!DG116+BUS!DH116</f>
        <v>0</v>
      </c>
      <c r="AM5" s="43">
        <f>+BUS!DI116+BUS!DJ116+BUS!DK116</f>
        <v>0</v>
      </c>
      <c r="AN5" s="43">
        <f>+BUS!DL116+BUS!DM116+BUS!DN116</f>
        <v>0</v>
      </c>
      <c r="AO5" s="43">
        <f>+BUS!DO116+BUS!DP116+BUS!DQ116</f>
        <v>0</v>
      </c>
      <c r="AP5" s="43">
        <f>+BUS!DR116+BUS!DS116+BUS!DT116</f>
        <v>0</v>
      </c>
      <c r="AQ5" s="43">
        <f>+BUS!DU116+BUS!DV116+BUS!DW116</f>
        <v>0</v>
      </c>
      <c r="AR5" s="43">
        <f>+BUS!DX116+BUS!DY116+BUS!DZ116</f>
        <v>0</v>
      </c>
      <c r="AS5" s="43">
        <f>+BUS!EA116+BUS!EB116+BUS!EC116</f>
        <v>0</v>
      </c>
      <c r="AT5" s="43">
        <f>+BUS!ED116+BUS!EE116+BUS!EF116</f>
        <v>0</v>
      </c>
      <c r="AU5" s="43">
        <f>+BUS!EH116+BUS!EI116+BUS!EG116</f>
        <v>0</v>
      </c>
      <c r="AV5" s="43">
        <f>+BUS!EK116+BUS!EL116+BUS!EJ116</f>
        <v>0</v>
      </c>
      <c r="AW5" s="43">
        <f>+BUS!EN116+BUS!EO116+BUS!EM116</f>
        <v>0</v>
      </c>
      <c r="AX5" s="43">
        <f>+BUS!EQ116+BUS!ER116+BUS!EP116</f>
        <v>0</v>
      </c>
      <c r="AY5" s="43">
        <f>+BUS!ET116+BUS!EU116+BUS!ES116</f>
        <v>0</v>
      </c>
      <c r="AZ5" s="43">
        <f>+BUS!EW116+BUS!EX116+BUS!EV116</f>
        <v>0</v>
      </c>
      <c r="BA5" s="43">
        <f>+BUS!EZ116+BUS!FA116+BUS!EY116</f>
        <v>0</v>
      </c>
      <c r="BB5" s="43">
        <f>+BUS!FC116+BUS!FD116+BUS!FB116</f>
        <v>0</v>
      </c>
      <c r="BC5" s="43">
        <f>+BUS!FF116+BUS!FG116+BUS!FE116</f>
        <v>0</v>
      </c>
      <c r="BD5" s="43">
        <f>+BUS!FI116+BUS!FJ116+BUS!FH116</f>
        <v>0</v>
      </c>
      <c r="BE5" s="43">
        <f>+BUS!FL116+BUS!FM116+BUS!FK116</f>
        <v>0</v>
      </c>
      <c r="BF5" s="225">
        <f t="shared" ref="BF5:BF33" si="0">SUM(B5:BE5)</f>
        <v>0</v>
      </c>
    </row>
    <row r="6" spans="1:58" ht="17.25" customHeight="1">
      <c r="A6" s="137">
        <v>3</v>
      </c>
      <c r="B6" s="43">
        <f>+BUS!B117+BUS!C117+BUS!D117</f>
        <v>0</v>
      </c>
      <c r="C6" s="43">
        <f>+BUS!E117+BUS!F117+BUS!G117</f>
        <v>0</v>
      </c>
      <c r="D6" s="43">
        <f>+BUS!H117+BUS!I117+BUS!J117</f>
        <v>0</v>
      </c>
      <c r="E6" s="43">
        <f>+BUS!K117+BUS!L117+BUS!M117</f>
        <v>0</v>
      </c>
      <c r="F6" s="43">
        <f>+BUS!N117+BUS!O117+BUS!P117</f>
        <v>0</v>
      </c>
      <c r="G6" s="43">
        <f>+BUS!Q117+BUS!R117+BUS!S117</f>
        <v>0</v>
      </c>
      <c r="H6" s="43">
        <f>+BUS!T117+BUS!U117+BUS!V117</f>
        <v>0</v>
      </c>
      <c r="I6" s="43">
        <f>+BUS!W117+BUS!X117+BUS!Y117</f>
        <v>0</v>
      </c>
      <c r="J6" s="43">
        <f>+BUS!Z117+BUS!AA117+BUS!AB117</f>
        <v>0</v>
      </c>
      <c r="K6" s="43">
        <f>+BUS!AC117+BUS!AD117+BUS!AE117</f>
        <v>0</v>
      </c>
      <c r="L6" s="43">
        <f>+BUS!AF117+BUS!AG117+BUS!AH117</f>
        <v>0</v>
      </c>
      <c r="M6" s="43">
        <f>+BUS!AI117+BUS!AJ117+BUS!AK117</f>
        <v>0</v>
      </c>
      <c r="N6" s="43">
        <f>+BUS!AL117+BUS!AM117+BUS!AN117</f>
        <v>0</v>
      </c>
      <c r="O6" s="43">
        <f>+BUS!AO117+BUS!AP117+BUS!AQ117</f>
        <v>0</v>
      </c>
      <c r="P6" s="43">
        <f>+BUS!AR117+BUS!AS117+BUS!AT117</f>
        <v>0</v>
      </c>
      <c r="Q6" s="43">
        <f>+BUS!AU117+BUS!AV117+BUS!AW117</f>
        <v>0</v>
      </c>
      <c r="R6" s="43">
        <f>+BUS!AX117+BUS!AY117+BUS!AZ117</f>
        <v>0</v>
      </c>
      <c r="S6" s="43">
        <f>+BUS!BA117+BUS!BB117+BUS!BC117</f>
        <v>0</v>
      </c>
      <c r="T6" s="43">
        <f>+BUS!BD117+BUS!BE117+BUS!BF117</f>
        <v>0</v>
      </c>
      <c r="U6" s="43">
        <f>+BUS!BG117+BUS!BH117+BUS!BI117</f>
        <v>0</v>
      </c>
      <c r="V6" s="43">
        <f>+BUS!BJ117+BUS!BK117+BUS!BL117</f>
        <v>0</v>
      </c>
      <c r="W6" s="43">
        <f>+BUS!BM117+BUS!BN117+BUS!BO117</f>
        <v>0</v>
      </c>
      <c r="X6" s="43">
        <f>+BUS!BP117+BUS!BQ117+BUS!BR117</f>
        <v>0</v>
      </c>
      <c r="Y6" s="43">
        <f>+BUS!BS117+BUS!BT117+BUS!BU117</f>
        <v>0</v>
      </c>
      <c r="Z6" s="43">
        <f>+BUS!BV117+BUS!BW117+BUS!BX117</f>
        <v>0</v>
      </c>
      <c r="AA6" s="43">
        <f>+BUS!BY117+BUS!BZ117+BUS!CA117</f>
        <v>0</v>
      </c>
      <c r="AB6" s="43">
        <f>+BUS!CB117+BUS!CC117+BUS!CD117</f>
        <v>0</v>
      </c>
      <c r="AC6" s="43">
        <f>+BUS!CE117+BUS!CF117+BUS!CG117</f>
        <v>0</v>
      </c>
      <c r="AD6" s="43">
        <f>+BUS!CH117+BUS!CI117+BUS!CJ117</f>
        <v>0</v>
      </c>
      <c r="AE6" s="43">
        <f>+BUS!CK117+BUS!CL117+BUS!CM117</f>
        <v>0</v>
      </c>
      <c r="AF6" s="43">
        <f>+BUS!CN117+BUS!CO117+BUS!CP117</f>
        <v>0</v>
      </c>
      <c r="AG6" s="43">
        <f>+BUS!CQ117+BUS!CR117+BUS!CS117</f>
        <v>0</v>
      </c>
      <c r="AH6" s="43">
        <f>+BUS!CT117+BUS!CU117+BUS!CV117</f>
        <v>0</v>
      </c>
      <c r="AI6" s="43">
        <f>+BUS!CW117+BUS!CX117+BUS!CY117</f>
        <v>0</v>
      </c>
      <c r="AJ6" s="43">
        <f>+BUS!CZ117+BUS!DA117+BUS!DB117</f>
        <v>0</v>
      </c>
      <c r="AK6" s="43">
        <f>+BUS!DC117+BUS!DD117+BUS!DE117</f>
        <v>0</v>
      </c>
      <c r="AL6" s="43">
        <f>+BUS!DF117+BUS!DG117+BUS!DH117</f>
        <v>0</v>
      </c>
      <c r="AM6" s="43">
        <f>+BUS!DI117+BUS!DJ117+BUS!DK117</f>
        <v>0</v>
      </c>
      <c r="AN6" s="43">
        <f>+BUS!DL117+BUS!DM117+BUS!DN117</f>
        <v>0</v>
      </c>
      <c r="AO6" s="43">
        <f>+BUS!DO117+BUS!DP117+BUS!DQ117</f>
        <v>0</v>
      </c>
      <c r="AP6" s="43">
        <f>+BUS!DR117+BUS!DS117+BUS!DT117</f>
        <v>0</v>
      </c>
      <c r="AQ6" s="43">
        <f>+BUS!DU117+BUS!DV117+BUS!DW117</f>
        <v>0</v>
      </c>
      <c r="AR6" s="43">
        <f>+BUS!DX117+BUS!DY117+BUS!DZ117</f>
        <v>0</v>
      </c>
      <c r="AS6" s="43">
        <f>+BUS!EA117+BUS!EB117+BUS!EC117</f>
        <v>0</v>
      </c>
      <c r="AT6" s="43">
        <f>+BUS!ED117+BUS!EE117+BUS!EF117</f>
        <v>0</v>
      </c>
      <c r="AU6" s="43">
        <f>+BUS!EH117+BUS!EI117+BUS!EG117</f>
        <v>0</v>
      </c>
      <c r="AV6" s="43">
        <f>+BUS!EK117+BUS!EL117+BUS!EJ117</f>
        <v>0</v>
      </c>
      <c r="AW6" s="43">
        <f>+BUS!EN117+BUS!EO117+BUS!EM117</f>
        <v>0</v>
      </c>
      <c r="AX6" s="43">
        <f>+BUS!EQ117+BUS!ER117+BUS!EP117</f>
        <v>0</v>
      </c>
      <c r="AY6" s="43">
        <f>+BUS!ET117+BUS!EU117+BUS!ES117</f>
        <v>0</v>
      </c>
      <c r="AZ6" s="43">
        <f>+BUS!EW117+BUS!EX117+BUS!EV117</f>
        <v>0</v>
      </c>
      <c r="BA6" s="43">
        <f>+BUS!EZ117+BUS!FA117+BUS!EY117</f>
        <v>0</v>
      </c>
      <c r="BB6" s="43">
        <f>+BUS!FC117+BUS!FD117+BUS!FB117</f>
        <v>0</v>
      </c>
      <c r="BC6" s="43">
        <f>+BUS!FF117+BUS!FG117+BUS!FE117</f>
        <v>0</v>
      </c>
      <c r="BD6" s="43">
        <f>+BUS!FI117+BUS!FJ117+BUS!FH117</f>
        <v>0</v>
      </c>
      <c r="BE6" s="43">
        <f>+BUS!FL117+BUS!FM117+BUS!FK117</f>
        <v>0</v>
      </c>
      <c r="BF6" s="225">
        <f t="shared" si="0"/>
        <v>0</v>
      </c>
    </row>
    <row r="7" spans="1:58" ht="18.75" customHeight="1">
      <c r="A7" s="137">
        <v>4</v>
      </c>
      <c r="B7" s="43">
        <f>+BUS!B118+BUS!C118+BUS!D118</f>
        <v>0</v>
      </c>
      <c r="C7" s="43">
        <f>+BUS!E118+BUS!F118+BUS!G118</f>
        <v>0</v>
      </c>
      <c r="D7" s="43">
        <f>+BUS!H118+BUS!I118+BUS!J118</f>
        <v>0</v>
      </c>
      <c r="E7" s="43">
        <f>+BUS!K118+BUS!L118+BUS!M118</f>
        <v>0</v>
      </c>
      <c r="F7" s="43">
        <f>+BUS!N118+BUS!O118+BUS!P118</f>
        <v>0</v>
      </c>
      <c r="G7" s="43">
        <f>+BUS!Q118+BUS!R118+BUS!S118</f>
        <v>0</v>
      </c>
      <c r="H7" s="43">
        <f>+BUS!T118+BUS!U118+BUS!V118</f>
        <v>0</v>
      </c>
      <c r="I7" s="43">
        <f>+BUS!W118+BUS!X118+BUS!Y118</f>
        <v>0</v>
      </c>
      <c r="J7" s="43">
        <f>+BUS!Z118+BUS!AA118+BUS!AB118</f>
        <v>0</v>
      </c>
      <c r="K7" s="43">
        <f>+BUS!AC118+BUS!AD118+BUS!AE118</f>
        <v>0</v>
      </c>
      <c r="L7" s="43">
        <f>+BUS!AF118+BUS!AG118+BUS!AH118</f>
        <v>0</v>
      </c>
      <c r="M7" s="43">
        <f>+BUS!AI118+BUS!AJ118+BUS!AK118</f>
        <v>0</v>
      </c>
      <c r="N7" s="43">
        <f>+BUS!AL118+BUS!AM118+BUS!AN118</f>
        <v>0</v>
      </c>
      <c r="O7" s="43">
        <f>+BUS!AO118+BUS!AP118+BUS!AQ118</f>
        <v>0</v>
      </c>
      <c r="P7" s="43">
        <f>+BUS!AR118+BUS!AS118+BUS!AT118</f>
        <v>0</v>
      </c>
      <c r="Q7" s="43">
        <f>+BUS!AU118+BUS!AV118+BUS!AW118</f>
        <v>0</v>
      </c>
      <c r="R7" s="43">
        <f>+BUS!AX118+BUS!AY118+BUS!AZ118</f>
        <v>0</v>
      </c>
      <c r="S7" s="43">
        <f>+BUS!BA118+BUS!BB118+BUS!BC118</f>
        <v>0</v>
      </c>
      <c r="T7" s="43">
        <f>+BUS!BD118+BUS!BE118+BUS!BF118</f>
        <v>0</v>
      </c>
      <c r="U7" s="43">
        <f>+BUS!BG118+BUS!BH118+BUS!BI118</f>
        <v>0</v>
      </c>
      <c r="V7" s="43">
        <f>+BUS!BJ118+BUS!BK118+BUS!BL118</f>
        <v>0</v>
      </c>
      <c r="W7" s="43">
        <f>+BUS!BM118+BUS!BN118+BUS!BO118</f>
        <v>0</v>
      </c>
      <c r="X7" s="43">
        <f>+BUS!BP118+BUS!BQ118+BUS!BR118</f>
        <v>0</v>
      </c>
      <c r="Y7" s="43">
        <f>+BUS!BS118+BUS!BT118+BUS!BU118</f>
        <v>0</v>
      </c>
      <c r="Z7" s="43">
        <f>+BUS!BV118+BUS!BW118+BUS!BX118</f>
        <v>0</v>
      </c>
      <c r="AA7" s="43">
        <f>+BUS!BY118+BUS!BZ118+BUS!CA118</f>
        <v>0</v>
      </c>
      <c r="AB7" s="43">
        <f>+BUS!CB118+BUS!CC118+BUS!CD118</f>
        <v>0</v>
      </c>
      <c r="AC7" s="43">
        <f>+BUS!CE118+BUS!CF118+BUS!CG118</f>
        <v>0</v>
      </c>
      <c r="AD7" s="43">
        <f>+BUS!CH118+BUS!CI118+BUS!CJ118</f>
        <v>0</v>
      </c>
      <c r="AE7" s="43">
        <f>+BUS!CK118+BUS!CL118+BUS!CM118</f>
        <v>0</v>
      </c>
      <c r="AF7" s="43">
        <f>+BUS!CN118+BUS!CO118+BUS!CP118</f>
        <v>0</v>
      </c>
      <c r="AG7" s="43">
        <f>+BUS!CQ118+BUS!CR118+BUS!CS118</f>
        <v>0</v>
      </c>
      <c r="AH7" s="43">
        <f>+BUS!CT118+BUS!CU118+BUS!CV118</f>
        <v>0</v>
      </c>
      <c r="AI7" s="43">
        <f>+BUS!CW118+BUS!CX118+BUS!CY118</f>
        <v>0</v>
      </c>
      <c r="AJ7" s="43">
        <f>+BUS!CZ118+BUS!DA118+BUS!DB118</f>
        <v>0</v>
      </c>
      <c r="AK7" s="43">
        <f>+BUS!DC118+BUS!DD118+BUS!DE118</f>
        <v>0</v>
      </c>
      <c r="AL7" s="43">
        <f>+BUS!DF118+BUS!DG118+BUS!DH118</f>
        <v>0</v>
      </c>
      <c r="AM7" s="43">
        <f>+BUS!DI118+BUS!DJ118+BUS!DK118</f>
        <v>0</v>
      </c>
      <c r="AN7" s="43">
        <f>+BUS!DL118+BUS!DM118+BUS!DN118</f>
        <v>0</v>
      </c>
      <c r="AO7" s="43">
        <f>+BUS!DO118+BUS!DP118+BUS!DQ118</f>
        <v>0</v>
      </c>
      <c r="AP7" s="43">
        <f>+BUS!DR118+BUS!DS118+BUS!DT118</f>
        <v>0</v>
      </c>
      <c r="AQ7" s="43">
        <f>+BUS!DU118+BUS!DV118+BUS!DW118</f>
        <v>0</v>
      </c>
      <c r="AR7" s="43">
        <f>+BUS!DX118+BUS!DY118+BUS!DZ118</f>
        <v>0</v>
      </c>
      <c r="AS7" s="43">
        <f>+BUS!EA118+BUS!EB118+BUS!EC118</f>
        <v>0</v>
      </c>
      <c r="AT7" s="43">
        <f>+BUS!ED118+BUS!EE118+BUS!EF118</f>
        <v>0</v>
      </c>
      <c r="AU7" s="43">
        <f>+BUS!EH118+BUS!EI118+BUS!EG118</f>
        <v>0</v>
      </c>
      <c r="AV7" s="43">
        <f>+BUS!EK118+BUS!EL118+BUS!EJ118</f>
        <v>0</v>
      </c>
      <c r="AW7" s="43">
        <f>+BUS!EN118+BUS!EO118+BUS!EM118</f>
        <v>0</v>
      </c>
      <c r="AX7" s="43">
        <f>+BUS!EQ118+BUS!ER118+BUS!EP118</f>
        <v>0</v>
      </c>
      <c r="AY7" s="43">
        <f>+BUS!ET118+BUS!EU118+BUS!ES118</f>
        <v>0</v>
      </c>
      <c r="AZ7" s="43">
        <f>+BUS!EW118+BUS!EX118+BUS!EV118</f>
        <v>0</v>
      </c>
      <c r="BA7" s="43">
        <f>+BUS!EZ118+BUS!FA118+BUS!EY118</f>
        <v>0</v>
      </c>
      <c r="BB7" s="43">
        <f>+BUS!FC118+BUS!FD118+BUS!FB118</f>
        <v>0</v>
      </c>
      <c r="BC7" s="43">
        <f>+BUS!FF118+BUS!FG118+BUS!FE118</f>
        <v>0</v>
      </c>
      <c r="BD7" s="43">
        <f>+BUS!FI118+BUS!FJ118+BUS!FH118</f>
        <v>0</v>
      </c>
      <c r="BE7" s="43">
        <f>+BUS!FL118+BUS!FM118+BUS!FK118</f>
        <v>0</v>
      </c>
      <c r="BF7" s="225">
        <f t="shared" si="0"/>
        <v>0</v>
      </c>
    </row>
    <row r="8" spans="1:58" ht="16.5" customHeight="1">
      <c r="A8" s="137">
        <v>5</v>
      </c>
      <c r="B8" s="43">
        <f>+BUS!B119+BUS!C119+BUS!D119</f>
        <v>0</v>
      </c>
      <c r="C8" s="43">
        <f>+BUS!E119+BUS!F119+BUS!G119</f>
        <v>0</v>
      </c>
      <c r="D8" s="43">
        <f>+BUS!H119+BUS!I119+BUS!J119</f>
        <v>0</v>
      </c>
      <c r="E8" s="43">
        <f>+BUS!K119+BUS!L119+BUS!M119</f>
        <v>0</v>
      </c>
      <c r="F8" s="43">
        <f>+BUS!N119+BUS!O119+BUS!P119</f>
        <v>0</v>
      </c>
      <c r="G8" s="43">
        <f>+BUS!Q119+BUS!R119+BUS!S119</f>
        <v>0</v>
      </c>
      <c r="H8" s="43">
        <f>+BUS!T119+BUS!U119+BUS!V119</f>
        <v>0</v>
      </c>
      <c r="I8" s="43">
        <f>+BUS!W119+BUS!X119+BUS!Y119</f>
        <v>0</v>
      </c>
      <c r="J8" s="43">
        <f>+BUS!Z119+BUS!AA119+BUS!AB119</f>
        <v>0</v>
      </c>
      <c r="K8" s="43">
        <f>+BUS!AC119+BUS!AD119+BUS!AE119</f>
        <v>0</v>
      </c>
      <c r="L8" s="43">
        <f>+BUS!AF119+BUS!AG119+BUS!AH119</f>
        <v>0</v>
      </c>
      <c r="M8" s="43">
        <f>+BUS!AI119+BUS!AJ119+BUS!AK119</f>
        <v>0</v>
      </c>
      <c r="N8" s="43">
        <f>+BUS!AL119+BUS!AM119+BUS!AN119</f>
        <v>0</v>
      </c>
      <c r="O8" s="43">
        <f>+BUS!AO119+BUS!AP119+BUS!AQ119</f>
        <v>0</v>
      </c>
      <c r="P8" s="43">
        <f>+BUS!AR119+BUS!AS119+BUS!AT119</f>
        <v>0</v>
      </c>
      <c r="Q8" s="43">
        <f>+BUS!AU119+BUS!AV119+BUS!AW119</f>
        <v>0</v>
      </c>
      <c r="R8" s="43">
        <f>+BUS!AX119+BUS!AY119+BUS!AZ119</f>
        <v>0</v>
      </c>
      <c r="S8" s="43">
        <f>+BUS!BA119+BUS!BB119+BUS!BC119</f>
        <v>0</v>
      </c>
      <c r="T8" s="43">
        <f>+BUS!BD119+BUS!BE119+BUS!BF119</f>
        <v>0</v>
      </c>
      <c r="U8" s="43">
        <f>+BUS!BG119+BUS!BH119+BUS!BI119</f>
        <v>0</v>
      </c>
      <c r="V8" s="43">
        <f>+BUS!BJ119+BUS!BK119+BUS!BL119</f>
        <v>0</v>
      </c>
      <c r="W8" s="43">
        <f>+BUS!BM119+BUS!BN119+BUS!BO119</f>
        <v>0</v>
      </c>
      <c r="X8" s="43">
        <f>+BUS!BP119+BUS!BQ119+BUS!BR119</f>
        <v>0</v>
      </c>
      <c r="Y8" s="43">
        <f>+BUS!BS119+BUS!BT119+BUS!BU119</f>
        <v>0</v>
      </c>
      <c r="Z8" s="43">
        <f>+BUS!BV119+BUS!BW119+BUS!BX119</f>
        <v>0</v>
      </c>
      <c r="AA8" s="43">
        <f>+BUS!BY119+BUS!BZ119+BUS!CA119</f>
        <v>0</v>
      </c>
      <c r="AB8" s="43">
        <f>+BUS!CB119+BUS!CC119+BUS!CD119</f>
        <v>0</v>
      </c>
      <c r="AC8" s="43">
        <f>+BUS!CE119+BUS!CF119+BUS!CG119</f>
        <v>0</v>
      </c>
      <c r="AD8" s="43">
        <f>+BUS!CH119+BUS!CI119+BUS!CJ119</f>
        <v>0</v>
      </c>
      <c r="AE8" s="43">
        <f>+BUS!CK119+BUS!CL119+BUS!CM119</f>
        <v>0</v>
      </c>
      <c r="AF8" s="43">
        <f>+BUS!CN119+BUS!CO119+BUS!CP119</f>
        <v>0</v>
      </c>
      <c r="AG8" s="43">
        <f>+BUS!CQ119+BUS!CR119+BUS!CS119</f>
        <v>0</v>
      </c>
      <c r="AH8" s="43">
        <f>+BUS!CT119+BUS!CU119+BUS!CV119</f>
        <v>0</v>
      </c>
      <c r="AI8" s="43">
        <f>+BUS!CW119+BUS!CX119+BUS!CY119</f>
        <v>0</v>
      </c>
      <c r="AJ8" s="43">
        <f>+BUS!CZ119+BUS!DA119+BUS!DB119</f>
        <v>0</v>
      </c>
      <c r="AK8" s="43">
        <f>+BUS!DC119+BUS!DD119+BUS!DE119</f>
        <v>0</v>
      </c>
      <c r="AL8" s="43">
        <f>+BUS!DF119+BUS!DG119+BUS!DH119</f>
        <v>0</v>
      </c>
      <c r="AM8" s="43">
        <f>+BUS!DI119+BUS!DJ119+BUS!DK119</f>
        <v>0</v>
      </c>
      <c r="AN8" s="43">
        <f>+BUS!DL119+BUS!DM119+BUS!DN119</f>
        <v>0</v>
      </c>
      <c r="AO8" s="43">
        <f>+BUS!DO119+BUS!DP119+BUS!DQ119</f>
        <v>0</v>
      </c>
      <c r="AP8" s="43">
        <f>+BUS!DR119+BUS!DS119+BUS!DT119</f>
        <v>0</v>
      </c>
      <c r="AQ8" s="43">
        <f>+BUS!DU119+BUS!DV119+BUS!DW119</f>
        <v>0</v>
      </c>
      <c r="AR8" s="43">
        <f>+BUS!DX119+BUS!DY119+BUS!DZ119</f>
        <v>0</v>
      </c>
      <c r="AS8" s="43">
        <f>+BUS!EA119+BUS!EB119+BUS!EC119</f>
        <v>0</v>
      </c>
      <c r="AT8" s="43">
        <f>+BUS!ED119+BUS!EE119+BUS!EF119</f>
        <v>0</v>
      </c>
      <c r="AU8" s="43">
        <f>+BUS!EH119+BUS!EI119+BUS!EG119</f>
        <v>0</v>
      </c>
      <c r="AV8" s="43">
        <f>+BUS!EK119+BUS!EL119+BUS!EJ119</f>
        <v>0</v>
      </c>
      <c r="AW8" s="43">
        <f>+BUS!EN119+BUS!EO119+BUS!EM119</f>
        <v>0</v>
      </c>
      <c r="AX8" s="43">
        <f>+BUS!EQ119+BUS!ER119+BUS!EP119</f>
        <v>0</v>
      </c>
      <c r="AY8" s="43">
        <f>+BUS!ET119+BUS!EU119+BUS!ES119</f>
        <v>0</v>
      </c>
      <c r="AZ8" s="43">
        <f>+BUS!EW119+BUS!EX119+BUS!EV119</f>
        <v>0</v>
      </c>
      <c r="BA8" s="43">
        <f>+BUS!EZ119+BUS!FA119+BUS!EY119</f>
        <v>0</v>
      </c>
      <c r="BB8" s="43">
        <f>+BUS!FC119+BUS!FD119+BUS!FB119</f>
        <v>0</v>
      </c>
      <c r="BC8" s="43">
        <f>+BUS!FF119+BUS!FG119+BUS!FE119</f>
        <v>0</v>
      </c>
      <c r="BD8" s="43">
        <f>+BUS!FI119+BUS!FJ119+BUS!FH119</f>
        <v>0</v>
      </c>
      <c r="BE8" s="43">
        <f>+BUS!FL119+BUS!FM119+BUS!FK119</f>
        <v>0</v>
      </c>
      <c r="BF8" s="225">
        <f t="shared" si="0"/>
        <v>0</v>
      </c>
    </row>
    <row r="9" spans="1:58" ht="15.75" customHeight="1">
      <c r="A9" s="137">
        <v>6</v>
      </c>
      <c r="B9" s="43">
        <f>+BUS!B120+BUS!C120+BUS!D120</f>
        <v>0</v>
      </c>
      <c r="C9" s="43">
        <f>+BUS!E120+BUS!F120+BUS!G120</f>
        <v>0</v>
      </c>
      <c r="D9" s="43">
        <f>+BUS!H120+BUS!I120+BUS!J120</f>
        <v>0</v>
      </c>
      <c r="E9" s="43">
        <f>+BUS!K120+BUS!L120+BUS!M120</f>
        <v>0</v>
      </c>
      <c r="F9" s="43">
        <f>+BUS!N120+BUS!O120+BUS!P120</f>
        <v>0</v>
      </c>
      <c r="G9" s="43">
        <f>+BUS!Q120+BUS!R120+BUS!S120</f>
        <v>0</v>
      </c>
      <c r="H9" s="43">
        <f>+BUS!T120+BUS!U120+BUS!V120</f>
        <v>0</v>
      </c>
      <c r="I9" s="43">
        <f>+BUS!W120+BUS!X120+BUS!Y120</f>
        <v>0</v>
      </c>
      <c r="J9" s="43">
        <f>+BUS!Z120+BUS!AA120+BUS!AB120</f>
        <v>0</v>
      </c>
      <c r="K9" s="43">
        <f>+BUS!AC120+BUS!AD120+BUS!AE120</f>
        <v>0</v>
      </c>
      <c r="L9" s="43">
        <f>+BUS!AF120+BUS!AG120+BUS!AH120</f>
        <v>0</v>
      </c>
      <c r="M9" s="43">
        <f>+BUS!AI120+BUS!AJ120+BUS!AK120</f>
        <v>0</v>
      </c>
      <c r="N9" s="43">
        <f>+BUS!AL120+BUS!AM120+BUS!AN120</f>
        <v>0</v>
      </c>
      <c r="O9" s="43">
        <f>+BUS!AO120+BUS!AP120+BUS!AQ120</f>
        <v>0</v>
      </c>
      <c r="P9" s="43">
        <f>+BUS!AR120+BUS!AS120+BUS!AT120</f>
        <v>0</v>
      </c>
      <c r="Q9" s="43">
        <f>+BUS!AU120+BUS!AV120+BUS!AW120</f>
        <v>0</v>
      </c>
      <c r="R9" s="43">
        <f>+BUS!AX120+BUS!AY120+BUS!AZ120</f>
        <v>0</v>
      </c>
      <c r="S9" s="43">
        <f>+BUS!BA120+BUS!BB120+BUS!BC120</f>
        <v>0</v>
      </c>
      <c r="T9" s="43">
        <f>+BUS!BD120+BUS!BE120+BUS!BF120</f>
        <v>0</v>
      </c>
      <c r="U9" s="43">
        <f>+BUS!BG120+BUS!BH120+BUS!BI120</f>
        <v>0</v>
      </c>
      <c r="V9" s="43">
        <f>+BUS!BJ120+BUS!BK120+BUS!BL120</f>
        <v>0</v>
      </c>
      <c r="W9" s="43">
        <f>+BUS!BM120+BUS!BN120+BUS!BO120</f>
        <v>0</v>
      </c>
      <c r="X9" s="43">
        <f>+BUS!BP120+BUS!BQ120+BUS!BR120</f>
        <v>0</v>
      </c>
      <c r="Y9" s="43">
        <f>+BUS!BS120+BUS!BT120+BUS!BU120</f>
        <v>0</v>
      </c>
      <c r="Z9" s="43">
        <f>+BUS!BV120+BUS!BW120+BUS!BX120</f>
        <v>0</v>
      </c>
      <c r="AA9" s="43">
        <f>+BUS!BY120+BUS!BZ120+BUS!CA120</f>
        <v>0</v>
      </c>
      <c r="AB9" s="43">
        <f>+BUS!CB120+BUS!CC120+BUS!CD120</f>
        <v>0</v>
      </c>
      <c r="AC9" s="43">
        <f>+BUS!CE120+BUS!CF120+BUS!CG120</f>
        <v>0</v>
      </c>
      <c r="AD9" s="43">
        <f>+BUS!CH120+BUS!CI120+BUS!CJ120</f>
        <v>0</v>
      </c>
      <c r="AE9" s="43">
        <f>+BUS!CK120+BUS!CL120+BUS!CM120</f>
        <v>0</v>
      </c>
      <c r="AF9" s="43">
        <f>+BUS!CN120+BUS!CO120+BUS!CP120</f>
        <v>0</v>
      </c>
      <c r="AG9" s="43">
        <f>+BUS!CQ120+BUS!CR120+BUS!CS120</f>
        <v>0</v>
      </c>
      <c r="AH9" s="43">
        <f>+BUS!CT120+BUS!CU120+BUS!CV120</f>
        <v>0</v>
      </c>
      <c r="AI9" s="43">
        <f>+BUS!CW120+BUS!CX120+BUS!CY120</f>
        <v>0</v>
      </c>
      <c r="AJ9" s="43">
        <f>+BUS!CZ120+BUS!DA120+BUS!DB120</f>
        <v>0</v>
      </c>
      <c r="AK9" s="43">
        <f>+BUS!DC120+BUS!DD120+BUS!DE120</f>
        <v>0</v>
      </c>
      <c r="AL9" s="43">
        <f>+BUS!DF120+BUS!DG120+BUS!DH120</f>
        <v>0</v>
      </c>
      <c r="AM9" s="43">
        <f>+BUS!DI120+BUS!DJ120+BUS!DK120</f>
        <v>0</v>
      </c>
      <c r="AN9" s="43">
        <f>+BUS!DL120+BUS!DM120+BUS!DN120</f>
        <v>0</v>
      </c>
      <c r="AO9" s="43">
        <f>+BUS!DO120+BUS!DP120+BUS!DQ120</f>
        <v>0</v>
      </c>
      <c r="AP9" s="43">
        <f>+BUS!DR120+BUS!DS120+BUS!DT120</f>
        <v>0</v>
      </c>
      <c r="AQ9" s="43">
        <f>+BUS!DU120+BUS!DV120+BUS!DW120</f>
        <v>0</v>
      </c>
      <c r="AR9" s="43">
        <f>+BUS!DX120+BUS!DY120+BUS!DZ120</f>
        <v>0</v>
      </c>
      <c r="AS9" s="43">
        <f>+BUS!EA120+BUS!EB120+BUS!EC120</f>
        <v>0</v>
      </c>
      <c r="AT9" s="43">
        <f>+BUS!ED120+BUS!EE120+BUS!EF120</f>
        <v>0</v>
      </c>
      <c r="AU9" s="43">
        <f>+BUS!EH120+BUS!EI120+BUS!EG120</f>
        <v>0</v>
      </c>
      <c r="AV9" s="43">
        <f>+BUS!EK120+BUS!EL120+BUS!EJ120</f>
        <v>0</v>
      </c>
      <c r="AW9" s="43">
        <f>+BUS!EN120+BUS!EO120+BUS!EM120</f>
        <v>0</v>
      </c>
      <c r="AX9" s="43">
        <f>+BUS!EQ120+BUS!ER120+BUS!EP120</f>
        <v>0</v>
      </c>
      <c r="AY9" s="43">
        <f>+BUS!ET120+BUS!EU120+BUS!ES120</f>
        <v>0</v>
      </c>
      <c r="AZ9" s="43">
        <f>+BUS!EW120+BUS!EX120+BUS!EV120</f>
        <v>0</v>
      </c>
      <c r="BA9" s="43">
        <f>+BUS!EZ120+BUS!FA120+BUS!EY120</f>
        <v>0</v>
      </c>
      <c r="BB9" s="43">
        <f>+BUS!FC120+BUS!FD120+BUS!FB120</f>
        <v>0</v>
      </c>
      <c r="BC9" s="43">
        <f>+BUS!FF120+BUS!FG120+BUS!FE120</f>
        <v>0</v>
      </c>
      <c r="BD9" s="43">
        <f>+BUS!FI120+BUS!FJ120+BUS!FH120</f>
        <v>0</v>
      </c>
      <c r="BE9" s="43">
        <f>+BUS!FL120+BUS!FM120+BUS!FK120</f>
        <v>0</v>
      </c>
      <c r="BF9" s="225">
        <f t="shared" si="0"/>
        <v>0</v>
      </c>
    </row>
    <row r="10" spans="1:58" ht="15" customHeight="1">
      <c r="A10" s="137">
        <v>7</v>
      </c>
      <c r="B10" s="43">
        <f>+BUS!B121+BUS!C121+BUS!D121</f>
        <v>0</v>
      </c>
      <c r="C10" s="43">
        <f>+BUS!E121+BUS!F121+BUS!G121</f>
        <v>0</v>
      </c>
      <c r="D10" s="43">
        <f>+BUS!H121+BUS!I121+BUS!J121</f>
        <v>0</v>
      </c>
      <c r="E10" s="43">
        <f>+BUS!K121+BUS!L121+BUS!M121</f>
        <v>0</v>
      </c>
      <c r="F10" s="43">
        <f>+BUS!N121+BUS!O121+BUS!P121</f>
        <v>0</v>
      </c>
      <c r="G10" s="43">
        <f>+BUS!Q121+BUS!R121+BUS!S121</f>
        <v>0</v>
      </c>
      <c r="H10" s="43">
        <f>+BUS!T121+BUS!U121+BUS!V121</f>
        <v>0</v>
      </c>
      <c r="I10" s="43">
        <f>+BUS!W121+BUS!X121+BUS!Y121</f>
        <v>0</v>
      </c>
      <c r="J10" s="43">
        <f>+BUS!Z121+BUS!AA121+BUS!AB121</f>
        <v>0</v>
      </c>
      <c r="K10" s="43">
        <f>+BUS!AC121+BUS!AD121+BUS!AE121</f>
        <v>0</v>
      </c>
      <c r="L10" s="43">
        <f>+BUS!AF121+BUS!AG121+BUS!AH121</f>
        <v>0</v>
      </c>
      <c r="M10" s="43">
        <f>+BUS!AI121+BUS!AJ121+BUS!AK121</f>
        <v>0</v>
      </c>
      <c r="N10" s="43">
        <f>+BUS!AL121+BUS!AM121+BUS!AN121</f>
        <v>0</v>
      </c>
      <c r="O10" s="43">
        <f>+BUS!AO121+BUS!AP121+BUS!AQ121</f>
        <v>0</v>
      </c>
      <c r="P10" s="43">
        <f>+BUS!AR121+BUS!AS121+BUS!AT121</f>
        <v>0</v>
      </c>
      <c r="Q10" s="43">
        <f>+BUS!AU121+BUS!AV121+BUS!AW121</f>
        <v>0</v>
      </c>
      <c r="R10" s="43">
        <f>+BUS!AX121+BUS!AY121+BUS!AZ121</f>
        <v>0</v>
      </c>
      <c r="S10" s="43">
        <f>+BUS!BA121+BUS!BB121+BUS!BC121</f>
        <v>0</v>
      </c>
      <c r="T10" s="43">
        <f>+BUS!BD121+BUS!BE121+BUS!BF121</f>
        <v>0</v>
      </c>
      <c r="U10" s="43">
        <f>+BUS!BG121+BUS!BH121+BUS!BI121</f>
        <v>0</v>
      </c>
      <c r="V10" s="43">
        <f>+BUS!BJ121+BUS!BK121+BUS!BL121</f>
        <v>0</v>
      </c>
      <c r="W10" s="43">
        <f>+BUS!BM121+BUS!BN121+BUS!BO121</f>
        <v>0</v>
      </c>
      <c r="X10" s="43">
        <f>+BUS!BP121+BUS!BQ121+BUS!BR121</f>
        <v>0</v>
      </c>
      <c r="Y10" s="43">
        <f>+BUS!BS121+BUS!BT121+BUS!BU121</f>
        <v>0</v>
      </c>
      <c r="Z10" s="43">
        <f>+BUS!BV121+BUS!BW121+BUS!BX121</f>
        <v>0</v>
      </c>
      <c r="AA10" s="43">
        <f>+BUS!BY121+BUS!BZ121+BUS!CA121</f>
        <v>0</v>
      </c>
      <c r="AB10" s="43">
        <f>+BUS!CB121+BUS!CC121+BUS!CD121</f>
        <v>0</v>
      </c>
      <c r="AC10" s="43">
        <f>+BUS!CE121+BUS!CF121+BUS!CG121</f>
        <v>0</v>
      </c>
      <c r="AD10" s="43">
        <f>+BUS!CH121+BUS!CI121+BUS!CJ121</f>
        <v>0</v>
      </c>
      <c r="AE10" s="43">
        <f>+BUS!CK121+BUS!CL121+BUS!CM121</f>
        <v>0</v>
      </c>
      <c r="AF10" s="43">
        <f>+BUS!CN121+BUS!CO121+BUS!CP121</f>
        <v>0</v>
      </c>
      <c r="AG10" s="43">
        <f>+BUS!CQ121+BUS!CR121+BUS!CS121</f>
        <v>0</v>
      </c>
      <c r="AH10" s="43">
        <f>+BUS!CT121+BUS!CU121+BUS!CV121</f>
        <v>0</v>
      </c>
      <c r="AI10" s="43">
        <f>+BUS!CW121+BUS!CX121+BUS!CY121</f>
        <v>0</v>
      </c>
      <c r="AJ10" s="43">
        <f>+BUS!CZ121+BUS!DA121+BUS!DB121</f>
        <v>0</v>
      </c>
      <c r="AK10" s="43">
        <f>+BUS!DC121+BUS!DD121+BUS!DE121</f>
        <v>0</v>
      </c>
      <c r="AL10" s="43">
        <f>+BUS!DF121+BUS!DG121+BUS!DH121</f>
        <v>0</v>
      </c>
      <c r="AM10" s="43">
        <f>+BUS!DI121+BUS!DJ121+BUS!DK121</f>
        <v>0</v>
      </c>
      <c r="AN10" s="43">
        <f>+BUS!DL121+BUS!DM121+BUS!DN121</f>
        <v>0</v>
      </c>
      <c r="AO10" s="43">
        <f>+BUS!DO121+BUS!DP121+BUS!DQ121</f>
        <v>0</v>
      </c>
      <c r="AP10" s="43">
        <f>+BUS!DR121+BUS!DS121+BUS!DT121</f>
        <v>0</v>
      </c>
      <c r="AQ10" s="43">
        <f>+BUS!DU121+BUS!DV121+BUS!DW121</f>
        <v>0</v>
      </c>
      <c r="AR10" s="43">
        <f>+BUS!DX121+BUS!DY121+BUS!DZ121</f>
        <v>0</v>
      </c>
      <c r="AS10" s="43">
        <f>+BUS!EA121+BUS!EB121+BUS!EC121</f>
        <v>0</v>
      </c>
      <c r="AT10" s="43">
        <f>+BUS!ED121+BUS!EE121+BUS!EF121</f>
        <v>0</v>
      </c>
      <c r="AU10" s="43">
        <f>+BUS!EH121+BUS!EI121+BUS!EG121</f>
        <v>0</v>
      </c>
      <c r="AV10" s="43">
        <f>+BUS!EK121+BUS!EL121+BUS!EJ121</f>
        <v>0</v>
      </c>
      <c r="AW10" s="43">
        <f>+BUS!EN121+BUS!EO121+BUS!EM121</f>
        <v>0</v>
      </c>
      <c r="AX10" s="43">
        <f>+BUS!EQ121+BUS!ER121+BUS!EP121</f>
        <v>0</v>
      </c>
      <c r="AY10" s="43">
        <f>+BUS!ET121+BUS!EU121+BUS!ES121</f>
        <v>0</v>
      </c>
      <c r="AZ10" s="43">
        <f>+BUS!EW121+BUS!EX121+BUS!EV121</f>
        <v>0</v>
      </c>
      <c r="BA10" s="43">
        <f>+BUS!EZ121+BUS!FA121+BUS!EY121</f>
        <v>0</v>
      </c>
      <c r="BB10" s="43">
        <f>+BUS!FC121+BUS!FD121+BUS!FB121</f>
        <v>0</v>
      </c>
      <c r="BC10" s="43">
        <f>+BUS!FF121+BUS!FG121+BUS!FE121</f>
        <v>0</v>
      </c>
      <c r="BD10" s="43">
        <f>+BUS!FI121+BUS!FJ121+BUS!FH121</f>
        <v>0</v>
      </c>
      <c r="BE10" s="43">
        <f>+BUS!FL121+BUS!FM121+BUS!FK121</f>
        <v>0</v>
      </c>
      <c r="BF10" s="225">
        <f t="shared" si="0"/>
        <v>0</v>
      </c>
    </row>
    <row r="11" spans="1:58" ht="17.25" customHeight="1">
      <c r="A11" s="137">
        <v>8</v>
      </c>
      <c r="B11" s="43">
        <f>+BUS!B122+BUS!C122+BUS!D122</f>
        <v>0</v>
      </c>
      <c r="C11" s="43">
        <f>+BUS!E122+BUS!F122+BUS!G122</f>
        <v>0</v>
      </c>
      <c r="D11" s="43">
        <f>+BUS!H122+BUS!I122+BUS!J122</f>
        <v>0</v>
      </c>
      <c r="E11" s="43">
        <f>+BUS!K122+BUS!L122+BUS!M122</f>
        <v>0</v>
      </c>
      <c r="F11" s="43">
        <f>+BUS!N122+BUS!O122+BUS!P122</f>
        <v>0</v>
      </c>
      <c r="G11" s="43">
        <f>+BUS!Q122+BUS!R122+BUS!S122</f>
        <v>0</v>
      </c>
      <c r="H11" s="43">
        <f>+BUS!T122+BUS!U122+BUS!V122</f>
        <v>0</v>
      </c>
      <c r="I11" s="43">
        <f>+BUS!W122+BUS!X122+BUS!Y122</f>
        <v>0</v>
      </c>
      <c r="J11" s="43">
        <f>+BUS!Z122+BUS!AA122+BUS!AB122</f>
        <v>0</v>
      </c>
      <c r="K11" s="43">
        <f>+BUS!AC122+BUS!AD122+BUS!AE122</f>
        <v>0</v>
      </c>
      <c r="L11" s="43">
        <f>+BUS!AF122+BUS!AG122+BUS!AH122</f>
        <v>0</v>
      </c>
      <c r="M11" s="43">
        <f>+BUS!AI122+BUS!AJ122+BUS!AK122</f>
        <v>0</v>
      </c>
      <c r="N11" s="43">
        <f>+BUS!AL122+BUS!AM122+BUS!AN122</f>
        <v>0</v>
      </c>
      <c r="O11" s="43">
        <f>+BUS!AO122+BUS!AP122+BUS!AQ122</f>
        <v>0</v>
      </c>
      <c r="P11" s="43">
        <f>+BUS!AR122+BUS!AS122+BUS!AT122</f>
        <v>0</v>
      </c>
      <c r="Q11" s="43">
        <f>+BUS!AU122+BUS!AV122+BUS!AW122</f>
        <v>0</v>
      </c>
      <c r="R11" s="43">
        <f>+BUS!AX122+BUS!AY122+BUS!AZ122</f>
        <v>0</v>
      </c>
      <c r="S11" s="43">
        <f>+BUS!BA122+BUS!BB122+BUS!BC122</f>
        <v>0</v>
      </c>
      <c r="T11" s="43">
        <f>+BUS!BD122+BUS!BE122+BUS!BF122</f>
        <v>0</v>
      </c>
      <c r="U11" s="43">
        <f>+BUS!BG122+BUS!BH122+BUS!BI122</f>
        <v>0</v>
      </c>
      <c r="V11" s="43">
        <f>+BUS!BJ122+BUS!BK122+BUS!BL122</f>
        <v>0</v>
      </c>
      <c r="W11" s="43">
        <f>+BUS!BM122+BUS!BN122+BUS!BO122</f>
        <v>0</v>
      </c>
      <c r="X11" s="43">
        <f>+BUS!BP122+BUS!BQ122+BUS!BR122</f>
        <v>0</v>
      </c>
      <c r="Y11" s="43">
        <f>+BUS!BS122+BUS!BT122+BUS!BU122</f>
        <v>0</v>
      </c>
      <c r="Z11" s="43">
        <f>+BUS!BV122+BUS!BW122+BUS!BX122</f>
        <v>0</v>
      </c>
      <c r="AA11" s="43">
        <f>+BUS!BY122+BUS!BZ122+BUS!CA122</f>
        <v>0</v>
      </c>
      <c r="AB11" s="43">
        <f>+BUS!CB122+BUS!CC122+BUS!CD122</f>
        <v>0</v>
      </c>
      <c r="AC11" s="43">
        <f>+BUS!CE122+BUS!CF122+BUS!CG122</f>
        <v>0</v>
      </c>
      <c r="AD11" s="43">
        <f>+BUS!CH122+BUS!CI122+BUS!CJ122</f>
        <v>0</v>
      </c>
      <c r="AE11" s="43">
        <f>+BUS!CK122+BUS!CL122+BUS!CM122</f>
        <v>0</v>
      </c>
      <c r="AF11" s="43">
        <f>+BUS!CN122+BUS!CO122+BUS!CP122</f>
        <v>0</v>
      </c>
      <c r="AG11" s="43">
        <f>+BUS!CQ122+BUS!CR122+BUS!CS122</f>
        <v>0</v>
      </c>
      <c r="AH11" s="43">
        <f>+BUS!CT122+BUS!CU122+BUS!CV122</f>
        <v>0</v>
      </c>
      <c r="AI11" s="43">
        <f>+BUS!CW122+BUS!CX122+BUS!CY122</f>
        <v>0</v>
      </c>
      <c r="AJ11" s="43">
        <f>+BUS!CZ122+BUS!DA122+BUS!DB122</f>
        <v>0</v>
      </c>
      <c r="AK11" s="43">
        <f>+BUS!DC122+BUS!DD122+BUS!DE122</f>
        <v>0</v>
      </c>
      <c r="AL11" s="43">
        <f>+BUS!DF122+BUS!DG122+BUS!DH122</f>
        <v>0</v>
      </c>
      <c r="AM11" s="43">
        <f>+BUS!DI122+BUS!DJ122+BUS!DK122</f>
        <v>0</v>
      </c>
      <c r="AN11" s="43">
        <f>+BUS!DL122+BUS!DM122+BUS!DN122</f>
        <v>0</v>
      </c>
      <c r="AO11" s="43">
        <f>+BUS!DO122+BUS!DP122+BUS!DQ122</f>
        <v>0</v>
      </c>
      <c r="AP11" s="43">
        <f>+BUS!DR122+BUS!DS122+BUS!DT122</f>
        <v>0</v>
      </c>
      <c r="AQ11" s="43">
        <f>+BUS!DU122+BUS!DV122+BUS!DW122</f>
        <v>0</v>
      </c>
      <c r="AR11" s="43">
        <f>+BUS!DX122+BUS!DY122+BUS!DZ122</f>
        <v>0</v>
      </c>
      <c r="AS11" s="43">
        <f>+BUS!EA122+BUS!EB122+BUS!EC122</f>
        <v>0</v>
      </c>
      <c r="AT11" s="43">
        <f>+BUS!ED122+BUS!EE122+BUS!EF122</f>
        <v>0</v>
      </c>
      <c r="AU11" s="43">
        <f>+BUS!EH122+BUS!EI122+BUS!EG122</f>
        <v>0</v>
      </c>
      <c r="AV11" s="43">
        <f>+BUS!EK122+BUS!EL122+BUS!EJ122</f>
        <v>0</v>
      </c>
      <c r="AW11" s="43">
        <f>+BUS!EN122+BUS!EO122+BUS!EM122</f>
        <v>0</v>
      </c>
      <c r="AX11" s="43">
        <f>+BUS!EQ122+BUS!ER122+BUS!EP122</f>
        <v>0</v>
      </c>
      <c r="AY11" s="43">
        <f>+BUS!ET122+BUS!EU122+BUS!ES122</f>
        <v>0</v>
      </c>
      <c r="AZ11" s="43">
        <f>+BUS!EW122+BUS!EX122+BUS!EV122</f>
        <v>0</v>
      </c>
      <c r="BA11" s="43">
        <f>+BUS!EZ122+BUS!FA122+BUS!EY122</f>
        <v>0</v>
      </c>
      <c r="BB11" s="43">
        <f>+BUS!FC122+BUS!FD122+BUS!FB122</f>
        <v>0</v>
      </c>
      <c r="BC11" s="43">
        <f>+BUS!FF122+BUS!FG122+BUS!FE122</f>
        <v>0</v>
      </c>
      <c r="BD11" s="43">
        <f>+BUS!FI122+BUS!FJ122+BUS!FH122</f>
        <v>0</v>
      </c>
      <c r="BE11" s="43">
        <f>+BUS!FL122+BUS!FM122+BUS!FK122</f>
        <v>0</v>
      </c>
      <c r="BF11" s="225">
        <f t="shared" si="0"/>
        <v>0</v>
      </c>
    </row>
    <row r="12" spans="1:58" ht="15" customHeight="1">
      <c r="A12" s="137">
        <v>9</v>
      </c>
      <c r="B12" s="43">
        <f>+BUS!B123+BUS!C123+BUS!D123</f>
        <v>0</v>
      </c>
      <c r="C12" s="43">
        <f>+BUS!E123+BUS!F123+BUS!G123</f>
        <v>0</v>
      </c>
      <c r="D12" s="43">
        <f>+BUS!H123+BUS!I123+BUS!J123</f>
        <v>0</v>
      </c>
      <c r="E12" s="43">
        <f>+BUS!K123+BUS!L123+BUS!M123</f>
        <v>0</v>
      </c>
      <c r="F12" s="43">
        <f>+BUS!N123+BUS!O123+BUS!P123</f>
        <v>0</v>
      </c>
      <c r="G12" s="43">
        <f>+BUS!Q123+BUS!R123+BUS!S123</f>
        <v>0</v>
      </c>
      <c r="H12" s="43">
        <f>+BUS!T123+BUS!U123+BUS!V123</f>
        <v>0</v>
      </c>
      <c r="I12" s="43">
        <f>+BUS!W123+BUS!X123+BUS!Y123</f>
        <v>0</v>
      </c>
      <c r="J12" s="43">
        <f>+BUS!Z123+BUS!AA123+BUS!AB123</f>
        <v>0</v>
      </c>
      <c r="K12" s="43">
        <f>+BUS!AC123+BUS!AD123+BUS!AE123</f>
        <v>0</v>
      </c>
      <c r="L12" s="43">
        <f>+BUS!AF123+BUS!AG123+BUS!AH123</f>
        <v>0</v>
      </c>
      <c r="M12" s="43">
        <f>+BUS!AI123+BUS!AJ123+BUS!AK123</f>
        <v>0</v>
      </c>
      <c r="N12" s="43">
        <f>+BUS!AL123+BUS!AM123+BUS!AN123</f>
        <v>0</v>
      </c>
      <c r="O12" s="43">
        <f>+BUS!AO123+BUS!AP123+BUS!AQ123</f>
        <v>0</v>
      </c>
      <c r="P12" s="43">
        <f>+BUS!AR123+BUS!AS123+BUS!AT123</f>
        <v>0</v>
      </c>
      <c r="Q12" s="43">
        <f>+BUS!AU123+BUS!AV123+BUS!AW123</f>
        <v>0</v>
      </c>
      <c r="R12" s="43">
        <f>+BUS!AX123+BUS!AY123+BUS!AZ123</f>
        <v>0</v>
      </c>
      <c r="S12" s="43">
        <f>+BUS!BA123+BUS!BB123+BUS!BC123</f>
        <v>0</v>
      </c>
      <c r="T12" s="43">
        <f>+BUS!BD123+BUS!BE123+BUS!BF123</f>
        <v>0</v>
      </c>
      <c r="U12" s="43">
        <f>+BUS!BG123+BUS!BH123+BUS!BI123</f>
        <v>0</v>
      </c>
      <c r="V12" s="43">
        <f>+BUS!BJ123+BUS!BK123+BUS!BL123</f>
        <v>0</v>
      </c>
      <c r="W12" s="43">
        <f>+BUS!BM123+BUS!BN123+BUS!BO123</f>
        <v>0</v>
      </c>
      <c r="X12" s="43">
        <f>+BUS!BP123+BUS!BQ123+BUS!BR123</f>
        <v>0</v>
      </c>
      <c r="Y12" s="43">
        <f>+BUS!BS123+BUS!BT123+BUS!BU123</f>
        <v>0</v>
      </c>
      <c r="Z12" s="43">
        <f>+BUS!BV123+BUS!BW123+BUS!BX123</f>
        <v>0</v>
      </c>
      <c r="AA12" s="43">
        <f>+BUS!BY123+BUS!BZ123+BUS!CA123</f>
        <v>0</v>
      </c>
      <c r="AB12" s="43">
        <f>+BUS!CB123+BUS!CC123+BUS!CD123</f>
        <v>0</v>
      </c>
      <c r="AC12" s="43">
        <f>+BUS!CE123+BUS!CF123+BUS!CG123</f>
        <v>0</v>
      </c>
      <c r="AD12" s="43">
        <f>+BUS!CH123+BUS!CI123+BUS!CJ123</f>
        <v>0</v>
      </c>
      <c r="AE12" s="43">
        <f>+BUS!CK123+BUS!CL123+BUS!CM123</f>
        <v>0</v>
      </c>
      <c r="AF12" s="43">
        <f>+BUS!CN123+BUS!CO123+BUS!CP123</f>
        <v>0</v>
      </c>
      <c r="AG12" s="43">
        <f>+BUS!CQ123+BUS!CR123+BUS!CS123</f>
        <v>0</v>
      </c>
      <c r="AH12" s="43">
        <f>+BUS!CT123+BUS!CU123+BUS!CV123</f>
        <v>0</v>
      </c>
      <c r="AI12" s="43">
        <f>+BUS!CW123+BUS!CX123+BUS!CY123</f>
        <v>0</v>
      </c>
      <c r="AJ12" s="43">
        <f>+BUS!CZ123+BUS!DA123+BUS!DB123</f>
        <v>0</v>
      </c>
      <c r="AK12" s="43">
        <f>+BUS!DC123+BUS!DD123+BUS!DE123</f>
        <v>0</v>
      </c>
      <c r="AL12" s="43">
        <f>+BUS!DF123+BUS!DG123+BUS!DH123</f>
        <v>0</v>
      </c>
      <c r="AM12" s="43">
        <f>+BUS!DI123+BUS!DJ123+BUS!DK123</f>
        <v>0</v>
      </c>
      <c r="AN12" s="43">
        <f>+BUS!DL123+BUS!DM123+BUS!DN123</f>
        <v>0</v>
      </c>
      <c r="AO12" s="43">
        <f>+BUS!DO123+BUS!DP123+BUS!DQ123</f>
        <v>0</v>
      </c>
      <c r="AP12" s="43">
        <f>+BUS!DR123+BUS!DS123+BUS!DT123</f>
        <v>0</v>
      </c>
      <c r="AQ12" s="43">
        <f>+BUS!DU123+BUS!DV123+BUS!DW123</f>
        <v>0</v>
      </c>
      <c r="AR12" s="43">
        <f>+BUS!DX123+BUS!DY123+BUS!DZ123</f>
        <v>0</v>
      </c>
      <c r="AS12" s="43">
        <f>+BUS!EA123+BUS!EB123+BUS!EC123</f>
        <v>0</v>
      </c>
      <c r="AT12" s="43">
        <f>+BUS!ED123+BUS!EE123+BUS!EF123</f>
        <v>0</v>
      </c>
      <c r="AU12" s="43">
        <f>+BUS!EH123+BUS!EI123+BUS!EG123</f>
        <v>0</v>
      </c>
      <c r="AV12" s="43">
        <f>+BUS!EK123+BUS!EL123+BUS!EJ123</f>
        <v>0</v>
      </c>
      <c r="AW12" s="43">
        <f>+BUS!EN123+BUS!EO123+BUS!EM123</f>
        <v>0</v>
      </c>
      <c r="AX12" s="43">
        <f>+BUS!EQ123+BUS!ER123+BUS!EP123</f>
        <v>0</v>
      </c>
      <c r="AY12" s="43">
        <f>+BUS!ET123+BUS!EU123+BUS!ES123</f>
        <v>0</v>
      </c>
      <c r="AZ12" s="43">
        <f>+BUS!EW123+BUS!EX123+BUS!EV123</f>
        <v>0</v>
      </c>
      <c r="BA12" s="43">
        <f>+BUS!EZ123+BUS!FA123+BUS!EY123</f>
        <v>0</v>
      </c>
      <c r="BB12" s="43">
        <f>+BUS!FC123+BUS!FD123+BUS!FB123</f>
        <v>0</v>
      </c>
      <c r="BC12" s="43">
        <f>+BUS!FF123+BUS!FG123+BUS!FE123</f>
        <v>0</v>
      </c>
      <c r="BD12" s="43">
        <f>+BUS!FI123+BUS!FJ123+BUS!FH123</f>
        <v>0</v>
      </c>
      <c r="BE12" s="43">
        <f>+BUS!FL123+BUS!FM123+BUS!FK123</f>
        <v>0</v>
      </c>
      <c r="BF12" s="225">
        <f t="shared" si="0"/>
        <v>0</v>
      </c>
    </row>
    <row r="13" spans="1:58" ht="18.75" customHeight="1">
      <c r="A13" s="137">
        <v>10</v>
      </c>
      <c r="B13" s="43">
        <f>+BUS!B124+BUS!C124+BUS!D124</f>
        <v>0</v>
      </c>
      <c r="C13" s="43">
        <f>+BUS!E124+BUS!F124+BUS!G124</f>
        <v>0</v>
      </c>
      <c r="D13" s="43">
        <f>+BUS!H124+BUS!I124+BUS!J124</f>
        <v>0</v>
      </c>
      <c r="E13" s="43">
        <f>+BUS!K124+BUS!L124+BUS!M124</f>
        <v>0</v>
      </c>
      <c r="F13" s="43">
        <f>+BUS!N124+BUS!O124+BUS!P124</f>
        <v>0</v>
      </c>
      <c r="G13" s="43">
        <f>+BUS!Q124+BUS!R124+BUS!S124</f>
        <v>0</v>
      </c>
      <c r="H13" s="43">
        <f>+BUS!T124+BUS!U124+BUS!V124</f>
        <v>0</v>
      </c>
      <c r="I13" s="43">
        <f>+BUS!W124+BUS!X124+BUS!Y124</f>
        <v>0</v>
      </c>
      <c r="J13" s="43">
        <f>+BUS!Z124+BUS!AA124+BUS!AB124</f>
        <v>0</v>
      </c>
      <c r="K13" s="43">
        <f>+BUS!AC124+BUS!AD124+BUS!AE124</f>
        <v>0</v>
      </c>
      <c r="L13" s="43">
        <f>+BUS!AF124+BUS!AG124+BUS!AH124</f>
        <v>0</v>
      </c>
      <c r="M13" s="43">
        <f>+BUS!AI124+BUS!AJ124+BUS!AK124</f>
        <v>0</v>
      </c>
      <c r="N13" s="43">
        <f>+BUS!AL124+BUS!AM124+BUS!AN124</f>
        <v>0</v>
      </c>
      <c r="O13" s="43">
        <f>+BUS!AO124+BUS!AP124+BUS!AQ124</f>
        <v>0</v>
      </c>
      <c r="P13" s="43">
        <f>+BUS!AR124+BUS!AS124+BUS!AT124</f>
        <v>0</v>
      </c>
      <c r="Q13" s="43">
        <f>+BUS!AU124+BUS!AV124+BUS!AW124</f>
        <v>0</v>
      </c>
      <c r="R13" s="43">
        <f>+BUS!AX124+BUS!AY124+BUS!AZ124</f>
        <v>0</v>
      </c>
      <c r="S13" s="43">
        <f>+BUS!BA124+BUS!BB124+BUS!BC124</f>
        <v>0</v>
      </c>
      <c r="T13" s="43">
        <f>+BUS!BD124+BUS!BE124+BUS!BF124</f>
        <v>0</v>
      </c>
      <c r="U13" s="43">
        <f>+BUS!BG124+BUS!BH124+BUS!BI124</f>
        <v>0</v>
      </c>
      <c r="V13" s="43">
        <f>+BUS!BJ124+BUS!BK124+BUS!BL124</f>
        <v>0</v>
      </c>
      <c r="W13" s="43">
        <f>+BUS!BM124+BUS!BN124+BUS!BO124</f>
        <v>0</v>
      </c>
      <c r="X13" s="43">
        <f>+BUS!BP124+BUS!BQ124+BUS!BR124</f>
        <v>0</v>
      </c>
      <c r="Y13" s="43">
        <f>+BUS!BS124+BUS!BT124+BUS!BU124</f>
        <v>0</v>
      </c>
      <c r="Z13" s="43">
        <f>+BUS!BV124+BUS!BW124+BUS!BX124</f>
        <v>0</v>
      </c>
      <c r="AA13" s="43">
        <f>+BUS!BY124+BUS!BZ124+BUS!CA124</f>
        <v>0</v>
      </c>
      <c r="AB13" s="43">
        <f>+BUS!CB124+BUS!CC124+BUS!CD124</f>
        <v>0</v>
      </c>
      <c r="AC13" s="43">
        <f>+BUS!CE124+BUS!CF124+BUS!CG124</f>
        <v>0</v>
      </c>
      <c r="AD13" s="43">
        <f>+BUS!CH124+BUS!CI124+BUS!CJ124</f>
        <v>0</v>
      </c>
      <c r="AE13" s="43">
        <f>+BUS!CK124+BUS!CL124+BUS!CM124</f>
        <v>0</v>
      </c>
      <c r="AF13" s="43">
        <f>+BUS!CN124+BUS!CO124+BUS!CP124</f>
        <v>0</v>
      </c>
      <c r="AG13" s="43">
        <f>+BUS!CQ124+BUS!CR124+BUS!CS124</f>
        <v>0</v>
      </c>
      <c r="AH13" s="43">
        <f>+BUS!CT124+BUS!CU124+BUS!CV124</f>
        <v>0</v>
      </c>
      <c r="AI13" s="43">
        <f>+BUS!CW124+BUS!CX124+BUS!CY124</f>
        <v>0</v>
      </c>
      <c r="AJ13" s="43">
        <f>+BUS!CZ124+BUS!DA124+BUS!DB124</f>
        <v>0</v>
      </c>
      <c r="AK13" s="43">
        <f>+BUS!DC124+BUS!DD124+BUS!DE124</f>
        <v>0</v>
      </c>
      <c r="AL13" s="43">
        <f>+BUS!DF124+BUS!DG124+BUS!DH124</f>
        <v>0</v>
      </c>
      <c r="AM13" s="43">
        <f>+BUS!DI124+BUS!DJ124+BUS!DK124</f>
        <v>0</v>
      </c>
      <c r="AN13" s="43">
        <f>+BUS!DL124+BUS!DM124+BUS!DN124</f>
        <v>0</v>
      </c>
      <c r="AO13" s="43">
        <f>+BUS!DO124+BUS!DP124+BUS!DQ124</f>
        <v>0</v>
      </c>
      <c r="AP13" s="43">
        <f>+BUS!DR124+BUS!DS124+BUS!DT124</f>
        <v>0</v>
      </c>
      <c r="AQ13" s="43">
        <f>+BUS!DU124+BUS!DV124+BUS!DW124</f>
        <v>0</v>
      </c>
      <c r="AR13" s="43">
        <f>+BUS!DX124+BUS!DY124+BUS!DZ124</f>
        <v>0</v>
      </c>
      <c r="AS13" s="43">
        <f>+BUS!EA124+BUS!EB124+BUS!EC124</f>
        <v>0</v>
      </c>
      <c r="AT13" s="43">
        <f>+BUS!ED124+BUS!EE124+BUS!EF124</f>
        <v>0</v>
      </c>
      <c r="AU13" s="43">
        <f>+BUS!EH124+BUS!EI124+BUS!EG124</f>
        <v>0</v>
      </c>
      <c r="AV13" s="43">
        <f>+BUS!EK124+BUS!EL124+BUS!EJ124</f>
        <v>0</v>
      </c>
      <c r="AW13" s="43">
        <f>+BUS!EN124+BUS!EO124+BUS!EM124</f>
        <v>0</v>
      </c>
      <c r="AX13" s="43">
        <f>+BUS!EQ124+BUS!ER124+BUS!EP124</f>
        <v>0</v>
      </c>
      <c r="AY13" s="43">
        <f>+BUS!ET124+BUS!EU124+BUS!ES124</f>
        <v>0</v>
      </c>
      <c r="AZ13" s="43">
        <f>+BUS!EW124+BUS!EX124+BUS!EV124</f>
        <v>0</v>
      </c>
      <c r="BA13" s="43">
        <f>+BUS!EZ124+BUS!FA124+BUS!EY124</f>
        <v>0</v>
      </c>
      <c r="BB13" s="43">
        <f>+BUS!FC124+BUS!FD124+BUS!FB124</f>
        <v>0</v>
      </c>
      <c r="BC13" s="43">
        <f>+BUS!FF124+BUS!FG124+BUS!FE124</f>
        <v>0</v>
      </c>
      <c r="BD13" s="43">
        <f>+BUS!FI124+BUS!FJ124+BUS!FH124</f>
        <v>0</v>
      </c>
      <c r="BE13" s="43">
        <f>+BUS!FL124+BUS!FM124+BUS!FK124</f>
        <v>0</v>
      </c>
      <c r="BF13" s="225">
        <f t="shared" si="0"/>
        <v>0</v>
      </c>
    </row>
    <row r="14" spans="1:58" ht="15.75" customHeight="1">
      <c r="A14" s="137">
        <v>11</v>
      </c>
      <c r="B14" s="43">
        <f>+BUS!B125+BUS!C125+BUS!D125</f>
        <v>0</v>
      </c>
      <c r="C14" s="43">
        <f>+BUS!E125+BUS!F125+BUS!G125</f>
        <v>0</v>
      </c>
      <c r="D14" s="43">
        <f>+BUS!H125+BUS!I125+BUS!J125</f>
        <v>0</v>
      </c>
      <c r="E14" s="43">
        <f>+BUS!K125+BUS!L125+BUS!M125</f>
        <v>0</v>
      </c>
      <c r="F14" s="43">
        <f>+BUS!N125+BUS!O125+BUS!P125</f>
        <v>0</v>
      </c>
      <c r="G14" s="43">
        <f>+BUS!Q125+BUS!R125+BUS!S125</f>
        <v>0</v>
      </c>
      <c r="H14" s="43">
        <f>+BUS!T125+BUS!U125+BUS!V125</f>
        <v>0</v>
      </c>
      <c r="I14" s="43">
        <f>+BUS!W125+BUS!X125+BUS!Y125</f>
        <v>0</v>
      </c>
      <c r="J14" s="43">
        <f>+BUS!Z125+BUS!AA125+BUS!AB125</f>
        <v>0</v>
      </c>
      <c r="K14" s="43">
        <f>+BUS!AC125+BUS!AD125+BUS!AE125</f>
        <v>0</v>
      </c>
      <c r="L14" s="43">
        <f>+BUS!AF125+BUS!AG125+BUS!AH125</f>
        <v>0</v>
      </c>
      <c r="M14" s="43">
        <f>+BUS!AI125+BUS!AJ125+BUS!AK125</f>
        <v>0</v>
      </c>
      <c r="N14" s="43">
        <f>+BUS!AL125+BUS!AM125+BUS!AN125</f>
        <v>0</v>
      </c>
      <c r="O14" s="43">
        <f>+BUS!AO125+BUS!AP125+BUS!AQ125</f>
        <v>0</v>
      </c>
      <c r="P14" s="43">
        <f>+BUS!AR125+BUS!AS125+BUS!AT125</f>
        <v>0</v>
      </c>
      <c r="Q14" s="43">
        <f>+BUS!AU125+BUS!AV125+BUS!AW125</f>
        <v>0</v>
      </c>
      <c r="R14" s="43">
        <f>+BUS!AX125+BUS!AY125+BUS!AZ125</f>
        <v>0</v>
      </c>
      <c r="S14" s="43">
        <f>+BUS!BA125+BUS!BB125+BUS!BC125</f>
        <v>0</v>
      </c>
      <c r="T14" s="43">
        <f>+BUS!BD125+BUS!BE125+BUS!BF125</f>
        <v>0</v>
      </c>
      <c r="U14" s="43">
        <f>+BUS!BG125+BUS!BH125+BUS!BI125</f>
        <v>0</v>
      </c>
      <c r="V14" s="43">
        <f>+BUS!BJ125+BUS!BK125+BUS!BL125</f>
        <v>0</v>
      </c>
      <c r="W14" s="43">
        <f>+BUS!BM125+BUS!BN125+BUS!BO125</f>
        <v>0</v>
      </c>
      <c r="X14" s="43">
        <f>+BUS!BP125+BUS!BQ125+BUS!BR125</f>
        <v>0</v>
      </c>
      <c r="Y14" s="43">
        <f>+BUS!BS125+BUS!BT125+BUS!BU125</f>
        <v>0</v>
      </c>
      <c r="Z14" s="43">
        <f>+BUS!BV125+BUS!BW125+BUS!BX125</f>
        <v>0</v>
      </c>
      <c r="AA14" s="43">
        <f>+BUS!BY125+BUS!BZ125+BUS!CA125</f>
        <v>0</v>
      </c>
      <c r="AB14" s="43">
        <f>+BUS!CB125+BUS!CC125+BUS!CD125</f>
        <v>0</v>
      </c>
      <c r="AC14" s="43">
        <f>+BUS!CE125+BUS!CF125+BUS!CG125</f>
        <v>0</v>
      </c>
      <c r="AD14" s="43">
        <f>+BUS!CH125+BUS!CI125+BUS!CJ125</f>
        <v>0</v>
      </c>
      <c r="AE14" s="43">
        <f>+BUS!CK125+BUS!CL125+BUS!CM125</f>
        <v>0</v>
      </c>
      <c r="AF14" s="43">
        <f>+BUS!CN125+BUS!CO125+BUS!CP125</f>
        <v>0</v>
      </c>
      <c r="AG14" s="43">
        <f>+BUS!CQ125+BUS!CR125+BUS!CS125</f>
        <v>0</v>
      </c>
      <c r="AH14" s="43">
        <f>+BUS!CT125+BUS!CU125+BUS!CV125</f>
        <v>0</v>
      </c>
      <c r="AI14" s="43">
        <f>+BUS!CW125+BUS!CX125+BUS!CY125</f>
        <v>0</v>
      </c>
      <c r="AJ14" s="43">
        <f>+BUS!CZ125+BUS!DA125+BUS!DB125</f>
        <v>0</v>
      </c>
      <c r="AK14" s="43">
        <f>+BUS!DC125+BUS!DD125+BUS!DE125</f>
        <v>0</v>
      </c>
      <c r="AL14" s="43">
        <f>+BUS!DF125+BUS!DG125+BUS!DH125</f>
        <v>0</v>
      </c>
      <c r="AM14" s="43">
        <f>+BUS!DI125+BUS!DJ125+BUS!DK125</f>
        <v>0</v>
      </c>
      <c r="AN14" s="43">
        <f>+BUS!DL125+BUS!DM125+BUS!DN125</f>
        <v>0</v>
      </c>
      <c r="AO14" s="43">
        <f>+BUS!DO125+BUS!DP125+BUS!DQ125</f>
        <v>0</v>
      </c>
      <c r="AP14" s="43">
        <f>+BUS!DR125+BUS!DS125+BUS!DT125</f>
        <v>0</v>
      </c>
      <c r="AQ14" s="43">
        <f>+BUS!DU125+BUS!DV125+BUS!DW125</f>
        <v>0</v>
      </c>
      <c r="AR14" s="43">
        <f>+BUS!DX125+BUS!DY125+BUS!DZ125</f>
        <v>0</v>
      </c>
      <c r="AS14" s="43">
        <f>+BUS!EA125+BUS!EB125+BUS!EC125</f>
        <v>0</v>
      </c>
      <c r="AT14" s="43">
        <f>+BUS!ED125+BUS!EE125+BUS!EF125</f>
        <v>0</v>
      </c>
      <c r="AU14" s="43">
        <f>+BUS!EH125+BUS!EI125+BUS!EG125</f>
        <v>0</v>
      </c>
      <c r="AV14" s="43">
        <f>+BUS!EK125+BUS!EL125+BUS!EJ125</f>
        <v>0</v>
      </c>
      <c r="AW14" s="43">
        <f>+BUS!EN125+BUS!EO125+BUS!EM125</f>
        <v>0</v>
      </c>
      <c r="AX14" s="43">
        <f>+BUS!EQ125+BUS!ER125+BUS!EP125</f>
        <v>0</v>
      </c>
      <c r="AY14" s="43">
        <f>+BUS!ET125+BUS!EU125+BUS!ES125</f>
        <v>0</v>
      </c>
      <c r="AZ14" s="43">
        <f>+BUS!EW125+BUS!EX125+BUS!EV125</f>
        <v>0</v>
      </c>
      <c r="BA14" s="43">
        <f>+BUS!EZ125+BUS!FA125+BUS!EY125</f>
        <v>0</v>
      </c>
      <c r="BB14" s="43">
        <f>+BUS!FC125+BUS!FD125+BUS!FB125</f>
        <v>0</v>
      </c>
      <c r="BC14" s="43">
        <f>+BUS!FF125+BUS!FG125+BUS!FE125</f>
        <v>0</v>
      </c>
      <c r="BD14" s="43">
        <f>+BUS!FI125+BUS!FJ125+BUS!FH125</f>
        <v>0</v>
      </c>
      <c r="BE14" s="43">
        <f>+BUS!FL125+BUS!FM125+BUS!FK125</f>
        <v>0</v>
      </c>
      <c r="BF14" s="225">
        <f t="shared" si="0"/>
        <v>0</v>
      </c>
    </row>
    <row r="15" spans="1:58" ht="17.25" customHeight="1">
      <c r="A15" s="137">
        <v>12</v>
      </c>
      <c r="B15" s="43">
        <f>+BUS!B126+BUS!C126+BUS!D126</f>
        <v>0</v>
      </c>
      <c r="C15" s="43">
        <f>+BUS!E126+BUS!F126+BUS!G126</f>
        <v>0</v>
      </c>
      <c r="D15" s="43">
        <f>+BUS!H126+BUS!I126+BUS!J126</f>
        <v>0</v>
      </c>
      <c r="E15" s="43">
        <f>+BUS!K126+BUS!L126+BUS!M126</f>
        <v>0</v>
      </c>
      <c r="F15" s="43">
        <f>+BUS!N126+BUS!O126+BUS!P126</f>
        <v>0</v>
      </c>
      <c r="G15" s="43">
        <f>+BUS!Q126+BUS!R126+BUS!S126</f>
        <v>0</v>
      </c>
      <c r="H15" s="43">
        <f>+BUS!T126+BUS!U126+BUS!V126</f>
        <v>0</v>
      </c>
      <c r="I15" s="43">
        <f>+BUS!W126+BUS!X126+BUS!Y126</f>
        <v>0</v>
      </c>
      <c r="J15" s="43">
        <f>+BUS!Z126+BUS!AA126+BUS!AB126</f>
        <v>0</v>
      </c>
      <c r="K15" s="43">
        <f>+BUS!AC126+BUS!AD126+BUS!AE126</f>
        <v>0</v>
      </c>
      <c r="L15" s="43">
        <f>+BUS!AF126+BUS!AG126+BUS!AH126</f>
        <v>0</v>
      </c>
      <c r="M15" s="43">
        <f>+BUS!AI126+BUS!AJ126+BUS!AK126</f>
        <v>0</v>
      </c>
      <c r="N15" s="43">
        <f>+BUS!AL126+BUS!AM126+BUS!AN126</f>
        <v>0</v>
      </c>
      <c r="O15" s="43">
        <f>+BUS!AO126+BUS!AP126+BUS!AQ126</f>
        <v>0</v>
      </c>
      <c r="P15" s="43">
        <f>+BUS!AR126+BUS!AS126+BUS!AT126</f>
        <v>0</v>
      </c>
      <c r="Q15" s="43">
        <f>+BUS!AU126+BUS!AV126+BUS!AW126</f>
        <v>0</v>
      </c>
      <c r="R15" s="43">
        <f>+BUS!AX126+BUS!AY126+BUS!AZ126</f>
        <v>0</v>
      </c>
      <c r="S15" s="43">
        <f>+BUS!BA126+BUS!BB126+BUS!BC126</f>
        <v>0</v>
      </c>
      <c r="T15" s="43">
        <f>+BUS!BD126+BUS!BE126+BUS!BF126</f>
        <v>0</v>
      </c>
      <c r="U15" s="43">
        <f>+BUS!BG126+BUS!BH126+BUS!BI126</f>
        <v>0</v>
      </c>
      <c r="V15" s="43">
        <f>+BUS!BJ126+BUS!BK126+BUS!BL126</f>
        <v>0</v>
      </c>
      <c r="W15" s="43">
        <f>+BUS!BM126+BUS!BN126+BUS!BO126</f>
        <v>0</v>
      </c>
      <c r="X15" s="43">
        <f>+BUS!BP126+BUS!BQ126+BUS!BR126</f>
        <v>0</v>
      </c>
      <c r="Y15" s="43">
        <f>+BUS!BS126+BUS!BT126+BUS!BU126</f>
        <v>0</v>
      </c>
      <c r="Z15" s="43">
        <f>+BUS!BV126+BUS!BW126+BUS!BX126</f>
        <v>0</v>
      </c>
      <c r="AA15" s="43">
        <f>+BUS!BY126+BUS!BZ126+BUS!CA126</f>
        <v>0</v>
      </c>
      <c r="AB15" s="43">
        <f>+BUS!CB126+BUS!CC126+BUS!CD126</f>
        <v>0</v>
      </c>
      <c r="AC15" s="43">
        <f>+BUS!CE126+BUS!CF126+BUS!CG126</f>
        <v>0</v>
      </c>
      <c r="AD15" s="43">
        <f>+BUS!CH126+BUS!CI126+BUS!CJ126</f>
        <v>0</v>
      </c>
      <c r="AE15" s="43">
        <f>+BUS!CK126+BUS!CL126+BUS!CM126</f>
        <v>0</v>
      </c>
      <c r="AF15" s="43">
        <f>+BUS!CN126+BUS!CO126+BUS!CP126</f>
        <v>0</v>
      </c>
      <c r="AG15" s="43">
        <f>+BUS!CQ126+BUS!CR126+BUS!CS126</f>
        <v>0</v>
      </c>
      <c r="AH15" s="43">
        <f>+BUS!CT126+BUS!CU126+BUS!CV126</f>
        <v>0</v>
      </c>
      <c r="AI15" s="43">
        <f>+BUS!CW126+BUS!CX126+BUS!CY126</f>
        <v>0</v>
      </c>
      <c r="AJ15" s="43">
        <f>+BUS!CZ126+BUS!DA126+BUS!DB126</f>
        <v>0</v>
      </c>
      <c r="AK15" s="43">
        <f>+BUS!DC126+BUS!DD126+BUS!DE126</f>
        <v>0</v>
      </c>
      <c r="AL15" s="43">
        <f>+BUS!DF126+BUS!DG126+BUS!DH126</f>
        <v>0</v>
      </c>
      <c r="AM15" s="43">
        <f>+BUS!DI126+BUS!DJ126+BUS!DK126</f>
        <v>0</v>
      </c>
      <c r="AN15" s="43">
        <f>+BUS!DL126+BUS!DM126+BUS!DN126</f>
        <v>0</v>
      </c>
      <c r="AO15" s="43">
        <f>+BUS!DO126+BUS!DP126+BUS!DQ126</f>
        <v>0</v>
      </c>
      <c r="AP15" s="43">
        <f>+BUS!DR126+BUS!DS126+BUS!DT126</f>
        <v>0</v>
      </c>
      <c r="AQ15" s="43">
        <f>+BUS!DU126+BUS!DV126+BUS!DW126</f>
        <v>0</v>
      </c>
      <c r="AR15" s="43">
        <f>+BUS!DX126+BUS!DY126+BUS!DZ126</f>
        <v>0</v>
      </c>
      <c r="AS15" s="43">
        <f>+BUS!EA126+BUS!EB126+BUS!EC126</f>
        <v>0</v>
      </c>
      <c r="AT15" s="43">
        <f>+BUS!ED126+BUS!EE126+BUS!EF126</f>
        <v>0</v>
      </c>
      <c r="AU15" s="43">
        <f>+BUS!EH126+BUS!EI126+BUS!EG126</f>
        <v>0</v>
      </c>
      <c r="AV15" s="43">
        <f>+BUS!EK126+BUS!EL126+BUS!EJ126</f>
        <v>0</v>
      </c>
      <c r="AW15" s="43">
        <f>+BUS!EN126+BUS!EO126+BUS!EM126</f>
        <v>0</v>
      </c>
      <c r="AX15" s="43">
        <f>+BUS!EQ126+BUS!ER126+BUS!EP126</f>
        <v>0</v>
      </c>
      <c r="AY15" s="43">
        <f>+BUS!ET126+BUS!EU126+BUS!ES126</f>
        <v>0</v>
      </c>
      <c r="AZ15" s="43">
        <f>+BUS!EW126+BUS!EX126+BUS!EV126</f>
        <v>0</v>
      </c>
      <c r="BA15" s="43">
        <f>+BUS!EZ126+BUS!FA126+BUS!EY126</f>
        <v>0</v>
      </c>
      <c r="BB15" s="43">
        <f>+BUS!FC126+BUS!FD126+BUS!FB126</f>
        <v>0</v>
      </c>
      <c r="BC15" s="43">
        <f>+BUS!FF126+BUS!FG126+BUS!FE126</f>
        <v>0</v>
      </c>
      <c r="BD15" s="43">
        <f>+BUS!FI126+BUS!FJ126+BUS!FH126</f>
        <v>0</v>
      </c>
      <c r="BE15" s="43">
        <f>+BUS!FL126+BUS!FM126+BUS!FK126</f>
        <v>0</v>
      </c>
      <c r="BF15" s="225">
        <f t="shared" si="0"/>
        <v>0</v>
      </c>
    </row>
    <row r="16" spans="1:58" ht="16.5" customHeight="1">
      <c r="A16" s="137">
        <v>13</v>
      </c>
      <c r="B16" s="43">
        <f>+BUS!B127+BUS!C127+BUS!D127</f>
        <v>0</v>
      </c>
      <c r="C16" s="43">
        <f>+BUS!E127+BUS!F127+BUS!G127</f>
        <v>0</v>
      </c>
      <c r="D16" s="43">
        <f>+BUS!H127+BUS!I127+BUS!J127</f>
        <v>0</v>
      </c>
      <c r="E16" s="43">
        <f>+BUS!K127+BUS!L127+BUS!M127</f>
        <v>0</v>
      </c>
      <c r="F16" s="43">
        <f>+BUS!N127+BUS!O127+BUS!P127</f>
        <v>0</v>
      </c>
      <c r="G16" s="43">
        <f>+BUS!Q127+BUS!R127+BUS!S127</f>
        <v>0</v>
      </c>
      <c r="H16" s="43">
        <f>+BUS!T127+BUS!U127+BUS!V127</f>
        <v>0</v>
      </c>
      <c r="I16" s="43">
        <f>+BUS!W127+BUS!X127+BUS!Y127</f>
        <v>0</v>
      </c>
      <c r="J16" s="43">
        <f>+BUS!Z127+BUS!AA127+BUS!AB127</f>
        <v>0</v>
      </c>
      <c r="K16" s="43">
        <f>+BUS!AC127+BUS!AD127+BUS!AE127</f>
        <v>0</v>
      </c>
      <c r="L16" s="43">
        <f>+BUS!AF127+BUS!AG127+BUS!AH127</f>
        <v>0</v>
      </c>
      <c r="M16" s="43">
        <f>+BUS!AI127+BUS!AJ127+BUS!AK127</f>
        <v>0</v>
      </c>
      <c r="N16" s="43">
        <f>+BUS!AL127+BUS!AM127+BUS!AN127</f>
        <v>0</v>
      </c>
      <c r="O16" s="43">
        <f>+BUS!AO127+BUS!AP127+BUS!AQ127</f>
        <v>0</v>
      </c>
      <c r="P16" s="43">
        <f>+BUS!AR127+BUS!AS127+BUS!AT127</f>
        <v>0</v>
      </c>
      <c r="Q16" s="43">
        <f>+BUS!AU127+BUS!AV127+BUS!AW127</f>
        <v>0</v>
      </c>
      <c r="R16" s="43">
        <f>+BUS!AX127+BUS!AY127+BUS!AZ127</f>
        <v>0</v>
      </c>
      <c r="S16" s="43">
        <f>+BUS!BA127+BUS!BB127+BUS!BC127</f>
        <v>0</v>
      </c>
      <c r="T16" s="43">
        <f>+BUS!BD127+BUS!BE127+BUS!BF127</f>
        <v>0</v>
      </c>
      <c r="U16" s="43">
        <f>+BUS!BG127+BUS!BH127+BUS!BI127</f>
        <v>0</v>
      </c>
      <c r="V16" s="43">
        <f>+BUS!BJ127+BUS!BK127+BUS!BL127</f>
        <v>0</v>
      </c>
      <c r="W16" s="43">
        <f>+BUS!BM127+BUS!BN127+BUS!BO127</f>
        <v>0</v>
      </c>
      <c r="X16" s="43">
        <f>+BUS!BP127+BUS!BQ127+BUS!BR127</f>
        <v>0</v>
      </c>
      <c r="Y16" s="43">
        <f>+BUS!BS127+BUS!BT127+BUS!BU127</f>
        <v>0</v>
      </c>
      <c r="Z16" s="43">
        <f>+BUS!BV127+BUS!BW127+BUS!BX127</f>
        <v>0</v>
      </c>
      <c r="AA16" s="43">
        <f>+BUS!BY127+BUS!BZ127+BUS!CA127</f>
        <v>0</v>
      </c>
      <c r="AB16" s="43">
        <f>+BUS!CB127+BUS!CC127+BUS!CD127</f>
        <v>0</v>
      </c>
      <c r="AC16" s="43">
        <f>+BUS!CE127+BUS!CF127+BUS!CG127</f>
        <v>0</v>
      </c>
      <c r="AD16" s="43">
        <f>+BUS!CH127+BUS!CI127+BUS!CJ127</f>
        <v>0</v>
      </c>
      <c r="AE16" s="43">
        <f>+BUS!CK127+BUS!CL127+BUS!CM127</f>
        <v>0</v>
      </c>
      <c r="AF16" s="43">
        <f>+BUS!CN127+BUS!CO127+BUS!CP127</f>
        <v>0</v>
      </c>
      <c r="AG16" s="43">
        <f>+BUS!CQ127+BUS!CR127+BUS!CS127</f>
        <v>0</v>
      </c>
      <c r="AH16" s="43">
        <f>+BUS!CT127+BUS!CU127+BUS!CV127</f>
        <v>0</v>
      </c>
      <c r="AI16" s="43">
        <f>+BUS!CW127+BUS!CX127+BUS!CY127</f>
        <v>0</v>
      </c>
      <c r="AJ16" s="43">
        <f>+BUS!CZ127+BUS!DA127+BUS!DB127</f>
        <v>0</v>
      </c>
      <c r="AK16" s="43">
        <f>+BUS!DC127+BUS!DD127+BUS!DE127</f>
        <v>0</v>
      </c>
      <c r="AL16" s="43">
        <f>+BUS!DF127+BUS!DG127+BUS!DH127</f>
        <v>0</v>
      </c>
      <c r="AM16" s="43">
        <f>+BUS!DI127+BUS!DJ127+BUS!DK127</f>
        <v>0</v>
      </c>
      <c r="AN16" s="43">
        <f>+BUS!DL127+BUS!DM127+BUS!DN127</f>
        <v>0</v>
      </c>
      <c r="AO16" s="43">
        <f>+BUS!DO127+BUS!DP127+BUS!DQ127</f>
        <v>0</v>
      </c>
      <c r="AP16" s="43">
        <f>+BUS!DR127+BUS!DS127+BUS!DT127</f>
        <v>0</v>
      </c>
      <c r="AQ16" s="43">
        <f>+BUS!DU127+BUS!DV127+BUS!DW127</f>
        <v>0</v>
      </c>
      <c r="AR16" s="43">
        <f>+BUS!DX127+BUS!DY127+BUS!DZ127</f>
        <v>0</v>
      </c>
      <c r="AS16" s="43">
        <f>+BUS!EA127+BUS!EB127+BUS!EC127</f>
        <v>0</v>
      </c>
      <c r="AT16" s="43">
        <f>+BUS!ED127+BUS!EE127+BUS!EF127</f>
        <v>0</v>
      </c>
      <c r="AU16" s="43">
        <f>+BUS!EH127+BUS!EI127+BUS!EG127</f>
        <v>0</v>
      </c>
      <c r="AV16" s="43">
        <f>+BUS!EK127+BUS!EL127+BUS!EJ127</f>
        <v>0</v>
      </c>
      <c r="AW16" s="43">
        <f>+BUS!EN127+BUS!EO127+BUS!EM127</f>
        <v>0</v>
      </c>
      <c r="AX16" s="43">
        <f>+BUS!EQ127+BUS!ER127+BUS!EP127</f>
        <v>0</v>
      </c>
      <c r="AY16" s="43">
        <f>+BUS!ET127+BUS!EU127+BUS!ES127</f>
        <v>0</v>
      </c>
      <c r="AZ16" s="43">
        <f>+BUS!EW127+BUS!EX127+BUS!EV127</f>
        <v>0</v>
      </c>
      <c r="BA16" s="43">
        <f>+BUS!EZ127+BUS!FA127+BUS!EY127</f>
        <v>0</v>
      </c>
      <c r="BB16" s="43">
        <f>+BUS!FC127+BUS!FD127+BUS!FB127</f>
        <v>0</v>
      </c>
      <c r="BC16" s="43">
        <f>+BUS!FF127+BUS!FG127+BUS!FE127</f>
        <v>0</v>
      </c>
      <c r="BD16" s="43">
        <f>+BUS!FI127+BUS!FJ127+BUS!FH127</f>
        <v>0</v>
      </c>
      <c r="BE16" s="43">
        <f>+BUS!FL127+BUS!FM127+BUS!FK127</f>
        <v>0</v>
      </c>
      <c r="BF16" s="225">
        <f t="shared" si="0"/>
        <v>0</v>
      </c>
    </row>
    <row r="17" spans="1:58" ht="18" customHeight="1">
      <c r="A17" s="137">
        <v>14</v>
      </c>
      <c r="B17" s="43">
        <f>+BUS!B128+BUS!C128+BUS!D128</f>
        <v>0</v>
      </c>
      <c r="C17" s="43">
        <f>+BUS!E128+BUS!F128+BUS!G128</f>
        <v>0</v>
      </c>
      <c r="D17" s="43">
        <f>+BUS!H128+BUS!I128+BUS!J128</f>
        <v>0</v>
      </c>
      <c r="E17" s="43">
        <f>+BUS!K128+BUS!L128+BUS!M128</f>
        <v>0</v>
      </c>
      <c r="F17" s="43">
        <f>+BUS!N128+BUS!O128+BUS!P128</f>
        <v>0</v>
      </c>
      <c r="G17" s="43">
        <f>+BUS!Q128+BUS!R128+BUS!S128</f>
        <v>0</v>
      </c>
      <c r="H17" s="43">
        <f>+BUS!T128+BUS!U128+BUS!V128</f>
        <v>0</v>
      </c>
      <c r="I17" s="43">
        <f>+BUS!W128+BUS!X128+BUS!Y128</f>
        <v>0</v>
      </c>
      <c r="J17" s="43">
        <f>+BUS!Z128+BUS!AA128+BUS!AB128</f>
        <v>0</v>
      </c>
      <c r="K17" s="43">
        <f>+BUS!AC128+BUS!AD128+BUS!AE128</f>
        <v>0</v>
      </c>
      <c r="L17" s="43">
        <f>+BUS!AF128+BUS!AG128+BUS!AH128</f>
        <v>0</v>
      </c>
      <c r="M17" s="43">
        <f>+BUS!AI128+BUS!AJ128+BUS!AK128</f>
        <v>0</v>
      </c>
      <c r="N17" s="43">
        <f>+BUS!AL128+BUS!AM128+BUS!AN128</f>
        <v>0</v>
      </c>
      <c r="O17" s="43">
        <f>+BUS!AO128+BUS!AP128+BUS!AQ128</f>
        <v>0</v>
      </c>
      <c r="P17" s="43">
        <f>+BUS!AR128+BUS!AS128+BUS!AT128</f>
        <v>0</v>
      </c>
      <c r="Q17" s="43">
        <f>+BUS!AU128+BUS!AV128+BUS!AW128</f>
        <v>0</v>
      </c>
      <c r="R17" s="43">
        <f>+BUS!AX128+BUS!AY128+BUS!AZ128</f>
        <v>0</v>
      </c>
      <c r="S17" s="43">
        <f>+BUS!BA128+BUS!BB128+BUS!BC128</f>
        <v>0</v>
      </c>
      <c r="T17" s="43">
        <f>+BUS!BD128+BUS!BE128+BUS!BF128</f>
        <v>0</v>
      </c>
      <c r="U17" s="43">
        <f>+BUS!BG128+BUS!BH128+BUS!BI128</f>
        <v>0</v>
      </c>
      <c r="V17" s="43">
        <f>+BUS!BJ128+BUS!BK128+BUS!BL128</f>
        <v>0</v>
      </c>
      <c r="W17" s="43">
        <f>+BUS!BM128+BUS!BN128+BUS!BO128</f>
        <v>0</v>
      </c>
      <c r="X17" s="43">
        <f>+BUS!BP128+BUS!BQ128+BUS!BR128</f>
        <v>0</v>
      </c>
      <c r="Y17" s="43">
        <f>+BUS!BS128+BUS!BT128+BUS!BU128</f>
        <v>0</v>
      </c>
      <c r="Z17" s="43">
        <f>+BUS!BV128+BUS!BW128+BUS!BX128</f>
        <v>0</v>
      </c>
      <c r="AA17" s="43">
        <f>+BUS!BY128+BUS!BZ128+BUS!CA128</f>
        <v>0</v>
      </c>
      <c r="AB17" s="43">
        <f>+BUS!CB128+BUS!CC128+BUS!CD128</f>
        <v>0</v>
      </c>
      <c r="AC17" s="43">
        <f>+BUS!CE128+BUS!CF128+BUS!CG128</f>
        <v>0</v>
      </c>
      <c r="AD17" s="43">
        <f>+BUS!CH128+BUS!CI128+BUS!CJ128</f>
        <v>0</v>
      </c>
      <c r="AE17" s="43">
        <f>+BUS!CK128+BUS!CL128+BUS!CM128</f>
        <v>0</v>
      </c>
      <c r="AF17" s="43">
        <f>+BUS!CN128+BUS!CO128+BUS!CP128</f>
        <v>0</v>
      </c>
      <c r="AG17" s="43">
        <f>+BUS!CQ128+BUS!CR128+BUS!CS128</f>
        <v>0</v>
      </c>
      <c r="AH17" s="43">
        <f>+BUS!CT128+BUS!CU128+BUS!CV128</f>
        <v>0</v>
      </c>
      <c r="AI17" s="43">
        <f>+BUS!CW128+BUS!CX128+BUS!CY128</f>
        <v>0</v>
      </c>
      <c r="AJ17" s="43">
        <f>+BUS!CZ128+BUS!DA128+BUS!DB128</f>
        <v>0</v>
      </c>
      <c r="AK17" s="43">
        <f>+BUS!DC128+BUS!DD128+BUS!DE128</f>
        <v>0</v>
      </c>
      <c r="AL17" s="43">
        <f>+BUS!DF128+BUS!DG128+BUS!DH128</f>
        <v>0</v>
      </c>
      <c r="AM17" s="43">
        <f>+BUS!DI128+BUS!DJ128+BUS!DK128</f>
        <v>0</v>
      </c>
      <c r="AN17" s="43">
        <f>+BUS!DL128+BUS!DM128+BUS!DN128</f>
        <v>0</v>
      </c>
      <c r="AO17" s="43">
        <f>+BUS!DO128+BUS!DP128+BUS!DQ128</f>
        <v>0</v>
      </c>
      <c r="AP17" s="43">
        <f>+BUS!DR128+BUS!DS128+BUS!DT128</f>
        <v>0</v>
      </c>
      <c r="AQ17" s="43">
        <f>+BUS!DU128+BUS!DV128+BUS!DW128</f>
        <v>0</v>
      </c>
      <c r="AR17" s="43">
        <f>+BUS!DX128+BUS!DY128+BUS!DZ128</f>
        <v>0</v>
      </c>
      <c r="AS17" s="43">
        <f>+BUS!EA128+BUS!EB128+BUS!EC128</f>
        <v>0</v>
      </c>
      <c r="AT17" s="43">
        <f>+BUS!ED128+BUS!EE128+BUS!EF128</f>
        <v>0</v>
      </c>
      <c r="AU17" s="43">
        <f>+BUS!EH128+BUS!EI128+BUS!EG128</f>
        <v>0</v>
      </c>
      <c r="AV17" s="43">
        <f>+BUS!EK128+BUS!EL128+BUS!EJ128</f>
        <v>0</v>
      </c>
      <c r="AW17" s="43">
        <f>+BUS!EN128+BUS!EO128+BUS!EM128</f>
        <v>0</v>
      </c>
      <c r="AX17" s="43">
        <f>+BUS!EQ128+BUS!ER128+BUS!EP128</f>
        <v>0</v>
      </c>
      <c r="AY17" s="43">
        <f>+BUS!ET128+BUS!EU128+BUS!ES128</f>
        <v>0</v>
      </c>
      <c r="AZ17" s="43">
        <f>+BUS!EW128+BUS!EX128+BUS!EV128</f>
        <v>0</v>
      </c>
      <c r="BA17" s="43">
        <f>+BUS!EZ128+BUS!FA128+BUS!EY128</f>
        <v>0</v>
      </c>
      <c r="BB17" s="43">
        <f>+BUS!FC128+BUS!FD128+BUS!FB128</f>
        <v>0</v>
      </c>
      <c r="BC17" s="43">
        <f>+BUS!FF128+BUS!FG128+BUS!FE128</f>
        <v>0</v>
      </c>
      <c r="BD17" s="43">
        <f>+BUS!FI128+BUS!FJ128+BUS!FH128</f>
        <v>0</v>
      </c>
      <c r="BE17" s="43">
        <f>+BUS!FL128+BUS!FM128+BUS!FK128</f>
        <v>0</v>
      </c>
      <c r="BF17" s="225">
        <f t="shared" si="0"/>
        <v>0</v>
      </c>
    </row>
    <row r="18" spans="1:58" ht="17.25" customHeight="1">
      <c r="A18" s="137">
        <v>15</v>
      </c>
      <c r="B18" s="43">
        <f>+BUS!B129+BUS!C129+BUS!D129</f>
        <v>0</v>
      </c>
      <c r="C18" s="43">
        <f>+BUS!E129+BUS!F129+BUS!G129</f>
        <v>0</v>
      </c>
      <c r="D18" s="43">
        <f>+BUS!H129+BUS!I129+BUS!J129</f>
        <v>0</v>
      </c>
      <c r="E18" s="43">
        <f>+BUS!K129+BUS!L129+BUS!M129</f>
        <v>0</v>
      </c>
      <c r="F18" s="43">
        <f>+BUS!N129+BUS!O129+BUS!P129</f>
        <v>0</v>
      </c>
      <c r="G18" s="43">
        <f>+BUS!Q129+BUS!R129+BUS!S129</f>
        <v>0</v>
      </c>
      <c r="H18" s="43">
        <f>+BUS!T129+BUS!U129+BUS!V129</f>
        <v>0</v>
      </c>
      <c r="I18" s="43">
        <f>+BUS!W129+BUS!X129+BUS!Y129</f>
        <v>0</v>
      </c>
      <c r="J18" s="43">
        <f>+BUS!Z129+BUS!AA129+BUS!AB129</f>
        <v>0</v>
      </c>
      <c r="K18" s="43">
        <f>+BUS!AC129+BUS!AD129+BUS!AE129</f>
        <v>0</v>
      </c>
      <c r="L18" s="43">
        <f>+BUS!AF129+BUS!AG129+BUS!AH129</f>
        <v>0</v>
      </c>
      <c r="M18" s="43">
        <f>+BUS!AI129+BUS!AJ129+BUS!AK129</f>
        <v>0</v>
      </c>
      <c r="N18" s="43">
        <f>+BUS!AL129+BUS!AM129+BUS!AN129</f>
        <v>0</v>
      </c>
      <c r="O18" s="43">
        <f>+BUS!AO129+BUS!AP129+BUS!AQ129</f>
        <v>0</v>
      </c>
      <c r="P18" s="43">
        <f>+BUS!AR129+BUS!AS129+BUS!AT129</f>
        <v>0</v>
      </c>
      <c r="Q18" s="43">
        <f>+BUS!AU129+BUS!AV129+BUS!AW129</f>
        <v>0</v>
      </c>
      <c r="R18" s="43">
        <f>+BUS!AX129+BUS!AY129+BUS!AZ129</f>
        <v>0</v>
      </c>
      <c r="S18" s="43">
        <f>+BUS!BA129+BUS!BB129+BUS!BC129</f>
        <v>0</v>
      </c>
      <c r="T18" s="43">
        <f>+BUS!BD129+BUS!BE129+BUS!BF129</f>
        <v>0</v>
      </c>
      <c r="U18" s="43">
        <f>+BUS!BG129+BUS!BH129+BUS!BI129</f>
        <v>0</v>
      </c>
      <c r="V18" s="43">
        <f>+BUS!BJ129+BUS!BK129+BUS!BL129</f>
        <v>0</v>
      </c>
      <c r="W18" s="43">
        <f>+BUS!BM129+BUS!BN129+BUS!BO129</f>
        <v>0</v>
      </c>
      <c r="X18" s="43">
        <f>+BUS!BP129+BUS!BQ129+BUS!BR129</f>
        <v>0</v>
      </c>
      <c r="Y18" s="43">
        <f>+BUS!BS129+BUS!BT129+BUS!BU129</f>
        <v>0</v>
      </c>
      <c r="Z18" s="43">
        <f>+BUS!BV129+BUS!BW129+BUS!BX129</f>
        <v>0</v>
      </c>
      <c r="AA18" s="43">
        <f>+BUS!BY129+BUS!BZ129+BUS!CA129</f>
        <v>0</v>
      </c>
      <c r="AB18" s="43">
        <f>+BUS!CB129+BUS!CC129+BUS!CD129</f>
        <v>0</v>
      </c>
      <c r="AC18" s="43">
        <f>+BUS!CE129+BUS!CF129+BUS!CG129</f>
        <v>0</v>
      </c>
      <c r="AD18" s="43">
        <f>+BUS!CH129+BUS!CI129+BUS!CJ129</f>
        <v>0</v>
      </c>
      <c r="AE18" s="43">
        <f>+BUS!CK129+BUS!CL129+BUS!CM129</f>
        <v>0</v>
      </c>
      <c r="AF18" s="43">
        <f>+BUS!CN129+BUS!CO129+BUS!CP129</f>
        <v>0</v>
      </c>
      <c r="AG18" s="43">
        <f>+BUS!CQ129+BUS!CR129+BUS!CS129</f>
        <v>0</v>
      </c>
      <c r="AH18" s="43">
        <f>+BUS!CT129+BUS!CU129+BUS!CV129</f>
        <v>0</v>
      </c>
      <c r="AI18" s="43">
        <f>+BUS!CW129+BUS!CX129+BUS!CY129</f>
        <v>0</v>
      </c>
      <c r="AJ18" s="43">
        <f>+BUS!CZ129+BUS!DA129+BUS!DB129</f>
        <v>0</v>
      </c>
      <c r="AK18" s="43">
        <f>+BUS!DC129+BUS!DD129+BUS!DE129</f>
        <v>0</v>
      </c>
      <c r="AL18" s="43">
        <f>+BUS!DF129+BUS!DG129+BUS!DH129</f>
        <v>0</v>
      </c>
      <c r="AM18" s="43">
        <f>+BUS!DI129+BUS!DJ129+BUS!DK129</f>
        <v>0</v>
      </c>
      <c r="AN18" s="43">
        <f>+BUS!DL129+BUS!DM129+BUS!DN129</f>
        <v>0</v>
      </c>
      <c r="AO18" s="43">
        <f>+BUS!DO129+BUS!DP129+BUS!DQ129</f>
        <v>0</v>
      </c>
      <c r="AP18" s="43">
        <f>+BUS!DR129+BUS!DS129+BUS!DT129</f>
        <v>0</v>
      </c>
      <c r="AQ18" s="43">
        <f>+BUS!DU129+BUS!DV129+BUS!DW129</f>
        <v>0</v>
      </c>
      <c r="AR18" s="43">
        <f>+BUS!DX129+BUS!DY129+BUS!DZ129</f>
        <v>0</v>
      </c>
      <c r="AS18" s="43">
        <f>+BUS!EA129+BUS!EB129+BUS!EC129</f>
        <v>0</v>
      </c>
      <c r="AT18" s="43">
        <f>+BUS!ED129+BUS!EE129+BUS!EF129</f>
        <v>0</v>
      </c>
      <c r="AU18" s="43">
        <f>+BUS!EH129+BUS!EI129+BUS!EG129</f>
        <v>0</v>
      </c>
      <c r="AV18" s="43">
        <f>+BUS!EK129+BUS!EL129+BUS!EJ129</f>
        <v>0</v>
      </c>
      <c r="AW18" s="43">
        <f>+BUS!EN129+BUS!EO129+BUS!EM129</f>
        <v>0</v>
      </c>
      <c r="AX18" s="43">
        <f>+BUS!EQ129+BUS!ER129+BUS!EP129</f>
        <v>0</v>
      </c>
      <c r="AY18" s="43">
        <f>+BUS!ET129+BUS!EU129+BUS!ES129</f>
        <v>0</v>
      </c>
      <c r="AZ18" s="43">
        <f>+BUS!EW129+BUS!EX129+BUS!EV129</f>
        <v>0</v>
      </c>
      <c r="BA18" s="43">
        <f>+BUS!EZ129+BUS!FA129+BUS!EY129</f>
        <v>0</v>
      </c>
      <c r="BB18" s="43">
        <f>+BUS!FC129+BUS!FD129+BUS!FB129</f>
        <v>0</v>
      </c>
      <c r="BC18" s="43">
        <f>+BUS!FF129+BUS!FG129+BUS!FE129</f>
        <v>0</v>
      </c>
      <c r="BD18" s="43">
        <f>+BUS!FI129+BUS!FJ129+BUS!FH129</f>
        <v>0</v>
      </c>
      <c r="BE18" s="43">
        <f>+BUS!FL129+BUS!FM129+BUS!FK129</f>
        <v>0</v>
      </c>
      <c r="BF18" s="225">
        <f t="shared" si="0"/>
        <v>0</v>
      </c>
    </row>
    <row r="19" spans="1:58" ht="15.75" customHeight="1">
      <c r="A19" s="137">
        <v>16</v>
      </c>
      <c r="B19" s="43">
        <f>+BUS!B130+BUS!C130+BUS!D130</f>
        <v>0</v>
      </c>
      <c r="C19" s="43">
        <f>+BUS!E130+BUS!F130+BUS!G130</f>
        <v>0</v>
      </c>
      <c r="D19" s="43">
        <f>+BUS!H130+BUS!I130+BUS!J130</f>
        <v>0</v>
      </c>
      <c r="E19" s="43">
        <f>+BUS!K130+BUS!L130+BUS!M130</f>
        <v>0</v>
      </c>
      <c r="F19" s="43">
        <f>+BUS!N130+BUS!O130+BUS!P130</f>
        <v>0</v>
      </c>
      <c r="G19" s="43">
        <f>+BUS!Q130+BUS!R130+BUS!S130</f>
        <v>0</v>
      </c>
      <c r="H19" s="43">
        <f>+BUS!T130+BUS!U130+BUS!V130</f>
        <v>0</v>
      </c>
      <c r="I19" s="43">
        <f>+BUS!W130+BUS!X130+BUS!Y130</f>
        <v>0</v>
      </c>
      <c r="J19" s="43">
        <f>+BUS!Z130+BUS!AA130+BUS!AB130</f>
        <v>0</v>
      </c>
      <c r="K19" s="43">
        <f>+BUS!AC130+BUS!AD130+BUS!AE130</f>
        <v>0</v>
      </c>
      <c r="L19" s="43">
        <f>+BUS!AF130+BUS!AG130+BUS!AH130</f>
        <v>0</v>
      </c>
      <c r="M19" s="43">
        <f>+BUS!AI130+BUS!AJ130+BUS!AK130</f>
        <v>0</v>
      </c>
      <c r="N19" s="43">
        <f>+BUS!AL130+BUS!AM130+BUS!AN130</f>
        <v>0</v>
      </c>
      <c r="O19" s="43">
        <f>+BUS!AO130+BUS!AP130+BUS!AQ130</f>
        <v>0</v>
      </c>
      <c r="P19" s="43">
        <f>+BUS!AR130+BUS!AS130+BUS!AT130</f>
        <v>0</v>
      </c>
      <c r="Q19" s="43">
        <f>+BUS!AU130+BUS!AV130+BUS!AW130</f>
        <v>0</v>
      </c>
      <c r="R19" s="43">
        <f>+BUS!AX130+BUS!AY130+BUS!AZ130</f>
        <v>0</v>
      </c>
      <c r="S19" s="43">
        <f>+BUS!BA130+BUS!BB130+BUS!BC130</f>
        <v>0</v>
      </c>
      <c r="T19" s="43">
        <f>+BUS!BD130+BUS!BE130+BUS!BF130</f>
        <v>0</v>
      </c>
      <c r="U19" s="43">
        <f>+BUS!BG130+BUS!BH130+BUS!BI130</f>
        <v>0</v>
      </c>
      <c r="V19" s="43">
        <f>+BUS!BJ130+BUS!BK130+BUS!BL130</f>
        <v>0</v>
      </c>
      <c r="W19" s="43">
        <f>+BUS!BM130+BUS!BN130+BUS!BO130</f>
        <v>0</v>
      </c>
      <c r="X19" s="43">
        <f>+BUS!BP130+BUS!BQ130+BUS!BR130</f>
        <v>0</v>
      </c>
      <c r="Y19" s="43">
        <f>+BUS!BS130+BUS!BT130+BUS!BU130</f>
        <v>0</v>
      </c>
      <c r="Z19" s="43">
        <f>+BUS!BV130+BUS!BW130+BUS!BX130</f>
        <v>0</v>
      </c>
      <c r="AA19" s="43">
        <f>+BUS!BY130+BUS!BZ130+BUS!CA130</f>
        <v>0</v>
      </c>
      <c r="AB19" s="43">
        <f>+BUS!CB130+BUS!CC130+BUS!CD130</f>
        <v>0</v>
      </c>
      <c r="AC19" s="43">
        <f>+BUS!CE130+BUS!CF130+BUS!CG130</f>
        <v>0</v>
      </c>
      <c r="AD19" s="43">
        <f>+BUS!CH130+BUS!CI130+BUS!CJ130</f>
        <v>0</v>
      </c>
      <c r="AE19" s="43">
        <f>+BUS!CK130+BUS!CL130+BUS!CM130</f>
        <v>0</v>
      </c>
      <c r="AF19" s="43">
        <f>+BUS!CN130+BUS!CO130+BUS!CP130</f>
        <v>0</v>
      </c>
      <c r="AG19" s="43">
        <f>+BUS!CQ130+BUS!CR130+BUS!CS130</f>
        <v>0</v>
      </c>
      <c r="AH19" s="43">
        <f>+BUS!CT130+BUS!CU130+BUS!CV130</f>
        <v>0</v>
      </c>
      <c r="AI19" s="43">
        <f>+BUS!CW130+BUS!CX130+BUS!CY130</f>
        <v>0</v>
      </c>
      <c r="AJ19" s="43">
        <f>+BUS!CZ130+BUS!DA130+BUS!DB130</f>
        <v>0</v>
      </c>
      <c r="AK19" s="43">
        <f>+BUS!DC130+BUS!DD130+BUS!DE130</f>
        <v>0</v>
      </c>
      <c r="AL19" s="43">
        <f>+BUS!DF130+BUS!DG130+BUS!DH130</f>
        <v>0</v>
      </c>
      <c r="AM19" s="43">
        <f>+BUS!DI130+BUS!DJ130+BUS!DK130</f>
        <v>0</v>
      </c>
      <c r="AN19" s="43">
        <f>+BUS!DL130+BUS!DM130+BUS!DN130</f>
        <v>0</v>
      </c>
      <c r="AO19" s="43">
        <f>+BUS!DO130+BUS!DP130+BUS!DQ130</f>
        <v>0</v>
      </c>
      <c r="AP19" s="43">
        <f>+BUS!DR130+BUS!DS130+BUS!DT130</f>
        <v>0</v>
      </c>
      <c r="AQ19" s="43">
        <f>+BUS!DU130+BUS!DV130+BUS!DW130</f>
        <v>0</v>
      </c>
      <c r="AR19" s="43">
        <f>+BUS!DX130+BUS!DY130+BUS!DZ130</f>
        <v>0</v>
      </c>
      <c r="AS19" s="43">
        <f>+BUS!EA130+BUS!EB130+BUS!EC130</f>
        <v>0</v>
      </c>
      <c r="AT19" s="43">
        <f>+BUS!ED130+BUS!EE130+BUS!EF130</f>
        <v>0</v>
      </c>
      <c r="AU19" s="43">
        <f>+BUS!EH130+BUS!EI130+BUS!EG130</f>
        <v>0</v>
      </c>
      <c r="AV19" s="43">
        <f>+BUS!EK130+BUS!EL130+BUS!EJ130</f>
        <v>0</v>
      </c>
      <c r="AW19" s="43">
        <f>+BUS!EN130+BUS!EO130+BUS!EM130</f>
        <v>0</v>
      </c>
      <c r="AX19" s="43">
        <f>+BUS!EQ130+BUS!ER130+BUS!EP130</f>
        <v>0</v>
      </c>
      <c r="AY19" s="43">
        <f>+BUS!ET130+BUS!EU130+BUS!ES130</f>
        <v>0</v>
      </c>
      <c r="AZ19" s="43">
        <f>+BUS!EW130+BUS!EX130+BUS!EV130</f>
        <v>0</v>
      </c>
      <c r="BA19" s="43">
        <f>+BUS!EZ130+BUS!FA130+BUS!EY130</f>
        <v>0</v>
      </c>
      <c r="BB19" s="43">
        <f>+BUS!FC130+BUS!FD130+BUS!FB130</f>
        <v>0</v>
      </c>
      <c r="BC19" s="43">
        <f>+BUS!FF130+BUS!FG130+BUS!FE130</f>
        <v>0</v>
      </c>
      <c r="BD19" s="43">
        <f>+BUS!FI130+BUS!FJ130+BUS!FH130</f>
        <v>0</v>
      </c>
      <c r="BE19" s="43">
        <f>+BUS!FL130+BUS!FM130+BUS!FK130</f>
        <v>0</v>
      </c>
      <c r="BF19" s="225">
        <f t="shared" si="0"/>
        <v>0</v>
      </c>
    </row>
    <row r="20" spans="1:58" ht="16.5" customHeight="1">
      <c r="A20" s="137">
        <v>17</v>
      </c>
      <c r="B20" s="43">
        <f>+BUS!B131+BUS!C131+BUS!D131</f>
        <v>0</v>
      </c>
      <c r="C20" s="43">
        <f>+BUS!E131+BUS!F131+BUS!G131</f>
        <v>0</v>
      </c>
      <c r="D20" s="43">
        <f>+BUS!H131+BUS!I131+BUS!J131</f>
        <v>0</v>
      </c>
      <c r="E20" s="43">
        <f>+BUS!K131+BUS!L131+BUS!M131</f>
        <v>0</v>
      </c>
      <c r="F20" s="43">
        <f>+BUS!N131+BUS!O131+BUS!P131</f>
        <v>0</v>
      </c>
      <c r="G20" s="43">
        <f>+BUS!Q131+BUS!R131+BUS!S131</f>
        <v>0</v>
      </c>
      <c r="H20" s="43">
        <f>+BUS!T131+BUS!U131+BUS!V131</f>
        <v>0</v>
      </c>
      <c r="I20" s="43">
        <f>+BUS!W131+BUS!X131+BUS!Y131</f>
        <v>0</v>
      </c>
      <c r="J20" s="43">
        <f>+BUS!Z131+BUS!AA131+BUS!AB131</f>
        <v>0</v>
      </c>
      <c r="K20" s="43">
        <f>+BUS!AC131+BUS!AD131+BUS!AE131</f>
        <v>0</v>
      </c>
      <c r="L20" s="43">
        <f>+BUS!AF131+BUS!AG131+BUS!AH131</f>
        <v>0</v>
      </c>
      <c r="M20" s="43">
        <f>+BUS!AI131+BUS!AJ131+BUS!AK131</f>
        <v>0</v>
      </c>
      <c r="N20" s="43">
        <f>+BUS!AL131+BUS!AM131+BUS!AN131</f>
        <v>0</v>
      </c>
      <c r="O20" s="43">
        <f>+BUS!AO131+BUS!AP131+BUS!AQ131</f>
        <v>0</v>
      </c>
      <c r="P20" s="43">
        <f>+BUS!AR131+BUS!AS131+BUS!AT131</f>
        <v>0</v>
      </c>
      <c r="Q20" s="43">
        <f>+BUS!AU131+BUS!AV131+BUS!AW131</f>
        <v>0</v>
      </c>
      <c r="R20" s="43">
        <f>+BUS!AX131+BUS!AY131+BUS!AZ131</f>
        <v>0</v>
      </c>
      <c r="S20" s="43">
        <f>+BUS!BA131+BUS!BB131+BUS!BC131</f>
        <v>0</v>
      </c>
      <c r="T20" s="43">
        <f>+BUS!BD131+BUS!BE131+BUS!BF131</f>
        <v>0</v>
      </c>
      <c r="U20" s="43">
        <f>+BUS!BG131+BUS!BH131+BUS!BI131</f>
        <v>0</v>
      </c>
      <c r="V20" s="43">
        <f>+BUS!BJ131+BUS!BK131+BUS!BL131</f>
        <v>0</v>
      </c>
      <c r="W20" s="43">
        <f>+BUS!BM131+BUS!BN131+BUS!BO131</f>
        <v>0</v>
      </c>
      <c r="X20" s="43">
        <f>+BUS!BP131+BUS!BQ131+BUS!BR131</f>
        <v>0</v>
      </c>
      <c r="Y20" s="43">
        <f>+BUS!BS131+BUS!BT131+BUS!BU131</f>
        <v>0</v>
      </c>
      <c r="Z20" s="43">
        <f>+BUS!BV131+BUS!BW131+BUS!BX131</f>
        <v>0</v>
      </c>
      <c r="AA20" s="43">
        <f>+BUS!BY131+BUS!BZ131+BUS!CA131</f>
        <v>0</v>
      </c>
      <c r="AB20" s="43">
        <f>+BUS!CB131+BUS!CC131+BUS!CD131</f>
        <v>0</v>
      </c>
      <c r="AC20" s="43">
        <f>+BUS!CE131+BUS!CF131+BUS!CG131</f>
        <v>0</v>
      </c>
      <c r="AD20" s="43">
        <f>+BUS!CH131+BUS!CI131+BUS!CJ131</f>
        <v>0</v>
      </c>
      <c r="AE20" s="43">
        <f>+BUS!CK131+BUS!CL131+BUS!CM131</f>
        <v>0</v>
      </c>
      <c r="AF20" s="43">
        <f>+BUS!CN131+BUS!CO131+BUS!CP131</f>
        <v>0</v>
      </c>
      <c r="AG20" s="43">
        <f>+BUS!CQ131+BUS!CR131+BUS!CS131</f>
        <v>0</v>
      </c>
      <c r="AH20" s="43">
        <f>+BUS!CT131+BUS!CU131+BUS!CV131</f>
        <v>0</v>
      </c>
      <c r="AI20" s="43">
        <f>+BUS!CW131+BUS!CX131+BUS!CY131</f>
        <v>0</v>
      </c>
      <c r="AJ20" s="43">
        <f>+BUS!CZ131+BUS!DA131+BUS!DB131</f>
        <v>0</v>
      </c>
      <c r="AK20" s="43">
        <f>+BUS!DC131+BUS!DD131+BUS!DE131</f>
        <v>0</v>
      </c>
      <c r="AL20" s="43">
        <f>+BUS!DF131+BUS!DG131+BUS!DH131</f>
        <v>0</v>
      </c>
      <c r="AM20" s="43">
        <f>+BUS!DI131+BUS!DJ131+BUS!DK131</f>
        <v>0</v>
      </c>
      <c r="AN20" s="43">
        <f>+BUS!DL131+BUS!DM131+BUS!DN131</f>
        <v>0</v>
      </c>
      <c r="AO20" s="43">
        <f>+BUS!DO131+BUS!DP131+BUS!DQ131</f>
        <v>0</v>
      </c>
      <c r="AP20" s="43">
        <f>+BUS!DR131+BUS!DS131+BUS!DT131</f>
        <v>0</v>
      </c>
      <c r="AQ20" s="43">
        <f>+BUS!DU131+BUS!DV131+BUS!DW131</f>
        <v>0</v>
      </c>
      <c r="AR20" s="43">
        <f>+BUS!DX131+BUS!DY131+BUS!DZ131</f>
        <v>0</v>
      </c>
      <c r="AS20" s="43">
        <f>+BUS!EA131+BUS!EB131+BUS!EC131</f>
        <v>0</v>
      </c>
      <c r="AT20" s="43">
        <f>+BUS!ED131+BUS!EE131+BUS!EF131</f>
        <v>0</v>
      </c>
      <c r="AU20" s="43">
        <f>+BUS!EH131+BUS!EI131+BUS!EG131</f>
        <v>0</v>
      </c>
      <c r="AV20" s="43">
        <f>+BUS!EK131+BUS!EL131+BUS!EJ131</f>
        <v>0</v>
      </c>
      <c r="AW20" s="43">
        <f>+BUS!EN131+BUS!EO131+BUS!EM131</f>
        <v>0</v>
      </c>
      <c r="AX20" s="43">
        <f>+BUS!EQ131+BUS!ER131+BUS!EP131</f>
        <v>0</v>
      </c>
      <c r="AY20" s="43">
        <f>+BUS!ET131+BUS!EU131+BUS!ES131</f>
        <v>0</v>
      </c>
      <c r="AZ20" s="43">
        <f>+BUS!EW131+BUS!EX131+BUS!EV131</f>
        <v>0</v>
      </c>
      <c r="BA20" s="43">
        <f>+BUS!EZ131+BUS!FA131+BUS!EY131</f>
        <v>0</v>
      </c>
      <c r="BB20" s="43">
        <f>+BUS!FC131+BUS!FD131+BUS!FB131</f>
        <v>0</v>
      </c>
      <c r="BC20" s="43">
        <f>+BUS!FF131+BUS!FG131+BUS!FE131</f>
        <v>0</v>
      </c>
      <c r="BD20" s="43">
        <f>+BUS!FI131+BUS!FJ131+BUS!FH131</f>
        <v>0</v>
      </c>
      <c r="BE20" s="43">
        <f>+BUS!FL131+BUS!FM131+BUS!FK131</f>
        <v>0</v>
      </c>
      <c r="BF20" s="225">
        <f t="shared" si="0"/>
        <v>0</v>
      </c>
    </row>
    <row r="21" spans="1:58" ht="17.25" customHeight="1">
      <c r="A21" s="137">
        <v>18</v>
      </c>
      <c r="B21" s="43">
        <f>+BUS!B132+BUS!C132+BUS!D132</f>
        <v>0</v>
      </c>
      <c r="C21" s="43">
        <f>+BUS!E132+BUS!F132+BUS!G132</f>
        <v>0</v>
      </c>
      <c r="D21" s="43">
        <f>+BUS!H132+BUS!I132+BUS!J132</f>
        <v>0</v>
      </c>
      <c r="E21" s="43">
        <f>+BUS!K132+BUS!L132+BUS!M132</f>
        <v>0</v>
      </c>
      <c r="F21" s="43">
        <f>+BUS!N132+BUS!O132+BUS!P132</f>
        <v>0</v>
      </c>
      <c r="G21" s="43">
        <f>+BUS!Q132+BUS!R132+BUS!S132</f>
        <v>0</v>
      </c>
      <c r="H21" s="43">
        <f>+BUS!T132+BUS!U132+BUS!V132</f>
        <v>0</v>
      </c>
      <c r="I21" s="43">
        <f>+BUS!W132+BUS!X132+BUS!Y132</f>
        <v>0</v>
      </c>
      <c r="J21" s="43">
        <f>+BUS!Z132+BUS!AA132+BUS!AB132</f>
        <v>0</v>
      </c>
      <c r="K21" s="43">
        <f>+BUS!AC132+BUS!AD132+BUS!AE132</f>
        <v>0</v>
      </c>
      <c r="L21" s="43">
        <f>+BUS!AF132+BUS!AG132+BUS!AH132</f>
        <v>0</v>
      </c>
      <c r="M21" s="43">
        <f>+BUS!AI132+BUS!AJ132+BUS!AK132</f>
        <v>0</v>
      </c>
      <c r="N21" s="43">
        <f>+BUS!AL132+BUS!AM132+BUS!AN132</f>
        <v>0</v>
      </c>
      <c r="O21" s="43">
        <f>+BUS!AO132+BUS!AP132+BUS!AQ132</f>
        <v>0</v>
      </c>
      <c r="P21" s="43">
        <f>+BUS!AR132+BUS!AS132+BUS!AT132</f>
        <v>0</v>
      </c>
      <c r="Q21" s="43">
        <f>+BUS!AU132+BUS!AV132+BUS!AW132</f>
        <v>0</v>
      </c>
      <c r="R21" s="43">
        <f>+BUS!AX132+BUS!AY132+BUS!AZ132</f>
        <v>0</v>
      </c>
      <c r="S21" s="43">
        <f>+BUS!BA132+BUS!BB132+BUS!BC132</f>
        <v>0</v>
      </c>
      <c r="T21" s="43">
        <f>+BUS!BD132+BUS!BE132+BUS!BF132</f>
        <v>0</v>
      </c>
      <c r="U21" s="43">
        <f>+BUS!BG132+BUS!BH132+BUS!BI132</f>
        <v>0</v>
      </c>
      <c r="V21" s="43">
        <f>+BUS!BJ132+BUS!BK132+BUS!BL132</f>
        <v>0</v>
      </c>
      <c r="W21" s="43">
        <f>+BUS!BM132+BUS!BN132+BUS!BO132</f>
        <v>0</v>
      </c>
      <c r="X21" s="43">
        <f>+BUS!BP132+BUS!BQ132+BUS!BR132</f>
        <v>0</v>
      </c>
      <c r="Y21" s="43">
        <f>+BUS!BS132+BUS!BT132+BUS!BU132</f>
        <v>0</v>
      </c>
      <c r="Z21" s="43">
        <f>+BUS!BV132+BUS!BW132+BUS!BX132</f>
        <v>0</v>
      </c>
      <c r="AA21" s="43">
        <f>+BUS!BY132+BUS!BZ132+BUS!CA132</f>
        <v>0</v>
      </c>
      <c r="AB21" s="43">
        <f>+BUS!CB132+BUS!CC132+BUS!CD132</f>
        <v>0</v>
      </c>
      <c r="AC21" s="43">
        <f>+BUS!CE132+BUS!CF132+BUS!CG132</f>
        <v>0</v>
      </c>
      <c r="AD21" s="43">
        <f>+BUS!CH132+BUS!CI132+BUS!CJ132</f>
        <v>0</v>
      </c>
      <c r="AE21" s="43">
        <f>+BUS!CK132+BUS!CL132+BUS!CM132</f>
        <v>0</v>
      </c>
      <c r="AF21" s="43">
        <f>+BUS!CN132+BUS!CO132+BUS!CP132</f>
        <v>0</v>
      </c>
      <c r="AG21" s="43">
        <f>+BUS!CQ132+BUS!CR132+BUS!CS132</f>
        <v>0</v>
      </c>
      <c r="AH21" s="43">
        <f>+BUS!CT132+BUS!CU132+BUS!CV132</f>
        <v>0</v>
      </c>
      <c r="AI21" s="43">
        <f>+BUS!CW132+BUS!CX132+BUS!CY132</f>
        <v>0</v>
      </c>
      <c r="AJ21" s="43">
        <f>+BUS!CZ132+BUS!DA132+BUS!DB132</f>
        <v>0</v>
      </c>
      <c r="AK21" s="43">
        <f>+BUS!DC132+BUS!DD132+BUS!DE132</f>
        <v>0</v>
      </c>
      <c r="AL21" s="43">
        <f>+BUS!DF132+BUS!DG132+BUS!DH132</f>
        <v>0</v>
      </c>
      <c r="AM21" s="43">
        <f>+BUS!DI132+BUS!DJ132+BUS!DK132</f>
        <v>0</v>
      </c>
      <c r="AN21" s="43">
        <f>+BUS!DL132+BUS!DM132+BUS!DN132</f>
        <v>0</v>
      </c>
      <c r="AO21" s="43">
        <f>+BUS!DO132+BUS!DP132+BUS!DQ132</f>
        <v>0</v>
      </c>
      <c r="AP21" s="43">
        <f>+BUS!DR132+BUS!DS132+BUS!DT132</f>
        <v>0</v>
      </c>
      <c r="AQ21" s="43">
        <f>+BUS!DU132+BUS!DV132+BUS!DW132</f>
        <v>0</v>
      </c>
      <c r="AR21" s="43">
        <f>+BUS!DX132+BUS!DY132+BUS!DZ132</f>
        <v>0</v>
      </c>
      <c r="AS21" s="43">
        <f>+BUS!EA132+BUS!EB132+BUS!EC132</f>
        <v>0</v>
      </c>
      <c r="AT21" s="43">
        <f>+BUS!ED132+BUS!EE132+BUS!EF132</f>
        <v>0</v>
      </c>
      <c r="AU21" s="43">
        <f>+BUS!EH132+BUS!EI132+BUS!EG132</f>
        <v>0</v>
      </c>
      <c r="AV21" s="43">
        <f>+BUS!EK132+BUS!EL132+BUS!EJ132</f>
        <v>0</v>
      </c>
      <c r="AW21" s="43">
        <f>+BUS!EN132+BUS!EO132+BUS!EM132</f>
        <v>0</v>
      </c>
      <c r="AX21" s="43">
        <f>+BUS!EQ132+BUS!ER132+BUS!EP132</f>
        <v>0</v>
      </c>
      <c r="AY21" s="43">
        <f>+BUS!ET132+BUS!EU132+BUS!ES132</f>
        <v>0</v>
      </c>
      <c r="AZ21" s="43">
        <f>+BUS!EW132+BUS!EX132+BUS!EV132</f>
        <v>0</v>
      </c>
      <c r="BA21" s="43">
        <f>+BUS!EZ132+BUS!FA132+BUS!EY132</f>
        <v>0</v>
      </c>
      <c r="BB21" s="43">
        <f>+BUS!FC132+BUS!FD132+BUS!FB132</f>
        <v>0</v>
      </c>
      <c r="BC21" s="43">
        <f>+BUS!FF132+BUS!FG132+BUS!FE132</f>
        <v>0</v>
      </c>
      <c r="BD21" s="43">
        <f>+BUS!FI132+BUS!FJ132+BUS!FH132</f>
        <v>0</v>
      </c>
      <c r="BE21" s="43">
        <f>+BUS!FL132+BUS!FM132+BUS!FK132</f>
        <v>0</v>
      </c>
      <c r="BF21" s="225">
        <f t="shared" si="0"/>
        <v>0</v>
      </c>
    </row>
    <row r="22" spans="1:58" ht="17.25" customHeight="1">
      <c r="A22" s="137">
        <v>19</v>
      </c>
      <c r="B22" s="43">
        <f>+BUS!B133+BUS!C133+BUS!D133</f>
        <v>0</v>
      </c>
      <c r="C22" s="43">
        <f>+BUS!E133+BUS!F133+BUS!G133</f>
        <v>0</v>
      </c>
      <c r="D22" s="43">
        <f>+BUS!H133+BUS!I133+BUS!J133</f>
        <v>0</v>
      </c>
      <c r="E22" s="43">
        <f>+BUS!K133+BUS!L133+BUS!M133</f>
        <v>0</v>
      </c>
      <c r="F22" s="43">
        <f>+BUS!N133+BUS!O133+BUS!P133</f>
        <v>0</v>
      </c>
      <c r="G22" s="43">
        <f>+BUS!Q133+BUS!R133+BUS!S133</f>
        <v>0</v>
      </c>
      <c r="H22" s="43">
        <f>+BUS!T133+BUS!U133+BUS!V133</f>
        <v>0</v>
      </c>
      <c r="I22" s="43">
        <f>+BUS!W133+BUS!X133+BUS!Y133</f>
        <v>0</v>
      </c>
      <c r="J22" s="43">
        <f>+BUS!Z133+BUS!AA133+BUS!AB133</f>
        <v>0</v>
      </c>
      <c r="K22" s="43">
        <f>+BUS!AC133+BUS!AD133+BUS!AE133</f>
        <v>0</v>
      </c>
      <c r="L22" s="43">
        <f>+BUS!AF133+BUS!AG133+BUS!AH133</f>
        <v>0</v>
      </c>
      <c r="M22" s="43">
        <f>+BUS!AI133+BUS!AJ133+BUS!AK133</f>
        <v>0</v>
      </c>
      <c r="N22" s="43">
        <f>+BUS!AL133+BUS!AM133+BUS!AN133</f>
        <v>0</v>
      </c>
      <c r="O22" s="43">
        <f>+BUS!AO133+BUS!AP133+BUS!AQ133</f>
        <v>0</v>
      </c>
      <c r="P22" s="43">
        <f>+BUS!AR133+BUS!AS133+BUS!AT133</f>
        <v>0</v>
      </c>
      <c r="Q22" s="43">
        <f>+BUS!AU133+BUS!AV133+BUS!AW133</f>
        <v>0</v>
      </c>
      <c r="R22" s="43">
        <f>+BUS!AX133+BUS!AY133+BUS!AZ133</f>
        <v>0</v>
      </c>
      <c r="S22" s="43">
        <f>+BUS!BA133+BUS!BB133+BUS!BC133</f>
        <v>0</v>
      </c>
      <c r="T22" s="43">
        <f>+BUS!BD133+BUS!BE133+BUS!BF133</f>
        <v>0</v>
      </c>
      <c r="U22" s="43">
        <f>+BUS!BG133+BUS!BH133+BUS!BI133</f>
        <v>0</v>
      </c>
      <c r="V22" s="43">
        <f>+BUS!BJ133+BUS!BK133+BUS!BL133</f>
        <v>0</v>
      </c>
      <c r="W22" s="43">
        <f>+BUS!BM133+BUS!BN133+BUS!BO133</f>
        <v>0</v>
      </c>
      <c r="X22" s="43">
        <f>+BUS!BP133+BUS!BQ133+BUS!BR133</f>
        <v>0</v>
      </c>
      <c r="Y22" s="43">
        <f>+BUS!BS133+BUS!BT133+BUS!BU133</f>
        <v>0</v>
      </c>
      <c r="Z22" s="43">
        <f>+BUS!BV133+BUS!BW133+BUS!BX133</f>
        <v>0</v>
      </c>
      <c r="AA22" s="43">
        <f>+BUS!BY133+BUS!BZ133+BUS!CA133</f>
        <v>0</v>
      </c>
      <c r="AB22" s="43">
        <f>+BUS!CB133+BUS!CC133+BUS!CD133</f>
        <v>0</v>
      </c>
      <c r="AC22" s="43">
        <f>+BUS!CE133+BUS!CF133+BUS!CG133</f>
        <v>0</v>
      </c>
      <c r="AD22" s="43">
        <f>+BUS!CH133+BUS!CI133+BUS!CJ133</f>
        <v>0</v>
      </c>
      <c r="AE22" s="43">
        <f>+BUS!CK133+BUS!CL133+BUS!CM133</f>
        <v>0</v>
      </c>
      <c r="AF22" s="43">
        <f>+BUS!CN133+BUS!CO133+BUS!CP133</f>
        <v>0</v>
      </c>
      <c r="AG22" s="43">
        <f>+BUS!CQ133+BUS!CR133+BUS!CS133</f>
        <v>0</v>
      </c>
      <c r="AH22" s="43">
        <f>+BUS!CT133+BUS!CU133+BUS!CV133</f>
        <v>0</v>
      </c>
      <c r="AI22" s="43">
        <f>+BUS!CW133+BUS!CX133+BUS!CY133</f>
        <v>0</v>
      </c>
      <c r="AJ22" s="43">
        <f>+BUS!CZ133+BUS!DA133+BUS!DB133</f>
        <v>0</v>
      </c>
      <c r="AK22" s="43">
        <f>+BUS!DC133+BUS!DD133+BUS!DE133</f>
        <v>0</v>
      </c>
      <c r="AL22" s="43">
        <f>+BUS!DF133+BUS!DG133+BUS!DH133</f>
        <v>0</v>
      </c>
      <c r="AM22" s="43">
        <f>+BUS!DI133+BUS!DJ133+BUS!DK133</f>
        <v>0</v>
      </c>
      <c r="AN22" s="43">
        <f>+BUS!DL133+BUS!DM133+BUS!DN133</f>
        <v>0</v>
      </c>
      <c r="AO22" s="43">
        <f>+BUS!DO133+BUS!DP133+BUS!DQ133</f>
        <v>0</v>
      </c>
      <c r="AP22" s="43">
        <f>+BUS!DR133+BUS!DS133+BUS!DT133</f>
        <v>0</v>
      </c>
      <c r="AQ22" s="43">
        <f>+BUS!DU133+BUS!DV133+BUS!DW133</f>
        <v>0</v>
      </c>
      <c r="AR22" s="43">
        <f>+BUS!DX133+BUS!DY133+BUS!DZ133</f>
        <v>0</v>
      </c>
      <c r="AS22" s="43">
        <f>+BUS!EA133+BUS!EB133+BUS!EC133</f>
        <v>0</v>
      </c>
      <c r="AT22" s="43">
        <f>+BUS!ED133+BUS!EE133+BUS!EF133</f>
        <v>0</v>
      </c>
      <c r="AU22" s="43">
        <f>+BUS!EH133+BUS!EI133+BUS!EG133</f>
        <v>0</v>
      </c>
      <c r="AV22" s="43">
        <f>+BUS!EK133+BUS!EL133+BUS!EJ133</f>
        <v>0</v>
      </c>
      <c r="AW22" s="43">
        <f>+BUS!EN133+BUS!EO133+BUS!EM133</f>
        <v>0</v>
      </c>
      <c r="AX22" s="43">
        <f>+BUS!EQ133+BUS!ER133+BUS!EP133</f>
        <v>0</v>
      </c>
      <c r="AY22" s="43">
        <f>+BUS!ET133+BUS!EU133+BUS!ES133</f>
        <v>0</v>
      </c>
      <c r="AZ22" s="43">
        <f>+BUS!EW133+BUS!EX133+BUS!EV133</f>
        <v>0</v>
      </c>
      <c r="BA22" s="43">
        <f>+BUS!EZ133+BUS!FA133+BUS!EY133</f>
        <v>0</v>
      </c>
      <c r="BB22" s="43">
        <f>+BUS!FC133+BUS!FD133+BUS!FB133</f>
        <v>0</v>
      </c>
      <c r="BC22" s="43">
        <f>+BUS!FF133+BUS!FG133+BUS!FE133</f>
        <v>0</v>
      </c>
      <c r="BD22" s="43">
        <f>+BUS!FI133+BUS!FJ133+BUS!FH133</f>
        <v>0</v>
      </c>
      <c r="BE22" s="43">
        <f>+BUS!FL133+BUS!FM133+BUS!FK133</f>
        <v>0</v>
      </c>
      <c r="BF22" s="225">
        <f t="shared" si="0"/>
        <v>0</v>
      </c>
    </row>
    <row r="23" spans="1:58" ht="15.75" customHeight="1">
      <c r="A23" s="137">
        <v>20</v>
      </c>
      <c r="B23" s="43">
        <f>+BUS!B134+BUS!C134+BUS!D134</f>
        <v>0</v>
      </c>
      <c r="C23" s="43">
        <f>+BUS!E134+BUS!F134+BUS!G134</f>
        <v>0</v>
      </c>
      <c r="D23" s="43">
        <f>+BUS!H134+BUS!I134+BUS!J134</f>
        <v>0</v>
      </c>
      <c r="E23" s="43">
        <f>+BUS!K134+BUS!L134+BUS!M134</f>
        <v>0</v>
      </c>
      <c r="F23" s="43">
        <f>+BUS!N134+BUS!O134+BUS!P134</f>
        <v>0</v>
      </c>
      <c r="G23" s="43">
        <f>+BUS!Q134+BUS!R134+BUS!S134</f>
        <v>0</v>
      </c>
      <c r="H23" s="43">
        <f>+BUS!T134+BUS!U134+BUS!V134</f>
        <v>0</v>
      </c>
      <c r="I23" s="43">
        <f>+BUS!W134+BUS!X134+BUS!Y134</f>
        <v>0</v>
      </c>
      <c r="J23" s="43">
        <f>+BUS!Z134+BUS!AA134+BUS!AB134</f>
        <v>0</v>
      </c>
      <c r="K23" s="43">
        <f>+BUS!AC134+BUS!AD134+BUS!AE134</f>
        <v>0</v>
      </c>
      <c r="L23" s="43">
        <f>+BUS!AF134+BUS!AG134+BUS!AH134</f>
        <v>0</v>
      </c>
      <c r="M23" s="43">
        <f>+BUS!AI134+BUS!AJ134+BUS!AK134</f>
        <v>0</v>
      </c>
      <c r="N23" s="43">
        <f>+BUS!AL134+BUS!AM134+BUS!AN134</f>
        <v>0</v>
      </c>
      <c r="O23" s="43">
        <f>+BUS!AO134+BUS!AP134+BUS!AQ134</f>
        <v>0</v>
      </c>
      <c r="P23" s="43">
        <f>+BUS!AR134+BUS!AS134+BUS!AT134</f>
        <v>0</v>
      </c>
      <c r="Q23" s="43">
        <f>+BUS!AU134+BUS!AV134+BUS!AW134</f>
        <v>0</v>
      </c>
      <c r="R23" s="43">
        <f>+BUS!AX134+BUS!AY134+BUS!AZ134</f>
        <v>0</v>
      </c>
      <c r="S23" s="43">
        <f>+BUS!BA134+BUS!BB134+BUS!BC134</f>
        <v>0</v>
      </c>
      <c r="T23" s="43">
        <f>+BUS!BD134+BUS!BE134+BUS!BF134</f>
        <v>0</v>
      </c>
      <c r="U23" s="43">
        <f>+BUS!BG134+BUS!BH134+BUS!BI134</f>
        <v>0</v>
      </c>
      <c r="V23" s="43">
        <f>+BUS!BJ134+BUS!BK134+BUS!BL134</f>
        <v>0</v>
      </c>
      <c r="W23" s="43">
        <f>+BUS!BM134+BUS!BN134+BUS!BO134</f>
        <v>0</v>
      </c>
      <c r="X23" s="43">
        <f>+BUS!BP134+BUS!BQ134+BUS!BR134</f>
        <v>0</v>
      </c>
      <c r="Y23" s="43">
        <f>+BUS!BS134+BUS!BT134+BUS!BU134</f>
        <v>0</v>
      </c>
      <c r="Z23" s="43">
        <f>+BUS!BV134+BUS!BW134+BUS!BX134</f>
        <v>0</v>
      </c>
      <c r="AA23" s="43">
        <f>+BUS!BY134+BUS!BZ134+BUS!CA134</f>
        <v>0</v>
      </c>
      <c r="AB23" s="43">
        <f>+BUS!CB134+BUS!CC134+BUS!CD134</f>
        <v>0</v>
      </c>
      <c r="AC23" s="43">
        <f>+BUS!CE134+BUS!CF134+BUS!CG134</f>
        <v>0</v>
      </c>
      <c r="AD23" s="43">
        <f>+BUS!CH134+BUS!CI134+BUS!CJ134</f>
        <v>0</v>
      </c>
      <c r="AE23" s="43">
        <f>+BUS!CK134+BUS!CL134+BUS!CM134</f>
        <v>0</v>
      </c>
      <c r="AF23" s="43">
        <f>+BUS!CN134+BUS!CO134+BUS!CP134</f>
        <v>0</v>
      </c>
      <c r="AG23" s="43">
        <f>+BUS!CQ134+BUS!CR134+BUS!CS134</f>
        <v>0</v>
      </c>
      <c r="AH23" s="43">
        <f>+BUS!CT134+BUS!CU134+BUS!CV134</f>
        <v>0</v>
      </c>
      <c r="AI23" s="43">
        <f>+BUS!CW134+BUS!CX134+BUS!CY134</f>
        <v>0</v>
      </c>
      <c r="AJ23" s="43">
        <f>+BUS!CZ134+BUS!DA134+BUS!DB134</f>
        <v>0</v>
      </c>
      <c r="AK23" s="43">
        <f>+BUS!DC134+BUS!DD134+BUS!DE134</f>
        <v>0</v>
      </c>
      <c r="AL23" s="43">
        <f>+BUS!DF134+BUS!DG134+BUS!DH134</f>
        <v>0</v>
      </c>
      <c r="AM23" s="43">
        <f>+BUS!DI134+BUS!DJ134+BUS!DK134</f>
        <v>0</v>
      </c>
      <c r="AN23" s="43">
        <f>+BUS!DL134+BUS!DM134+BUS!DN134</f>
        <v>0</v>
      </c>
      <c r="AO23" s="43">
        <f>+BUS!DO134+BUS!DP134+BUS!DQ134</f>
        <v>0</v>
      </c>
      <c r="AP23" s="43">
        <f>+BUS!DR134+BUS!DS134+BUS!DT134</f>
        <v>0</v>
      </c>
      <c r="AQ23" s="43">
        <f>+BUS!DU134+BUS!DV134+BUS!DW134</f>
        <v>0</v>
      </c>
      <c r="AR23" s="43">
        <f>+BUS!DX134+BUS!DY134+BUS!DZ134</f>
        <v>0</v>
      </c>
      <c r="AS23" s="43">
        <f>+BUS!EA134+BUS!EB134+BUS!EC134</f>
        <v>0</v>
      </c>
      <c r="AT23" s="43">
        <f>+BUS!ED134+BUS!EE134+BUS!EF134</f>
        <v>0</v>
      </c>
      <c r="AU23" s="43">
        <f>+BUS!EH134+BUS!EI134+BUS!EG134</f>
        <v>0</v>
      </c>
      <c r="AV23" s="43">
        <f>+BUS!EK134+BUS!EL134+BUS!EJ134</f>
        <v>0</v>
      </c>
      <c r="AW23" s="43">
        <f>+BUS!EN134+BUS!EO134+BUS!EM134</f>
        <v>0</v>
      </c>
      <c r="AX23" s="43">
        <f>+BUS!EQ134+BUS!ER134+BUS!EP134</f>
        <v>0</v>
      </c>
      <c r="AY23" s="43">
        <f>+BUS!ET134+BUS!EU134+BUS!ES134</f>
        <v>0</v>
      </c>
      <c r="AZ23" s="43">
        <f>+BUS!EW134+BUS!EX134+BUS!EV134</f>
        <v>0</v>
      </c>
      <c r="BA23" s="43">
        <f>+BUS!EZ134+BUS!FA134+BUS!EY134</f>
        <v>0</v>
      </c>
      <c r="BB23" s="43">
        <f>+BUS!FC134+BUS!FD134+BUS!FB134</f>
        <v>0</v>
      </c>
      <c r="BC23" s="43">
        <f>+BUS!FF134+BUS!FG134+BUS!FE134</f>
        <v>0</v>
      </c>
      <c r="BD23" s="43">
        <f>+BUS!FI134+BUS!FJ134+BUS!FH134</f>
        <v>0</v>
      </c>
      <c r="BE23" s="43">
        <f>+BUS!FL134+BUS!FM134+BUS!FK134</f>
        <v>0</v>
      </c>
      <c r="BF23" s="225">
        <f t="shared" si="0"/>
        <v>0</v>
      </c>
    </row>
    <row r="24" spans="1:58" ht="16.5" customHeight="1">
      <c r="A24" s="137">
        <v>21</v>
      </c>
      <c r="B24" s="43">
        <f>+BUS!B135+BUS!C135+BUS!D135</f>
        <v>0</v>
      </c>
      <c r="C24" s="43">
        <f>+BUS!E135+BUS!F135+BUS!G135</f>
        <v>0</v>
      </c>
      <c r="D24" s="43">
        <f>+BUS!H135+BUS!I135+BUS!J135</f>
        <v>0</v>
      </c>
      <c r="E24" s="43">
        <f>+BUS!K135+BUS!L135+BUS!M135</f>
        <v>0</v>
      </c>
      <c r="F24" s="43">
        <f>+BUS!N135+BUS!O135+BUS!P135</f>
        <v>0</v>
      </c>
      <c r="G24" s="43">
        <f>+BUS!Q135+BUS!R135+BUS!S135</f>
        <v>0</v>
      </c>
      <c r="H24" s="43">
        <f>+BUS!T135+BUS!U135+BUS!V135</f>
        <v>0</v>
      </c>
      <c r="I24" s="43">
        <f>+BUS!W135+BUS!X135+BUS!Y135</f>
        <v>0</v>
      </c>
      <c r="J24" s="43">
        <f>+BUS!Z135+BUS!AA135+BUS!AB135</f>
        <v>0</v>
      </c>
      <c r="K24" s="43">
        <f>+BUS!AC135+BUS!AD135+BUS!AE135</f>
        <v>0</v>
      </c>
      <c r="L24" s="43">
        <f>+BUS!AF135+BUS!AG135+BUS!AH135</f>
        <v>0</v>
      </c>
      <c r="M24" s="43">
        <f>+BUS!AI135+BUS!AJ135+BUS!AK135</f>
        <v>0</v>
      </c>
      <c r="N24" s="43">
        <f>+BUS!AL135+BUS!AM135+BUS!AN135</f>
        <v>0</v>
      </c>
      <c r="O24" s="43">
        <f>+BUS!AO135+BUS!AP135+BUS!AQ135</f>
        <v>0</v>
      </c>
      <c r="P24" s="43">
        <f>+BUS!AR135+BUS!AS135+BUS!AT135</f>
        <v>0</v>
      </c>
      <c r="Q24" s="43">
        <f>+BUS!AU135+BUS!AV135+BUS!AW135</f>
        <v>0</v>
      </c>
      <c r="R24" s="43">
        <f>+BUS!AX135+BUS!AY135+BUS!AZ135</f>
        <v>0</v>
      </c>
      <c r="S24" s="43">
        <f>+BUS!BA135+BUS!BB135+BUS!BC135</f>
        <v>0</v>
      </c>
      <c r="T24" s="43">
        <f>+BUS!BD135+BUS!BE135+BUS!BF135</f>
        <v>0</v>
      </c>
      <c r="U24" s="43">
        <f>+BUS!BG135+BUS!BH135+BUS!BI135</f>
        <v>0</v>
      </c>
      <c r="V24" s="43">
        <f>+BUS!BJ135+BUS!BK135+BUS!BL135</f>
        <v>0</v>
      </c>
      <c r="W24" s="43">
        <f>+BUS!BM135+BUS!BN135+BUS!BO135</f>
        <v>0</v>
      </c>
      <c r="X24" s="43">
        <f>+BUS!BP135+BUS!BQ135+BUS!BR135</f>
        <v>0</v>
      </c>
      <c r="Y24" s="43">
        <f>+BUS!BS135+BUS!BT135+BUS!BU135</f>
        <v>0</v>
      </c>
      <c r="Z24" s="43">
        <f>+BUS!BV135+BUS!BW135+BUS!BX135</f>
        <v>0</v>
      </c>
      <c r="AA24" s="43">
        <f>+BUS!BY135+BUS!BZ135+BUS!CA135</f>
        <v>0</v>
      </c>
      <c r="AB24" s="43">
        <f>+BUS!CB135+BUS!CC135+BUS!CD135</f>
        <v>0</v>
      </c>
      <c r="AC24" s="43">
        <f>+BUS!CE135+BUS!CF135+BUS!CG135</f>
        <v>0</v>
      </c>
      <c r="AD24" s="43">
        <f>+BUS!CH135+BUS!CI135+BUS!CJ135</f>
        <v>0</v>
      </c>
      <c r="AE24" s="43">
        <f>+BUS!CK135+BUS!CL135+BUS!CM135</f>
        <v>0</v>
      </c>
      <c r="AF24" s="43">
        <f>+BUS!CN135+BUS!CO135+BUS!CP135</f>
        <v>0</v>
      </c>
      <c r="AG24" s="43">
        <f>+BUS!CQ135+BUS!CR135+BUS!CS135</f>
        <v>0</v>
      </c>
      <c r="AH24" s="43">
        <f>+BUS!CT135+BUS!CU135+BUS!CV135</f>
        <v>0</v>
      </c>
      <c r="AI24" s="43">
        <f>+BUS!CW135+BUS!CX135+BUS!CY135</f>
        <v>0</v>
      </c>
      <c r="AJ24" s="43">
        <f>+BUS!CZ135+BUS!DA135+BUS!DB135</f>
        <v>0</v>
      </c>
      <c r="AK24" s="43">
        <f>+BUS!DC135+BUS!DD135+BUS!DE135</f>
        <v>0</v>
      </c>
      <c r="AL24" s="43">
        <f>+BUS!DF135+BUS!DG135+BUS!DH135</f>
        <v>0</v>
      </c>
      <c r="AM24" s="43">
        <f>+BUS!DI135+BUS!DJ135+BUS!DK135</f>
        <v>0</v>
      </c>
      <c r="AN24" s="43">
        <f>+BUS!DL135+BUS!DM135+BUS!DN135</f>
        <v>0</v>
      </c>
      <c r="AO24" s="43">
        <f>+BUS!DO135+BUS!DP135+BUS!DQ135</f>
        <v>0</v>
      </c>
      <c r="AP24" s="43">
        <f>+BUS!DR135+BUS!DS135+BUS!DT135</f>
        <v>0</v>
      </c>
      <c r="AQ24" s="43">
        <f>+BUS!DU135+BUS!DV135+BUS!DW135</f>
        <v>0</v>
      </c>
      <c r="AR24" s="43">
        <f>+BUS!DX135+BUS!DY135+BUS!DZ135</f>
        <v>0</v>
      </c>
      <c r="AS24" s="43">
        <f>+BUS!EA135+BUS!EB135+BUS!EC135</f>
        <v>0</v>
      </c>
      <c r="AT24" s="43">
        <f>+BUS!ED135+BUS!EE135+BUS!EF135</f>
        <v>0</v>
      </c>
      <c r="AU24" s="43">
        <f>+BUS!EH135+BUS!EI135+BUS!EG135</f>
        <v>0</v>
      </c>
      <c r="AV24" s="43">
        <f>+BUS!EK135+BUS!EL135+BUS!EJ135</f>
        <v>0</v>
      </c>
      <c r="AW24" s="43">
        <f>+BUS!EN135+BUS!EO135+BUS!EM135</f>
        <v>0</v>
      </c>
      <c r="AX24" s="43">
        <f>+BUS!EQ135+BUS!ER135+BUS!EP135</f>
        <v>0</v>
      </c>
      <c r="AY24" s="43">
        <f>+BUS!ET135+BUS!EU135+BUS!ES135</f>
        <v>0</v>
      </c>
      <c r="AZ24" s="43">
        <f>+BUS!EW135+BUS!EX135+BUS!EV135</f>
        <v>0</v>
      </c>
      <c r="BA24" s="43">
        <f>+BUS!EZ135+BUS!FA135+BUS!EY135</f>
        <v>0</v>
      </c>
      <c r="BB24" s="43">
        <f>+BUS!FC135+BUS!FD135+BUS!FB135</f>
        <v>0</v>
      </c>
      <c r="BC24" s="43">
        <f>+BUS!FF135+BUS!FG135+BUS!FE135</f>
        <v>0</v>
      </c>
      <c r="BD24" s="43">
        <f>+BUS!FI135+BUS!FJ135+BUS!FH135</f>
        <v>0</v>
      </c>
      <c r="BE24" s="43">
        <f>+BUS!FL135+BUS!FM135+BUS!FK135</f>
        <v>0</v>
      </c>
      <c r="BF24" s="225">
        <f t="shared" si="0"/>
        <v>0</v>
      </c>
    </row>
    <row r="25" spans="1:58" ht="18" customHeight="1">
      <c r="A25" s="137">
        <v>22</v>
      </c>
      <c r="B25" s="43">
        <f>+BUS!B136+BUS!C136+BUS!D136</f>
        <v>0</v>
      </c>
      <c r="C25" s="43">
        <f>+BUS!E136+BUS!F136+BUS!G136</f>
        <v>0</v>
      </c>
      <c r="D25" s="43">
        <f>+BUS!H136+BUS!I136+BUS!J136</f>
        <v>0</v>
      </c>
      <c r="E25" s="43">
        <f>+BUS!K136+BUS!L136+BUS!M136</f>
        <v>0</v>
      </c>
      <c r="F25" s="43">
        <f>+BUS!N136+BUS!O136+BUS!P136</f>
        <v>0</v>
      </c>
      <c r="G25" s="43">
        <f>+BUS!Q136+BUS!R136+BUS!S136</f>
        <v>0</v>
      </c>
      <c r="H25" s="43">
        <f>+BUS!T136+BUS!U136+BUS!V136</f>
        <v>0</v>
      </c>
      <c r="I25" s="43">
        <f>+BUS!W136+BUS!X136+BUS!Y136</f>
        <v>0</v>
      </c>
      <c r="J25" s="43">
        <f>+BUS!Z136+BUS!AA136+BUS!AB136</f>
        <v>0</v>
      </c>
      <c r="K25" s="43">
        <f>+BUS!AC136+BUS!AD136+BUS!AE136</f>
        <v>0</v>
      </c>
      <c r="L25" s="43">
        <f>+BUS!AF136+BUS!AG136+BUS!AH136</f>
        <v>0</v>
      </c>
      <c r="M25" s="43">
        <f>+BUS!AI136+BUS!AJ136+BUS!AK136</f>
        <v>0</v>
      </c>
      <c r="N25" s="43">
        <f>+BUS!AL136+BUS!AM136+BUS!AN136</f>
        <v>0</v>
      </c>
      <c r="O25" s="43">
        <f>+BUS!AO136+BUS!AP136+BUS!AQ136</f>
        <v>0</v>
      </c>
      <c r="P25" s="43">
        <f>+BUS!AR136+BUS!AS136+BUS!AT136</f>
        <v>0</v>
      </c>
      <c r="Q25" s="43">
        <f>+BUS!AU136+BUS!AV136+BUS!AW136</f>
        <v>0</v>
      </c>
      <c r="R25" s="43">
        <f>+BUS!AX136+BUS!AY136+BUS!AZ136</f>
        <v>0</v>
      </c>
      <c r="S25" s="43">
        <f>+BUS!BA136+BUS!BB136+BUS!BC136</f>
        <v>0</v>
      </c>
      <c r="T25" s="43">
        <f>+BUS!BD136+BUS!BE136+BUS!BF136</f>
        <v>0</v>
      </c>
      <c r="U25" s="43">
        <f>+BUS!BG136+BUS!BH136+BUS!BI136</f>
        <v>0</v>
      </c>
      <c r="V25" s="43">
        <f>+BUS!BJ136+BUS!BK136+BUS!BL136</f>
        <v>0</v>
      </c>
      <c r="W25" s="43">
        <f>+BUS!BM136+BUS!BN136+BUS!BO136</f>
        <v>0</v>
      </c>
      <c r="X25" s="43">
        <f>+BUS!BP136+BUS!BQ136+BUS!BR136</f>
        <v>0</v>
      </c>
      <c r="Y25" s="43">
        <f>+BUS!BS136+BUS!BT136+BUS!BU136</f>
        <v>0</v>
      </c>
      <c r="Z25" s="43">
        <f>+BUS!BV136+BUS!BW136+BUS!BX136</f>
        <v>0</v>
      </c>
      <c r="AA25" s="43">
        <f>+BUS!BY136+BUS!BZ136+BUS!CA136</f>
        <v>0</v>
      </c>
      <c r="AB25" s="43">
        <f>+BUS!CB136+BUS!CC136+BUS!CD136</f>
        <v>0</v>
      </c>
      <c r="AC25" s="43">
        <f>+BUS!CE136+BUS!CF136+BUS!CG136</f>
        <v>0</v>
      </c>
      <c r="AD25" s="43">
        <f>+BUS!CH136+BUS!CI136+BUS!CJ136</f>
        <v>0</v>
      </c>
      <c r="AE25" s="43">
        <f>+BUS!CK136+BUS!CL136+BUS!CM136</f>
        <v>0</v>
      </c>
      <c r="AF25" s="43">
        <f>+BUS!CN136+BUS!CO136+BUS!CP136</f>
        <v>0</v>
      </c>
      <c r="AG25" s="43">
        <f>+BUS!CQ136+BUS!CR136+BUS!CS136</f>
        <v>0</v>
      </c>
      <c r="AH25" s="43">
        <f>+BUS!CT136+BUS!CU136+BUS!CV136</f>
        <v>0</v>
      </c>
      <c r="AI25" s="43">
        <f>+BUS!CW136+BUS!CX136+BUS!CY136</f>
        <v>0</v>
      </c>
      <c r="AJ25" s="43">
        <f>+BUS!CZ136+BUS!DA136+BUS!DB136</f>
        <v>0</v>
      </c>
      <c r="AK25" s="43">
        <f>+BUS!DC136+BUS!DD136+BUS!DE136</f>
        <v>0</v>
      </c>
      <c r="AL25" s="43">
        <f>+BUS!DF136+BUS!DG136+BUS!DH136</f>
        <v>0</v>
      </c>
      <c r="AM25" s="43">
        <f>+BUS!DI136+BUS!DJ136+BUS!DK136</f>
        <v>0</v>
      </c>
      <c r="AN25" s="43">
        <f>+BUS!DL136+BUS!DM136+BUS!DN136</f>
        <v>0</v>
      </c>
      <c r="AO25" s="43">
        <f>+BUS!DO136+BUS!DP136+BUS!DQ136</f>
        <v>0</v>
      </c>
      <c r="AP25" s="43">
        <f>+BUS!DR136+BUS!DS136+BUS!DT136</f>
        <v>0</v>
      </c>
      <c r="AQ25" s="43">
        <f>+BUS!DU136+BUS!DV136+BUS!DW136</f>
        <v>0</v>
      </c>
      <c r="AR25" s="43">
        <f>+BUS!DX136+BUS!DY136+BUS!DZ136</f>
        <v>0</v>
      </c>
      <c r="AS25" s="43">
        <f>+BUS!EA136+BUS!EB136+BUS!EC136</f>
        <v>0</v>
      </c>
      <c r="AT25" s="43">
        <f>+BUS!ED136+BUS!EE136+BUS!EF136</f>
        <v>0</v>
      </c>
      <c r="AU25" s="43">
        <f>+BUS!EH136+BUS!EI136+BUS!EG136</f>
        <v>0</v>
      </c>
      <c r="AV25" s="43">
        <f>+BUS!EK136+BUS!EL136+BUS!EJ136</f>
        <v>0</v>
      </c>
      <c r="AW25" s="43">
        <f>+BUS!EN136+BUS!EO136+BUS!EM136</f>
        <v>0</v>
      </c>
      <c r="AX25" s="43">
        <f>+BUS!EQ136+BUS!ER136+BUS!EP136</f>
        <v>0</v>
      </c>
      <c r="AY25" s="43">
        <f>+BUS!ET136+BUS!EU136+BUS!ES136</f>
        <v>0</v>
      </c>
      <c r="AZ25" s="43">
        <f>+BUS!EW136+BUS!EX136+BUS!EV136</f>
        <v>0</v>
      </c>
      <c r="BA25" s="43">
        <f>+BUS!EZ136+BUS!FA136+BUS!EY136</f>
        <v>0</v>
      </c>
      <c r="BB25" s="43">
        <f>+BUS!FC136+BUS!FD136+BUS!FB136</f>
        <v>0</v>
      </c>
      <c r="BC25" s="43">
        <f>+BUS!FF136+BUS!FG136+BUS!FE136</f>
        <v>0</v>
      </c>
      <c r="BD25" s="43">
        <f>+BUS!FI136+BUS!FJ136+BUS!FH136</f>
        <v>0</v>
      </c>
      <c r="BE25" s="43">
        <f>+BUS!FL136+BUS!FM136+BUS!FK136</f>
        <v>0</v>
      </c>
      <c r="BF25" s="225">
        <f t="shared" si="0"/>
        <v>0</v>
      </c>
    </row>
    <row r="26" spans="1:58" ht="17.25" customHeight="1">
      <c r="A26" s="137">
        <v>23</v>
      </c>
      <c r="B26" s="43">
        <f>+BUS!B137+BUS!C137+BUS!D137</f>
        <v>0</v>
      </c>
      <c r="C26" s="43">
        <f>+BUS!E137+BUS!F137+BUS!G137</f>
        <v>0</v>
      </c>
      <c r="D26" s="43">
        <f>+BUS!H137+BUS!I137+BUS!J137</f>
        <v>0</v>
      </c>
      <c r="E26" s="43">
        <f>+BUS!K137+BUS!L137+BUS!M137</f>
        <v>0</v>
      </c>
      <c r="F26" s="43">
        <f>+BUS!N137+BUS!O137+BUS!P137</f>
        <v>0</v>
      </c>
      <c r="G26" s="43">
        <f>+BUS!Q137+BUS!R137+BUS!S137</f>
        <v>0</v>
      </c>
      <c r="H26" s="43">
        <f>+BUS!T137+BUS!U137+BUS!V137</f>
        <v>0</v>
      </c>
      <c r="I26" s="43">
        <f>+BUS!W137+BUS!X137+BUS!Y137</f>
        <v>0</v>
      </c>
      <c r="J26" s="43">
        <f>+BUS!Z137+BUS!AA137+BUS!AB137</f>
        <v>0</v>
      </c>
      <c r="K26" s="43">
        <f>+BUS!AC137+BUS!AD137+BUS!AE137</f>
        <v>0</v>
      </c>
      <c r="L26" s="43">
        <f>+BUS!AF137+BUS!AG137+BUS!AH137</f>
        <v>0</v>
      </c>
      <c r="M26" s="43">
        <f>+BUS!AI137+BUS!AJ137+BUS!AK137</f>
        <v>0</v>
      </c>
      <c r="N26" s="43">
        <f>+BUS!AL137+BUS!AM137+BUS!AN137</f>
        <v>0</v>
      </c>
      <c r="O26" s="43">
        <f>+BUS!AO137+BUS!AP137+BUS!AQ137</f>
        <v>0</v>
      </c>
      <c r="P26" s="43">
        <f>+BUS!AR137+BUS!AS137+BUS!AT137</f>
        <v>0</v>
      </c>
      <c r="Q26" s="43">
        <f>+BUS!AU137+BUS!AV137+BUS!AW137</f>
        <v>0</v>
      </c>
      <c r="R26" s="43">
        <f>+BUS!AX137+BUS!AY137+BUS!AZ137</f>
        <v>0</v>
      </c>
      <c r="S26" s="43">
        <f>+BUS!BA137+BUS!BB137+BUS!BC137</f>
        <v>0</v>
      </c>
      <c r="T26" s="43">
        <f>+BUS!BD137+BUS!BE137+BUS!BF137</f>
        <v>0</v>
      </c>
      <c r="U26" s="43">
        <f>+BUS!BG137+BUS!BH137+BUS!BI137</f>
        <v>0</v>
      </c>
      <c r="V26" s="43">
        <f>+BUS!BJ137+BUS!BK137+BUS!BL137</f>
        <v>0</v>
      </c>
      <c r="W26" s="43">
        <f>+BUS!BM137+BUS!BN137+BUS!BO137</f>
        <v>0</v>
      </c>
      <c r="X26" s="43">
        <f>+BUS!BP137+BUS!BQ137+BUS!BR137</f>
        <v>0</v>
      </c>
      <c r="Y26" s="43">
        <f>+BUS!BS137+BUS!BT137+BUS!BU137</f>
        <v>0</v>
      </c>
      <c r="Z26" s="43">
        <f>+BUS!BV137+BUS!BW137+BUS!BX137</f>
        <v>0</v>
      </c>
      <c r="AA26" s="43">
        <f>+BUS!BY137+BUS!BZ137+BUS!CA137</f>
        <v>0</v>
      </c>
      <c r="AB26" s="43">
        <f>+BUS!CB137+BUS!CC137+BUS!CD137</f>
        <v>0</v>
      </c>
      <c r="AC26" s="43">
        <f>+BUS!CE137+BUS!CF137+BUS!CG137</f>
        <v>0</v>
      </c>
      <c r="AD26" s="43">
        <f>+BUS!CH137+BUS!CI137+BUS!CJ137</f>
        <v>0</v>
      </c>
      <c r="AE26" s="43">
        <f>+BUS!CK137+BUS!CL137+BUS!CM137</f>
        <v>0</v>
      </c>
      <c r="AF26" s="43">
        <f>+BUS!CN137+BUS!CO137+BUS!CP137</f>
        <v>0</v>
      </c>
      <c r="AG26" s="43">
        <f>+BUS!CQ137+BUS!CR137+BUS!CS137</f>
        <v>0</v>
      </c>
      <c r="AH26" s="43">
        <f>+BUS!CT137+BUS!CU137+BUS!CV137</f>
        <v>0</v>
      </c>
      <c r="AI26" s="43">
        <f>+BUS!CW137+BUS!CX137+BUS!CY137</f>
        <v>0</v>
      </c>
      <c r="AJ26" s="43">
        <f>+BUS!CZ137+BUS!DA137+BUS!DB137</f>
        <v>0</v>
      </c>
      <c r="AK26" s="43">
        <f>+BUS!DC137+BUS!DD137+BUS!DE137</f>
        <v>0</v>
      </c>
      <c r="AL26" s="43">
        <f>+BUS!DF137+BUS!DG137+BUS!DH137</f>
        <v>0</v>
      </c>
      <c r="AM26" s="43">
        <f>+BUS!DI137+BUS!DJ137+BUS!DK137</f>
        <v>0</v>
      </c>
      <c r="AN26" s="43">
        <f>+BUS!DL137+BUS!DM137+BUS!DN137</f>
        <v>0</v>
      </c>
      <c r="AO26" s="43">
        <f>+BUS!DO137+BUS!DP137+BUS!DQ137</f>
        <v>0</v>
      </c>
      <c r="AP26" s="43">
        <f>+BUS!DR137+BUS!DS137+BUS!DT137</f>
        <v>0</v>
      </c>
      <c r="AQ26" s="43">
        <f>+BUS!DU137+BUS!DV137+BUS!DW137</f>
        <v>0</v>
      </c>
      <c r="AR26" s="43">
        <f>+BUS!DX137+BUS!DY137+BUS!DZ137</f>
        <v>0</v>
      </c>
      <c r="AS26" s="43">
        <f>+BUS!EA137+BUS!EB137+BUS!EC137</f>
        <v>0</v>
      </c>
      <c r="AT26" s="43">
        <f>+BUS!ED137+BUS!EE137+BUS!EF137</f>
        <v>0</v>
      </c>
      <c r="AU26" s="43">
        <f>+BUS!EH137+BUS!EI137+BUS!EG137</f>
        <v>0</v>
      </c>
      <c r="AV26" s="43">
        <f>+BUS!EK137+BUS!EL137+BUS!EJ137</f>
        <v>0</v>
      </c>
      <c r="AW26" s="43">
        <f>+BUS!EN137+BUS!EO137+BUS!EM137</f>
        <v>0</v>
      </c>
      <c r="AX26" s="43">
        <f>+BUS!EQ137+BUS!ER137+BUS!EP137</f>
        <v>0</v>
      </c>
      <c r="AY26" s="43">
        <f>+BUS!ET137+BUS!EU137+BUS!ES137</f>
        <v>0</v>
      </c>
      <c r="AZ26" s="43">
        <f>+BUS!EW137+BUS!EX137+BUS!EV137</f>
        <v>0</v>
      </c>
      <c r="BA26" s="43">
        <f>+BUS!EZ137+BUS!FA137+BUS!EY137</f>
        <v>0</v>
      </c>
      <c r="BB26" s="43">
        <f>+BUS!FC137+BUS!FD137+BUS!FB137</f>
        <v>0</v>
      </c>
      <c r="BC26" s="43">
        <f>+BUS!FF137+BUS!FG137+BUS!FE137</f>
        <v>0</v>
      </c>
      <c r="BD26" s="43">
        <f>+BUS!FI137+BUS!FJ137+BUS!FH137</f>
        <v>0</v>
      </c>
      <c r="BE26" s="43">
        <f>+BUS!FL137+BUS!FM137+BUS!FK137</f>
        <v>0</v>
      </c>
      <c r="BF26" s="225">
        <f t="shared" si="0"/>
        <v>0</v>
      </c>
    </row>
    <row r="27" spans="1:58" ht="18" customHeight="1">
      <c r="A27" s="137">
        <v>24</v>
      </c>
      <c r="B27" s="43">
        <f>+BUS!B138+BUS!C138+BUS!D138</f>
        <v>0</v>
      </c>
      <c r="C27" s="43">
        <f>+BUS!E138+BUS!F138+BUS!G138</f>
        <v>0</v>
      </c>
      <c r="D27" s="43">
        <f>+BUS!H138+BUS!I138+BUS!J138</f>
        <v>0</v>
      </c>
      <c r="E27" s="43">
        <f>+BUS!K138+BUS!L138+BUS!M138</f>
        <v>0</v>
      </c>
      <c r="F27" s="43">
        <f>+BUS!N138+BUS!O138+BUS!P138</f>
        <v>0</v>
      </c>
      <c r="G27" s="43">
        <f>+BUS!Q138+BUS!R138+BUS!S138</f>
        <v>0</v>
      </c>
      <c r="H27" s="43">
        <f>+BUS!T138+BUS!U138+BUS!V138</f>
        <v>0</v>
      </c>
      <c r="I27" s="43">
        <f>+BUS!W138+BUS!X138+BUS!Y138</f>
        <v>0</v>
      </c>
      <c r="J27" s="43">
        <f>+BUS!Z138+BUS!AA138+BUS!AB138</f>
        <v>0</v>
      </c>
      <c r="K27" s="43">
        <f>+BUS!AC138+BUS!AD138+BUS!AE138</f>
        <v>0</v>
      </c>
      <c r="L27" s="43">
        <f>+BUS!AF138+BUS!AG138+BUS!AH138</f>
        <v>0</v>
      </c>
      <c r="M27" s="43">
        <f>+BUS!AI138+BUS!AJ138+BUS!AK138</f>
        <v>0</v>
      </c>
      <c r="N27" s="43">
        <f>+BUS!AL138+BUS!AM138+BUS!AN138</f>
        <v>0</v>
      </c>
      <c r="O27" s="43">
        <f>+BUS!AO138+BUS!AP138+BUS!AQ138</f>
        <v>0</v>
      </c>
      <c r="P27" s="43">
        <f>+BUS!AR138+BUS!AS138+BUS!AT138</f>
        <v>0</v>
      </c>
      <c r="Q27" s="43">
        <f>+BUS!AU138+BUS!AV138+BUS!AW138</f>
        <v>0</v>
      </c>
      <c r="R27" s="43">
        <f>+BUS!AX138+BUS!AY138+BUS!AZ138</f>
        <v>0</v>
      </c>
      <c r="S27" s="43">
        <f>+BUS!BA138+BUS!BB138+BUS!BC138</f>
        <v>0</v>
      </c>
      <c r="T27" s="43">
        <f>+BUS!BD138+BUS!BE138+BUS!BF138</f>
        <v>0</v>
      </c>
      <c r="U27" s="43">
        <f>+BUS!BG138+BUS!BH138+BUS!BI138</f>
        <v>0</v>
      </c>
      <c r="V27" s="43">
        <f>+BUS!BJ138+BUS!BK138+BUS!BL138</f>
        <v>0</v>
      </c>
      <c r="W27" s="43">
        <f>+BUS!BM138+BUS!BN138+BUS!BO138</f>
        <v>0</v>
      </c>
      <c r="X27" s="43">
        <f>+BUS!BP138+BUS!BQ138+BUS!BR138</f>
        <v>0</v>
      </c>
      <c r="Y27" s="43">
        <f>+BUS!BS138+BUS!BT138+BUS!BU138</f>
        <v>0</v>
      </c>
      <c r="Z27" s="43">
        <f>+BUS!BV138+BUS!BW138+BUS!BX138</f>
        <v>0</v>
      </c>
      <c r="AA27" s="43">
        <f>+BUS!BY138+BUS!BZ138+BUS!CA138</f>
        <v>0</v>
      </c>
      <c r="AB27" s="43">
        <f>+BUS!CB138+BUS!CC138+BUS!CD138</f>
        <v>0</v>
      </c>
      <c r="AC27" s="43">
        <f>+BUS!CE138+BUS!CF138+BUS!CG138</f>
        <v>0</v>
      </c>
      <c r="AD27" s="43">
        <f>+BUS!CH138+BUS!CI138+BUS!CJ138</f>
        <v>0</v>
      </c>
      <c r="AE27" s="43">
        <f>+BUS!CK138+BUS!CL138+BUS!CM138</f>
        <v>0</v>
      </c>
      <c r="AF27" s="43">
        <f>+BUS!CN138+BUS!CO138+BUS!CP138</f>
        <v>0</v>
      </c>
      <c r="AG27" s="43">
        <f>+BUS!CQ138+BUS!CR138+BUS!CS138</f>
        <v>0</v>
      </c>
      <c r="AH27" s="43">
        <f>+BUS!CT138+BUS!CU138+BUS!CV138</f>
        <v>0</v>
      </c>
      <c r="AI27" s="43">
        <f>+BUS!CW138+BUS!CX138+BUS!CY138</f>
        <v>0</v>
      </c>
      <c r="AJ27" s="43">
        <f>+BUS!CZ138+BUS!DA138+BUS!DB138</f>
        <v>0</v>
      </c>
      <c r="AK27" s="43">
        <f>+BUS!DC138+BUS!DD138+BUS!DE138</f>
        <v>0</v>
      </c>
      <c r="AL27" s="43">
        <f>+BUS!DF138+BUS!DG138+BUS!DH138</f>
        <v>0</v>
      </c>
      <c r="AM27" s="43">
        <f>+BUS!DI138+BUS!DJ138+BUS!DK138</f>
        <v>0</v>
      </c>
      <c r="AN27" s="43">
        <f>+BUS!DL138+BUS!DM138+BUS!DN138</f>
        <v>0</v>
      </c>
      <c r="AO27" s="43">
        <f>+BUS!DO138+BUS!DP138+BUS!DQ138</f>
        <v>0</v>
      </c>
      <c r="AP27" s="43">
        <f>+BUS!DR138+BUS!DS138+BUS!DT138</f>
        <v>0</v>
      </c>
      <c r="AQ27" s="43">
        <f>+BUS!DU138+BUS!DV138+BUS!DW138</f>
        <v>0</v>
      </c>
      <c r="AR27" s="43">
        <f>+BUS!DX138+BUS!DY138+BUS!DZ138</f>
        <v>0</v>
      </c>
      <c r="AS27" s="43">
        <f>+BUS!EA138+BUS!EB138+BUS!EC138</f>
        <v>0</v>
      </c>
      <c r="AT27" s="43">
        <f>+BUS!ED138+BUS!EE138+BUS!EF138</f>
        <v>0</v>
      </c>
      <c r="AU27" s="43">
        <f>+BUS!EH138+BUS!EI138+BUS!EG138</f>
        <v>0</v>
      </c>
      <c r="AV27" s="43">
        <f>+BUS!EK138+BUS!EL138+BUS!EJ138</f>
        <v>0</v>
      </c>
      <c r="AW27" s="43">
        <f>+BUS!EN138+BUS!EO138+BUS!EM138</f>
        <v>0</v>
      </c>
      <c r="AX27" s="43">
        <f>+BUS!EQ138+BUS!ER138+BUS!EP138</f>
        <v>0</v>
      </c>
      <c r="AY27" s="43">
        <f>+BUS!ET138+BUS!EU138+BUS!ES138</f>
        <v>0</v>
      </c>
      <c r="AZ27" s="43">
        <f>+BUS!EW138+BUS!EX138+BUS!EV138</f>
        <v>0</v>
      </c>
      <c r="BA27" s="43">
        <f>+BUS!EZ138+BUS!FA138+BUS!EY138</f>
        <v>0</v>
      </c>
      <c r="BB27" s="43">
        <f>+BUS!FC138+BUS!FD138+BUS!FB138</f>
        <v>0</v>
      </c>
      <c r="BC27" s="43">
        <f>+BUS!FF138+BUS!FG138+BUS!FE138</f>
        <v>0</v>
      </c>
      <c r="BD27" s="43">
        <f>+BUS!FI138+BUS!FJ138+BUS!FH138</f>
        <v>0</v>
      </c>
      <c r="BE27" s="43">
        <f>+BUS!FL138+BUS!FM138+BUS!FK138</f>
        <v>0</v>
      </c>
      <c r="BF27" s="225">
        <f t="shared" si="0"/>
        <v>0</v>
      </c>
    </row>
    <row r="28" spans="1:58" ht="17.25" customHeight="1">
      <c r="A28" s="137">
        <v>25</v>
      </c>
      <c r="B28" s="43">
        <f>+BUS!B139+BUS!C139+BUS!D139</f>
        <v>0</v>
      </c>
      <c r="C28" s="43">
        <f>+BUS!E139+BUS!F139+BUS!G139</f>
        <v>0</v>
      </c>
      <c r="D28" s="43">
        <f>+BUS!H139+BUS!I139+BUS!J139</f>
        <v>0</v>
      </c>
      <c r="E28" s="43">
        <f>+BUS!K139+BUS!L139+BUS!M139</f>
        <v>0</v>
      </c>
      <c r="F28" s="43">
        <f>+BUS!N139+BUS!O139+BUS!P139</f>
        <v>0</v>
      </c>
      <c r="G28" s="43">
        <f>+BUS!Q139+BUS!R139+BUS!S139</f>
        <v>0</v>
      </c>
      <c r="H28" s="43">
        <f>+BUS!T139+BUS!U139+BUS!V139</f>
        <v>0</v>
      </c>
      <c r="I28" s="43">
        <f>+BUS!W139+BUS!X139+BUS!Y139</f>
        <v>0</v>
      </c>
      <c r="J28" s="43">
        <f>+BUS!Z139+BUS!AA139+BUS!AB139</f>
        <v>0</v>
      </c>
      <c r="K28" s="43">
        <f>+BUS!AC139+BUS!AD139+BUS!AE139</f>
        <v>0</v>
      </c>
      <c r="L28" s="43">
        <f>+BUS!AF139+BUS!AG139+BUS!AH139</f>
        <v>0</v>
      </c>
      <c r="M28" s="43">
        <f>+BUS!AI139+BUS!AJ139+BUS!AK139</f>
        <v>0</v>
      </c>
      <c r="N28" s="43">
        <f>+BUS!AL139+BUS!AM139+BUS!AN139</f>
        <v>0</v>
      </c>
      <c r="O28" s="43">
        <f>+BUS!AO139+BUS!AP139+BUS!AQ139</f>
        <v>0</v>
      </c>
      <c r="P28" s="43">
        <f>+BUS!AR139+BUS!AS139+BUS!AT139</f>
        <v>0</v>
      </c>
      <c r="Q28" s="43">
        <f>+BUS!AU139+BUS!AV139+BUS!AW139</f>
        <v>0</v>
      </c>
      <c r="R28" s="43">
        <f>+BUS!AX139+BUS!AY139+BUS!AZ139</f>
        <v>0</v>
      </c>
      <c r="S28" s="43">
        <f>+BUS!BA139+BUS!BB139+BUS!BC139</f>
        <v>0</v>
      </c>
      <c r="T28" s="43">
        <f>+BUS!BD139+BUS!BE139+BUS!BF139</f>
        <v>0</v>
      </c>
      <c r="U28" s="43">
        <f>+BUS!BG139+BUS!BH139+BUS!BI139</f>
        <v>0</v>
      </c>
      <c r="V28" s="43">
        <f>+BUS!BJ139+BUS!BK139+BUS!BL139</f>
        <v>0</v>
      </c>
      <c r="W28" s="43">
        <f>+BUS!BM139+BUS!BN139+BUS!BO139</f>
        <v>0</v>
      </c>
      <c r="X28" s="43">
        <f>+BUS!BP139+BUS!BQ139+BUS!BR139</f>
        <v>0</v>
      </c>
      <c r="Y28" s="43">
        <f>+BUS!BS139+BUS!BT139+BUS!BU139</f>
        <v>0</v>
      </c>
      <c r="Z28" s="43">
        <f>+BUS!BV139+BUS!BW139+BUS!BX139</f>
        <v>0</v>
      </c>
      <c r="AA28" s="43">
        <f>+BUS!BY139+BUS!BZ139+BUS!CA139</f>
        <v>0</v>
      </c>
      <c r="AB28" s="43">
        <f>+BUS!CB139+BUS!CC139+BUS!CD139</f>
        <v>0</v>
      </c>
      <c r="AC28" s="43">
        <f>+BUS!CE139+BUS!CF139+BUS!CG139</f>
        <v>0</v>
      </c>
      <c r="AD28" s="43">
        <f>+BUS!CH139+BUS!CI139+BUS!CJ139</f>
        <v>0</v>
      </c>
      <c r="AE28" s="43">
        <f>+BUS!CK139+BUS!CL139+BUS!CM139</f>
        <v>0</v>
      </c>
      <c r="AF28" s="43">
        <f>+BUS!CN139+BUS!CO139+BUS!CP139</f>
        <v>0</v>
      </c>
      <c r="AG28" s="43">
        <f>+BUS!CQ139+BUS!CR139+BUS!CS139</f>
        <v>0</v>
      </c>
      <c r="AH28" s="43">
        <f>+BUS!CT139+BUS!CU139+BUS!CV139</f>
        <v>0</v>
      </c>
      <c r="AI28" s="43">
        <f>+BUS!CW139+BUS!CX139+BUS!CY139</f>
        <v>0</v>
      </c>
      <c r="AJ28" s="43">
        <f>+BUS!CZ139+BUS!DA139+BUS!DB139</f>
        <v>0</v>
      </c>
      <c r="AK28" s="43">
        <f>+BUS!DC139+BUS!DD139+BUS!DE139</f>
        <v>0</v>
      </c>
      <c r="AL28" s="43">
        <f>+BUS!DF139+BUS!DG139+BUS!DH139</f>
        <v>0</v>
      </c>
      <c r="AM28" s="43">
        <f>+BUS!DI139+BUS!DJ139+BUS!DK139</f>
        <v>0</v>
      </c>
      <c r="AN28" s="43">
        <f>+BUS!DL139+BUS!DM139+BUS!DN139</f>
        <v>0</v>
      </c>
      <c r="AO28" s="43">
        <f>+BUS!DO139+BUS!DP139+BUS!DQ139</f>
        <v>0</v>
      </c>
      <c r="AP28" s="43">
        <f>+BUS!DR139+BUS!DS139+BUS!DT139</f>
        <v>0</v>
      </c>
      <c r="AQ28" s="43">
        <f>+BUS!DU139+BUS!DV139+BUS!DW139</f>
        <v>0</v>
      </c>
      <c r="AR28" s="43">
        <f>+BUS!DX139+BUS!DY139+BUS!DZ139</f>
        <v>0</v>
      </c>
      <c r="AS28" s="43">
        <f>+BUS!EA139+BUS!EB139+BUS!EC139</f>
        <v>0</v>
      </c>
      <c r="AT28" s="43">
        <f>+BUS!ED139+BUS!EE139+BUS!EF139</f>
        <v>0</v>
      </c>
      <c r="AU28" s="43">
        <f>+BUS!EH139+BUS!EI139+BUS!EG139</f>
        <v>0</v>
      </c>
      <c r="AV28" s="43">
        <f>+BUS!EK139+BUS!EL139+BUS!EJ139</f>
        <v>0</v>
      </c>
      <c r="AW28" s="43">
        <f>+BUS!EN139+BUS!EO139+BUS!EM139</f>
        <v>0</v>
      </c>
      <c r="AX28" s="43">
        <f>+BUS!EQ139+BUS!ER139+BUS!EP139</f>
        <v>0</v>
      </c>
      <c r="AY28" s="43">
        <f>+BUS!ET139+BUS!EU139+BUS!ES139</f>
        <v>0</v>
      </c>
      <c r="AZ28" s="43">
        <f>+BUS!EW139+BUS!EX139+BUS!EV139</f>
        <v>0</v>
      </c>
      <c r="BA28" s="43">
        <f>+BUS!EZ139+BUS!FA139+BUS!EY139</f>
        <v>0</v>
      </c>
      <c r="BB28" s="43">
        <f>+BUS!FC139+BUS!FD139+BUS!FB139</f>
        <v>0</v>
      </c>
      <c r="BC28" s="43">
        <f>+BUS!FF139+BUS!FG139+BUS!FE139</f>
        <v>0</v>
      </c>
      <c r="BD28" s="43">
        <f>+BUS!FI139+BUS!FJ139+BUS!FH139</f>
        <v>0</v>
      </c>
      <c r="BE28" s="43">
        <f>+BUS!FL139+BUS!FM139+BUS!FK139</f>
        <v>0</v>
      </c>
      <c r="BF28" s="225">
        <f t="shared" si="0"/>
        <v>0</v>
      </c>
    </row>
    <row r="29" spans="1:58" ht="18" customHeight="1">
      <c r="A29" s="137">
        <v>26</v>
      </c>
      <c r="B29" s="43">
        <f>+BUS!B140+BUS!C140+BUS!D140</f>
        <v>0</v>
      </c>
      <c r="C29" s="43">
        <f>+BUS!E140+BUS!F140+BUS!G140</f>
        <v>0</v>
      </c>
      <c r="D29" s="43">
        <f>+BUS!H140+BUS!I140+BUS!J140</f>
        <v>0</v>
      </c>
      <c r="E29" s="43">
        <f>+BUS!K140+BUS!L140+BUS!M140</f>
        <v>0</v>
      </c>
      <c r="F29" s="43">
        <f>+BUS!N140+BUS!O140+BUS!P140</f>
        <v>0</v>
      </c>
      <c r="G29" s="43">
        <f>+BUS!Q140+BUS!R140+BUS!S140</f>
        <v>0</v>
      </c>
      <c r="H29" s="43">
        <f>+BUS!T140+BUS!U140+BUS!V140</f>
        <v>0</v>
      </c>
      <c r="I29" s="43">
        <f>+BUS!W140+BUS!X140+BUS!Y140</f>
        <v>0</v>
      </c>
      <c r="J29" s="43">
        <f>+BUS!Z140+BUS!AA140+BUS!AB140</f>
        <v>0</v>
      </c>
      <c r="K29" s="43">
        <f>+BUS!AC140+BUS!AD140+BUS!AE140</f>
        <v>0</v>
      </c>
      <c r="L29" s="43">
        <f>+BUS!AF140+BUS!AG140+BUS!AH140</f>
        <v>0</v>
      </c>
      <c r="M29" s="43">
        <f>+BUS!AI140+BUS!AJ140+BUS!AK140</f>
        <v>0</v>
      </c>
      <c r="N29" s="43">
        <f>+BUS!AL140+BUS!AM140+BUS!AN140</f>
        <v>0</v>
      </c>
      <c r="O29" s="43">
        <f>+BUS!AO140+BUS!AP140+BUS!AQ140</f>
        <v>0</v>
      </c>
      <c r="P29" s="43">
        <f>+BUS!AR140+BUS!AS140+BUS!AT140</f>
        <v>0</v>
      </c>
      <c r="Q29" s="43">
        <f>+BUS!AU140+BUS!AV140+BUS!AW140</f>
        <v>0</v>
      </c>
      <c r="R29" s="43">
        <f>+BUS!AX140+BUS!AY140+BUS!AZ140</f>
        <v>0</v>
      </c>
      <c r="S29" s="43">
        <f>+BUS!BA140+BUS!BB140+BUS!BC140</f>
        <v>0</v>
      </c>
      <c r="T29" s="43">
        <f>+BUS!BD140+BUS!BE140+BUS!BF140</f>
        <v>0</v>
      </c>
      <c r="U29" s="43">
        <f>+BUS!BG140+BUS!BH140+BUS!BI140</f>
        <v>0</v>
      </c>
      <c r="V29" s="43">
        <f>+BUS!BJ140+BUS!BK140+BUS!BL140</f>
        <v>0</v>
      </c>
      <c r="W29" s="43">
        <f>+BUS!BM140+BUS!BN140+BUS!BO140</f>
        <v>0</v>
      </c>
      <c r="X29" s="43">
        <f>+BUS!BP140+BUS!BQ140+BUS!BR140</f>
        <v>0</v>
      </c>
      <c r="Y29" s="43">
        <f>+BUS!BS140+BUS!BT140+BUS!BU140</f>
        <v>0</v>
      </c>
      <c r="Z29" s="43">
        <f>+BUS!BV140+BUS!BW140+BUS!BX140</f>
        <v>0</v>
      </c>
      <c r="AA29" s="43">
        <f>+BUS!BY140+BUS!BZ140+BUS!CA140</f>
        <v>0</v>
      </c>
      <c r="AB29" s="43">
        <f>+BUS!CB140+BUS!CC140+BUS!CD140</f>
        <v>0</v>
      </c>
      <c r="AC29" s="43">
        <f>+BUS!CE140+BUS!CF140+BUS!CG140</f>
        <v>0</v>
      </c>
      <c r="AD29" s="43">
        <f>+BUS!CH140+BUS!CI140+BUS!CJ140</f>
        <v>0</v>
      </c>
      <c r="AE29" s="43">
        <f>+BUS!CK140+BUS!CL140+BUS!CM140</f>
        <v>0</v>
      </c>
      <c r="AF29" s="43">
        <f>+BUS!CN140+BUS!CO140+BUS!CP140</f>
        <v>0</v>
      </c>
      <c r="AG29" s="43">
        <f>+BUS!CQ140+BUS!CR140+BUS!CS140</f>
        <v>0</v>
      </c>
      <c r="AH29" s="43">
        <f>+BUS!CT140+BUS!CU140+BUS!CV140</f>
        <v>0</v>
      </c>
      <c r="AI29" s="43">
        <f>+BUS!CW140+BUS!CX140+BUS!CY140</f>
        <v>0</v>
      </c>
      <c r="AJ29" s="43">
        <f>+BUS!CZ140+BUS!DA140+BUS!DB140</f>
        <v>0</v>
      </c>
      <c r="AK29" s="43">
        <f>+BUS!DC140+BUS!DD140+BUS!DE140</f>
        <v>0</v>
      </c>
      <c r="AL29" s="43">
        <f>+BUS!DF140+BUS!DG140+BUS!DH140</f>
        <v>0</v>
      </c>
      <c r="AM29" s="43">
        <f>+BUS!DI140+BUS!DJ140+BUS!DK140</f>
        <v>0</v>
      </c>
      <c r="AN29" s="43">
        <f>+BUS!DL140+BUS!DM140+BUS!DN140</f>
        <v>0</v>
      </c>
      <c r="AO29" s="43">
        <f>+BUS!DO140+BUS!DP140+BUS!DQ140</f>
        <v>0</v>
      </c>
      <c r="AP29" s="43">
        <f>+BUS!DR140+BUS!DS140+BUS!DT140</f>
        <v>0</v>
      </c>
      <c r="AQ29" s="43">
        <f>+BUS!DU140+BUS!DV140+BUS!DW140</f>
        <v>0</v>
      </c>
      <c r="AR29" s="43">
        <f>+BUS!DX140+BUS!DY140+BUS!DZ140</f>
        <v>0</v>
      </c>
      <c r="AS29" s="43">
        <f>+BUS!EA140+BUS!EB140+BUS!EC140</f>
        <v>0</v>
      </c>
      <c r="AT29" s="43">
        <f>+BUS!ED140+BUS!EE140+BUS!EF140</f>
        <v>0</v>
      </c>
      <c r="AU29" s="43">
        <f>+BUS!EH140+BUS!EI140+BUS!EG140</f>
        <v>0</v>
      </c>
      <c r="AV29" s="43">
        <f>+BUS!EK140+BUS!EL140+BUS!EJ140</f>
        <v>0</v>
      </c>
      <c r="AW29" s="43">
        <f>+BUS!EN140+BUS!EO140+BUS!EM140</f>
        <v>0</v>
      </c>
      <c r="AX29" s="43">
        <f>+BUS!EQ140+BUS!ER140+BUS!EP140</f>
        <v>0</v>
      </c>
      <c r="AY29" s="43">
        <f>+BUS!ET140+BUS!EU140+BUS!ES140</f>
        <v>0</v>
      </c>
      <c r="AZ29" s="43">
        <f>+BUS!EW140+BUS!EX140+BUS!EV140</f>
        <v>0</v>
      </c>
      <c r="BA29" s="43">
        <f>+BUS!EZ140+BUS!FA140+BUS!EY140</f>
        <v>0</v>
      </c>
      <c r="BB29" s="43">
        <f>+BUS!FC140+BUS!FD140+BUS!FB140</f>
        <v>0</v>
      </c>
      <c r="BC29" s="43">
        <f>+BUS!FF140+BUS!FG140+BUS!FE140</f>
        <v>0</v>
      </c>
      <c r="BD29" s="43">
        <f>+BUS!FI140+BUS!FJ140+BUS!FH140</f>
        <v>0</v>
      </c>
      <c r="BE29" s="43">
        <f>+BUS!FL140+BUS!FM140+BUS!FK140</f>
        <v>0</v>
      </c>
      <c r="BF29" s="225">
        <f t="shared" si="0"/>
        <v>0</v>
      </c>
    </row>
    <row r="30" spans="1:58" ht="15.75" customHeight="1">
      <c r="A30" s="137">
        <v>27</v>
      </c>
      <c r="B30" s="43">
        <f>+BUS!B141+BUS!C141+BUS!D141</f>
        <v>0</v>
      </c>
      <c r="C30" s="43">
        <f>+BUS!E141+BUS!F141+BUS!G141</f>
        <v>0</v>
      </c>
      <c r="D30" s="43">
        <f>+BUS!H141+BUS!I141+BUS!J141</f>
        <v>0</v>
      </c>
      <c r="E30" s="43">
        <f>+BUS!K141+BUS!L141+BUS!M141</f>
        <v>0</v>
      </c>
      <c r="F30" s="43">
        <f>+BUS!N141+BUS!O141+BUS!P141</f>
        <v>0</v>
      </c>
      <c r="G30" s="43">
        <f>+BUS!Q141+BUS!R141+BUS!S141</f>
        <v>0</v>
      </c>
      <c r="H30" s="43">
        <f>+BUS!T141+BUS!U141+BUS!V141</f>
        <v>0</v>
      </c>
      <c r="I30" s="43">
        <f>+BUS!W141+BUS!X141+BUS!Y141</f>
        <v>0</v>
      </c>
      <c r="J30" s="43">
        <f>+BUS!Z141+BUS!AA141+BUS!AB141</f>
        <v>0</v>
      </c>
      <c r="K30" s="43">
        <f>+BUS!AC141+BUS!AD141+BUS!AE141</f>
        <v>0</v>
      </c>
      <c r="L30" s="43">
        <f>+BUS!AF141+BUS!AG141+BUS!AH141</f>
        <v>0</v>
      </c>
      <c r="M30" s="43">
        <f>+BUS!AI141+BUS!AJ141+BUS!AK141</f>
        <v>0</v>
      </c>
      <c r="N30" s="43">
        <f>+BUS!AL141+BUS!AM141+BUS!AN141</f>
        <v>0</v>
      </c>
      <c r="O30" s="43">
        <f>+BUS!AO141+BUS!AP141+BUS!AQ141</f>
        <v>0</v>
      </c>
      <c r="P30" s="43">
        <f>+BUS!AR141+BUS!AS141+BUS!AT141</f>
        <v>0</v>
      </c>
      <c r="Q30" s="43">
        <f>+BUS!AU141+BUS!AV141+BUS!AW141</f>
        <v>0</v>
      </c>
      <c r="R30" s="43">
        <f>+BUS!AX141+BUS!AY141+BUS!AZ141</f>
        <v>0</v>
      </c>
      <c r="S30" s="43">
        <f>+BUS!BA141+BUS!BB141+BUS!BC141</f>
        <v>0</v>
      </c>
      <c r="T30" s="43">
        <f>+BUS!BD141+BUS!BE141+BUS!BF141</f>
        <v>0</v>
      </c>
      <c r="U30" s="43">
        <f>+BUS!BG141+BUS!BH141+BUS!BI141</f>
        <v>0</v>
      </c>
      <c r="V30" s="43">
        <f>+BUS!BJ141+BUS!BK141+BUS!BL141</f>
        <v>0</v>
      </c>
      <c r="W30" s="43">
        <f>+BUS!BM141+BUS!BN141+BUS!BO141</f>
        <v>0</v>
      </c>
      <c r="X30" s="43">
        <f>+BUS!BP141+BUS!BQ141+BUS!BR141</f>
        <v>0</v>
      </c>
      <c r="Y30" s="43">
        <f>+BUS!BS141+BUS!BT141+BUS!BU141</f>
        <v>0</v>
      </c>
      <c r="Z30" s="43">
        <f>+BUS!BV141+BUS!BW141+BUS!BX141</f>
        <v>0</v>
      </c>
      <c r="AA30" s="43">
        <f>+BUS!BY141+BUS!BZ141+BUS!CA141</f>
        <v>0</v>
      </c>
      <c r="AB30" s="43">
        <f>+BUS!CB141+BUS!CC141+BUS!CD141</f>
        <v>0</v>
      </c>
      <c r="AC30" s="43">
        <f>+BUS!CE141+BUS!CF141+BUS!CG141</f>
        <v>0</v>
      </c>
      <c r="AD30" s="43">
        <f>+BUS!CH141+BUS!CI141+BUS!CJ141</f>
        <v>0</v>
      </c>
      <c r="AE30" s="43">
        <f>+BUS!CK141+BUS!CL141+BUS!CM141</f>
        <v>0</v>
      </c>
      <c r="AF30" s="43">
        <f>+BUS!CN141+BUS!CO141+BUS!CP141</f>
        <v>0</v>
      </c>
      <c r="AG30" s="43">
        <f>+BUS!CQ141+BUS!CR141+BUS!CS141</f>
        <v>0</v>
      </c>
      <c r="AH30" s="43">
        <f>+BUS!CT141+BUS!CU141+BUS!CV141</f>
        <v>0</v>
      </c>
      <c r="AI30" s="43">
        <f>+BUS!CW141+BUS!CX141+BUS!CY141</f>
        <v>0</v>
      </c>
      <c r="AJ30" s="43">
        <f>+BUS!CZ141+BUS!DA141+BUS!DB141</f>
        <v>0</v>
      </c>
      <c r="AK30" s="43">
        <f>+BUS!DC141+BUS!DD141+BUS!DE141</f>
        <v>0</v>
      </c>
      <c r="AL30" s="43">
        <f>+BUS!DF141+BUS!DG141+BUS!DH141</f>
        <v>0</v>
      </c>
      <c r="AM30" s="43">
        <f>+BUS!DI141+BUS!DJ141+BUS!DK141</f>
        <v>0</v>
      </c>
      <c r="AN30" s="43">
        <f>+BUS!DL141+BUS!DM141+BUS!DN141</f>
        <v>0</v>
      </c>
      <c r="AO30" s="43">
        <f>+BUS!DO141+BUS!DP141+BUS!DQ141</f>
        <v>0</v>
      </c>
      <c r="AP30" s="43">
        <f>+BUS!DR141+BUS!DS141+BUS!DT141</f>
        <v>0</v>
      </c>
      <c r="AQ30" s="43">
        <f>+BUS!DU141+BUS!DV141+BUS!DW141</f>
        <v>0</v>
      </c>
      <c r="AR30" s="43">
        <f>+BUS!DX141+BUS!DY141+BUS!DZ141</f>
        <v>0</v>
      </c>
      <c r="AS30" s="43">
        <f>+BUS!EA141+BUS!EB141+BUS!EC141</f>
        <v>0</v>
      </c>
      <c r="AT30" s="43">
        <f>+BUS!ED141+BUS!EE141+BUS!EF141</f>
        <v>0</v>
      </c>
      <c r="AU30" s="43">
        <f>+BUS!EH141+BUS!EI141+BUS!EG141</f>
        <v>0</v>
      </c>
      <c r="AV30" s="43">
        <f>+BUS!EK141+BUS!EL141+BUS!EJ141</f>
        <v>0</v>
      </c>
      <c r="AW30" s="43">
        <f>+BUS!EN141+BUS!EO141+BUS!EM141</f>
        <v>0</v>
      </c>
      <c r="AX30" s="43">
        <f>+BUS!EQ141+BUS!ER141+BUS!EP141</f>
        <v>0</v>
      </c>
      <c r="AY30" s="43">
        <f>+BUS!ET141+BUS!EU141+BUS!ES141</f>
        <v>0</v>
      </c>
      <c r="AZ30" s="43">
        <f>+BUS!EW141+BUS!EX141+BUS!EV141</f>
        <v>0</v>
      </c>
      <c r="BA30" s="43">
        <f>+BUS!EZ141+BUS!FA141+BUS!EY141</f>
        <v>0</v>
      </c>
      <c r="BB30" s="43">
        <f>+BUS!FC141+BUS!FD141+BUS!FB141</f>
        <v>0</v>
      </c>
      <c r="BC30" s="43">
        <f>+BUS!FF141+BUS!FG141+BUS!FE141</f>
        <v>0</v>
      </c>
      <c r="BD30" s="43">
        <f>+BUS!FI141+BUS!FJ141+BUS!FH141</f>
        <v>0</v>
      </c>
      <c r="BE30" s="43">
        <f>+BUS!FL141+BUS!FM141+BUS!FK141</f>
        <v>0</v>
      </c>
      <c r="BF30" s="225">
        <f t="shared" si="0"/>
        <v>0</v>
      </c>
    </row>
    <row r="31" spans="1:58" ht="15.75" customHeight="1">
      <c r="A31" s="137">
        <v>28</v>
      </c>
      <c r="B31" s="43">
        <f>+BUS!B142+BUS!C142+BUS!D142</f>
        <v>0</v>
      </c>
      <c r="C31" s="43">
        <f>+BUS!E142+BUS!F142+BUS!G142</f>
        <v>0</v>
      </c>
      <c r="D31" s="43">
        <f>+BUS!H142+BUS!I142+BUS!J142</f>
        <v>0</v>
      </c>
      <c r="E31" s="43">
        <f>+BUS!K142+BUS!L142+BUS!M142</f>
        <v>0</v>
      </c>
      <c r="F31" s="43">
        <f>+BUS!N142+BUS!O142+BUS!P142</f>
        <v>0</v>
      </c>
      <c r="G31" s="43">
        <f>+BUS!Q142+BUS!R142+BUS!S142</f>
        <v>0</v>
      </c>
      <c r="H31" s="43">
        <f>+BUS!T142+BUS!U142+BUS!V142</f>
        <v>0</v>
      </c>
      <c r="I31" s="43">
        <f>+BUS!W142+BUS!X142+BUS!Y142</f>
        <v>0</v>
      </c>
      <c r="J31" s="43">
        <f>+BUS!Z142+BUS!AA142+BUS!AB142</f>
        <v>0</v>
      </c>
      <c r="K31" s="43">
        <f>+BUS!AC142+BUS!AD142+BUS!AE142</f>
        <v>0</v>
      </c>
      <c r="L31" s="43">
        <f>+BUS!AF142+BUS!AG142+BUS!AH142</f>
        <v>0</v>
      </c>
      <c r="M31" s="43">
        <f>+BUS!AI142+BUS!AJ142+BUS!AK142</f>
        <v>0</v>
      </c>
      <c r="N31" s="43">
        <f>+BUS!AL142+BUS!AM142+BUS!AN142</f>
        <v>0</v>
      </c>
      <c r="O31" s="43">
        <f>+BUS!AO142+BUS!AP142+BUS!AQ142</f>
        <v>0</v>
      </c>
      <c r="P31" s="43">
        <f>+BUS!AR142+BUS!AS142+BUS!AT142</f>
        <v>0</v>
      </c>
      <c r="Q31" s="43">
        <f>+BUS!AU142+BUS!AV142+BUS!AW142</f>
        <v>0</v>
      </c>
      <c r="R31" s="43">
        <f>+BUS!AX142+BUS!AY142+BUS!AZ142</f>
        <v>0</v>
      </c>
      <c r="S31" s="43">
        <f>+BUS!BA142+BUS!BB142+BUS!BC142</f>
        <v>0</v>
      </c>
      <c r="T31" s="43">
        <f>+BUS!BD142+BUS!BE142+BUS!BF142</f>
        <v>0</v>
      </c>
      <c r="U31" s="43">
        <f>+BUS!BG142+BUS!BH142+BUS!BI142</f>
        <v>0</v>
      </c>
      <c r="V31" s="43">
        <f>+BUS!BJ142+BUS!BK142+BUS!BL142</f>
        <v>0</v>
      </c>
      <c r="W31" s="43">
        <f>+BUS!BM142+BUS!BN142+BUS!BO142</f>
        <v>0</v>
      </c>
      <c r="X31" s="43">
        <f>+BUS!BP142+BUS!BQ142+BUS!BR142</f>
        <v>0</v>
      </c>
      <c r="Y31" s="43">
        <f>+BUS!BS142+BUS!BT142+BUS!BU142</f>
        <v>0</v>
      </c>
      <c r="Z31" s="43">
        <f>+BUS!BV142+BUS!BW142+BUS!BX142</f>
        <v>0</v>
      </c>
      <c r="AA31" s="43">
        <f>+BUS!BY142+BUS!BZ142+BUS!CA142</f>
        <v>0</v>
      </c>
      <c r="AB31" s="43">
        <f>+BUS!CB142+BUS!CC142+BUS!CD142</f>
        <v>0</v>
      </c>
      <c r="AC31" s="43">
        <f>+BUS!CE142+BUS!CF142+BUS!CG142</f>
        <v>0</v>
      </c>
      <c r="AD31" s="43">
        <f>+BUS!CH142+BUS!CI142+BUS!CJ142</f>
        <v>0</v>
      </c>
      <c r="AE31" s="43">
        <f>+BUS!CK142+BUS!CL142+BUS!CM142</f>
        <v>0</v>
      </c>
      <c r="AF31" s="43">
        <f>+BUS!CN142+BUS!CO142+BUS!CP142</f>
        <v>0</v>
      </c>
      <c r="AG31" s="43">
        <f>+BUS!CQ142+BUS!CR142+BUS!CS142</f>
        <v>0</v>
      </c>
      <c r="AH31" s="43">
        <f>+BUS!CT142+BUS!CU142+BUS!CV142</f>
        <v>0</v>
      </c>
      <c r="AI31" s="43">
        <f>+BUS!CW142+BUS!CX142+BUS!CY142</f>
        <v>0</v>
      </c>
      <c r="AJ31" s="43">
        <f>+BUS!CZ142+BUS!DA142+BUS!DB142</f>
        <v>0</v>
      </c>
      <c r="AK31" s="43">
        <f>+BUS!DC142+BUS!DD142+BUS!DE142</f>
        <v>0</v>
      </c>
      <c r="AL31" s="43">
        <f>+BUS!DF142+BUS!DG142+BUS!DH142</f>
        <v>0</v>
      </c>
      <c r="AM31" s="43">
        <f>+BUS!DI142+BUS!DJ142+BUS!DK142</f>
        <v>0</v>
      </c>
      <c r="AN31" s="43">
        <f>+BUS!DL142+BUS!DM142+BUS!DN142</f>
        <v>0</v>
      </c>
      <c r="AO31" s="43">
        <f>+BUS!DO142+BUS!DP142+BUS!DQ142</f>
        <v>0</v>
      </c>
      <c r="AP31" s="43">
        <f>+BUS!DR142+BUS!DS142+BUS!DT142</f>
        <v>0</v>
      </c>
      <c r="AQ31" s="43">
        <f>+BUS!DU142+BUS!DV142+BUS!DW142</f>
        <v>0</v>
      </c>
      <c r="AR31" s="43">
        <f>+BUS!DX142+BUS!DY142+BUS!DZ142</f>
        <v>0</v>
      </c>
      <c r="AS31" s="43">
        <f>+BUS!EA142+BUS!EB142+BUS!EC142</f>
        <v>0</v>
      </c>
      <c r="AT31" s="43">
        <f>+BUS!ED142+BUS!EE142+BUS!EF142</f>
        <v>0</v>
      </c>
      <c r="AU31" s="43">
        <f>+BUS!EH142+BUS!EI142+BUS!EG142</f>
        <v>0</v>
      </c>
      <c r="AV31" s="43">
        <f>+BUS!EK142+BUS!EL142+BUS!EJ142</f>
        <v>0</v>
      </c>
      <c r="AW31" s="43">
        <f>+BUS!EN142+BUS!EO142+BUS!EM142</f>
        <v>0</v>
      </c>
      <c r="AX31" s="43">
        <f>+BUS!EQ142+BUS!ER142+BUS!EP142</f>
        <v>0</v>
      </c>
      <c r="AY31" s="43">
        <f>+BUS!ET142+BUS!EU142+BUS!ES142</f>
        <v>0</v>
      </c>
      <c r="AZ31" s="43">
        <f>+BUS!EW142+BUS!EX142+BUS!EV142</f>
        <v>0</v>
      </c>
      <c r="BA31" s="43">
        <f>+BUS!EZ142+BUS!FA142+BUS!EY142</f>
        <v>0</v>
      </c>
      <c r="BB31" s="43">
        <f>+BUS!FC142+BUS!FD142+BUS!FB142</f>
        <v>0</v>
      </c>
      <c r="BC31" s="43">
        <f>+BUS!FF142+BUS!FG142+BUS!FE142</f>
        <v>0</v>
      </c>
      <c r="BD31" s="43">
        <f>+BUS!FI142+BUS!FJ142+BUS!FH142</f>
        <v>0</v>
      </c>
      <c r="BE31" s="43">
        <f>+BUS!FL142+BUS!FM142+BUS!FK142</f>
        <v>0</v>
      </c>
      <c r="BF31" s="225">
        <f t="shared" si="0"/>
        <v>0</v>
      </c>
    </row>
    <row r="32" spans="1:58" ht="15" customHeight="1">
      <c r="A32" s="137">
        <v>29</v>
      </c>
      <c r="B32" s="43">
        <f>+BUS!B143+BUS!C143+BUS!D143</f>
        <v>0</v>
      </c>
      <c r="C32" s="43">
        <f>+BUS!E143+BUS!F143+BUS!G143</f>
        <v>0</v>
      </c>
      <c r="D32" s="43">
        <f>+BUS!H143+BUS!I143+BUS!J143</f>
        <v>0</v>
      </c>
      <c r="E32" s="43">
        <f>+BUS!K143+BUS!L143+BUS!M143</f>
        <v>0</v>
      </c>
      <c r="F32" s="43">
        <f>+BUS!N143+BUS!O143+BUS!P143</f>
        <v>0</v>
      </c>
      <c r="G32" s="43">
        <f>+BUS!Q143+BUS!R143+BUS!S143</f>
        <v>0</v>
      </c>
      <c r="H32" s="43">
        <f>+BUS!T143+BUS!U143+BUS!V143</f>
        <v>0</v>
      </c>
      <c r="I32" s="43">
        <f>+BUS!W143+BUS!X143+BUS!Y143</f>
        <v>0</v>
      </c>
      <c r="J32" s="43">
        <f>+BUS!Z143+BUS!AA143+BUS!AB143</f>
        <v>0</v>
      </c>
      <c r="K32" s="43">
        <f>+BUS!AC143+BUS!AD143+BUS!AE143</f>
        <v>0</v>
      </c>
      <c r="L32" s="43">
        <f>+BUS!AF143+BUS!AG143+BUS!AH143</f>
        <v>0</v>
      </c>
      <c r="M32" s="43">
        <f>+BUS!AI143+BUS!AJ143+BUS!AK143</f>
        <v>0</v>
      </c>
      <c r="N32" s="43">
        <f>+BUS!AL143+BUS!AM143+BUS!AN143</f>
        <v>0</v>
      </c>
      <c r="O32" s="43">
        <f>+BUS!AO143+BUS!AP143+BUS!AQ143</f>
        <v>0</v>
      </c>
      <c r="P32" s="43">
        <f>+BUS!AR143+BUS!AS143+BUS!AT143</f>
        <v>0</v>
      </c>
      <c r="Q32" s="43">
        <f>+BUS!AU143+BUS!AV143+BUS!AW143</f>
        <v>0</v>
      </c>
      <c r="R32" s="43">
        <f>+BUS!AX143+BUS!AY143+BUS!AZ143</f>
        <v>0</v>
      </c>
      <c r="S32" s="43">
        <f>+BUS!BA143+BUS!BB143+BUS!BC143</f>
        <v>0</v>
      </c>
      <c r="T32" s="43">
        <f>+BUS!BD143+BUS!BE143+BUS!BF143</f>
        <v>0</v>
      </c>
      <c r="U32" s="43">
        <f>+BUS!BG143+BUS!BH143+BUS!BI143</f>
        <v>0</v>
      </c>
      <c r="V32" s="43">
        <f>+BUS!BJ143+BUS!BK143+BUS!BL143</f>
        <v>0</v>
      </c>
      <c r="W32" s="43">
        <f>+BUS!BM143+BUS!BN143+BUS!BO143</f>
        <v>0</v>
      </c>
      <c r="X32" s="43">
        <f>+BUS!BP143+BUS!BQ143+BUS!BR143</f>
        <v>0</v>
      </c>
      <c r="Y32" s="43">
        <f>+BUS!BS143+BUS!BT143+BUS!BU143</f>
        <v>0</v>
      </c>
      <c r="Z32" s="43">
        <f>+BUS!BV143+BUS!BW143+BUS!BX143</f>
        <v>0</v>
      </c>
      <c r="AA32" s="43">
        <f>+BUS!BY143+BUS!BZ143+BUS!CA143</f>
        <v>0</v>
      </c>
      <c r="AB32" s="43">
        <f>+BUS!CB143+BUS!CC143+BUS!CD143</f>
        <v>0</v>
      </c>
      <c r="AC32" s="43">
        <f>+BUS!CE143+BUS!CF143+BUS!CG143</f>
        <v>0</v>
      </c>
      <c r="AD32" s="43">
        <f>+BUS!CH143+BUS!CI143+BUS!CJ143</f>
        <v>0</v>
      </c>
      <c r="AE32" s="43">
        <f>+BUS!CK143+BUS!CL143+BUS!CM143</f>
        <v>0</v>
      </c>
      <c r="AF32" s="43">
        <f>+BUS!CN143+BUS!CO143+BUS!CP143</f>
        <v>0</v>
      </c>
      <c r="AG32" s="43">
        <f>+BUS!CQ143+BUS!CR143+BUS!CS143</f>
        <v>0</v>
      </c>
      <c r="AH32" s="43">
        <f>+BUS!CT143+BUS!CU143+BUS!CV143</f>
        <v>0</v>
      </c>
      <c r="AI32" s="43">
        <f>+BUS!CW143+BUS!CX143+BUS!CY143</f>
        <v>0</v>
      </c>
      <c r="AJ32" s="43">
        <f>+BUS!CZ143+BUS!DA143+BUS!DB143</f>
        <v>0</v>
      </c>
      <c r="AK32" s="43">
        <f>+BUS!DC143+BUS!DD143+BUS!DE143</f>
        <v>0</v>
      </c>
      <c r="AL32" s="43">
        <f>+BUS!DF143+BUS!DG143+BUS!DH143</f>
        <v>0</v>
      </c>
      <c r="AM32" s="43">
        <f>+BUS!DI143+BUS!DJ143+BUS!DK143</f>
        <v>0</v>
      </c>
      <c r="AN32" s="43">
        <f>+BUS!DL143+BUS!DM143+BUS!DN143</f>
        <v>0</v>
      </c>
      <c r="AO32" s="43">
        <f>+BUS!DO143+BUS!DP143+BUS!DQ143</f>
        <v>0</v>
      </c>
      <c r="AP32" s="43">
        <f>+BUS!DR143+BUS!DS143+BUS!DT143</f>
        <v>0</v>
      </c>
      <c r="AQ32" s="43">
        <f>+BUS!DU143+BUS!DV143+BUS!DW143</f>
        <v>0</v>
      </c>
      <c r="AR32" s="43">
        <f>+BUS!DX143+BUS!DY143+BUS!DZ143</f>
        <v>0</v>
      </c>
      <c r="AS32" s="43">
        <f>+BUS!EA143+BUS!EB143+BUS!EC143</f>
        <v>0</v>
      </c>
      <c r="AT32" s="43">
        <f>+BUS!ED143+BUS!EE143+BUS!EF143</f>
        <v>0</v>
      </c>
      <c r="AU32" s="43">
        <f>+BUS!EH143+BUS!EI143+BUS!EG143</f>
        <v>0</v>
      </c>
      <c r="AV32" s="43">
        <f>+BUS!EK143+BUS!EL143+BUS!EJ143</f>
        <v>0</v>
      </c>
      <c r="AW32" s="43">
        <f>+BUS!EN143+BUS!EO143+BUS!EM143</f>
        <v>0</v>
      </c>
      <c r="AX32" s="43">
        <f>+BUS!EQ143+BUS!ER143+BUS!EP143</f>
        <v>0</v>
      </c>
      <c r="AY32" s="43">
        <f>+BUS!ET143+BUS!EU143+BUS!ES143</f>
        <v>0</v>
      </c>
      <c r="AZ32" s="43">
        <f>+BUS!EW143+BUS!EX143+BUS!EV143</f>
        <v>0</v>
      </c>
      <c r="BA32" s="43">
        <f>+BUS!EZ143+BUS!FA143+BUS!EY143</f>
        <v>0</v>
      </c>
      <c r="BB32" s="43">
        <f>+BUS!FC143+BUS!FD143+BUS!FB143</f>
        <v>0</v>
      </c>
      <c r="BC32" s="43">
        <f>+BUS!FF143+BUS!FG143+BUS!FE143</f>
        <v>0</v>
      </c>
      <c r="BD32" s="43">
        <f>+BUS!FI143+BUS!FJ143+BUS!FH143</f>
        <v>0</v>
      </c>
      <c r="BE32" s="43">
        <f>+BUS!FL143+BUS!FM143+BUS!FK143</f>
        <v>0</v>
      </c>
      <c r="BF32" s="225">
        <f t="shared" si="0"/>
        <v>0</v>
      </c>
    </row>
    <row r="33" spans="1:59" ht="15" customHeight="1">
      <c r="A33" s="137">
        <v>30</v>
      </c>
      <c r="B33" s="43">
        <f>+BUS!B144+BUS!C144+BUS!D144</f>
        <v>0</v>
      </c>
      <c r="C33" s="43">
        <f>+BUS!E144+BUS!F144+BUS!G144</f>
        <v>0</v>
      </c>
      <c r="D33" s="43">
        <f>+BUS!H144+BUS!I144+BUS!J144</f>
        <v>0</v>
      </c>
      <c r="E33" s="43">
        <f>+BUS!K144+BUS!L144+BUS!M144</f>
        <v>0</v>
      </c>
      <c r="F33" s="43">
        <f>+BUS!N144+BUS!O144+BUS!P144</f>
        <v>0</v>
      </c>
      <c r="G33" s="43">
        <f>+BUS!Q144+BUS!R144+BUS!S144</f>
        <v>0</v>
      </c>
      <c r="H33" s="43">
        <f>+BUS!T144+BUS!U144+BUS!V144</f>
        <v>0</v>
      </c>
      <c r="I33" s="43">
        <f>+BUS!W144+BUS!X144+BUS!Y144</f>
        <v>0</v>
      </c>
      <c r="J33" s="43">
        <f>+BUS!Z144+BUS!AA144+BUS!AB144</f>
        <v>0</v>
      </c>
      <c r="K33" s="43">
        <f>+BUS!AC144+BUS!AD144+BUS!AE144</f>
        <v>0</v>
      </c>
      <c r="L33" s="43">
        <f>+BUS!AF144+BUS!AG144+BUS!AH144</f>
        <v>0</v>
      </c>
      <c r="M33" s="43">
        <f>+BUS!AI144+BUS!AJ144+BUS!AK144</f>
        <v>0</v>
      </c>
      <c r="N33" s="43">
        <f>+BUS!AL144+BUS!AM144+BUS!AN144</f>
        <v>0</v>
      </c>
      <c r="O33" s="43">
        <f>+BUS!AO144+BUS!AP144+BUS!AQ144</f>
        <v>0</v>
      </c>
      <c r="P33" s="43">
        <f>+BUS!AR144+BUS!AS144+BUS!AT144</f>
        <v>0</v>
      </c>
      <c r="Q33" s="43">
        <f>+BUS!AU144+BUS!AV144+BUS!AW144</f>
        <v>0</v>
      </c>
      <c r="R33" s="43">
        <f>+BUS!AX144+BUS!AY144+BUS!AZ144</f>
        <v>0</v>
      </c>
      <c r="S33" s="43">
        <f>+BUS!BA144+BUS!BB144+BUS!BC144</f>
        <v>0</v>
      </c>
      <c r="T33" s="43">
        <f>+BUS!BD144+BUS!BE144+BUS!BF144</f>
        <v>0</v>
      </c>
      <c r="U33" s="43">
        <f>+BUS!BG144+BUS!BH144+BUS!BI144</f>
        <v>0</v>
      </c>
      <c r="V33" s="43">
        <f>+BUS!BJ144+BUS!BK144+BUS!BL144</f>
        <v>0</v>
      </c>
      <c r="W33" s="43">
        <f>+BUS!BM144+BUS!BN144+BUS!BO144</f>
        <v>0</v>
      </c>
      <c r="X33" s="43">
        <f>+BUS!BP144+BUS!BQ144+BUS!BR144</f>
        <v>0</v>
      </c>
      <c r="Y33" s="43">
        <f>+BUS!BS144+BUS!BT144+BUS!BU144</f>
        <v>0</v>
      </c>
      <c r="Z33" s="43">
        <f>+BUS!BV144+BUS!BW144+BUS!BX144</f>
        <v>0</v>
      </c>
      <c r="AA33" s="43">
        <f>+BUS!BY144+BUS!BZ144+BUS!CA144</f>
        <v>0</v>
      </c>
      <c r="AB33" s="43">
        <f>+BUS!CB144+BUS!CC144+BUS!CD144</f>
        <v>0</v>
      </c>
      <c r="AC33" s="43">
        <f>+BUS!CE144+BUS!CF144+BUS!CG144</f>
        <v>0</v>
      </c>
      <c r="AD33" s="43">
        <f>+BUS!CH144+BUS!CI144+BUS!CJ144</f>
        <v>0</v>
      </c>
      <c r="AE33" s="43">
        <f>+BUS!CK144+BUS!CL144+BUS!CM144</f>
        <v>0</v>
      </c>
      <c r="AF33" s="43">
        <f>+BUS!CN144+BUS!CO144+BUS!CP144</f>
        <v>0</v>
      </c>
      <c r="AG33" s="43">
        <f>+BUS!CQ144+BUS!CR144+BUS!CS144</f>
        <v>0</v>
      </c>
      <c r="AH33" s="43">
        <f>+BUS!CT144+BUS!CU144+BUS!CV144</f>
        <v>0</v>
      </c>
      <c r="AI33" s="43">
        <f>+BUS!CW144+BUS!CX144+BUS!CY144</f>
        <v>0</v>
      </c>
      <c r="AJ33" s="43">
        <f>+BUS!CZ144+BUS!DA144+BUS!DB144</f>
        <v>0</v>
      </c>
      <c r="AK33" s="43">
        <f>+BUS!DC144+BUS!DD144+BUS!DE144</f>
        <v>0</v>
      </c>
      <c r="AL33" s="43">
        <f>+BUS!DF144+BUS!DG144+BUS!DH144</f>
        <v>0</v>
      </c>
      <c r="AM33" s="43">
        <f>+BUS!DI144+BUS!DJ144+BUS!DK144</f>
        <v>0</v>
      </c>
      <c r="AN33" s="43">
        <f>+BUS!DL144+BUS!DM144+BUS!DN144</f>
        <v>0</v>
      </c>
      <c r="AO33" s="43">
        <f>+BUS!DO144+BUS!DP144+BUS!DQ144</f>
        <v>0</v>
      </c>
      <c r="AP33" s="43">
        <f>+BUS!DR144+BUS!DS144+BUS!DT144</f>
        <v>0</v>
      </c>
      <c r="AQ33" s="43">
        <f>+BUS!DU144+BUS!DV144+BUS!DW144</f>
        <v>0</v>
      </c>
      <c r="AR33" s="43">
        <f>+BUS!DX144+BUS!DY144+BUS!DZ144</f>
        <v>0</v>
      </c>
      <c r="AS33" s="43">
        <f>+BUS!EA144+BUS!EB144+BUS!EC144</f>
        <v>0</v>
      </c>
      <c r="AT33" s="43">
        <f>+BUS!ED144+BUS!EE144+BUS!EF144</f>
        <v>0</v>
      </c>
      <c r="AU33" s="43">
        <f>+BUS!EH144+BUS!EI144+BUS!EG144</f>
        <v>0</v>
      </c>
      <c r="AV33" s="43">
        <f>+BUS!EK144+BUS!EL144+BUS!EJ144</f>
        <v>0</v>
      </c>
      <c r="AW33" s="43">
        <f>+BUS!EN144+BUS!EO144+BUS!EM144</f>
        <v>0</v>
      </c>
      <c r="AX33" s="43">
        <f>+BUS!EQ144+BUS!ER144+BUS!EP144</f>
        <v>0</v>
      </c>
      <c r="AY33" s="43">
        <f>+BUS!ET144+BUS!EU144+BUS!ES144</f>
        <v>0</v>
      </c>
      <c r="AZ33" s="43">
        <f>+BUS!EW144+BUS!EX144+BUS!EV144</f>
        <v>0</v>
      </c>
      <c r="BA33" s="43">
        <f>+BUS!EZ144+BUS!FA144+BUS!EY144</f>
        <v>0</v>
      </c>
      <c r="BB33" s="43">
        <f>+BUS!FC144+BUS!FD144+BUS!FB144</f>
        <v>0</v>
      </c>
      <c r="BC33" s="43">
        <f>+BUS!FF144+BUS!FG144+BUS!FE144</f>
        <v>0</v>
      </c>
      <c r="BD33" s="43">
        <f>+BUS!FI144+BUS!FJ144+BUS!FH144</f>
        <v>0</v>
      </c>
      <c r="BE33" s="43">
        <f>+BUS!FL144+BUS!FM144+BUS!FK144</f>
        <v>0</v>
      </c>
      <c r="BF33" s="225">
        <f t="shared" si="0"/>
        <v>0</v>
      </c>
    </row>
    <row r="34" spans="1:59" ht="20.25" customHeight="1" thickBot="1">
      <c r="A34" s="137">
        <v>31</v>
      </c>
      <c r="B34" s="43">
        <f>+BUS!B145+BUS!C145+BUS!D145</f>
        <v>0</v>
      </c>
      <c r="C34" s="43">
        <f>+BUS!E145+BUS!F145+BUS!G145</f>
        <v>0</v>
      </c>
      <c r="D34" s="43">
        <f>+BUS!H145+BUS!I145+BUS!J145</f>
        <v>0</v>
      </c>
      <c r="E34" s="43">
        <f>+BUS!K145+BUS!L145+BUS!M145</f>
        <v>0</v>
      </c>
      <c r="F34" s="43">
        <f>+BUS!N145+BUS!O145+BUS!P145</f>
        <v>0</v>
      </c>
      <c r="G34" s="43">
        <f>+BUS!Q145+BUS!R145+BUS!S145</f>
        <v>0</v>
      </c>
      <c r="H34" s="43">
        <f>+BUS!T145+BUS!U145+BUS!V145</f>
        <v>0</v>
      </c>
      <c r="I34" s="43">
        <f>+BUS!W145+BUS!X145+BUS!Y145</f>
        <v>0</v>
      </c>
      <c r="J34" s="43">
        <f>+BUS!Z145+BUS!AA145+BUS!AB145</f>
        <v>0</v>
      </c>
      <c r="K34" s="43">
        <f>+BUS!AC145+BUS!AD145+BUS!AE145</f>
        <v>0</v>
      </c>
      <c r="L34" s="43">
        <f>+BUS!AF145+BUS!AG145+BUS!AH145</f>
        <v>0</v>
      </c>
      <c r="M34" s="43">
        <f>+BUS!AI145+BUS!AJ145+BUS!AK145</f>
        <v>0</v>
      </c>
      <c r="N34" s="43">
        <f>+BUS!AL145+BUS!AM145+BUS!AN145</f>
        <v>0</v>
      </c>
      <c r="O34" s="43">
        <f>+BUS!AO145+BUS!AP145+BUS!AQ145</f>
        <v>0</v>
      </c>
      <c r="P34" s="43">
        <f>+BUS!AR145+BUS!AS145+BUS!AT145</f>
        <v>0</v>
      </c>
      <c r="Q34" s="43">
        <f>+BUS!AU145+BUS!AV145+BUS!AW145</f>
        <v>0</v>
      </c>
      <c r="R34" s="43">
        <f>+BUS!AX145+BUS!AY145+BUS!AZ145</f>
        <v>0</v>
      </c>
      <c r="S34" s="43">
        <f>+BUS!BA145+BUS!BB145+BUS!BC145</f>
        <v>0</v>
      </c>
      <c r="T34" s="43">
        <f>+BUS!BD145+BUS!BE145+BUS!BF145</f>
        <v>0</v>
      </c>
      <c r="U34" s="43">
        <f>+BUS!BG145+BUS!BH145+BUS!BI145</f>
        <v>0</v>
      </c>
      <c r="V34" s="43">
        <f>+BUS!BJ145+BUS!BK145+BUS!BL145</f>
        <v>0</v>
      </c>
      <c r="W34" s="43">
        <f>+BUS!BM145+BUS!BN145+BUS!BO145</f>
        <v>0</v>
      </c>
      <c r="X34" s="43">
        <f>+BUS!BP145+BUS!BQ145+BUS!BR145</f>
        <v>0</v>
      </c>
      <c r="Y34" s="43">
        <f>+BUS!BS145+BUS!BT145+BUS!BU145</f>
        <v>0</v>
      </c>
      <c r="Z34" s="43">
        <f>+BUS!BV145+BUS!BW145+BUS!BX145</f>
        <v>0</v>
      </c>
      <c r="AA34" s="43">
        <f>+BUS!BY145+BUS!BZ145+BUS!CA145</f>
        <v>0</v>
      </c>
      <c r="AB34" s="43">
        <f>+BUS!CB145+BUS!CC145+BUS!CD145</f>
        <v>0</v>
      </c>
      <c r="AC34" s="43">
        <f>+BUS!CE145+BUS!CF145+BUS!CG145</f>
        <v>0</v>
      </c>
      <c r="AD34" s="43">
        <f>+BUS!CH145+BUS!CI145+BUS!CJ145</f>
        <v>0</v>
      </c>
      <c r="AE34" s="43">
        <f>+BUS!CK145+BUS!CL145+BUS!CM145</f>
        <v>0</v>
      </c>
      <c r="AF34" s="43">
        <f>+BUS!CN145+BUS!CO145+BUS!CP145</f>
        <v>0</v>
      </c>
      <c r="AG34" s="43">
        <f>+BUS!CQ145+BUS!CR145+BUS!CS145</f>
        <v>0</v>
      </c>
      <c r="AH34" s="43">
        <f>+BUS!CT145+BUS!CU145+BUS!CV145</f>
        <v>0</v>
      </c>
      <c r="AI34" s="43">
        <f>+BUS!CW145+BUS!CX145+BUS!CY145</f>
        <v>0</v>
      </c>
      <c r="AJ34" s="43">
        <f>+BUS!CZ145+BUS!DA145+BUS!DB145</f>
        <v>0</v>
      </c>
      <c r="AK34" s="43">
        <f>+BUS!DC145+BUS!DD145+BUS!DE145</f>
        <v>0</v>
      </c>
      <c r="AL34" s="43">
        <f>+BUS!DF145+BUS!DG145+BUS!DH145</f>
        <v>0</v>
      </c>
      <c r="AM34" s="43">
        <f>+BUS!DI145+BUS!DJ145+BUS!DK145</f>
        <v>0</v>
      </c>
      <c r="AN34" s="43">
        <f>+BUS!DL145+BUS!DM145+BUS!DN145</f>
        <v>0</v>
      </c>
      <c r="AO34" s="43">
        <f>+BUS!DO145+BUS!DP145+BUS!DQ145</f>
        <v>0</v>
      </c>
      <c r="AP34" s="43">
        <f>+BUS!DR145+BUS!DS145+BUS!DT145</f>
        <v>0</v>
      </c>
      <c r="AQ34" s="43">
        <f>+BUS!DU145+BUS!DV145+BUS!DW145</f>
        <v>0</v>
      </c>
      <c r="AR34" s="43">
        <f>+BUS!DX145+BUS!DY145+BUS!DZ145</f>
        <v>0</v>
      </c>
      <c r="AS34" s="43">
        <f>+BUS!EA145+BUS!EB145+BUS!EC145</f>
        <v>0</v>
      </c>
      <c r="AT34" s="43">
        <f>+BUS!ED145+BUS!EE145+BUS!EF145</f>
        <v>0</v>
      </c>
      <c r="AU34" s="43">
        <f>+BUS!EH145+BUS!EI145+BUS!EG145</f>
        <v>0</v>
      </c>
      <c r="AV34" s="43">
        <f>+BUS!EK145+BUS!EL145+BUS!EJ145</f>
        <v>0</v>
      </c>
      <c r="AW34" s="43">
        <f>+BUS!EN145+BUS!EO145+BUS!EM145</f>
        <v>0</v>
      </c>
      <c r="AX34" s="43">
        <f>+BUS!EQ145+BUS!ER145+BUS!EP145</f>
        <v>0</v>
      </c>
      <c r="AY34" s="43">
        <f>+BUS!ET145+BUS!EU145+BUS!ES145</f>
        <v>0</v>
      </c>
      <c r="AZ34" s="43">
        <f>+BUS!EW145+BUS!EX145+BUS!EV145</f>
        <v>0</v>
      </c>
      <c r="BA34" s="43">
        <f>+BUS!EZ145+BUS!FA145+BUS!EY145</f>
        <v>0</v>
      </c>
      <c r="BB34" s="43">
        <f>+BUS!FC145+BUS!FD145+BUS!FB145</f>
        <v>0</v>
      </c>
      <c r="BC34" s="43">
        <f>+BUS!FF145+BUS!FG145+BUS!FE145</f>
        <v>0</v>
      </c>
      <c r="BD34" s="43">
        <f>+BUS!FI145+BUS!FJ145+BUS!FH145</f>
        <v>0</v>
      </c>
      <c r="BE34" s="43">
        <f>+BUS!FL145+BUS!FM145+BUS!FK145</f>
        <v>0</v>
      </c>
      <c r="BF34" s="225">
        <f>SUM(B34:BE34)</f>
        <v>0</v>
      </c>
    </row>
    <row r="35" spans="1:59" ht="17.25" customHeight="1" thickBot="1">
      <c r="A35" s="220"/>
      <c r="B35" s="32">
        <f>SUM(B3:B34)</f>
        <v>0</v>
      </c>
      <c r="C35" s="32">
        <f t="shared" ref="C35:BF35" si="1">SUM(C3:C34)</f>
        <v>0</v>
      </c>
      <c r="D35" s="32">
        <f t="shared" si="1"/>
        <v>0</v>
      </c>
      <c r="E35" s="32">
        <f t="shared" si="1"/>
        <v>0</v>
      </c>
      <c r="F35" s="32">
        <f t="shared" si="1"/>
        <v>0</v>
      </c>
      <c r="G35" s="32">
        <f t="shared" si="1"/>
        <v>0</v>
      </c>
      <c r="H35" s="32">
        <f t="shared" si="1"/>
        <v>0</v>
      </c>
      <c r="I35" s="32">
        <f t="shared" si="1"/>
        <v>0</v>
      </c>
      <c r="J35" s="32">
        <f t="shared" si="1"/>
        <v>0</v>
      </c>
      <c r="K35" s="32">
        <f t="shared" si="1"/>
        <v>0</v>
      </c>
      <c r="L35" s="32">
        <f t="shared" si="1"/>
        <v>0</v>
      </c>
      <c r="M35" s="32">
        <f t="shared" si="1"/>
        <v>0</v>
      </c>
      <c r="N35" s="32">
        <f t="shared" si="1"/>
        <v>0</v>
      </c>
      <c r="O35" s="32">
        <f t="shared" si="1"/>
        <v>0</v>
      </c>
      <c r="P35" s="32">
        <f t="shared" si="1"/>
        <v>0</v>
      </c>
      <c r="Q35" s="32">
        <f t="shared" si="1"/>
        <v>0</v>
      </c>
      <c r="R35" s="32">
        <f t="shared" si="1"/>
        <v>0</v>
      </c>
      <c r="S35" s="32">
        <f t="shared" si="1"/>
        <v>0</v>
      </c>
      <c r="T35" s="32">
        <f t="shared" si="1"/>
        <v>0</v>
      </c>
      <c r="U35" s="32">
        <f t="shared" si="1"/>
        <v>0</v>
      </c>
      <c r="V35" s="32">
        <f t="shared" si="1"/>
        <v>0</v>
      </c>
      <c r="W35" s="32">
        <f t="shared" si="1"/>
        <v>0</v>
      </c>
      <c r="X35" s="32">
        <f t="shared" si="1"/>
        <v>0</v>
      </c>
      <c r="Y35" s="32">
        <f t="shared" si="1"/>
        <v>0</v>
      </c>
      <c r="Z35" s="32">
        <f t="shared" si="1"/>
        <v>0</v>
      </c>
      <c r="AA35" s="32">
        <f t="shared" si="1"/>
        <v>0</v>
      </c>
      <c r="AB35" s="32">
        <f t="shared" si="1"/>
        <v>0</v>
      </c>
      <c r="AC35" s="32">
        <f t="shared" si="1"/>
        <v>0</v>
      </c>
      <c r="AD35" s="32">
        <f t="shared" si="1"/>
        <v>0</v>
      </c>
      <c r="AE35" s="32">
        <f t="shared" si="1"/>
        <v>0</v>
      </c>
      <c r="AF35" s="32">
        <f t="shared" si="1"/>
        <v>0</v>
      </c>
      <c r="AG35" s="32">
        <f t="shared" si="1"/>
        <v>0</v>
      </c>
      <c r="AH35" s="32">
        <f t="shared" si="1"/>
        <v>0</v>
      </c>
      <c r="AI35" s="32">
        <f t="shared" si="1"/>
        <v>0</v>
      </c>
      <c r="AJ35" s="32">
        <f t="shared" si="1"/>
        <v>0</v>
      </c>
      <c r="AK35" s="32">
        <f t="shared" ref="AK35:BE35" si="2">SUM(AK3:AK34)</f>
        <v>0</v>
      </c>
      <c r="AL35" s="32">
        <f t="shared" si="2"/>
        <v>0</v>
      </c>
      <c r="AM35" s="32">
        <f t="shared" si="2"/>
        <v>0</v>
      </c>
      <c r="AN35" s="32">
        <f t="shared" si="2"/>
        <v>0</v>
      </c>
      <c r="AO35" s="32">
        <f t="shared" si="2"/>
        <v>0</v>
      </c>
      <c r="AP35" s="32">
        <f t="shared" si="2"/>
        <v>0</v>
      </c>
      <c r="AQ35" s="32">
        <f t="shared" si="2"/>
        <v>0</v>
      </c>
      <c r="AR35" s="32">
        <f t="shared" si="2"/>
        <v>0</v>
      </c>
      <c r="AS35" s="32">
        <f t="shared" si="2"/>
        <v>0</v>
      </c>
      <c r="AT35" s="32">
        <f t="shared" si="2"/>
        <v>0</v>
      </c>
      <c r="AU35" s="32">
        <f t="shared" si="2"/>
        <v>0</v>
      </c>
      <c r="AV35" s="32">
        <f t="shared" si="2"/>
        <v>0</v>
      </c>
      <c r="AW35" s="32">
        <f t="shared" si="2"/>
        <v>0</v>
      </c>
      <c r="AX35" s="32">
        <f t="shared" si="2"/>
        <v>0</v>
      </c>
      <c r="AY35" s="32">
        <f t="shared" si="2"/>
        <v>0</v>
      </c>
      <c r="AZ35" s="32">
        <f t="shared" si="2"/>
        <v>0</v>
      </c>
      <c r="BA35" s="32">
        <f t="shared" si="2"/>
        <v>0</v>
      </c>
      <c r="BB35" s="32">
        <f t="shared" si="2"/>
        <v>0</v>
      </c>
      <c r="BC35" s="32">
        <f t="shared" si="2"/>
        <v>0</v>
      </c>
      <c r="BD35" s="32">
        <f t="shared" si="2"/>
        <v>0</v>
      </c>
      <c r="BE35" s="32">
        <f t="shared" si="2"/>
        <v>0</v>
      </c>
      <c r="BF35" s="113">
        <f t="shared" si="1"/>
        <v>0</v>
      </c>
    </row>
    <row r="36" spans="1:59" ht="13.5" customHeight="1" thickBot="1">
      <c r="A36" s="216"/>
    </row>
    <row r="37" spans="1:59" ht="31.5" customHeight="1" thickBot="1">
      <c r="A37" s="221"/>
      <c r="B37" s="530" t="s">
        <v>80</v>
      </c>
      <c r="C37" s="531"/>
      <c r="D37" s="531"/>
      <c r="E37" s="531"/>
      <c r="F37" s="531"/>
      <c r="G37" s="531"/>
      <c r="H37" s="531"/>
      <c r="I37" s="531"/>
      <c r="J37" s="531"/>
      <c r="K37" s="531"/>
      <c r="L37" s="532"/>
      <c r="M37" s="533">
        <v>0</v>
      </c>
      <c r="N37" s="534"/>
      <c r="O37" s="534"/>
      <c r="P37" s="535"/>
      <c r="S37" s="536" t="s">
        <v>81</v>
      </c>
      <c r="T37" s="537"/>
      <c r="U37" s="537"/>
      <c r="V37" s="537"/>
      <c r="W37" s="537"/>
      <c r="X37" s="537"/>
      <c r="Y37" s="537"/>
      <c r="Z37" s="538"/>
      <c r="AA37" s="546">
        <f>+BF35</f>
        <v>0</v>
      </c>
      <c r="AB37" s="547"/>
      <c r="AC37" s="547"/>
      <c r="AD37" s="547"/>
      <c r="AE37" s="547"/>
      <c r="AF37" s="547"/>
      <c r="AG37" s="547"/>
      <c r="AH37" s="547"/>
      <c r="AI37" s="547"/>
      <c r="AJ37" s="547"/>
      <c r="AK37" s="548"/>
      <c r="BG37" s="216"/>
    </row>
    <row r="38" spans="1:59" ht="27" customHeight="1" thickBot="1">
      <c r="A38" s="221"/>
      <c r="B38" s="530" t="s">
        <v>82</v>
      </c>
      <c r="C38" s="531"/>
      <c r="D38" s="531"/>
      <c r="E38" s="531"/>
      <c r="F38" s="531"/>
      <c r="G38" s="531"/>
      <c r="H38" s="531"/>
      <c r="I38" s="531"/>
      <c r="J38" s="531"/>
      <c r="K38" s="531"/>
      <c r="L38" s="532"/>
      <c r="M38" s="533">
        <f>+BUS!HD182</f>
        <v>0</v>
      </c>
      <c r="N38" s="534"/>
      <c r="O38" s="534"/>
      <c r="P38" s="535"/>
      <c r="S38" s="539"/>
      <c r="T38" s="540"/>
      <c r="U38" s="540"/>
      <c r="V38" s="540"/>
      <c r="W38" s="540"/>
      <c r="X38" s="540"/>
      <c r="Y38" s="540"/>
      <c r="Z38" s="541"/>
      <c r="AA38" s="549"/>
      <c r="AB38" s="550"/>
      <c r="AC38" s="550"/>
      <c r="AD38" s="550"/>
      <c r="AE38" s="550"/>
      <c r="AF38" s="550"/>
      <c r="AG38" s="550"/>
      <c r="AH38" s="550"/>
      <c r="AI38" s="550"/>
      <c r="AJ38" s="550"/>
      <c r="AK38" s="551"/>
      <c r="BG38" s="216"/>
    </row>
    <row r="39" spans="1:59" ht="27.75" customHeight="1" thickBot="1">
      <c r="A39" s="221"/>
      <c r="B39" s="530" t="s">
        <v>83</v>
      </c>
      <c r="C39" s="531"/>
      <c r="D39" s="531"/>
      <c r="E39" s="531"/>
      <c r="F39" s="531"/>
      <c r="G39" s="531"/>
      <c r="H39" s="531"/>
      <c r="I39" s="531"/>
      <c r="J39" s="531"/>
      <c r="K39" s="531"/>
      <c r="L39" s="532"/>
      <c r="M39" s="533">
        <f>+BUS!HE182</f>
        <v>0</v>
      </c>
      <c r="N39" s="534"/>
      <c r="O39" s="534"/>
      <c r="P39" s="535"/>
      <c r="S39" s="564" t="s">
        <v>84</v>
      </c>
      <c r="T39" s="565"/>
      <c r="U39" s="565"/>
      <c r="V39" s="565"/>
      <c r="W39" s="565"/>
      <c r="X39" s="565"/>
      <c r="Y39" s="565"/>
      <c r="Z39" s="566"/>
      <c r="AA39" s="552" t="e">
        <f>+M42/'RETAION-BUS'!M40</f>
        <v>#DIV/0!</v>
      </c>
      <c r="AB39" s="553"/>
      <c r="AC39" s="553"/>
      <c r="AD39" s="553"/>
      <c r="AE39" s="553"/>
      <c r="AF39" s="553"/>
      <c r="AG39" s="553"/>
      <c r="AH39" s="553"/>
      <c r="AI39" s="553"/>
      <c r="AJ39" s="553"/>
      <c r="AK39" s="554"/>
      <c r="BG39" s="216"/>
    </row>
    <row r="40" spans="1:59" ht="28.5" customHeight="1" thickBot="1">
      <c r="A40" s="216"/>
      <c r="B40" s="530" t="s">
        <v>85</v>
      </c>
      <c r="C40" s="531"/>
      <c r="D40" s="531"/>
      <c r="E40" s="531"/>
      <c r="F40" s="531"/>
      <c r="G40" s="531"/>
      <c r="H40" s="531"/>
      <c r="I40" s="531"/>
      <c r="J40" s="531"/>
      <c r="K40" s="531"/>
      <c r="L40" s="532"/>
      <c r="M40" s="533">
        <f>+BUS!HF182</f>
        <v>0</v>
      </c>
      <c r="N40" s="534"/>
      <c r="O40" s="534"/>
      <c r="P40" s="535"/>
      <c r="S40" s="567"/>
      <c r="T40" s="568"/>
      <c r="U40" s="568"/>
      <c r="V40" s="568"/>
      <c r="W40" s="568"/>
      <c r="X40" s="568"/>
      <c r="Y40" s="568"/>
      <c r="Z40" s="569"/>
      <c r="AA40" s="555"/>
      <c r="AB40" s="556"/>
      <c r="AC40" s="556"/>
      <c r="AD40" s="556"/>
      <c r="AE40" s="556"/>
      <c r="AF40" s="556"/>
      <c r="AG40" s="556"/>
      <c r="AH40" s="556"/>
      <c r="AI40" s="556"/>
      <c r="AJ40" s="556"/>
      <c r="AK40" s="557"/>
      <c r="BG40" s="216"/>
    </row>
    <row r="41" spans="1:59" ht="28.5" customHeight="1" thickBot="1">
      <c r="A41" s="216"/>
      <c r="B41" s="530" t="s">
        <v>86</v>
      </c>
      <c r="C41" s="531"/>
      <c r="D41" s="531"/>
      <c r="E41" s="531"/>
      <c r="F41" s="531"/>
      <c r="G41" s="531"/>
      <c r="H41" s="531"/>
      <c r="I41" s="531"/>
      <c r="J41" s="531"/>
      <c r="K41" s="531"/>
      <c r="L41" s="532"/>
      <c r="M41" s="533">
        <v>0</v>
      </c>
      <c r="N41" s="534"/>
      <c r="O41" s="534"/>
      <c r="P41" s="535"/>
      <c r="S41" s="558" t="s">
        <v>87</v>
      </c>
      <c r="T41" s="559"/>
      <c r="U41" s="559"/>
      <c r="V41" s="559"/>
      <c r="W41" s="559"/>
      <c r="X41" s="559"/>
      <c r="Y41" s="559"/>
      <c r="Z41" s="560"/>
      <c r="AA41" s="552">
        <f>+AA37/3386987</f>
        <v>0</v>
      </c>
      <c r="AB41" s="553"/>
      <c r="AC41" s="553"/>
      <c r="AD41" s="553"/>
      <c r="AE41" s="553"/>
      <c r="AF41" s="553"/>
      <c r="AG41" s="553"/>
      <c r="AH41" s="553"/>
      <c r="AI41" s="553"/>
      <c r="AJ41" s="553"/>
      <c r="AK41" s="554"/>
      <c r="BG41" s="216"/>
    </row>
    <row r="42" spans="1:59" ht="35.25" customHeight="1" thickBot="1">
      <c r="A42" s="216"/>
      <c r="B42" s="542" t="s">
        <v>88</v>
      </c>
      <c r="C42" s="543"/>
      <c r="D42" s="543"/>
      <c r="E42" s="543"/>
      <c r="F42" s="543"/>
      <c r="G42" s="543"/>
      <c r="H42" s="543"/>
      <c r="I42" s="543"/>
      <c r="J42" s="543"/>
      <c r="K42" s="543"/>
      <c r="L42" s="544"/>
      <c r="M42" s="533">
        <f>SUM(M37:P41)</f>
        <v>0</v>
      </c>
      <c r="N42" s="534"/>
      <c r="O42" s="534"/>
      <c r="P42" s="535"/>
      <c r="S42" s="561"/>
      <c r="T42" s="562"/>
      <c r="U42" s="562"/>
      <c r="V42" s="562"/>
      <c r="W42" s="562"/>
      <c r="X42" s="562"/>
      <c r="Y42" s="562"/>
      <c r="Z42" s="563"/>
      <c r="AA42" s="555"/>
      <c r="AB42" s="556"/>
      <c r="AC42" s="556"/>
      <c r="AD42" s="556"/>
      <c r="AE42" s="556"/>
      <c r="AF42" s="556"/>
      <c r="AG42" s="556"/>
      <c r="AH42" s="556"/>
      <c r="AI42" s="556"/>
      <c r="AJ42" s="556"/>
      <c r="AK42" s="557"/>
      <c r="BG42" s="216"/>
    </row>
    <row r="43" spans="1:59" ht="13.5" customHeight="1">
      <c r="A43" s="216"/>
      <c r="BG43" s="216"/>
    </row>
    <row r="44" spans="1:59" ht="13.5" customHeight="1">
      <c r="A44" s="216"/>
    </row>
    <row r="45" spans="1:59" ht="15.75" thickBot="1"/>
    <row r="46" spans="1:59" ht="27" thickBot="1">
      <c r="A46" s="527"/>
      <c r="B46" s="528"/>
      <c r="C46" s="528"/>
      <c r="D46" s="528"/>
      <c r="E46" s="528"/>
      <c r="F46" s="528"/>
      <c r="G46" s="528"/>
      <c r="H46" s="528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Y46" s="528"/>
      <c r="Z46" s="528"/>
      <c r="AA46" s="528"/>
      <c r="AB46" s="528"/>
      <c r="AC46" s="528"/>
      <c r="AD46" s="528"/>
      <c r="AE46" s="528"/>
      <c r="AF46" s="528"/>
      <c r="AG46" s="528"/>
      <c r="AH46" s="528"/>
      <c r="AI46" s="528"/>
      <c r="AJ46" s="528"/>
      <c r="AK46" s="545"/>
      <c r="AL46" s="545"/>
      <c r="AM46" s="545"/>
      <c r="AN46" s="545"/>
      <c r="AO46" s="528"/>
      <c r="AP46" s="545"/>
      <c r="AQ46" s="545"/>
      <c r="AR46" s="545"/>
      <c r="AS46" s="545"/>
      <c r="AT46" s="545"/>
      <c r="AU46" s="545"/>
      <c r="AV46" s="545"/>
      <c r="AW46" s="545"/>
      <c r="AX46" s="545"/>
      <c r="AY46" s="545"/>
      <c r="AZ46" s="545"/>
      <c r="BA46" s="545"/>
      <c r="BB46" s="545"/>
      <c r="BC46" s="545"/>
      <c r="BD46" s="545"/>
      <c r="BE46" s="545"/>
      <c r="BF46" s="529"/>
    </row>
    <row r="47" spans="1:59" ht="15.75" thickBot="1">
      <c r="A47" s="217" t="s">
        <v>2</v>
      </c>
      <c r="B47" s="218" t="s">
        <v>3</v>
      </c>
      <c r="C47" s="219" t="s">
        <v>4</v>
      </c>
      <c r="D47" s="219" t="s">
        <v>5</v>
      </c>
      <c r="E47" s="219" t="s">
        <v>6</v>
      </c>
      <c r="F47" s="219" t="s">
        <v>7</v>
      </c>
      <c r="G47" s="219" t="s">
        <v>8</v>
      </c>
      <c r="H47" s="219" t="s">
        <v>9</v>
      </c>
      <c r="I47" s="219" t="s">
        <v>10</v>
      </c>
      <c r="J47" s="219" t="s">
        <v>11</v>
      </c>
      <c r="K47" s="219" t="s">
        <v>12</v>
      </c>
      <c r="L47" s="219" t="s">
        <v>13</v>
      </c>
      <c r="M47" s="219" t="s">
        <v>14</v>
      </c>
      <c r="N47" s="219" t="s">
        <v>15</v>
      </c>
      <c r="O47" s="219" t="s">
        <v>16</v>
      </c>
      <c r="P47" s="219" t="s">
        <v>17</v>
      </c>
      <c r="Q47" s="219" t="s">
        <v>18</v>
      </c>
      <c r="R47" s="219" t="s">
        <v>19</v>
      </c>
      <c r="S47" s="219" t="s">
        <v>20</v>
      </c>
      <c r="T47" s="219" t="s">
        <v>21</v>
      </c>
      <c r="U47" s="219" t="s">
        <v>22</v>
      </c>
      <c r="V47" s="219" t="s">
        <v>23</v>
      </c>
      <c r="W47" s="219" t="s">
        <v>24</v>
      </c>
      <c r="X47" s="219" t="s">
        <v>25</v>
      </c>
      <c r="Y47" s="219" t="s">
        <v>26</v>
      </c>
      <c r="Z47" s="219" t="s">
        <v>27</v>
      </c>
      <c r="AA47" s="219" t="s">
        <v>28</v>
      </c>
      <c r="AB47" s="219" t="s">
        <v>29</v>
      </c>
      <c r="AC47" s="219" t="s">
        <v>30</v>
      </c>
      <c r="AD47" s="219" t="s">
        <v>31</v>
      </c>
      <c r="AE47" s="224" t="s">
        <v>32</v>
      </c>
      <c r="AF47" s="224" t="s">
        <v>33</v>
      </c>
      <c r="AG47" s="224" t="s">
        <v>34</v>
      </c>
      <c r="AH47" s="224" t="s">
        <v>35</v>
      </c>
      <c r="AI47" s="224" t="s">
        <v>36</v>
      </c>
      <c r="AJ47" s="224" t="s">
        <v>37</v>
      </c>
      <c r="AK47" s="399" t="s">
        <v>147</v>
      </c>
      <c r="AL47" s="399" t="s">
        <v>148</v>
      </c>
      <c r="AM47" s="399" t="s">
        <v>149</v>
      </c>
      <c r="AN47" s="399" t="s">
        <v>150</v>
      </c>
      <c r="AO47" s="398" t="s">
        <v>151</v>
      </c>
      <c r="AP47" s="399" t="s">
        <v>152</v>
      </c>
      <c r="AQ47" s="399" t="s">
        <v>153</v>
      </c>
      <c r="AR47" s="399" t="s">
        <v>154</v>
      </c>
      <c r="AS47" s="399" t="s">
        <v>155</v>
      </c>
      <c r="AT47" s="399" t="s">
        <v>156</v>
      </c>
      <c r="AU47" s="399" t="s">
        <v>157</v>
      </c>
      <c r="AV47" s="399" t="s">
        <v>158</v>
      </c>
      <c r="AW47" s="399" t="s">
        <v>159</v>
      </c>
      <c r="AX47" s="399" t="s">
        <v>160</v>
      </c>
      <c r="AY47" s="399" t="s">
        <v>161</v>
      </c>
      <c r="AZ47" s="399" t="s">
        <v>162</v>
      </c>
      <c r="BA47" s="399" t="s">
        <v>163</v>
      </c>
      <c r="BB47" s="399" t="s">
        <v>164</v>
      </c>
      <c r="BC47" s="399" t="s">
        <v>165</v>
      </c>
      <c r="BD47" s="399" t="s">
        <v>166</v>
      </c>
      <c r="BE47" s="399" t="s">
        <v>167</v>
      </c>
      <c r="BF47" s="226" t="s">
        <v>56</v>
      </c>
    </row>
    <row r="48" spans="1:59" ht="21" customHeight="1" thickBot="1">
      <c r="A48" s="154">
        <v>1</v>
      </c>
      <c r="B48" s="222">
        <f>+BUS!B151+BUS!C151+BUS!D151</f>
        <v>0</v>
      </c>
      <c r="C48" s="223">
        <f>+BUS!E151+BUS!F151+BUS!G151</f>
        <v>0</v>
      </c>
      <c r="D48" s="223">
        <f>+BUS!H151+BUS!I151+BUS!J151</f>
        <v>0</v>
      </c>
      <c r="E48" s="223">
        <f>+BUS!K151+BUS!L151+BUS!M151</f>
        <v>0</v>
      </c>
      <c r="F48" s="223">
        <f>+BUS!N151+BUS!O151+BUS!P151</f>
        <v>0</v>
      </c>
      <c r="G48" s="223">
        <f>+BUS!Q151+BUS!R151+BUS!S151</f>
        <v>0</v>
      </c>
      <c r="H48" s="223">
        <f>+BUS!T151+BUS!U151+BUS!V151</f>
        <v>0</v>
      </c>
      <c r="I48" s="223">
        <f>+BUS!W151+BUS!X151+BUS!Y151</f>
        <v>0</v>
      </c>
      <c r="J48" s="223">
        <f>+BUS!Z151+BUS!AA151+BUS!AB151</f>
        <v>0</v>
      </c>
      <c r="K48" s="223">
        <f>+BUS!AC151+BUS!AD151+BUS!AE151</f>
        <v>0</v>
      </c>
      <c r="L48" s="223">
        <f>+BUS!AF151+BUS!AG151+BUS!AH151</f>
        <v>0</v>
      </c>
      <c r="M48" s="223">
        <f>+BUS!AI151+BUS!AJ151+BUS!AK151</f>
        <v>0</v>
      </c>
      <c r="N48" s="223">
        <f>+BUS!AL151+BUS!AM151+BUS!AN151</f>
        <v>0</v>
      </c>
      <c r="O48" s="223">
        <f>+BUS!AO151+BUS!AP151+BUS!AQ151</f>
        <v>0</v>
      </c>
      <c r="P48" s="223">
        <f>+BUS!AR151+BUS!AS151+BUS!AT151</f>
        <v>0</v>
      </c>
      <c r="Q48" s="223">
        <f>+BUS!AU151+BUS!AV151+BUS!AW151</f>
        <v>0</v>
      </c>
      <c r="R48" s="223">
        <f>+BUS!AX151+BUS!AY151+BUS!AZ151</f>
        <v>0</v>
      </c>
      <c r="S48" s="223">
        <f>+BUS!BA151+BUS!BB151+BUS!BC151</f>
        <v>0</v>
      </c>
      <c r="T48" s="223">
        <f>+BUS!BD151+BUS!BE151+BUS!BF151</f>
        <v>0</v>
      </c>
      <c r="U48" s="223">
        <f>+BUS!BG151+BUS!BH151+BUS!BI151</f>
        <v>0</v>
      </c>
      <c r="V48" s="223">
        <f>+BUS!BJ151+BUS!BK151+BUS!BL151</f>
        <v>0</v>
      </c>
      <c r="W48" s="223">
        <f>+BUS!BM151+BUS!BN151+BUS!BO151</f>
        <v>0</v>
      </c>
      <c r="X48" s="223">
        <f>+BUS!BP151+BUS!BQ151+BUS!BR151</f>
        <v>0</v>
      </c>
      <c r="Y48" s="223">
        <f>+BUS!BS151+BUS!BT151+BUS!BU151</f>
        <v>0</v>
      </c>
      <c r="Z48" s="223">
        <f>+BUS!BV151+BUS!BW151+BUS!BX151</f>
        <v>0</v>
      </c>
      <c r="AA48" s="223">
        <f>+BUS!BY151+BUS!BZ151+BUS!CA151</f>
        <v>0</v>
      </c>
      <c r="AB48" s="223">
        <f>+BUS!CB151+BUS!CC151+BUS!CD151</f>
        <v>0</v>
      </c>
      <c r="AC48" s="223">
        <f>+BUS!CE151+BUS!CF151+BUS!CG151</f>
        <v>0</v>
      </c>
      <c r="AD48" s="223">
        <f>+BUS!CH151+BUS!CI151+BUS!CJ151</f>
        <v>0</v>
      </c>
      <c r="AE48" s="223">
        <f>+BUS!CK151+BUS!CL151+BUS!CM151</f>
        <v>0</v>
      </c>
      <c r="AF48" s="223">
        <f>+BUS!CN151+BUS!CO151+BUS!CP151</f>
        <v>0</v>
      </c>
      <c r="AG48" s="223">
        <f>+BUS!CQ151+BUS!CR151+BUS!CS151</f>
        <v>0</v>
      </c>
      <c r="AH48" s="223">
        <f>+BUS!CT151+BUS!CU151+BUS!CV151</f>
        <v>0</v>
      </c>
      <c r="AI48" s="223">
        <f>+BUS!CW151+BUS!CX151+BUS!CY151</f>
        <v>0</v>
      </c>
      <c r="AJ48" s="223">
        <f>+BUS!CZ151+BUS!DA151+BUS!DB151</f>
        <v>0</v>
      </c>
      <c r="AK48" s="43">
        <f>+BUS!DC151+BUS!DD151+BUS!DE151</f>
        <v>0</v>
      </c>
      <c r="AL48" s="43">
        <f>+BUS!DF151+BUS!DG151+BUS!DH151</f>
        <v>0</v>
      </c>
      <c r="AM48" s="43">
        <f>+BUS!DI151+BUS!DJ151+BUS!DK151</f>
        <v>0</v>
      </c>
      <c r="AN48" s="43">
        <f>+BUS!DL151+BUS!DM151+BUS!DN151</f>
        <v>0</v>
      </c>
      <c r="AO48" s="43">
        <f>+BUS!DO151+BUS!DP151+BUS!DQ151</f>
        <v>0</v>
      </c>
      <c r="AP48" s="43">
        <f>+BUS!DR151+BUS!DS151+BUS!DT151</f>
        <v>0</v>
      </c>
      <c r="AQ48" s="43">
        <f>+BUS!DU151+BUS!DV151+BUS!DW151</f>
        <v>0</v>
      </c>
      <c r="AR48" s="43">
        <f>+BUS!DX151+BUS!DY151+BUS!DZ151</f>
        <v>0</v>
      </c>
      <c r="AS48" s="43">
        <f>+BUS!EA151+BUS!EB151+BUS!EC151</f>
        <v>0</v>
      </c>
      <c r="AT48" s="43">
        <f>+BUS!ED151+BUS!EE151+BUS!EF151</f>
        <v>0</v>
      </c>
      <c r="AU48" s="43">
        <f>+BUS!EH151+BUS!EI151+BUS!EG151</f>
        <v>0</v>
      </c>
      <c r="AV48" s="43">
        <f>+BUS!EK151+BUS!EL151+BUS!EJ151</f>
        <v>0</v>
      </c>
      <c r="AW48" s="43">
        <f>+BUS!EN151+BUS!EO151+BUS!EM151</f>
        <v>0</v>
      </c>
      <c r="AX48" s="43">
        <f>+BUS!EQ151+BUS!ER151+BUS!EP151</f>
        <v>0</v>
      </c>
      <c r="AY48" s="43">
        <f>+BUS!ET151+BUS!EU151+BUS!ES151</f>
        <v>0</v>
      </c>
      <c r="AZ48" s="43">
        <f>+BUS!EW151+BUS!EX151+BUS!EV151</f>
        <v>0</v>
      </c>
      <c r="BA48" s="43">
        <f>+BUS!EZ151+BUS!FA151+BUS!FY151</f>
        <v>0</v>
      </c>
      <c r="BB48" s="43">
        <f>+BUS!FC151+BUS!FD151+BUS!FB151</f>
        <v>0</v>
      </c>
      <c r="BC48" s="43">
        <f>+BUS!FF151+BUS!FG151+BUS!FE151</f>
        <v>0</v>
      </c>
      <c r="BD48" s="43">
        <f>+BUS!FI151+BUS!FJ151+BUS!FH151</f>
        <v>0</v>
      </c>
      <c r="BE48" s="43">
        <f>+BUS!FL151+BUS!FM151+BUS!FK151</f>
        <v>0</v>
      </c>
      <c r="BF48" s="409">
        <f t="shared" ref="BF48:BF78" si="3">SUM(B48:AJ48)</f>
        <v>0</v>
      </c>
    </row>
    <row r="49" spans="1:59" ht="18.75" customHeight="1" thickBot="1">
      <c r="A49" s="154">
        <v>2</v>
      </c>
      <c r="B49" s="222">
        <f>+BUS!B152+BUS!C152+BUS!D152</f>
        <v>0</v>
      </c>
      <c r="C49" s="223">
        <f>+BUS!E152+BUS!F152+BUS!G152</f>
        <v>0</v>
      </c>
      <c r="D49" s="223">
        <f>+BUS!H152+BUS!I152+BUS!J152</f>
        <v>0</v>
      </c>
      <c r="E49" s="223">
        <f>+BUS!K152+BUS!L152+BUS!M152</f>
        <v>0</v>
      </c>
      <c r="F49" s="223">
        <f>+BUS!N152+BUS!O152+BUS!P152</f>
        <v>0</v>
      </c>
      <c r="G49" s="223">
        <f>+BUS!Q152+BUS!R152+BUS!S152</f>
        <v>0</v>
      </c>
      <c r="H49" s="223">
        <f>+BUS!T152+BUS!U152+BUS!V152</f>
        <v>0</v>
      </c>
      <c r="I49" s="223">
        <f>+BUS!W152+BUS!X152+BUS!Y152</f>
        <v>0</v>
      </c>
      <c r="J49" s="223">
        <f>+BUS!Z152+BUS!AA152+BUS!AB152</f>
        <v>0</v>
      </c>
      <c r="K49" s="223">
        <f>+BUS!AC152+BUS!AD152+BUS!AE152</f>
        <v>0</v>
      </c>
      <c r="L49" s="223">
        <f>+BUS!AF152+BUS!AG152+BUS!AH152</f>
        <v>0</v>
      </c>
      <c r="M49" s="223">
        <f>+BUS!AI152+BUS!AJ152+BUS!AK152</f>
        <v>0</v>
      </c>
      <c r="N49" s="223">
        <f>+BUS!AL152+BUS!AM152+BUS!AN152</f>
        <v>0</v>
      </c>
      <c r="O49" s="223">
        <f>+BUS!AO152+BUS!AP152+BUS!AQ152</f>
        <v>0</v>
      </c>
      <c r="P49" s="223">
        <f>+BUS!AR152+BUS!AS152+BUS!AT152</f>
        <v>0</v>
      </c>
      <c r="Q49" s="223">
        <f>+BUS!AU152+BUS!AV152+BUS!AW152</f>
        <v>0</v>
      </c>
      <c r="R49" s="223">
        <f>+BUS!AX152+BUS!AY152+BUS!AZ152</f>
        <v>0</v>
      </c>
      <c r="S49" s="223">
        <f>+BUS!BA152+BUS!BB152+BUS!BC152</f>
        <v>0</v>
      </c>
      <c r="T49" s="223">
        <f>+BUS!BD152+BUS!BE152+BUS!BF152</f>
        <v>0</v>
      </c>
      <c r="U49" s="223">
        <f>+BUS!BG152+BUS!BH152+BUS!BI152</f>
        <v>0</v>
      </c>
      <c r="V49" s="223">
        <f>+BUS!BJ152+BUS!BK152+BUS!BL152</f>
        <v>0</v>
      </c>
      <c r="W49" s="223">
        <f>+BUS!BM152+BUS!BN152+BUS!BO152</f>
        <v>0</v>
      </c>
      <c r="X49" s="223">
        <f>+BUS!BP152+BUS!BQ152+BUS!BR152</f>
        <v>0</v>
      </c>
      <c r="Y49" s="223">
        <f>+BUS!BS152+BUS!BT152+BUS!BU152</f>
        <v>0</v>
      </c>
      <c r="Z49" s="223">
        <f>+BUS!BV152+BUS!BW152+BUS!BX152</f>
        <v>0</v>
      </c>
      <c r="AA49" s="223">
        <f>+BUS!BY152+BUS!BZ152+BUS!CA152</f>
        <v>0</v>
      </c>
      <c r="AB49" s="223">
        <f>+BUS!CB152+BUS!CC152+BUS!CD152</f>
        <v>0</v>
      </c>
      <c r="AC49" s="223">
        <f>+BUS!CE152+BUS!CF152+BUS!CG152</f>
        <v>0</v>
      </c>
      <c r="AD49" s="223">
        <f>+BUS!CH152+BUS!CI152+BUS!CJ152</f>
        <v>0</v>
      </c>
      <c r="AE49" s="223">
        <f>+BUS!CK152+BUS!CL152+BUS!CM152</f>
        <v>0</v>
      </c>
      <c r="AF49" s="223">
        <f>+BUS!CN152+BUS!CO152+BUS!CP152</f>
        <v>0</v>
      </c>
      <c r="AG49" s="223">
        <f>+BUS!CQ152+BUS!CR152+BUS!CS152</f>
        <v>0</v>
      </c>
      <c r="AH49" s="223">
        <f>+BUS!CT152+BUS!CU152+BUS!CV152</f>
        <v>0</v>
      </c>
      <c r="AI49" s="223">
        <f>+BUS!CW152+BUS!CX152+BUS!CY152</f>
        <v>0</v>
      </c>
      <c r="AJ49" s="223">
        <f>+BUS!CZ152+BUS!DA152+BUS!DB152</f>
        <v>0</v>
      </c>
      <c r="AK49" s="43">
        <f>+BUS!DC152+BUS!DD152+BUS!DE152</f>
        <v>0</v>
      </c>
      <c r="AL49" s="43">
        <f>+BUS!DF152+BUS!DG152+BUS!DH152</f>
        <v>0</v>
      </c>
      <c r="AM49" s="43">
        <f>+BUS!DI152+BUS!DJ152+BUS!DK152</f>
        <v>0</v>
      </c>
      <c r="AN49" s="43">
        <f>+BUS!DL152+BUS!DM152+BUS!DN152</f>
        <v>0</v>
      </c>
      <c r="AO49" s="43">
        <f>+BUS!DO152+BUS!DP152+BUS!DQ152</f>
        <v>0</v>
      </c>
      <c r="AP49" s="43">
        <f>+BUS!DR152+BUS!DS152+BUS!DT152</f>
        <v>0</v>
      </c>
      <c r="AQ49" s="43">
        <f>+BUS!DU152+BUS!DV152+BUS!DW152</f>
        <v>0</v>
      </c>
      <c r="AR49" s="43">
        <f>+BUS!DX152+BUS!DY152+BUS!DZ152</f>
        <v>0</v>
      </c>
      <c r="AS49" s="43">
        <f>+BUS!EA152+BUS!EB152+BUS!EC152</f>
        <v>0</v>
      </c>
      <c r="AT49" s="43">
        <f>+BUS!ED152+BUS!EE152+BUS!EF152</f>
        <v>0</v>
      </c>
      <c r="AU49" s="43">
        <f>+BUS!EH152+BUS!EI152+BUS!EG152</f>
        <v>0</v>
      </c>
      <c r="AV49" s="43">
        <f>+BUS!EK152+BUS!EL152+BUS!EJ152</f>
        <v>0</v>
      </c>
      <c r="AW49" s="43">
        <f>+BUS!EN152+BUS!EO152+BUS!EM152</f>
        <v>0</v>
      </c>
      <c r="AX49" s="43">
        <f>+BUS!EQ152+BUS!ER152+BUS!EP152</f>
        <v>0</v>
      </c>
      <c r="AY49" s="43">
        <f>+BUS!ET152+BUS!EU152+BUS!ES152</f>
        <v>0</v>
      </c>
      <c r="AZ49" s="43">
        <f>+BUS!EW152+BUS!EX152+BUS!EV152</f>
        <v>0</v>
      </c>
      <c r="BA49" s="43">
        <f>+BUS!EZ152+BUS!FA152+BUS!FY152</f>
        <v>0</v>
      </c>
      <c r="BB49" s="43">
        <f>+BUS!FC152+BUS!FD152+BUS!FB152</f>
        <v>0</v>
      </c>
      <c r="BC49" s="43">
        <f>+BUS!FF152+BUS!FG152+BUS!FE152</f>
        <v>0</v>
      </c>
      <c r="BD49" s="43">
        <f>+BUS!FI152+BUS!FJ152+BUS!FH152</f>
        <v>0</v>
      </c>
      <c r="BE49" s="43">
        <f>+BUS!FL152+BUS!FM152+BUS!FK152</f>
        <v>0</v>
      </c>
      <c r="BF49" s="409">
        <f t="shared" si="3"/>
        <v>0</v>
      </c>
      <c r="BG49" s="227"/>
    </row>
    <row r="50" spans="1:59" ht="20.25" customHeight="1" thickBot="1">
      <c r="A50" s="154">
        <v>3</v>
      </c>
      <c r="B50" s="222">
        <f>+BUS!B153+BUS!C153+BUS!D153</f>
        <v>0</v>
      </c>
      <c r="C50" s="223">
        <f>+BUS!E153+BUS!F153+BUS!G153</f>
        <v>0</v>
      </c>
      <c r="D50" s="223">
        <f>+BUS!H153+BUS!I153+BUS!J153</f>
        <v>0</v>
      </c>
      <c r="E50" s="223">
        <f>+BUS!K153+BUS!L153+BUS!M153</f>
        <v>0</v>
      </c>
      <c r="F50" s="223">
        <f>+BUS!N153+BUS!O153+BUS!P153</f>
        <v>0</v>
      </c>
      <c r="G50" s="223">
        <f>+BUS!Q153+BUS!R153+BUS!S153</f>
        <v>0</v>
      </c>
      <c r="H50" s="223">
        <f>+BUS!T153+BUS!U153+BUS!V153</f>
        <v>0</v>
      </c>
      <c r="I50" s="223">
        <f>+BUS!W153+BUS!X153+BUS!Y153</f>
        <v>0</v>
      </c>
      <c r="J50" s="223">
        <f>+BUS!Z153+BUS!AA153+BUS!AB153</f>
        <v>0</v>
      </c>
      <c r="K50" s="223">
        <f>+BUS!AC153+BUS!AD153+BUS!AE153</f>
        <v>0</v>
      </c>
      <c r="L50" s="223">
        <f>+BUS!AF153+BUS!AG153+BUS!AH153</f>
        <v>0</v>
      </c>
      <c r="M50" s="223">
        <f>+BUS!AI153+BUS!AJ153+BUS!AK153</f>
        <v>0</v>
      </c>
      <c r="N50" s="223">
        <f>+BUS!AL153+BUS!AM153+BUS!AN153</f>
        <v>0</v>
      </c>
      <c r="O50" s="223">
        <f>+BUS!AO153+BUS!AP153+BUS!AQ153</f>
        <v>0</v>
      </c>
      <c r="P50" s="223">
        <f>+BUS!AR153+BUS!AS153+BUS!AT153</f>
        <v>0</v>
      </c>
      <c r="Q50" s="223">
        <f>+BUS!AU153+BUS!AV153+BUS!AW153</f>
        <v>0</v>
      </c>
      <c r="R50" s="223">
        <f>+BUS!AX153+BUS!AY153+BUS!AZ153</f>
        <v>0</v>
      </c>
      <c r="S50" s="223">
        <f>+BUS!BA153+BUS!BB153+BUS!BC153</f>
        <v>0</v>
      </c>
      <c r="T50" s="223">
        <f>+BUS!BD153+BUS!BE153+BUS!BF153</f>
        <v>0</v>
      </c>
      <c r="U50" s="223">
        <f>+BUS!BG153+BUS!BH153+BUS!BI153</f>
        <v>0</v>
      </c>
      <c r="V50" s="223">
        <f>+BUS!BJ153+BUS!BK153+BUS!BL153</f>
        <v>0</v>
      </c>
      <c r="W50" s="223">
        <f>+BUS!BM153+BUS!BN153+BUS!BO153</f>
        <v>0</v>
      </c>
      <c r="X50" s="223">
        <f>+BUS!BP153+BUS!BQ153+BUS!BR153</f>
        <v>0</v>
      </c>
      <c r="Y50" s="223">
        <f>+BUS!BS153+BUS!BT153+BUS!BU153</f>
        <v>0</v>
      </c>
      <c r="Z50" s="223">
        <f>+BUS!BV153+BUS!BW153+BUS!BX153</f>
        <v>0</v>
      </c>
      <c r="AA50" s="223">
        <f>+BUS!BY153+BUS!BZ153+BUS!CA153</f>
        <v>0</v>
      </c>
      <c r="AB50" s="223">
        <f>+BUS!CB153+BUS!CC153+BUS!CD153</f>
        <v>0</v>
      </c>
      <c r="AC50" s="223">
        <f>+BUS!CE153+BUS!CF153+BUS!CG153</f>
        <v>0</v>
      </c>
      <c r="AD50" s="223">
        <f>+BUS!CH153+BUS!CI153+BUS!CJ153</f>
        <v>0</v>
      </c>
      <c r="AE50" s="223">
        <f>+BUS!CK153+BUS!CL153+BUS!CM153</f>
        <v>0</v>
      </c>
      <c r="AF50" s="223">
        <f>+BUS!CN153+BUS!CO153+BUS!CP153</f>
        <v>0</v>
      </c>
      <c r="AG50" s="223">
        <f>+BUS!CQ153+BUS!CR153+BUS!CS153</f>
        <v>0</v>
      </c>
      <c r="AH50" s="223">
        <f>+BUS!CT153+BUS!CU153+BUS!CV153</f>
        <v>0</v>
      </c>
      <c r="AI50" s="223">
        <f>+BUS!CW153+BUS!CX153+BUS!CY153</f>
        <v>0</v>
      </c>
      <c r="AJ50" s="223">
        <f>+BUS!CZ153+BUS!DA153+BUS!DB153</f>
        <v>0</v>
      </c>
      <c r="AK50" s="43">
        <f>+BUS!DC153+BUS!DD153+BUS!DE153</f>
        <v>0</v>
      </c>
      <c r="AL50" s="43">
        <f>+BUS!DF153+BUS!DG153+BUS!DH153</f>
        <v>0</v>
      </c>
      <c r="AM50" s="43">
        <f>+BUS!DI153+BUS!DJ153+BUS!DK153</f>
        <v>0</v>
      </c>
      <c r="AN50" s="43">
        <f>+BUS!DL153+BUS!DM153+BUS!DN153</f>
        <v>0</v>
      </c>
      <c r="AO50" s="43">
        <f>+BUS!DO153+BUS!DP153+BUS!DQ153</f>
        <v>0</v>
      </c>
      <c r="AP50" s="43">
        <f>+BUS!DR153+BUS!DS153+BUS!DT153</f>
        <v>0</v>
      </c>
      <c r="AQ50" s="43">
        <f>+BUS!DU153+BUS!DV153+BUS!DW153</f>
        <v>0</v>
      </c>
      <c r="AR50" s="43">
        <f>+BUS!DX153+BUS!DY153+BUS!DZ153</f>
        <v>0</v>
      </c>
      <c r="AS50" s="43">
        <f>+BUS!EA153+BUS!EB153+BUS!EC153</f>
        <v>0</v>
      </c>
      <c r="AT50" s="43">
        <f>+BUS!ED153+BUS!EE153+BUS!EF153</f>
        <v>0</v>
      </c>
      <c r="AU50" s="43">
        <f>+BUS!EH153+BUS!EI153+BUS!EG153</f>
        <v>0</v>
      </c>
      <c r="AV50" s="43">
        <f>+BUS!EK153+BUS!EL153+BUS!EJ153</f>
        <v>0</v>
      </c>
      <c r="AW50" s="43">
        <f>+BUS!EN153+BUS!EO153+BUS!EM153</f>
        <v>0</v>
      </c>
      <c r="AX50" s="43">
        <f>+BUS!EQ153+BUS!ER153+BUS!EP153</f>
        <v>0</v>
      </c>
      <c r="AY50" s="43">
        <f>+BUS!ET153+BUS!EU153+BUS!ES153</f>
        <v>0</v>
      </c>
      <c r="AZ50" s="43">
        <f>+BUS!EW153+BUS!EX153+BUS!EV153</f>
        <v>0</v>
      </c>
      <c r="BA50" s="43">
        <f>+BUS!EZ153+BUS!FA153+BUS!FY153</f>
        <v>0</v>
      </c>
      <c r="BB50" s="43">
        <f>+BUS!FC153+BUS!FD153+BUS!FB153</f>
        <v>0</v>
      </c>
      <c r="BC50" s="43">
        <f>+BUS!FF153+BUS!FG153+BUS!FE153</f>
        <v>0</v>
      </c>
      <c r="BD50" s="43">
        <f>+BUS!FI153+BUS!FJ153+BUS!FH153</f>
        <v>0</v>
      </c>
      <c r="BE50" s="43">
        <f>+BUS!FL153+BUS!FM153+BUS!FK153</f>
        <v>0</v>
      </c>
      <c r="BF50" s="409">
        <f t="shared" si="3"/>
        <v>0</v>
      </c>
      <c r="BG50" s="227"/>
    </row>
    <row r="51" spans="1:59" ht="18.75" customHeight="1" thickBot="1">
      <c r="A51" s="154">
        <v>4</v>
      </c>
      <c r="B51" s="222">
        <f>+BUS!B154+BUS!C154+BUS!D154</f>
        <v>0</v>
      </c>
      <c r="C51" s="223">
        <f>+BUS!E154+BUS!F154+BUS!G154</f>
        <v>0</v>
      </c>
      <c r="D51" s="223">
        <f>+BUS!H154+BUS!I154+BUS!J154</f>
        <v>0</v>
      </c>
      <c r="E51" s="223">
        <f>+BUS!K154+BUS!L154+BUS!M154</f>
        <v>0</v>
      </c>
      <c r="F51" s="223">
        <f>+BUS!N154+BUS!O154+BUS!P154</f>
        <v>0</v>
      </c>
      <c r="G51" s="223">
        <f>+BUS!Q154+BUS!R154+BUS!S154</f>
        <v>0</v>
      </c>
      <c r="H51" s="223">
        <f>+BUS!T154+BUS!U154+BUS!V154</f>
        <v>0</v>
      </c>
      <c r="I51" s="223">
        <f>+BUS!W154+BUS!X154+BUS!Y154</f>
        <v>0</v>
      </c>
      <c r="J51" s="223">
        <f>+BUS!Z154+BUS!AA154+BUS!AB154</f>
        <v>0</v>
      </c>
      <c r="K51" s="223">
        <f>+BUS!AC154+BUS!AD154+BUS!AE154</f>
        <v>0</v>
      </c>
      <c r="L51" s="223">
        <f>+BUS!AF154+BUS!AG154+BUS!AH154</f>
        <v>0</v>
      </c>
      <c r="M51" s="223">
        <f>+BUS!AI154+BUS!AJ154+BUS!AK154</f>
        <v>0</v>
      </c>
      <c r="N51" s="223">
        <f>+BUS!AL154+BUS!AM154+BUS!AN154</f>
        <v>0</v>
      </c>
      <c r="O51" s="223">
        <f>+BUS!AO154+BUS!AP154+BUS!AQ154</f>
        <v>0</v>
      </c>
      <c r="P51" s="223">
        <f>+BUS!AR154+BUS!AS154+BUS!AT154</f>
        <v>0</v>
      </c>
      <c r="Q51" s="223">
        <f>+BUS!AU154+BUS!AV154+BUS!AW154</f>
        <v>0</v>
      </c>
      <c r="R51" s="223">
        <f>+BUS!AX154+BUS!AY154+BUS!AZ154</f>
        <v>0</v>
      </c>
      <c r="S51" s="223">
        <f>+BUS!BA154+BUS!BB154+BUS!BC154</f>
        <v>0</v>
      </c>
      <c r="T51" s="223">
        <f>+BUS!BD154+BUS!BE154+BUS!BF154</f>
        <v>0</v>
      </c>
      <c r="U51" s="223">
        <f>+BUS!BG154+BUS!BH154+BUS!BI154</f>
        <v>0</v>
      </c>
      <c r="V51" s="223">
        <f>+BUS!BJ154+BUS!BK154+BUS!BL154</f>
        <v>0</v>
      </c>
      <c r="W51" s="223">
        <f>+BUS!BM154+BUS!BN154+BUS!BO154</f>
        <v>0</v>
      </c>
      <c r="X51" s="223">
        <f>+BUS!BP154+BUS!BQ154+BUS!BR154</f>
        <v>0</v>
      </c>
      <c r="Y51" s="223">
        <f>+BUS!BS154+BUS!BT154+BUS!BU154</f>
        <v>0</v>
      </c>
      <c r="Z51" s="223">
        <f>+BUS!BV154+BUS!BW154+BUS!BX154</f>
        <v>0</v>
      </c>
      <c r="AA51" s="223">
        <f>+BUS!BY154+BUS!BZ154+BUS!CA154</f>
        <v>0</v>
      </c>
      <c r="AB51" s="223">
        <f>+BUS!CB154+BUS!CC154+BUS!CD154</f>
        <v>0</v>
      </c>
      <c r="AC51" s="223">
        <f>+BUS!CE154+BUS!CF154+BUS!CG154</f>
        <v>0</v>
      </c>
      <c r="AD51" s="223">
        <f>+BUS!CH154+BUS!CI154+BUS!CJ154</f>
        <v>0</v>
      </c>
      <c r="AE51" s="223">
        <f>+BUS!CK154+BUS!CL154+BUS!CM154</f>
        <v>0</v>
      </c>
      <c r="AF51" s="223">
        <f>+BUS!CN154+BUS!CO154+BUS!CP154</f>
        <v>0</v>
      </c>
      <c r="AG51" s="223">
        <f>+BUS!CQ154+BUS!CR154+BUS!CS154</f>
        <v>0</v>
      </c>
      <c r="AH51" s="223">
        <f>+BUS!CT154+BUS!CU154+BUS!CV154</f>
        <v>0</v>
      </c>
      <c r="AI51" s="223">
        <f>+BUS!CW154+BUS!CX154+BUS!CY154</f>
        <v>0</v>
      </c>
      <c r="AJ51" s="223">
        <f>+BUS!CZ154+BUS!DA154+BUS!DB154</f>
        <v>0</v>
      </c>
      <c r="AK51" s="43">
        <f>+BUS!DC154+BUS!DD154+BUS!DE154</f>
        <v>0</v>
      </c>
      <c r="AL51" s="43">
        <f>+BUS!DF154+BUS!DG154+BUS!DH154</f>
        <v>0</v>
      </c>
      <c r="AM51" s="43">
        <f>+BUS!DI154+BUS!DJ154+BUS!DK154</f>
        <v>0</v>
      </c>
      <c r="AN51" s="43">
        <f>+BUS!DL154+BUS!DM154+BUS!DN154</f>
        <v>0</v>
      </c>
      <c r="AO51" s="43">
        <f>+BUS!DO154+BUS!DP154+BUS!DQ154</f>
        <v>0</v>
      </c>
      <c r="AP51" s="43">
        <f>+BUS!DR154+BUS!DS154+BUS!DT154</f>
        <v>0</v>
      </c>
      <c r="AQ51" s="43">
        <f>+BUS!DU154+BUS!DV154+BUS!DW154</f>
        <v>0</v>
      </c>
      <c r="AR51" s="43">
        <f>+BUS!DX154+BUS!DY154+BUS!DZ154</f>
        <v>0</v>
      </c>
      <c r="AS51" s="43">
        <f>+BUS!EA154+BUS!EB154+BUS!EC154</f>
        <v>0</v>
      </c>
      <c r="AT51" s="43">
        <f>+BUS!ED154+BUS!EE154+BUS!EF154</f>
        <v>0</v>
      </c>
      <c r="AU51" s="43">
        <f>+BUS!EH154+BUS!EI154+BUS!EG154</f>
        <v>0</v>
      </c>
      <c r="AV51" s="43">
        <f>+BUS!EK154+BUS!EL154+BUS!EJ154</f>
        <v>0</v>
      </c>
      <c r="AW51" s="43">
        <f>+BUS!EN154+BUS!EO154+BUS!EM154</f>
        <v>0</v>
      </c>
      <c r="AX51" s="43">
        <f>+BUS!EQ154+BUS!ER154+BUS!EP154</f>
        <v>0</v>
      </c>
      <c r="AY51" s="43">
        <f>+BUS!ET154+BUS!EU154+BUS!ES154</f>
        <v>0</v>
      </c>
      <c r="AZ51" s="43">
        <f>+BUS!EW154+BUS!EX154+BUS!EV154</f>
        <v>0</v>
      </c>
      <c r="BA51" s="43">
        <f>+BUS!EZ154+BUS!FA154+BUS!FY154</f>
        <v>0</v>
      </c>
      <c r="BB51" s="43">
        <f>+BUS!FC154+BUS!FD154+BUS!FB154</f>
        <v>0</v>
      </c>
      <c r="BC51" s="43">
        <f>+BUS!FF154+BUS!FG154+BUS!FE154</f>
        <v>0</v>
      </c>
      <c r="BD51" s="43">
        <f>+BUS!FI154+BUS!FJ154+BUS!FH154</f>
        <v>0</v>
      </c>
      <c r="BE51" s="43">
        <f>+BUS!FL154+BUS!FM154+BUS!FK154</f>
        <v>0</v>
      </c>
      <c r="BF51" s="409">
        <f t="shared" si="3"/>
        <v>0</v>
      </c>
      <c r="BG51" s="227"/>
    </row>
    <row r="52" spans="1:59" ht="18.75" customHeight="1" thickBot="1">
      <c r="A52" s="154">
        <v>5</v>
      </c>
      <c r="B52" s="222">
        <f>+BUS!B155+BUS!C155+BUS!D155</f>
        <v>0</v>
      </c>
      <c r="C52" s="223">
        <f>+BUS!E155+BUS!F155+BUS!G155</f>
        <v>0</v>
      </c>
      <c r="D52" s="223">
        <f>+BUS!H155+BUS!I155+BUS!J155</f>
        <v>0</v>
      </c>
      <c r="E52" s="223">
        <f>+BUS!K155+BUS!L155+BUS!M155</f>
        <v>0</v>
      </c>
      <c r="F52" s="223">
        <f>+BUS!N155+BUS!O155+BUS!P155</f>
        <v>0</v>
      </c>
      <c r="G52" s="223">
        <f>+BUS!Q155+BUS!R155+BUS!S155</f>
        <v>0</v>
      </c>
      <c r="H52" s="223">
        <f>+BUS!T155+BUS!U155+BUS!V155</f>
        <v>0</v>
      </c>
      <c r="I52" s="223">
        <f>+BUS!W155+BUS!X155+BUS!Y155</f>
        <v>0</v>
      </c>
      <c r="J52" s="223">
        <f>+BUS!Z155+BUS!AA155+BUS!AB155</f>
        <v>0</v>
      </c>
      <c r="K52" s="223">
        <f>+BUS!AC155+BUS!AD155+BUS!AE155</f>
        <v>0</v>
      </c>
      <c r="L52" s="223">
        <f>+BUS!AF155+BUS!AG155+BUS!AH155</f>
        <v>0</v>
      </c>
      <c r="M52" s="223">
        <f>+BUS!AI155+BUS!AJ155+BUS!AK155</f>
        <v>0</v>
      </c>
      <c r="N52" s="223">
        <f>+BUS!AL155+BUS!AM155+BUS!AN155</f>
        <v>0</v>
      </c>
      <c r="O52" s="223">
        <f>+BUS!AO155+BUS!AP155+BUS!AQ155</f>
        <v>0</v>
      </c>
      <c r="P52" s="223">
        <f>+BUS!AR155+BUS!AS155+BUS!AT155</f>
        <v>0</v>
      </c>
      <c r="Q52" s="223">
        <f>+BUS!AU155+BUS!AV155+BUS!AW155</f>
        <v>0</v>
      </c>
      <c r="R52" s="223">
        <f>+BUS!AX155+BUS!AY155+BUS!AZ155</f>
        <v>0</v>
      </c>
      <c r="S52" s="223">
        <f>+BUS!BA155+BUS!BB155+BUS!BC155</f>
        <v>0</v>
      </c>
      <c r="T52" s="223">
        <f>+BUS!BD155+BUS!BE155+BUS!BF155</f>
        <v>0</v>
      </c>
      <c r="U52" s="223">
        <f>+BUS!BG155+BUS!BH155+BUS!BI155</f>
        <v>0</v>
      </c>
      <c r="V52" s="223">
        <f>+BUS!BJ155+BUS!BK155+BUS!BL155</f>
        <v>0</v>
      </c>
      <c r="W52" s="223">
        <f>+BUS!BM155+BUS!BN155+BUS!BO155</f>
        <v>0</v>
      </c>
      <c r="X52" s="223">
        <f>+BUS!BP155+BUS!BQ155+BUS!BR155</f>
        <v>0</v>
      </c>
      <c r="Y52" s="223">
        <f>+BUS!BS155+BUS!BT155+BUS!BU155</f>
        <v>0</v>
      </c>
      <c r="Z52" s="223">
        <f>+BUS!BV155+BUS!BW155+BUS!BX155</f>
        <v>0</v>
      </c>
      <c r="AA52" s="223">
        <f>+BUS!BY155+BUS!BZ155+BUS!CA155</f>
        <v>0</v>
      </c>
      <c r="AB52" s="223">
        <f>+BUS!CB155+BUS!CC155+BUS!CD155</f>
        <v>0</v>
      </c>
      <c r="AC52" s="223">
        <f>+BUS!CE155+BUS!CF155+BUS!CG155</f>
        <v>0</v>
      </c>
      <c r="AD52" s="223">
        <f>+BUS!CH155+BUS!CI155+BUS!CJ155</f>
        <v>0</v>
      </c>
      <c r="AE52" s="223">
        <f>+BUS!CK155+BUS!CL155+BUS!CM155</f>
        <v>0</v>
      </c>
      <c r="AF52" s="223">
        <f>+BUS!CN155+BUS!CO155+BUS!CP155</f>
        <v>0</v>
      </c>
      <c r="AG52" s="223">
        <f>+BUS!CQ155+BUS!CR155+BUS!CS155</f>
        <v>0</v>
      </c>
      <c r="AH52" s="223">
        <f>+BUS!CT155+BUS!CU155+BUS!CV155</f>
        <v>0</v>
      </c>
      <c r="AI52" s="223">
        <f>+BUS!CW155+BUS!CX155+BUS!CY155</f>
        <v>0</v>
      </c>
      <c r="AJ52" s="223">
        <f>+BUS!CZ155+BUS!DA155+BUS!DB155</f>
        <v>0</v>
      </c>
      <c r="AK52" s="43">
        <f>+BUS!DC155+BUS!DD155+BUS!DE155</f>
        <v>0</v>
      </c>
      <c r="AL52" s="43">
        <f>+BUS!DF155+BUS!DG155+BUS!DH155</f>
        <v>0</v>
      </c>
      <c r="AM52" s="43">
        <f>+BUS!DI155+BUS!DJ155+BUS!DK155</f>
        <v>0</v>
      </c>
      <c r="AN52" s="43">
        <f>+BUS!DL155+BUS!DM155+BUS!DN155</f>
        <v>0</v>
      </c>
      <c r="AO52" s="43">
        <f>+BUS!DO155+BUS!DP155+BUS!DQ155</f>
        <v>0</v>
      </c>
      <c r="AP52" s="43">
        <f>+BUS!DR155+BUS!DS155+BUS!DT155</f>
        <v>0</v>
      </c>
      <c r="AQ52" s="43">
        <f>+BUS!DU155+BUS!DV155+BUS!DW155</f>
        <v>0</v>
      </c>
      <c r="AR52" s="43">
        <f>+BUS!DX155+BUS!DY155+BUS!DZ155</f>
        <v>0</v>
      </c>
      <c r="AS52" s="43">
        <f>+BUS!EA155+BUS!EB155+BUS!EC155</f>
        <v>0</v>
      </c>
      <c r="AT52" s="43">
        <f>+BUS!ED155+BUS!EE155+BUS!EF155</f>
        <v>0</v>
      </c>
      <c r="AU52" s="43">
        <f>+BUS!EH155+BUS!EI155+BUS!EG155</f>
        <v>0</v>
      </c>
      <c r="AV52" s="43">
        <f>+BUS!EK155+BUS!EL155+BUS!EJ155</f>
        <v>0</v>
      </c>
      <c r="AW52" s="43">
        <f>+BUS!EN155+BUS!EO155+BUS!EM155</f>
        <v>0</v>
      </c>
      <c r="AX52" s="43">
        <f>+BUS!EQ155+BUS!ER155+BUS!EP155</f>
        <v>0</v>
      </c>
      <c r="AY52" s="43">
        <f>+BUS!ET155+BUS!EU155+BUS!ES155</f>
        <v>0</v>
      </c>
      <c r="AZ52" s="43">
        <f>+BUS!EW155+BUS!EX155+BUS!EV155</f>
        <v>0</v>
      </c>
      <c r="BA52" s="43">
        <f>+BUS!EZ155+BUS!FA155+BUS!FY155</f>
        <v>0</v>
      </c>
      <c r="BB52" s="43">
        <f>+BUS!FC155+BUS!FD155+BUS!FB155</f>
        <v>0</v>
      </c>
      <c r="BC52" s="43">
        <f>+BUS!FF155+BUS!FG155+BUS!FE155</f>
        <v>0</v>
      </c>
      <c r="BD52" s="43">
        <f>+BUS!FI155+BUS!FJ155+BUS!FH155</f>
        <v>0</v>
      </c>
      <c r="BE52" s="43">
        <f>+BUS!FL155+BUS!FM155+BUS!FK155</f>
        <v>0</v>
      </c>
      <c r="BF52" s="409">
        <f t="shared" si="3"/>
        <v>0</v>
      </c>
    </row>
    <row r="53" spans="1:59" ht="19.5" customHeight="1" thickBot="1">
      <c r="A53" s="154">
        <v>6</v>
      </c>
      <c r="B53" s="222">
        <f>+BUS!B156+BUS!C156+BUS!D156</f>
        <v>0</v>
      </c>
      <c r="C53" s="223">
        <f>+BUS!E156+BUS!F156+BUS!G156</f>
        <v>0</v>
      </c>
      <c r="D53" s="223">
        <f>+BUS!H156+BUS!I156+BUS!J156</f>
        <v>0</v>
      </c>
      <c r="E53" s="223">
        <f>+BUS!K156+BUS!L156+BUS!M156</f>
        <v>0</v>
      </c>
      <c r="F53" s="223">
        <f>+BUS!N156+BUS!O156+BUS!P156</f>
        <v>0</v>
      </c>
      <c r="G53" s="223">
        <f>+BUS!Q156+BUS!R156+BUS!S156</f>
        <v>0</v>
      </c>
      <c r="H53" s="223">
        <f>+BUS!T156+BUS!U156+BUS!V156</f>
        <v>0</v>
      </c>
      <c r="I53" s="223">
        <f>+BUS!W156+BUS!X156+BUS!Y156</f>
        <v>0</v>
      </c>
      <c r="J53" s="223">
        <f>+BUS!Z156+BUS!AA156+BUS!AB156</f>
        <v>0</v>
      </c>
      <c r="K53" s="223">
        <f>+BUS!AC156+BUS!AD156+BUS!AE156</f>
        <v>0</v>
      </c>
      <c r="L53" s="223">
        <f>+BUS!AF156+BUS!AG156+BUS!AH156</f>
        <v>0</v>
      </c>
      <c r="M53" s="223">
        <f>+BUS!AI156+BUS!AJ156+BUS!AK156</f>
        <v>0</v>
      </c>
      <c r="N53" s="223">
        <f>+BUS!AL156+BUS!AM156+BUS!AN156</f>
        <v>0</v>
      </c>
      <c r="O53" s="223">
        <f>+BUS!AO156+BUS!AP156+BUS!AQ156</f>
        <v>0</v>
      </c>
      <c r="P53" s="223">
        <f>+BUS!AR156+BUS!AS156+BUS!AT156</f>
        <v>0</v>
      </c>
      <c r="Q53" s="223">
        <f>+BUS!AU156+BUS!AV156+BUS!AW156</f>
        <v>0</v>
      </c>
      <c r="R53" s="223">
        <f>+BUS!AX156+BUS!AY156+BUS!AZ156</f>
        <v>0</v>
      </c>
      <c r="S53" s="223">
        <f>+BUS!BA156+BUS!BB156+BUS!BC156</f>
        <v>0</v>
      </c>
      <c r="T53" s="223">
        <f>+BUS!BD156+BUS!BE156+BUS!BF156</f>
        <v>0</v>
      </c>
      <c r="U53" s="223">
        <f>+BUS!BG156+BUS!BH156+BUS!BI156</f>
        <v>0</v>
      </c>
      <c r="V53" s="223">
        <f>+BUS!BJ156+BUS!BK156+BUS!BL156</f>
        <v>0</v>
      </c>
      <c r="W53" s="223">
        <f>+BUS!BM156+BUS!BN156+BUS!BO156</f>
        <v>0</v>
      </c>
      <c r="X53" s="223">
        <f>+BUS!BP156+BUS!BQ156+BUS!BR156</f>
        <v>0</v>
      </c>
      <c r="Y53" s="223">
        <f>+BUS!BS156+BUS!BT156+BUS!BU156</f>
        <v>0</v>
      </c>
      <c r="Z53" s="223">
        <f>+BUS!BV156+BUS!BW156+BUS!BX156</f>
        <v>0</v>
      </c>
      <c r="AA53" s="223">
        <f>+BUS!BY156+BUS!BZ156+BUS!CA156</f>
        <v>0</v>
      </c>
      <c r="AB53" s="223">
        <f>+BUS!CB156+BUS!CC156+BUS!CD156</f>
        <v>0</v>
      </c>
      <c r="AC53" s="223">
        <f>+BUS!CE156+BUS!CF156+BUS!CG156</f>
        <v>0</v>
      </c>
      <c r="AD53" s="223">
        <f>+BUS!CH156+BUS!CI156+BUS!CJ156</f>
        <v>0</v>
      </c>
      <c r="AE53" s="223">
        <f>+BUS!CK156+BUS!CL156+BUS!CM156</f>
        <v>0</v>
      </c>
      <c r="AF53" s="223">
        <f>+BUS!CN156+BUS!CO156+BUS!CP156</f>
        <v>0</v>
      </c>
      <c r="AG53" s="223">
        <f>+BUS!CQ156+BUS!CR156+BUS!CS156</f>
        <v>0</v>
      </c>
      <c r="AH53" s="223">
        <f>+BUS!CT156+BUS!CU156+BUS!CV156</f>
        <v>0</v>
      </c>
      <c r="AI53" s="223">
        <f>+BUS!CW156+BUS!CX156+BUS!CY156</f>
        <v>0</v>
      </c>
      <c r="AJ53" s="223">
        <f>+BUS!CZ156+BUS!DA156+BUS!DB156</f>
        <v>0</v>
      </c>
      <c r="AK53" s="43">
        <f>+BUS!DC156+BUS!DD156+BUS!DE156</f>
        <v>0</v>
      </c>
      <c r="AL53" s="43">
        <f>+BUS!DF156+BUS!DG156+BUS!DH156</f>
        <v>0</v>
      </c>
      <c r="AM53" s="43">
        <f>+BUS!DI156+BUS!DJ156+BUS!DK156</f>
        <v>0</v>
      </c>
      <c r="AN53" s="43">
        <f>+BUS!DL156+BUS!DM156+BUS!DN156</f>
        <v>0</v>
      </c>
      <c r="AO53" s="43">
        <f>+BUS!DO156+BUS!DP156+BUS!DQ156</f>
        <v>0</v>
      </c>
      <c r="AP53" s="43">
        <f>+BUS!DR156+BUS!DS156+BUS!DT156</f>
        <v>0</v>
      </c>
      <c r="AQ53" s="43">
        <f>+BUS!DU156+BUS!DV156+BUS!DW156</f>
        <v>0</v>
      </c>
      <c r="AR53" s="43">
        <f>+BUS!DX156+BUS!DY156+BUS!DZ156</f>
        <v>0</v>
      </c>
      <c r="AS53" s="43">
        <f>+BUS!EA156+BUS!EB156+BUS!EC156</f>
        <v>0</v>
      </c>
      <c r="AT53" s="43">
        <f>+BUS!ED156+BUS!EE156+BUS!EF156</f>
        <v>0</v>
      </c>
      <c r="AU53" s="43">
        <f>+BUS!EH156+BUS!EI156+BUS!EG156</f>
        <v>0</v>
      </c>
      <c r="AV53" s="43">
        <f>+BUS!EK156+BUS!EL156+BUS!EJ156</f>
        <v>0</v>
      </c>
      <c r="AW53" s="43">
        <f>+BUS!EN156+BUS!EO156+BUS!EM156</f>
        <v>0</v>
      </c>
      <c r="AX53" s="43">
        <f>+BUS!EQ156+BUS!ER156+BUS!EP156</f>
        <v>0</v>
      </c>
      <c r="AY53" s="43">
        <f>+BUS!ET156+BUS!EU156+BUS!ES156</f>
        <v>0</v>
      </c>
      <c r="AZ53" s="43">
        <f>+BUS!EW156+BUS!EX156+BUS!EV156</f>
        <v>0</v>
      </c>
      <c r="BA53" s="43">
        <f>+BUS!EZ156+BUS!FA156+BUS!FY156</f>
        <v>0</v>
      </c>
      <c r="BB53" s="43">
        <f>+BUS!FC156+BUS!FD156+BUS!FB156</f>
        <v>0</v>
      </c>
      <c r="BC53" s="43">
        <f>+BUS!FF156+BUS!FG156+BUS!FE156</f>
        <v>0</v>
      </c>
      <c r="BD53" s="43">
        <f>+BUS!FI156+BUS!FJ156+BUS!FH156</f>
        <v>0</v>
      </c>
      <c r="BE53" s="43">
        <f>+BUS!FL156+BUS!FM156+BUS!FK156</f>
        <v>0</v>
      </c>
      <c r="BF53" s="409">
        <f t="shared" si="3"/>
        <v>0</v>
      </c>
    </row>
    <row r="54" spans="1:59" ht="18.75" customHeight="1" thickBot="1">
      <c r="A54" s="154">
        <v>7</v>
      </c>
      <c r="B54" s="222">
        <f>+BUS!B157+BUS!C157+BUS!D157</f>
        <v>0</v>
      </c>
      <c r="C54" s="223">
        <f>+BUS!E157+BUS!F157+BUS!G157</f>
        <v>0</v>
      </c>
      <c r="D54" s="223">
        <f>+BUS!H157+BUS!I157+BUS!J157</f>
        <v>0</v>
      </c>
      <c r="E54" s="223">
        <f>+BUS!K157+BUS!L157+BUS!M157</f>
        <v>0</v>
      </c>
      <c r="F54" s="223">
        <f>+BUS!N157+BUS!O157+BUS!P157</f>
        <v>0</v>
      </c>
      <c r="G54" s="223">
        <f>+BUS!Q157+BUS!R157+BUS!S157</f>
        <v>0</v>
      </c>
      <c r="H54" s="223">
        <f>+BUS!T157+BUS!U157+BUS!V157</f>
        <v>0</v>
      </c>
      <c r="I54" s="223">
        <f>+BUS!W157+BUS!X157+BUS!Y157</f>
        <v>0</v>
      </c>
      <c r="J54" s="223">
        <f>+BUS!Z157+BUS!AA157+BUS!AB157</f>
        <v>0</v>
      </c>
      <c r="K54" s="223">
        <f>+BUS!AC157+BUS!AD157+BUS!AE157</f>
        <v>0</v>
      </c>
      <c r="L54" s="223">
        <f>+BUS!AF157+BUS!AG157+BUS!AH157</f>
        <v>0</v>
      </c>
      <c r="M54" s="223">
        <f>+BUS!AI157+BUS!AJ157+BUS!AK157</f>
        <v>0</v>
      </c>
      <c r="N54" s="223">
        <f>+BUS!AL157+BUS!AM157+BUS!AN157</f>
        <v>0</v>
      </c>
      <c r="O54" s="223">
        <f>+BUS!AO157+BUS!AP157+BUS!AQ157</f>
        <v>0</v>
      </c>
      <c r="P54" s="223">
        <f>+BUS!AR157+BUS!AS157+BUS!AT157</f>
        <v>0</v>
      </c>
      <c r="Q54" s="223">
        <f>+BUS!AU157+BUS!AV157+BUS!AW157</f>
        <v>0</v>
      </c>
      <c r="R54" s="223">
        <f>+BUS!AX157+BUS!AY157+BUS!AZ157</f>
        <v>0</v>
      </c>
      <c r="S54" s="223">
        <f>+BUS!BA157+BUS!BB157+BUS!BC157</f>
        <v>0</v>
      </c>
      <c r="T54" s="223">
        <f>+BUS!BD157+BUS!BE157+BUS!BF157</f>
        <v>0</v>
      </c>
      <c r="U54" s="223">
        <f>+BUS!BG157+BUS!BH157+BUS!BI157</f>
        <v>0</v>
      </c>
      <c r="V54" s="223">
        <f>+BUS!BJ157+BUS!BK157+BUS!BL157</f>
        <v>0</v>
      </c>
      <c r="W54" s="223">
        <f>+BUS!BM157+BUS!BN157+BUS!BO157</f>
        <v>0</v>
      </c>
      <c r="X54" s="223">
        <f>+BUS!BP157+BUS!BQ157+BUS!BR157</f>
        <v>0</v>
      </c>
      <c r="Y54" s="223">
        <f>+BUS!BS157+BUS!BT157+BUS!BU157</f>
        <v>0</v>
      </c>
      <c r="Z54" s="223">
        <f>+BUS!BV157+BUS!BW157+BUS!BX157</f>
        <v>0</v>
      </c>
      <c r="AA54" s="223">
        <f>+BUS!BY157+BUS!BZ157+BUS!CA157</f>
        <v>0</v>
      </c>
      <c r="AB54" s="223">
        <f>+BUS!CB157+BUS!CC157+BUS!CD157</f>
        <v>0</v>
      </c>
      <c r="AC54" s="223">
        <f>+BUS!CE157+BUS!CF157+BUS!CG157</f>
        <v>0</v>
      </c>
      <c r="AD54" s="223">
        <f>+BUS!CH157+BUS!CI157+BUS!CJ157</f>
        <v>0</v>
      </c>
      <c r="AE54" s="223">
        <f>+BUS!CK157+BUS!CL157+BUS!CM157</f>
        <v>0</v>
      </c>
      <c r="AF54" s="223">
        <f>+BUS!CN157+BUS!CO157+BUS!CP157</f>
        <v>0</v>
      </c>
      <c r="AG54" s="223">
        <f>+BUS!CQ157+BUS!CR157+BUS!CS157</f>
        <v>0</v>
      </c>
      <c r="AH54" s="223">
        <f>+BUS!CT157+BUS!CU157+BUS!CV157</f>
        <v>0</v>
      </c>
      <c r="AI54" s="223">
        <f>+BUS!CW157+BUS!CX157+BUS!CY157</f>
        <v>0</v>
      </c>
      <c r="AJ54" s="223">
        <f>+BUS!CZ157+BUS!DA157+BUS!DB157</f>
        <v>0</v>
      </c>
      <c r="AK54" s="43">
        <f>+BUS!DC157+BUS!DD157+BUS!DE157</f>
        <v>0</v>
      </c>
      <c r="AL54" s="43">
        <f>+BUS!DF157+BUS!DG157+BUS!DH157</f>
        <v>0</v>
      </c>
      <c r="AM54" s="43">
        <f>+BUS!DI157+BUS!DJ157+BUS!DK157</f>
        <v>0</v>
      </c>
      <c r="AN54" s="43">
        <f>+BUS!DL157+BUS!DM157+BUS!DN157</f>
        <v>0</v>
      </c>
      <c r="AO54" s="43">
        <f>+BUS!DO157+BUS!DP157+BUS!DQ157</f>
        <v>0</v>
      </c>
      <c r="AP54" s="43">
        <f>+BUS!DR157+BUS!DS157+BUS!DT157</f>
        <v>0</v>
      </c>
      <c r="AQ54" s="43">
        <f>+BUS!DU157+BUS!DV157+BUS!DW157</f>
        <v>0</v>
      </c>
      <c r="AR54" s="43">
        <f>+BUS!DX157+BUS!DY157+BUS!DZ157</f>
        <v>0</v>
      </c>
      <c r="AS54" s="43">
        <f>+BUS!EA157+BUS!EB157+BUS!EC157</f>
        <v>0</v>
      </c>
      <c r="AT54" s="43">
        <f>+BUS!ED157+BUS!EE157+BUS!EF157</f>
        <v>0</v>
      </c>
      <c r="AU54" s="43">
        <f>+BUS!EH157+BUS!EI157+BUS!EG157</f>
        <v>0</v>
      </c>
      <c r="AV54" s="43">
        <f>+BUS!EK157+BUS!EL157+BUS!EJ157</f>
        <v>0</v>
      </c>
      <c r="AW54" s="43">
        <f>+BUS!EN157+BUS!EO157+BUS!EM157</f>
        <v>0</v>
      </c>
      <c r="AX54" s="43">
        <f>+BUS!EQ157+BUS!ER157+BUS!EP157</f>
        <v>0</v>
      </c>
      <c r="AY54" s="43">
        <f>+BUS!ET157+BUS!EU157+BUS!ES157</f>
        <v>0</v>
      </c>
      <c r="AZ54" s="43">
        <f>+BUS!EW157+BUS!EX157+BUS!EV157</f>
        <v>0</v>
      </c>
      <c r="BA54" s="43">
        <f>+BUS!EZ157+BUS!FA157+BUS!FY157</f>
        <v>0</v>
      </c>
      <c r="BB54" s="43">
        <f>+BUS!FC157+BUS!FD157+BUS!FB157</f>
        <v>0</v>
      </c>
      <c r="BC54" s="43">
        <f>+BUS!FF157+BUS!FG157+BUS!FE157</f>
        <v>0</v>
      </c>
      <c r="BD54" s="43">
        <f>+BUS!FI157+BUS!FJ157+BUS!FH157</f>
        <v>0</v>
      </c>
      <c r="BE54" s="43">
        <f>+BUS!FL157+BUS!FM157+BUS!FK157</f>
        <v>0</v>
      </c>
      <c r="BF54" s="409">
        <f t="shared" si="3"/>
        <v>0</v>
      </c>
    </row>
    <row r="55" spans="1:59" ht="21.75" customHeight="1" thickBot="1">
      <c r="A55" s="154">
        <v>8</v>
      </c>
      <c r="B55" s="222">
        <f>+BUS!B158+BUS!C158+BUS!D158</f>
        <v>0</v>
      </c>
      <c r="C55" s="223">
        <f>+BUS!E158+BUS!F158+BUS!G158</f>
        <v>0</v>
      </c>
      <c r="D55" s="223">
        <f>+BUS!H158+BUS!I158+BUS!J158</f>
        <v>0</v>
      </c>
      <c r="E55" s="223">
        <f>+BUS!K158+BUS!L158+BUS!M158</f>
        <v>0</v>
      </c>
      <c r="F55" s="223">
        <f>+BUS!N158+BUS!O158+BUS!P158</f>
        <v>0</v>
      </c>
      <c r="G55" s="223">
        <f>+BUS!Q158+BUS!R158+BUS!S158</f>
        <v>0</v>
      </c>
      <c r="H55" s="223">
        <f>+BUS!T158+BUS!U158+BUS!V158</f>
        <v>0</v>
      </c>
      <c r="I55" s="223">
        <f>+BUS!W158+BUS!X158+BUS!Y158</f>
        <v>0</v>
      </c>
      <c r="J55" s="223">
        <f>+BUS!Z158+BUS!AA158+BUS!AB158</f>
        <v>0</v>
      </c>
      <c r="K55" s="223">
        <f>+BUS!AC158+BUS!AD158+BUS!AE158</f>
        <v>0</v>
      </c>
      <c r="L55" s="223">
        <f>+BUS!AF158+BUS!AG158+BUS!AH158</f>
        <v>0</v>
      </c>
      <c r="M55" s="223">
        <f>+BUS!AI158+BUS!AJ158+BUS!AK158</f>
        <v>0</v>
      </c>
      <c r="N55" s="223">
        <f>+BUS!AL158+BUS!AM158+BUS!AN158</f>
        <v>0</v>
      </c>
      <c r="O55" s="223">
        <f>+BUS!AO158+BUS!AP158+BUS!AQ158</f>
        <v>0</v>
      </c>
      <c r="P55" s="223">
        <f>+BUS!AR158+BUS!AS158+BUS!AT158</f>
        <v>0</v>
      </c>
      <c r="Q55" s="223">
        <f>+BUS!AU158+BUS!AV158+BUS!AW158</f>
        <v>0</v>
      </c>
      <c r="R55" s="223">
        <f>+BUS!AX158+BUS!AY158+BUS!AZ158</f>
        <v>0</v>
      </c>
      <c r="S55" s="223">
        <f>+BUS!BA158+BUS!BB158+BUS!BC158</f>
        <v>0</v>
      </c>
      <c r="T55" s="223">
        <f>+BUS!BD158+BUS!BE158+BUS!BF158</f>
        <v>0</v>
      </c>
      <c r="U55" s="223">
        <f>+BUS!BG158+BUS!BH158+BUS!BI158</f>
        <v>0</v>
      </c>
      <c r="V55" s="223">
        <f>+BUS!BJ158+BUS!BK158+BUS!BL158</f>
        <v>0</v>
      </c>
      <c r="W55" s="223">
        <f>+BUS!BM158+BUS!BN158+BUS!BO158</f>
        <v>0</v>
      </c>
      <c r="X55" s="223">
        <f>+BUS!BP158+BUS!BQ158+BUS!BR158</f>
        <v>0</v>
      </c>
      <c r="Y55" s="223">
        <f>+BUS!BS158+BUS!BT158+BUS!BU158</f>
        <v>0</v>
      </c>
      <c r="Z55" s="223">
        <f>+BUS!BV158+BUS!BW158+BUS!BX158</f>
        <v>0</v>
      </c>
      <c r="AA55" s="223">
        <f>+BUS!BY158+BUS!BZ158+BUS!CA158</f>
        <v>0</v>
      </c>
      <c r="AB55" s="223">
        <f>+BUS!CB158+BUS!CC158+BUS!CD158</f>
        <v>0</v>
      </c>
      <c r="AC55" s="223">
        <f>+BUS!CE158+BUS!CF158+BUS!CG158</f>
        <v>0</v>
      </c>
      <c r="AD55" s="223">
        <f>+BUS!CH158+BUS!CI158+BUS!CJ158</f>
        <v>0</v>
      </c>
      <c r="AE55" s="223">
        <f>+BUS!CK158+BUS!CL158+BUS!CM158</f>
        <v>0</v>
      </c>
      <c r="AF55" s="223">
        <f>+BUS!CN158+BUS!CO158+BUS!CP158</f>
        <v>0</v>
      </c>
      <c r="AG55" s="223">
        <f>+BUS!CQ158+BUS!CR158+BUS!CS158</f>
        <v>0</v>
      </c>
      <c r="AH55" s="223">
        <f>+BUS!CT158+BUS!CU158+BUS!CV158</f>
        <v>0</v>
      </c>
      <c r="AI55" s="223">
        <f>+BUS!CW158+BUS!CX158+BUS!CY158</f>
        <v>0</v>
      </c>
      <c r="AJ55" s="223">
        <f>+BUS!CZ158+BUS!DA158+BUS!DB158</f>
        <v>0</v>
      </c>
      <c r="AK55" s="43">
        <f>+BUS!DC158+BUS!DD158+BUS!DE158</f>
        <v>0</v>
      </c>
      <c r="AL55" s="43">
        <f>+BUS!DF158+BUS!DG158+BUS!DH158</f>
        <v>0</v>
      </c>
      <c r="AM55" s="43">
        <f>+BUS!DI158+BUS!DJ158+BUS!DK158</f>
        <v>0</v>
      </c>
      <c r="AN55" s="43">
        <f>+BUS!DL158+BUS!DM158+BUS!DN158</f>
        <v>0</v>
      </c>
      <c r="AO55" s="43">
        <f>+BUS!DO158+BUS!DP158+BUS!DQ158</f>
        <v>0</v>
      </c>
      <c r="AP55" s="43">
        <f>+BUS!DR158+BUS!DS158+BUS!DT158</f>
        <v>0</v>
      </c>
      <c r="AQ55" s="43">
        <f>+BUS!DU158+BUS!DV158+BUS!DW158</f>
        <v>0</v>
      </c>
      <c r="AR55" s="43">
        <f>+BUS!DX158+BUS!DY158+BUS!DZ158</f>
        <v>0</v>
      </c>
      <c r="AS55" s="43">
        <f>+BUS!EA158+BUS!EB158+BUS!EC158</f>
        <v>0</v>
      </c>
      <c r="AT55" s="43">
        <f>+BUS!ED158+BUS!EE158+BUS!EF158</f>
        <v>0</v>
      </c>
      <c r="AU55" s="43">
        <f>+BUS!EH158+BUS!EI158+BUS!EG158</f>
        <v>0</v>
      </c>
      <c r="AV55" s="43">
        <f>+BUS!EK158+BUS!EL158+BUS!EJ158</f>
        <v>0</v>
      </c>
      <c r="AW55" s="43">
        <f>+BUS!EN158+BUS!EO158+BUS!EM158</f>
        <v>0</v>
      </c>
      <c r="AX55" s="43">
        <f>+BUS!EQ158+BUS!ER158+BUS!EP158</f>
        <v>0</v>
      </c>
      <c r="AY55" s="43">
        <f>+BUS!ET158+BUS!EU158+BUS!ES158</f>
        <v>0</v>
      </c>
      <c r="AZ55" s="43">
        <f>+BUS!EW158+BUS!EX158+BUS!EV158</f>
        <v>0</v>
      </c>
      <c r="BA55" s="43">
        <f>+BUS!EZ158+BUS!FA158+BUS!FY158</f>
        <v>0</v>
      </c>
      <c r="BB55" s="43">
        <f>+BUS!FC158+BUS!FD158+BUS!FB158</f>
        <v>0</v>
      </c>
      <c r="BC55" s="43">
        <f>+BUS!FF158+BUS!FG158+BUS!FE158</f>
        <v>0</v>
      </c>
      <c r="BD55" s="43">
        <f>+BUS!FI158+BUS!FJ158+BUS!FH158</f>
        <v>0</v>
      </c>
      <c r="BE55" s="43">
        <f>+BUS!FL158+BUS!FM158+BUS!FK158</f>
        <v>0</v>
      </c>
      <c r="BF55" s="409">
        <f t="shared" si="3"/>
        <v>0</v>
      </c>
    </row>
    <row r="56" spans="1:59" ht="21.75" customHeight="1" thickBot="1">
      <c r="A56" s="154">
        <v>9</v>
      </c>
      <c r="B56" s="222">
        <f>+BUS!B159+BUS!C159+BUS!D159</f>
        <v>0</v>
      </c>
      <c r="C56" s="223">
        <f>+BUS!E159+BUS!F159+BUS!G159</f>
        <v>0</v>
      </c>
      <c r="D56" s="223">
        <f>+BUS!H159+BUS!I159+BUS!J159</f>
        <v>0</v>
      </c>
      <c r="E56" s="223">
        <f>+BUS!K159+BUS!L159+BUS!M159</f>
        <v>0</v>
      </c>
      <c r="F56" s="223">
        <f>+BUS!N159+BUS!O159+BUS!P159</f>
        <v>0</v>
      </c>
      <c r="G56" s="223">
        <f>+BUS!Q159+BUS!R159+BUS!S159</f>
        <v>0</v>
      </c>
      <c r="H56" s="223">
        <f>+BUS!T159+BUS!U159+BUS!V159</f>
        <v>0</v>
      </c>
      <c r="I56" s="223">
        <f>+BUS!W159+BUS!X159+BUS!Y159</f>
        <v>0</v>
      </c>
      <c r="J56" s="223">
        <f>+BUS!Z159+BUS!AA159+BUS!AB159</f>
        <v>0</v>
      </c>
      <c r="K56" s="223">
        <f>+BUS!AC159+BUS!AD159+BUS!AE159</f>
        <v>0</v>
      </c>
      <c r="L56" s="223">
        <f>+BUS!AF159+BUS!AG159+BUS!AH159</f>
        <v>0</v>
      </c>
      <c r="M56" s="223">
        <f>+BUS!AI159+BUS!AJ159+BUS!AK159</f>
        <v>0</v>
      </c>
      <c r="N56" s="223">
        <f>+BUS!AL159+BUS!AM159+BUS!AN159</f>
        <v>0</v>
      </c>
      <c r="O56" s="223">
        <f>+BUS!AO159+BUS!AP159+BUS!AQ159</f>
        <v>0</v>
      </c>
      <c r="P56" s="223">
        <f>+BUS!AR159+BUS!AS159+BUS!AT159</f>
        <v>0</v>
      </c>
      <c r="Q56" s="223">
        <f>+BUS!AU159+BUS!AV159+BUS!AW159</f>
        <v>0</v>
      </c>
      <c r="R56" s="223">
        <f>+BUS!AX159+BUS!AY159+BUS!AZ159</f>
        <v>0</v>
      </c>
      <c r="S56" s="223">
        <f>+BUS!BA159+BUS!BB159+BUS!BC159</f>
        <v>0</v>
      </c>
      <c r="T56" s="223">
        <f>+BUS!BD159+BUS!BE159+BUS!BF159</f>
        <v>0</v>
      </c>
      <c r="U56" s="223">
        <f>+BUS!BG159+BUS!BH159+BUS!BI159</f>
        <v>0</v>
      </c>
      <c r="V56" s="223">
        <f>+BUS!BJ159+BUS!BK159+BUS!BL159</f>
        <v>0</v>
      </c>
      <c r="W56" s="223">
        <f>+BUS!BM159+BUS!BN159+BUS!BO159</f>
        <v>0</v>
      </c>
      <c r="X56" s="223">
        <f>+BUS!BP159+BUS!BQ159+BUS!BR159</f>
        <v>0</v>
      </c>
      <c r="Y56" s="223">
        <f>+BUS!BS159+BUS!BT159+BUS!BU159</f>
        <v>0</v>
      </c>
      <c r="Z56" s="223">
        <f>+BUS!BV159+BUS!BW159+BUS!BX159</f>
        <v>0</v>
      </c>
      <c r="AA56" s="223">
        <f>+BUS!BY159+BUS!BZ159+BUS!CA159</f>
        <v>0</v>
      </c>
      <c r="AB56" s="223">
        <f>+BUS!CB159+BUS!CC159+BUS!CD159</f>
        <v>0</v>
      </c>
      <c r="AC56" s="223">
        <f>+BUS!CE159+BUS!CF159+BUS!CG159</f>
        <v>0</v>
      </c>
      <c r="AD56" s="223">
        <f>+BUS!CH159+BUS!CI159+BUS!CJ159</f>
        <v>0</v>
      </c>
      <c r="AE56" s="223">
        <f>+BUS!CK159+BUS!CL159+BUS!CM159</f>
        <v>0</v>
      </c>
      <c r="AF56" s="223">
        <f>+BUS!CN159+BUS!CO159+BUS!CP159</f>
        <v>0</v>
      </c>
      <c r="AG56" s="223">
        <f>+BUS!CQ159+BUS!CR159+BUS!CS159</f>
        <v>0</v>
      </c>
      <c r="AH56" s="223">
        <f>+BUS!CT159+BUS!CU159+BUS!CV159</f>
        <v>0</v>
      </c>
      <c r="AI56" s="223">
        <f>+BUS!CW159+BUS!CX159+BUS!CY159</f>
        <v>0</v>
      </c>
      <c r="AJ56" s="223">
        <f>+BUS!CZ159+BUS!DA159+BUS!DB159</f>
        <v>0</v>
      </c>
      <c r="AK56" s="43">
        <f>+BUS!DC159+BUS!DD159+BUS!DE159</f>
        <v>0</v>
      </c>
      <c r="AL56" s="43">
        <f>+BUS!DF159+BUS!DG159+BUS!DH159</f>
        <v>0</v>
      </c>
      <c r="AM56" s="43">
        <f>+BUS!DI159+BUS!DJ159+BUS!DK159</f>
        <v>0</v>
      </c>
      <c r="AN56" s="43">
        <f>+BUS!DL159+BUS!DM159+BUS!DN159</f>
        <v>0</v>
      </c>
      <c r="AO56" s="43">
        <f>+BUS!DO159+BUS!DP159+BUS!DQ159</f>
        <v>0</v>
      </c>
      <c r="AP56" s="43">
        <f>+BUS!DR159+BUS!DS159+BUS!DT159</f>
        <v>0</v>
      </c>
      <c r="AQ56" s="43">
        <f>+BUS!DU159+BUS!DV159+BUS!DW159</f>
        <v>0</v>
      </c>
      <c r="AR56" s="43">
        <f>+BUS!DX159+BUS!DY159+BUS!DZ159</f>
        <v>0</v>
      </c>
      <c r="AS56" s="43">
        <f>+BUS!EA159+BUS!EB159+BUS!EC159</f>
        <v>0</v>
      </c>
      <c r="AT56" s="43">
        <f>+BUS!ED159+BUS!EE159+BUS!EF159</f>
        <v>0</v>
      </c>
      <c r="AU56" s="43">
        <f>+BUS!EH159+BUS!EI159+BUS!EG159</f>
        <v>0</v>
      </c>
      <c r="AV56" s="43">
        <f>+BUS!EK159+BUS!EL159+BUS!EJ159</f>
        <v>0</v>
      </c>
      <c r="AW56" s="43">
        <f>+BUS!EN159+BUS!EO159+BUS!EM159</f>
        <v>0</v>
      </c>
      <c r="AX56" s="43">
        <f>+BUS!EQ159+BUS!ER159+BUS!EP159</f>
        <v>0</v>
      </c>
      <c r="AY56" s="43">
        <f>+BUS!ET159+BUS!EU159+BUS!ES159</f>
        <v>0</v>
      </c>
      <c r="AZ56" s="43">
        <f>+BUS!EW159+BUS!EX159+BUS!EV159</f>
        <v>0</v>
      </c>
      <c r="BA56" s="43">
        <f>+BUS!EZ159+BUS!FA159+BUS!FY159</f>
        <v>0</v>
      </c>
      <c r="BB56" s="43">
        <f>+BUS!FC159+BUS!FD159+BUS!FB159</f>
        <v>0</v>
      </c>
      <c r="BC56" s="43">
        <f>+BUS!FF159+BUS!FG159+BUS!FE159</f>
        <v>0</v>
      </c>
      <c r="BD56" s="43">
        <f>+BUS!FI159+BUS!FJ159+BUS!FH159</f>
        <v>0</v>
      </c>
      <c r="BE56" s="43">
        <f>+BUS!FL159+BUS!FM159+BUS!FK159</f>
        <v>0</v>
      </c>
      <c r="BF56" s="409">
        <f t="shared" si="3"/>
        <v>0</v>
      </c>
    </row>
    <row r="57" spans="1:59" ht="24" customHeight="1" thickBot="1">
      <c r="A57" s="154">
        <v>10</v>
      </c>
      <c r="B57" s="222">
        <f>+BUS!B160+BUS!C160+BUS!D160</f>
        <v>0</v>
      </c>
      <c r="C57" s="223">
        <f>+BUS!E160+BUS!F160+BUS!G160</f>
        <v>0</v>
      </c>
      <c r="D57" s="223">
        <f>+BUS!H160+BUS!I160+BUS!J160</f>
        <v>0</v>
      </c>
      <c r="E57" s="223">
        <f>+BUS!K160+BUS!L160+BUS!M160</f>
        <v>0</v>
      </c>
      <c r="F57" s="223">
        <f>+BUS!N160+BUS!O160+BUS!P160</f>
        <v>0</v>
      </c>
      <c r="G57" s="223">
        <f>+BUS!Q160+BUS!R160+BUS!S160</f>
        <v>0</v>
      </c>
      <c r="H57" s="223">
        <f>+BUS!T160+BUS!U160+BUS!V160</f>
        <v>0</v>
      </c>
      <c r="I57" s="223">
        <f>+BUS!W160+BUS!X160+BUS!Y160</f>
        <v>0</v>
      </c>
      <c r="J57" s="223">
        <f>+BUS!Z160+BUS!AA160+BUS!AB160</f>
        <v>0</v>
      </c>
      <c r="K57" s="223">
        <f>+BUS!AC160+BUS!AD160+BUS!AE160</f>
        <v>0</v>
      </c>
      <c r="L57" s="223">
        <f>+BUS!AF160+BUS!AG160+BUS!AH160</f>
        <v>0</v>
      </c>
      <c r="M57" s="223">
        <f>+BUS!AI160+BUS!AJ160+BUS!AK160</f>
        <v>0</v>
      </c>
      <c r="N57" s="223">
        <f>+BUS!AL160+BUS!AM160+BUS!AN160</f>
        <v>0</v>
      </c>
      <c r="O57" s="223">
        <f>+BUS!AO160+BUS!AP160+BUS!AQ160</f>
        <v>0</v>
      </c>
      <c r="P57" s="223">
        <f>+BUS!AR160+BUS!AS160+BUS!AT160</f>
        <v>0</v>
      </c>
      <c r="Q57" s="223">
        <f>+BUS!AU160+BUS!AV160+BUS!AW160</f>
        <v>0</v>
      </c>
      <c r="R57" s="223">
        <f>+BUS!AX160+BUS!AY160+BUS!AZ160</f>
        <v>0</v>
      </c>
      <c r="S57" s="223">
        <f>+BUS!BA160+BUS!BB160+BUS!BC160</f>
        <v>0</v>
      </c>
      <c r="T57" s="223">
        <f>+BUS!BD160+BUS!BE160+BUS!BF160</f>
        <v>0</v>
      </c>
      <c r="U57" s="223">
        <f>+BUS!BG160+BUS!BH160+BUS!BI160</f>
        <v>0</v>
      </c>
      <c r="V57" s="223">
        <f>+BUS!BJ160+BUS!BK160+BUS!BL160</f>
        <v>0</v>
      </c>
      <c r="W57" s="223">
        <f>+BUS!BM160+BUS!BN160+BUS!BO160</f>
        <v>0</v>
      </c>
      <c r="X57" s="223">
        <f>+BUS!BP160+BUS!BQ160+BUS!BR160</f>
        <v>0</v>
      </c>
      <c r="Y57" s="223">
        <f>+BUS!BS160+BUS!BT160+BUS!BU160</f>
        <v>0</v>
      </c>
      <c r="Z57" s="223">
        <f>+BUS!BV160+BUS!BW160+BUS!BX160</f>
        <v>0</v>
      </c>
      <c r="AA57" s="223">
        <f>+BUS!BY160+BUS!BZ160+BUS!CA160</f>
        <v>0</v>
      </c>
      <c r="AB57" s="223">
        <f>+BUS!CB160+BUS!CC160+BUS!CD160</f>
        <v>0</v>
      </c>
      <c r="AC57" s="223">
        <f>+BUS!CE160+BUS!CF160+BUS!CG160</f>
        <v>0</v>
      </c>
      <c r="AD57" s="223">
        <f>+BUS!CH160+BUS!CI160+BUS!CJ160</f>
        <v>0</v>
      </c>
      <c r="AE57" s="223">
        <f>+BUS!CK160+BUS!CL160+BUS!CM160</f>
        <v>0</v>
      </c>
      <c r="AF57" s="223">
        <f>+BUS!CN160+BUS!CO160+BUS!CP160</f>
        <v>0</v>
      </c>
      <c r="AG57" s="223">
        <f>+BUS!CQ160+BUS!CR160+BUS!CS160</f>
        <v>0</v>
      </c>
      <c r="AH57" s="223">
        <f>+BUS!CT160+BUS!CU160+BUS!CV160</f>
        <v>0</v>
      </c>
      <c r="AI57" s="223">
        <f>+BUS!CW160+BUS!CX160+BUS!CY160</f>
        <v>0</v>
      </c>
      <c r="AJ57" s="223">
        <f>+BUS!CZ160+BUS!DA160+BUS!DB160</f>
        <v>0</v>
      </c>
      <c r="AK57" s="43">
        <f>+BUS!DC160+BUS!DD160+BUS!DE160</f>
        <v>0</v>
      </c>
      <c r="AL57" s="43">
        <f>+BUS!DF160+BUS!DG160+BUS!DH160</f>
        <v>0</v>
      </c>
      <c r="AM57" s="43">
        <f>+BUS!DI160+BUS!DJ160+BUS!DK160</f>
        <v>0</v>
      </c>
      <c r="AN57" s="43">
        <f>+BUS!DL160+BUS!DM160+BUS!DN160</f>
        <v>0</v>
      </c>
      <c r="AO57" s="43">
        <f>+BUS!DO160+BUS!DP160+BUS!DQ160</f>
        <v>0</v>
      </c>
      <c r="AP57" s="43">
        <f>+BUS!DR160+BUS!DS160+BUS!DT160</f>
        <v>0</v>
      </c>
      <c r="AQ57" s="43">
        <f>+BUS!DU160+BUS!DV160+BUS!DW160</f>
        <v>0</v>
      </c>
      <c r="AR57" s="43">
        <f>+BUS!DX160+BUS!DY160+BUS!DZ160</f>
        <v>0</v>
      </c>
      <c r="AS57" s="43">
        <f>+BUS!EA160+BUS!EB160+BUS!EC160</f>
        <v>0</v>
      </c>
      <c r="AT57" s="43">
        <f>+BUS!ED160+BUS!EE160+BUS!EF160</f>
        <v>0</v>
      </c>
      <c r="AU57" s="43">
        <f>+BUS!EH160+BUS!EI160+BUS!EG160</f>
        <v>0</v>
      </c>
      <c r="AV57" s="43">
        <f>+BUS!EK160+BUS!EL160+BUS!EJ160</f>
        <v>0</v>
      </c>
      <c r="AW57" s="43">
        <f>+BUS!EN160+BUS!EO160+BUS!EM160</f>
        <v>0</v>
      </c>
      <c r="AX57" s="43">
        <f>+BUS!EQ160+BUS!ER160+BUS!EP160</f>
        <v>0</v>
      </c>
      <c r="AY57" s="43">
        <f>+BUS!ET160+BUS!EU160+BUS!ES160</f>
        <v>0</v>
      </c>
      <c r="AZ57" s="43">
        <f>+BUS!EW160+BUS!EX160+BUS!EV160</f>
        <v>0</v>
      </c>
      <c r="BA57" s="43">
        <f>+BUS!EZ160+BUS!FA160+BUS!FY160</f>
        <v>0</v>
      </c>
      <c r="BB57" s="43">
        <f>+BUS!FC160+BUS!FD160+BUS!FB160</f>
        <v>0</v>
      </c>
      <c r="BC57" s="43">
        <f>+BUS!FF160+BUS!FG160+BUS!FE160</f>
        <v>0</v>
      </c>
      <c r="BD57" s="43">
        <f>+BUS!FI160+BUS!FJ160+BUS!FH160</f>
        <v>0</v>
      </c>
      <c r="BE57" s="43">
        <f>+BUS!FL160+BUS!FM160+BUS!FK160</f>
        <v>0</v>
      </c>
      <c r="BF57" s="409">
        <f t="shared" si="3"/>
        <v>0</v>
      </c>
    </row>
    <row r="58" spans="1:59" ht="24.75" customHeight="1" thickBot="1">
      <c r="A58" s="154">
        <v>11</v>
      </c>
      <c r="B58" s="222">
        <f>+BUS!B161+BUS!C161+BUS!D161</f>
        <v>0</v>
      </c>
      <c r="C58" s="223">
        <f>+BUS!E161+BUS!F161+BUS!G161</f>
        <v>0</v>
      </c>
      <c r="D58" s="223">
        <f>+BUS!H161+BUS!I161+BUS!J161</f>
        <v>0</v>
      </c>
      <c r="E58" s="223">
        <f>+BUS!K161+BUS!L161+BUS!M161</f>
        <v>0</v>
      </c>
      <c r="F58" s="223">
        <f>+BUS!N161+BUS!O161+BUS!P161</f>
        <v>0</v>
      </c>
      <c r="G58" s="223">
        <f>+BUS!Q161+BUS!R161+BUS!S161</f>
        <v>0</v>
      </c>
      <c r="H58" s="223">
        <f>+BUS!T161+BUS!U161+BUS!V161</f>
        <v>0</v>
      </c>
      <c r="I58" s="223">
        <f>+BUS!W161+BUS!X161+BUS!Y161</f>
        <v>0</v>
      </c>
      <c r="J58" s="223">
        <f>+BUS!Z161+BUS!AA161+BUS!AB161</f>
        <v>0</v>
      </c>
      <c r="K58" s="223">
        <f>+BUS!AC161+BUS!AD161+BUS!AE161</f>
        <v>0</v>
      </c>
      <c r="L58" s="223">
        <f>+BUS!AF161+BUS!AG161+BUS!AH161</f>
        <v>0</v>
      </c>
      <c r="M58" s="223">
        <f>+BUS!AI161+BUS!AJ161+BUS!AK161</f>
        <v>0</v>
      </c>
      <c r="N58" s="223">
        <f>+BUS!AL161+BUS!AM161+BUS!AN161</f>
        <v>0</v>
      </c>
      <c r="O58" s="223">
        <f>+BUS!AO161+BUS!AP161+BUS!AQ161</f>
        <v>0</v>
      </c>
      <c r="P58" s="223">
        <f>+BUS!AR161+BUS!AS161+BUS!AT161</f>
        <v>0</v>
      </c>
      <c r="Q58" s="223">
        <f>+BUS!AU161+BUS!AV161+BUS!AW161</f>
        <v>0</v>
      </c>
      <c r="R58" s="223">
        <f>+BUS!AX161+BUS!AY161+BUS!AZ161</f>
        <v>0</v>
      </c>
      <c r="S58" s="223">
        <f>+BUS!BA161+BUS!BB161+BUS!BC161</f>
        <v>0</v>
      </c>
      <c r="T58" s="223">
        <f>+BUS!BD161+BUS!BE161+BUS!BF161</f>
        <v>0</v>
      </c>
      <c r="U58" s="223">
        <f>+BUS!BG161+BUS!BH161+BUS!BI161</f>
        <v>0</v>
      </c>
      <c r="V58" s="223">
        <f>+BUS!BJ161+BUS!BK161+BUS!BL161</f>
        <v>0</v>
      </c>
      <c r="W58" s="223">
        <f>+BUS!BM161+BUS!BN161+BUS!BO161</f>
        <v>0</v>
      </c>
      <c r="X58" s="223">
        <f>+BUS!BP161+BUS!BQ161+BUS!BR161</f>
        <v>0</v>
      </c>
      <c r="Y58" s="223">
        <f>+BUS!BS161+BUS!BT161+BUS!BU161</f>
        <v>0</v>
      </c>
      <c r="Z58" s="223">
        <f>+BUS!BV161+BUS!BW161+BUS!BX161</f>
        <v>0</v>
      </c>
      <c r="AA58" s="223">
        <f>+BUS!BY161+BUS!BZ161+BUS!CA161</f>
        <v>0</v>
      </c>
      <c r="AB58" s="223">
        <f>+BUS!CB161+BUS!CC161+BUS!CD161</f>
        <v>0</v>
      </c>
      <c r="AC58" s="223">
        <f>+BUS!CE161+BUS!CF161+BUS!CG161</f>
        <v>0</v>
      </c>
      <c r="AD58" s="223">
        <f>+BUS!CH161+BUS!CI161+BUS!CJ161</f>
        <v>0</v>
      </c>
      <c r="AE58" s="223">
        <f>+BUS!CK161+BUS!CL161+BUS!CM161</f>
        <v>0</v>
      </c>
      <c r="AF58" s="223">
        <f>+BUS!CN161+BUS!CO161+BUS!CP161</f>
        <v>0</v>
      </c>
      <c r="AG58" s="223">
        <f>+BUS!CQ161+BUS!CR161+BUS!CS161</f>
        <v>0</v>
      </c>
      <c r="AH58" s="223">
        <f>+BUS!CT161+BUS!CU161+BUS!CV161</f>
        <v>0</v>
      </c>
      <c r="AI58" s="223">
        <f>+BUS!CW161+BUS!CX161+BUS!CY161</f>
        <v>0</v>
      </c>
      <c r="AJ58" s="223">
        <f>+BUS!CZ161+BUS!DA161+BUS!DB161</f>
        <v>0</v>
      </c>
      <c r="AK58" s="43">
        <f>+BUS!DC161+BUS!DD161+BUS!DE161</f>
        <v>0</v>
      </c>
      <c r="AL58" s="43">
        <f>+BUS!DF161+BUS!DG161+BUS!DH161</f>
        <v>0</v>
      </c>
      <c r="AM58" s="43">
        <f>+BUS!DI161+BUS!DJ161+BUS!DK161</f>
        <v>0</v>
      </c>
      <c r="AN58" s="43">
        <f>+BUS!DL161+BUS!DM161+BUS!DN161</f>
        <v>0</v>
      </c>
      <c r="AO58" s="43">
        <f>+BUS!DO161+BUS!DP161+BUS!DQ161</f>
        <v>0</v>
      </c>
      <c r="AP58" s="43">
        <f>+BUS!DR161+BUS!DS161+BUS!DT161</f>
        <v>0</v>
      </c>
      <c r="AQ58" s="43">
        <f>+BUS!DU161+BUS!DV161+BUS!DW161</f>
        <v>0</v>
      </c>
      <c r="AR58" s="43">
        <f>+BUS!DX161+BUS!DY161+BUS!DZ161</f>
        <v>0</v>
      </c>
      <c r="AS58" s="43">
        <f>+BUS!EA161+BUS!EB161+BUS!EC161</f>
        <v>0</v>
      </c>
      <c r="AT58" s="43">
        <f>+BUS!ED161+BUS!EE161+BUS!EF161</f>
        <v>0</v>
      </c>
      <c r="AU58" s="43">
        <f>+BUS!EH161+BUS!EI161+BUS!EG161</f>
        <v>0</v>
      </c>
      <c r="AV58" s="43">
        <f>+BUS!EK161+BUS!EL161+BUS!EJ161</f>
        <v>0</v>
      </c>
      <c r="AW58" s="43">
        <f>+BUS!EN161+BUS!EO161+BUS!EM161</f>
        <v>0</v>
      </c>
      <c r="AX58" s="43">
        <f>+BUS!EQ161+BUS!ER161+BUS!EP161</f>
        <v>0</v>
      </c>
      <c r="AY58" s="43">
        <f>+BUS!ET161+BUS!EU161+BUS!ES161</f>
        <v>0</v>
      </c>
      <c r="AZ58" s="43">
        <f>+BUS!EW161+BUS!EX161+BUS!EV161</f>
        <v>0</v>
      </c>
      <c r="BA58" s="43">
        <f>+BUS!EZ161+BUS!FA161+BUS!FY161</f>
        <v>0</v>
      </c>
      <c r="BB58" s="43">
        <f>+BUS!FC161+BUS!FD161+BUS!FB161</f>
        <v>0</v>
      </c>
      <c r="BC58" s="43">
        <f>+BUS!FF161+BUS!FG161+BUS!FE161</f>
        <v>0</v>
      </c>
      <c r="BD58" s="43">
        <f>+BUS!FI161+BUS!FJ161+BUS!FH161</f>
        <v>0</v>
      </c>
      <c r="BE58" s="43">
        <f>+BUS!FL161+BUS!FM161+BUS!FK161</f>
        <v>0</v>
      </c>
      <c r="BF58" s="409">
        <f t="shared" si="3"/>
        <v>0</v>
      </c>
    </row>
    <row r="59" spans="1:59" ht="27.75" customHeight="1" thickBot="1">
      <c r="A59" s="154">
        <v>12</v>
      </c>
      <c r="B59" s="222">
        <f>+BUS!B162+BUS!C162+BUS!D162</f>
        <v>0</v>
      </c>
      <c r="C59" s="223">
        <f>+BUS!E162+BUS!F162+BUS!G162</f>
        <v>0</v>
      </c>
      <c r="D59" s="223">
        <f>+BUS!H162+BUS!I162+BUS!J162</f>
        <v>0</v>
      </c>
      <c r="E59" s="223">
        <f>+BUS!K162+BUS!L162+BUS!M162</f>
        <v>0</v>
      </c>
      <c r="F59" s="223">
        <f>+BUS!N162+BUS!O162+BUS!P162</f>
        <v>0</v>
      </c>
      <c r="G59" s="223">
        <f>+BUS!Q162+BUS!R162+BUS!S162</f>
        <v>0</v>
      </c>
      <c r="H59" s="223">
        <f>+BUS!T162+BUS!U162+BUS!V162</f>
        <v>0</v>
      </c>
      <c r="I59" s="223">
        <f>+BUS!W162+BUS!X162+BUS!Y162</f>
        <v>0</v>
      </c>
      <c r="J59" s="223">
        <f>+BUS!Z162+BUS!AA162+BUS!AB162</f>
        <v>0</v>
      </c>
      <c r="K59" s="223">
        <f>+BUS!AC162+BUS!AD162+BUS!AE162</f>
        <v>0</v>
      </c>
      <c r="L59" s="223">
        <f>+BUS!AF162+BUS!AG162+BUS!AH162</f>
        <v>0</v>
      </c>
      <c r="M59" s="223">
        <f>+BUS!AI162+BUS!AJ162+BUS!AK162</f>
        <v>0</v>
      </c>
      <c r="N59" s="223">
        <f>+BUS!AL162+BUS!AM162+BUS!AN162</f>
        <v>0</v>
      </c>
      <c r="O59" s="223">
        <f>+BUS!AO162+BUS!AP162+BUS!AQ162</f>
        <v>0</v>
      </c>
      <c r="P59" s="223">
        <f>+BUS!AR162+BUS!AS162+BUS!AT162</f>
        <v>0</v>
      </c>
      <c r="Q59" s="223">
        <f>+BUS!AU162+BUS!AV162+BUS!AW162</f>
        <v>0</v>
      </c>
      <c r="R59" s="223">
        <f>+BUS!AX162+BUS!AY162+BUS!AZ162</f>
        <v>0</v>
      </c>
      <c r="S59" s="223">
        <f>+BUS!BA162+BUS!BB162+BUS!BC162</f>
        <v>0</v>
      </c>
      <c r="T59" s="223">
        <f>+BUS!BD162+BUS!BE162+BUS!BF162</f>
        <v>0</v>
      </c>
      <c r="U59" s="223">
        <f>+BUS!BG162+BUS!BH162+BUS!BI162</f>
        <v>0</v>
      </c>
      <c r="V59" s="223">
        <f>+BUS!BJ162+BUS!BK162+BUS!BL162</f>
        <v>0</v>
      </c>
      <c r="W59" s="223">
        <f>+BUS!BM162+BUS!BN162+BUS!BO162</f>
        <v>0</v>
      </c>
      <c r="X59" s="223">
        <f>+BUS!BP162+BUS!BQ162+BUS!BR162</f>
        <v>0</v>
      </c>
      <c r="Y59" s="223">
        <f>+BUS!BS162+BUS!BT162+BUS!BU162</f>
        <v>0</v>
      </c>
      <c r="Z59" s="223">
        <f>+BUS!BV162+BUS!BW162+BUS!BX162</f>
        <v>0</v>
      </c>
      <c r="AA59" s="223">
        <f>+BUS!BY162+BUS!BZ162+BUS!CA162</f>
        <v>0</v>
      </c>
      <c r="AB59" s="223">
        <f>+BUS!CB162+BUS!CC162+BUS!CD162</f>
        <v>0</v>
      </c>
      <c r="AC59" s="223">
        <f>+BUS!CE162+BUS!CF162+BUS!CG162</f>
        <v>0</v>
      </c>
      <c r="AD59" s="223">
        <f>+BUS!CH162+BUS!CI162+BUS!CJ162</f>
        <v>0</v>
      </c>
      <c r="AE59" s="223">
        <f>+BUS!CK162+BUS!CL162+BUS!CM162</f>
        <v>0</v>
      </c>
      <c r="AF59" s="223">
        <f>+BUS!CN162+BUS!CO162+BUS!CP162</f>
        <v>0</v>
      </c>
      <c r="AG59" s="223">
        <f>+BUS!CQ162+BUS!CR162+BUS!CS162</f>
        <v>0</v>
      </c>
      <c r="AH59" s="223">
        <f>+BUS!CT162+BUS!CU162+BUS!CV162</f>
        <v>0</v>
      </c>
      <c r="AI59" s="223">
        <f>+BUS!CW162+BUS!CX162+BUS!CY162</f>
        <v>0</v>
      </c>
      <c r="AJ59" s="223">
        <f>+BUS!CZ162+BUS!DA162+BUS!DB162</f>
        <v>0</v>
      </c>
      <c r="AK59" s="43">
        <f>+BUS!DC162+BUS!DD162+BUS!DE162</f>
        <v>0</v>
      </c>
      <c r="AL59" s="43">
        <f>+BUS!DF162+BUS!DG162+BUS!DH162</f>
        <v>0</v>
      </c>
      <c r="AM59" s="43">
        <f>+BUS!DI162+BUS!DJ162+BUS!DK162</f>
        <v>0</v>
      </c>
      <c r="AN59" s="43">
        <f>+BUS!DL162+BUS!DM162+BUS!DN162</f>
        <v>0</v>
      </c>
      <c r="AO59" s="43">
        <f>+BUS!DO162+BUS!DP162+BUS!DQ162</f>
        <v>0</v>
      </c>
      <c r="AP59" s="43">
        <f>+BUS!DR162+BUS!DS162+BUS!DT162</f>
        <v>0</v>
      </c>
      <c r="AQ59" s="43">
        <f>+BUS!DU162+BUS!DV162+BUS!DW162</f>
        <v>0</v>
      </c>
      <c r="AR59" s="43">
        <f>+BUS!DX162+BUS!DY162+BUS!DZ162</f>
        <v>0</v>
      </c>
      <c r="AS59" s="43">
        <f>+BUS!EA162+BUS!EB162+BUS!EC162</f>
        <v>0</v>
      </c>
      <c r="AT59" s="43">
        <f>+BUS!ED162+BUS!EE162+BUS!EF162</f>
        <v>0</v>
      </c>
      <c r="AU59" s="43">
        <f>+BUS!EH162+BUS!EI162+BUS!EG162</f>
        <v>0</v>
      </c>
      <c r="AV59" s="43">
        <f>+BUS!EK162+BUS!EL162+BUS!EJ162</f>
        <v>0</v>
      </c>
      <c r="AW59" s="43">
        <f>+BUS!EN162+BUS!EO162+BUS!EM162</f>
        <v>0</v>
      </c>
      <c r="AX59" s="43">
        <f>+BUS!EQ162+BUS!ER162+BUS!EP162</f>
        <v>0</v>
      </c>
      <c r="AY59" s="43">
        <f>+BUS!ET162+BUS!EU162+BUS!ES162</f>
        <v>0</v>
      </c>
      <c r="AZ59" s="43">
        <f>+BUS!EW162+BUS!EX162+BUS!EV162</f>
        <v>0</v>
      </c>
      <c r="BA59" s="43">
        <f>+BUS!EZ162+BUS!FA162+BUS!FY162</f>
        <v>0</v>
      </c>
      <c r="BB59" s="43">
        <f>+BUS!FC162+BUS!FD162+BUS!FB162</f>
        <v>0</v>
      </c>
      <c r="BC59" s="43">
        <f>+BUS!FF162+BUS!FG162+BUS!FE162</f>
        <v>0</v>
      </c>
      <c r="BD59" s="43">
        <f>+BUS!FI162+BUS!FJ162+BUS!FH162</f>
        <v>0</v>
      </c>
      <c r="BE59" s="43">
        <f>+BUS!FL162+BUS!FM162+BUS!FK162</f>
        <v>0</v>
      </c>
      <c r="BF59" s="409">
        <f t="shared" si="3"/>
        <v>0</v>
      </c>
    </row>
    <row r="60" spans="1:59" ht="23.25" customHeight="1" thickBot="1">
      <c r="A60" s="154">
        <v>13</v>
      </c>
      <c r="B60" s="222">
        <f>+BUS!B163+BUS!C163+BUS!D163</f>
        <v>0</v>
      </c>
      <c r="C60" s="223">
        <f>+BUS!E163+BUS!F163+BUS!G163</f>
        <v>0</v>
      </c>
      <c r="D60" s="223">
        <f>+BUS!H163+BUS!I163+BUS!J163</f>
        <v>0</v>
      </c>
      <c r="E60" s="223">
        <f>+BUS!K163+BUS!L163+BUS!M163</f>
        <v>0</v>
      </c>
      <c r="F60" s="223">
        <f>+BUS!N163+BUS!O163+BUS!P163</f>
        <v>0</v>
      </c>
      <c r="G60" s="223">
        <f>+BUS!Q163+BUS!R163+BUS!S163</f>
        <v>0</v>
      </c>
      <c r="H60" s="223">
        <f>+BUS!T163+BUS!U163+BUS!V163</f>
        <v>0</v>
      </c>
      <c r="I60" s="223">
        <f>+BUS!W163+BUS!X163+BUS!Y163</f>
        <v>0</v>
      </c>
      <c r="J60" s="223">
        <f>+BUS!Z163+BUS!AA163+BUS!AB163</f>
        <v>0</v>
      </c>
      <c r="K60" s="223">
        <f>+BUS!AC163+BUS!AD163+BUS!AE163</f>
        <v>0</v>
      </c>
      <c r="L60" s="223">
        <f>+BUS!AF163+BUS!AG163+BUS!AH163</f>
        <v>0</v>
      </c>
      <c r="M60" s="223">
        <f>+BUS!AI163+BUS!AJ163+BUS!AK163</f>
        <v>0</v>
      </c>
      <c r="N60" s="223">
        <f>+BUS!AL163+BUS!AM163+BUS!AN163</f>
        <v>0</v>
      </c>
      <c r="O60" s="223">
        <f>+BUS!AO163+BUS!AP163+BUS!AQ163</f>
        <v>0</v>
      </c>
      <c r="P60" s="223">
        <f>+BUS!AR163+BUS!AS163+BUS!AT163</f>
        <v>0</v>
      </c>
      <c r="Q60" s="223">
        <f>+BUS!AU163+BUS!AV163+BUS!AW163</f>
        <v>0</v>
      </c>
      <c r="R60" s="223">
        <f>+BUS!AX163+BUS!AY163+BUS!AZ163</f>
        <v>0</v>
      </c>
      <c r="S60" s="223">
        <f>+BUS!BA163+BUS!BB163+BUS!BC163</f>
        <v>0</v>
      </c>
      <c r="T60" s="223">
        <f>+BUS!BD163+BUS!BE163+BUS!BF163</f>
        <v>0</v>
      </c>
      <c r="U60" s="223">
        <f>+BUS!BG163+BUS!BH163+BUS!BI163</f>
        <v>0</v>
      </c>
      <c r="V60" s="223">
        <f>+BUS!BJ163+BUS!BK163+BUS!BL163</f>
        <v>0</v>
      </c>
      <c r="W60" s="223">
        <f>+BUS!BM163+BUS!BN163+BUS!BO163</f>
        <v>0</v>
      </c>
      <c r="X60" s="223">
        <f>+BUS!BP163+BUS!BQ163+BUS!BR163</f>
        <v>0</v>
      </c>
      <c r="Y60" s="223">
        <f>+BUS!BS163+BUS!BT163+BUS!BU163</f>
        <v>0</v>
      </c>
      <c r="Z60" s="223">
        <f>+BUS!BV163+BUS!BW163+BUS!BX163</f>
        <v>0</v>
      </c>
      <c r="AA60" s="223">
        <f>+BUS!BY163+BUS!BZ163+BUS!CA163</f>
        <v>0</v>
      </c>
      <c r="AB60" s="223">
        <f>+BUS!CB163+BUS!CC163+BUS!CD163</f>
        <v>0</v>
      </c>
      <c r="AC60" s="223">
        <f>+BUS!CE163+BUS!CF163+BUS!CG163</f>
        <v>0</v>
      </c>
      <c r="AD60" s="223">
        <f>+BUS!CH163+BUS!CI163+BUS!CJ163</f>
        <v>0</v>
      </c>
      <c r="AE60" s="223">
        <f>+BUS!CK163+BUS!CL163+BUS!CM163</f>
        <v>0</v>
      </c>
      <c r="AF60" s="223">
        <f>+BUS!CN163+BUS!CO163+BUS!CP163</f>
        <v>0</v>
      </c>
      <c r="AG60" s="223">
        <f>+BUS!CQ163+BUS!CR163+BUS!CS163</f>
        <v>0</v>
      </c>
      <c r="AH60" s="223">
        <f>+BUS!CT163+BUS!CU163+BUS!CV163</f>
        <v>0</v>
      </c>
      <c r="AI60" s="223">
        <f>+BUS!CW163+BUS!CX163+BUS!CY163</f>
        <v>0</v>
      </c>
      <c r="AJ60" s="223">
        <f>+BUS!CZ163+BUS!DA163+BUS!DB163</f>
        <v>0</v>
      </c>
      <c r="AK60" s="43">
        <f>+BUS!DC163+BUS!DD163+BUS!DE163</f>
        <v>0</v>
      </c>
      <c r="AL60" s="43">
        <f>+BUS!DF163+BUS!DG163+BUS!DH163</f>
        <v>0</v>
      </c>
      <c r="AM60" s="43">
        <f>+BUS!DI163+BUS!DJ163+BUS!DK163</f>
        <v>0</v>
      </c>
      <c r="AN60" s="43">
        <f>+BUS!DL163+BUS!DM163+BUS!DN163</f>
        <v>0</v>
      </c>
      <c r="AO60" s="43">
        <f>+BUS!DO163+BUS!DP163+BUS!DQ163</f>
        <v>0</v>
      </c>
      <c r="AP60" s="43">
        <f>+BUS!DR163+BUS!DS163+BUS!DT163</f>
        <v>0</v>
      </c>
      <c r="AQ60" s="43">
        <f>+BUS!DU163+BUS!DV163+BUS!DW163</f>
        <v>0</v>
      </c>
      <c r="AR60" s="43">
        <f>+BUS!DX163+BUS!DY163+BUS!DZ163</f>
        <v>0</v>
      </c>
      <c r="AS60" s="43">
        <f>+BUS!EA163+BUS!EB163+BUS!EC163</f>
        <v>0</v>
      </c>
      <c r="AT60" s="43">
        <f>+BUS!ED163+BUS!EE163+BUS!EF163</f>
        <v>0</v>
      </c>
      <c r="AU60" s="43">
        <f>+BUS!EH163+BUS!EI163+BUS!EG163</f>
        <v>0</v>
      </c>
      <c r="AV60" s="43">
        <f>+BUS!EK163+BUS!EL163+BUS!EJ163</f>
        <v>0</v>
      </c>
      <c r="AW60" s="43">
        <f>+BUS!EN163+BUS!EO163+BUS!EM163</f>
        <v>0</v>
      </c>
      <c r="AX60" s="43">
        <f>+BUS!EQ163+BUS!ER163+BUS!EP163</f>
        <v>0</v>
      </c>
      <c r="AY60" s="43">
        <f>+BUS!ET163+BUS!EU163+BUS!ES163</f>
        <v>0</v>
      </c>
      <c r="AZ60" s="43">
        <f>+BUS!EW163+BUS!EX163+BUS!EV163</f>
        <v>0</v>
      </c>
      <c r="BA60" s="43">
        <f>+BUS!EZ163+BUS!FA163+BUS!FY163</f>
        <v>0</v>
      </c>
      <c r="BB60" s="43">
        <f>+BUS!FC163+BUS!FD163+BUS!FB163</f>
        <v>0</v>
      </c>
      <c r="BC60" s="43">
        <f>+BUS!FF163+BUS!FG163+BUS!FE163</f>
        <v>0</v>
      </c>
      <c r="BD60" s="43">
        <f>+BUS!FI163+BUS!FJ163+BUS!FH163</f>
        <v>0</v>
      </c>
      <c r="BE60" s="43">
        <f>+BUS!FL163+BUS!FM163+BUS!FK163</f>
        <v>0</v>
      </c>
      <c r="BF60" s="409">
        <f t="shared" si="3"/>
        <v>0</v>
      </c>
    </row>
    <row r="61" spans="1:59" ht="21" customHeight="1" thickBot="1">
      <c r="A61" s="154">
        <v>14</v>
      </c>
      <c r="B61" s="222">
        <f>+BUS!B164+BUS!C164+BUS!D164</f>
        <v>0</v>
      </c>
      <c r="C61" s="223">
        <f>+BUS!E164+BUS!F164+BUS!G164</f>
        <v>0</v>
      </c>
      <c r="D61" s="223">
        <f>+BUS!H164+BUS!I164+BUS!J164</f>
        <v>0</v>
      </c>
      <c r="E61" s="223">
        <f>+BUS!K164+BUS!L164+BUS!M164</f>
        <v>0</v>
      </c>
      <c r="F61" s="223">
        <f>+BUS!N164+BUS!O164+BUS!P164</f>
        <v>0</v>
      </c>
      <c r="G61" s="223">
        <f>+BUS!Q164+BUS!R164+BUS!S164</f>
        <v>0</v>
      </c>
      <c r="H61" s="223">
        <f>+BUS!T164+BUS!U164+BUS!V164</f>
        <v>0</v>
      </c>
      <c r="I61" s="223">
        <f>+BUS!W164+BUS!X164+BUS!Y164</f>
        <v>0</v>
      </c>
      <c r="J61" s="223">
        <f>+BUS!Z164+BUS!AA164+BUS!AB164</f>
        <v>0</v>
      </c>
      <c r="K61" s="223">
        <f>+BUS!AC164+BUS!AD164+BUS!AE164</f>
        <v>0</v>
      </c>
      <c r="L61" s="223">
        <f>+BUS!AF164+BUS!AG164+BUS!AH164</f>
        <v>0</v>
      </c>
      <c r="M61" s="223">
        <f>+BUS!AI164+BUS!AJ164+BUS!AK164</f>
        <v>0</v>
      </c>
      <c r="N61" s="223">
        <f>+BUS!AL164+BUS!AM164+BUS!AN164</f>
        <v>0</v>
      </c>
      <c r="O61" s="223">
        <f>+BUS!AO164+BUS!AP164+BUS!AQ164</f>
        <v>0</v>
      </c>
      <c r="P61" s="223">
        <f>+BUS!AR164+BUS!AS164+BUS!AT164</f>
        <v>0</v>
      </c>
      <c r="Q61" s="223">
        <f>+BUS!AU164+BUS!AV164+BUS!AW164</f>
        <v>0</v>
      </c>
      <c r="R61" s="223">
        <f>+BUS!AX164+BUS!AY164+BUS!AZ164</f>
        <v>0</v>
      </c>
      <c r="S61" s="223">
        <f>+BUS!BA164+BUS!BB164+BUS!BC164</f>
        <v>0</v>
      </c>
      <c r="T61" s="223">
        <f>+BUS!BD164+BUS!BE164+BUS!BF164</f>
        <v>0</v>
      </c>
      <c r="U61" s="223">
        <f>+BUS!BG164+BUS!BH164+BUS!BI164</f>
        <v>0</v>
      </c>
      <c r="V61" s="223">
        <f>+BUS!BJ164+BUS!BK164+BUS!BL164</f>
        <v>0</v>
      </c>
      <c r="W61" s="223">
        <f>+BUS!BM164+BUS!BN164+BUS!BO164</f>
        <v>0</v>
      </c>
      <c r="X61" s="223">
        <f>+BUS!BP164+BUS!BQ164+BUS!BR164</f>
        <v>0</v>
      </c>
      <c r="Y61" s="223">
        <f>+BUS!BS164+BUS!BT164+BUS!BU164</f>
        <v>0</v>
      </c>
      <c r="Z61" s="223">
        <f>+BUS!BV164+BUS!BW164+BUS!BX164</f>
        <v>0</v>
      </c>
      <c r="AA61" s="223">
        <f>+BUS!BY164+BUS!BZ164+BUS!CA164</f>
        <v>0</v>
      </c>
      <c r="AB61" s="223">
        <f>+BUS!CB164+BUS!CC164+BUS!CD164</f>
        <v>0</v>
      </c>
      <c r="AC61" s="223">
        <f>+BUS!CE164+BUS!CF164+BUS!CG164</f>
        <v>0</v>
      </c>
      <c r="AD61" s="223">
        <f>+BUS!CH164+BUS!CI164+BUS!CJ164</f>
        <v>0</v>
      </c>
      <c r="AE61" s="223">
        <f>+BUS!CK164+BUS!CL164+BUS!CM164</f>
        <v>0</v>
      </c>
      <c r="AF61" s="223">
        <f>+BUS!CN164+BUS!CO164+BUS!CP164</f>
        <v>0</v>
      </c>
      <c r="AG61" s="223">
        <f>+BUS!CQ164+BUS!CR164+BUS!CS164</f>
        <v>0</v>
      </c>
      <c r="AH61" s="223">
        <f>+BUS!CT164+BUS!CU164+BUS!CV164</f>
        <v>0</v>
      </c>
      <c r="AI61" s="223">
        <f>+BUS!CW164+BUS!CX164+BUS!CY164</f>
        <v>0</v>
      </c>
      <c r="AJ61" s="223">
        <f>+BUS!CZ164+BUS!DA164+BUS!DB164</f>
        <v>0</v>
      </c>
      <c r="AK61" s="43">
        <f>+BUS!DC164+BUS!DD164+BUS!DE164</f>
        <v>0</v>
      </c>
      <c r="AL61" s="43">
        <f>+BUS!DF164+BUS!DG164+BUS!DH164</f>
        <v>0</v>
      </c>
      <c r="AM61" s="43">
        <f>+BUS!DI164+BUS!DJ164+BUS!DK164</f>
        <v>0</v>
      </c>
      <c r="AN61" s="43">
        <f>+BUS!DL164+BUS!DM164+BUS!DN164</f>
        <v>0</v>
      </c>
      <c r="AO61" s="43">
        <f>+BUS!DO164+BUS!DP164+BUS!DQ164</f>
        <v>0</v>
      </c>
      <c r="AP61" s="43">
        <f>+BUS!DR164+BUS!DS164+BUS!DT164</f>
        <v>0</v>
      </c>
      <c r="AQ61" s="43">
        <f>+BUS!DU164+BUS!DV164+BUS!DW164</f>
        <v>0</v>
      </c>
      <c r="AR61" s="43">
        <f>+BUS!DX164+BUS!DY164+BUS!DZ164</f>
        <v>0</v>
      </c>
      <c r="AS61" s="43">
        <f>+BUS!EA164+BUS!EB164+BUS!EC164</f>
        <v>0</v>
      </c>
      <c r="AT61" s="43">
        <f>+BUS!ED164+BUS!EE164+BUS!EF164</f>
        <v>0</v>
      </c>
      <c r="AU61" s="43">
        <f>+BUS!EH164+BUS!EI164+BUS!EG164</f>
        <v>0</v>
      </c>
      <c r="AV61" s="43">
        <f>+BUS!EK164+BUS!EL164+BUS!EJ164</f>
        <v>0</v>
      </c>
      <c r="AW61" s="43">
        <f>+BUS!EN164+BUS!EO164+BUS!EM164</f>
        <v>0</v>
      </c>
      <c r="AX61" s="43">
        <f>+BUS!EQ164+BUS!ER164+BUS!EP164</f>
        <v>0</v>
      </c>
      <c r="AY61" s="43">
        <f>+BUS!ET164+BUS!EU164+BUS!ES164</f>
        <v>0</v>
      </c>
      <c r="AZ61" s="43">
        <f>+BUS!EW164+BUS!EX164+BUS!EV164</f>
        <v>0</v>
      </c>
      <c r="BA61" s="43">
        <f>+BUS!EZ164+BUS!FA164+BUS!FY164</f>
        <v>0</v>
      </c>
      <c r="BB61" s="43">
        <f>+BUS!FC164+BUS!FD164+BUS!FB164</f>
        <v>0</v>
      </c>
      <c r="BC61" s="43">
        <f>+BUS!FF164+BUS!FG164+BUS!FE164</f>
        <v>0</v>
      </c>
      <c r="BD61" s="43">
        <f>+BUS!FI164+BUS!FJ164+BUS!FH164</f>
        <v>0</v>
      </c>
      <c r="BE61" s="43">
        <f>+BUS!FL164+BUS!FM164+BUS!FK164</f>
        <v>0</v>
      </c>
      <c r="BF61" s="409">
        <f t="shared" si="3"/>
        <v>0</v>
      </c>
    </row>
    <row r="62" spans="1:59" ht="25.5" customHeight="1" thickBot="1">
      <c r="A62" s="154">
        <v>15</v>
      </c>
      <c r="B62" s="222">
        <f>+BUS!B165+BUS!C165+BUS!D165</f>
        <v>0</v>
      </c>
      <c r="C62" s="223">
        <f>+BUS!E165+BUS!F165+BUS!G165</f>
        <v>0</v>
      </c>
      <c r="D62" s="223">
        <f>+BUS!H165+BUS!I165+BUS!J165</f>
        <v>0</v>
      </c>
      <c r="E62" s="223">
        <f>+BUS!K165+BUS!L165+BUS!M165</f>
        <v>0</v>
      </c>
      <c r="F62" s="223">
        <f>+BUS!N165+BUS!O165+BUS!P165</f>
        <v>0</v>
      </c>
      <c r="G62" s="223">
        <f>+BUS!Q165+BUS!R165+BUS!S165</f>
        <v>0</v>
      </c>
      <c r="H62" s="223">
        <f>+BUS!T165+BUS!U165+BUS!V165</f>
        <v>0</v>
      </c>
      <c r="I62" s="223">
        <f>+BUS!W165+BUS!X165+BUS!Y165</f>
        <v>0</v>
      </c>
      <c r="J62" s="223">
        <f>+BUS!Z165+BUS!AA165+BUS!AB165</f>
        <v>0</v>
      </c>
      <c r="K62" s="223">
        <f>+BUS!AC165+BUS!AD165+BUS!AE165</f>
        <v>0</v>
      </c>
      <c r="L62" s="223">
        <f>+BUS!AF165+BUS!AG165+BUS!AH165</f>
        <v>0</v>
      </c>
      <c r="M62" s="223">
        <f>+BUS!AI165+BUS!AJ165+BUS!AK165</f>
        <v>0</v>
      </c>
      <c r="N62" s="223">
        <f>+BUS!AL165+BUS!AM165+BUS!AN165</f>
        <v>0</v>
      </c>
      <c r="O62" s="223">
        <f>+BUS!AO165+BUS!AP165+BUS!AQ165</f>
        <v>0</v>
      </c>
      <c r="P62" s="223">
        <f>+BUS!AR165+BUS!AS165+BUS!AT165</f>
        <v>0</v>
      </c>
      <c r="Q62" s="223">
        <f>+BUS!AU165+BUS!AV165+BUS!AW165</f>
        <v>0</v>
      </c>
      <c r="R62" s="223">
        <f>+BUS!AX165+BUS!AY165+BUS!AZ165</f>
        <v>0</v>
      </c>
      <c r="S62" s="223">
        <f>+BUS!BA165+BUS!BB165+BUS!BC165</f>
        <v>0</v>
      </c>
      <c r="T62" s="223">
        <f>+BUS!BD165+BUS!BE165+BUS!BF165</f>
        <v>0</v>
      </c>
      <c r="U62" s="223">
        <f>+BUS!BG165+BUS!BH165+BUS!BI165</f>
        <v>0</v>
      </c>
      <c r="V62" s="223">
        <f>+BUS!BJ165+BUS!BK165+BUS!BL165</f>
        <v>0</v>
      </c>
      <c r="W62" s="223">
        <f>+BUS!BM165+BUS!BN165+BUS!BO165</f>
        <v>0</v>
      </c>
      <c r="X62" s="223">
        <f>+BUS!BP165+BUS!BQ165+BUS!BR165</f>
        <v>0</v>
      </c>
      <c r="Y62" s="223">
        <f>+BUS!BS165+BUS!BT165+BUS!BU165</f>
        <v>0</v>
      </c>
      <c r="Z62" s="223">
        <f>+BUS!BV165+BUS!BW165+BUS!BX165</f>
        <v>0</v>
      </c>
      <c r="AA62" s="223">
        <f>+BUS!BY165+BUS!BZ165+BUS!CA165</f>
        <v>0</v>
      </c>
      <c r="AB62" s="223">
        <f>+BUS!CB165+BUS!CC165+BUS!CD165</f>
        <v>0</v>
      </c>
      <c r="AC62" s="223">
        <f>+BUS!CE165+BUS!CF165+BUS!CG165</f>
        <v>0</v>
      </c>
      <c r="AD62" s="223">
        <f>+BUS!CH165+BUS!CI165+BUS!CJ165</f>
        <v>0</v>
      </c>
      <c r="AE62" s="223">
        <f>+BUS!CK165+BUS!CL165+BUS!CM165</f>
        <v>0</v>
      </c>
      <c r="AF62" s="223">
        <f>+BUS!CN165+BUS!CO165+BUS!CP165</f>
        <v>0</v>
      </c>
      <c r="AG62" s="223">
        <f>+BUS!CQ165+BUS!CR165+BUS!CS165</f>
        <v>0</v>
      </c>
      <c r="AH62" s="223">
        <f>+BUS!CT165+BUS!CU165+BUS!CV165</f>
        <v>0</v>
      </c>
      <c r="AI62" s="223">
        <f>+BUS!CW165+BUS!CX165+BUS!CY165</f>
        <v>0</v>
      </c>
      <c r="AJ62" s="223">
        <f>+BUS!CZ165+BUS!DA165+BUS!DB165</f>
        <v>0</v>
      </c>
      <c r="AK62" s="43">
        <f>+BUS!DC165+BUS!DD165+BUS!DE165</f>
        <v>0</v>
      </c>
      <c r="AL62" s="43">
        <f>+BUS!DF165+BUS!DG165+BUS!DH165</f>
        <v>0</v>
      </c>
      <c r="AM62" s="43">
        <f>+BUS!DI165+BUS!DJ165+BUS!DK165</f>
        <v>0</v>
      </c>
      <c r="AN62" s="43">
        <f>+BUS!DL165+BUS!DM165+BUS!DN165</f>
        <v>0</v>
      </c>
      <c r="AO62" s="43">
        <f>+BUS!DO165+BUS!DP165+BUS!DQ165</f>
        <v>0</v>
      </c>
      <c r="AP62" s="43">
        <f>+BUS!DR165+BUS!DS165+BUS!DT165</f>
        <v>0</v>
      </c>
      <c r="AQ62" s="43">
        <f>+BUS!DU165+BUS!DV165+BUS!DW165</f>
        <v>0</v>
      </c>
      <c r="AR62" s="43">
        <f>+BUS!DX165+BUS!DY165+BUS!DZ165</f>
        <v>0</v>
      </c>
      <c r="AS62" s="43">
        <f>+BUS!EA165+BUS!EB165+BUS!EC165</f>
        <v>0</v>
      </c>
      <c r="AT62" s="43">
        <f>+BUS!ED165+BUS!EE165+BUS!EF165</f>
        <v>0</v>
      </c>
      <c r="AU62" s="43">
        <f>+BUS!EH165+BUS!EI165+BUS!EG165</f>
        <v>0</v>
      </c>
      <c r="AV62" s="43">
        <f>+BUS!EK165+BUS!EL165+BUS!EJ165</f>
        <v>0</v>
      </c>
      <c r="AW62" s="43">
        <f>+BUS!EN165+BUS!EO165+BUS!EM165</f>
        <v>0</v>
      </c>
      <c r="AX62" s="43">
        <f>+BUS!EQ165+BUS!ER165+BUS!EP165</f>
        <v>0</v>
      </c>
      <c r="AY62" s="43">
        <f>+BUS!ET165+BUS!EU165+BUS!ES165</f>
        <v>0</v>
      </c>
      <c r="AZ62" s="43">
        <f>+BUS!EW165+BUS!EX165+BUS!EV165</f>
        <v>0</v>
      </c>
      <c r="BA62" s="43">
        <f>+BUS!EZ165+BUS!FA165+BUS!FY165</f>
        <v>0</v>
      </c>
      <c r="BB62" s="43">
        <f>+BUS!FC165+BUS!FD165+BUS!FB165</f>
        <v>0</v>
      </c>
      <c r="BC62" s="43">
        <f>+BUS!FF165+BUS!FG165+BUS!FE165</f>
        <v>0</v>
      </c>
      <c r="BD62" s="43">
        <f>+BUS!FI165+BUS!FJ165+BUS!FH165</f>
        <v>0</v>
      </c>
      <c r="BE62" s="43">
        <f>+BUS!FL165+BUS!FM165+BUS!FK165</f>
        <v>0</v>
      </c>
      <c r="BF62" s="409">
        <f t="shared" si="3"/>
        <v>0</v>
      </c>
    </row>
    <row r="63" spans="1:59" ht="27" customHeight="1" thickBot="1">
      <c r="A63" s="154">
        <v>16</v>
      </c>
      <c r="B63" s="222">
        <f>+BUS!B166+BUS!C166+BUS!D166</f>
        <v>0</v>
      </c>
      <c r="C63" s="223">
        <f>+BUS!E166+BUS!F166+BUS!G166</f>
        <v>0</v>
      </c>
      <c r="D63" s="223">
        <f>+BUS!H166+BUS!I166+BUS!J166</f>
        <v>0</v>
      </c>
      <c r="E63" s="223">
        <f>+BUS!K166+BUS!L166+BUS!M166</f>
        <v>0</v>
      </c>
      <c r="F63" s="223">
        <f>+BUS!N166+BUS!O166+BUS!P166</f>
        <v>0</v>
      </c>
      <c r="G63" s="223">
        <f>+BUS!Q166+BUS!R166+BUS!S166</f>
        <v>0</v>
      </c>
      <c r="H63" s="223">
        <f>+BUS!T166+BUS!U166+BUS!V166</f>
        <v>0</v>
      </c>
      <c r="I63" s="223">
        <f>+BUS!W166+BUS!X166+BUS!Y166</f>
        <v>0</v>
      </c>
      <c r="J63" s="223">
        <f>+BUS!Z166+BUS!AA166+BUS!AB166</f>
        <v>0</v>
      </c>
      <c r="K63" s="223">
        <f>+BUS!AC166+BUS!AD166+BUS!AE166</f>
        <v>0</v>
      </c>
      <c r="L63" s="223">
        <f>+BUS!AF166+BUS!AG166+BUS!AH166</f>
        <v>0</v>
      </c>
      <c r="M63" s="223">
        <f>+BUS!AI166+BUS!AJ166+BUS!AK166</f>
        <v>0</v>
      </c>
      <c r="N63" s="223">
        <f>+BUS!AL166+BUS!AM166+BUS!AN166</f>
        <v>0</v>
      </c>
      <c r="O63" s="223">
        <f>+BUS!AO166+BUS!AP166+BUS!AQ166</f>
        <v>0</v>
      </c>
      <c r="P63" s="223">
        <f>+BUS!AR166+BUS!AS166+BUS!AT166</f>
        <v>0</v>
      </c>
      <c r="Q63" s="223">
        <f>+BUS!AU166+BUS!AV166+BUS!AW166</f>
        <v>0</v>
      </c>
      <c r="R63" s="223">
        <f>+BUS!AX166+BUS!AY166+BUS!AZ166</f>
        <v>0</v>
      </c>
      <c r="S63" s="223">
        <f>+BUS!BA166+BUS!BB166+BUS!BC166</f>
        <v>0</v>
      </c>
      <c r="T63" s="223">
        <f>+BUS!BD166+BUS!BE166+BUS!BF166</f>
        <v>0</v>
      </c>
      <c r="U63" s="223">
        <f>+BUS!BG166+BUS!BH166+BUS!BI166</f>
        <v>0</v>
      </c>
      <c r="V63" s="223">
        <f>+BUS!BJ166+BUS!BK166+BUS!BL166</f>
        <v>0</v>
      </c>
      <c r="W63" s="223">
        <f>+BUS!BM166+BUS!BN166+BUS!BO166</f>
        <v>0</v>
      </c>
      <c r="X63" s="223">
        <f>+BUS!BP166+BUS!BQ166+BUS!BR166</f>
        <v>0</v>
      </c>
      <c r="Y63" s="223">
        <f>+BUS!BS166+BUS!BT166+BUS!BU166</f>
        <v>0</v>
      </c>
      <c r="Z63" s="223">
        <f>+BUS!BV166+BUS!BW166+BUS!BX166</f>
        <v>0</v>
      </c>
      <c r="AA63" s="223">
        <f>+BUS!BY166+BUS!BZ166+BUS!CA166</f>
        <v>0</v>
      </c>
      <c r="AB63" s="223">
        <f>+BUS!CB166+BUS!CC166+BUS!CD166</f>
        <v>0</v>
      </c>
      <c r="AC63" s="223">
        <f>+BUS!CE166+BUS!CF166+BUS!CG166</f>
        <v>0</v>
      </c>
      <c r="AD63" s="223">
        <f>+BUS!CH166+BUS!CI166+BUS!CJ166</f>
        <v>0</v>
      </c>
      <c r="AE63" s="223">
        <f>+BUS!CK166+BUS!CL166+BUS!CM166</f>
        <v>0</v>
      </c>
      <c r="AF63" s="223">
        <f>+BUS!CN166+BUS!CO166+BUS!CP166</f>
        <v>0</v>
      </c>
      <c r="AG63" s="223">
        <f>+BUS!CQ166+BUS!CR166+BUS!CS166</f>
        <v>0</v>
      </c>
      <c r="AH63" s="223">
        <f>+BUS!CT166+BUS!CU166+BUS!CV166</f>
        <v>0</v>
      </c>
      <c r="AI63" s="223">
        <f>+BUS!CW166+BUS!CX166+BUS!CY166</f>
        <v>0</v>
      </c>
      <c r="AJ63" s="223">
        <f>+BUS!CZ166+BUS!DA166+BUS!DB166</f>
        <v>0</v>
      </c>
      <c r="AK63" s="43">
        <f>+BUS!DC166+BUS!DD166+BUS!DE166</f>
        <v>0</v>
      </c>
      <c r="AL63" s="43">
        <f>+BUS!DF166+BUS!DG166+BUS!DH166</f>
        <v>0</v>
      </c>
      <c r="AM63" s="43">
        <f>+BUS!DI166+BUS!DJ166+BUS!DK166</f>
        <v>0</v>
      </c>
      <c r="AN63" s="43">
        <f>+BUS!DL166+BUS!DM166+BUS!DN166</f>
        <v>0</v>
      </c>
      <c r="AO63" s="43">
        <f>+BUS!DO166+BUS!DP166+BUS!DQ166</f>
        <v>0</v>
      </c>
      <c r="AP63" s="43">
        <f>+BUS!DR166+BUS!DS166+BUS!DT166</f>
        <v>0</v>
      </c>
      <c r="AQ63" s="43">
        <f>+BUS!DU166+BUS!DV166+BUS!DW166</f>
        <v>0</v>
      </c>
      <c r="AR63" s="43">
        <f>+BUS!DX166+BUS!DY166+BUS!DZ166</f>
        <v>0</v>
      </c>
      <c r="AS63" s="43">
        <f>+BUS!EA166+BUS!EB166+BUS!EC166</f>
        <v>0</v>
      </c>
      <c r="AT63" s="43">
        <f>+BUS!ED166+BUS!EE166+BUS!EF166</f>
        <v>0</v>
      </c>
      <c r="AU63" s="43">
        <f>+BUS!EH166+BUS!EI166+BUS!EG166</f>
        <v>0</v>
      </c>
      <c r="AV63" s="43">
        <f>+BUS!EK166+BUS!EL166+BUS!EJ166</f>
        <v>0</v>
      </c>
      <c r="AW63" s="43">
        <f>+BUS!EN166+BUS!EO166+BUS!EM166</f>
        <v>0</v>
      </c>
      <c r="AX63" s="43">
        <f>+BUS!EQ166+BUS!ER166+BUS!EP166</f>
        <v>0</v>
      </c>
      <c r="AY63" s="43">
        <f>+BUS!ET166+BUS!EU166+BUS!ES166</f>
        <v>0</v>
      </c>
      <c r="AZ63" s="43">
        <f>+BUS!EW166+BUS!EX166+BUS!EV166</f>
        <v>0</v>
      </c>
      <c r="BA63" s="43">
        <f>+BUS!EZ166+BUS!FA166+BUS!FY166</f>
        <v>0</v>
      </c>
      <c r="BB63" s="43">
        <f>+BUS!FC166+BUS!FD166+BUS!FB166</f>
        <v>0</v>
      </c>
      <c r="BC63" s="43">
        <f>+BUS!FF166+BUS!FG166+BUS!FE166</f>
        <v>0</v>
      </c>
      <c r="BD63" s="43">
        <f>+BUS!FI166+BUS!FJ166+BUS!FH166</f>
        <v>0</v>
      </c>
      <c r="BE63" s="43">
        <f>+BUS!FL166+BUS!FM166+BUS!FK166</f>
        <v>0</v>
      </c>
      <c r="BF63" s="409">
        <f t="shared" si="3"/>
        <v>0</v>
      </c>
    </row>
    <row r="64" spans="1:59" ht="23.25" customHeight="1" thickBot="1">
      <c r="A64" s="154">
        <v>17</v>
      </c>
      <c r="B64" s="222">
        <f>+BUS!B167+BUS!C167+BUS!D167</f>
        <v>0</v>
      </c>
      <c r="C64" s="223">
        <f>+BUS!E167+BUS!F167+BUS!G167</f>
        <v>0</v>
      </c>
      <c r="D64" s="223">
        <f>+BUS!H167+BUS!I167+BUS!J167</f>
        <v>0</v>
      </c>
      <c r="E64" s="223">
        <f>+BUS!K167+BUS!L167+BUS!M167</f>
        <v>0</v>
      </c>
      <c r="F64" s="223">
        <f>+BUS!N167+BUS!O167+BUS!P167</f>
        <v>0</v>
      </c>
      <c r="G64" s="223">
        <f>+BUS!Q167+BUS!R167+BUS!S167</f>
        <v>0</v>
      </c>
      <c r="H64" s="223">
        <f>+BUS!T167+BUS!U167+BUS!V167</f>
        <v>0</v>
      </c>
      <c r="I64" s="223">
        <f>+BUS!W167+BUS!X167+BUS!Y167</f>
        <v>0</v>
      </c>
      <c r="J64" s="223">
        <f>+BUS!Z167+BUS!AA167+BUS!AB167</f>
        <v>0</v>
      </c>
      <c r="K64" s="223">
        <f>+BUS!AC167+BUS!AD167+BUS!AE167</f>
        <v>0</v>
      </c>
      <c r="L64" s="223">
        <f>+BUS!AF167+BUS!AG167+BUS!AH167</f>
        <v>0</v>
      </c>
      <c r="M64" s="223">
        <f>+BUS!AI167+BUS!AJ167+BUS!AK167</f>
        <v>0</v>
      </c>
      <c r="N64" s="223">
        <f>+BUS!AL167+BUS!AM167+BUS!AN167</f>
        <v>0</v>
      </c>
      <c r="O64" s="223">
        <f>+BUS!AO167+BUS!AP167+BUS!AQ167</f>
        <v>0</v>
      </c>
      <c r="P64" s="223">
        <f>+BUS!AR167+BUS!AS167+BUS!AT167</f>
        <v>0</v>
      </c>
      <c r="Q64" s="223">
        <f>+BUS!AU167+BUS!AV167+BUS!AW167</f>
        <v>0</v>
      </c>
      <c r="R64" s="223">
        <f>+BUS!AX167+BUS!AY167+BUS!AZ167</f>
        <v>0</v>
      </c>
      <c r="S64" s="223">
        <f>+BUS!BA167+BUS!BB167+BUS!BC167</f>
        <v>0</v>
      </c>
      <c r="T64" s="223">
        <f>+BUS!BD167+BUS!BE167+BUS!BF167</f>
        <v>0</v>
      </c>
      <c r="U64" s="223">
        <f>+BUS!BG167+BUS!BH167+BUS!BI167</f>
        <v>0</v>
      </c>
      <c r="V64" s="223">
        <f>+BUS!BJ167+BUS!BK167+BUS!BL167</f>
        <v>0</v>
      </c>
      <c r="W64" s="223">
        <f>+BUS!BM167+BUS!BN167+BUS!BO167</f>
        <v>0</v>
      </c>
      <c r="X64" s="223">
        <f>+BUS!BP167+BUS!BQ167+BUS!BR167</f>
        <v>0</v>
      </c>
      <c r="Y64" s="223">
        <f>+BUS!BS167+BUS!BT167+BUS!BU167</f>
        <v>0</v>
      </c>
      <c r="Z64" s="223">
        <f>+BUS!BV167+BUS!BW167+BUS!BX167</f>
        <v>0</v>
      </c>
      <c r="AA64" s="223">
        <f>+BUS!BY167+BUS!BZ167+BUS!CA167</f>
        <v>0</v>
      </c>
      <c r="AB64" s="223">
        <f>+BUS!CB167+BUS!CC167+BUS!CD167</f>
        <v>0</v>
      </c>
      <c r="AC64" s="223">
        <f>+BUS!CE167+BUS!CF167+BUS!CG167</f>
        <v>0</v>
      </c>
      <c r="AD64" s="223">
        <f>+BUS!CH167+BUS!CI167+BUS!CJ167</f>
        <v>0</v>
      </c>
      <c r="AE64" s="223">
        <f>+BUS!CK167+BUS!CL167+BUS!CM167</f>
        <v>0</v>
      </c>
      <c r="AF64" s="223">
        <f>+BUS!CN167+BUS!CO167+BUS!CP167</f>
        <v>0</v>
      </c>
      <c r="AG64" s="223">
        <f>+BUS!CQ167+BUS!CR167+BUS!CS167</f>
        <v>0</v>
      </c>
      <c r="AH64" s="223">
        <f>+BUS!CT167+BUS!CU167+BUS!CV167</f>
        <v>0</v>
      </c>
      <c r="AI64" s="223">
        <f>+BUS!CW167+BUS!CX167+BUS!CY167</f>
        <v>0</v>
      </c>
      <c r="AJ64" s="223">
        <f>+BUS!CZ167+BUS!DA167+BUS!DB167</f>
        <v>0</v>
      </c>
      <c r="AK64" s="43">
        <f>+BUS!DC167+BUS!DD167+BUS!DE167</f>
        <v>0</v>
      </c>
      <c r="AL64" s="43">
        <f>+BUS!DF167+BUS!DG167+BUS!DH167</f>
        <v>0</v>
      </c>
      <c r="AM64" s="43">
        <f>+BUS!DI167+BUS!DJ167+BUS!DK167</f>
        <v>0</v>
      </c>
      <c r="AN64" s="43">
        <f>+BUS!DL167+BUS!DM167+BUS!DN167</f>
        <v>0</v>
      </c>
      <c r="AO64" s="43">
        <f>+BUS!DO167+BUS!DP167+BUS!DQ167</f>
        <v>0</v>
      </c>
      <c r="AP64" s="43">
        <f>+BUS!DR167+BUS!DS167+BUS!DT167</f>
        <v>0</v>
      </c>
      <c r="AQ64" s="43">
        <f>+BUS!DU167+BUS!DV167+BUS!DW167</f>
        <v>0</v>
      </c>
      <c r="AR64" s="43">
        <f>+BUS!DX167+BUS!DY167+BUS!DZ167</f>
        <v>0</v>
      </c>
      <c r="AS64" s="43">
        <f>+BUS!EA167+BUS!EB167+BUS!EC167</f>
        <v>0</v>
      </c>
      <c r="AT64" s="43">
        <f>+BUS!ED167+BUS!EE167+BUS!EF167</f>
        <v>0</v>
      </c>
      <c r="AU64" s="43">
        <f>+BUS!EH167+BUS!EI167+BUS!EG167</f>
        <v>0</v>
      </c>
      <c r="AV64" s="43">
        <f>+BUS!EK167+BUS!EL167+BUS!EJ167</f>
        <v>0</v>
      </c>
      <c r="AW64" s="43">
        <f>+BUS!EN167+BUS!EO167+BUS!EM167</f>
        <v>0</v>
      </c>
      <c r="AX64" s="43">
        <f>+BUS!EQ167+BUS!ER167+BUS!EP167</f>
        <v>0</v>
      </c>
      <c r="AY64" s="43">
        <f>+BUS!ET167+BUS!EU167+BUS!ES167</f>
        <v>0</v>
      </c>
      <c r="AZ64" s="43">
        <f>+BUS!EW167+BUS!EX167+BUS!EV167</f>
        <v>0</v>
      </c>
      <c r="BA64" s="43">
        <f>+BUS!EZ167+BUS!FA167+BUS!FY167</f>
        <v>0</v>
      </c>
      <c r="BB64" s="43">
        <f>+BUS!FC167+BUS!FD167+BUS!FB167</f>
        <v>0</v>
      </c>
      <c r="BC64" s="43">
        <f>+BUS!FF167+BUS!FG167+BUS!FE167</f>
        <v>0</v>
      </c>
      <c r="BD64" s="43">
        <f>+BUS!FI167+BUS!FJ167+BUS!FH167</f>
        <v>0</v>
      </c>
      <c r="BE64" s="43">
        <f>+BUS!FL167+BUS!FM167+BUS!FK167</f>
        <v>0</v>
      </c>
      <c r="BF64" s="409">
        <f t="shared" si="3"/>
        <v>0</v>
      </c>
    </row>
    <row r="65" spans="1:59" ht="24.75" customHeight="1" thickBot="1">
      <c r="A65" s="154">
        <v>18</v>
      </c>
      <c r="B65" s="222">
        <f>+BUS!B168+BUS!C168+BUS!D168</f>
        <v>0</v>
      </c>
      <c r="C65" s="223">
        <f>+BUS!E168+BUS!F168+BUS!G168</f>
        <v>0</v>
      </c>
      <c r="D65" s="223">
        <f>+BUS!H168+BUS!I168+BUS!J168</f>
        <v>0</v>
      </c>
      <c r="E65" s="223">
        <f>+BUS!K168+BUS!L168+BUS!M168</f>
        <v>0</v>
      </c>
      <c r="F65" s="223">
        <f>+BUS!N168+BUS!O168+BUS!P168</f>
        <v>0</v>
      </c>
      <c r="G65" s="223">
        <f>+BUS!Q168+BUS!R168+BUS!S168</f>
        <v>0</v>
      </c>
      <c r="H65" s="223">
        <f>+BUS!T168+BUS!U168+BUS!V168</f>
        <v>0</v>
      </c>
      <c r="I65" s="223">
        <f>+BUS!W168+BUS!X168+BUS!Y168</f>
        <v>0</v>
      </c>
      <c r="J65" s="223">
        <f>+BUS!Z168+BUS!AA168+BUS!AB168</f>
        <v>0</v>
      </c>
      <c r="K65" s="223">
        <f>+BUS!AC168+BUS!AD168+BUS!AE168</f>
        <v>0</v>
      </c>
      <c r="L65" s="223">
        <f>+BUS!AF168+BUS!AG168+BUS!AH168</f>
        <v>0</v>
      </c>
      <c r="M65" s="223">
        <f>+BUS!AI168+BUS!AJ168+BUS!AK168</f>
        <v>0</v>
      </c>
      <c r="N65" s="223">
        <f>+BUS!AL168+BUS!AM168+BUS!AN168</f>
        <v>0</v>
      </c>
      <c r="O65" s="223">
        <f>+BUS!AO168+BUS!AP168+BUS!AQ168</f>
        <v>0</v>
      </c>
      <c r="P65" s="223">
        <f>+BUS!AR168+BUS!AS168+BUS!AT168</f>
        <v>0</v>
      </c>
      <c r="Q65" s="223">
        <f>+BUS!AU168+BUS!AV168+BUS!AW168</f>
        <v>0</v>
      </c>
      <c r="R65" s="223">
        <f>+BUS!AX168+BUS!AY168+BUS!AZ168</f>
        <v>0</v>
      </c>
      <c r="S65" s="223">
        <f>+BUS!BA168+BUS!BB168+BUS!BC168</f>
        <v>0</v>
      </c>
      <c r="T65" s="223">
        <f>+BUS!BD168+BUS!BE168+BUS!BF168</f>
        <v>0</v>
      </c>
      <c r="U65" s="223">
        <f>+BUS!BG168+BUS!BH168+BUS!BI168</f>
        <v>0</v>
      </c>
      <c r="V65" s="223">
        <f>+BUS!BJ168+BUS!BK168+BUS!BL168</f>
        <v>0</v>
      </c>
      <c r="W65" s="223">
        <f>+BUS!BM168+BUS!BN168+BUS!BO168</f>
        <v>0</v>
      </c>
      <c r="X65" s="223">
        <f>+BUS!BP168+BUS!BQ168+BUS!BR168</f>
        <v>0</v>
      </c>
      <c r="Y65" s="223">
        <f>+BUS!BS168+BUS!BT168+BUS!BU168</f>
        <v>0</v>
      </c>
      <c r="Z65" s="223">
        <f>+BUS!BV168+BUS!BW168+BUS!BX168</f>
        <v>0</v>
      </c>
      <c r="AA65" s="223">
        <f>+BUS!BY168+BUS!BZ168+BUS!CA168</f>
        <v>0</v>
      </c>
      <c r="AB65" s="223">
        <f>+BUS!CB168+BUS!CC168+BUS!CD168</f>
        <v>0</v>
      </c>
      <c r="AC65" s="223">
        <f>+BUS!CE168+BUS!CF168+BUS!CG168</f>
        <v>0</v>
      </c>
      <c r="AD65" s="223">
        <f>+BUS!CH168+BUS!CI168+BUS!CJ168</f>
        <v>0</v>
      </c>
      <c r="AE65" s="223">
        <f>+BUS!CK168+BUS!CL168+BUS!CM168</f>
        <v>0</v>
      </c>
      <c r="AF65" s="223">
        <f>+BUS!CN168+BUS!CO168+BUS!CP168</f>
        <v>0</v>
      </c>
      <c r="AG65" s="223">
        <f>+BUS!CQ168+BUS!CR168+BUS!CS168</f>
        <v>0</v>
      </c>
      <c r="AH65" s="223">
        <f>+BUS!CT168+BUS!CU168+BUS!CV168</f>
        <v>0</v>
      </c>
      <c r="AI65" s="223">
        <f>+BUS!CW168+BUS!CX168+BUS!CY168</f>
        <v>0</v>
      </c>
      <c r="AJ65" s="223">
        <f>+BUS!CZ168+BUS!DA168+BUS!DB168</f>
        <v>0</v>
      </c>
      <c r="AK65" s="43">
        <f>+BUS!DC168+BUS!DD168+BUS!DE168</f>
        <v>0</v>
      </c>
      <c r="AL65" s="43">
        <f>+BUS!DF168+BUS!DG168+BUS!DH168</f>
        <v>0</v>
      </c>
      <c r="AM65" s="43">
        <f>+BUS!DI168+BUS!DJ168+BUS!DK168</f>
        <v>0</v>
      </c>
      <c r="AN65" s="43">
        <f>+BUS!DL168+BUS!DM168+BUS!DN168</f>
        <v>0</v>
      </c>
      <c r="AO65" s="43">
        <f>+BUS!DO168+BUS!DP168+BUS!DQ168</f>
        <v>0</v>
      </c>
      <c r="AP65" s="43">
        <f>+BUS!DR168+BUS!DS168+BUS!DT168</f>
        <v>0</v>
      </c>
      <c r="AQ65" s="43">
        <f>+BUS!DU168+BUS!DV168+BUS!DW168</f>
        <v>0</v>
      </c>
      <c r="AR65" s="43">
        <f>+BUS!DX168+BUS!DY168+BUS!DZ168</f>
        <v>0</v>
      </c>
      <c r="AS65" s="43">
        <f>+BUS!EA168+BUS!EB168+BUS!EC168</f>
        <v>0</v>
      </c>
      <c r="AT65" s="43">
        <f>+BUS!ED168+BUS!EE168+BUS!EF168</f>
        <v>0</v>
      </c>
      <c r="AU65" s="43">
        <f>+BUS!EH168+BUS!EI168+BUS!EG168</f>
        <v>0</v>
      </c>
      <c r="AV65" s="43">
        <f>+BUS!EK168+BUS!EL168+BUS!EJ168</f>
        <v>0</v>
      </c>
      <c r="AW65" s="43">
        <f>+BUS!EN168+BUS!EO168+BUS!EM168</f>
        <v>0</v>
      </c>
      <c r="AX65" s="43">
        <f>+BUS!EQ168+BUS!ER168+BUS!EP168</f>
        <v>0</v>
      </c>
      <c r="AY65" s="43">
        <f>+BUS!ET168+BUS!EU168+BUS!ES168</f>
        <v>0</v>
      </c>
      <c r="AZ65" s="43">
        <f>+BUS!EW168+BUS!EX168+BUS!EV168</f>
        <v>0</v>
      </c>
      <c r="BA65" s="43">
        <f>+BUS!EZ168+BUS!FA168+BUS!FY168</f>
        <v>0</v>
      </c>
      <c r="BB65" s="43">
        <f>+BUS!FC168+BUS!FD168+BUS!FB168</f>
        <v>0</v>
      </c>
      <c r="BC65" s="43">
        <f>+BUS!FF168+BUS!FG168+BUS!FE168</f>
        <v>0</v>
      </c>
      <c r="BD65" s="43">
        <f>+BUS!FI168+BUS!FJ168+BUS!FH168</f>
        <v>0</v>
      </c>
      <c r="BE65" s="43">
        <f>+BUS!FL168+BUS!FM168+BUS!FK168</f>
        <v>0</v>
      </c>
      <c r="BF65" s="409">
        <f t="shared" si="3"/>
        <v>0</v>
      </c>
    </row>
    <row r="66" spans="1:59" ht="21.75" customHeight="1" thickBot="1">
      <c r="A66" s="154">
        <v>19</v>
      </c>
      <c r="B66" s="222">
        <f>+BUS!B169+BUS!C169+BUS!D169</f>
        <v>0</v>
      </c>
      <c r="C66" s="223">
        <f>+BUS!E169+BUS!F169+BUS!G169</f>
        <v>0</v>
      </c>
      <c r="D66" s="223">
        <f>+BUS!H169+BUS!I169+BUS!J169</f>
        <v>0</v>
      </c>
      <c r="E66" s="223">
        <f>+BUS!K169+BUS!L169+BUS!M169</f>
        <v>0</v>
      </c>
      <c r="F66" s="223">
        <f>+BUS!N169+BUS!O169+BUS!P169</f>
        <v>0</v>
      </c>
      <c r="G66" s="223">
        <f>+BUS!Q169+BUS!R169+BUS!S169</f>
        <v>0</v>
      </c>
      <c r="H66" s="223">
        <f>+BUS!T169+BUS!U169+BUS!V169</f>
        <v>0</v>
      </c>
      <c r="I66" s="223">
        <f>+BUS!W169+BUS!X169+BUS!Y169</f>
        <v>0</v>
      </c>
      <c r="J66" s="223">
        <f>+BUS!Z169+BUS!AA169+BUS!AB169</f>
        <v>0</v>
      </c>
      <c r="K66" s="223">
        <f>+BUS!AC169+BUS!AD169+BUS!AE169</f>
        <v>0</v>
      </c>
      <c r="L66" s="223">
        <f>+BUS!AF169+BUS!AG169+BUS!AH169</f>
        <v>0</v>
      </c>
      <c r="M66" s="223">
        <f>+BUS!AI169+BUS!AJ169+BUS!AK169</f>
        <v>0</v>
      </c>
      <c r="N66" s="223">
        <f>+BUS!AL169+BUS!AM169+BUS!AN169</f>
        <v>0</v>
      </c>
      <c r="O66" s="223">
        <f>+BUS!AO169+BUS!AP169+BUS!AQ169</f>
        <v>0</v>
      </c>
      <c r="P66" s="223">
        <f>+BUS!AR169+BUS!AS169+BUS!AT169</f>
        <v>0</v>
      </c>
      <c r="Q66" s="223">
        <f>+BUS!AU169+BUS!AV169+BUS!AW169</f>
        <v>0</v>
      </c>
      <c r="R66" s="223">
        <f>+BUS!AX169+BUS!AY169+BUS!AZ169</f>
        <v>0</v>
      </c>
      <c r="S66" s="223">
        <f>+BUS!BA169+BUS!BB169+BUS!BC169</f>
        <v>0</v>
      </c>
      <c r="T66" s="223">
        <f>+BUS!BD169+BUS!BE169+BUS!BF169</f>
        <v>0</v>
      </c>
      <c r="U66" s="223">
        <f>+BUS!BG169+BUS!BH169+BUS!BI169</f>
        <v>0</v>
      </c>
      <c r="V66" s="223">
        <f>+BUS!BJ169+BUS!BK169+BUS!BL169</f>
        <v>0</v>
      </c>
      <c r="W66" s="223">
        <f>+BUS!BM169+BUS!BN169+BUS!BO169</f>
        <v>0</v>
      </c>
      <c r="X66" s="223">
        <f>+BUS!BP169+BUS!BQ169+BUS!BR169</f>
        <v>0</v>
      </c>
      <c r="Y66" s="223">
        <f>+BUS!BS169+BUS!BT169+BUS!BU169</f>
        <v>0</v>
      </c>
      <c r="Z66" s="223">
        <f>+BUS!BV169+BUS!BW169+BUS!BX169</f>
        <v>0</v>
      </c>
      <c r="AA66" s="223">
        <f>+BUS!BY169+BUS!BZ169+BUS!CA169</f>
        <v>0</v>
      </c>
      <c r="AB66" s="223">
        <f>+BUS!CB169+BUS!CC169+BUS!CD169</f>
        <v>0</v>
      </c>
      <c r="AC66" s="223">
        <f>+BUS!CE169+BUS!CF169+BUS!CG169</f>
        <v>0</v>
      </c>
      <c r="AD66" s="223">
        <f>+BUS!CH169+BUS!CI169+BUS!CJ169</f>
        <v>0</v>
      </c>
      <c r="AE66" s="223">
        <f>+BUS!CK169+BUS!CL169+BUS!CM169</f>
        <v>0</v>
      </c>
      <c r="AF66" s="223">
        <f>+BUS!CN169+BUS!CO169+BUS!CP169</f>
        <v>0</v>
      </c>
      <c r="AG66" s="223">
        <f>+BUS!CQ169+BUS!CR169+BUS!CS169</f>
        <v>0</v>
      </c>
      <c r="AH66" s="223">
        <f>+BUS!CT169+BUS!CU169+BUS!CV169</f>
        <v>0</v>
      </c>
      <c r="AI66" s="223">
        <f>+BUS!CW169+BUS!CX169+BUS!CY169</f>
        <v>0</v>
      </c>
      <c r="AJ66" s="223">
        <f>+BUS!CZ169+BUS!DA169+BUS!DB169</f>
        <v>0</v>
      </c>
      <c r="AK66" s="43">
        <f>+BUS!DC169+BUS!DD169+BUS!DE169</f>
        <v>0</v>
      </c>
      <c r="AL66" s="43">
        <f>+BUS!DF169+BUS!DG169+BUS!DH169</f>
        <v>0</v>
      </c>
      <c r="AM66" s="43">
        <f>+BUS!DI169+BUS!DJ169+BUS!DK169</f>
        <v>0</v>
      </c>
      <c r="AN66" s="43">
        <f>+BUS!DL169+BUS!DM169+BUS!DN169</f>
        <v>0</v>
      </c>
      <c r="AO66" s="43">
        <f>+BUS!DO169+BUS!DP169+BUS!DQ169</f>
        <v>0</v>
      </c>
      <c r="AP66" s="43">
        <f>+BUS!DR169+BUS!DS169+BUS!DT169</f>
        <v>0</v>
      </c>
      <c r="AQ66" s="43">
        <f>+BUS!DU169+BUS!DV169+BUS!DW169</f>
        <v>0</v>
      </c>
      <c r="AR66" s="43">
        <f>+BUS!DX169+BUS!DY169+BUS!DZ169</f>
        <v>0</v>
      </c>
      <c r="AS66" s="43">
        <f>+BUS!EA169+BUS!EB169+BUS!EC169</f>
        <v>0</v>
      </c>
      <c r="AT66" s="43">
        <f>+BUS!ED169+BUS!EE169+BUS!EF169</f>
        <v>0</v>
      </c>
      <c r="AU66" s="43">
        <f>+BUS!EH169+BUS!EI169+BUS!EG169</f>
        <v>0</v>
      </c>
      <c r="AV66" s="43">
        <f>+BUS!EK169+BUS!EL169+BUS!EJ169</f>
        <v>0</v>
      </c>
      <c r="AW66" s="43">
        <f>+BUS!EN169+BUS!EO169+BUS!EM169</f>
        <v>0</v>
      </c>
      <c r="AX66" s="43">
        <f>+BUS!EQ169+BUS!ER169+BUS!EP169</f>
        <v>0</v>
      </c>
      <c r="AY66" s="43">
        <f>+BUS!ET169+BUS!EU169+BUS!ES169</f>
        <v>0</v>
      </c>
      <c r="AZ66" s="43">
        <f>+BUS!EW169+BUS!EX169+BUS!EV169</f>
        <v>0</v>
      </c>
      <c r="BA66" s="43">
        <f>+BUS!EZ169+BUS!FA169+BUS!FY169</f>
        <v>0</v>
      </c>
      <c r="BB66" s="43">
        <f>+BUS!FC169+BUS!FD169+BUS!FB169</f>
        <v>0</v>
      </c>
      <c r="BC66" s="43">
        <f>+BUS!FF169+BUS!FG169+BUS!FE169</f>
        <v>0</v>
      </c>
      <c r="BD66" s="43">
        <f>+BUS!FI169+BUS!FJ169+BUS!FH169</f>
        <v>0</v>
      </c>
      <c r="BE66" s="43">
        <f>+BUS!FL169+BUS!FM169+BUS!FK169</f>
        <v>0</v>
      </c>
      <c r="BF66" s="409">
        <f t="shared" si="3"/>
        <v>0</v>
      </c>
    </row>
    <row r="67" spans="1:59" ht="17.25" customHeight="1" thickBot="1">
      <c r="A67" s="154">
        <v>20</v>
      </c>
      <c r="B67" s="222">
        <f>+BUS!B170+BUS!C170+BUS!D170</f>
        <v>0</v>
      </c>
      <c r="C67" s="223">
        <f>+BUS!E170+BUS!F170+BUS!G170</f>
        <v>0</v>
      </c>
      <c r="D67" s="223">
        <f>+BUS!H170+BUS!I170+BUS!J170</f>
        <v>0</v>
      </c>
      <c r="E67" s="223">
        <f>+BUS!K170+BUS!L170+BUS!M170</f>
        <v>0</v>
      </c>
      <c r="F67" s="223">
        <f>+BUS!N170+BUS!O170+BUS!P170</f>
        <v>0</v>
      </c>
      <c r="G67" s="223">
        <f>+BUS!Q170+BUS!R170+BUS!S170</f>
        <v>0</v>
      </c>
      <c r="H67" s="223">
        <f>+BUS!T170+BUS!U170+BUS!V170</f>
        <v>0</v>
      </c>
      <c r="I67" s="223">
        <f>+BUS!W170+BUS!X170+BUS!Y170</f>
        <v>0</v>
      </c>
      <c r="J67" s="223">
        <f>+BUS!Z170+BUS!AA170+BUS!AB170</f>
        <v>0</v>
      </c>
      <c r="K67" s="223">
        <f>+BUS!AC170+BUS!AD170+BUS!AE170</f>
        <v>0</v>
      </c>
      <c r="L67" s="223">
        <f>+BUS!AF170+BUS!AG170+BUS!AH170</f>
        <v>0</v>
      </c>
      <c r="M67" s="223">
        <f>+BUS!AI170+BUS!AJ170+BUS!AK170</f>
        <v>0</v>
      </c>
      <c r="N67" s="223">
        <f>+BUS!AL170+BUS!AM170+BUS!AN170</f>
        <v>0</v>
      </c>
      <c r="O67" s="223">
        <f>+BUS!AO170+BUS!AP170+BUS!AQ170</f>
        <v>0</v>
      </c>
      <c r="P67" s="223">
        <f>+BUS!AR170+BUS!AS170+BUS!AT170</f>
        <v>0</v>
      </c>
      <c r="Q67" s="223">
        <f>+BUS!AU170+BUS!AV170+BUS!AW170</f>
        <v>0</v>
      </c>
      <c r="R67" s="223">
        <f>+BUS!AX170+BUS!AY170+BUS!AZ170</f>
        <v>0</v>
      </c>
      <c r="S67" s="223">
        <f>+BUS!BA170+BUS!BB170+BUS!BC170</f>
        <v>0</v>
      </c>
      <c r="T67" s="223">
        <f>+BUS!BD170+BUS!BE170+BUS!BF170</f>
        <v>0</v>
      </c>
      <c r="U67" s="223">
        <f>+BUS!BG170+BUS!BH170+BUS!BI170</f>
        <v>0</v>
      </c>
      <c r="V67" s="223">
        <f>+BUS!BJ170+BUS!BK170+BUS!BL170</f>
        <v>0</v>
      </c>
      <c r="W67" s="223">
        <f>+BUS!BM170+BUS!BN170+BUS!BO170</f>
        <v>0</v>
      </c>
      <c r="X67" s="223">
        <f>+BUS!BP170+BUS!BQ170+BUS!BR170</f>
        <v>0</v>
      </c>
      <c r="Y67" s="223">
        <f>+BUS!BS170+BUS!BT170+BUS!BU170</f>
        <v>0</v>
      </c>
      <c r="Z67" s="223">
        <f>+BUS!BV170+BUS!BW170+BUS!BX170</f>
        <v>0</v>
      </c>
      <c r="AA67" s="223">
        <f>+BUS!BY170+BUS!BZ170+BUS!CA170</f>
        <v>0</v>
      </c>
      <c r="AB67" s="223">
        <f>+BUS!CB170+BUS!CC170+BUS!CD170</f>
        <v>0</v>
      </c>
      <c r="AC67" s="223">
        <f>+BUS!CE170+BUS!CF170+BUS!CG170</f>
        <v>0</v>
      </c>
      <c r="AD67" s="223">
        <f>+BUS!CH170+BUS!CI170+BUS!CJ170</f>
        <v>0</v>
      </c>
      <c r="AE67" s="223">
        <f>+BUS!CK170+BUS!CL170+BUS!CM170</f>
        <v>0</v>
      </c>
      <c r="AF67" s="223">
        <f>+BUS!CN170+BUS!CO170+BUS!CP170</f>
        <v>0</v>
      </c>
      <c r="AG67" s="223">
        <f>+BUS!CQ170+BUS!CR170+BUS!CS170</f>
        <v>0</v>
      </c>
      <c r="AH67" s="223">
        <f>+BUS!CT170+BUS!CU170+BUS!CV170</f>
        <v>0</v>
      </c>
      <c r="AI67" s="223">
        <f>+BUS!CW170+BUS!CX170+BUS!CY170</f>
        <v>0</v>
      </c>
      <c r="AJ67" s="223">
        <f>+BUS!CZ170+BUS!DA170+BUS!DB170</f>
        <v>0</v>
      </c>
      <c r="AK67" s="43">
        <f>+BUS!DC170+BUS!DD170+BUS!DE170</f>
        <v>0</v>
      </c>
      <c r="AL67" s="43">
        <f>+BUS!DF170+BUS!DG170+BUS!DH170</f>
        <v>0</v>
      </c>
      <c r="AM67" s="43">
        <f>+BUS!DI170+BUS!DJ170+BUS!DK170</f>
        <v>0</v>
      </c>
      <c r="AN67" s="43">
        <f>+BUS!DL170+BUS!DM170+BUS!DN170</f>
        <v>0</v>
      </c>
      <c r="AO67" s="43">
        <f>+BUS!DO170+BUS!DP170+BUS!DQ170</f>
        <v>0</v>
      </c>
      <c r="AP67" s="43">
        <f>+BUS!DR170+BUS!DS170+BUS!DT170</f>
        <v>0</v>
      </c>
      <c r="AQ67" s="43">
        <f>+BUS!DU170+BUS!DV170+BUS!DW170</f>
        <v>0</v>
      </c>
      <c r="AR67" s="43">
        <f>+BUS!DX170+BUS!DY170+BUS!DZ170</f>
        <v>0</v>
      </c>
      <c r="AS67" s="43">
        <f>+BUS!EA170+BUS!EB170+BUS!EC170</f>
        <v>0</v>
      </c>
      <c r="AT67" s="43">
        <f>+BUS!ED170+BUS!EE170+BUS!EF170</f>
        <v>0</v>
      </c>
      <c r="AU67" s="43">
        <f>+BUS!EH170+BUS!EI170+BUS!EG170</f>
        <v>0</v>
      </c>
      <c r="AV67" s="43">
        <f>+BUS!EK170+BUS!EL170+BUS!EJ170</f>
        <v>0</v>
      </c>
      <c r="AW67" s="43">
        <f>+BUS!EN170+BUS!EO170+BUS!EM170</f>
        <v>0</v>
      </c>
      <c r="AX67" s="43">
        <f>+BUS!EQ170+BUS!ER170+BUS!EP170</f>
        <v>0</v>
      </c>
      <c r="AY67" s="43">
        <f>+BUS!ET170+BUS!EU170+BUS!ES170</f>
        <v>0</v>
      </c>
      <c r="AZ67" s="43">
        <f>+BUS!EW170+BUS!EX170+BUS!EV170</f>
        <v>0</v>
      </c>
      <c r="BA67" s="43">
        <f>+BUS!EZ170+BUS!FA170+BUS!FY170</f>
        <v>0</v>
      </c>
      <c r="BB67" s="43">
        <f>+BUS!FC170+BUS!FD170+BUS!FB170</f>
        <v>0</v>
      </c>
      <c r="BC67" s="43">
        <f>+BUS!FF170+BUS!FG170+BUS!FE170</f>
        <v>0</v>
      </c>
      <c r="BD67" s="43">
        <f>+BUS!FI170+BUS!FJ170+BUS!FH170</f>
        <v>0</v>
      </c>
      <c r="BE67" s="43">
        <f>+BUS!FL170+BUS!FM170+BUS!FK170</f>
        <v>0</v>
      </c>
      <c r="BF67" s="409">
        <f t="shared" si="3"/>
        <v>0</v>
      </c>
    </row>
    <row r="68" spans="1:59" ht="23.25" customHeight="1" thickBot="1">
      <c r="A68" s="154">
        <v>21</v>
      </c>
      <c r="B68" s="222">
        <f>+BUS!B171+BUS!C171+BUS!D171</f>
        <v>0</v>
      </c>
      <c r="C68" s="223">
        <f>+BUS!E171+BUS!F171+BUS!G171</f>
        <v>0</v>
      </c>
      <c r="D68" s="223">
        <f>+BUS!H171+BUS!I171+BUS!J171</f>
        <v>0</v>
      </c>
      <c r="E68" s="223">
        <f>+BUS!K171+BUS!L171+BUS!M171</f>
        <v>0</v>
      </c>
      <c r="F68" s="223">
        <f>+BUS!N171+BUS!O171+BUS!P171</f>
        <v>0</v>
      </c>
      <c r="G68" s="223">
        <f>+BUS!Q171+BUS!R171+BUS!S171</f>
        <v>0</v>
      </c>
      <c r="H68" s="223">
        <f>+BUS!T171+BUS!U171+BUS!V171</f>
        <v>0</v>
      </c>
      <c r="I68" s="223">
        <f>+BUS!W171+BUS!X171+BUS!Y171</f>
        <v>0</v>
      </c>
      <c r="J68" s="223">
        <f>+BUS!Z171+BUS!AA171+BUS!AB171</f>
        <v>0</v>
      </c>
      <c r="K68" s="223">
        <f>+BUS!AC171+BUS!AD171+BUS!AE171</f>
        <v>0</v>
      </c>
      <c r="L68" s="223">
        <f>+BUS!AF171+BUS!AG171+BUS!AH171</f>
        <v>0</v>
      </c>
      <c r="M68" s="223">
        <f>+BUS!AI171+BUS!AJ171+BUS!AK171</f>
        <v>0</v>
      </c>
      <c r="N68" s="223">
        <f>+BUS!AL171+BUS!AM171+BUS!AN171</f>
        <v>0</v>
      </c>
      <c r="O68" s="223">
        <f>+BUS!AO171+BUS!AP171+BUS!AQ171</f>
        <v>0</v>
      </c>
      <c r="P68" s="223">
        <f>+BUS!AR171+BUS!AS171+BUS!AT171</f>
        <v>0</v>
      </c>
      <c r="Q68" s="223">
        <f>+BUS!AU171+BUS!AV171+BUS!AW171</f>
        <v>0</v>
      </c>
      <c r="R68" s="223">
        <f>+BUS!AX171+BUS!AY171+BUS!AZ171</f>
        <v>0</v>
      </c>
      <c r="S68" s="223">
        <f>+BUS!BA171+BUS!BB171+BUS!BC171</f>
        <v>0</v>
      </c>
      <c r="T68" s="223">
        <f>+BUS!BD171+BUS!BE171+BUS!BF171</f>
        <v>0</v>
      </c>
      <c r="U68" s="223">
        <f>+BUS!BG171+BUS!BH171+BUS!BI171</f>
        <v>0</v>
      </c>
      <c r="V68" s="223">
        <f>+BUS!BJ171+BUS!BK171+BUS!BL171</f>
        <v>0</v>
      </c>
      <c r="W68" s="223">
        <f>+BUS!BM171+BUS!BN171+BUS!BO171</f>
        <v>0</v>
      </c>
      <c r="X68" s="223">
        <f>+BUS!BP171+BUS!BQ171+BUS!BR171</f>
        <v>0</v>
      </c>
      <c r="Y68" s="223">
        <f>+BUS!BS171+BUS!BT171+BUS!BU171</f>
        <v>0</v>
      </c>
      <c r="Z68" s="223">
        <f>+BUS!BV171+BUS!BW171+BUS!BX171</f>
        <v>0</v>
      </c>
      <c r="AA68" s="223">
        <f>+BUS!BY171+BUS!BZ171+BUS!CA171</f>
        <v>0</v>
      </c>
      <c r="AB68" s="223">
        <f>+BUS!CB171+BUS!CC171+BUS!CD171</f>
        <v>0</v>
      </c>
      <c r="AC68" s="223">
        <f>+BUS!CE171+BUS!CF171+BUS!CG171</f>
        <v>0</v>
      </c>
      <c r="AD68" s="223">
        <f>+BUS!CH171+BUS!CI171+BUS!CJ171</f>
        <v>0</v>
      </c>
      <c r="AE68" s="223">
        <f>+BUS!CK171+BUS!CL171+BUS!CM171</f>
        <v>0</v>
      </c>
      <c r="AF68" s="223">
        <f>+BUS!CN171+BUS!CO171+BUS!CP171</f>
        <v>0</v>
      </c>
      <c r="AG68" s="223">
        <f>+BUS!CQ171+BUS!CR171+BUS!CS171</f>
        <v>0</v>
      </c>
      <c r="AH68" s="223">
        <f>+BUS!CT171+BUS!CU171+BUS!CV171</f>
        <v>0</v>
      </c>
      <c r="AI68" s="223">
        <f>+BUS!CW171+BUS!CX171+BUS!CY171</f>
        <v>0</v>
      </c>
      <c r="AJ68" s="223">
        <f>+BUS!CZ171+BUS!DA171+BUS!DB171</f>
        <v>0</v>
      </c>
      <c r="AK68" s="43">
        <f>+BUS!DC171+BUS!DD171+BUS!DE171</f>
        <v>0</v>
      </c>
      <c r="AL68" s="43">
        <f>+BUS!DF171+BUS!DG171+BUS!DH171</f>
        <v>0</v>
      </c>
      <c r="AM68" s="43">
        <f>+BUS!DI171+BUS!DJ171+BUS!DK171</f>
        <v>0</v>
      </c>
      <c r="AN68" s="43">
        <f>+BUS!DL171+BUS!DM171+BUS!DN171</f>
        <v>0</v>
      </c>
      <c r="AO68" s="43">
        <f>+BUS!DO171+BUS!DP171+BUS!DQ171</f>
        <v>0</v>
      </c>
      <c r="AP68" s="43">
        <f>+BUS!DR171+BUS!DS171+BUS!DT171</f>
        <v>0</v>
      </c>
      <c r="AQ68" s="43">
        <f>+BUS!DU171+BUS!DV171+BUS!DW171</f>
        <v>0</v>
      </c>
      <c r="AR68" s="43">
        <f>+BUS!DX171+BUS!DY171+BUS!DZ171</f>
        <v>0</v>
      </c>
      <c r="AS68" s="43">
        <f>+BUS!EA171+BUS!EB171+BUS!EC171</f>
        <v>0</v>
      </c>
      <c r="AT68" s="43">
        <f>+BUS!ED171+BUS!EE171+BUS!EF171</f>
        <v>0</v>
      </c>
      <c r="AU68" s="43">
        <f>+BUS!EH171+BUS!EI171+BUS!EG171</f>
        <v>0</v>
      </c>
      <c r="AV68" s="43">
        <f>+BUS!EK171+BUS!EL171+BUS!EJ171</f>
        <v>0</v>
      </c>
      <c r="AW68" s="43">
        <f>+BUS!EN171+BUS!EO171+BUS!EM171</f>
        <v>0</v>
      </c>
      <c r="AX68" s="43">
        <f>+BUS!EQ171+BUS!ER171+BUS!EP171</f>
        <v>0</v>
      </c>
      <c r="AY68" s="43">
        <f>+BUS!ET171+BUS!EU171+BUS!ES171</f>
        <v>0</v>
      </c>
      <c r="AZ68" s="43">
        <f>+BUS!EW171+BUS!EX171+BUS!EV171</f>
        <v>0</v>
      </c>
      <c r="BA68" s="43">
        <f>+BUS!EZ171+BUS!FA171+BUS!FY171</f>
        <v>0</v>
      </c>
      <c r="BB68" s="43">
        <f>+BUS!FC171+BUS!FD171+BUS!FB171</f>
        <v>0</v>
      </c>
      <c r="BC68" s="43">
        <f>+BUS!FF171+BUS!FG171+BUS!FE171</f>
        <v>0</v>
      </c>
      <c r="BD68" s="43">
        <f>+BUS!FI171+BUS!FJ171+BUS!FH171</f>
        <v>0</v>
      </c>
      <c r="BE68" s="43">
        <f>+BUS!FL171+BUS!FM171+BUS!FK171</f>
        <v>0</v>
      </c>
      <c r="BF68" s="409">
        <f t="shared" si="3"/>
        <v>0</v>
      </c>
    </row>
    <row r="69" spans="1:59" ht="24" customHeight="1" thickBot="1">
      <c r="A69" s="154">
        <v>22</v>
      </c>
      <c r="B69" s="222">
        <f>+BUS!B172+BUS!C172+BUS!D172</f>
        <v>0</v>
      </c>
      <c r="C69" s="223">
        <f>+BUS!E172+BUS!F172+BUS!G172</f>
        <v>0</v>
      </c>
      <c r="D69" s="223">
        <f>+BUS!H172+BUS!I172+BUS!J172</f>
        <v>0</v>
      </c>
      <c r="E69" s="223">
        <f>+BUS!K172+BUS!L172+BUS!M172</f>
        <v>0</v>
      </c>
      <c r="F69" s="223">
        <f>+BUS!N172+BUS!O172+BUS!P172</f>
        <v>0</v>
      </c>
      <c r="G69" s="223">
        <f>+BUS!Q172+BUS!R172+BUS!S172</f>
        <v>0</v>
      </c>
      <c r="H69" s="223">
        <f>+BUS!T172+BUS!U172+BUS!V172</f>
        <v>0</v>
      </c>
      <c r="I69" s="223">
        <f>+BUS!W172+BUS!X172+BUS!Y172</f>
        <v>0</v>
      </c>
      <c r="J69" s="223">
        <f>+BUS!Z172+BUS!AA172+BUS!AB172</f>
        <v>0</v>
      </c>
      <c r="K69" s="223">
        <f>+BUS!AC172+BUS!AD172+BUS!AE172</f>
        <v>0</v>
      </c>
      <c r="L69" s="223">
        <f>+BUS!AF172+BUS!AG172+BUS!AH172</f>
        <v>0</v>
      </c>
      <c r="M69" s="223">
        <f>+BUS!AI172+BUS!AJ172+BUS!AK172</f>
        <v>0</v>
      </c>
      <c r="N69" s="223">
        <f>+BUS!AL172+BUS!AM172+BUS!AN172</f>
        <v>0</v>
      </c>
      <c r="O69" s="223">
        <f>+BUS!AO172+BUS!AP172+BUS!AQ172</f>
        <v>0</v>
      </c>
      <c r="P69" s="223">
        <f>+BUS!AR172+BUS!AS172+BUS!AT172</f>
        <v>0</v>
      </c>
      <c r="Q69" s="223">
        <f>+BUS!AU172+BUS!AV172+BUS!AW172</f>
        <v>0</v>
      </c>
      <c r="R69" s="223">
        <f>+BUS!AX172+BUS!AY172+BUS!AZ172</f>
        <v>0</v>
      </c>
      <c r="S69" s="223">
        <f>+BUS!BA172+BUS!BB172+BUS!BC172</f>
        <v>0</v>
      </c>
      <c r="T69" s="223">
        <f>+BUS!BD172+BUS!BE172+BUS!BF172</f>
        <v>0</v>
      </c>
      <c r="U69" s="223">
        <f>+BUS!BG172+BUS!BH172+BUS!BI172</f>
        <v>0</v>
      </c>
      <c r="V69" s="223">
        <f>+BUS!BJ172+BUS!BK172+BUS!BL172</f>
        <v>0</v>
      </c>
      <c r="W69" s="223">
        <f>+BUS!BM172+BUS!BN172+BUS!BO172</f>
        <v>0</v>
      </c>
      <c r="X69" s="223">
        <f>+BUS!BP172+BUS!BQ172+BUS!BR172</f>
        <v>0</v>
      </c>
      <c r="Y69" s="223">
        <f>+BUS!BS172+BUS!BT172+BUS!BU172</f>
        <v>0</v>
      </c>
      <c r="Z69" s="223">
        <f>+BUS!BV172+BUS!BW172+BUS!BX172</f>
        <v>0</v>
      </c>
      <c r="AA69" s="223">
        <f>+BUS!BY172+BUS!BZ172+BUS!CA172</f>
        <v>0</v>
      </c>
      <c r="AB69" s="223">
        <f>+BUS!CB172+BUS!CC172+BUS!CD172</f>
        <v>0</v>
      </c>
      <c r="AC69" s="223">
        <f>+BUS!CE172+BUS!CF172+BUS!CG172</f>
        <v>0</v>
      </c>
      <c r="AD69" s="223">
        <f>+BUS!CH172+BUS!CI172+BUS!CJ172</f>
        <v>0</v>
      </c>
      <c r="AE69" s="223">
        <f>+BUS!CK172+BUS!CL172+BUS!CM172</f>
        <v>0</v>
      </c>
      <c r="AF69" s="223">
        <f>+BUS!CN172+BUS!CO172+BUS!CP172</f>
        <v>0</v>
      </c>
      <c r="AG69" s="223">
        <f>+BUS!CQ172+BUS!CR172+BUS!CS172</f>
        <v>0</v>
      </c>
      <c r="AH69" s="223">
        <f>+BUS!CT172+BUS!CU172+BUS!CV172</f>
        <v>0</v>
      </c>
      <c r="AI69" s="223">
        <f>+BUS!CW172+BUS!CX172+BUS!CY172</f>
        <v>0</v>
      </c>
      <c r="AJ69" s="223">
        <f>+BUS!CZ172+BUS!DA172+BUS!DB172</f>
        <v>0</v>
      </c>
      <c r="AK69" s="43">
        <f>+BUS!DC172+BUS!DD172+BUS!DE172</f>
        <v>0</v>
      </c>
      <c r="AL69" s="43">
        <f>+BUS!DF172+BUS!DG172+BUS!DH172</f>
        <v>0</v>
      </c>
      <c r="AM69" s="43">
        <f>+BUS!DI172+BUS!DJ172+BUS!DK172</f>
        <v>0</v>
      </c>
      <c r="AN69" s="43">
        <f>+BUS!DL172+BUS!DM172+BUS!DN172</f>
        <v>0</v>
      </c>
      <c r="AO69" s="43">
        <f>+BUS!DO172+BUS!DP172+BUS!DQ172</f>
        <v>0</v>
      </c>
      <c r="AP69" s="43">
        <f>+BUS!DR172+BUS!DS172+BUS!DT172</f>
        <v>0</v>
      </c>
      <c r="AQ69" s="43">
        <f>+BUS!DU172+BUS!DV172+BUS!DW172</f>
        <v>0</v>
      </c>
      <c r="AR69" s="43">
        <f>+BUS!DX172+BUS!DY172+BUS!DZ172</f>
        <v>0</v>
      </c>
      <c r="AS69" s="43">
        <f>+BUS!EA172+BUS!EB172+BUS!EC172</f>
        <v>0</v>
      </c>
      <c r="AT69" s="43">
        <f>+BUS!ED172+BUS!EE172+BUS!EF172</f>
        <v>0</v>
      </c>
      <c r="AU69" s="43">
        <f>+BUS!EH172+BUS!EI172+BUS!EG172</f>
        <v>0</v>
      </c>
      <c r="AV69" s="43">
        <f>+BUS!EK172+BUS!EL172+BUS!EJ172</f>
        <v>0</v>
      </c>
      <c r="AW69" s="43">
        <f>+BUS!EN172+BUS!EO172+BUS!EM172</f>
        <v>0</v>
      </c>
      <c r="AX69" s="43">
        <f>+BUS!EQ172+BUS!ER172+BUS!EP172</f>
        <v>0</v>
      </c>
      <c r="AY69" s="43">
        <f>+BUS!ET172+BUS!EU172+BUS!ES172</f>
        <v>0</v>
      </c>
      <c r="AZ69" s="43">
        <f>+BUS!EW172+BUS!EX172+BUS!EV172</f>
        <v>0</v>
      </c>
      <c r="BA69" s="43">
        <f>+BUS!EZ172+BUS!FA172+BUS!FY172</f>
        <v>0</v>
      </c>
      <c r="BB69" s="43">
        <f>+BUS!FC172+BUS!FD172+BUS!FB172</f>
        <v>0</v>
      </c>
      <c r="BC69" s="43">
        <f>+BUS!FF172+BUS!FG172+BUS!FE172</f>
        <v>0</v>
      </c>
      <c r="BD69" s="43">
        <f>+BUS!FI172+BUS!FJ172+BUS!FH172</f>
        <v>0</v>
      </c>
      <c r="BE69" s="43">
        <f>+BUS!FL172+BUS!FM172+BUS!FK172</f>
        <v>0</v>
      </c>
      <c r="BF69" s="409">
        <f t="shared" si="3"/>
        <v>0</v>
      </c>
    </row>
    <row r="70" spans="1:59" ht="24" customHeight="1" thickBot="1">
      <c r="A70" s="154">
        <v>23</v>
      </c>
      <c r="B70" s="222">
        <f>+BUS!B173+BUS!C173+BUS!D173</f>
        <v>0</v>
      </c>
      <c r="C70" s="223">
        <f>+BUS!E173+BUS!F173+BUS!G173</f>
        <v>0</v>
      </c>
      <c r="D70" s="223">
        <f>+BUS!H173+BUS!I173+BUS!J173</f>
        <v>0</v>
      </c>
      <c r="E70" s="223">
        <f>+BUS!K173+BUS!L173+BUS!M173</f>
        <v>0</v>
      </c>
      <c r="F70" s="223">
        <f>+BUS!N173+BUS!O173+BUS!P173</f>
        <v>0</v>
      </c>
      <c r="G70" s="223">
        <f>+BUS!Q173+BUS!R173+BUS!S173</f>
        <v>0</v>
      </c>
      <c r="H70" s="223">
        <f>+BUS!T173+BUS!U173+BUS!V173</f>
        <v>0</v>
      </c>
      <c r="I70" s="223">
        <f>+BUS!W173+BUS!X173+BUS!Y173</f>
        <v>0</v>
      </c>
      <c r="J70" s="223">
        <f>+BUS!Z173+BUS!AA173+BUS!AB173</f>
        <v>0</v>
      </c>
      <c r="K70" s="223">
        <f>+BUS!AC173+BUS!AD173+BUS!AE173</f>
        <v>0</v>
      </c>
      <c r="L70" s="223">
        <f>+BUS!AF173+BUS!AG173+BUS!AH173</f>
        <v>0</v>
      </c>
      <c r="M70" s="223">
        <f>+BUS!AI173+BUS!AJ173+BUS!AK173</f>
        <v>0</v>
      </c>
      <c r="N70" s="223">
        <f>+BUS!AL173+BUS!AM173+BUS!AN173</f>
        <v>0</v>
      </c>
      <c r="O70" s="223">
        <f>+BUS!AO173+BUS!AP173+BUS!AQ173</f>
        <v>0</v>
      </c>
      <c r="P70" s="223">
        <f>+BUS!AR173+BUS!AS173+BUS!AT173</f>
        <v>0</v>
      </c>
      <c r="Q70" s="223">
        <f>+BUS!AU173+BUS!AV173+BUS!AW173</f>
        <v>0</v>
      </c>
      <c r="R70" s="223">
        <f>+BUS!AX173+BUS!AY173+BUS!AZ173</f>
        <v>0</v>
      </c>
      <c r="S70" s="223">
        <f>+BUS!BA173+BUS!BB173+BUS!BC173</f>
        <v>0</v>
      </c>
      <c r="T70" s="223">
        <f>+BUS!BD173+BUS!BE173+BUS!BF173</f>
        <v>0</v>
      </c>
      <c r="U70" s="223">
        <f>+BUS!BG173+BUS!BH173+BUS!BI173</f>
        <v>0</v>
      </c>
      <c r="V70" s="223">
        <f>+BUS!BJ173+BUS!BK173+BUS!BL173</f>
        <v>0</v>
      </c>
      <c r="W70" s="223">
        <f>+BUS!BM173+BUS!BN173+BUS!BO173</f>
        <v>0</v>
      </c>
      <c r="X70" s="223">
        <f>+BUS!BP173+BUS!BQ173+BUS!BR173</f>
        <v>0</v>
      </c>
      <c r="Y70" s="223">
        <f>+BUS!BS173+BUS!BT173+BUS!BU173</f>
        <v>0</v>
      </c>
      <c r="Z70" s="223">
        <f>+BUS!BV173+BUS!BW173+BUS!BX173</f>
        <v>0</v>
      </c>
      <c r="AA70" s="223">
        <f>+BUS!BY173+BUS!BZ173+BUS!CA173</f>
        <v>0</v>
      </c>
      <c r="AB70" s="223">
        <f>+BUS!CB173+BUS!CC173+BUS!CD173</f>
        <v>0</v>
      </c>
      <c r="AC70" s="223">
        <f>+BUS!CE173+BUS!CF173+BUS!CG173</f>
        <v>0</v>
      </c>
      <c r="AD70" s="223">
        <f>+BUS!CH173+BUS!CI173+BUS!CJ173</f>
        <v>0</v>
      </c>
      <c r="AE70" s="223">
        <f>+BUS!CK173+BUS!CL173+BUS!CM173</f>
        <v>0</v>
      </c>
      <c r="AF70" s="223">
        <f>+BUS!CN173+BUS!CO173+BUS!CP173</f>
        <v>0</v>
      </c>
      <c r="AG70" s="223">
        <f>+BUS!CQ173+BUS!CR173+BUS!CS173</f>
        <v>0</v>
      </c>
      <c r="AH70" s="223">
        <f>+BUS!CT173+BUS!CU173+BUS!CV173</f>
        <v>0</v>
      </c>
      <c r="AI70" s="223">
        <f>+BUS!CW173+BUS!CX173+BUS!CY173</f>
        <v>0</v>
      </c>
      <c r="AJ70" s="223">
        <f>+BUS!CZ173+BUS!DA173+BUS!DB173</f>
        <v>0</v>
      </c>
      <c r="AK70" s="43">
        <f>+BUS!DC173+BUS!DD173+BUS!DE173</f>
        <v>0</v>
      </c>
      <c r="AL70" s="43">
        <f>+BUS!DF173+BUS!DG173+BUS!DH173</f>
        <v>0</v>
      </c>
      <c r="AM70" s="43">
        <f>+BUS!DI173+BUS!DJ173+BUS!DK173</f>
        <v>0</v>
      </c>
      <c r="AN70" s="43">
        <f>+BUS!DL173+BUS!DM173+BUS!DN173</f>
        <v>0</v>
      </c>
      <c r="AO70" s="43">
        <f>+BUS!DO173+BUS!DP173+BUS!DQ173</f>
        <v>0</v>
      </c>
      <c r="AP70" s="43">
        <f>+BUS!DR173+BUS!DS173+BUS!DT173</f>
        <v>0</v>
      </c>
      <c r="AQ70" s="43">
        <f>+BUS!DU173+BUS!DV173+BUS!DW173</f>
        <v>0</v>
      </c>
      <c r="AR70" s="43">
        <f>+BUS!DX173+BUS!DY173+BUS!DZ173</f>
        <v>0</v>
      </c>
      <c r="AS70" s="43">
        <f>+BUS!EA173+BUS!EB173+BUS!EC173</f>
        <v>0</v>
      </c>
      <c r="AT70" s="43">
        <f>+BUS!ED173+BUS!EE173+BUS!EF173</f>
        <v>0</v>
      </c>
      <c r="AU70" s="43">
        <f>+BUS!EH173+BUS!EI173+BUS!EG173</f>
        <v>0</v>
      </c>
      <c r="AV70" s="43">
        <f>+BUS!EK173+BUS!EL173+BUS!EJ173</f>
        <v>0</v>
      </c>
      <c r="AW70" s="43">
        <f>+BUS!EN173+BUS!EO173+BUS!EM173</f>
        <v>0</v>
      </c>
      <c r="AX70" s="43">
        <f>+BUS!EQ173+BUS!ER173+BUS!EP173</f>
        <v>0</v>
      </c>
      <c r="AY70" s="43">
        <f>+BUS!ET173+BUS!EU173+BUS!ES173</f>
        <v>0</v>
      </c>
      <c r="AZ70" s="43">
        <f>+BUS!EW173+BUS!EX173+BUS!EV173</f>
        <v>0</v>
      </c>
      <c r="BA70" s="43">
        <f>+BUS!EZ173+BUS!FA173+BUS!FY173</f>
        <v>0</v>
      </c>
      <c r="BB70" s="43">
        <f>+BUS!FC173+BUS!FD173+BUS!FB173</f>
        <v>0</v>
      </c>
      <c r="BC70" s="43">
        <f>+BUS!FF173+BUS!FG173+BUS!FE173</f>
        <v>0</v>
      </c>
      <c r="BD70" s="43">
        <f>+BUS!FI173+BUS!FJ173+BUS!FH173</f>
        <v>0</v>
      </c>
      <c r="BE70" s="43">
        <f>+BUS!FL173+BUS!FM173+BUS!FK173</f>
        <v>0</v>
      </c>
      <c r="BF70" s="409">
        <f t="shared" si="3"/>
        <v>0</v>
      </c>
    </row>
    <row r="71" spans="1:59" ht="22.5" customHeight="1" thickBot="1">
      <c r="A71" s="154">
        <v>24</v>
      </c>
      <c r="B71" s="222">
        <f>+BUS!B174+BUS!C174+BUS!D174</f>
        <v>0</v>
      </c>
      <c r="C71" s="223">
        <f>+BUS!E174+BUS!F174+BUS!G174</f>
        <v>0</v>
      </c>
      <c r="D71" s="223">
        <f>+BUS!H174+BUS!I174+BUS!J174</f>
        <v>0</v>
      </c>
      <c r="E71" s="223">
        <f>+BUS!K174+BUS!L174+BUS!M174</f>
        <v>0</v>
      </c>
      <c r="F71" s="223">
        <f>+BUS!N174+BUS!O174+BUS!P174</f>
        <v>0</v>
      </c>
      <c r="G71" s="223">
        <f>+BUS!Q174+BUS!R174+BUS!S174</f>
        <v>0</v>
      </c>
      <c r="H71" s="223">
        <f>+BUS!T174+BUS!U174+BUS!V174</f>
        <v>0</v>
      </c>
      <c r="I71" s="223">
        <f>+BUS!W174+BUS!X174+BUS!Y174</f>
        <v>0</v>
      </c>
      <c r="J71" s="223">
        <f>+BUS!Z174+BUS!AA174+BUS!AB174</f>
        <v>0</v>
      </c>
      <c r="K71" s="223">
        <f>+BUS!AC174+BUS!AD174+BUS!AE174</f>
        <v>0</v>
      </c>
      <c r="L71" s="223">
        <f>+BUS!AF174+BUS!AG174+BUS!AH174</f>
        <v>0</v>
      </c>
      <c r="M71" s="223">
        <f>+BUS!AI174+BUS!AJ174+BUS!AK174</f>
        <v>0</v>
      </c>
      <c r="N71" s="223">
        <f>+BUS!AL174+BUS!AM174+BUS!AN174</f>
        <v>0</v>
      </c>
      <c r="O71" s="223">
        <f>+BUS!AO174+BUS!AP174+BUS!AQ174</f>
        <v>0</v>
      </c>
      <c r="P71" s="223">
        <f>+BUS!AR174+BUS!AS174+BUS!AT174</f>
        <v>0</v>
      </c>
      <c r="Q71" s="223">
        <f>+BUS!AU174+BUS!AV174+BUS!AW174</f>
        <v>0</v>
      </c>
      <c r="R71" s="223">
        <f>+BUS!AX174+BUS!AY174+BUS!AZ174</f>
        <v>0</v>
      </c>
      <c r="S71" s="223">
        <f>+BUS!BA174+BUS!BB174+BUS!BC174</f>
        <v>0</v>
      </c>
      <c r="T71" s="223">
        <f>+BUS!BD174+BUS!BE174+BUS!BF174</f>
        <v>0</v>
      </c>
      <c r="U71" s="223">
        <f>+BUS!BG174+BUS!BH174+BUS!BI174</f>
        <v>0</v>
      </c>
      <c r="V71" s="223">
        <f>+BUS!BJ174+BUS!BK174+BUS!BL174</f>
        <v>0</v>
      </c>
      <c r="W71" s="223">
        <f>+BUS!BM174+BUS!BN174+BUS!BO174</f>
        <v>0</v>
      </c>
      <c r="X71" s="223">
        <f>+BUS!BP174+BUS!BQ174+BUS!BR174</f>
        <v>0</v>
      </c>
      <c r="Y71" s="223">
        <f>+BUS!BS174+BUS!BT174+BUS!BU174</f>
        <v>0</v>
      </c>
      <c r="Z71" s="223">
        <f>+BUS!BV174+BUS!BW174+BUS!BX174</f>
        <v>0</v>
      </c>
      <c r="AA71" s="223">
        <f>+BUS!BY174+BUS!BZ174+BUS!CA174</f>
        <v>0</v>
      </c>
      <c r="AB71" s="223">
        <f>+BUS!CB174+BUS!CC174+BUS!CD174</f>
        <v>0</v>
      </c>
      <c r="AC71" s="223">
        <f>+BUS!CE174+BUS!CF174+BUS!CG174</f>
        <v>0</v>
      </c>
      <c r="AD71" s="223">
        <f>+BUS!CH174+BUS!CI174+BUS!CJ174</f>
        <v>0</v>
      </c>
      <c r="AE71" s="223">
        <f>+BUS!CK174+BUS!CL174+BUS!CM174</f>
        <v>0</v>
      </c>
      <c r="AF71" s="223">
        <f>+BUS!CN174+BUS!CO174+BUS!CP174</f>
        <v>0</v>
      </c>
      <c r="AG71" s="223">
        <f>+BUS!CQ174+BUS!CR174+BUS!CS174</f>
        <v>0</v>
      </c>
      <c r="AH71" s="223">
        <f>+BUS!CT174+BUS!CU174+BUS!CV174</f>
        <v>0</v>
      </c>
      <c r="AI71" s="223">
        <f>+BUS!CW174+BUS!CX174+BUS!CY174</f>
        <v>0</v>
      </c>
      <c r="AJ71" s="223">
        <f>+BUS!CZ174+BUS!DA174+BUS!DB174</f>
        <v>0</v>
      </c>
      <c r="AK71" s="43">
        <f>+BUS!DC174+BUS!DD174+BUS!DE174</f>
        <v>0</v>
      </c>
      <c r="AL71" s="43">
        <f>+BUS!DF174+BUS!DG174+BUS!DH174</f>
        <v>0</v>
      </c>
      <c r="AM71" s="43">
        <f>+BUS!DI174+BUS!DJ174+BUS!DK174</f>
        <v>0</v>
      </c>
      <c r="AN71" s="43">
        <f>+BUS!DL174+BUS!DM174+BUS!DN174</f>
        <v>0</v>
      </c>
      <c r="AO71" s="43">
        <f>+BUS!DO174+BUS!DP174+BUS!DQ174</f>
        <v>0</v>
      </c>
      <c r="AP71" s="43">
        <f>+BUS!DR174+BUS!DS174+BUS!DT174</f>
        <v>0</v>
      </c>
      <c r="AQ71" s="43">
        <f>+BUS!DU174+BUS!DV174+BUS!DW174</f>
        <v>0</v>
      </c>
      <c r="AR71" s="43">
        <f>+BUS!DX174+BUS!DY174+BUS!DZ174</f>
        <v>0</v>
      </c>
      <c r="AS71" s="43">
        <f>+BUS!EA174+BUS!EB174+BUS!EC174</f>
        <v>0</v>
      </c>
      <c r="AT71" s="43">
        <f>+BUS!ED174+BUS!EE174+BUS!EF174</f>
        <v>0</v>
      </c>
      <c r="AU71" s="43">
        <f>+BUS!EH174+BUS!EI174+BUS!EG174</f>
        <v>0</v>
      </c>
      <c r="AV71" s="43">
        <f>+BUS!EK174+BUS!EL174+BUS!EJ174</f>
        <v>0</v>
      </c>
      <c r="AW71" s="43">
        <f>+BUS!EN174+BUS!EO174+BUS!EM174</f>
        <v>0</v>
      </c>
      <c r="AX71" s="43">
        <f>+BUS!EQ174+BUS!ER174+BUS!EP174</f>
        <v>0</v>
      </c>
      <c r="AY71" s="43">
        <f>+BUS!ET174+BUS!EU174+BUS!ES174</f>
        <v>0</v>
      </c>
      <c r="AZ71" s="43">
        <f>+BUS!EW174+BUS!EX174+BUS!EV174</f>
        <v>0</v>
      </c>
      <c r="BA71" s="43">
        <f>+BUS!EZ174+BUS!FA174+BUS!FY174</f>
        <v>0</v>
      </c>
      <c r="BB71" s="43">
        <f>+BUS!FC174+BUS!FD174+BUS!FB174</f>
        <v>0</v>
      </c>
      <c r="BC71" s="43">
        <f>+BUS!FF174+BUS!FG174+BUS!FE174</f>
        <v>0</v>
      </c>
      <c r="BD71" s="43">
        <f>+BUS!FI174+BUS!FJ174+BUS!FH174</f>
        <v>0</v>
      </c>
      <c r="BE71" s="43">
        <f>+BUS!FL174+BUS!FM174+BUS!FK174</f>
        <v>0</v>
      </c>
      <c r="BF71" s="409">
        <f t="shared" si="3"/>
        <v>0</v>
      </c>
    </row>
    <row r="72" spans="1:59" ht="23.25" customHeight="1" thickBot="1">
      <c r="A72" s="154">
        <v>25</v>
      </c>
      <c r="B72" s="222">
        <f>+BUS!B175+BUS!C175+BUS!D175</f>
        <v>0</v>
      </c>
      <c r="C72" s="223">
        <f>+BUS!E175+BUS!F175+BUS!G175</f>
        <v>0</v>
      </c>
      <c r="D72" s="223">
        <f>+BUS!H175+BUS!I175+BUS!J175</f>
        <v>0</v>
      </c>
      <c r="E72" s="223">
        <f>+BUS!K175+BUS!L175+BUS!M175</f>
        <v>0</v>
      </c>
      <c r="F72" s="223">
        <f>+BUS!N175+BUS!O175+BUS!P175</f>
        <v>0</v>
      </c>
      <c r="G72" s="223">
        <f>+BUS!Q175+BUS!R175+BUS!S175</f>
        <v>0</v>
      </c>
      <c r="H72" s="223">
        <f>+BUS!T175+BUS!U175+BUS!V175</f>
        <v>0</v>
      </c>
      <c r="I72" s="223">
        <f>+BUS!W175+BUS!X175+BUS!Y175</f>
        <v>0</v>
      </c>
      <c r="J72" s="223">
        <f>+BUS!Z175+BUS!AA175+BUS!AB175</f>
        <v>0</v>
      </c>
      <c r="K72" s="223">
        <f>+BUS!AC175+BUS!AD175+BUS!AE175</f>
        <v>0</v>
      </c>
      <c r="L72" s="223">
        <f>+BUS!AF175+BUS!AG175+BUS!AH175</f>
        <v>0</v>
      </c>
      <c r="M72" s="223">
        <f>+BUS!AI175+BUS!AJ175+BUS!AK175</f>
        <v>0</v>
      </c>
      <c r="N72" s="223">
        <f>+BUS!AL175+BUS!AM175+BUS!AN175</f>
        <v>0</v>
      </c>
      <c r="O72" s="223">
        <f>+BUS!AO175+BUS!AP175+BUS!AQ175</f>
        <v>0</v>
      </c>
      <c r="P72" s="223">
        <f>+BUS!AR175+BUS!AS175+BUS!AT175</f>
        <v>0</v>
      </c>
      <c r="Q72" s="223">
        <f>+BUS!AU175+BUS!AV175+BUS!AW175</f>
        <v>0</v>
      </c>
      <c r="R72" s="223">
        <f>+BUS!AX175+BUS!AY175+BUS!AZ175</f>
        <v>0</v>
      </c>
      <c r="S72" s="223">
        <f>+BUS!BA175+BUS!BB175+BUS!BC175</f>
        <v>0</v>
      </c>
      <c r="T72" s="223">
        <f>+BUS!BD175+BUS!BE175+BUS!BF175</f>
        <v>0</v>
      </c>
      <c r="U72" s="223">
        <f>+BUS!BG175+BUS!BH175+BUS!BI175</f>
        <v>0</v>
      </c>
      <c r="V72" s="223">
        <f>+BUS!BJ175+BUS!BK175+BUS!BL175</f>
        <v>0</v>
      </c>
      <c r="W72" s="223">
        <f>+BUS!BM175+BUS!BN175+BUS!BO175</f>
        <v>0</v>
      </c>
      <c r="X72" s="223">
        <f>+BUS!BP175+BUS!BQ175+BUS!BR175</f>
        <v>0</v>
      </c>
      <c r="Y72" s="223">
        <f>+BUS!BS175+BUS!BT175+BUS!BU175</f>
        <v>0</v>
      </c>
      <c r="Z72" s="223">
        <f>+BUS!BV175+BUS!BW175+BUS!BX175</f>
        <v>0</v>
      </c>
      <c r="AA72" s="223">
        <f>+BUS!BY175+BUS!BZ175+BUS!CA175</f>
        <v>0</v>
      </c>
      <c r="AB72" s="223">
        <f>+BUS!CB175+BUS!CC175+BUS!CD175</f>
        <v>0</v>
      </c>
      <c r="AC72" s="223">
        <f>+BUS!CE175+BUS!CF175+BUS!CG175</f>
        <v>0</v>
      </c>
      <c r="AD72" s="223">
        <f>+BUS!CH175+BUS!CI175+BUS!CJ175</f>
        <v>0</v>
      </c>
      <c r="AE72" s="223">
        <f>+BUS!CK175+BUS!CL175+BUS!CM175</f>
        <v>0</v>
      </c>
      <c r="AF72" s="223">
        <f>+BUS!CN175+BUS!CO175+BUS!CP175</f>
        <v>0</v>
      </c>
      <c r="AG72" s="223">
        <f>+BUS!CQ175+BUS!CR175+BUS!CS175</f>
        <v>0</v>
      </c>
      <c r="AH72" s="223">
        <f>+BUS!CT175+BUS!CU175+BUS!CV175</f>
        <v>0</v>
      </c>
      <c r="AI72" s="223">
        <f>+BUS!CW175+BUS!CX175+BUS!CY175</f>
        <v>0</v>
      </c>
      <c r="AJ72" s="223">
        <f>+BUS!CZ175+BUS!DA175+BUS!DB175</f>
        <v>0</v>
      </c>
      <c r="AK72" s="43">
        <f>+BUS!DC175+BUS!DD175+BUS!DE175</f>
        <v>0</v>
      </c>
      <c r="AL72" s="43">
        <f>+BUS!DF175+BUS!DG175+BUS!DH175</f>
        <v>0</v>
      </c>
      <c r="AM72" s="43">
        <f>+BUS!DI175+BUS!DJ175+BUS!DK175</f>
        <v>0</v>
      </c>
      <c r="AN72" s="43">
        <f>+BUS!DL175+BUS!DM175+BUS!DN175</f>
        <v>0</v>
      </c>
      <c r="AO72" s="43">
        <f>+BUS!DO175+BUS!DP175+BUS!DQ175</f>
        <v>0</v>
      </c>
      <c r="AP72" s="43">
        <f>+BUS!DR175+BUS!DS175+BUS!DT175</f>
        <v>0</v>
      </c>
      <c r="AQ72" s="43">
        <f>+BUS!DU175+BUS!DV175+BUS!DW175</f>
        <v>0</v>
      </c>
      <c r="AR72" s="43">
        <f>+BUS!DX175+BUS!DY175+BUS!DZ175</f>
        <v>0</v>
      </c>
      <c r="AS72" s="43">
        <f>+BUS!EA175+BUS!EB175+BUS!EC175</f>
        <v>0</v>
      </c>
      <c r="AT72" s="43">
        <f>+BUS!ED175+BUS!EE175+BUS!EF175</f>
        <v>0</v>
      </c>
      <c r="AU72" s="43">
        <f>+BUS!EH175+BUS!EI175+BUS!EG175</f>
        <v>0</v>
      </c>
      <c r="AV72" s="43">
        <f>+BUS!EK175+BUS!EL175+BUS!EJ175</f>
        <v>0</v>
      </c>
      <c r="AW72" s="43">
        <f>+BUS!EN175+BUS!EO175+BUS!EM175</f>
        <v>0</v>
      </c>
      <c r="AX72" s="43">
        <f>+BUS!EQ175+BUS!ER175+BUS!EP175</f>
        <v>0</v>
      </c>
      <c r="AY72" s="43">
        <f>+BUS!ET175+BUS!EU175+BUS!ES175</f>
        <v>0</v>
      </c>
      <c r="AZ72" s="43">
        <f>+BUS!EW175+BUS!EX175+BUS!EV175</f>
        <v>0</v>
      </c>
      <c r="BA72" s="43">
        <f>+BUS!EZ175+BUS!FA175+BUS!FY175</f>
        <v>0</v>
      </c>
      <c r="BB72" s="43">
        <f>+BUS!FC175+BUS!FD175+BUS!FB175</f>
        <v>0</v>
      </c>
      <c r="BC72" s="43">
        <f>+BUS!FF175+BUS!FG175+BUS!FE175</f>
        <v>0</v>
      </c>
      <c r="BD72" s="43">
        <f>+BUS!FI175+BUS!FJ175+BUS!FH175</f>
        <v>0</v>
      </c>
      <c r="BE72" s="43">
        <f>+BUS!FL175+BUS!FM175+BUS!FK175</f>
        <v>0</v>
      </c>
      <c r="BF72" s="409">
        <f t="shared" si="3"/>
        <v>0</v>
      </c>
    </row>
    <row r="73" spans="1:59" ht="26.25" customHeight="1" thickBot="1">
      <c r="A73" s="154">
        <v>26</v>
      </c>
      <c r="B73" s="222">
        <f>+BUS!B176+BUS!C176+BUS!D176</f>
        <v>0</v>
      </c>
      <c r="C73" s="223">
        <f>+BUS!E176+BUS!F176+BUS!G176</f>
        <v>0</v>
      </c>
      <c r="D73" s="223">
        <f>+BUS!H176+BUS!I176+BUS!J176</f>
        <v>0</v>
      </c>
      <c r="E73" s="223">
        <f>+BUS!K176+BUS!L176+BUS!M176</f>
        <v>0</v>
      </c>
      <c r="F73" s="223">
        <f>+BUS!N176+BUS!O176+BUS!P176</f>
        <v>0</v>
      </c>
      <c r="G73" s="223">
        <f>+BUS!Q176+BUS!R176+BUS!S176</f>
        <v>0</v>
      </c>
      <c r="H73" s="223">
        <f>+BUS!T176+BUS!U176+BUS!V176</f>
        <v>0</v>
      </c>
      <c r="I73" s="223">
        <f>+BUS!W176+BUS!X176+BUS!Y176</f>
        <v>0</v>
      </c>
      <c r="J73" s="223">
        <f>+BUS!Z176+BUS!AA176+BUS!AB176</f>
        <v>0</v>
      </c>
      <c r="K73" s="223">
        <f>+BUS!AC176+BUS!AD176+BUS!AE176</f>
        <v>0</v>
      </c>
      <c r="L73" s="223">
        <f>+BUS!AF176+BUS!AG176+BUS!AH176</f>
        <v>0</v>
      </c>
      <c r="M73" s="223">
        <f>+BUS!AI176+BUS!AJ176+BUS!AK176</f>
        <v>0</v>
      </c>
      <c r="N73" s="223">
        <f>+BUS!AL176+BUS!AM176+BUS!AN176</f>
        <v>0</v>
      </c>
      <c r="O73" s="223">
        <f>+BUS!AO176+BUS!AP176+BUS!AQ176</f>
        <v>0</v>
      </c>
      <c r="P73" s="223">
        <f>+BUS!AR176+BUS!AS176+BUS!AT176</f>
        <v>0</v>
      </c>
      <c r="Q73" s="223">
        <f>+BUS!AU176+BUS!AV176+BUS!AW176</f>
        <v>0</v>
      </c>
      <c r="R73" s="223">
        <f>+BUS!AX176+BUS!AY176+BUS!AZ176</f>
        <v>0</v>
      </c>
      <c r="S73" s="223">
        <f>+BUS!BA176+BUS!BB176+BUS!BC176</f>
        <v>0</v>
      </c>
      <c r="T73" s="223">
        <f>+BUS!BD176+BUS!BE176+BUS!BF176</f>
        <v>0</v>
      </c>
      <c r="U73" s="223">
        <f>+BUS!BG176+BUS!BH176+BUS!BI176</f>
        <v>0</v>
      </c>
      <c r="V73" s="223">
        <f>+BUS!BJ176+BUS!BK176+BUS!BL176</f>
        <v>0</v>
      </c>
      <c r="W73" s="223">
        <f>+BUS!BM176+BUS!BN176+BUS!BO176</f>
        <v>0</v>
      </c>
      <c r="X73" s="223">
        <f>+BUS!BP176+BUS!BQ176+BUS!BR176</f>
        <v>0</v>
      </c>
      <c r="Y73" s="223">
        <f>+BUS!BS176+BUS!BT176+BUS!BU176</f>
        <v>0</v>
      </c>
      <c r="Z73" s="223">
        <f>+BUS!BV176+BUS!BW176+BUS!BX176</f>
        <v>0</v>
      </c>
      <c r="AA73" s="223">
        <f>+BUS!BY176+BUS!BZ176+BUS!CA176</f>
        <v>0</v>
      </c>
      <c r="AB73" s="223">
        <f>+BUS!CB176+BUS!CC176+BUS!CD176</f>
        <v>0</v>
      </c>
      <c r="AC73" s="223">
        <f>+BUS!CE176+BUS!CF176+BUS!CG176</f>
        <v>0</v>
      </c>
      <c r="AD73" s="223">
        <f>+BUS!CH176+BUS!CI176+BUS!CJ176</f>
        <v>0</v>
      </c>
      <c r="AE73" s="223">
        <f>+BUS!CK176+BUS!CL176+BUS!CM176</f>
        <v>0</v>
      </c>
      <c r="AF73" s="223">
        <f>+BUS!CN176+BUS!CO176+BUS!CP176</f>
        <v>0</v>
      </c>
      <c r="AG73" s="223">
        <f>+BUS!CQ176+BUS!CR176+BUS!CS176</f>
        <v>0</v>
      </c>
      <c r="AH73" s="223">
        <f>+BUS!CT176+BUS!CU176+BUS!CV176</f>
        <v>0</v>
      </c>
      <c r="AI73" s="223">
        <f>+BUS!CW176+BUS!CX176+BUS!CY176</f>
        <v>0</v>
      </c>
      <c r="AJ73" s="223">
        <f>+BUS!CZ176+BUS!DA176+BUS!DB176</f>
        <v>0</v>
      </c>
      <c r="AK73" s="43">
        <f>+BUS!DC176+BUS!DD176+BUS!DE176</f>
        <v>0</v>
      </c>
      <c r="AL73" s="43">
        <f>+BUS!DF176+BUS!DG176+BUS!DH176</f>
        <v>0</v>
      </c>
      <c r="AM73" s="43">
        <f>+BUS!DI176+BUS!DJ176+BUS!DK176</f>
        <v>0</v>
      </c>
      <c r="AN73" s="43">
        <f>+BUS!DL176+BUS!DM176+BUS!DN176</f>
        <v>0</v>
      </c>
      <c r="AO73" s="43">
        <f>+BUS!DO176+BUS!DP176+BUS!DQ176</f>
        <v>0</v>
      </c>
      <c r="AP73" s="43">
        <f>+BUS!DR176+BUS!DS176+BUS!DT176</f>
        <v>0</v>
      </c>
      <c r="AQ73" s="43">
        <f>+BUS!DU176+BUS!DV176+BUS!DW176</f>
        <v>0</v>
      </c>
      <c r="AR73" s="43">
        <f>+BUS!DX176+BUS!DY176+BUS!DZ176</f>
        <v>0</v>
      </c>
      <c r="AS73" s="43">
        <f>+BUS!EA176+BUS!EB176+BUS!EC176</f>
        <v>0</v>
      </c>
      <c r="AT73" s="43">
        <f>+BUS!ED176+BUS!EE176+BUS!EF176</f>
        <v>0</v>
      </c>
      <c r="AU73" s="43">
        <f>+BUS!EH176+BUS!EI176+BUS!EG176</f>
        <v>0</v>
      </c>
      <c r="AV73" s="43">
        <f>+BUS!EK176+BUS!EL176+BUS!EJ176</f>
        <v>0</v>
      </c>
      <c r="AW73" s="43">
        <f>+BUS!EN176+BUS!EO176+BUS!EM176</f>
        <v>0</v>
      </c>
      <c r="AX73" s="43">
        <f>+BUS!EQ176+BUS!ER176+BUS!EP176</f>
        <v>0</v>
      </c>
      <c r="AY73" s="43">
        <f>+BUS!ET176+BUS!EU176+BUS!ES176</f>
        <v>0</v>
      </c>
      <c r="AZ73" s="43">
        <f>+BUS!EW176+BUS!EX176+BUS!EV176</f>
        <v>0</v>
      </c>
      <c r="BA73" s="43">
        <f>+BUS!EZ176+BUS!FA176+BUS!FY176</f>
        <v>0</v>
      </c>
      <c r="BB73" s="43">
        <f>+BUS!FC176+BUS!FD176+BUS!FB176</f>
        <v>0</v>
      </c>
      <c r="BC73" s="43">
        <f>+BUS!FF176+BUS!FG176+BUS!FE176</f>
        <v>0</v>
      </c>
      <c r="BD73" s="43">
        <f>+BUS!FI176+BUS!FJ176+BUS!FH176</f>
        <v>0</v>
      </c>
      <c r="BE73" s="43">
        <f>+BUS!FL176+BUS!FM176+BUS!FK176</f>
        <v>0</v>
      </c>
      <c r="BF73" s="409">
        <f t="shared" si="3"/>
        <v>0</v>
      </c>
    </row>
    <row r="74" spans="1:59" ht="22.5" customHeight="1" thickBot="1">
      <c r="A74" s="154">
        <v>27</v>
      </c>
      <c r="B74" s="222">
        <f>+BUS!B177+BUS!C177+BUS!D177</f>
        <v>0</v>
      </c>
      <c r="C74" s="223">
        <f>+BUS!E177+BUS!F177+BUS!G177</f>
        <v>0</v>
      </c>
      <c r="D74" s="223">
        <f>+BUS!H177+BUS!I177+BUS!J177</f>
        <v>0</v>
      </c>
      <c r="E74" s="223">
        <f>+BUS!K177+BUS!L177+BUS!M177</f>
        <v>0</v>
      </c>
      <c r="F74" s="223">
        <f>+BUS!N177+BUS!O177+BUS!P177</f>
        <v>0</v>
      </c>
      <c r="G74" s="223">
        <f>+BUS!Q177+BUS!R177+BUS!S177</f>
        <v>0</v>
      </c>
      <c r="H74" s="223">
        <f>+BUS!T177+BUS!U177+BUS!V177</f>
        <v>0</v>
      </c>
      <c r="I74" s="223">
        <f>+BUS!W177+BUS!X177+BUS!Y177</f>
        <v>0</v>
      </c>
      <c r="J74" s="223">
        <f>+BUS!Z177+BUS!AA177+BUS!AB177</f>
        <v>0</v>
      </c>
      <c r="K74" s="223">
        <f>+BUS!AC177+BUS!AD177+BUS!AE177</f>
        <v>0</v>
      </c>
      <c r="L74" s="223">
        <f>+BUS!AF177+BUS!AG177+BUS!AH177</f>
        <v>0</v>
      </c>
      <c r="M74" s="223">
        <f>+BUS!AI177+BUS!AJ177+BUS!AK177</f>
        <v>0</v>
      </c>
      <c r="N74" s="223">
        <f>+BUS!AL177+BUS!AM177+BUS!AN177</f>
        <v>0</v>
      </c>
      <c r="O74" s="223">
        <f>+BUS!AO177+BUS!AP177+BUS!AQ177</f>
        <v>0</v>
      </c>
      <c r="P74" s="223">
        <f>+BUS!AR177+BUS!AS177+BUS!AT177</f>
        <v>0</v>
      </c>
      <c r="Q74" s="223">
        <f>+BUS!AU177+BUS!AV177+BUS!AW177</f>
        <v>0</v>
      </c>
      <c r="R74" s="223">
        <f>+BUS!AX177+BUS!AY177+BUS!AZ177</f>
        <v>0</v>
      </c>
      <c r="S74" s="223">
        <f>+BUS!BA177+BUS!BB177+BUS!BC177</f>
        <v>0</v>
      </c>
      <c r="T74" s="223">
        <f>+BUS!BD177+BUS!BE177+BUS!BF177</f>
        <v>0</v>
      </c>
      <c r="U74" s="223">
        <f>+BUS!BG177+BUS!BH177+BUS!BI177</f>
        <v>0</v>
      </c>
      <c r="V74" s="223">
        <f>+BUS!BJ177+BUS!BK177+BUS!BL177</f>
        <v>0</v>
      </c>
      <c r="W74" s="223">
        <f>+BUS!BM177+BUS!BN177+BUS!BO177</f>
        <v>0</v>
      </c>
      <c r="X74" s="223">
        <f>+BUS!BP177+BUS!BQ177+BUS!BR177</f>
        <v>0</v>
      </c>
      <c r="Y74" s="223">
        <f>+BUS!BS177+BUS!BT177+BUS!BU177</f>
        <v>0</v>
      </c>
      <c r="Z74" s="223">
        <f>+BUS!BV177+BUS!BW177+BUS!BX177</f>
        <v>0</v>
      </c>
      <c r="AA74" s="223">
        <f>+BUS!BY177+BUS!BZ177+BUS!CA177</f>
        <v>0</v>
      </c>
      <c r="AB74" s="223">
        <f>+BUS!CB177+BUS!CC177+BUS!CD177</f>
        <v>0</v>
      </c>
      <c r="AC74" s="223">
        <f>+BUS!CE177+BUS!CF177+BUS!CG177</f>
        <v>0</v>
      </c>
      <c r="AD74" s="223">
        <f>+BUS!CH177+BUS!CI177+BUS!CJ177</f>
        <v>0</v>
      </c>
      <c r="AE74" s="223">
        <f>+BUS!CK177+BUS!CL177+BUS!CM177</f>
        <v>0</v>
      </c>
      <c r="AF74" s="223">
        <f>+BUS!CN177+BUS!CO177+BUS!CP177</f>
        <v>0</v>
      </c>
      <c r="AG74" s="223">
        <f>+BUS!CQ177+BUS!CR177+BUS!CS177</f>
        <v>0</v>
      </c>
      <c r="AH74" s="223">
        <f>+BUS!CT177+BUS!CU177+BUS!CV177</f>
        <v>0</v>
      </c>
      <c r="AI74" s="223">
        <f>+BUS!CW177+BUS!CX177+BUS!CY177</f>
        <v>0</v>
      </c>
      <c r="AJ74" s="223">
        <f>+BUS!CZ177+BUS!DA177+BUS!DB177</f>
        <v>0</v>
      </c>
      <c r="AK74" s="43">
        <f>+BUS!DC177+BUS!DD177+BUS!DE177</f>
        <v>0</v>
      </c>
      <c r="AL74" s="43">
        <f>+BUS!DF177+BUS!DG177+BUS!DH177</f>
        <v>0</v>
      </c>
      <c r="AM74" s="43">
        <f>+BUS!DI177+BUS!DJ177+BUS!DK177</f>
        <v>0</v>
      </c>
      <c r="AN74" s="43">
        <f>+BUS!DL177+BUS!DM177+BUS!DN177</f>
        <v>0</v>
      </c>
      <c r="AO74" s="43">
        <f>+BUS!DO177+BUS!DP177+BUS!DQ177</f>
        <v>0</v>
      </c>
      <c r="AP74" s="43">
        <f>+BUS!DR177+BUS!DS177+BUS!DT177</f>
        <v>0</v>
      </c>
      <c r="AQ74" s="43">
        <f>+BUS!DU177+BUS!DV177+BUS!DW177</f>
        <v>0</v>
      </c>
      <c r="AR74" s="43">
        <f>+BUS!DX177+BUS!DY177+BUS!DZ177</f>
        <v>0</v>
      </c>
      <c r="AS74" s="43">
        <f>+BUS!EA177+BUS!EB177+BUS!EC177</f>
        <v>0</v>
      </c>
      <c r="AT74" s="43">
        <f>+BUS!ED177+BUS!EE177+BUS!EF177</f>
        <v>0</v>
      </c>
      <c r="AU74" s="43">
        <f>+BUS!EH177+BUS!EI177+BUS!EG177</f>
        <v>0</v>
      </c>
      <c r="AV74" s="43">
        <f>+BUS!EK177+BUS!EL177+BUS!EJ177</f>
        <v>0</v>
      </c>
      <c r="AW74" s="43">
        <f>+BUS!EN177+BUS!EO177+BUS!EM177</f>
        <v>0</v>
      </c>
      <c r="AX74" s="43">
        <f>+BUS!EQ177+BUS!ER177+BUS!EP177</f>
        <v>0</v>
      </c>
      <c r="AY74" s="43">
        <f>+BUS!ET177+BUS!EU177+BUS!ES177</f>
        <v>0</v>
      </c>
      <c r="AZ74" s="43">
        <f>+BUS!EW177+BUS!EX177+BUS!EV177</f>
        <v>0</v>
      </c>
      <c r="BA74" s="43">
        <f>+BUS!EZ177+BUS!FA177+BUS!FY177</f>
        <v>0</v>
      </c>
      <c r="BB74" s="43">
        <f>+BUS!FC177+BUS!FD177+BUS!FB177</f>
        <v>0</v>
      </c>
      <c r="BC74" s="43">
        <f>+BUS!FF177+BUS!FG177+BUS!FE177</f>
        <v>0</v>
      </c>
      <c r="BD74" s="43">
        <f>+BUS!FI177+BUS!FJ177+BUS!FH177</f>
        <v>0</v>
      </c>
      <c r="BE74" s="43">
        <f>+BUS!FL177+BUS!FM177+BUS!FK177</f>
        <v>0</v>
      </c>
      <c r="BF74" s="409">
        <f t="shared" si="3"/>
        <v>0</v>
      </c>
    </row>
    <row r="75" spans="1:59" ht="25.5" customHeight="1" thickBot="1">
      <c r="A75" s="154">
        <v>28</v>
      </c>
      <c r="B75" s="222">
        <f>+BUS!B178+BUS!C178+BUS!D178</f>
        <v>0</v>
      </c>
      <c r="C75" s="223">
        <f>+BUS!E178+BUS!F178+BUS!G178</f>
        <v>0</v>
      </c>
      <c r="D75" s="223">
        <f>+BUS!H178+BUS!I178+BUS!J178</f>
        <v>0</v>
      </c>
      <c r="E75" s="223">
        <f>+BUS!K178+BUS!L178+BUS!M178</f>
        <v>0</v>
      </c>
      <c r="F75" s="223">
        <f>+BUS!N178+BUS!O178+BUS!P178</f>
        <v>0</v>
      </c>
      <c r="G75" s="223">
        <f>+BUS!Q178+BUS!R178+BUS!S178</f>
        <v>0</v>
      </c>
      <c r="H75" s="223">
        <f>+BUS!T178+BUS!U178+BUS!V178</f>
        <v>0</v>
      </c>
      <c r="I75" s="223">
        <f>+BUS!W178+BUS!X178+BUS!Y178</f>
        <v>0</v>
      </c>
      <c r="J75" s="223">
        <f>+BUS!Z178+BUS!AA178+BUS!AB178</f>
        <v>0</v>
      </c>
      <c r="K75" s="223">
        <f>+BUS!AC178+BUS!AD178+BUS!AE178</f>
        <v>0</v>
      </c>
      <c r="L75" s="223">
        <f>+BUS!AF178+BUS!AG178+BUS!AH178</f>
        <v>0</v>
      </c>
      <c r="M75" s="223">
        <f>+BUS!AI178+BUS!AJ178+BUS!AK178</f>
        <v>0</v>
      </c>
      <c r="N75" s="223">
        <f>+BUS!AL178+BUS!AM178+BUS!AN178</f>
        <v>0</v>
      </c>
      <c r="O75" s="223">
        <f>+BUS!AO178+BUS!AP178+BUS!AQ178</f>
        <v>0</v>
      </c>
      <c r="P75" s="223">
        <f>+BUS!AR178+BUS!AS178+BUS!AT178</f>
        <v>0</v>
      </c>
      <c r="Q75" s="223">
        <f>+BUS!AU178+BUS!AV178+BUS!AW178</f>
        <v>0</v>
      </c>
      <c r="R75" s="223">
        <f>+BUS!AX178+BUS!AY178+BUS!AZ178</f>
        <v>0</v>
      </c>
      <c r="S75" s="223">
        <f>+BUS!BA178+BUS!BB178+BUS!BC178</f>
        <v>0</v>
      </c>
      <c r="T75" s="223">
        <f>+BUS!BD178+BUS!BE178+BUS!BF178</f>
        <v>0</v>
      </c>
      <c r="U75" s="223">
        <f>+BUS!BG178+BUS!BH178+BUS!BI178</f>
        <v>0</v>
      </c>
      <c r="V75" s="223">
        <f>+BUS!BJ178+BUS!BK178+BUS!BL178</f>
        <v>0</v>
      </c>
      <c r="W75" s="223">
        <f>+BUS!BM178+BUS!BN178+BUS!BO178</f>
        <v>0</v>
      </c>
      <c r="X75" s="223">
        <f>+BUS!BP178+BUS!BQ178+BUS!BR178</f>
        <v>0</v>
      </c>
      <c r="Y75" s="223">
        <f>+BUS!BS178+BUS!BT178+BUS!BU178</f>
        <v>0</v>
      </c>
      <c r="Z75" s="223">
        <f>+BUS!BV178+BUS!BW178+BUS!BX178</f>
        <v>0</v>
      </c>
      <c r="AA75" s="223">
        <f>+BUS!BY178+BUS!BZ178+BUS!CA178</f>
        <v>0</v>
      </c>
      <c r="AB75" s="223">
        <f>+BUS!CB178+BUS!CC178+BUS!CD178</f>
        <v>0</v>
      </c>
      <c r="AC75" s="223">
        <f>+BUS!CE178+BUS!CF178+BUS!CG178</f>
        <v>0</v>
      </c>
      <c r="AD75" s="223">
        <f>+BUS!CH178+BUS!CI178+BUS!CJ178</f>
        <v>0</v>
      </c>
      <c r="AE75" s="223">
        <f>+BUS!CK178+BUS!CL178+BUS!CM178</f>
        <v>0</v>
      </c>
      <c r="AF75" s="223">
        <f>+BUS!CN178+BUS!CO178+BUS!CP178</f>
        <v>0</v>
      </c>
      <c r="AG75" s="223">
        <f>+BUS!CQ178+BUS!CR178+BUS!CS178</f>
        <v>0</v>
      </c>
      <c r="AH75" s="223">
        <f>+BUS!CT178+BUS!CU178+BUS!CV178</f>
        <v>0</v>
      </c>
      <c r="AI75" s="223">
        <f>+BUS!CW178+BUS!CX178+BUS!CY178</f>
        <v>0</v>
      </c>
      <c r="AJ75" s="223">
        <f>+BUS!CZ178+BUS!DA178+BUS!DB178</f>
        <v>0</v>
      </c>
      <c r="AK75" s="43">
        <f>+BUS!DC178+BUS!DD178+BUS!DE178</f>
        <v>0</v>
      </c>
      <c r="AL75" s="43">
        <f>+BUS!DF178+BUS!DG178+BUS!DH178</f>
        <v>0</v>
      </c>
      <c r="AM75" s="43">
        <f>+BUS!DI178+BUS!DJ178+BUS!DK178</f>
        <v>0</v>
      </c>
      <c r="AN75" s="43">
        <f>+BUS!DL178+BUS!DM178+BUS!DN178</f>
        <v>0</v>
      </c>
      <c r="AO75" s="43">
        <f>+BUS!DO178+BUS!DP178+BUS!DQ178</f>
        <v>0</v>
      </c>
      <c r="AP75" s="43">
        <f>+BUS!DR178+BUS!DS178+BUS!DT178</f>
        <v>0</v>
      </c>
      <c r="AQ75" s="43">
        <f>+BUS!DU178+BUS!DV178+BUS!DW178</f>
        <v>0</v>
      </c>
      <c r="AR75" s="43">
        <f>+BUS!DX178+BUS!DY178+BUS!DZ178</f>
        <v>0</v>
      </c>
      <c r="AS75" s="43">
        <f>+BUS!EA178+BUS!EB178+BUS!EC178</f>
        <v>0</v>
      </c>
      <c r="AT75" s="43">
        <f>+BUS!ED178+BUS!EE178+BUS!EF178</f>
        <v>0</v>
      </c>
      <c r="AU75" s="43">
        <f>+BUS!EH178+BUS!EI178+BUS!EG178</f>
        <v>0</v>
      </c>
      <c r="AV75" s="43">
        <f>+BUS!EK178+BUS!EL178+BUS!EJ178</f>
        <v>0</v>
      </c>
      <c r="AW75" s="43">
        <f>+BUS!EN178+BUS!EO178+BUS!EM178</f>
        <v>0</v>
      </c>
      <c r="AX75" s="43">
        <f>+BUS!EQ178+BUS!ER178+BUS!EP178</f>
        <v>0</v>
      </c>
      <c r="AY75" s="43">
        <f>+BUS!ET178+BUS!EU178+BUS!ES178</f>
        <v>0</v>
      </c>
      <c r="AZ75" s="43">
        <f>+BUS!EW178+BUS!EX178+BUS!EV178</f>
        <v>0</v>
      </c>
      <c r="BA75" s="43">
        <f>+BUS!EZ178+BUS!FA178+BUS!FY178</f>
        <v>0</v>
      </c>
      <c r="BB75" s="43">
        <f>+BUS!FC178+BUS!FD178+BUS!FB178</f>
        <v>0</v>
      </c>
      <c r="BC75" s="43">
        <f>+BUS!FF178+BUS!FG178+BUS!FE178</f>
        <v>0</v>
      </c>
      <c r="BD75" s="43">
        <f>+BUS!FI178+BUS!FJ178+BUS!FH178</f>
        <v>0</v>
      </c>
      <c r="BE75" s="43">
        <f>+BUS!FL178+BUS!FM178+BUS!FK178</f>
        <v>0</v>
      </c>
      <c r="BF75" s="409">
        <f t="shared" si="3"/>
        <v>0</v>
      </c>
    </row>
    <row r="76" spans="1:59" ht="25.5" customHeight="1" thickBot="1">
      <c r="A76" s="154">
        <v>29</v>
      </c>
      <c r="B76" s="222">
        <f>+BUS!B179+BUS!C179+BUS!D179</f>
        <v>0</v>
      </c>
      <c r="C76" s="223">
        <f>+BUS!E179+BUS!F179+BUS!G179</f>
        <v>0</v>
      </c>
      <c r="D76" s="223">
        <f>+BUS!H179+BUS!I179+BUS!J179</f>
        <v>0</v>
      </c>
      <c r="E76" s="223">
        <f>+BUS!K179+BUS!L179+BUS!M179</f>
        <v>0</v>
      </c>
      <c r="F76" s="223">
        <f>+BUS!N179+BUS!O179+BUS!P179</f>
        <v>0</v>
      </c>
      <c r="G76" s="223">
        <f>+BUS!Q179+BUS!R179+BUS!S179</f>
        <v>0</v>
      </c>
      <c r="H76" s="223">
        <f>+BUS!T179+BUS!U179+BUS!V179</f>
        <v>0</v>
      </c>
      <c r="I76" s="223">
        <f>+BUS!W179+BUS!X179+BUS!Y179</f>
        <v>0</v>
      </c>
      <c r="J76" s="223">
        <f>+BUS!Z179+BUS!AA179+BUS!AB179</f>
        <v>0</v>
      </c>
      <c r="K76" s="223">
        <f>+BUS!AC179+BUS!AD179+BUS!AE179</f>
        <v>0</v>
      </c>
      <c r="L76" s="223">
        <f>+BUS!AF179+BUS!AG179+BUS!AH179</f>
        <v>0</v>
      </c>
      <c r="M76" s="223">
        <f>+BUS!AI179+BUS!AJ179+BUS!AK179</f>
        <v>0</v>
      </c>
      <c r="N76" s="223">
        <f>+BUS!AL179+BUS!AM179+BUS!AN179</f>
        <v>0</v>
      </c>
      <c r="O76" s="223">
        <f>+BUS!AO179+BUS!AP179+BUS!AQ179</f>
        <v>0</v>
      </c>
      <c r="P76" s="223">
        <f>+BUS!AR179+BUS!AS179+BUS!AT179</f>
        <v>0</v>
      </c>
      <c r="Q76" s="223">
        <f>+BUS!AU179+BUS!AV179+BUS!AW179</f>
        <v>0</v>
      </c>
      <c r="R76" s="223">
        <f>+BUS!AX179+BUS!AY179+BUS!AZ179</f>
        <v>0</v>
      </c>
      <c r="S76" s="223">
        <f>+BUS!BA179+BUS!BB179+BUS!BC179</f>
        <v>0</v>
      </c>
      <c r="T76" s="223">
        <f>+BUS!BD179+BUS!BE179+BUS!BF179</f>
        <v>0</v>
      </c>
      <c r="U76" s="223">
        <f>+BUS!BG179+BUS!BH179+BUS!BI179</f>
        <v>0</v>
      </c>
      <c r="V76" s="223">
        <f>+BUS!BJ179+BUS!BK179+BUS!BL179</f>
        <v>0</v>
      </c>
      <c r="W76" s="223">
        <f>+BUS!BM179+BUS!BN179+BUS!BO179</f>
        <v>0</v>
      </c>
      <c r="X76" s="223">
        <f>+BUS!BP179+BUS!BQ179+BUS!BR179</f>
        <v>0</v>
      </c>
      <c r="Y76" s="223">
        <f>+BUS!BS179+BUS!BT179+BUS!BU179</f>
        <v>0</v>
      </c>
      <c r="Z76" s="223">
        <f>+BUS!BV179+BUS!BW179+BUS!BX179</f>
        <v>0</v>
      </c>
      <c r="AA76" s="223">
        <f>+BUS!BY179+BUS!BZ179+BUS!CA179</f>
        <v>0</v>
      </c>
      <c r="AB76" s="223">
        <f>+BUS!CB179+BUS!CC179+BUS!CD179</f>
        <v>0</v>
      </c>
      <c r="AC76" s="223">
        <f>+BUS!CE179+BUS!CF179+BUS!CG179</f>
        <v>0</v>
      </c>
      <c r="AD76" s="223">
        <f>+BUS!CH179+BUS!CI179+BUS!CJ179</f>
        <v>0</v>
      </c>
      <c r="AE76" s="223">
        <f>+BUS!CK179+BUS!CL179+BUS!CM179</f>
        <v>0</v>
      </c>
      <c r="AF76" s="223">
        <f>+BUS!CN179+BUS!CO179+BUS!CP179</f>
        <v>0</v>
      </c>
      <c r="AG76" s="223">
        <f>+BUS!CQ179+BUS!CR179+BUS!CS179</f>
        <v>0</v>
      </c>
      <c r="AH76" s="223">
        <f>+BUS!CT179+BUS!CU179+BUS!CV179</f>
        <v>0</v>
      </c>
      <c r="AI76" s="223">
        <f>+BUS!CW179+BUS!CX179+BUS!CY179</f>
        <v>0</v>
      </c>
      <c r="AJ76" s="223">
        <f>+BUS!CZ179+BUS!DA179+BUS!DB179</f>
        <v>0</v>
      </c>
      <c r="AK76" s="43">
        <f>+BUS!DC179+BUS!DD179+BUS!DE179</f>
        <v>0</v>
      </c>
      <c r="AL76" s="43">
        <f>+BUS!DF179+BUS!DG179+BUS!DH179</f>
        <v>0</v>
      </c>
      <c r="AM76" s="43">
        <f>+BUS!DI179+BUS!DJ179+BUS!DK179</f>
        <v>0</v>
      </c>
      <c r="AN76" s="43">
        <f>+BUS!DL179+BUS!DM179+BUS!DN179</f>
        <v>0</v>
      </c>
      <c r="AO76" s="43">
        <f>+BUS!DO179+BUS!DP179+BUS!DQ179</f>
        <v>0</v>
      </c>
      <c r="AP76" s="43">
        <f>+BUS!DR179+BUS!DS179+BUS!DT179</f>
        <v>0</v>
      </c>
      <c r="AQ76" s="43">
        <f>+BUS!DU179+BUS!DV179+BUS!DW179</f>
        <v>0</v>
      </c>
      <c r="AR76" s="43">
        <f>+BUS!DX179+BUS!DY179+BUS!DZ179</f>
        <v>0</v>
      </c>
      <c r="AS76" s="43">
        <f>+BUS!EA179+BUS!EB179+BUS!EC179</f>
        <v>0</v>
      </c>
      <c r="AT76" s="43">
        <f>+BUS!ED179+BUS!EE179+BUS!EF179</f>
        <v>0</v>
      </c>
      <c r="AU76" s="43">
        <f>+BUS!EH179+BUS!EI179+BUS!EG179</f>
        <v>0</v>
      </c>
      <c r="AV76" s="43">
        <f>+BUS!EK179+BUS!EL179+BUS!EJ179</f>
        <v>0</v>
      </c>
      <c r="AW76" s="43">
        <f>+BUS!EN179+BUS!EO179+BUS!EM179</f>
        <v>0</v>
      </c>
      <c r="AX76" s="43">
        <f>+BUS!EQ179+BUS!ER179+BUS!EP179</f>
        <v>0</v>
      </c>
      <c r="AY76" s="43">
        <f>+BUS!ET179+BUS!EU179+BUS!ES179</f>
        <v>0</v>
      </c>
      <c r="AZ76" s="43">
        <f>+BUS!EW179+BUS!EX179+BUS!EV179</f>
        <v>0</v>
      </c>
      <c r="BA76" s="43">
        <f>+BUS!EZ179+BUS!FA179+BUS!FY179</f>
        <v>0</v>
      </c>
      <c r="BB76" s="43">
        <f>+BUS!FC179+BUS!FD179+BUS!FB179</f>
        <v>0</v>
      </c>
      <c r="BC76" s="43">
        <f>+BUS!FF179+BUS!FG179+BUS!FE179</f>
        <v>0</v>
      </c>
      <c r="BD76" s="43">
        <f>+BUS!FI179+BUS!FJ179+BUS!FH179</f>
        <v>0</v>
      </c>
      <c r="BE76" s="43">
        <f>+BUS!FL179+BUS!FM179+BUS!FK179</f>
        <v>0</v>
      </c>
      <c r="BF76" s="409">
        <f t="shared" si="3"/>
        <v>0</v>
      </c>
    </row>
    <row r="77" spans="1:59" ht="26.25" customHeight="1" thickBot="1">
      <c r="A77" s="154">
        <v>30</v>
      </c>
      <c r="B77" s="222">
        <f>+BUS!B180+BUS!C180+BUS!D180</f>
        <v>0</v>
      </c>
      <c r="C77" s="223">
        <f>+BUS!E180+BUS!F180+BUS!G180</f>
        <v>0</v>
      </c>
      <c r="D77" s="223">
        <f>+BUS!H180+BUS!I180+BUS!J180</f>
        <v>0</v>
      </c>
      <c r="E77" s="223">
        <f>+BUS!K180+BUS!L180+BUS!M180</f>
        <v>0</v>
      </c>
      <c r="F77" s="223">
        <f>+BUS!N180+BUS!O180+BUS!P180</f>
        <v>0</v>
      </c>
      <c r="G77" s="223">
        <f>+BUS!Q180+BUS!R180+BUS!S180</f>
        <v>0</v>
      </c>
      <c r="H77" s="223">
        <f>+BUS!T180+BUS!U180+BUS!V180</f>
        <v>0</v>
      </c>
      <c r="I77" s="223">
        <f>+BUS!W180+BUS!X180+BUS!Y180</f>
        <v>0</v>
      </c>
      <c r="J77" s="223">
        <f>+BUS!Z180+BUS!AA180+BUS!AB180</f>
        <v>0</v>
      </c>
      <c r="K77" s="223">
        <f>+BUS!AC180+BUS!AD180+BUS!AE180</f>
        <v>0</v>
      </c>
      <c r="L77" s="223">
        <f>+BUS!AF180+BUS!AG180+BUS!AH180</f>
        <v>0</v>
      </c>
      <c r="M77" s="223">
        <f>+BUS!AI180+BUS!AJ180+BUS!AK180</f>
        <v>0</v>
      </c>
      <c r="N77" s="223">
        <f>+BUS!AL180+BUS!AM180+BUS!AN180</f>
        <v>0</v>
      </c>
      <c r="O77" s="223">
        <f>+BUS!AO180+BUS!AP180+BUS!AQ180</f>
        <v>0</v>
      </c>
      <c r="P77" s="223">
        <f>+BUS!AR180+BUS!AS180+BUS!AT180</f>
        <v>0</v>
      </c>
      <c r="Q77" s="223">
        <f>+BUS!AU180+BUS!AV180+BUS!AW180</f>
        <v>0</v>
      </c>
      <c r="R77" s="223">
        <f>+BUS!AX180+BUS!AY180+BUS!AZ180</f>
        <v>0</v>
      </c>
      <c r="S77" s="223">
        <f>+BUS!BA180+BUS!BB180+BUS!BC180</f>
        <v>0</v>
      </c>
      <c r="T77" s="223">
        <f>+BUS!BD180+BUS!BE180+BUS!BF180</f>
        <v>0</v>
      </c>
      <c r="U77" s="223">
        <f>+BUS!BG180+BUS!BH180+BUS!BI180</f>
        <v>0</v>
      </c>
      <c r="V77" s="223">
        <f>+BUS!BJ180+BUS!BK180+BUS!BL180</f>
        <v>0</v>
      </c>
      <c r="W77" s="223">
        <f>+BUS!BM180+BUS!BN180+BUS!BO180</f>
        <v>0</v>
      </c>
      <c r="X77" s="223">
        <f>+BUS!BP180+BUS!BQ180+BUS!BR180</f>
        <v>0</v>
      </c>
      <c r="Y77" s="223">
        <f>+BUS!BS180+BUS!BT180+BUS!BU180</f>
        <v>0</v>
      </c>
      <c r="Z77" s="223">
        <f>+BUS!BV180+BUS!BW180+BUS!BX180</f>
        <v>0</v>
      </c>
      <c r="AA77" s="223">
        <f>+BUS!BY180+BUS!BZ180+BUS!CA180</f>
        <v>0</v>
      </c>
      <c r="AB77" s="223">
        <f>+BUS!CB180+BUS!CC180+BUS!CD180</f>
        <v>0</v>
      </c>
      <c r="AC77" s="223">
        <f>+BUS!CE180+BUS!CF180+BUS!CG180</f>
        <v>0</v>
      </c>
      <c r="AD77" s="223">
        <f>+BUS!CH180+BUS!CI180+BUS!CJ180</f>
        <v>0</v>
      </c>
      <c r="AE77" s="223">
        <f>+BUS!CK180+BUS!CL180+BUS!CM180</f>
        <v>0</v>
      </c>
      <c r="AF77" s="223">
        <f>+BUS!CN180+BUS!CO180+BUS!CP180</f>
        <v>0</v>
      </c>
      <c r="AG77" s="223">
        <f>+BUS!CQ180+BUS!CR180+BUS!CS180</f>
        <v>0</v>
      </c>
      <c r="AH77" s="223">
        <f>+BUS!CT180+BUS!CU180+BUS!CV180</f>
        <v>0</v>
      </c>
      <c r="AI77" s="223">
        <f>+BUS!CW180+BUS!CX180+BUS!CY180</f>
        <v>0</v>
      </c>
      <c r="AJ77" s="223">
        <f>+BUS!CZ180+BUS!DA180+BUS!DB180</f>
        <v>0</v>
      </c>
      <c r="AK77" s="43">
        <f>+BUS!DC180+BUS!DD180+BUS!DE180</f>
        <v>0</v>
      </c>
      <c r="AL77" s="43">
        <f>+BUS!DF180+BUS!DG180+BUS!DH180</f>
        <v>0</v>
      </c>
      <c r="AM77" s="43">
        <f>+BUS!DI180+BUS!DJ180+BUS!DK180</f>
        <v>0</v>
      </c>
      <c r="AN77" s="43">
        <f>+BUS!DL180+BUS!DM180+BUS!DN180</f>
        <v>0</v>
      </c>
      <c r="AO77" s="43">
        <f>+BUS!DO180+BUS!DP180+BUS!DQ180</f>
        <v>0</v>
      </c>
      <c r="AP77" s="43">
        <f>+BUS!DR180+BUS!DS180+BUS!DT180</f>
        <v>0</v>
      </c>
      <c r="AQ77" s="43">
        <f>+BUS!DU180+BUS!DV180+BUS!DW180</f>
        <v>0</v>
      </c>
      <c r="AR77" s="43">
        <f>+BUS!DX180+BUS!DY180+BUS!DZ180</f>
        <v>0</v>
      </c>
      <c r="AS77" s="43">
        <f>+BUS!EA180+BUS!EB180+BUS!EC180</f>
        <v>0</v>
      </c>
      <c r="AT77" s="43">
        <f>+BUS!ED180+BUS!EE180+BUS!EF180</f>
        <v>0</v>
      </c>
      <c r="AU77" s="43">
        <f>+BUS!EH180+BUS!EI180+BUS!EG180</f>
        <v>0</v>
      </c>
      <c r="AV77" s="43">
        <f>+BUS!EK180+BUS!EL180+BUS!EJ180</f>
        <v>0</v>
      </c>
      <c r="AW77" s="43">
        <f>+BUS!EN180+BUS!EO180+BUS!EM180</f>
        <v>0</v>
      </c>
      <c r="AX77" s="43">
        <f>+BUS!EQ180+BUS!ER180+BUS!EP180</f>
        <v>0</v>
      </c>
      <c r="AY77" s="43">
        <f>+BUS!ET180+BUS!EU180+BUS!ES180</f>
        <v>0</v>
      </c>
      <c r="AZ77" s="43">
        <f>+BUS!EW180+BUS!EX180+BUS!EV180</f>
        <v>0</v>
      </c>
      <c r="BA77" s="43">
        <f>+BUS!EZ180+BUS!FA180+BUS!FY180</f>
        <v>0</v>
      </c>
      <c r="BB77" s="43">
        <f>+BUS!FC180+BUS!FD180+BUS!FB180</f>
        <v>0</v>
      </c>
      <c r="BC77" s="43">
        <f>+BUS!FF180+BUS!FG180+BUS!FE180</f>
        <v>0</v>
      </c>
      <c r="BD77" s="43">
        <f>+BUS!FI180+BUS!FJ180+BUS!FH180</f>
        <v>0</v>
      </c>
      <c r="BE77" s="43">
        <f>+BUS!FL180+BUS!FM180+BUS!FK180</f>
        <v>0</v>
      </c>
      <c r="BF77" s="409">
        <f t="shared" si="3"/>
        <v>0</v>
      </c>
    </row>
    <row r="78" spans="1:59" ht="25.5" customHeight="1" thickBot="1">
      <c r="A78" s="154">
        <v>31</v>
      </c>
      <c r="B78" s="222">
        <f>+BUS!B181+BUS!C181+BUS!D181</f>
        <v>0</v>
      </c>
      <c r="C78" s="223">
        <f>+BUS!E181+BUS!F181+BUS!G181</f>
        <v>0</v>
      </c>
      <c r="D78" s="223">
        <f>+BUS!H181+BUS!I181+BUS!J181</f>
        <v>0</v>
      </c>
      <c r="E78" s="223">
        <f>+BUS!K181+BUS!L181+BUS!M181</f>
        <v>0</v>
      </c>
      <c r="F78" s="223">
        <f>+BUS!N181+BUS!O181+BUS!P181</f>
        <v>0</v>
      </c>
      <c r="G78" s="223">
        <f>+BUS!Q181+BUS!R181+BUS!S181</f>
        <v>0</v>
      </c>
      <c r="H78" s="223">
        <f>+BUS!T181+BUS!U181+BUS!V181</f>
        <v>0</v>
      </c>
      <c r="I78" s="223">
        <f>+BUS!W181+BUS!X181+BUS!Y181</f>
        <v>0</v>
      </c>
      <c r="J78" s="223">
        <f>+BUS!Z181+BUS!AA181+BUS!AB181</f>
        <v>0</v>
      </c>
      <c r="K78" s="223">
        <f>+BUS!AC181+BUS!AD181+BUS!AE181</f>
        <v>0</v>
      </c>
      <c r="L78" s="223">
        <f>+BUS!AF181+BUS!AG181+BUS!AH181</f>
        <v>0</v>
      </c>
      <c r="M78" s="223">
        <f>+BUS!AI181+BUS!AJ181+BUS!AK181</f>
        <v>0</v>
      </c>
      <c r="N78" s="223">
        <f>+BUS!AL181+BUS!AM181+BUS!AN181</f>
        <v>0</v>
      </c>
      <c r="O78" s="223">
        <f>+BUS!AO181+BUS!AP181+BUS!AQ181</f>
        <v>0</v>
      </c>
      <c r="P78" s="223">
        <f>+BUS!AR181+BUS!AS181+BUS!AT181</f>
        <v>0</v>
      </c>
      <c r="Q78" s="223">
        <f>+BUS!AU181+BUS!AV181+BUS!AW181</f>
        <v>0</v>
      </c>
      <c r="R78" s="223">
        <f>+BUS!AX181+BUS!AY181+BUS!AZ181</f>
        <v>0</v>
      </c>
      <c r="S78" s="223">
        <f>+BUS!BA181+BUS!BB181+BUS!BC181</f>
        <v>0</v>
      </c>
      <c r="T78" s="223">
        <f>+BUS!BD181+BUS!BE181+BUS!BF181</f>
        <v>0</v>
      </c>
      <c r="U78" s="223">
        <f>+BUS!BG181+BUS!BH181+BUS!BI181</f>
        <v>0</v>
      </c>
      <c r="V78" s="223">
        <f>+BUS!BJ181+BUS!BK181+BUS!BL181</f>
        <v>0</v>
      </c>
      <c r="W78" s="223">
        <f>+BUS!BM181+BUS!BN181+BUS!BO181</f>
        <v>0</v>
      </c>
      <c r="X78" s="223">
        <f>+BUS!BP181+BUS!BQ181+BUS!BR181</f>
        <v>0</v>
      </c>
      <c r="Y78" s="223">
        <f>+BUS!BS181+BUS!BT181+BUS!BU181</f>
        <v>0</v>
      </c>
      <c r="Z78" s="223">
        <f>+BUS!BV181+BUS!BW181+BUS!BX181</f>
        <v>0</v>
      </c>
      <c r="AA78" s="223">
        <f>+BUS!BY181+BUS!BZ181+BUS!CA181</f>
        <v>0</v>
      </c>
      <c r="AB78" s="223">
        <f>+BUS!CB181+BUS!CC181+BUS!CD181</f>
        <v>0</v>
      </c>
      <c r="AC78" s="223">
        <f>+BUS!CE181+BUS!CF181+BUS!CG181</f>
        <v>0</v>
      </c>
      <c r="AD78" s="223">
        <f>+BUS!CH181+BUS!CI181+BUS!CJ181</f>
        <v>0</v>
      </c>
      <c r="AE78" s="223">
        <f>+BUS!CK181+BUS!CL181+BUS!CM181</f>
        <v>0</v>
      </c>
      <c r="AF78" s="223">
        <f>+BUS!CN181+BUS!CO181+BUS!CP181</f>
        <v>0</v>
      </c>
      <c r="AG78" s="223">
        <f>+BUS!CQ181+BUS!CR181+BUS!CS181</f>
        <v>0</v>
      </c>
      <c r="AH78" s="223">
        <f>+BUS!CT181+BUS!CU181+BUS!CV181</f>
        <v>0</v>
      </c>
      <c r="AI78" s="223">
        <f>+BUS!CW181+BUS!CX181+BUS!CY181</f>
        <v>0</v>
      </c>
      <c r="AJ78" s="223">
        <f>+BUS!CZ181+BUS!DA181+BUS!DB181</f>
        <v>0</v>
      </c>
      <c r="AK78" s="43">
        <f>+BUS!DC181+BUS!DD181+BUS!DE181</f>
        <v>0</v>
      </c>
      <c r="AL78" s="43">
        <f>+BUS!DF181+BUS!DG181+BUS!DH181</f>
        <v>0</v>
      </c>
      <c r="AM78" s="43">
        <f>+BUS!DI181+BUS!DJ181+BUS!DK181</f>
        <v>0</v>
      </c>
      <c r="AN78" s="43">
        <f>+BUS!DL181+BUS!DM181+BUS!DN181</f>
        <v>0</v>
      </c>
      <c r="AO78" s="43">
        <f>+BUS!DO181+BUS!DP181+BUS!DQ181</f>
        <v>0</v>
      </c>
      <c r="AP78" s="43">
        <f>+BUS!DR181+BUS!DS181+BUS!DT181</f>
        <v>0</v>
      </c>
      <c r="AQ78" s="43">
        <f>+BUS!DU181+BUS!DV181+BUS!DW181</f>
        <v>0</v>
      </c>
      <c r="AR78" s="43">
        <f>+BUS!DX181+BUS!DY181+BUS!DZ181</f>
        <v>0</v>
      </c>
      <c r="AS78" s="43">
        <f>+BUS!EA181+BUS!EB181+BUS!EC181</f>
        <v>0</v>
      </c>
      <c r="AT78" s="43">
        <f>+BUS!ED181+BUS!EE181+BUS!EF181</f>
        <v>0</v>
      </c>
      <c r="AU78" s="43">
        <f>+BUS!EH181+BUS!EI181+BUS!EG181</f>
        <v>0</v>
      </c>
      <c r="AV78" s="43">
        <f>+BUS!EK181+BUS!EL181+BUS!EJ181</f>
        <v>0</v>
      </c>
      <c r="AW78" s="43">
        <f>+BUS!EN181+BUS!EO181+BUS!EM181</f>
        <v>0</v>
      </c>
      <c r="AX78" s="43">
        <f>+BUS!EQ181+BUS!ER181+BUS!EP181</f>
        <v>0</v>
      </c>
      <c r="AY78" s="43">
        <f>+BUS!ET181+BUS!EU181+BUS!ES181</f>
        <v>0</v>
      </c>
      <c r="AZ78" s="43">
        <f>+BUS!EW181+BUS!EX181+BUS!EV181</f>
        <v>0</v>
      </c>
      <c r="BA78" s="43">
        <f>+BUS!EZ181+BUS!FA181+BUS!FY181</f>
        <v>0</v>
      </c>
      <c r="BB78" s="43">
        <f>+BUS!FC181+BUS!FD181+BUS!FB181</f>
        <v>0</v>
      </c>
      <c r="BC78" s="43">
        <f>+BUS!FF181+BUS!FG181+BUS!FE181</f>
        <v>0</v>
      </c>
      <c r="BD78" s="43">
        <f>+BUS!FI181+BUS!FJ181+BUS!FH181</f>
        <v>0</v>
      </c>
      <c r="BE78" s="43">
        <f>+BUS!FL181+BUS!FM181+BUS!FK181</f>
        <v>0</v>
      </c>
      <c r="BF78" s="409">
        <f t="shared" si="3"/>
        <v>0</v>
      </c>
    </row>
    <row r="79" spans="1:59" ht="27" customHeight="1" thickBot="1">
      <c r="A79" s="113" t="s">
        <v>56</v>
      </c>
      <c r="B79" s="228">
        <f>SUM(B48:B78)</f>
        <v>0</v>
      </c>
      <c r="C79" s="229">
        <f t="shared" ref="C79" si="4">SUM(C48:C78)</f>
        <v>0</v>
      </c>
      <c r="D79" s="229">
        <f t="shared" ref="D79" si="5">SUM(D48:D78)</f>
        <v>0</v>
      </c>
      <c r="E79" s="229">
        <f t="shared" ref="E79" si="6">SUM(E48:E78)</f>
        <v>0</v>
      </c>
      <c r="F79" s="229">
        <f t="shared" ref="F79" si="7">SUM(F48:F78)</f>
        <v>0</v>
      </c>
      <c r="G79" s="229">
        <f t="shared" ref="G79" si="8">SUM(G48:G78)</f>
        <v>0</v>
      </c>
      <c r="H79" s="229">
        <f t="shared" ref="H79" si="9">SUM(H48:H78)</f>
        <v>0</v>
      </c>
      <c r="I79" s="229">
        <f t="shared" ref="I79" si="10">SUM(I48:I78)</f>
        <v>0</v>
      </c>
      <c r="J79" s="229">
        <f t="shared" ref="J79" si="11">SUM(J48:J78)</f>
        <v>0</v>
      </c>
      <c r="K79" s="229">
        <f t="shared" ref="K79" si="12">SUM(K48:K78)</f>
        <v>0</v>
      </c>
      <c r="L79" s="229">
        <f t="shared" ref="L79" si="13">SUM(L48:L78)</f>
        <v>0</v>
      </c>
      <c r="M79" s="229">
        <f t="shared" ref="M79" si="14">SUM(M48:M78)</f>
        <v>0</v>
      </c>
      <c r="N79" s="229">
        <f t="shared" ref="N79" si="15">SUM(N48:N78)</f>
        <v>0</v>
      </c>
      <c r="O79" s="229">
        <f t="shared" ref="O79" si="16">SUM(O48:O78)</f>
        <v>0</v>
      </c>
      <c r="P79" s="229">
        <f t="shared" ref="P79" si="17">SUM(P48:P78)</f>
        <v>0</v>
      </c>
      <c r="Q79" s="229">
        <f t="shared" ref="Q79" si="18">SUM(Q48:Q78)</f>
        <v>0</v>
      </c>
      <c r="R79" s="229">
        <f t="shared" ref="R79" si="19">SUM(R48:R78)</f>
        <v>0</v>
      </c>
      <c r="S79" s="229">
        <f t="shared" ref="S79" si="20">SUM(S48:S78)</f>
        <v>0</v>
      </c>
      <c r="T79" s="229">
        <f t="shared" ref="T79" si="21">SUM(T48:T78)</f>
        <v>0</v>
      </c>
      <c r="U79" s="229">
        <f t="shared" ref="U79" si="22">SUM(U48:U78)</f>
        <v>0</v>
      </c>
      <c r="V79" s="229">
        <f t="shared" ref="V79" si="23">SUM(V48:V78)</f>
        <v>0</v>
      </c>
      <c r="W79" s="229">
        <f t="shared" ref="W79" si="24">SUM(W48:W78)</f>
        <v>0</v>
      </c>
      <c r="X79" s="229">
        <f t="shared" ref="X79" si="25">SUM(X48:X78)</f>
        <v>0</v>
      </c>
      <c r="Y79" s="229">
        <f t="shared" ref="Y79" si="26">SUM(Y48:Y78)</f>
        <v>0</v>
      </c>
      <c r="Z79" s="229">
        <f t="shared" ref="Z79" si="27">SUM(Z48:Z78)</f>
        <v>0</v>
      </c>
      <c r="AA79" s="229">
        <f t="shared" ref="AA79" si="28">SUM(AA48:AA78)</f>
        <v>0</v>
      </c>
      <c r="AB79" s="229">
        <f t="shared" ref="AB79" si="29">SUM(AB48:AB78)</f>
        <v>0</v>
      </c>
      <c r="AC79" s="229">
        <f t="shared" ref="AC79:AD79" si="30">SUM(AC48:AC78)</f>
        <v>0</v>
      </c>
      <c r="AD79" s="229">
        <f t="shared" si="30"/>
        <v>0</v>
      </c>
      <c r="AE79" s="230">
        <f t="shared" ref="AE79:BF79" si="31">SUM(AE48:AE78)</f>
        <v>0</v>
      </c>
      <c r="AF79" s="230">
        <f t="shared" si="31"/>
        <v>0</v>
      </c>
      <c r="AG79" s="230">
        <f t="shared" si="31"/>
        <v>0</v>
      </c>
      <c r="AH79" s="230">
        <f t="shared" si="31"/>
        <v>0</v>
      </c>
      <c r="AI79" s="230">
        <f t="shared" si="31"/>
        <v>0</v>
      </c>
      <c r="AJ79" s="230">
        <f t="shared" si="31"/>
        <v>0</v>
      </c>
      <c r="AK79" s="408">
        <f t="shared" si="31"/>
        <v>0</v>
      </c>
      <c r="AL79" s="408">
        <f t="shared" si="31"/>
        <v>0</v>
      </c>
      <c r="AM79" s="408">
        <f t="shared" si="31"/>
        <v>0</v>
      </c>
      <c r="AN79" s="408">
        <f t="shared" si="31"/>
        <v>0</v>
      </c>
      <c r="AO79" s="408">
        <f t="shared" si="31"/>
        <v>0</v>
      </c>
      <c r="AP79" s="408">
        <f t="shared" si="31"/>
        <v>0</v>
      </c>
      <c r="AQ79" s="408">
        <f t="shared" si="31"/>
        <v>0</v>
      </c>
      <c r="AR79" s="408">
        <f t="shared" si="31"/>
        <v>0</v>
      </c>
      <c r="AS79" s="408">
        <f t="shared" si="31"/>
        <v>0</v>
      </c>
      <c r="AT79" s="408">
        <f t="shared" si="31"/>
        <v>0</v>
      </c>
      <c r="AU79" s="408">
        <f t="shared" si="31"/>
        <v>0</v>
      </c>
      <c r="AV79" s="408">
        <f t="shared" si="31"/>
        <v>0</v>
      </c>
      <c r="AW79" s="408">
        <f t="shared" si="31"/>
        <v>0</v>
      </c>
      <c r="AX79" s="408">
        <f t="shared" si="31"/>
        <v>0</v>
      </c>
      <c r="AY79" s="408">
        <f t="shared" si="31"/>
        <v>0</v>
      </c>
      <c r="AZ79" s="408">
        <f t="shared" ref="AZ79:BE79" si="32">SUM(AZ48:AZ78)</f>
        <v>0</v>
      </c>
      <c r="BA79" s="408">
        <f t="shared" si="32"/>
        <v>0</v>
      </c>
      <c r="BB79" s="408">
        <f t="shared" si="32"/>
        <v>0</v>
      </c>
      <c r="BC79" s="408">
        <f t="shared" si="32"/>
        <v>0</v>
      </c>
      <c r="BD79" s="408">
        <f t="shared" si="32"/>
        <v>0</v>
      </c>
      <c r="BE79" s="408">
        <f t="shared" si="32"/>
        <v>0</v>
      </c>
      <c r="BF79" s="226">
        <f t="shared" si="31"/>
        <v>0</v>
      </c>
      <c r="BG79" s="227"/>
    </row>
  </sheetData>
  <mergeCells count="20">
    <mergeCell ref="B42:L42"/>
    <mergeCell ref="M42:P42"/>
    <mergeCell ref="A46:BF46"/>
    <mergeCell ref="AA37:AK38"/>
    <mergeCell ref="AA39:AK40"/>
    <mergeCell ref="AA41:AK42"/>
    <mergeCell ref="S41:Z42"/>
    <mergeCell ref="S39:Z40"/>
    <mergeCell ref="B39:L39"/>
    <mergeCell ref="M39:P39"/>
    <mergeCell ref="B40:L40"/>
    <mergeCell ref="M40:P40"/>
    <mergeCell ref="B41:L41"/>
    <mergeCell ref="M41:P41"/>
    <mergeCell ref="A2:BF2"/>
    <mergeCell ref="B37:L37"/>
    <mergeCell ref="M37:P37"/>
    <mergeCell ref="B38:L38"/>
    <mergeCell ref="M38:P38"/>
    <mergeCell ref="S37:Z38"/>
  </mergeCells>
  <phoneticPr fontId="31" type="noConversion"/>
  <pageMargins left="0" right="0" top="0" bottom="0" header="0" footer="0"/>
  <pageSetup paperSize="9" scale="36" orientation="landscape" verticalDpi="300"/>
  <rowBreaks count="2" manualBreakCount="2">
    <brk id="44" max="16383" man="1"/>
    <brk id="45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V71"/>
  <sheetViews>
    <sheetView workbookViewId="0">
      <selection activeCell="B5" sqref="B5"/>
    </sheetView>
  </sheetViews>
  <sheetFormatPr baseColWidth="10" defaultColWidth="11" defaultRowHeight="15"/>
  <sheetData>
    <row r="2" spans="1:22" ht="15.75" thickBot="1"/>
    <row r="3" spans="1:22" ht="16.5" thickBot="1">
      <c r="A3" s="580" t="s">
        <v>2</v>
      </c>
      <c r="B3" s="177" t="s">
        <v>45</v>
      </c>
      <c r="C3" s="178" t="s">
        <v>46</v>
      </c>
      <c r="D3" s="136" t="s">
        <v>47</v>
      </c>
      <c r="E3" s="73" t="s">
        <v>48</v>
      </c>
      <c r="F3" s="136" t="s">
        <v>49</v>
      </c>
      <c r="G3" s="573" t="s">
        <v>50</v>
      </c>
      <c r="H3" s="574"/>
      <c r="I3" s="575" t="s">
        <v>51</v>
      </c>
      <c r="J3" s="576"/>
      <c r="K3" s="178" t="s">
        <v>89</v>
      </c>
      <c r="L3" s="136" t="s">
        <v>53</v>
      </c>
      <c r="M3" s="577" t="s">
        <v>90</v>
      </c>
      <c r="N3" s="578"/>
      <c r="O3" s="579"/>
      <c r="P3" s="136" t="s">
        <v>67</v>
      </c>
      <c r="Q3" s="136" t="s">
        <v>185</v>
      </c>
      <c r="R3" s="136" t="s">
        <v>186</v>
      </c>
      <c r="S3" s="136" t="s">
        <v>188</v>
      </c>
      <c r="T3" s="570" t="s">
        <v>91</v>
      </c>
      <c r="U3" s="571"/>
      <c r="V3" s="572"/>
    </row>
    <row r="4" spans="1:22" ht="15.75" thickBot="1">
      <c r="A4" s="581"/>
      <c r="B4" s="179" t="s">
        <v>39</v>
      </c>
      <c r="C4" s="180" t="s">
        <v>39</v>
      </c>
      <c r="D4" s="179" t="s">
        <v>39</v>
      </c>
      <c r="E4" s="181" t="s">
        <v>39</v>
      </c>
      <c r="F4" s="182" t="s">
        <v>39</v>
      </c>
      <c r="G4" s="183" t="s">
        <v>39</v>
      </c>
      <c r="H4" s="184" t="s">
        <v>41</v>
      </c>
      <c r="I4" s="196" t="s">
        <v>39</v>
      </c>
      <c r="J4" s="197" t="s">
        <v>40</v>
      </c>
      <c r="K4" s="198" t="s">
        <v>39</v>
      </c>
      <c r="L4" s="199" t="s">
        <v>39</v>
      </c>
      <c r="M4" s="200" t="s">
        <v>39</v>
      </c>
      <c r="N4" s="201" t="s">
        <v>40</v>
      </c>
      <c r="O4" s="184" t="s">
        <v>41</v>
      </c>
      <c r="P4" s="199" t="s">
        <v>39</v>
      </c>
      <c r="Q4" s="199" t="s">
        <v>39</v>
      </c>
      <c r="R4" s="199" t="s">
        <v>39</v>
      </c>
      <c r="S4" s="199" t="s">
        <v>39</v>
      </c>
      <c r="T4" s="112" t="s">
        <v>39</v>
      </c>
      <c r="U4" s="209" t="s">
        <v>40</v>
      </c>
      <c r="V4" s="210" t="s">
        <v>41</v>
      </c>
    </row>
    <row r="5" spans="1:22" ht="15.75" thickBot="1">
      <c r="A5" s="137">
        <v>1</v>
      </c>
      <c r="B5" s="185">
        <f>LIGNE!B110+LIGNE!C110+LIGNE!D110</f>
        <v>0</v>
      </c>
      <c r="C5" s="186">
        <f>LIGNE!G110+LIGNE!H110+LIGNE!I110+LIGNE!K110+LIGNE!J110</f>
        <v>0</v>
      </c>
      <c r="D5" s="185">
        <f>LIGNE!M110+LIGNE!N110+LIGNE!O110+LIGNE!R110</f>
        <v>0</v>
      </c>
      <c r="E5" s="187">
        <f>LIGNE!S110+LIGNE!T110+LIGNE!U110+LIGNE!W110+LIGNE!X110</f>
        <v>0</v>
      </c>
      <c r="F5" s="185">
        <f>LIGNE!Y110+LIGNE!Z110+LIGNE!AC110+LIGNE!AA110+LIGNE!AB110</f>
        <v>0</v>
      </c>
      <c r="G5" s="188">
        <f>LIGNE!AD110+LIGNE!AF110+LIGNE!AH110+LIGNE!AL110+LIGNE!AJ110</f>
        <v>0</v>
      </c>
      <c r="H5" s="189">
        <f>LIGNE!AE110+LIGNE!AG110+LIGNE!AI110+LIGNE!AM110+LIGNE!AK110</f>
        <v>0</v>
      </c>
      <c r="I5" s="202">
        <f>LIGNE!AN110+LIGNE!AP110+LIGNE!AR110+LIGNE!AT110</f>
        <v>0</v>
      </c>
      <c r="J5" s="203">
        <f>LIGNE!AO110+LIGNE!AQ110+LIGNE!AS110+LIGNE!AU110</f>
        <v>0</v>
      </c>
      <c r="K5" s="204">
        <f>LIGNE!AV110+LIGNE!AW110+LIGNE!AY110+LIGNE!AX110</f>
        <v>0</v>
      </c>
      <c r="L5" s="205">
        <f>LIGNE!AZ110+LIGNE!BA110+LIGNE!BB110+LIGNE!BC110+LIGNE!BD110+LIGNE!AVM110</f>
        <v>0</v>
      </c>
      <c r="M5" s="205">
        <f>LIGNE!BR110+LIGNE!BU110+LIGNE!BX110+LIGNE!CB110</f>
        <v>0</v>
      </c>
      <c r="N5" s="205">
        <f>LIGNE!BT110+LIGNE!BW110+LIGNE!BZ110+LIGNE!CC110</f>
        <v>0</v>
      </c>
      <c r="O5" s="189">
        <f>LIGNE!BH110+LIGNE!BK110+LIGNE!BN110+LIGNE!BQ110+LIGNE!BT110+LIGNE!BW110+LIGNE!BZ110+LIGNE!CC110</f>
        <v>0</v>
      </c>
      <c r="P5" s="205">
        <f>+LIGNE!CD110+LIGNE!CE110+LIGNE!CF110+LIGNE!CG110+LIGNE!CH110+LIGNE!CI110</f>
        <v>0</v>
      </c>
      <c r="Q5" s="205">
        <f>+LIGNE!CJ110+LIGNE!CK110+LIGNE!CL110+LIGNE!CM110+LIGNE!CN110+LIGNE!CO110</f>
        <v>0</v>
      </c>
      <c r="R5" s="205">
        <f>+LIGNE!CP110+LIGNE!CQ110+LIGNE!CR110+LIGNE!CS110+LIGNE!CT110+LIGNE!CU110</f>
        <v>0</v>
      </c>
      <c r="S5" s="205">
        <f>+LIGNE!CV110+LIGNE!CW110+LIGNE!CX110+LIGNE!CY110+LIGNE!CZ110+LIGNE!DA110</f>
        <v>0</v>
      </c>
      <c r="T5" s="206" t="e">
        <f>+B5+C5+D5+E5+F5+G5+I5+K5+#REF!+M5+L5+P5+Q5+R5+S5</f>
        <v>#REF!</v>
      </c>
      <c r="U5" s="211">
        <f t="shared" ref="U5:U35" si="0">+J5+N5</f>
        <v>0</v>
      </c>
      <c r="V5" s="212">
        <f>+H5+O5</f>
        <v>0</v>
      </c>
    </row>
    <row r="6" spans="1:22" ht="15.75" thickBot="1">
      <c r="A6" s="137">
        <v>2</v>
      </c>
      <c r="B6" s="185">
        <f>LIGNE!B111+LIGNE!C111+LIGNE!D111</f>
        <v>0</v>
      </c>
      <c r="C6" s="186">
        <f>LIGNE!G111+LIGNE!H111+LIGNE!I111+LIGNE!K111+LIGNE!J111</f>
        <v>0</v>
      </c>
      <c r="D6" s="185">
        <f>LIGNE!M111+LIGNE!N111+LIGNE!O111+LIGNE!R111</f>
        <v>0</v>
      </c>
      <c r="E6" s="187">
        <f>LIGNE!S111+LIGNE!T111+LIGNE!U111+LIGNE!W111+LIGNE!X111</f>
        <v>0</v>
      </c>
      <c r="F6" s="185">
        <f>LIGNE!Y111+LIGNE!Z111+LIGNE!AC111+LIGNE!AA111+LIGNE!AB111</f>
        <v>0</v>
      </c>
      <c r="G6" s="188">
        <f>LIGNE!AD111+LIGNE!AF111+LIGNE!AH111+LIGNE!AL111+LIGNE!AJ111</f>
        <v>0</v>
      </c>
      <c r="H6" s="189">
        <f>LIGNE!AE111+LIGNE!AG111+LIGNE!AI111+LIGNE!AM111+LIGNE!AK111</f>
        <v>0</v>
      </c>
      <c r="I6" s="202">
        <f>LIGNE!AN111+LIGNE!AP111+LIGNE!AR111+LIGNE!AT111</f>
        <v>0</v>
      </c>
      <c r="J6" s="203">
        <f>LIGNE!AO111+LIGNE!AQ111+LIGNE!AS111+LIGNE!AU111</f>
        <v>0</v>
      </c>
      <c r="K6" s="204">
        <f>LIGNE!AV111+LIGNE!AW111+LIGNE!AY111+LIGNE!AX111</f>
        <v>0</v>
      </c>
      <c r="L6" s="205">
        <f>LIGNE!AZ111+LIGNE!BA111+LIGNE!BB111+LIGNE!BC111+LIGNE!BD111+LIGNE!AVM111</f>
        <v>0</v>
      </c>
      <c r="M6" s="205">
        <f>LIGNE!BR111+LIGNE!BU111+LIGNE!BX111+LIGNE!CB111</f>
        <v>0</v>
      </c>
      <c r="N6" s="205">
        <f>LIGNE!BT111+LIGNE!BW111+LIGNE!BZ111+LIGNE!CC111</f>
        <v>0</v>
      </c>
      <c r="O6" s="189">
        <f>LIGNE!BH111+LIGNE!BK111+LIGNE!BN111+LIGNE!BQ111+LIGNE!BT111+LIGNE!BW111+LIGNE!BZ111+LIGNE!CC111</f>
        <v>0</v>
      </c>
      <c r="P6" s="205">
        <f>+LIGNE!CD111+LIGNE!CE111+LIGNE!CF111+LIGNE!CG111+LIGNE!CH111+LIGNE!CI111</f>
        <v>0</v>
      </c>
      <c r="Q6" s="205">
        <f>+LIGNE!CJ111+LIGNE!CK111+LIGNE!CL111+LIGNE!CM111+LIGNE!CN111+LIGNE!CO111</f>
        <v>0</v>
      </c>
      <c r="R6" s="205">
        <f>+LIGNE!CP111+LIGNE!CQ111+LIGNE!CR111+LIGNE!CS111+LIGNE!CT111+LIGNE!CU111</f>
        <v>0</v>
      </c>
      <c r="S6" s="205">
        <f>+LIGNE!CV111+LIGNE!CW111+LIGNE!CX111+LIGNE!CY111+LIGNE!CZ111+LIGNE!DA111</f>
        <v>0</v>
      </c>
      <c r="T6" s="206" t="e">
        <f>+B6+C6+D6+E6+F6+G6+I6+K6+#REF!+M6+L6+P6+Q6+R6+S6</f>
        <v>#REF!</v>
      </c>
      <c r="U6" s="211">
        <f t="shared" si="0"/>
        <v>0</v>
      </c>
      <c r="V6" s="212">
        <f t="shared" ref="V6:V35" si="1">+H6+O6</f>
        <v>0</v>
      </c>
    </row>
    <row r="7" spans="1:22" ht="15.75" thickBot="1">
      <c r="A7" s="137">
        <v>3</v>
      </c>
      <c r="B7" s="185">
        <f>LIGNE!B112+LIGNE!C112+LIGNE!D112</f>
        <v>0</v>
      </c>
      <c r="C7" s="186">
        <f>LIGNE!G112+LIGNE!H112+LIGNE!I112+LIGNE!K112+LIGNE!J112</f>
        <v>0</v>
      </c>
      <c r="D7" s="185">
        <f>LIGNE!M112+LIGNE!N112+LIGNE!O112+LIGNE!R112</f>
        <v>0</v>
      </c>
      <c r="E7" s="187">
        <f>LIGNE!S112+LIGNE!T112+LIGNE!U112+LIGNE!W112+LIGNE!X112</f>
        <v>0</v>
      </c>
      <c r="F7" s="185">
        <f>LIGNE!Y112+LIGNE!Z112+LIGNE!AC112+LIGNE!AA112+LIGNE!AB112</f>
        <v>0</v>
      </c>
      <c r="G7" s="188">
        <f>LIGNE!AD112+LIGNE!AF112+LIGNE!AH112+LIGNE!AL112+LIGNE!AJ112</f>
        <v>0</v>
      </c>
      <c r="H7" s="189">
        <f>LIGNE!AE112+LIGNE!AG112+LIGNE!AI112+LIGNE!AM112+LIGNE!AK112</f>
        <v>0</v>
      </c>
      <c r="I7" s="202">
        <f>LIGNE!AN112+LIGNE!AP112+LIGNE!AR112+LIGNE!AT112</f>
        <v>0</v>
      </c>
      <c r="J7" s="203">
        <f>LIGNE!AO112+LIGNE!AQ112+LIGNE!AS112+LIGNE!AU112</f>
        <v>0</v>
      </c>
      <c r="K7" s="204">
        <f>LIGNE!AV112+LIGNE!AW112+LIGNE!AY112+LIGNE!AX112</f>
        <v>0</v>
      </c>
      <c r="L7" s="205">
        <f>LIGNE!AZ112+LIGNE!BA112+LIGNE!BB112+LIGNE!BC112+LIGNE!BD112+LIGNE!AVM112</f>
        <v>0</v>
      </c>
      <c r="M7" s="205">
        <f>LIGNE!BR112+LIGNE!BU112+LIGNE!BX112+LIGNE!CB112</f>
        <v>0</v>
      </c>
      <c r="N7" s="205">
        <f>LIGNE!BT112+LIGNE!BW112+LIGNE!BZ112+LIGNE!CC112</f>
        <v>0</v>
      </c>
      <c r="O7" s="189">
        <f>LIGNE!BH112+LIGNE!BK112+LIGNE!BN112+LIGNE!BQ112+LIGNE!BT112+LIGNE!BW112+LIGNE!BZ112+LIGNE!CC112</f>
        <v>0</v>
      </c>
      <c r="P7" s="205">
        <f>+LIGNE!CD112+LIGNE!CE112+LIGNE!CF112+LIGNE!CG112+LIGNE!CH112+LIGNE!CI112</f>
        <v>0</v>
      </c>
      <c r="Q7" s="205">
        <f>+LIGNE!CJ112+LIGNE!CK112+LIGNE!CL112+LIGNE!CM112+LIGNE!CN112+LIGNE!CO112</f>
        <v>0</v>
      </c>
      <c r="R7" s="205">
        <f>+LIGNE!CP112+LIGNE!CQ112+LIGNE!CR112+LIGNE!CS112+LIGNE!CT112+LIGNE!CU112</f>
        <v>0</v>
      </c>
      <c r="S7" s="205">
        <f>+LIGNE!CV112+LIGNE!CW112+LIGNE!CX112+LIGNE!CY112+LIGNE!CZ112+LIGNE!DA112</f>
        <v>0</v>
      </c>
      <c r="T7" s="206" t="e">
        <f>+B7+C7+D7+E7+F7+G7+I7+K7+#REF!+M7+L7+P7+Q7+R7+S7</f>
        <v>#REF!</v>
      </c>
      <c r="U7" s="211">
        <f t="shared" si="0"/>
        <v>0</v>
      </c>
      <c r="V7" s="212">
        <f t="shared" si="1"/>
        <v>0</v>
      </c>
    </row>
    <row r="8" spans="1:22" ht="15.75" thickBot="1">
      <c r="A8" s="137">
        <v>4</v>
      </c>
      <c r="B8" s="185">
        <f>LIGNE!B113+LIGNE!C113+LIGNE!D113</f>
        <v>0</v>
      </c>
      <c r="C8" s="186">
        <f>LIGNE!G113+LIGNE!H113+LIGNE!I113+LIGNE!K113+LIGNE!J113</f>
        <v>0</v>
      </c>
      <c r="D8" s="185">
        <f>LIGNE!M113+LIGNE!N113+LIGNE!O113+LIGNE!R113</f>
        <v>0</v>
      </c>
      <c r="E8" s="187">
        <f>LIGNE!S113+LIGNE!T113+LIGNE!U113+LIGNE!W113+LIGNE!X113</f>
        <v>0</v>
      </c>
      <c r="F8" s="185">
        <f>LIGNE!Y113+LIGNE!Z113+LIGNE!AC113+LIGNE!AA113+LIGNE!AB113</f>
        <v>0</v>
      </c>
      <c r="G8" s="188">
        <f>LIGNE!AD113+LIGNE!AF113+LIGNE!AH113+LIGNE!AL113+LIGNE!AJ113</f>
        <v>0</v>
      </c>
      <c r="H8" s="189">
        <f>LIGNE!AE113+LIGNE!AG113+LIGNE!AI113+LIGNE!AM113+LIGNE!AK113</f>
        <v>0</v>
      </c>
      <c r="I8" s="202">
        <f>LIGNE!AN113+LIGNE!AP113+LIGNE!AR113+LIGNE!AT113</f>
        <v>0</v>
      </c>
      <c r="J8" s="203">
        <f>LIGNE!AO113+LIGNE!AQ113+LIGNE!AS113+LIGNE!AU113</f>
        <v>0</v>
      </c>
      <c r="K8" s="204">
        <f>LIGNE!AV113+LIGNE!AW113+LIGNE!AY113+LIGNE!AX113</f>
        <v>0</v>
      </c>
      <c r="L8" s="205">
        <f>LIGNE!AZ113+LIGNE!BA113+LIGNE!BB113+LIGNE!BC113+LIGNE!BD113+LIGNE!AVM113</f>
        <v>0</v>
      </c>
      <c r="M8" s="205">
        <f>LIGNE!BR113+LIGNE!BU113+LIGNE!BX113+LIGNE!CB113</f>
        <v>0</v>
      </c>
      <c r="N8" s="205">
        <f>LIGNE!BT113+LIGNE!BW113+LIGNE!BZ113+LIGNE!CC113</f>
        <v>0</v>
      </c>
      <c r="O8" s="189">
        <f>LIGNE!BH113+LIGNE!BK113+LIGNE!BN113+LIGNE!BQ113+LIGNE!BT113+LIGNE!BW113+LIGNE!BZ113+LIGNE!CC113</f>
        <v>0</v>
      </c>
      <c r="P8" s="205">
        <f>+LIGNE!CD113+LIGNE!CE113+LIGNE!CF113+LIGNE!CG113+LIGNE!CH113+LIGNE!CI113</f>
        <v>0</v>
      </c>
      <c r="Q8" s="205">
        <f>+LIGNE!CJ113+LIGNE!CK113+LIGNE!CL113+LIGNE!CM113+LIGNE!CN113+LIGNE!CO113</f>
        <v>0</v>
      </c>
      <c r="R8" s="205">
        <f>+LIGNE!CP113+LIGNE!CQ113+LIGNE!CR113+LIGNE!CS113+LIGNE!CT113+LIGNE!CU113</f>
        <v>0</v>
      </c>
      <c r="S8" s="205">
        <f>+LIGNE!CV113+LIGNE!CW113+LIGNE!CX113+LIGNE!CY113+LIGNE!CZ113+LIGNE!DA113</f>
        <v>0</v>
      </c>
      <c r="T8" s="206" t="e">
        <f>+B8+C8+D8+E8+F8+G8+I8+K8+#REF!+M8+L8+P8+Q8+R8+S8</f>
        <v>#REF!</v>
      </c>
      <c r="U8" s="211">
        <f t="shared" si="0"/>
        <v>0</v>
      </c>
      <c r="V8" s="212">
        <f t="shared" si="1"/>
        <v>0</v>
      </c>
    </row>
    <row r="9" spans="1:22" ht="15.75" thickBot="1">
      <c r="A9" s="137">
        <v>5</v>
      </c>
      <c r="B9" s="185">
        <f>LIGNE!B114+LIGNE!C114+LIGNE!D114</f>
        <v>0</v>
      </c>
      <c r="C9" s="186">
        <f>LIGNE!G114+LIGNE!H114+LIGNE!I114+LIGNE!K114+LIGNE!J114</f>
        <v>0</v>
      </c>
      <c r="D9" s="185">
        <f>LIGNE!M114+LIGNE!N114+LIGNE!O114+LIGNE!R114</f>
        <v>0</v>
      </c>
      <c r="E9" s="187">
        <f>LIGNE!S114+LIGNE!T114+LIGNE!U114+LIGNE!W114+LIGNE!X114</f>
        <v>0</v>
      </c>
      <c r="F9" s="185">
        <f>LIGNE!Y114+LIGNE!Z114+LIGNE!AC114+LIGNE!AA114+LIGNE!AB114</f>
        <v>0</v>
      </c>
      <c r="G9" s="188">
        <f>LIGNE!AD114+LIGNE!AF114+LIGNE!AH114+LIGNE!AL114+LIGNE!AJ114</f>
        <v>0</v>
      </c>
      <c r="H9" s="189">
        <f>LIGNE!AE114+LIGNE!AG114+LIGNE!AI114+LIGNE!AM114+LIGNE!AK114</f>
        <v>0</v>
      </c>
      <c r="I9" s="202">
        <f>LIGNE!AN114+LIGNE!AP114+LIGNE!AR114+LIGNE!AT114</f>
        <v>0</v>
      </c>
      <c r="J9" s="203">
        <f>LIGNE!AO114+LIGNE!AQ114+LIGNE!AS114+LIGNE!AU114</f>
        <v>0</v>
      </c>
      <c r="K9" s="204">
        <f>LIGNE!AV114+LIGNE!AW114+LIGNE!AY114+LIGNE!AX114</f>
        <v>0</v>
      </c>
      <c r="L9" s="205">
        <f>LIGNE!AZ114+LIGNE!BA114+LIGNE!BB114+LIGNE!BC114+LIGNE!BD114+LIGNE!AVM114</f>
        <v>0</v>
      </c>
      <c r="M9" s="205">
        <f>LIGNE!BR114+LIGNE!BU114+LIGNE!BX114+LIGNE!CB114</f>
        <v>0</v>
      </c>
      <c r="N9" s="205">
        <f>LIGNE!BT114+LIGNE!BW114+LIGNE!BZ114+LIGNE!CC114</f>
        <v>0</v>
      </c>
      <c r="O9" s="189">
        <f>LIGNE!BH114+LIGNE!BK114+LIGNE!BN114+LIGNE!BQ114+LIGNE!BT114+LIGNE!BW114+LIGNE!BZ114+LIGNE!CC114</f>
        <v>0</v>
      </c>
      <c r="P9" s="205">
        <f>+LIGNE!CD114+LIGNE!CE114+LIGNE!CF114+LIGNE!CG114+LIGNE!CH114+LIGNE!CI114</f>
        <v>0</v>
      </c>
      <c r="Q9" s="205">
        <f>+LIGNE!CJ114+LIGNE!CK114+LIGNE!CL114+LIGNE!CM114+LIGNE!CN114+LIGNE!CO114</f>
        <v>0</v>
      </c>
      <c r="R9" s="205">
        <f>+LIGNE!CP114+LIGNE!CQ114+LIGNE!CR114+LIGNE!CS114+LIGNE!CT114+LIGNE!CU114</f>
        <v>0</v>
      </c>
      <c r="S9" s="205">
        <f>+LIGNE!CV114+LIGNE!CW114+LIGNE!CX114+LIGNE!CY114+LIGNE!CZ114+LIGNE!DA114</f>
        <v>0</v>
      </c>
      <c r="T9" s="206" t="e">
        <f>+B9+C9+D9+E9+F9+G9+I9+K9+#REF!+M9+L9+P9+Q9+R9+S9</f>
        <v>#REF!</v>
      </c>
      <c r="U9" s="211">
        <f t="shared" si="0"/>
        <v>0</v>
      </c>
      <c r="V9" s="212">
        <f t="shared" si="1"/>
        <v>0</v>
      </c>
    </row>
    <row r="10" spans="1:22" ht="15.75" thickBot="1">
      <c r="A10" s="137">
        <v>6</v>
      </c>
      <c r="B10" s="185">
        <f>LIGNE!B115+LIGNE!C115+LIGNE!D115</f>
        <v>0</v>
      </c>
      <c r="C10" s="186">
        <f>LIGNE!G115+LIGNE!H115+LIGNE!I115+LIGNE!K115+LIGNE!J115</f>
        <v>0</v>
      </c>
      <c r="D10" s="185">
        <f>LIGNE!M115+LIGNE!N115+LIGNE!O115+LIGNE!R115</f>
        <v>0</v>
      </c>
      <c r="E10" s="187">
        <f>LIGNE!S115+LIGNE!T115+LIGNE!U115+LIGNE!W115+LIGNE!X115</f>
        <v>0</v>
      </c>
      <c r="F10" s="185">
        <f>LIGNE!Y115+LIGNE!Z115+LIGNE!AC115+LIGNE!AA115+LIGNE!AB115</f>
        <v>0</v>
      </c>
      <c r="G10" s="188">
        <f>LIGNE!AD115+LIGNE!AF115+LIGNE!AH115+LIGNE!AL115+LIGNE!AJ115</f>
        <v>0</v>
      </c>
      <c r="H10" s="189">
        <f>LIGNE!AE115+LIGNE!AG115+LIGNE!AI115+LIGNE!AM115+LIGNE!AK115</f>
        <v>0</v>
      </c>
      <c r="I10" s="202">
        <f>LIGNE!AN115+LIGNE!AP115+LIGNE!AR115+LIGNE!AT115</f>
        <v>0</v>
      </c>
      <c r="J10" s="203">
        <f>LIGNE!AO115+LIGNE!AQ115+LIGNE!AS115+LIGNE!AU115</f>
        <v>0</v>
      </c>
      <c r="K10" s="204">
        <f>LIGNE!AV115+LIGNE!AW115+LIGNE!AY115+LIGNE!AX115</f>
        <v>0</v>
      </c>
      <c r="L10" s="205">
        <f>LIGNE!AZ115+LIGNE!BA115+LIGNE!BB115+LIGNE!BC115+LIGNE!BD115+LIGNE!AVM115</f>
        <v>0</v>
      </c>
      <c r="M10" s="205">
        <f>LIGNE!BR115+LIGNE!BU115+LIGNE!BX115+LIGNE!CB115</f>
        <v>0</v>
      </c>
      <c r="N10" s="205">
        <f>LIGNE!BT115+LIGNE!BW115+LIGNE!BZ115+LIGNE!CC115</f>
        <v>0</v>
      </c>
      <c r="O10" s="189">
        <f>LIGNE!BH115+LIGNE!BK115+LIGNE!BN115+LIGNE!BQ115+LIGNE!BT115+LIGNE!BW115+LIGNE!BZ115+LIGNE!CC115</f>
        <v>0</v>
      </c>
      <c r="P10" s="205">
        <f>+LIGNE!CD115+LIGNE!CE115+LIGNE!CF115+LIGNE!CG115+LIGNE!CH115+LIGNE!CI115</f>
        <v>0</v>
      </c>
      <c r="Q10" s="205">
        <f>+LIGNE!CJ115+LIGNE!CK115+LIGNE!CL115+LIGNE!CM115+LIGNE!CN115+LIGNE!CO115</f>
        <v>0</v>
      </c>
      <c r="R10" s="205">
        <f>+LIGNE!CP115+LIGNE!CQ115+LIGNE!CR115+LIGNE!CS115+LIGNE!CT115+LIGNE!CU115</f>
        <v>0</v>
      </c>
      <c r="S10" s="205">
        <f>+LIGNE!CV115+LIGNE!CW115+LIGNE!CX115+LIGNE!CY115+LIGNE!CZ115+LIGNE!DA115</f>
        <v>0</v>
      </c>
      <c r="T10" s="206" t="e">
        <f>+B10+C10+D10+E10+F10+G10+I10+K10+#REF!+M10+L10+P10+Q10+R10+S10</f>
        <v>#REF!</v>
      </c>
      <c r="U10" s="211">
        <f t="shared" si="0"/>
        <v>0</v>
      </c>
      <c r="V10" s="212">
        <f t="shared" si="1"/>
        <v>0</v>
      </c>
    </row>
    <row r="11" spans="1:22" ht="15.75" thickBot="1">
      <c r="A11" s="137">
        <v>7</v>
      </c>
      <c r="B11" s="185">
        <f>LIGNE!B116+LIGNE!C116+LIGNE!D116</f>
        <v>0</v>
      </c>
      <c r="C11" s="186">
        <f>LIGNE!G116+LIGNE!H116+LIGNE!I116+LIGNE!K116+LIGNE!J116</f>
        <v>0</v>
      </c>
      <c r="D11" s="185">
        <f>LIGNE!M116+LIGNE!N116+LIGNE!O116+LIGNE!R116</f>
        <v>0</v>
      </c>
      <c r="E11" s="187">
        <f>LIGNE!S116+LIGNE!T116+LIGNE!U116+LIGNE!W116+LIGNE!X116</f>
        <v>0</v>
      </c>
      <c r="F11" s="185">
        <f>LIGNE!Y116+LIGNE!Z116+LIGNE!AC116+LIGNE!AA116+LIGNE!AB116</f>
        <v>0</v>
      </c>
      <c r="G11" s="188">
        <f>LIGNE!AD116+LIGNE!AF116+LIGNE!AH116+LIGNE!AL116+LIGNE!AJ116</f>
        <v>0</v>
      </c>
      <c r="H11" s="189">
        <f>LIGNE!AE116+LIGNE!AG116+LIGNE!AI116+LIGNE!AM116+LIGNE!AK116</f>
        <v>0</v>
      </c>
      <c r="I11" s="202">
        <f>LIGNE!AN116+LIGNE!AP116+LIGNE!AR116+LIGNE!AT116</f>
        <v>0</v>
      </c>
      <c r="J11" s="203">
        <f>LIGNE!AO116+LIGNE!AQ116+LIGNE!AS116+LIGNE!AU116</f>
        <v>0</v>
      </c>
      <c r="K11" s="204">
        <f>LIGNE!AV116+LIGNE!AW116+LIGNE!AY116+LIGNE!AX116</f>
        <v>0</v>
      </c>
      <c r="L11" s="205">
        <f>LIGNE!AZ116+LIGNE!BA116+LIGNE!BB116+LIGNE!BC116+LIGNE!BD116+LIGNE!AVM116</f>
        <v>0</v>
      </c>
      <c r="M11" s="205">
        <f>LIGNE!BR116+LIGNE!BU116+LIGNE!BX116+LIGNE!CB116</f>
        <v>0</v>
      </c>
      <c r="N11" s="205">
        <f>LIGNE!BT116+LIGNE!BW116+LIGNE!BZ116+LIGNE!CC116</f>
        <v>0</v>
      </c>
      <c r="O11" s="189">
        <f>LIGNE!BH116+LIGNE!BK116+LIGNE!BN116+LIGNE!BQ116+LIGNE!BT116+LIGNE!BW116+LIGNE!BZ116+LIGNE!CC116</f>
        <v>0</v>
      </c>
      <c r="P11" s="205">
        <f>+LIGNE!CD116+LIGNE!CE116+LIGNE!CF116+LIGNE!CG116+LIGNE!CH116+LIGNE!CI116</f>
        <v>0</v>
      </c>
      <c r="Q11" s="205">
        <f>+LIGNE!CJ116+LIGNE!CK116+LIGNE!CL116+LIGNE!CM116+LIGNE!CN116+LIGNE!CO116</f>
        <v>0</v>
      </c>
      <c r="R11" s="205">
        <f>+LIGNE!CP116+LIGNE!CQ116+LIGNE!CR116+LIGNE!CS116+LIGNE!CT116+LIGNE!CU116</f>
        <v>0</v>
      </c>
      <c r="S11" s="205">
        <f>+LIGNE!CV116+LIGNE!CW116+LIGNE!CX116+LIGNE!CY116+LIGNE!CZ116+LIGNE!DA116</f>
        <v>0</v>
      </c>
      <c r="T11" s="206" t="e">
        <f>+B11+C11+D11+E11+F11+G11+I11+K11+#REF!+M11+L11+P11+Q11+R11+S11</f>
        <v>#REF!</v>
      </c>
      <c r="U11" s="211">
        <f t="shared" si="0"/>
        <v>0</v>
      </c>
      <c r="V11" s="212">
        <f t="shared" si="1"/>
        <v>0</v>
      </c>
    </row>
    <row r="12" spans="1:22" ht="15.75" thickBot="1">
      <c r="A12" s="137">
        <v>8</v>
      </c>
      <c r="B12" s="185">
        <f>LIGNE!B117+LIGNE!C117+LIGNE!D117</f>
        <v>0</v>
      </c>
      <c r="C12" s="186">
        <f>LIGNE!G117+LIGNE!H117+LIGNE!I117+LIGNE!K117+LIGNE!J117</f>
        <v>0</v>
      </c>
      <c r="D12" s="185">
        <f>LIGNE!M117+LIGNE!N117+LIGNE!O117+LIGNE!R117</f>
        <v>0</v>
      </c>
      <c r="E12" s="187">
        <f>LIGNE!S117+LIGNE!T117+LIGNE!U117+LIGNE!W117+LIGNE!X117</f>
        <v>0</v>
      </c>
      <c r="F12" s="185">
        <f>LIGNE!Y117+LIGNE!Z117+LIGNE!AC117+LIGNE!AA117+LIGNE!AB117</f>
        <v>0</v>
      </c>
      <c r="G12" s="188">
        <f>LIGNE!AD117+LIGNE!AF117+LIGNE!AH117+LIGNE!AL117+LIGNE!AJ117</f>
        <v>0</v>
      </c>
      <c r="H12" s="189">
        <f>LIGNE!AE117+LIGNE!AG117+LIGNE!AI117+LIGNE!AM117+LIGNE!AK117</f>
        <v>0</v>
      </c>
      <c r="I12" s="202">
        <f>LIGNE!AN117+LIGNE!AP117+LIGNE!AR117+LIGNE!AT117</f>
        <v>0</v>
      </c>
      <c r="J12" s="203">
        <f>LIGNE!AO117+LIGNE!AQ117+LIGNE!AS117+LIGNE!AU117</f>
        <v>0</v>
      </c>
      <c r="K12" s="204">
        <f>LIGNE!AV117+LIGNE!AW117+LIGNE!AY117+LIGNE!AX117</f>
        <v>0</v>
      </c>
      <c r="L12" s="205">
        <f>LIGNE!AZ117+LIGNE!BA117+LIGNE!BB117+LIGNE!BC117+LIGNE!BD117+LIGNE!AVM117</f>
        <v>0</v>
      </c>
      <c r="M12" s="205">
        <f>LIGNE!BR117+LIGNE!BU117+LIGNE!BX117+LIGNE!CB117</f>
        <v>0</v>
      </c>
      <c r="N12" s="205">
        <f>LIGNE!BT117+LIGNE!BW117+LIGNE!BZ117+LIGNE!CC117</f>
        <v>0</v>
      </c>
      <c r="O12" s="189">
        <f>LIGNE!BH117+LIGNE!BK117+LIGNE!BN117+LIGNE!BQ117+LIGNE!BT117+LIGNE!BW117+LIGNE!BZ117+LIGNE!CC117</f>
        <v>0</v>
      </c>
      <c r="P12" s="205">
        <f>+LIGNE!CD117+LIGNE!CE117+LIGNE!CF117+LIGNE!CG117+LIGNE!CH117+LIGNE!CI117</f>
        <v>0</v>
      </c>
      <c r="Q12" s="205">
        <f>+LIGNE!CJ117+LIGNE!CK117+LIGNE!CL117+LIGNE!CM117+LIGNE!CN117+LIGNE!CO117</f>
        <v>0</v>
      </c>
      <c r="R12" s="205">
        <f>+LIGNE!CP117+LIGNE!CQ117+LIGNE!CR117+LIGNE!CS117+LIGNE!CT117+LIGNE!CU117</f>
        <v>0</v>
      </c>
      <c r="S12" s="205">
        <f>+LIGNE!CV117+LIGNE!CW117+LIGNE!CX117+LIGNE!CY117+LIGNE!CZ117+LIGNE!DA117</f>
        <v>0</v>
      </c>
      <c r="T12" s="206" t="e">
        <f>+B12+C12+D12+E12+F12+G12+I12+K12+#REF!+M12+L12+P12+Q12+R12+S12</f>
        <v>#REF!</v>
      </c>
      <c r="U12" s="211">
        <f t="shared" si="0"/>
        <v>0</v>
      </c>
      <c r="V12" s="212">
        <f t="shared" si="1"/>
        <v>0</v>
      </c>
    </row>
    <row r="13" spans="1:22" ht="15.75" thickBot="1">
      <c r="A13" s="137">
        <v>9</v>
      </c>
      <c r="B13" s="185">
        <f>LIGNE!B118+LIGNE!C118+LIGNE!D118</f>
        <v>0</v>
      </c>
      <c r="C13" s="186">
        <f>LIGNE!G118+LIGNE!H118+LIGNE!I118+LIGNE!K118+LIGNE!J118</f>
        <v>0</v>
      </c>
      <c r="D13" s="185">
        <f>LIGNE!M118+LIGNE!N118+LIGNE!O118+LIGNE!R118</f>
        <v>0</v>
      </c>
      <c r="E13" s="187">
        <f>LIGNE!S118+LIGNE!T118+LIGNE!U118+LIGNE!W118+LIGNE!X118</f>
        <v>0</v>
      </c>
      <c r="F13" s="185">
        <f>LIGNE!Y118+LIGNE!Z118+LIGNE!AC118+LIGNE!AA118+LIGNE!AB118</f>
        <v>0</v>
      </c>
      <c r="G13" s="188">
        <f>LIGNE!AD118+LIGNE!AF118+LIGNE!AH118+LIGNE!AL118+LIGNE!AJ118</f>
        <v>0</v>
      </c>
      <c r="H13" s="189">
        <f>LIGNE!AE118+LIGNE!AG118+LIGNE!AI118+LIGNE!AM118+LIGNE!AK118</f>
        <v>0</v>
      </c>
      <c r="I13" s="202">
        <f>LIGNE!AN118+LIGNE!AP118+LIGNE!AR118+LIGNE!AT118</f>
        <v>0</v>
      </c>
      <c r="J13" s="203">
        <f>LIGNE!AO118+LIGNE!AQ118+LIGNE!AS118+LIGNE!AU118</f>
        <v>0</v>
      </c>
      <c r="K13" s="204">
        <f>LIGNE!AV118+LIGNE!AW118+LIGNE!AY118+LIGNE!AX118</f>
        <v>0</v>
      </c>
      <c r="L13" s="205">
        <f>LIGNE!AZ118+LIGNE!BA118+LIGNE!BB118+LIGNE!BC118+LIGNE!BD118+LIGNE!AVM118</f>
        <v>0</v>
      </c>
      <c r="M13" s="205">
        <f>LIGNE!BR118+LIGNE!BU118+LIGNE!BX118+LIGNE!CB118</f>
        <v>0</v>
      </c>
      <c r="N13" s="205">
        <f>LIGNE!BT118+LIGNE!BW118+LIGNE!BZ118+LIGNE!CC118</f>
        <v>0</v>
      </c>
      <c r="O13" s="189">
        <f>LIGNE!BH118+LIGNE!BK118+LIGNE!BN118+LIGNE!BQ118+LIGNE!BT118+LIGNE!BW118+LIGNE!BZ118+LIGNE!CC118</f>
        <v>0</v>
      </c>
      <c r="P13" s="205">
        <f>+LIGNE!CD118+LIGNE!CE118+LIGNE!CF118+LIGNE!CG118+LIGNE!CH118+LIGNE!CI118</f>
        <v>0</v>
      </c>
      <c r="Q13" s="205">
        <f>+LIGNE!CJ118+LIGNE!CK118+LIGNE!CL118+LIGNE!CM118+LIGNE!CN118+LIGNE!CO118</f>
        <v>0</v>
      </c>
      <c r="R13" s="205">
        <f>+LIGNE!CP118+LIGNE!CQ118+LIGNE!CR118+LIGNE!CS118+LIGNE!CT118+LIGNE!CU118</f>
        <v>0</v>
      </c>
      <c r="S13" s="205">
        <f>+LIGNE!CV118+LIGNE!CW118+LIGNE!CX118+LIGNE!CY118+LIGNE!CZ118+LIGNE!DA118</f>
        <v>0</v>
      </c>
      <c r="T13" s="206" t="e">
        <f>+B13+C13+D13+E13+F13+G13+I13+K13+#REF!+M13+L13+P13+Q13+R13+S13</f>
        <v>#REF!</v>
      </c>
      <c r="U13" s="211">
        <f t="shared" si="0"/>
        <v>0</v>
      </c>
      <c r="V13" s="212">
        <f t="shared" si="1"/>
        <v>0</v>
      </c>
    </row>
    <row r="14" spans="1:22" ht="15.75" thickBot="1">
      <c r="A14" s="137">
        <v>10</v>
      </c>
      <c r="B14" s="185">
        <f>LIGNE!B119+LIGNE!C119+LIGNE!D119</f>
        <v>0</v>
      </c>
      <c r="C14" s="186">
        <f>LIGNE!G119+LIGNE!H119+LIGNE!I119+LIGNE!K119+LIGNE!J119</f>
        <v>0</v>
      </c>
      <c r="D14" s="185">
        <f>LIGNE!M119+LIGNE!N119+LIGNE!O119+LIGNE!R119</f>
        <v>0</v>
      </c>
      <c r="E14" s="187">
        <f>LIGNE!S119+LIGNE!T119+LIGNE!U119+LIGNE!W119+LIGNE!X119</f>
        <v>0</v>
      </c>
      <c r="F14" s="185">
        <f>LIGNE!Y119+LIGNE!Z119+LIGNE!AC119+LIGNE!AA119+LIGNE!AB119</f>
        <v>0</v>
      </c>
      <c r="G14" s="188">
        <f>LIGNE!AD119+LIGNE!AF119+LIGNE!AH119+LIGNE!AL119+LIGNE!AJ119</f>
        <v>0</v>
      </c>
      <c r="H14" s="189">
        <f>LIGNE!AE119+LIGNE!AG119+LIGNE!AI119+LIGNE!AM119+LIGNE!AK119</f>
        <v>0</v>
      </c>
      <c r="I14" s="202">
        <f>LIGNE!AN119+LIGNE!AP119+LIGNE!AR119+LIGNE!AT119</f>
        <v>0</v>
      </c>
      <c r="J14" s="203">
        <f>LIGNE!AO119+LIGNE!AQ119+LIGNE!AS119+LIGNE!AU119</f>
        <v>0</v>
      </c>
      <c r="K14" s="204">
        <f>LIGNE!AV119+LIGNE!AW119+LIGNE!AY119+LIGNE!AX119</f>
        <v>0</v>
      </c>
      <c r="L14" s="205">
        <f>LIGNE!AZ119+LIGNE!BA119+LIGNE!BB119+LIGNE!BC119+LIGNE!BD119+LIGNE!AVM119</f>
        <v>0</v>
      </c>
      <c r="M14" s="205">
        <f>LIGNE!BR119+LIGNE!BU119+LIGNE!BX119+LIGNE!CB119</f>
        <v>0</v>
      </c>
      <c r="N14" s="205">
        <f>LIGNE!BT119+LIGNE!BW119+LIGNE!BZ119+LIGNE!CC119</f>
        <v>0</v>
      </c>
      <c r="O14" s="189">
        <f>LIGNE!BH119+LIGNE!BK119+LIGNE!BN119+LIGNE!BQ119+LIGNE!BT119+LIGNE!BW119+LIGNE!BZ119+LIGNE!CC119</f>
        <v>0</v>
      </c>
      <c r="P14" s="205">
        <f>+LIGNE!CD119+LIGNE!CE119+LIGNE!CF119+LIGNE!CG119+LIGNE!CH119+LIGNE!CI119</f>
        <v>0</v>
      </c>
      <c r="Q14" s="205">
        <f>+LIGNE!CJ119+LIGNE!CK119+LIGNE!CL119+LIGNE!CM119+LIGNE!CN119+LIGNE!CO119</f>
        <v>0</v>
      </c>
      <c r="R14" s="205">
        <f>+LIGNE!CP119+LIGNE!CQ119+LIGNE!CR119+LIGNE!CS119+LIGNE!CT119+LIGNE!CU119</f>
        <v>0</v>
      </c>
      <c r="S14" s="205">
        <f>+LIGNE!CV119+LIGNE!CW119+LIGNE!CX119+LIGNE!CY119+LIGNE!CZ119+LIGNE!DA119</f>
        <v>0</v>
      </c>
      <c r="T14" s="206" t="e">
        <f>+B14+C14+D14+E14+F14+G14+I14+K14+#REF!+M14+L14+P14+Q14+R14+S14</f>
        <v>#REF!</v>
      </c>
      <c r="U14" s="211">
        <f t="shared" si="0"/>
        <v>0</v>
      </c>
      <c r="V14" s="212">
        <f t="shared" si="1"/>
        <v>0</v>
      </c>
    </row>
    <row r="15" spans="1:22" ht="15.75" thickBot="1">
      <c r="A15" s="137">
        <v>11</v>
      </c>
      <c r="B15" s="185">
        <f>LIGNE!B120+LIGNE!C120+LIGNE!D120</f>
        <v>0</v>
      </c>
      <c r="C15" s="186">
        <f>LIGNE!G120+LIGNE!H120+LIGNE!I120+LIGNE!K120+LIGNE!J120</f>
        <v>0</v>
      </c>
      <c r="D15" s="185">
        <f>LIGNE!M120+LIGNE!N120+LIGNE!O120+LIGNE!R120</f>
        <v>0</v>
      </c>
      <c r="E15" s="187">
        <f>LIGNE!S120+LIGNE!T120+LIGNE!U120+LIGNE!W120+LIGNE!X120</f>
        <v>0</v>
      </c>
      <c r="F15" s="185">
        <f>LIGNE!Y120+LIGNE!Z120+LIGNE!AC120+LIGNE!AA120+LIGNE!AB120</f>
        <v>0</v>
      </c>
      <c r="G15" s="188">
        <f>LIGNE!AD120+LIGNE!AF120+LIGNE!AH120+LIGNE!AL120+LIGNE!AJ120</f>
        <v>0</v>
      </c>
      <c r="H15" s="189">
        <f>LIGNE!AE120+LIGNE!AG120+LIGNE!AI120+LIGNE!AM120+LIGNE!AK120</f>
        <v>0</v>
      </c>
      <c r="I15" s="202">
        <f>LIGNE!AN120+LIGNE!AP120+LIGNE!AR120+LIGNE!AT120</f>
        <v>0</v>
      </c>
      <c r="J15" s="203">
        <f>LIGNE!AO120+LIGNE!AQ120+LIGNE!AS120+LIGNE!AU120</f>
        <v>0</v>
      </c>
      <c r="K15" s="204">
        <f>LIGNE!AV120+LIGNE!AW120+LIGNE!AY120+LIGNE!AX120</f>
        <v>0</v>
      </c>
      <c r="L15" s="205">
        <f>LIGNE!AZ120+LIGNE!BA120+LIGNE!BB120+LIGNE!BC120+LIGNE!BD120+LIGNE!AVM120</f>
        <v>0</v>
      </c>
      <c r="M15" s="205">
        <f>LIGNE!BR120+LIGNE!BU120+LIGNE!BX120+LIGNE!CB120</f>
        <v>0</v>
      </c>
      <c r="N15" s="205">
        <f>LIGNE!BT120+LIGNE!BW120+LIGNE!BZ120+LIGNE!CC120</f>
        <v>0</v>
      </c>
      <c r="O15" s="189">
        <f>LIGNE!BH120+LIGNE!BK120+LIGNE!BN120+LIGNE!BQ120+LIGNE!BT120+LIGNE!BW120+LIGNE!BZ120+LIGNE!CC120</f>
        <v>0</v>
      </c>
      <c r="P15" s="205">
        <f>+LIGNE!CD120+LIGNE!CE120+LIGNE!CF120+LIGNE!CG120+LIGNE!CH120+LIGNE!CI120</f>
        <v>0</v>
      </c>
      <c r="Q15" s="205">
        <f>+LIGNE!CJ120+LIGNE!CK120+LIGNE!CL120+LIGNE!CM120+LIGNE!CN120+LIGNE!CO120</f>
        <v>0</v>
      </c>
      <c r="R15" s="205">
        <f>+LIGNE!CP120+LIGNE!CQ120+LIGNE!CR120+LIGNE!CS120+LIGNE!CT120+LIGNE!CU120</f>
        <v>0</v>
      </c>
      <c r="S15" s="205">
        <f>+LIGNE!CV120+LIGNE!CW120+LIGNE!CX120+LIGNE!CY120+LIGNE!CZ120+LIGNE!DA120</f>
        <v>0</v>
      </c>
      <c r="T15" s="206" t="e">
        <f>+B15+C15+D15+E15+F15+G15+I15+K15+#REF!+M15+L15+P15+Q15+R15+S15</f>
        <v>#REF!</v>
      </c>
      <c r="U15" s="211">
        <f t="shared" si="0"/>
        <v>0</v>
      </c>
      <c r="V15" s="212">
        <f t="shared" si="1"/>
        <v>0</v>
      </c>
    </row>
    <row r="16" spans="1:22" ht="15.75" thickBot="1">
      <c r="A16" s="137">
        <v>12</v>
      </c>
      <c r="B16" s="185">
        <f>LIGNE!B121+LIGNE!C121+LIGNE!D121</f>
        <v>0</v>
      </c>
      <c r="C16" s="186">
        <f>LIGNE!G121+LIGNE!H121+LIGNE!I121+LIGNE!K121+LIGNE!J121</f>
        <v>0</v>
      </c>
      <c r="D16" s="185">
        <f>LIGNE!M121+LIGNE!N121+LIGNE!O121+LIGNE!R121</f>
        <v>0</v>
      </c>
      <c r="E16" s="187">
        <f>LIGNE!S121+LIGNE!T121+LIGNE!U121+LIGNE!W121+LIGNE!X121</f>
        <v>0</v>
      </c>
      <c r="F16" s="185">
        <f>LIGNE!Y121+LIGNE!Z121+LIGNE!AC121+LIGNE!AA121+LIGNE!AB121</f>
        <v>0</v>
      </c>
      <c r="G16" s="188">
        <f>LIGNE!AD121+LIGNE!AF121+LIGNE!AH121+LIGNE!AL121+LIGNE!AJ121</f>
        <v>0</v>
      </c>
      <c r="H16" s="189">
        <f>LIGNE!AE121+LIGNE!AG121+LIGNE!AI121+LIGNE!AM121+LIGNE!AK121</f>
        <v>0</v>
      </c>
      <c r="I16" s="202">
        <f>LIGNE!AN121+LIGNE!AP121+LIGNE!AR121+LIGNE!AT121</f>
        <v>0</v>
      </c>
      <c r="J16" s="203">
        <f>LIGNE!AO121+LIGNE!AQ121+LIGNE!AS121+LIGNE!AU121</f>
        <v>0</v>
      </c>
      <c r="K16" s="204">
        <f>LIGNE!AV121+LIGNE!AW121+LIGNE!AY121+LIGNE!AX121</f>
        <v>0</v>
      </c>
      <c r="L16" s="205">
        <f>LIGNE!AZ121+LIGNE!BA121+LIGNE!BB121+LIGNE!BC121+LIGNE!BD121+LIGNE!AVM121</f>
        <v>0</v>
      </c>
      <c r="M16" s="205">
        <f>LIGNE!BR121+LIGNE!BU121+LIGNE!BX121+LIGNE!CB121</f>
        <v>0</v>
      </c>
      <c r="N16" s="205">
        <f>LIGNE!BT121+LIGNE!BW121+LIGNE!BZ121+LIGNE!CC121</f>
        <v>0</v>
      </c>
      <c r="O16" s="189">
        <f>LIGNE!BH121+LIGNE!BK121+LIGNE!BN121+LIGNE!BQ121+LIGNE!BT121+LIGNE!BW121+LIGNE!BZ121+LIGNE!CC121</f>
        <v>0</v>
      </c>
      <c r="P16" s="205">
        <f>+LIGNE!CD121+LIGNE!CE121+LIGNE!CF121+LIGNE!CG121+LIGNE!CH121+LIGNE!CI121</f>
        <v>0</v>
      </c>
      <c r="Q16" s="205">
        <f>+LIGNE!CJ121+LIGNE!CK121+LIGNE!CL121+LIGNE!CM121+LIGNE!CN121+LIGNE!CO121</f>
        <v>0</v>
      </c>
      <c r="R16" s="205">
        <f>+LIGNE!CP121+LIGNE!CQ121+LIGNE!CR121+LIGNE!CS121+LIGNE!CT121+LIGNE!CU121</f>
        <v>0</v>
      </c>
      <c r="S16" s="205">
        <f>+LIGNE!CV121+LIGNE!CW121+LIGNE!CX121+LIGNE!CY121+LIGNE!CZ121+LIGNE!DA121</f>
        <v>0</v>
      </c>
      <c r="T16" s="206" t="e">
        <f>+B16+C16+D16+E16+F16+G16+I16+K16+#REF!+M16+L16+P16+Q16+R16+S16</f>
        <v>#REF!</v>
      </c>
      <c r="U16" s="211">
        <f t="shared" si="0"/>
        <v>0</v>
      </c>
      <c r="V16" s="212">
        <f t="shared" si="1"/>
        <v>0</v>
      </c>
    </row>
    <row r="17" spans="1:22" ht="15.75" thickBot="1">
      <c r="A17" s="137">
        <v>13</v>
      </c>
      <c r="B17" s="185">
        <f>LIGNE!B122+LIGNE!C122+LIGNE!D122</f>
        <v>0</v>
      </c>
      <c r="C17" s="186">
        <f>LIGNE!G122+LIGNE!H122+LIGNE!I122+LIGNE!K122+LIGNE!J122</f>
        <v>0</v>
      </c>
      <c r="D17" s="185">
        <f>LIGNE!M122+LIGNE!N122+LIGNE!O122+LIGNE!R122</f>
        <v>0</v>
      </c>
      <c r="E17" s="187">
        <f>LIGNE!S122+LIGNE!T122+LIGNE!U122+LIGNE!W122+LIGNE!X122</f>
        <v>0</v>
      </c>
      <c r="F17" s="185">
        <f>LIGNE!Y122+LIGNE!Z122+LIGNE!AC122+LIGNE!AA122+LIGNE!AB122</f>
        <v>0</v>
      </c>
      <c r="G17" s="188">
        <f>LIGNE!AD122+LIGNE!AF122+LIGNE!AH122+LIGNE!AL122+LIGNE!AJ122</f>
        <v>0</v>
      </c>
      <c r="H17" s="189">
        <f>LIGNE!AE122+LIGNE!AG122+LIGNE!AI122+LIGNE!AM122+LIGNE!AK122</f>
        <v>0</v>
      </c>
      <c r="I17" s="202">
        <f>LIGNE!AN122+LIGNE!AP122+LIGNE!AR122+LIGNE!AT122</f>
        <v>0</v>
      </c>
      <c r="J17" s="203">
        <f>LIGNE!AO122+LIGNE!AQ122+LIGNE!AS122+LIGNE!AU122</f>
        <v>0</v>
      </c>
      <c r="K17" s="204">
        <f>LIGNE!AV122+LIGNE!AW122+LIGNE!AY122+LIGNE!AX122</f>
        <v>0</v>
      </c>
      <c r="L17" s="205">
        <f>LIGNE!AZ122+LIGNE!BA122+LIGNE!BB122+LIGNE!BC122+LIGNE!BD122+LIGNE!AVM122</f>
        <v>0</v>
      </c>
      <c r="M17" s="205">
        <f>LIGNE!BR122+LIGNE!BU122+LIGNE!BX122+LIGNE!CB122</f>
        <v>0</v>
      </c>
      <c r="N17" s="205">
        <f>LIGNE!BT122+LIGNE!BW122+LIGNE!BZ122+LIGNE!CC122</f>
        <v>0</v>
      </c>
      <c r="O17" s="189">
        <f>LIGNE!BH122+LIGNE!BK122+LIGNE!BN122+LIGNE!BQ122+LIGNE!BT122+LIGNE!BW122+LIGNE!BZ122+LIGNE!CC122</f>
        <v>0</v>
      </c>
      <c r="P17" s="205">
        <f>+LIGNE!CD122+LIGNE!CE122+LIGNE!CF122+LIGNE!CG122+LIGNE!CH122+LIGNE!CI122</f>
        <v>0</v>
      </c>
      <c r="Q17" s="205">
        <f>+LIGNE!CJ122+LIGNE!CK122+LIGNE!CL122+LIGNE!CM122+LIGNE!CN122+LIGNE!CO122</f>
        <v>0</v>
      </c>
      <c r="R17" s="205">
        <f>+LIGNE!CP122+LIGNE!CQ122+LIGNE!CR122+LIGNE!CS122+LIGNE!CT122+LIGNE!CU122</f>
        <v>0</v>
      </c>
      <c r="S17" s="205">
        <f>+LIGNE!CV122+LIGNE!CW122+LIGNE!CX122+LIGNE!CY122+LIGNE!CZ122+LIGNE!DA122</f>
        <v>0</v>
      </c>
      <c r="T17" s="206" t="e">
        <f>+B17+C17+D17+E17+F17+G17+I17+K17+#REF!+M17+L17+P17+Q17+R17+S17</f>
        <v>#REF!</v>
      </c>
      <c r="U17" s="211">
        <f t="shared" si="0"/>
        <v>0</v>
      </c>
      <c r="V17" s="212">
        <f t="shared" si="1"/>
        <v>0</v>
      </c>
    </row>
    <row r="18" spans="1:22" ht="15.75" thickBot="1">
      <c r="A18" s="137">
        <v>14</v>
      </c>
      <c r="B18" s="185">
        <f>LIGNE!B123+LIGNE!C123+LIGNE!D123</f>
        <v>0</v>
      </c>
      <c r="C18" s="186">
        <f>LIGNE!G123+LIGNE!H123+LIGNE!I123+LIGNE!K123+LIGNE!J123</f>
        <v>0</v>
      </c>
      <c r="D18" s="185">
        <f>LIGNE!M123+LIGNE!N123+LIGNE!O123+LIGNE!R123</f>
        <v>0</v>
      </c>
      <c r="E18" s="187">
        <f>LIGNE!S123+LIGNE!T123+LIGNE!U123+LIGNE!W123+LIGNE!X123</f>
        <v>0</v>
      </c>
      <c r="F18" s="185">
        <f>LIGNE!Y123+LIGNE!Z123+LIGNE!AC123+LIGNE!AA123+LIGNE!AB123</f>
        <v>0</v>
      </c>
      <c r="G18" s="188">
        <f>LIGNE!AD123+LIGNE!AF123+LIGNE!AH123+LIGNE!AL123+LIGNE!AJ123</f>
        <v>0</v>
      </c>
      <c r="H18" s="189">
        <f>LIGNE!AE123+LIGNE!AG123+LIGNE!AI123+LIGNE!AM123+LIGNE!AK123</f>
        <v>0</v>
      </c>
      <c r="I18" s="202">
        <f>LIGNE!AN123+LIGNE!AP123+LIGNE!AR123+LIGNE!AT123</f>
        <v>0</v>
      </c>
      <c r="J18" s="203">
        <f>LIGNE!AO123+LIGNE!AQ123+LIGNE!AS123+LIGNE!AU123</f>
        <v>0</v>
      </c>
      <c r="K18" s="204">
        <f>LIGNE!AV123+LIGNE!AW123+LIGNE!AY123+LIGNE!AX123</f>
        <v>0</v>
      </c>
      <c r="L18" s="205">
        <f>LIGNE!AZ123+LIGNE!BA123+LIGNE!BB123+LIGNE!BC123+LIGNE!BD123+LIGNE!AVM123</f>
        <v>0</v>
      </c>
      <c r="M18" s="205">
        <f>LIGNE!BR123+LIGNE!BU123+LIGNE!BX123+LIGNE!CB123</f>
        <v>0</v>
      </c>
      <c r="N18" s="205">
        <f>LIGNE!BT123+LIGNE!BW123+LIGNE!BZ123+LIGNE!CC123</f>
        <v>0</v>
      </c>
      <c r="O18" s="189">
        <f>LIGNE!BH123+LIGNE!BK123+LIGNE!BN123+LIGNE!BQ123+LIGNE!BT123+LIGNE!BW123+LIGNE!BZ123+LIGNE!CC123</f>
        <v>0</v>
      </c>
      <c r="P18" s="205">
        <f>+LIGNE!CD123+LIGNE!CE123+LIGNE!CF123+LIGNE!CG123+LIGNE!CH123+LIGNE!CI123</f>
        <v>0</v>
      </c>
      <c r="Q18" s="205">
        <f>+LIGNE!CJ123+LIGNE!CK123+LIGNE!CL123+LIGNE!CM123+LIGNE!CN123+LIGNE!CO123</f>
        <v>0</v>
      </c>
      <c r="R18" s="205">
        <f>+LIGNE!CP123+LIGNE!CQ123+LIGNE!CR123+LIGNE!CS123+LIGNE!CT123+LIGNE!CU123</f>
        <v>0</v>
      </c>
      <c r="S18" s="205">
        <f>+LIGNE!CV123+LIGNE!CW123+LIGNE!CX123+LIGNE!CY123+LIGNE!CZ123+LIGNE!DA123</f>
        <v>0</v>
      </c>
      <c r="T18" s="206" t="e">
        <f>+B18+C18+D18+E18+F18+G18+I18+K18+#REF!+M18+L18+P18+Q18+R18+S18</f>
        <v>#REF!</v>
      </c>
      <c r="U18" s="211">
        <f t="shared" si="0"/>
        <v>0</v>
      </c>
      <c r="V18" s="212">
        <f t="shared" si="1"/>
        <v>0</v>
      </c>
    </row>
    <row r="19" spans="1:22" ht="15.75" thickBot="1">
      <c r="A19" s="137">
        <v>15</v>
      </c>
      <c r="B19" s="185">
        <f>LIGNE!B124+LIGNE!C124+LIGNE!D124</f>
        <v>0</v>
      </c>
      <c r="C19" s="186">
        <f>LIGNE!G124+LIGNE!H124+LIGNE!I124+LIGNE!K124+LIGNE!J124</f>
        <v>0</v>
      </c>
      <c r="D19" s="185">
        <f>LIGNE!M124+LIGNE!N124+LIGNE!O124+LIGNE!R124</f>
        <v>0</v>
      </c>
      <c r="E19" s="187">
        <f>LIGNE!S124+LIGNE!T124+LIGNE!U124+LIGNE!W124+LIGNE!X124</f>
        <v>0</v>
      </c>
      <c r="F19" s="185">
        <f>LIGNE!Y124+LIGNE!Z124+LIGNE!AC124+LIGNE!AA124+LIGNE!AB124</f>
        <v>0</v>
      </c>
      <c r="G19" s="188">
        <f>LIGNE!AD124+LIGNE!AF124+LIGNE!AH124+LIGNE!AL124+LIGNE!AJ124</f>
        <v>0</v>
      </c>
      <c r="H19" s="189">
        <f>LIGNE!AE124+LIGNE!AG124+LIGNE!AI124+LIGNE!AM124+LIGNE!AK124</f>
        <v>0</v>
      </c>
      <c r="I19" s="202">
        <f>LIGNE!AN124+LIGNE!AP124+LIGNE!AR124+LIGNE!AT124</f>
        <v>0</v>
      </c>
      <c r="J19" s="203">
        <f>LIGNE!AO124+LIGNE!AQ124+LIGNE!AS124+LIGNE!AU124</f>
        <v>0</v>
      </c>
      <c r="K19" s="204">
        <f>LIGNE!AV124+LIGNE!AW124+LIGNE!AY124+LIGNE!AX124</f>
        <v>0</v>
      </c>
      <c r="L19" s="205">
        <f>LIGNE!AZ124+LIGNE!BA124+LIGNE!BB124+LIGNE!BC124+LIGNE!BD124+LIGNE!AVM124</f>
        <v>0</v>
      </c>
      <c r="M19" s="205">
        <f>LIGNE!BR124+LIGNE!BU124+LIGNE!BX124+LIGNE!CB124</f>
        <v>0</v>
      </c>
      <c r="N19" s="205">
        <f>LIGNE!BT124+LIGNE!BW124+LIGNE!BZ124+LIGNE!CC124</f>
        <v>0</v>
      </c>
      <c r="O19" s="189">
        <f>LIGNE!BH124+LIGNE!BK124+LIGNE!BN124+LIGNE!BQ124+LIGNE!BT124+LIGNE!BW124+LIGNE!BZ124+LIGNE!CC124</f>
        <v>0</v>
      </c>
      <c r="P19" s="205">
        <f>+LIGNE!CD124+LIGNE!CE124+LIGNE!CF124+LIGNE!CG124+LIGNE!CH124+LIGNE!CI124</f>
        <v>0</v>
      </c>
      <c r="Q19" s="205">
        <f>+LIGNE!CJ124+LIGNE!CK124+LIGNE!CL124+LIGNE!CM124+LIGNE!CN124+LIGNE!CO124</f>
        <v>0</v>
      </c>
      <c r="R19" s="205">
        <f>+LIGNE!CP124+LIGNE!CQ124+LIGNE!CR124+LIGNE!CS124+LIGNE!CT124+LIGNE!CU124</f>
        <v>0</v>
      </c>
      <c r="S19" s="205">
        <f>+LIGNE!CV124+LIGNE!CW124+LIGNE!CX124+LIGNE!CY124+LIGNE!CZ124+LIGNE!DA124</f>
        <v>0</v>
      </c>
      <c r="T19" s="206" t="e">
        <f>+B19+C19+D19+E19+F19+G19+I19+K19+#REF!+M19+L19+P19+Q19+R19+S19</f>
        <v>#REF!</v>
      </c>
      <c r="U19" s="211">
        <f t="shared" si="0"/>
        <v>0</v>
      </c>
      <c r="V19" s="212">
        <f t="shared" si="1"/>
        <v>0</v>
      </c>
    </row>
    <row r="20" spans="1:22" ht="15.75" thickBot="1">
      <c r="A20" s="137">
        <v>16</v>
      </c>
      <c r="B20" s="185">
        <f>LIGNE!B125+LIGNE!C125+LIGNE!D125</f>
        <v>0</v>
      </c>
      <c r="C20" s="186">
        <f>LIGNE!G125+LIGNE!H125+LIGNE!I125+LIGNE!K125+LIGNE!J125</f>
        <v>0</v>
      </c>
      <c r="D20" s="185">
        <f>LIGNE!M125+LIGNE!N125+LIGNE!O125+LIGNE!R125</f>
        <v>0</v>
      </c>
      <c r="E20" s="187">
        <f>LIGNE!S125+LIGNE!T125+LIGNE!U125+LIGNE!W125+LIGNE!X125</f>
        <v>0</v>
      </c>
      <c r="F20" s="185">
        <f>LIGNE!Y125+LIGNE!Z125+LIGNE!AC125+LIGNE!AA125+LIGNE!AB125</f>
        <v>0</v>
      </c>
      <c r="G20" s="188">
        <f>LIGNE!AD125+LIGNE!AF125+LIGNE!AH125+LIGNE!AL125+LIGNE!AJ125</f>
        <v>0</v>
      </c>
      <c r="H20" s="189">
        <f>LIGNE!AE125+LIGNE!AG125+LIGNE!AI125+LIGNE!AM125+LIGNE!AK125</f>
        <v>0</v>
      </c>
      <c r="I20" s="202">
        <f>LIGNE!AN125+LIGNE!AP125+LIGNE!AR125+LIGNE!AT125</f>
        <v>0</v>
      </c>
      <c r="J20" s="203">
        <f>LIGNE!AO125+LIGNE!AQ125+LIGNE!AS125+LIGNE!AU125</f>
        <v>0</v>
      </c>
      <c r="K20" s="204">
        <f>LIGNE!AV125+LIGNE!AW125+LIGNE!AY125+LIGNE!AX125</f>
        <v>0</v>
      </c>
      <c r="L20" s="205">
        <f>LIGNE!AZ125+LIGNE!BA125+LIGNE!BB125+LIGNE!BC125+LIGNE!BD125+LIGNE!AVM125</f>
        <v>0</v>
      </c>
      <c r="M20" s="205">
        <f>LIGNE!BR125+LIGNE!BU125+LIGNE!BX125+LIGNE!CB125</f>
        <v>0</v>
      </c>
      <c r="N20" s="205">
        <f>LIGNE!BT125+LIGNE!BW125+LIGNE!BZ125+LIGNE!CC125</f>
        <v>0</v>
      </c>
      <c r="O20" s="189">
        <f>LIGNE!BH125+LIGNE!BK125+LIGNE!BN125+LIGNE!BQ125+LIGNE!BT125+LIGNE!BW125+LIGNE!BZ125+LIGNE!CC125</f>
        <v>0</v>
      </c>
      <c r="P20" s="205">
        <f>+LIGNE!CD125+LIGNE!CE125+LIGNE!CF125+LIGNE!CG125+LIGNE!CH125+LIGNE!CI125</f>
        <v>0</v>
      </c>
      <c r="Q20" s="205">
        <f>+LIGNE!CJ125+LIGNE!CK125+LIGNE!CL125+LIGNE!CM125+LIGNE!CN125+LIGNE!CO125</f>
        <v>0</v>
      </c>
      <c r="R20" s="205">
        <f>+LIGNE!CP125+LIGNE!CQ125+LIGNE!CR125+LIGNE!CS125+LIGNE!CT125+LIGNE!CU125</f>
        <v>0</v>
      </c>
      <c r="S20" s="205">
        <f>+LIGNE!CV125+LIGNE!CW125+LIGNE!CX125+LIGNE!CY125+LIGNE!CZ125+LIGNE!DA125</f>
        <v>0</v>
      </c>
      <c r="T20" s="206" t="e">
        <f>+B20+C20+D20+E20+F20+G20+I20+K20+#REF!+M20+L20+P20+Q20+R20+S20</f>
        <v>#REF!</v>
      </c>
      <c r="U20" s="211">
        <f t="shared" si="0"/>
        <v>0</v>
      </c>
      <c r="V20" s="212">
        <f t="shared" si="1"/>
        <v>0</v>
      </c>
    </row>
    <row r="21" spans="1:22" ht="15.75" thickBot="1">
      <c r="A21" s="137">
        <v>17</v>
      </c>
      <c r="B21" s="185">
        <f>LIGNE!B126+LIGNE!C126+LIGNE!D126</f>
        <v>0</v>
      </c>
      <c r="C21" s="186">
        <f>LIGNE!G126+LIGNE!H126+LIGNE!I126+LIGNE!K126+LIGNE!J126</f>
        <v>0</v>
      </c>
      <c r="D21" s="185">
        <f>LIGNE!M126+LIGNE!N126+LIGNE!O126+LIGNE!R126</f>
        <v>0</v>
      </c>
      <c r="E21" s="187">
        <f>LIGNE!S126+LIGNE!T126+LIGNE!U126+LIGNE!W126+LIGNE!X126</f>
        <v>0</v>
      </c>
      <c r="F21" s="185">
        <f>LIGNE!Y126+LIGNE!Z126+LIGNE!AC126+LIGNE!AA126+LIGNE!AB126</f>
        <v>0</v>
      </c>
      <c r="G21" s="188">
        <f>LIGNE!AD126+LIGNE!AF126+LIGNE!AH126+LIGNE!AL126+LIGNE!AJ126</f>
        <v>0</v>
      </c>
      <c r="H21" s="189">
        <f>LIGNE!AE126+LIGNE!AG126+LIGNE!AI126+LIGNE!AM126+LIGNE!AK126</f>
        <v>0</v>
      </c>
      <c r="I21" s="202">
        <f>LIGNE!AN126+LIGNE!AP126+LIGNE!AR126+LIGNE!AT126</f>
        <v>0</v>
      </c>
      <c r="J21" s="203">
        <f>LIGNE!AO126+LIGNE!AQ126+LIGNE!AS126+LIGNE!AU126</f>
        <v>0</v>
      </c>
      <c r="K21" s="204">
        <f>LIGNE!AV126+LIGNE!AW126+LIGNE!AY126+LIGNE!AX126</f>
        <v>0</v>
      </c>
      <c r="L21" s="205">
        <f>LIGNE!AZ126+LIGNE!BA126+LIGNE!BB126+LIGNE!BC126+LIGNE!BD126+LIGNE!AVM126</f>
        <v>0</v>
      </c>
      <c r="M21" s="205">
        <f>LIGNE!BR126+LIGNE!BU126+LIGNE!BX126+LIGNE!CB126</f>
        <v>0</v>
      </c>
      <c r="N21" s="205">
        <f>LIGNE!BT126+LIGNE!BW126+LIGNE!BZ126+LIGNE!CC126</f>
        <v>0</v>
      </c>
      <c r="O21" s="189">
        <f>LIGNE!BH126+LIGNE!BK126+LIGNE!BN126+LIGNE!BQ126+LIGNE!BT126+LIGNE!BW126+LIGNE!BZ126+LIGNE!CC126</f>
        <v>0</v>
      </c>
      <c r="P21" s="205">
        <f>+LIGNE!CD126+LIGNE!CE126+LIGNE!CF126+LIGNE!CG126+LIGNE!CH126+LIGNE!CI126</f>
        <v>0</v>
      </c>
      <c r="Q21" s="205">
        <f>+LIGNE!CJ126+LIGNE!CK126+LIGNE!CL126+LIGNE!CM126+LIGNE!CN126+LIGNE!CO126</f>
        <v>0</v>
      </c>
      <c r="R21" s="205">
        <f>+LIGNE!CP126+LIGNE!CQ126+LIGNE!CR126+LIGNE!CS126+LIGNE!CT126+LIGNE!CU126</f>
        <v>0</v>
      </c>
      <c r="S21" s="205">
        <f>+LIGNE!CV126+LIGNE!CW126+LIGNE!CX126+LIGNE!CY126+LIGNE!CZ126+LIGNE!DA126</f>
        <v>0</v>
      </c>
      <c r="T21" s="206" t="e">
        <f>+B21+C21+D21+E21+F21+G21+I21+K21+#REF!+M21+L21+P21+Q21+R21+S21</f>
        <v>#REF!</v>
      </c>
      <c r="U21" s="211">
        <f t="shared" si="0"/>
        <v>0</v>
      </c>
      <c r="V21" s="212">
        <f t="shared" si="1"/>
        <v>0</v>
      </c>
    </row>
    <row r="22" spans="1:22" ht="15.75" thickBot="1">
      <c r="A22" s="137">
        <v>18</v>
      </c>
      <c r="B22" s="185">
        <f>LIGNE!B127+LIGNE!C127+LIGNE!D127</f>
        <v>0</v>
      </c>
      <c r="C22" s="186">
        <f>LIGNE!G127+LIGNE!H127+LIGNE!I127+LIGNE!K127+LIGNE!J127</f>
        <v>0</v>
      </c>
      <c r="D22" s="185">
        <f>LIGNE!M127+LIGNE!N127+LIGNE!O127+LIGNE!R127</f>
        <v>0</v>
      </c>
      <c r="E22" s="187">
        <f>LIGNE!S127+LIGNE!T127+LIGNE!U127+LIGNE!W127+LIGNE!X127</f>
        <v>0</v>
      </c>
      <c r="F22" s="185">
        <f>LIGNE!Y127+LIGNE!Z127+LIGNE!AC127+LIGNE!AA127+LIGNE!AB127</f>
        <v>0</v>
      </c>
      <c r="G22" s="188">
        <f>LIGNE!AD127+LIGNE!AF127+LIGNE!AH127+LIGNE!AL127+LIGNE!AJ127</f>
        <v>0</v>
      </c>
      <c r="H22" s="189">
        <f>LIGNE!AE127+LIGNE!AG127+LIGNE!AI127+LIGNE!AM127+LIGNE!AK127</f>
        <v>0</v>
      </c>
      <c r="I22" s="202">
        <f>LIGNE!AN127+LIGNE!AP127+LIGNE!AR127+LIGNE!AT127</f>
        <v>0</v>
      </c>
      <c r="J22" s="203">
        <f>LIGNE!AO127+LIGNE!AQ127+LIGNE!AS127+LIGNE!AU127</f>
        <v>0</v>
      </c>
      <c r="K22" s="204">
        <f>LIGNE!AV127+LIGNE!AW127+LIGNE!AY127+LIGNE!AX127</f>
        <v>0</v>
      </c>
      <c r="L22" s="205">
        <f>LIGNE!AZ127+LIGNE!BA127+LIGNE!BB127+LIGNE!BC127+LIGNE!BD127+LIGNE!AVM127</f>
        <v>0</v>
      </c>
      <c r="M22" s="205">
        <f>LIGNE!BR127+LIGNE!BU127+LIGNE!BX127+LIGNE!CB127</f>
        <v>0</v>
      </c>
      <c r="N22" s="205">
        <f>LIGNE!BT127+LIGNE!BW127+LIGNE!BZ127+LIGNE!CC127</f>
        <v>0</v>
      </c>
      <c r="O22" s="189">
        <f>LIGNE!BH127+LIGNE!BK127+LIGNE!BN127+LIGNE!BQ127+LIGNE!BT127+LIGNE!BW127+LIGNE!BZ127+LIGNE!CC127</f>
        <v>0</v>
      </c>
      <c r="P22" s="205">
        <f>+LIGNE!CD127+LIGNE!CE127+LIGNE!CF127+LIGNE!CG127+LIGNE!CH127+LIGNE!CI127</f>
        <v>0</v>
      </c>
      <c r="Q22" s="205">
        <f>+LIGNE!CJ127+LIGNE!CK127+LIGNE!CL127+LIGNE!CM127+LIGNE!CN127+LIGNE!CO127</f>
        <v>0</v>
      </c>
      <c r="R22" s="205">
        <f>+LIGNE!CP127+LIGNE!CQ127+LIGNE!CR127+LIGNE!CS127+LIGNE!CT127+LIGNE!CU127</f>
        <v>0</v>
      </c>
      <c r="S22" s="205">
        <f>+LIGNE!CV127+LIGNE!CW127+LIGNE!CX127+LIGNE!CY127+LIGNE!CZ127+LIGNE!DA127</f>
        <v>0</v>
      </c>
      <c r="T22" s="206" t="e">
        <f>+B22+C22+D22+E22+F22+G22+I22+K22+#REF!+M22+L22+P22+Q22+R22+S22</f>
        <v>#REF!</v>
      </c>
      <c r="U22" s="211">
        <f t="shared" si="0"/>
        <v>0</v>
      </c>
      <c r="V22" s="212">
        <f t="shared" si="1"/>
        <v>0</v>
      </c>
    </row>
    <row r="23" spans="1:22" ht="15.75" thickBot="1">
      <c r="A23" s="137">
        <v>19</v>
      </c>
      <c r="B23" s="185">
        <f>LIGNE!B128+LIGNE!C128+LIGNE!D128</f>
        <v>0</v>
      </c>
      <c r="C23" s="186">
        <f>LIGNE!G128+LIGNE!H128+LIGNE!I128+LIGNE!K128+LIGNE!J128</f>
        <v>0</v>
      </c>
      <c r="D23" s="185">
        <f>LIGNE!M128+LIGNE!N128+LIGNE!O128+LIGNE!R128</f>
        <v>0</v>
      </c>
      <c r="E23" s="187">
        <f>LIGNE!S128+LIGNE!T128+LIGNE!U128+LIGNE!W128+LIGNE!X128</f>
        <v>0</v>
      </c>
      <c r="F23" s="185">
        <f>LIGNE!Y128+LIGNE!Z128+LIGNE!AC128+LIGNE!AA128+LIGNE!AB128</f>
        <v>0</v>
      </c>
      <c r="G23" s="188">
        <f>LIGNE!AD128+LIGNE!AF128+LIGNE!AH128+LIGNE!AL128+LIGNE!AJ128</f>
        <v>0</v>
      </c>
      <c r="H23" s="189">
        <f>LIGNE!AE128+LIGNE!AG128+LIGNE!AI128+LIGNE!AM128+LIGNE!AK128</f>
        <v>0</v>
      </c>
      <c r="I23" s="202">
        <f>LIGNE!AN128+LIGNE!AP128+LIGNE!AR128+LIGNE!AT128</f>
        <v>0</v>
      </c>
      <c r="J23" s="203">
        <f>LIGNE!AO128+LIGNE!AQ128+LIGNE!AS128+LIGNE!AU128</f>
        <v>0</v>
      </c>
      <c r="K23" s="204">
        <f>LIGNE!AV128+LIGNE!AW128+LIGNE!AY128+LIGNE!AX128</f>
        <v>0</v>
      </c>
      <c r="L23" s="205">
        <f>LIGNE!AZ128+LIGNE!BA128+LIGNE!BB128+LIGNE!BC128+LIGNE!BD128+LIGNE!AVM128</f>
        <v>0</v>
      </c>
      <c r="M23" s="205">
        <f>LIGNE!BR128+LIGNE!BU128+LIGNE!BX128+LIGNE!CB128</f>
        <v>0</v>
      </c>
      <c r="N23" s="205">
        <f>LIGNE!BT128+LIGNE!BW128+LIGNE!BZ128+LIGNE!CC128</f>
        <v>0</v>
      </c>
      <c r="O23" s="189">
        <f>LIGNE!BH128+LIGNE!BK128+LIGNE!BN128+LIGNE!BQ128+LIGNE!BT128+LIGNE!BW128+LIGNE!BZ128+LIGNE!CC128</f>
        <v>0</v>
      </c>
      <c r="P23" s="205">
        <f>+LIGNE!CD128+LIGNE!CE128+LIGNE!CF128+LIGNE!CG128+LIGNE!CH128+LIGNE!CI128</f>
        <v>0</v>
      </c>
      <c r="Q23" s="205">
        <f>+LIGNE!CJ128+LIGNE!CK128+LIGNE!CL128+LIGNE!CM128+LIGNE!CN128+LIGNE!CO128</f>
        <v>0</v>
      </c>
      <c r="R23" s="205">
        <f>+LIGNE!CP128+LIGNE!CQ128+LIGNE!CR128+LIGNE!CS128+LIGNE!CT128+LIGNE!CU128</f>
        <v>0</v>
      </c>
      <c r="S23" s="205">
        <f>+LIGNE!CV128+LIGNE!CW128+LIGNE!CX128+LIGNE!CY128+LIGNE!CZ128+LIGNE!DA128</f>
        <v>0</v>
      </c>
      <c r="T23" s="206" t="e">
        <f>+B23+C23+D23+E23+F23+G23+I23+K23+#REF!+M23+L23+P23+Q23+R23+S23</f>
        <v>#REF!</v>
      </c>
      <c r="U23" s="211">
        <f t="shared" si="0"/>
        <v>0</v>
      </c>
      <c r="V23" s="212">
        <f t="shared" si="1"/>
        <v>0</v>
      </c>
    </row>
    <row r="24" spans="1:22" ht="15.75" thickBot="1">
      <c r="A24" s="137">
        <v>20</v>
      </c>
      <c r="B24" s="185">
        <f>LIGNE!B129+LIGNE!C129+LIGNE!D129</f>
        <v>0</v>
      </c>
      <c r="C24" s="186">
        <f>LIGNE!G129+LIGNE!H129+LIGNE!I129+LIGNE!K129+LIGNE!J129</f>
        <v>0</v>
      </c>
      <c r="D24" s="185">
        <f>LIGNE!M129+LIGNE!N129+LIGNE!O129+LIGNE!R129</f>
        <v>0</v>
      </c>
      <c r="E24" s="187">
        <f>LIGNE!S129+LIGNE!T129+LIGNE!U129+LIGNE!W129+LIGNE!X129</f>
        <v>0</v>
      </c>
      <c r="F24" s="185">
        <f>LIGNE!Y129+LIGNE!Z129+LIGNE!AC129+LIGNE!AA129+LIGNE!AB129</f>
        <v>0</v>
      </c>
      <c r="G24" s="188">
        <f>LIGNE!AD129+LIGNE!AF129+LIGNE!AH129+LIGNE!AL129+LIGNE!AJ129</f>
        <v>0</v>
      </c>
      <c r="H24" s="189">
        <f>LIGNE!AE129+LIGNE!AG129+LIGNE!AI129+LIGNE!AM129+LIGNE!AK129</f>
        <v>0</v>
      </c>
      <c r="I24" s="202">
        <f>LIGNE!AN129+LIGNE!AP129+LIGNE!AR129+LIGNE!AT129</f>
        <v>0</v>
      </c>
      <c r="J24" s="203">
        <f>LIGNE!AO129+LIGNE!AQ129+LIGNE!AS129+LIGNE!AU129</f>
        <v>0</v>
      </c>
      <c r="K24" s="204">
        <f>LIGNE!AV129+LIGNE!AW129+LIGNE!AY129+LIGNE!AX129</f>
        <v>0</v>
      </c>
      <c r="L24" s="205">
        <f>LIGNE!AZ129+LIGNE!BA129+LIGNE!BB129+LIGNE!BC129+LIGNE!BD129+LIGNE!AVM129</f>
        <v>0</v>
      </c>
      <c r="M24" s="205">
        <f>LIGNE!BR129+LIGNE!BU129+LIGNE!BX129+LIGNE!CB129</f>
        <v>0</v>
      </c>
      <c r="N24" s="205">
        <f>LIGNE!BT129+LIGNE!BW129+LIGNE!BZ129+LIGNE!CC129</f>
        <v>0</v>
      </c>
      <c r="O24" s="189">
        <f>LIGNE!BH129+LIGNE!BK129+LIGNE!BN129+LIGNE!BQ129+LIGNE!BT129+LIGNE!BW129+LIGNE!BZ129+LIGNE!CC129</f>
        <v>0</v>
      </c>
      <c r="P24" s="205">
        <f>+LIGNE!CD129+LIGNE!CE129+LIGNE!CF129+LIGNE!CG129+LIGNE!CH129+LIGNE!CI129</f>
        <v>0</v>
      </c>
      <c r="Q24" s="205">
        <f>+LIGNE!CJ129+LIGNE!CK129+LIGNE!CL129+LIGNE!CM129+LIGNE!CN129+LIGNE!CO129</f>
        <v>0</v>
      </c>
      <c r="R24" s="205">
        <f>+LIGNE!CP129+LIGNE!CQ129+LIGNE!CR129+LIGNE!CS129+LIGNE!CT129+LIGNE!CU129</f>
        <v>0</v>
      </c>
      <c r="S24" s="205">
        <f>+LIGNE!CV129+LIGNE!CW129+LIGNE!CX129+LIGNE!CY129+LIGNE!CZ129+LIGNE!DA129</f>
        <v>0</v>
      </c>
      <c r="T24" s="206" t="e">
        <f>+B24+C24+D24+E24+F24+G24+I24+K24+#REF!+M24+L24+P24+Q24+R24+S24</f>
        <v>#REF!</v>
      </c>
      <c r="U24" s="211">
        <f t="shared" si="0"/>
        <v>0</v>
      </c>
      <c r="V24" s="212">
        <f t="shared" si="1"/>
        <v>0</v>
      </c>
    </row>
    <row r="25" spans="1:22" ht="15.75" thickBot="1">
      <c r="A25" s="137">
        <v>21</v>
      </c>
      <c r="B25" s="185">
        <f>LIGNE!B130+LIGNE!C130+LIGNE!D130</f>
        <v>0</v>
      </c>
      <c r="C25" s="186">
        <f>LIGNE!G130+LIGNE!H130+LIGNE!I130+LIGNE!K130+LIGNE!J130</f>
        <v>0</v>
      </c>
      <c r="D25" s="185">
        <f>LIGNE!M130+LIGNE!N130+LIGNE!O130+LIGNE!R130</f>
        <v>0</v>
      </c>
      <c r="E25" s="187">
        <f>LIGNE!S130+LIGNE!T130+LIGNE!U130+LIGNE!W130+LIGNE!X130</f>
        <v>0</v>
      </c>
      <c r="F25" s="185">
        <f>LIGNE!Y130+LIGNE!Z130+LIGNE!AC130+LIGNE!AA130+LIGNE!AB130</f>
        <v>0</v>
      </c>
      <c r="G25" s="188">
        <f>LIGNE!AD130+LIGNE!AF130+LIGNE!AH130+LIGNE!AL130+LIGNE!AJ130</f>
        <v>0</v>
      </c>
      <c r="H25" s="189">
        <f>LIGNE!AE130+LIGNE!AG130+LIGNE!AI130+LIGNE!AM130+LIGNE!AK130</f>
        <v>0</v>
      </c>
      <c r="I25" s="202">
        <f>LIGNE!AN130+LIGNE!AP130+LIGNE!AR130+LIGNE!AT130</f>
        <v>0</v>
      </c>
      <c r="J25" s="203">
        <f>LIGNE!AO130+LIGNE!AQ130+LIGNE!AS130+LIGNE!AU130</f>
        <v>0</v>
      </c>
      <c r="K25" s="204">
        <f>LIGNE!AV130+LIGNE!AW130+LIGNE!AY130+LIGNE!AX130</f>
        <v>0</v>
      </c>
      <c r="L25" s="205">
        <f>LIGNE!AZ130+LIGNE!BA130+LIGNE!BB130+LIGNE!BC130+LIGNE!BD130+LIGNE!AVM130</f>
        <v>0</v>
      </c>
      <c r="M25" s="205">
        <f>LIGNE!BR130+LIGNE!BU130+LIGNE!BX130+LIGNE!CB130</f>
        <v>0</v>
      </c>
      <c r="N25" s="205">
        <f>LIGNE!BT130+LIGNE!BW130+LIGNE!BZ130+LIGNE!CC130</f>
        <v>0</v>
      </c>
      <c r="O25" s="189">
        <f>LIGNE!BH130+LIGNE!BK130+LIGNE!BN130+LIGNE!BQ130+LIGNE!BT130+LIGNE!BW130+LIGNE!BZ130+LIGNE!CC130</f>
        <v>0</v>
      </c>
      <c r="P25" s="205">
        <f>+LIGNE!CD130+LIGNE!CE130+LIGNE!CF130+LIGNE!CG130+LIGNE!CH130+LIGNE!CI130</f>
        <v>0</v>
      </c>
      <c r="Q25" s="205">
        <f>+LIGNE!CJ130+LIGNE!CK130+LIGNE!CL130+LIGNE!CM130+LIGNE!CN130+LIGNE!CO130</f>
        <v>0</v>
      </c>
      <c r="R25" s="205">
        <f>+LIGNE!CP130+LIGNE!CQ130+LIGNE!CR130+LIGNE!CS130+LIGNE!CT130+LIGNE!CU130</f>
        <v>0</v>
      </c>
      <c r="S25" s="205">
        <f>+LIGNE!CV130+LIGNE!CW130+LIGNE!CX130+LIGNE!CY130+LIGNE!CZ130+LIGNE!DA130</f>
        <v>0</v>
      </c>
      <c r="T25" s="206" t="e">
        <f>+B25+C25+D25+E25+F25+G25+I25+K25+#REF!+M25+L25+P25+Q25+R25+S25</f>
        <v>#REF!</v>
      </c>
      <c r="U25" s="211">
        <f t="shared" si="0"/>
        <v>0</v>
      </c>
      <c r="V25" s="212">
        <f t="shared" si="1"/>
        <v>0</v>
      </c>
    </row>
    <row r="26" spans="1:22" ht="15.75" thickBot="1">
      <c r="A26" s="137">
        <v>22</v>
      </c>
      <c r="B26" s="185">
        <f>LIGNE!B131+LIGNE!C131+LIGNE!D131</f>
        <v>0</v>
      </c>
      <c r="C26" s="186">
        <f>LIGNE!G131+LIGNE!H131+LIGNE!I131+LIGNE!K131+LIGNE!J131</f>
        <v>0</v>
      </c>
      <c r="D26" s="185">
        <f>LIGNE!M131+LIGNE!N131+LIGNE!O131+LIGNE!R131</f>
        <v>0</v>
      </c>
      <c r="E26" s="187">
        <f>LIGNE!S131+LIGNE!T131+LIGNE!U131+LIGNE!W131+LIGNE!X131</f>
        <v>0</v>
      </c>
      <c r="F26" s="185">
        <f>LIGNE!Y131+LIGNE!Z131+LIGNE!AC131+LIGNE!AA131+LIGNE!AB131</f>
        <v>0</v>
      </c>
      <c r="G26" s="188">
        <f>LIGNE!AD131+LIGNE!AF131+LIGNE!AH131+LIGNE!AL131+LIGNE!AJ131</f>
        <v>0</v>
      </c>
      <c r="H26" s="189">
        <f>LIGNE!AE131+LIGNE!AG131+LIGNE!AI131+LIGNE!AM131+LIGNE!AK131</f>
        <v>0</v>
      </c>
      <c r="I26" s="202">
        <f>LIGNE!AN131+LIGNE!AP131+LIGNE!AR131+LIGNE!AT131</f>
        <v>0</v>
      </c>
      <c r="J26" s="203">
        <f>LIGNE!AO131+LIGNE!AQ131+LIGNE!AS131+LIGNE!AU131</f>
        <v>0</v>
      </c>
      <c r="K26" s="204">
        <f>LIGNE!AV131+LIGNE!AW131+LIGNE!AY131+LIGNE!AX131</f>
        <v>0</v>
      </c>
      <c r="L26" s="205">
        <f>LIGNE!AZ131+LIGNE!BA131+LIGNE!BB131+LIGNE!BC131+LIGNE!BD131+LIGNE!AVM131</f>
        <v>0</v>
      </c>
      <c r="M26" s="205">
        <f>LIGNE!BR131+LIGNE!BU131+LIGNE!BX131+LIGNE!CB131</f>
        <v>0</v>
      </c>
      <c r="N26" s="205">
        <f>LIGNE!BT131+LIGNE!BW131+LIGNE!BZ131+LIGNE!CC131</f>
        <v>0</v>
      </c>
      <c r="O26" s="189">
        <f>LIGNE!BH131+LIGNE!BK131+LIGNE!BN131+LIGNE!BQ131+LIGNE!BT131+LIGNE!BW131+LIGNE!BZ131+LIGNE!CC131</f>
        <v>0</v>
      </c>
      <c r="P26" s="205">
        <f>+LIGNE!CD131+LIGNE!CE131+LIGNE!CF131+LIGNE!CG131+LIGNE!CH131+LIGNE!CI131</f>
        <v>0</v>
      </c>
      <c r="Q26" s="205">
        <f>+LIGNE!CJ131+LIGNE!CK131+LIGNE!CL131+LIGNE!CM131+LIGNE!CN131+LIGNE!CO131</f>
        <v>0</v>
      </c>
      <c r="R26" s="205">
        <f>+LIGNE!CP131+LIGNE!CQ131+LIGNE!CR131+LIGNE!CS131+LIGNE!CT131+LIGNE!CU131</f>
        <v>0</v>
      </c>
      <c r="S26" s="205">
        <f>+LIGNE!CV131+LIGNE!CW131+LIGNE!CX131+LIGNE!CY131+LIGNE!CZ131+LIGNE!DA131</f>
        <v>0</v>
      </c>
      <c r="T26" s="206" t="e">
        <f>+B26+C26+D26+E26+F26+G26+I26+K26+#REF!+M26+L26+P26+Q26+R26+S26</f>
        <v>#REF!</v>
      </c>
      <c r="U26" s="211">
        <f t="shared" si="0"/>
        <v>0</v>
      </c>
      <c r="V26" s="212">
        <f t="shared" si="1"/>
        <v>0</v>
      </c>
    </row>
    <row r="27" spans="1:22" ht="15.75" thickBot="1">
      <c r="A27" s="137">
        <v>23</v>
      </c>
      <c r="B27" s="185">
        <f>LIGNE!B132+LIGNE!C132+LIGNE!D132</f>
        <v>0</v>
      </c>
      <c r="C27" s="186">
        <f>LIGNE!G132+LIGNE!H132+LIGNE!I132+LIGNE!K132+LIGNE!J132</f>
        <v>0</v>
      </c>
      <c r="D27" s="185">
        <f>LIGNE!M132+LIGNE!N132+LIGNE!O132+LIGNE!R132</f>
        <v>0</v>
      </c>
      <c r="E27" s="187">
        <f>LIGNE!S132+LIGNE!T132+LIGNE!U132+LIGNE!W132+LIGNE!X132</f>
        <v>0</v>
      </c>
      <c r="F27" s="185">
        <f>LIGNE!Y132+LIGNE!Z132+LIGNE!AC132+LIGNE!AA132+LIGNE!AB132</f>
        <v>0</v>
      </c>
      <c r="G27" s="188">
        <f>LIGNE!AD132+LIGNE!AF132+LIGNE!AH132+LIGNE!AL132+LIGNE!AJ132</f>
        <v>0</v>
      </c>
      <c r="H27" s="189">
        <f>LIGNE!AE132+LIGNE!AG132+LIGNE!AI132+LIGNE!AM132+LIGNE!AK132</f>
        <v>0</v>
      </c>
      <c r="I27" s="202">
        <f>LIGNE!AN132+LIGNE!AP132+LIGNE!AR132+LIGNE!AT132</f>
        <v>0</v>
      </c>
      <c r="J27" s="203">
        <f>LIGNE!AO132+LIGNE!AQ132+LIGNE!AS132+LIGNE!AU132</f>
        <v>0</v>
      </c>
      <c r="K27" s="204">
        <f>LIGNE!AV132+LIGNE!AW132+LIGNE!AY132+LIGNE!AX132</f>
        <v>0</v>
      </c>
      <c r="L27" s="205">
        <f>LIGNE!AZ132+LIGNE!BA132+LIGNE!BB132+LIGNE!BC132+LIGNE!BD132+LIGNE!AVM132</f>
        <v>0</v>
      </c>
      <c r="M27" s="205">
        <f>LIGNE!BR132+LIGNE!BU132+LIGNE!BX132+LIGNE!CB132</f>
        <v>0</v>
      </c>
      <c r="N27" s="205">
        <f>LIGNE!BT132+LIGNE!BW132+LIGNE!BZ132+LIGNE!CC132</f>
        <v>0</v>
      </c>
      <c r="O27" s="189">
        <f>LIGNE!BH132+LIGNE!BK132+LIGNE!BN132+LIGNE!BQ132+LIGNE!BT132+LIGNE!BW132+LIGNE!BZ132+LIGNE!CC132</f>
        <v>0</v>
      </c>
      <c r="P27" s="205">
        <f>+LIGNE!CD132+LIGNE!CE132+LIGNE!CF132+LIGNE!CG132+LIGNE!CH132+LIGNE!CI132</f>
        <v>0</v>
      </c>
      <c r="Q27" s="205">
        <f>+LIGNE!CJ132+LIGNE!CK132+LIGNE!CL132+LIGNE!CM132+LIGNE!CN132+LIGNE!CO132</f>
        <v>0</v>
      </c>
      <c r="R27" s="205">
        <f>+LIGNE!CP132+LIGNE!CQ132+LIGNE!CR132+LIGNE!CS132+LIGNE!CT132+LIGNE!CU132</f>
        <v>0</v>
      </c>
      <c r="S27" s="205">
        <f>+LIGNE!CV132+LIGNE!CW132+LIGNE!CX132+LIGNE!CY132+LIGNE!CZ132+LIGNE!DA132</f>
        <v>0</v>
      </c>
      <c r="T27" s="206" t="e">
        <f>+B27+C27+D27+E27+F27+G27+I27+K27+#REF!+M27+L27+P27+Q27+R27+S27</f>
        <v>#REF!</v>
      </c>
      <c r="U27" s="211">
        <f t="shared" si="0"/>
        <v>0</v>
      </c>
      <c r="V27" s="212">
        <f t="shared" si="1"/>
        <v>0</v>
      </c>
    </row>
    <row r="28" spans="1:22" ht="15.75" thickBot="1">
      <c r="A28" s="137">
        <v>24</v>
      </c>
      <c r="B28" s="185">
        <f>LIGNE!B133+LIGNE!C133+LIGNE!D133</f>
        <v>0</v>
      </c>
      <c r="C28" s="186">
        <f>LIGNE!G133+LIGNE!H133+LIGNE!I133+LIGNE!K133+LIGNE!J133</f>
        <v>0</v>
      </c>
      <c r="D28" s="185">
        <f>LIGNE!M133+LIGNE!N133+LIGNE!O133+LIGNE!R133</f>
        <v>0</v>
      </c>
      <c r="E28" s="187">
        <f>LIGNE!S133+LIGNE!T133+LIGNE!U133+LIGNE!W133+LIGNE!X133</f>
        <v>0</v>
      </c>
      <c r="F28" s="185">
        <f>LIGNE!Y133+LIGNE!Z133+LIGNE!AC133+LIGNE!AA133+LIGNE!AB133</f>
        <v>0</v>
      </c>
      <c r="G28" s="188">
        <f>LIGNE!AD133+LIGNE!AF133+LIGNE!AH133+LIGNE!AL133+LIGNE!AJ133</f>
        <v>0</v>
      </c>
      <c r="H28" s="189">
        <f>LIGNE!AE133+LIGNE!AG133+LIGNE!AI133+LIGNE!AM133+LIGNE!AK133</f>
        <v>0</v>
      </c>
      <c r="I28" s="202">
        <f>LIGNE!AN133+LIGNE!AP133+LIGNE!AR133+LIGNE!AT133</f>
        <v>0</v>
      </c>
      <c r="J28" s="203">
        <f>LIGNE!AO133+LIGNE!AQ133+LIGNE!AS133+LIGNE!AU133</f>
        <v>0</v>
      </c>
      <c r="K28" s="204">
        <f>LIGNE!AV133+LIGNE!AW133+LIGNE!AY133+LIGNE!AX133</f>
        <v>0</v>
      </c>
      <c r="L28" s="205">
        <f>LIGNE!AZ133+LIGNE!BA133+LIGNE!BB133+LIGNE!BC133+LIGNE!BD133+LIGNE!AVM133</f>
        <v>0</v>
      </c>
      <c r="M28" s="205">
        <f>LIGNE!BR133+LIGNE!BU133+LIGNE!BX133+LIGNE!CB133</f>
        <v>0</v>
      </c>
      <c r="N28" s="205">
        <f>LIGNE!BT133+LIGNE!BW133+LIGNE!BZ133+LIGNE!CC133</f>
        <v>0</v>
      </c>
      <c r="O28" s="189">
        <f>LIGNE!BH133+LIGNE!BK133+LIGNE!BN133+LIGNE!BQ133+LIGNE!BT133+LIGNE!BW133+LIGNE!BZ133+LIGNE!CC133</f>
        <v>0</v>
      </c>
      <c r="P28" s="205">
        <f>+LIGNE!CD133+LIGNE!CE133+LIGNE!CF133+LIGNE!CG133+LIGNE!CH133+LIGNE!CI133</f>
        <v>0</v>
      </c>
      <c r="Q28" s="205">
        <f>+LIGNE!CJ133+LIGNE!CK133+LIGNE!CL133+LIGNE!CM133+LIGNE!CN133+LIGNE!CO133</f>
        <v>0</v>
      </c>
      <c r="R28" s="205">
        <f>+LIGNE!CP133+LIGNE!CQ133+LIGNE!CR133+LIGNE!CS133+LIGNE!CT133+LIGNE!CU133</f>
        <v>0</v>
      </c>
      <c r="S28" s="205">
        <f>+LIGNE!CV133+LIGNE!CW133+LIGNE!CX133+LIGNE!CY133+LIGNE!CZ133+LIGNE!DA133</f>
        <v>0</v>
      </c>
      <c r="T28" s="206" t="e">
        <f>+B28+C28+D28+E28+F28+G28+I28+K28+#REF!+M28+L28+P28+Q28+R28+S28</f>
        <v>#REF!</v>
      </c>
      <c r="U28" s="211">
        <f t="shared" si="0"/>
        <v>0</v>
      </c>
      <c r="V28" s="212">
        <f t="shared" si="1"/>
        <v>0</v>
      </c>
    </row>
    <row r="29" spans="1:22" ht="15.75" thickBot="1">
      <c r="A29" s="137">
        <v>25</v>
      </c>
      <c r="B29" s="185">
        <f>LIGNE!B134+LIGNE!C134+LIGNE!D134</f>
        <v>0</v>
      </c>
      <c r="C29" s="186">
        <f>LIGNE!G134+LIGNE!H134+LIGNE!I134+LIGNE!K134+LIGNE!J134</f>
        <v>0</v>
      </c>
      <c r="D29" s="185">
        <f>LIGNE!M134+LIGNE!N134+LIGNE!O134+LIGNE!R134</f>
        <v>0</v>
      </c>
      <c r="E29" s="187">
        <f>LIGNE!S134+LIGNE!T134+LIGNE!U134+LIGNE!W134+LIGNE!X134</f>
        <v>0</v>
      </c>
      <c r="F29" s="185">
        <f>LIGNE!Y134+LIGNE!Z134+LIGNE!AC134+LIGNE!AA134+LIGNE!AB134</f>
        <v>0</v>
      </c>
      <c r="G29" s="188">
        <f>LIGNE!AD134+LIGNE!AF134+LIGNE!AH134+LIGNE!AL134+LIGNE!AJ134</f>
        <v>0</v>
      </c>
      <c r="H29" s="189">
        <f>LIGNE!AE134+LIGNE!AG134+LIGNE!AI134+LIGNE!AM134+LIGNE!AK134</f>
        <v>0</v>
      </c>
      <c r="I29" s="202">
        <f>LIGNE!AN134+LIGNE!AP134+LIGNE!AR134+LIGNE!AT134</f>
        <v>0</v>
      </c>
      <c r="J29" s="203">
        <f>LIGNE!AO134+LIGNE!AQ134+LIGNE!AS134+LIGNE!AU134</f>
        <v>0</v>
      </c>
      <c r="K29" s="204">
        <f>LIGNE!AV134+LIGNE!AW134+LIGNE!AY134+LIGNE!AX134</f>
        <v>0</v>
      </c>
      <c r="L29" s="205">
        <f>LIGNE!AZ134+LIGNE!BA134+LIGNE!BB134+LIGNE!BC134+LIGNE!BD134+LIGNE!AVM134</f>
        <v>0</v>
      </c>
      <c r="M29" s="205">
        <f>LIGNE!BR134+LIGNE!BU134+LIGNE!BX134+LIGNE!CB134</f>
        <v>0</v>
      </c>
      <c r="N29" s="205">
        <f>LIGNE!BT134+LIGNE!BW134+LIGNE!BZ134+LIGNE!CC134</f>
        <v>0</v>
      </c>
      <c r="O29" s="189">
        <f>LIGNE!BH134+LIGNE!BK134+LIGNE!BN134+LIGNE!BQ134+LIGNE!BT134+LIGNE!BW134+LIGNE!BZ134+LIGNE!CC134</f>
        <v>0</v>
      </c>
      <c r="P29" s="205">
        <f>+LIGNE!CD134+LIGNE!CE134+LIGNE!CF134+LIGNE!CG134+LIGNE!CH134+LIGNE!CI134</f>
        <v>0</v>
      </c>
      <c r="Q29" s="205">
        <f>+LIGNE!CJ134+LIGNE!CK134+LIGNE!CL134+LIGNE!CM134+LIGNE!CN134+LIGNE!CO134</f>
        <v>0</v>
      </c>
      <c r="R29" s="205">
        <f>+LIGNE!CP134+LIGNE!CQ134+LIGNE!CR134+LIGNE!CS134+LIGNE!CT134+LIGNE!CU134</f>
        <v>0</v>
      </c>
      <c r="S29" s="205">
        <f>+LIGNE!CV134+LIGNE!CW134+LIGNE!CX134+LIGNE!CY134+LIGNE!CZ134+LIGNE!DA134</f>
        <v>0</v>
      </c>
      <c r="T29" s="206" t="e">
        <f>+B29+C29+D29+E29+F29+G29+I29+K29+#REF!+M29+L29+P29+Q29+R29+S29</f>
        <v>#REF!</v>
      </c>
      <c r="U29" s="211">
        <f t="shared" si="0"/>
        <v>0</v>
      </c>
      <c r="V29" s="212">
        <f t="shared" si="1"/>
        <v>0</v>
      </c>
    </row>
    <row r="30" spans="1:22" ht="15.75" thickBot="1">
      <c r="A30" s="137">
        <v>26</v>
      </c>
      <c r="B30" s="185">
        <f>LIGNE!B135+LIGNE!C135+LIGNE!D135</f>
        <v>0</v>
      </c>
      <c r="C30" s="186">
        <f>LIGNE!G135+LIGNE!H135+LIGNE!I135+LIGNE!K135+LIGNE!J135</f>
        <v>0</v>
      </c>
      <c r="D30" s="185">
        <f>LIGNE!M135+LIGNE!N135+LIGNE!O135+LIGNE!R135</f>
        <v>0</v>
      </c>
      <c r="E30" s="187">
        <f>LIGNE!S135+LIGNE!T135+LIGNE!U135+LIGNE!W135+LIGNE!X135</f>
        <v>0</v>
      </c>
      <c r="F30" s="185">
        <f>LIGNE!Y135+LIGNE!Z135+LIGNE!AC135+LIGNE!AA135+LIGNE!AB135</f>
        <v>0</v>
      </c>
      <c r="G30" s="188">
        <f>LIGNE!AD135+LIGNE!AF135+LIGNE!AH135+LIGNE!AL135+LIGNE!AJ135</f>
        <v>0</v>
      </c>
      <c r="H30" s="189">
        <f>LIGNE!AE135+LIGNE!AG135+LIGNE!AI135+LIGNE!AM135+LIGNE!AK135</f>
        <v>0</v>
      </c>
      <c r="I30" s="202">
        <f>LIGNE!AN135+LIGNE!AP135+LIGNE!AR135+LIGNE!AT135</f>
        <v>0</v>
      </c>
      <c r="J30" s="203">
        <f>LIGNE!AO135+LIGNE!AQ135+LIGNE!AS135+LIGNE!AU135</f>
        <v>0</v>
      </c>
      <c r="K30" s="204">
        <f>LIGNE!AV135+LIGNE!AW135+LIGNE!AY135+LIGNE!AX135</f>
        <v>0</v>
      </c>
      <c r="L30" s="205">
        <f>LIGNE!AZ135+LIGNE!BA135+LIGNE!BB135+LIGNE!BC135+LIGNE!BD135+LIGNE!AVM135</f>
        <v>0</v>
      </c>
      <c r="M30" s="205">
        <f>LIGNE!BR135+LIGNE!BU135+LIGNE!BX135+LIGNE!CB135</f>
        <v>0</v>
      </c>
      <c r="N30" s="205">
        <f>LIGNE!BT135+LIGNE!BW135+LIGNE!BZ135+LIGNE!CC135</f>
        <v>0</v>
      </c>
      <c r="O30" s="189">
        <f>LIGNE!BH135+LIGNE!BK135+LIGNE!BN135+LIGNE!BQ135+LIGNE!BT135+LIGNE!BW135+LIGNE!BZ135+LIGNE!CC135</f>
        <v>0</v>
      </c>
      <c r="P30" s="205">
        <f>+LIGNE!CD135+LIGNE!CE135+LIGNE!CF135+LIGNE!CG135+LIGNE!CH135+LIGNE!CI135</f>
        <v>0</v>
      </c>
      <c r="Q30" s="205">
        <f>+LIGNE!CJ135+LIGNE!CK135+LIGNE!CL135+LIGNE!CM135+LIGNE!CN135+LIGNE!CO135</f>
        <v>0</v>
      </c>
      <c r="R30" s="205">
        <f>+LIGNE!CP135+LIGNE!CQ135+LIGNE!CR135+LIGNE!CS135+LIGNE!CT135+LIGNE!CU135</f>
        <v>0</v>
      </c>
      <c r="S30" s="205">
        <f>+LIGNE!CV135+LIGNE!CW135+LIGNE!CX135+LIGNE!CY135+LIGNE!CZ135+LIGNE!DA135</f>
        <v>0</v>
      </c>
      <c r="T30" s="206" t="e">
        <f>+B30+C30+D30+E30+F30+G30+I30+K30+#REF!+M30+L30+P30+Q30+R30+S30</f>
        <v>#REF!</v>
      </c>
      <c r="U30" s="211">
        <f t="shared" si="0"/>
        <v>0</v>
      </c>
      <c r="V30" s="212">
        <f t="shared" si="1"/>
        <v>0</v>
      </c>
    </row>
    <row r="31" spans="1:22" ht="15.75" thickBot="1">
      <c r="A31" s="137">
        <v>27</v>
      </c>
      <c r="B31" s="185">
        <f>LIGNE!B136+LIGNE!C136+LIGNE!D136</f>
        <v>0</v>
      </c>
      <c r="C31" s="186">
        <f>LIGNE!G136+LIGNE!H136+LIGNE!I136+LIGNE!K136+LIGNE!J136</f>
        <v>0</v>
      </c>
      <c r="D31" s="185">
        <f>LIGNE!M136+LIGNE!N136+LIGNE!O136+LIGNE!R136</f>
        <v>0</v>
      </c>
      <c r="E31" s="187">
        <f>LIGNE!S136+LIGNE!T136+LIGNE!U136+LIGNE!W136+LIGNE!X136</f>
        <v>0</v>
      </c>
      <c r="F31" s="185">
        <f>LIGNE!Y136+LIGNE!Z136+LIGNE!AC136+LIGNE!AA136+LIGNE!AB136</f>
        <v>0</v>
      </c>
      <c r="G31" s="188">
        <f>LIGNE!AD136+LIGNE!AF136+LIGNE!AH136+LIGNE!AL136+LIGNE!AJ136</f>
        <v>0</v>
      </c>
      <c r="H31" s="189">
        <f>LIGNE!AE136+LIGNE!AG136+LIGNE!AI136+LIGNE!AM136+LIGNE!AK136</f>
        <v>0</v>
      </c>
      <c r="I31" s="202">
        <f>LIGNE!AN136+LIGNE!AP136+LIGNE!AR136+LIGNE!AT136</f>
        <v>0</v>
      </c>
      <c r="J31" s="203">
        <f>LIGNE!AO136+LIGNE!AQ136+LIGNE!AS136+LIGNE!AU136</f>
        <v>0</v>
      </c>
      <c r="K31" s="204">
        <f>LIGNE!AV136+LIGNE!AW136+LIGNE!AY136+LIGNE!AX136</f>
        <v>0</v>
      </c>
      <c r="L31" s="205">
        <f>LIGNE!AZ136+LIGNE!BA136+LIGNE!BB136+LIGNE!BC136+LIGNE!BD136+LIGNE!AVM136</f>
        <v>0</v>
      </c>
      <c r="M31" s="205">
        <f>LIGNE!BR136+LIGNE!BU136+LIGNE!BX136+LIGNE!CB136</f>
        <v>0</v>
      </c>
      <c r="N31" s="205">
        <f>LIGNE!BT136+LIGNE!BW136+LIGNE!BZ136+LIGNE!CC136</f>
        <v>0</v>
      </c>
      <c r="O31" s="189">
        <f>LIGNE!BH136+LIGNE!BK136+LIGNE!BN136+LIGNE!BQ136+LIGNE!BT136+LIGNE!BW136+LIGNE!BZ136+LIGNE!CC136</f>
        <v>0</v>
      </c>
      <c r="P31" s="205">
        <f>+LIGNE!CD136+LIGNE!CE136+LIGNE!CF136+LIGNE!CG136+LIGNE!CH136+LIGNE!CI136</f>
        <v>0</v>
      </c>
      <c r="Q31" s="205">
        <f>+LIGNE!CJ136+LIGNE!CK136+LIGNE!CL136+LIGNE!CM136+LIGNE!CN136+LIGNE!CO136</f>
        <v>0</v>
      </c>
      <c r="R31" s="205">
        <f>+LIGNE!CP136+LIGNE!CQ136+LIGNE!CR136+LIGNE!CS136+LIGNE!CT136+LIGNE!CU136</f>
        <v>0</v>
      </c>
      <c r="S31" s="205">
        <f>+LIGNE!CV136+LIGNE!CW136+LIGNE!CX136+LIGNE!CY136+LIGNE!CZ136+LIGNE!DA136</f>
        <v>0</v>
      </c>
      <c r="T31" s="206" t="e">
        <f>+B31+C31+D31+E31+F31+G31+I31+K31+#REF!+M31+L31+P31+Q31+R31+S31</f>
        <v>#REF!</v>
      </c>
      <c r="U31" s="211">
        <f t="shared" si="0"/>
        <v>0</v>
      </c>
      <c r="V31" s="212">
        <f t="shared" si="1"/>
        <v>0</v>
      </c>
    </row>
    <row r="32" spans="1:22" ht="15.75" thickBot="1">
      <c r="A32" s="137">
        <v>28</v>
      </c>
      <c r="B32" s="185">
        <f>LIGNE!B137+LIGNE!C137+LIGNE!D137</f>
        <v>0</v>
      </c>
      <c r="C32" s="186">
        <f>LIGNE!G137+LIGNE!H137+LIGNE!I137+LIGNE!K137+LIGNE!J137</f>
        <v>0</v>
      </c>
      <c r="D32" s="185">
        <f>LIGNE!M137+LIGNE!N137+LIGNE!O137+LIGNE!R137</f>
        <v>0</v>
      </c>
      <c r="E32" s="187">
        <f>LIGNE!S137+LIGNE!T137+LIGNE!U137+LIGNE!W137+LIGNE!X137</f>
        <v>0</v>
      </c>
      <c r="F32" s="185">
        <f>LIGNE!Y137+LIGNE!Z137+LIGNE!AC137+LIGNE!AA137+LIGNE!AB137</f>
        <v>0</v>
      </c>
      <c r="G32" s="188">
        <f>LIGNE!AD137+LIGNE!AF137+LIGNE!AH137+LIGNE!AL137+LIGNE!AJ137</f>
        <v>0</v>
      </c>
      <c r="H32" s="189">
        <f>LIGNE!AE137+LIGNE!AG137+LIGNE!AI137+LIGNE!AM137+LIGNE!AK137</f>
        <v>0</v>
      </c>
      <c r="I32" s="202">
        <f>LIGNE!AN137+LIGNE!AP137+LIGNE!AR137+LIGNE!AT137</f>
        <v>0</v>
      </c>
      <c r="J32" s="203">
        <f>LIGNE!AO137+LIGNE!AQ137+LIGNE!AS137+LIGNE!AU137</f>
        <v>0</v>
      </c>
      <c r="K32" s="204">
        <f>LIGNE!AV137+LIGNE!AW137+LIGNE!AY137+LIGNE!AX137</f>
        <v>0</v>
      </c>
      <c r="L32" s="205">
        <f>LIGNE!AZ137+LIGNE!BA137+LIGNE!BB137+LIGNE!BC137+LIGNE!BD137+LIGNE!AVM137</f>
        <v>0</v>
      </c>
      <c r="M32" s="205">
        <f>LIGNE!BR137+LIGNE!BU137+LIGNE!BX137+LIGNE!CB137</f>
        <v>0</v>
      </c>
      <c r="N32" s="205">
        <f>LIGNE!BT137+LIGNE!BW137+LIGNE!BZ137+LIGNE!CC137</f>
        <v>0</v>
      </c>
      <c r="O32" s="189">
        <f>LIGNE!BH137+LIGNE!BK137+LIGNE!BN137+LIGNE!BQ137+LIGNE!BT137+LIGNE!BW137+LIGNE!BZ137+LIGNE!CC137</f>
        <v>0</v>
      </c>
      <c r="P32" s="205">
        <f>+LIGNE!CD137+LIGNE!CE137+LIGNE!CF137+LIGNE!CG137+LIGNE!CH137+LIGNE!CI137</f>
        <v>0</v>
      </c>
      <c r="Q32" s="205">
        <f>+LIGNE!CJ137+LIGNE!CK137+LIGNE!CL137+LIGNE!CM137+LIGNE!CN137+LIGNE!CO137</f>
        <v>0</v>
      </c>
      <c r="R32" s="205">
        <f>+LIGNE!CP137+LIGNE!CQ137+LIGNE!CR137+LIGNE!CS137+LIGNE!CT137+LIGNE!CU137</f>
        <v>0</v>
      </c>
      <c r="S32" s="205">
        <f>+LIGNE!CV137+LIGNE!CW137+LIGNE!CX137+LIGNE!CY137+LIGNE!CZ137+LIGNE!DA137</f>
        <v>0</v>
      </c>
      <c r="T32" s="206" t="e">
        <f>+B32+C32+D32+E32+F32+G32+I32+K32+#REF!+M32+L32+P32+Q32+R32+S32</f>
        <v>#REF!</v>
      </c>
      <c r="U32" s="211">
        <f t="shared" si="0"/>
        <v>0</v>
      </c>
      <c r="V32" s="212">
        <f t="shared" si="1"/>
        <v>0</v>
      </c>
    </row>
    <row r="33" spans="1:22" ht="15.75" thickBot="1">
      <c r="A33" s="137">
        <v>29</v>
      </c>
      <c r="B33" s="185">
        <f>LIGNE!B138+LIGNE!C138+LIGNE!D138</f>
        <v>0</v>
      </c>
      <c r="C33" s="186">
        <f>LIGNE!G138+LIGNE!H138+LIGNE!I138+LIGNE!K138+LIGNE!J138</f>
        <v>0</v>
      </c>
      <c r="D33" s="185">
        <f>LIGNE!M138+LIGNE!N138+LIGNE!O138+LIGNE!R138</f>
        <v>0</v>
      </c>
      <c r="E33" s="187">
        <f>LIGNE!S138+LIGNE!T138+LIGNE!U138+LIGNE!W138+LIGNE!X138</f>
        <v>0</v>
      </c>
      <c r="F33" s="185">
        <f>LIGNE!Y138+LIGNE!Z138+LIGNE!AC138+LIGNE!AA138+LIGNE!AB138</f>
        <v>0</v>
      </c>
      <c r="G33" s="188">
        <f>LIGNE!AD138+LIGNE!AF138+LIGNE!AH138+LIGNE!AL138+LIGNE!AJ138</f>
        <v>0</v>
      </c>
      <c r="H33" s="189">
        <f>LIGNE!AE138+LIGNE!AG138+LIGNE!AI138+LIGNE!AM138+LIGNE!AK138</f>
        <v>0</v>
      </c>
      <c r="I33" s="202">
        <f>LIGNE!AN138+LIGNE!AP138+LIGNE!AR138+LIGNE!AT138</f>
        <v>0</v>
      </c>
      <c r="J33" s="203">
        <f>LIGNE!AO138+LIGNE!AQ138+LIGNE!AS138+LIGNE!AU138</f>
        <v>0</v>
      </c>
      <c r="K33" s="204">
        <f>LIGNE!AV138+LIGNE!AW138+LIGNE!AY138+LIGNE!AX138</f>
        <v>0</v>
      </c>
      <c r="L33" s="205">
        <f>LIGNE!AZ138+LIGNE!BA138+LIGNE!BB138+LIGNE!BC138+LIGNE!BD138+LIGNE!AVM138</f>
        <v>0</v>
      </c>
      <c r="M33" s="205">
        <f>LIGNE!BR138+LIGNE!BU138+LIGNE!BX138+LIGNE!CB138</f>
        <v>0</v>
      </c>
      <c r="N33" s="205">
        <f>LIGNE!BT138+LIGNE!BW138+LIGNE!BZ138+LIGNE!CC138</f>
        <v>0</v>
      </c>
      <c r="O33" s="189">
        <f>LIGNE!BH138+LIGNE!BK138+LIGNE!BN138+LIGNE!BQ138+LIGNE!BT138+LIGNE!BW138+LIGNE!BZ138+LIGNE!CC138</f>
        <v>0</v>
      </c>
      <c r="P33" s="205">
        <f>+LIGNE!CD138+LIGNE!CE138+LIGNE!CF138+LIGNE!CG138+LIGNE!CH138+LIGNE!CI138</f>
        <v>0</v>
      </c>
      <c r="Q33" s="205">
        <f>+LIGNE!CJ138+LIGNE!CK138+LIGNE!CL138+LIGNE!CM138+LIGNE!CN138+LIGNE!CO138</f>
        <v>0</v>
      </c>
      <c r="R33" s="205">
        <f>+LIGNE!CP138+LIGNE!CQ138+LIGNE!CR138+LIGNE!CS138+LIGNE!CT138+LIGNE!CU138</f>
        <v>0</v>
      </c>
      <c r="S33" s="205">
        <f>+LIGNE!CV138+LIGNE!CW138+LIGNE!CX138+LIGNE!CY138+LIGNE!CZ138+LIGNE!DA138</f>
        <v>0</v>
      </c>
      <c r="T33" s="206" t="e">
        <f>+B33+C33+D33+E33+F33+G33+I33+K33+#REF!+M33+L33+P33+Q33+R33+S33</f>
        <v>#REF!</v>
      </c>
      <c r="U33" s="211">
        <f t="shared" si="0"/>
        <v>0</v>
      </c>
      <c r="V33" s="212">
        <f t="shared" si="1"/>
        <v>0</v>
      </c>
    </row>
    <row r="34" spans="1:22" ht="15.75" thickBot="1">
      <c r="A34" s="137">
        <v>30</v>
      </c>
      <c r="B34" s="185">
        <f>LIGNE!B139+LIGNE!C139+LIGNE!D139</f>
        <v>0</v>
      </c>
      <c r="C34" s="186">
        <f>LIGNE!G139+LIGNE!H139+LIGNE!I139+LIGNE!K139+LIGNE!J139</f>
        <v>0</v>
      </c>
      <c r="D34" s="185">
        <f>LIGNE!M139+LIGNE!N139+LIGNE!O139+LIGNE!R139</f>
        <v>0</v>
      </c>
      <c r="E34" s="187">
        <f>LIGNE!S139+LIGNE!T139+LIGNE!U139+LIGNE!W139+LIGNE!X139</f>
        <v>0</v>
      </c>
      <c r="F34" s="185">
        <f>LIGNE!Y139+LIGNE!Z139+LIGNE!AC139+LIGNE!AA139+LIGNE!AB139</f>
        <v>0</v>
      </c>
      <c r="G34" s="188">
        <f>LIGNE!AD139+LIGNE!AF139+LIGNE!AH139+LIGNE!AL139+LIGNE!AJ139</f>
        <v>0</v>
      </c>
      <c r="H34" s="189">
        <f>LIGNE!AE139+LIGNE!AG139+LIGNE!AI139+LIGNE!AM139+LIGNE!AK139</f>
        <v>0</v>
      </c>
      <c r="I34" s="202">
        <f>LIGNE!AN139+LIGNE!AP139+LIGNE!AR139+LIGNE!AT139</f>
        <v>0</v>
      </c>
      <c r="J34" s="203">
        <f>LIGNE!AO139+LIGNE!AQ139+LIGNE!AS139+LIGNE!AU139</f>
        <v>0</v>
      </c>
      <c r="K34" s="204">
        <f>LIGNE!AV139+LIGNE!AW139+LIGNE!AY139+LIGNE!AX139</f>
        <v>0</v>
      </c>
      <c r="L34" s="205">
        <f>LIGNE!AZ139+LIGNE!BA139+LIGNE!BB139+LIGNE!BC139+LIGNE!BD139+LIGNE!AVM139</f>
        <v>0</v>
      </c>
      <c r="M34" s="205">
        <f>LIGNE!BR139+LIGNE!BU139+LIGNE!BX139+LIGNE!CB139</f>
        <v>0</v>
      </c>
      <c r="N34" s="205">
        <f>LIGNE!BT139+LIGNE!BW139+LIGNE!BZ139+LIGNE!CC139</f>
        <v>0</v>
      </c>
      <c r="O34" s="189">
        <f>LIGNE!BH139+LIGNE!BK139+LIGNE!BN139+LIGNE!BQ139+LIGNE!BT139+LIGNE!BW139+LIGNE!BZ139+LIGNE!CC139</f>
        <v>0</v>
      </c>
      <c r="P34" s="205">
        <f>+LIGNE!CD139+LIGNE!CE139+LIGNE!CF139+LIGNE!CG139+LIGNE!CH139+LIGNE!CI139</f>
        <v>0</v>
      </c>
      <c r="Q34" s="205">
        <f>+LIGNE!CJ139+LIGNE!CK139+LIGNE!CL139+LIGNE!CM139+LIGNE!CN139+LIGNE!CO139</f>
        <v>0</v>
      </c>
      <c r="R34" s="205">
        <f>+LIGNE!CP139+LIGNE!CQ139+LIGNE!CR139+LIGNE!CS139+LIGNE!CT139+LIGNE!CU139</f>
        <v>0</v>
      </c>
      <c r="S34" s="205">
        <f>+LIGNE!CV139+LIGNE!CW139+LIGNE!CX139+LIGNE!CY139+LIGNE!CZ139+LIGNE!DA139</f>
        <v>0</v>
      </c>
      <c r="T34" s="206" t="e">
        <f>+B34+C34+D34+E34+F34+G34+I34+K34+#REF!+M34+L34+P34+Q34+R34+S34</f>
        <v>#REF!</v>
      </c>
      <c r="U34" s="211">
        <f t="shared" si="0"/>
        <v>0</v>
      </c>
      <c r="V34" s="212">
        <f t="shared" si="1"/>
        <v>0</v>
      </c>
    </row>
    <row r="35" spans="1:22" ht="15.75" thickBot="1">
      <c r="A35" s="137">
        <v>31</v>
      </c>
      <c r="B35" s="185">
        <f>LIGNE!B140+LIGNE!C140+LIGNE!D140</f>
        <v>0</v>
      </c>
      <c r="C35" s="186">
        <f>LIGNE!G140+LIGNE!H140+LIGNE!I140+LIGNE!K140+LIGNE!J140</f>
        <v>0</v>
      </c>
      <c r="D35" s="185">
        <f>LIGNE!M140+LIGNE!N140+LIGNE!O140+LIGNE!R140</f>
        <v>0</v>
      </c>
      <c r="E35" s="187">
        <f>LIGNE!S140+LIGNE!T140+LIGNE!U140+LIGNE!W140+LIGNE!X140</f>
        <v>0</v>
      </c>
      <c r="F35" s="185">
        <f>LIGNE!Y140+LIGNE!Z140+LIGNE!AC140+LIGNE!AA140+LIGNE!AB140</f>
        <v>0</v>
      </c>
      <c r="G35" s="188">
        <f>LIGNE!AD140+LIGNE!AF140+LIGNE!AH140+LIGNE!AL140+LIGNE!AJ140</f>
        <v>0</v>
      </c>
      <c r="H35" s="189">
        <f>LIGNE!AE140+LIGNE!AG140+LIGNE!AI140+LIGNE!AM140+LIGNE!AK140</f>
        <v>0</v>
      </c>
      <c r="I35" s="202">
        <f>LIGNE!AN140+LIGNE!AP140+LIGNE!AR140+LIGNE!AT140</f>
        <v>0</v>
      </c>
      <c r="J35" s="203">
        <f>LIGNE!AO140+LIGNE!AQ140+LIGNE!AS140+LIGNE!AU140</f>
        <v>0</v>
      </c>
      <c r="K35" s="204">
        <f>LIGNE!AV140+LIGNE!AW140+LIGNE!AY140+LIGNE!AX140</f>
        <v>0</v>
      </c>
      <c r="L35" s="205">
        <f>LIGNE!AZ140+LIGNE!BA140+LIGNE!BB140+LIGNE!BC140+LIGNE!BD140+LIGNE!AVM140</f>
        <v>0</v>
      </c>
      <c r="M35" s="205">
        <f>LIGNE!BR140+LIGNE!BU140+LIGNE!BX140+LIGNE!CB140</f>
        <v>0</v>
      </c>
      <c r="N35" s="205">
        <f>LIGNE!BT140+LIGNE!BW140+LIGNE!BZ140+LIGNE!CC140</f>
        <v>0</v>
      </c>
      <c r="O35" s="189">
        <f>LIGNE!BH140+LIGNE!BK140+LIGNE!BN140+LIGNE!BQ140+LIGNE!BT140+LIGNE!BW140+LIGNE!BZ140+LIGNE!CC140</f>
        <v>0</v>
      </c>
      <c r="P35" s="205">
        <f>+LIGNE!CD140+LIGNE!CE140+LIGNE!CF140+LIGNE!CG140+LIGNE!CH140+LIGNE!CI140</f>
        <v>0</v>
      </c>
      <c r="Q35" s="205">
        <f>+LIGNE!CJ140+LIGNE!CK140+LIGNE!CL140+LIGNE!CM140+LIGNE!CN140+LIGNE!CO140</f>
        <v>0</v>
      </c>
      <c r="R35" s="205">
        <f>+LIGNE!CP140+LIGNE!CQ140+LIGNE!CR140+LIGNE!CS140+LIGNE!CT140+LIGNE!CU140</f>
        <v>0</v>
      </c>
      <c r="S35" s="205">
        <f>+LIGNE!CV140+LIGNE!CW140+LIGNE!CX140+LIGNE!CY140+LIGNE!CZ140+LIGNE!DA140</f>
        <v>0</v>
      </c>
      <c r="T35" s="206" t="e">
        <f>+B35+C35+D35+E35+F35+G35+I35+K35+#REF!+M35+L35+P35+Q35+R35+S35</f>
        <v>#REF!</v>
      </c>
      <c r="U35" s="211">
        <f t="shared" si="0"/>
        <v>0</v>
      </c>
      <c r="V35" s="212">
        <f t="shared" si="1"/>
        <v>0</v>
      </c>
    </row>
    <row r="36" spans="1:22" ht="15.75" thickBot="1">
      <c r="A36" s="154"/>
      <c r="B36" s="73">
        <f>SUM(B5:B35)</f>
        <v>0</v>
      </c>
      <c r="C36" s="73">
        <f>SUM(C5:C35)</f>
        <v>0</v>
      </c>
      <c r="D36" s="136">
        <f t="shared" ref="D36:N36" si="2">SUM(D5:D35)</f>
        <v>0</v>
      </c>
      <c r="E36" s="73">
        <f t="shared" si="2"/>
        <v>0</v>
      </c>
      <c r="F36" s="136">
        <f t="shared" si="2"/>
        <v>0</v>
      </c>
      <c r="G36" s="190">
        <f t="shared" si="2"/>
        <v>0</v>
      </c>
      <c r="H36" s="73">
        <f t="shared" si="2"/>
        <v>0</v>
      </c>
      <c r="I36" s="73">
        <f t="shared" si="2"/>
        <v>0</v>
      </c>
      <c r="J36" s="136">
        <f t="shared" si="2"/>
        <v>0</v>
      </c>
      <c r="K36" s="178">
        <f t="shared" si="2"/>
        <v>0</v>
      </c>
      <c r="L36" s="136">
        <f t="shared" ref="L36" si="3">SUM(L5:L35)</f>
        <v>0</v>
      </c>
      <c r="M36" s="136">
        <f t="shared" si="2"/>
        <v>0</v>
      </c>
      <c r="N36" s="136">
        <f t="shared" si="2"/>
        <v>0</v>
      </c>
      <c r="O36" s="73">
        <f t="shared" ref="O36" si="4">SUM(O5:O35)</f>
        <v>0</v>
      </c>
      <c r="P36" s="136">
        <f t="shared" ref="P36:U36" si="5">SUM(P5:P35)</f>
        <v>0</v>
      </c>
      <c r="Q36" s="136">
        <f t="shared" ref="Q36:R36" si="6">SUM(Q5:Q35)</f>
        <v>0</v>
      </c>
      <c r="R36" s="136">
        <f t="shared" si="6"/>
        <v>0</v>
      </c>
      <c r="S36" s="136">
        <f t="shared" ref="S36" si="7">SUM(S5:S35)</f>
        <v>0</v>
      </c>
      <c r="T36" s="190" t="e">
        <f t="shared" si="5"/>
        <v>#REF!</v>
      </c>
      <c r="U36" s="136">
        <f t="shared" si="5"/>
        <v>0</v>
      </c>
      <c r="V36" s="136">
        <f t="shared" ref="V36" si="8">SUM(V5:V35)</f>
        <v>0</v>
      </c>
    </row>
    <row r="37" spans="1:22" ht="15.75" thickBot="1">
      <c r="C37" s="191"/>
      <c r="D37" s="192"/>
      <c r="E37" s="192"/>
      <c r="F37" s="192"/>
      <c r="G37" s="192"/>
    </row>
    <row r="38" spans="1:22" ht="16.5" thickBot="1">
      <c r="A38" s="580" t="s">
        <v>92</v>
      </c>
      <c r="B38" s="177" t="s">
        <v>45</v>
      </c>
      <c r="C38" s="178" t="s">
        <v>46</v>
      </c>
      <c r="D38" s="136" t="s">
        <v>47</v>
      </c>
      <c r="E38" s="73" t="s">
        <v>48</v>
      </c>
      <c r="F38" s="136" t="s">
        <v>49</v>
      </c>
      <c r="G38" s="573" t="s">
        <v>50</v>
      </c>
      <c r="H38" s="574"/>
      <c r="I38" s="575" t="s">
        <v>51</v>
      </c>
      <c r="J38" s="576"/>
      <c r="K38" s="178" t="s">
        <v>89</v>
      </c>
      <c r="L38" s="136" t="s">
        <v>53</v>
      </c>
      <c r="M38" s="577" t="s">
        <v>90</v>
      </c>
      <c r="N38" s="578"/>
      <c r="O38" s="579"/>
      <c r="P38" s="136" t="s">
        <v>67</v>
      </c>
      <c r="Q38" s="136" t="s">
        <v>185</v>
      </c>
      <c r="R38" s="136" t="s">
        <v>186</v>
      </c>
      <c r="S38" s="136" t="s">
        <v>187</v>
      </c>
      <c r="T38" s="570" t="s">
        <v>93</v>
      </c>
      <c r="U38" s="571"/>
      <c r="V38" s="572"/>
    </row>
    <row r="39" spans="1:22" ht="15.75" thickBot="1">
      <c r="A39" s="582"/>
      <c r="B39" s="179" t="s">
        <v>39</v>
      </c>
      <c r="C39" s="180" t="s">
        <v>39</v>
      </c>
      <c r="D39" s="193" t="s">
        <v>39</v>
      </c>
      <c r="E39" s="184" t="s">
        <v>39</v>
      </c>
      <c r="F39" s="182" t="s">
        <v>39</v>
      </c>
      <c r="G39" s="183" t="s">
        <v>39</v>
      </c>
      <c r="H39" s="184" t="s">
        <v>41</v>
      </c>
      <c r="I39" s="196" t="s">
        <v>39</v>
      </c>
      <c r="J39" s="197" t="s">
        <v>40</v>
      </c>
      <c r="K39" s="198" t="s">
        <v>39</v>
      </c>
      <c r="L39" s="199" t="s">
        <v>39</v>
      </c>
      <c r="M39" s="200" t="s">
        <v>39</v>
      </c>
      <c r="N39" s="201" t="s">
        <v>40</v>
      </c>
      <c r="O39" s="184" t="s">
        <v>41</v>
      </c>
      <c r="P39" s="199" t="s">
        <v>39</v>
      </c>
      <c r="Q39" s="199" t="s">
        <v>39</v>
      </c>
      <c r="R39" s="199" t="s">
        <v>39</v>
      </c>
      <c r="S39" s="199" t="s">
        <v>39</v>
      </c>
      <c r="T39" s="112" t="s">
        <v>39</v>
      </c>
      <c r="U39" s="209" t="s">
        <v>40</v>
      </c>
      <c r="V39" s="210" t="s">
        <v>41</v>
      </c>
    </row>
    <row r="40" spans="1:22" ht="15.75" thickBot="1">
      <c r="A40" s="154">
        <v>1</v>
      </c>
      <c r="B40" s="194">
        <f>B5/20</f>
        <v>0</v>
      </c>
      <c r="C40" s="195">
        <f t="shared" ref="B40:G55" si="9">C5/20</f>
        <v>0</v>
      </c>
      <c r="D40" s="195">
        <f t="shared" si="9"/>
        <v>0</v>
      </c>
      <c r="E40" s="195">
        <f t="shared" si="9"/>
        <v>0</v>
      </c>
      <c r="F40" s="195">
        <f t="shared" si="9"/>
        <v>0</v>
      </c>
      <c r="G40" s="195">
        <f t="shared" si="9"/>
        <v>0</v>
      </c>
      <c r="H40" s="195">
        <f>H5/30</f>
        <v>0</v>
      </c>
      <c r="I40" s="195">
        <f>I5/20</f>
        <v>0</v>
      </c>
      <c r="J40" s="195">
        <f>J5/25</f>
        <v>0</v>
      </c>
      <c r="K40" s="195">
        <f>K5/20</f>
        <v>0</v>
      </c>
      <c r="L40" s="195">
        <f>L5/20</f>
        <v>0</v>
      </c>
      <c r="M40" s="207">
        <f>M5/20</f>
        <v>0</v>
      </c>
      <c r="N40" s="207">
        <f>N5/25</f>
        <v>0</v>
      </c>
      <c r="O40" s="195">
        <f>O5/30</f>
        <v>0</v>
      </c>
      <c r="P40" s="195">
        <f>P5/20</f>
        <v>0</v>
      </c>
      <c r="Q40" s="195">
        <f>Q5/20</f>
        <v>0</v>
      </c>
      <c r="R40" s="195">
        <f>R5/20</f>
        <v>0</v>
      </c>
      <c r="S40" s="195">
        <f>S5/20</f>
        <v>0</v>
      </c>
      <c r="T40" s="208" t="e">
        <f>+B40+C40+D40+F40+G40+I40+K40+#REF!+M40+L40+P40+Q40+R40+S40</f>
        <v>#REF!</v>
      </c>
      <c r="U40" s="208">
        <f>+J40+N40</f>
        <v>0</v>
      </c>
      <c r="V40" s="213">
        <f>+H40+O40</f>
        <v>0</v>
      </c>
    </row>
    <row r="41" spans="1:22" ht="15.75" thickBot="1">
      <c r="A41" s="154">
        <v>2</v>
      </c>
      <c r="B41" s="194">
        <f t="shared" si="9"/>
        <v>0</v>
      </c>
      <c r="C41" s="195">
        <f t="shared" si="9"/>
        <v>0</v>
      </c>
      <c r="D41" s="195">
        <f t="shared" si="9"/>
        <v>0</v>
      </c>
      <c r="E41" s="195">
        <f t="shared" si="9"/>
        <v>0</v>
      </c>
      <c r="F41" s="195">
        <f t="shared" si="9"/>
        <v>0</v>
      </c>
      <c r="G41" s="195">
        <f t="shared" si="9"/>
        <v>0</v>
      </c>
      <c r="H41" s="195">
        <f t="shared" ref="H41:H70" si="10">H6/30</f>
        <v>0</v>
      </c>
      <c r="I41" s="195">
        <f t="shared" ref="I41:I70" si="11">I6/20</f>
        <v>0</v>
      </c>
      <c r="J41" s="195">
        <f t="shared" ref="J41:J70" si="12">J6/25</f>
        <v>0</v>
      </c>
      <c r="K41" s="195">
        <f t="shared" ref="K41:M56" si="13">K6/20</f>
        <v>0</v>
      </c>
      <c r="L41" s="195">
        <f t="shared" ref="L41" si="14">L6/20</f>
        <v>0</v>
      </c>
      <c r="M41" s="207">
        <f t="shared" si="13"/>
        <v>0</v>
      </c>
      <c r="N41" s="207">
        <f t="shared" ref="N41:N70" si="15">N6/25</f>
        <v>0</v>
      </c>
      <c r="O41" s="195">
        <f t="shared" ref="O41:O70" si="16">O6/30</f>
        <v>0</v>
      </c>
      <c r="P41" s="195">
        <f t="shared" ref="P41:Q41" si="17">P6/20</f>
        <v>0</v>
      </c>
      <c r="Q41" s="195">
        <f t="shared" si="17"/>
        <v>0</v>
      </c>
      <c r="R41" s="195">
        <f t="shared" ref="R41:S41" si="18">R6/20</f>
        <v>0</v>
      </c>
      <c r="S41" s="195">
        <f t="shared" si="18"/>
        <v>0</v>
      </c>
      <c r="T41" s="208" t="e">
        <f>+B41+C41+D41+F41+G41+I41+K41+#REF!+M41+L41+P41+Q41+R41+S41</f>
        <v>#REF!</v>
      </c>
      <c r="U41" s="208">
        <f t="shared" ref="U41:U70" si="19">+J41+N41</f>
        <v>0</v>
      </c>
      <c r="V41" s="213">
        <f t="shared" ref="V41:V70" si="20">+H41+O41</f>
        <v>0</v>
      </c>
    </row>
    <row r="42" spans="1:22" ht="15.75" thickBot="1">
      <c r="A42" s="154">
        <v>3</v>
      </c>
      <c r="B42" s="194">
        <f t="shared" si="9"/>
        <v>0</v>
      </c>
      <c r="C42" s="195">
        <f t="shared" si="9"/>
        <v>0</v>
      </c>
      <c r="D42" s="195">
        <f t="shared" si="9"/>
        <v>0</v>
      </c>
      <c r="E42" s="195">
        <f t="shared" si="9"/>
        <v>0</v>
      </c>
      <c r="F42" s="195">
        <f t="shared" si="9"/>
        <v>0</v>
      </c>
      <c r="G42" s="195">
        <f t="shared" si="9"/>
        <v>0</v>
      </c>
      <c r="H42" s="195">
        <f t="shared" si="10"/>
        <v>0</v>
      </c>
      <c r="I42" s="195">
        <f t="shared" si="11"/>
        <v>0</v>
      </c>
      <c r="J42" s="195">
        <f t="shared" si="12"/>
        <v>0</v>
      </c>
      <c r="K42" s="195">
        <f t="shared" si="13"/>
        <v>0</v>
      </c>
      <c r="L42" s="195">
        <f t="shared" ref="L42" si="21">L7/20</f>
        <v>0</v>
      </c>
      <c r="M42" s="207">
        <f t="shared" si="13"/>
        <v>0</v>
      </c>
      <c r="N42" s="207">
        <f t="shared" si="15"/>
        <v>0</v>
      </c>
      <c r="O42" s="195">
        <f t="shared" si="16"/>
        <v>0</v>
      </c>
      <c r="P42" s="195">
        <f t="shared" ref="P42:Q42" si="22">P7/20</f>
        <v>0</v>
      </c>
      <c r="Q42" s="195">
        <f t="shared" si="22"/>
        <v>0</v>
      </c>
      <c r="R42" s="195">
        <f t="shared" ref="R42:S42" si="23">R7/20</f>
        <v>0</v>
      </c>
      <c r="S42" s="195">
        <f t="shared" si="23"/>
        <v>0</v>
      </c>
      <c r="T42" s="208" t="e">
        <f>+B42+C42+D42+F42+G42+I42+K42+#REF!+M42+L42+P42+Q42+R42+S42</f>
        <v>#REF!</v>
      </c>
      <c r="U42" s="208">
        <f t="shared" si="19"/>
        <v>0</v>
      </c>
      <c r="V42" s="213">
        <f t="shared" si="20"/>
        <v>0</v>
      </c>
    </row>
    <row r="43" spans="1:22" ht="15.75" thickBot="1">
      <c r="A43" s="154">
        <v>4</v>
      </c>
      <c r="B43" s="194">
        <f t="shared" si="9"/>
        <v>0</v>
      </c>
      <c r="C43" s="195">
        <f t="shared" si="9"/>
        <v>0</v>
      </c>
      <c r="D43" s="195">
        <f t="shared" si="9"/>
        <v>0</v>
      </c>
      <c r="E43" s="195">
        <f t="shared" si="9"/>
        <v>0</v>
      </c>
      <c r="F43" s="195">
        <f t="shared" si="9"/>
        <v>0</v>
      </c>
      <c r="G43" s="195">
        <f t="shared" si="9"/>
        <v>0</v>
      </c>
      <c r="H43" s="195">
        <f t="shared" si="10"/>
        <v>0</v>
      </c>
      <c r="I43" s="195">
        <f t="shared" si="11"/>
        <v>0</v>
      </c>
      <c r="J43" s="195">
        <f t="shared" si="12"/>
        <v>0</v>
      </c>
      <c r="K43" s="195">
        <f t="shared" si="13"/>
        <v>0</v>
      </c>
      <c r="L43" s="195">
        <f t="shared" ref="L43" si="24">L8/20</f>
        <v>0</v>
      </c>
      <c r="M43" s="207">
        <f t="shared" si="13"/>
        <v>0</v>
      </c>
      <c r="N43" s="207">
        <f t="shared" si="15"/>
        <v>0</v>
      </c>
      <c r="O43" s="195">
        <f t="shared" si="16"/>
        <v>0</v>
      </c>
      <c r="P43" s="195">
        <f t="shared" ref="P43:Q43" si="25">P8/20</f>
        <v>0</v>
      </c>
      <c r="Q43" s="195">
        <f t="shared" si="25"/>
        <v>0</v>
      </c>
      <c r="R43" s="195">
        <f t="shared" ref="R43:S43" si="26">R8/20</f>
        <v>0</v>
      </c>
      <c r="S43" s="195">
        <f t="shared" si="26"/>
        <v>0</v>
      </c>
      <c r="T43" s="208" t="e">
        <f>+B43+C43+D43+F43+G43+I43+K43+#REF!+M43+L43+P43+Q43+R43+S43</f>
        <v>#REF!</v>
      </c>
      <c r="U43" s="208">
        <f t="shared" si="19"/>
        <v>0</v>
      </c>
      <c r="V43" s="213">
        <f t="shared" si="20"/>
        <v>0</v>
      </c>
    </row>
    <row r="44" spans="1:22" ht="15.75" thickBot="1">
      <c r="A44" s="154">
        <v>5</v>
      </c>
      <c r="B44" s="194">
        <f t="shared" si="9"/>
        <v>0</v>
      </c>
      <c r="C44" s="195">
        <f t="shared" si="9"/>
        <v>0</v>
      </c>
      <c r="D44" s="195">
        <f t="shared" si="9"/>
        <v>0</v>
      </c>
      <c r="E44" s="195">
        <f t="shared" si="9"/>
        <v>0</v>
      </c>
      <c r="F44" s="195">
        <f t="shared" si="9"/>
        <v>0</v>
      </c>
      <c r="G44" s="195">
        <f t="shared" si="9"/>
        <v>0</v>
      </c>
      <c r="H44" s="195">
        <f t="shared" si="10"/>
        <v>0</v>
      </c>
      <c r="I44" s="195">
        <f t="shared" si="11"/>
        <v>0</v>
      </c>
      <c r="J44" s="195">
        <f t="shared" si="12"/>
        <v>0</v>
      </c>
      <c r="K44" s="195">
        <f t="shared" si="13"/>
        <v>0</v>
      </c>
      <c r="L44" s="195">
        <f t="shared" ref="L44" si="27">L9/20</f>
        <v>0</v>
      </c>
      <c r="M44" s="207">
        <f t="shared" si="13"/>
        <v>0</v>
      </c>
      <c r="N44" s="207">
        <f t="shared" si="15"/>
        <v>0</v>
      </c>
      <c r="O44" s="195">
        <f t="shared" si="16"/>
        <v>0</v>
      </c>
      <c r="P44" s="195">
        <f t="shared" ref="P44:Q44" si="28">P9/20</f>
        <v>0</v>
      </c>
      <c r="Q44" s="195">
        <f t="shared" si="28"/>
        <v>0</v>
      </c>
      <c r="R44" s="195">
        <f t="shared" ref="R44:S44" si="29">R9/20</f>
        <v>0</v>
      </c>
      <c r="S44" s="195">
        <f t="shared" si="29"/>
        <v>0</v>
      </c>
      <c r="T44" s="208" t="e">
        <f>+B44+C44+D44+F44+G44+I44+K44+#REF!+M44+L44+P44+Q44+R44+S44</f>
        <v>#REF!</v>
      </c>
      <c r="U44" s="208">
        <f t="shared" si="19"/>
        <v>0</v>
      </c>
      <c r="V44" s="213">
        <f t="shared" si="20"/>
        <v>0</v>
      </c>
    </row>
    <row r="45" spans="1:22" ht="15.75" thickBot="1">
      <c r="A45" s="154">
        <v>6</v>
      </c>
      <c r="B45" s="194">
        <f t="shared" si="9"/>
        <v>0</v>
      </c>
      <c r="C45" s="195">
        <f t="shared" si="9"/>
        <v>0</v>
      </c>
      <c r="D45" s="195">
        <f t="shared" si="9"/>
        <v>0</v>
      </c>
      <c r="E45" s="195">
        <f t="shared" si="9"/>
        <v>0</v>
      </c>
      <c r="F45" s="195">
        <f t="shared" si="9"/>
        <v>0</v>
      </c>
      <c r="G45" s="195">
        <f t="shared" si="9"/>
        <v>0</v>
      </c>
      <c r="H45" s="195">
        <f t="shared" si="10"/>
        <v>0</v>
      </c>
      <c r="I45" s="195">
        <f t="shared" si="11"/>
        <v>0</v>
      </c>
      <c r="J45" s="195">
        <f t="shared" si="12"/>
        <v>0</v>
      </c>
      <c r="K45" s="195">
        <f t="shared" si="13"/>
        <v>0</v>
      </c>
      <c r="L45" s="195">
        <f t="shared" ref="L45" si="30">L10/20</f>
        <v>0</v>
      </c>
      <c r="M45" s="207">
        <f t="shared" si="13"/>
        <v>0</v>
      </c>
      <c r="N45" s="207">
        <f t="shared" si="15"/>
        <v>0</v>
      </c>
      <c r="O45" s="195">
        <f t="shared" si="16"/>
        <v>0</v>
      </c>
      <c r="P45" s="195">
        <f t="shared" ref="P45:Q45" si="31">P10/20</f>
        <v>0</v>
      </c>
      <c r="Q45" s="195">
        <f t="shared" si="31"/>
        <v>0</v>
      </c>
      <c r="R45" s="195">
        <f t="shared" ref="R45:S45" si="32">R10/20</f>
        <v>0</v>
      </c>
      <c r="S45" s="195">
        <f t="shared" si="32"/>
        <v>0</v>
      </c>
      <c r="T45" s="208" t="e">
        <f>+B45+C45+D45+F45+G45+I45+K45+#REF!+M45+L45+P45+Q45+R45+S45</f>
        <v>#REF!</v>
      </c>
      <c r="U45" s="208">
        <f t="shared" si="19"/>
        <v>0</v>
      </c>
      <c r="V45" s="213">
        <f t="shared" si="20"/>
        <v>0</v>
      </c>
    </row>
    <row r="46" spans="1:22" ht="15.75" thickBot="1">
      <c r="A46" s="154">
        <v>7</v>
      </c>
      <c r="B46" s="194">
        <f t="shared" si="9"/>
        <v>0</v>
      </c>
      <c r="C46" s="195">
        <f t="shared" si="9"/>
        <v>0</v>
      </c>
      <c r="D46" s="195">
        <f t="shared" si="9"/>
        <v>0</v>
      </c>
      <c r="E46" s="195">
        <f t="shared" si="9"/>
        <v>0</v>
      </c>
      <c r="F46" s="195">
        <f t="shared" si="9"/>
        <v>0</v>
      </c>
      <c r="G46" s="195">
        <f t="shared" si="9"/>
        <v>0</v>
      </c>
      <c r="H46" s="195">
        <f t="shared" si="10"/>
        <v>0</v>
      </c>
      <c r="I46" s="195">
        <f t="shared" si="11"/>
        <v>0</v>
      </c>
      <c r="J46" s="195">
        <f t="shared" si="12"/>
        <v>0</v>
      </c>
      <c r="K46" s="195">
        <f t="shared" si="13"/>
        <v>0</v>
      </c>
      <c r="L46" s="195">
        <f t="shared" ref="L46" si="33">L11/20</f>
        <v>0</v>
      </c>
      <c r="M46" s="207">
        <f t="shared" si="13"/>
        <v>0</v>
      </c>
      <c r="N46" s="207">
        <f t="shared" si="15"/>
        <v>0</v>
      </c>
      <c r="O46" s="195">
        <f t="shared" si="16"/>
        <v>0</v>
      </c>
      <c r="P46" s="195">
        <f t="shared" ref="P46:Q46" si="34">P11/20</f>
        <v>0</v>
      </c>
      <c r="Q46" s="195">
        <f t="shared" si="34"/>
        <v>0</v>
      </c>
      <c r="R46" s="195">
        <f t="shared" ref="R46:S46" si="35">R11/20</f>
        <v>0</v>
      </c>
      <c r="S46" s="195">
        <f t="shared" si="35"/>
        <v>0</v>
      </c>
      <c r="T46" s="208" t="e">
        <f>+B46+C46+D46+F46+G46+I46+K46+#REF!+M46+L46+P46+Q46+R46+S46</f>
        <v>#REF!</v>
      </c>
      <c r="U46" s="208">
        <f t="shared" si="19"/>
        <v>0</v>
      </c>
      <c r="V46" s="213">
        <f t="shared" si="20"/>
        <v>0</v>
      </c>
    </row>
    <row r="47" spans="1:22" ht="15.75" thickBot="1">
      <c r="A47" s="154">
        <v>8</v>
      </c>
      <c r="B47" s="194">
        <f t="shared" si="9"/>
        <v>0</v>
      </c>
      <c r="C47" s="195">
        <f t="shared" si="9"/>
        <v>0</v>
      </c>
      <c r="D47" s="195">
        <f t="shared" si="9"/>
        <v>0</v>
      </c>
      <c r="E47" s="195">
        <f t="shared" si="9"/>
        <v>0</v>
      </c>
      <c r="F47" s="195">
        <f t="shared" si="9"/>
        <v>0</v>
      </c>
      <c r="G47" s="195">
        <f t="shared" si="9"/>
        <v>0</v>
      </c>
      <c r="H47" s="195">
        <f t="shared" si="10"/>
        <v>0</v>
      </c>
      <c r="I47" s="195">
        <f t="shared" si="11"/>
        <v>0</v>
      </c>
      <c r="J47" s="195">
        <f t="shared" si="12"/>
        <v>0</v>
      </c>
      <c r="K47" s="195">
        <f t="shared" si="13"/>
        <v>0</v>
      </c>
      <c r="L47" s="195">
        <f t="shared" ref="L47" si="36">L12/20</f>
        <v>0</v>
      </c>
      <c r="M47" s="207">
        <f t="shared" si="13"/>
        <v>0</v>
      </c>
      <c r="N47" s="207">
        <f t="shared" si="15"/>
        <v>0</v>
      </c>
      <c r="O47" s="195">
        <f t="shared" si="16"/>
        <v>0</v>
      </c>
      <c r="P47" s="195">
        <f t="shared" ref="P47:Q47" si="37">P12/20</f>
        <v>0</v>
      </c>
      <c r="Q47" s="195">
        <f t="shared" si="37"/>
        <v>0</v>
      </c>
      <c r="R47" s="195">
        <f t="shared" ref="R47:S47" si="38">R12/20</f>
        <v>0</v>
      </c>
      <c r="S47" s="195">
        <f t="shared" si="38"/>
        <v>0</v>
      </c>
      <c r="T47" s="208" t="e">
        <f>+B47+C47+D47+F47+G47+I47+K47+#REF!+M47+L47+P47+Q47+R47+S47</f>
        <v>#REF!</v>
      </c>
      <c r="U47" s="208">
        <f t="shared" si="19"/>
        <v>0</v>
      </c>
      <c r="V47" s="213">
        <f t="shared" si="20"/>
        <v>0</v>
      </c>
    </row>
    <row r="48" spans="1:22" ht="15.75" thickBot="1">
      <c r="A48" s="154">
        <v>9</v>
      </c>
      <c r="B48" s="194">
        <f t="shared" si="9"/>
        <v>0</v>
      </c>
      <c r="C48" s="195">
        <f t="shared" si="9"/>
        <v>0</v>
      </c>
      <c r="D48" s="195">
        <f t="shared" si="9"/>
        <v>0</v>
      </c>
      <c r="E48" s="195">
        <f t="shared" si="9"/>
        <v>0</v>
      </c>
      <c r="F48" s="195">
        <f t="shared" si="9"/>
        <v>0</v>
      </c>
      <c r="G48" s="195">
        <f t="shared" si="9"/>
        <v>0</v>
      </c>
      <c r="H48" s="195">
        <f t="shared" si="10"/>
        <v>0</v>
      </c>
      <c r="I48" s="195">
        <f t="shared" si="11"/>
        <v>0</v>
      </c>
      <c r="J48" s="195">
        <f t="shared" si="12"/>
        <v>0</v>
      </c>
      <c r="K48" s="195">
        <f t="shared" si="13"/>
        <v>0</v>
      </c>
      <c r="L48" s="195">
        <f t="shared" ref="L48" si="39">L13/20</f>
        <v>0</v>
      </c>
      <c r="M48" s="207">
        <f t="shared" si="13"/>
        <v>0</v>
      </c>
      <c r="N48" s="207">
        <f t="shared" si="15"/>
        <v>0</v>
      </c>
      <c r="O48" s="195">
        <f t="shared" si="16"/>
        <v>0</v>
      </c>
      <c r="P48" s="195">
        <f t="shared" ref="P48:Q48" si="40">P13/20</f>
        <v>0</v>
      </c>
      <c r="Q48" s="195">
        <f t="shared" si="40"/>
        <v>0</v>
      </c>
      <c r="R48" s="195">
        <f t="shared" ref="R48:S48" si="41">R13/20</f>
        <v>0</v>
      </c>
      <c r="S48" s="195">
        <f t="shared" si="41"/>
        <v>0</v>
      </c>
      <c r="T48" s="208" t="e">
        <f>+B48+C48+D48+F48+G48+I48+K48+#REF!+M48+L48+P48+Q48+R48+S48</f>
        <v>#REF!</v>
      </c>
      <c r="U48" s="208">
        <f t="shared" si="19"/>
        <v>0</v>
      </c>
      <c r="V48" s="213">
        <f t="shared" si="20"/>
        <v>0</v>
      </c>
    </row>
    <row r="49" spans="1:22" ht="15.75" thickBot="1">
      <c r="A49" s="154">
        <v>10</v>
      </c>
      <c r="B49" s="194">
        <f t="shared" si="9"/>
        <v>0</v>
      </c>
      <c r="C49" s="195">
        <f t="shared" si="9"/>
        <v>0</v>
      </c>
      <c r="D49" s="195">
        <f t="shared" si="9"/>
        <v>0</v>
      </c>
      <c r="E49" s="195">
        <f t="shared" si="9"/>
        <v>0</v>
      </c>
      <c r="F49" s="195">
        <f t="shared" si="9"/>
        <v>0</v>
      </c>
      <c r="G49" s="195">
        <f t="shared" si="9"/>
        <v>0</v>
      </c>
      <c r="H49" s="195">
        <f t="shared" si="10"/>
        <v>0</v>
      </c>
      <c r="I49" s="195">
        <f t="shared" si="11"/>
        <v>0</v>
      </c>
      <c r="J49" s="195">
        <f t="shared" si="12"/>
        <v>0</v>
      </c>
      <c r="K49" s="195">
        <f t="shared" si="13"/>
        <v>0</v>
      </c>
      <c r="L49" s="195">
        <f t="shared" ref="L49" si="42">L14/20</f>
        <v>0</v>
      </c>
      <c r="M49" s="207">
        <f t="shared" si="13"/>
        <v>0</v>
      </c>
      <c r="N49" s="207">
        <f t="shared" si="15"/>
        <v>0</v>
      </c>
      <c r="O49" s="195">
        <f t="shared" si="16"/>
        <v>0</v>
      </c>
      <c r="P49" s="195">
        <f t="shared" ref="P49:Q49" si="43">P14/20</f>
        <v>0</v>
      </c>
      <c r="Q49" s="195">
        <f t="shared" si="43"/>
        <v>0</v>
      </c>
      <c r="R49" s="195">
        <f t="shared" ref="R49:S49" si="44">R14/20</f>
        <v>0</v>
      </c>
      <c r="S49" s="195">
        <f t="shared" si="44"/>
        <v>0</v>
      </c>
      <c r="T49" s="208" t="e">
        <f>+B49+C49+D49+F49+G49+I49+K49+#REF!+M49+L49+P49+Q49+R49+S49</f>
        <v>#REF!</v>
      </c>
      <c r="U49" s="208">
        <f t="shared" si="19"/>
        <v>0</v>
      </c>
      <c r="V49" s="213">
        <f t="shared" si="20"/>
        <v>0</v>
      </c>
    </row>
    <row r="50" spans="1:22" ht="15.75" thickBot="1">
      <c r="A50" s="154">
        <v>11</v>
      </c>
      <c r="B50" s="194">
        <f t="shared" si="9"/>
        <v>0</v>
      </c>
      <c r="C50" s="195">
        <f t="shared" si="9"/>
        <v>0</v>
      </c>
      <c r="D50" s="195">
        <f t="shared" si="9"/>
        <v>0</v>
      </c>
      <c r="E50" s="195">
        <f t="shared" si="9"/>
        <v>0</v>
      </c>
      <c r="F50" s="195">
        <f t="shared" si="9"/>
        <v>0</v>
      </c>
      <c r="G50" s="195">
        <f t="shared" si="9"/>
        <v>0</v>
      </c>
      <c r="H50" s="195">
        <f t="shared" si="10"/>
        <v>0</v>
      </c>
      <c r="I50" s="195">
        <f t="shared" si="11"/>
        <v>0</v>
      </c>
      <c r="J50" s="195">
        <f t="shared" si="12"/>
        <v>0</v>
      </c>
      <c r="K50" s="195">
        <f t="shared" si="13"/>
        <v>0</v>
      </c>
      <c r="L50" s="195">
        <f t="shared" ref="L50" si="45">L15/20</f>
        <v>0</v>
      </c>
      <c r="M50" s="207">
        <f t="shared" si="13"/>
        <v>0</v>
      </c>
      <c r="N50" s="207">
        <f t="shared" si="15"/>
        <v>0</v>
      </c>
      <c r="O50" s="195">
        <f t="shared" si="16"/>
        <v>0</v>
      </c>
      <c r="P50" s="195">
        <f t="shared" ref="P50:Q50" si="46">P15/20</f>
        <v>0</v>
      </c>
      <c r="Q50" s="195">
        <f t="shared" si="46"/>
        <v>0</v>
      </c>
      <c r="R50" s="195">
        <f t="shared" ref="R50:S50" si="47">R15/20</f>
        <v>0</v>
      </c>
      <c r="S50" s="195">
        <f t="shared" si="47"/>
        <v>0</v>
      </c>
      <c r="T50" s="208" t="e">
        <f>+B50+C50+D50+F50+G50+I50+K50+#REF!+M50+L50+P50+Q50+R50+S50</f>
        <v>#REF!</v>
      </c>
      <c r="U50" s="208">
        <f t="shared" si="19"/>
        <v>0</v>
      </c>
      <c r="V50" s="213">
        <f t="shared" si="20"/>
        <v>0</v>
      </c>
    </row>
    <row r="51" spans="1:22" ht="15.75" thickBot="1">
      <c r="A51" s="154">
        <v>12</v>
      </c>
      <c r="B51" s="194">
        <f t="shared" si="9"/>
        <v>0</v>
      </c>
      <c r="C51" s="195">
        <f t="shared" si="9"/>
        <v>0</v>
      </c>
      <c r="D51" s="195">
        <f t="shared" si="9"/>
        <v>0</v>
      </c>
      <c r="E51" s="195">
        <f t="shared" si="9"/>
        <v>0</v>
      </c>
      <c r="F51" s="195">
        <f t="shared" si="9"/>
        <v>0</v>
      </c>
      <c r="G51" s="195">
        <f t="shared" si="9"/>
        <v>0</v>
      </c>
      <c r="H51" s="195">
        <f t="shared" si="10"/>
        <v>0</v>
      </c>
      <c r="I51" s="195">
        <f t="shared" si="11"/>
        <v>0</v>
      </c>
      <c r="J51" s="195">
        <f t="shared" si="12"/>
        <v>0</v>
      </c>
      <c r="K51" s="195">
        <f t="shared" si="13"/>
        <v>0</v>
      </c>
      <c r="L51" s="195">
        <f t="shared" ref="L51" si="48">L16/20</f>
        <v>0</v>
      </c>
      <c r="M51" s="207">
        <f t="shared" si="13"/>
        <v>0</v>
      </c>
      <c r="N51" s="207">
        <f t="shared" si="15"/>
        <v>0</v>
      </c>
      <c r="O51" s="195">
        <f t="shared" si="16"/>
        <v>0</v>
      </c>
      <c r="P51" s="195">
        <f t="shared" ref="P51:Q51" si="49">P16/20</f>
        <v>0</v>
      </c>
      <c r="Q51" s="195">
        <f t="shared" si="49"/>
        <v>0</v>
      </c>
      <c r="R51" s="195">
        <f t="shared" ref="R51:S51" si="50">R16/20</f>
        <v>0</v>
      </c>
      <c r="S51" s="195">
        <f t="shared" si="50"/>
        <v>0</v>
      </c>
      <c r="T51" s="208" t="e">
        <f>+B51+C51+D51+F51+G51+I51+K51+#REF!+M51+L51+P51+Q51+R51+S51</f>
        <v>#REF!</v>
      </c>
      <c r="U51" s="208">
        <f t="shared" si="19"/>
        <v>0</v>
      </c>
      <c r="V51" s="213">
        <f t="shared" si="20"/>
        <v>0</v>
      </c>
    </row>
    <row r="52" spans="1:22" ht="15.75" thickBot="1">
      <c r="A52" s="154">
        <v>13</v>
      </c>
      <c r="B52" s="194">
        <f t="shared" si="9"/>
        <v>0</v>
      </c>
      <c r="C52" s="195">
        <f t="shared" si="9"/>
        <v>0</v>
      </c>
      <c r="D52" s="195">
        <f t="shared" si="9"/>
        <v>0</v>
      </c>
      <c r="E52" s="195">
        <f t="shared" si="9"/>
        <v>0</v>
      </c>
      <c r="F52" s="195">
        <f t="shared" si="9"/>
        <v>0</v>
      </c>
      <c r="G52" s="195">
        <f t="shared" si="9"/>
        <v>0</v>
      </c>
      <c r="H52" s="195">
        <f t="shared" si="10"/>
        <v>0</v>
      </c>
      <c r="I52" s="195">
        <f t="shared" si="11"/>
        <v>0</v>
      </c>
      <c r="J52" s="195">
        <f t="shared" si="12"/>
        <v>0</v>
      </c>
      <c r="K52" s="195">
        <f t="shared" si="13"/>
        <v>0</v>
      </c>
      <c r="L52" s="195">
        <f t="shared" ref="L52" si="51">L17/20</f>
        <v>0</v>
      </c>
      <c r="M52" s="207">
        <f t="shared" si="13"/>
        <v>0</v>
      </c>
      <c r="N52" s="207">
        <f t="shared" si="15"/>
        <v>0</v>
      </c>
      <c r="O52" s="195">
        <f t="shared" si="16"/>
        <v>0</v>
      </c>
      <c r="P52" s="195">
        <f t="shared" ref="P52:Q52" si="52">P17/20</f>
        <v>0</v>
      </c>
      <c r="Q52" s="195">
        <f t="shared" si="52"/>
        <v>0</v>
      </c>
      <c r="R52" s="195">
        <f t="shared" ref="R52:S52" si="53">R17/20</f>
        <v>0</v>
      </c>
      <c r="S52" s="195">
        <f t="shared" si="53"/>
        <v>0</v>
      </c>
      <c r="T52" s="208" t="e">
        <f>+B52+C52+D52+F52+G52+I52+K52+#REF!+M52+L52+P52+Q52+R52+S52</f>
        <v>#REF!</v>
      </c>
      <c r="U52" s="208">
        <f t="shared" si="19"/>
        <v>0</v>
      </c>
      <c r="V52" s="213">
        <f t="shared" si="20"/>
        <v>0</v>
      </c>
    </row>
    <row r="53" spans="1:22" ht="15.75" thickBot="1">
      <c r="A53" s="154">
        <v>14</v>
      </c>
      <c r="B53" s="194">
        <f t="shared" si="9"/>
        <v>0</v>
      </c>
      <c r="C53" s="195">
        <f t="shared" si="9"/>
        <v>0</v>
      </c>
      <c r="D53" s="195">
        <f t="shared" si="9"/>
        <v>0</v>
      </c>
      <c r="E53" s="195">
        <f t="shared" si="9"/>
        <v>0</v>
      </c>
      <c r="F53" s="195">
        <f t="shared" si="9"/>
        <v>0</v>
      </c>
      <c r="G53" s="195">
        <f t="shared" si="9"/>
        <v>0</v>
      </c>
      <c r="H53" s="195">
        <f t="shared" si="10"/>
        <v>0</v>
      </c>
      <c r="I53" s="195">
        <f t="shared" si="11"/>
        <v>0</v>
      </c>
      <c r="J53" s="195">
        <f t="shared" si="12"/>
        <v>0</v>
      </c>
      <c r="K53" s="195">
        <f t="shared" si="13"/>
        <v>0</v>
      </c>
      <c r="L53" s="195">
        <f t="shared" ref="L53" si="54">L18/20</f>
        <v>0</v>
      </c>
      <c r="M53" s="207">
        <f t="shared" si="13"/>
        <v>0</v>
      </c>
      <c r="N53" s="207">
        <f t="shared" si="15"/>
        <v>0</v>
      </c>
      <c r="O53" s="195">
        <f t="shared" si="16"/>
        <v>0</v>
      </c>
      <c r="P53" s="195">
        <f t="shared" ref="P53:Q53" si="55">P18/20</f>
        <v>0</v>
      </c>
      <c r="Q53" s="195">
        <f t="shared" si="55"/>
        <v>0</v>
      </c>
      <c r="R53" s="195">
        <f t="shared" ref="R53:S53" si="56">R18/20</f>
        <v>0</v>
      </c>
      <c r="S53" s="195">
        <f t="shared" si="56"/>
        <v>0</v>
      </c>
      <c r="T53" s="208" t="e">
        <f>+B53+C53+D53+F53+G53+I53+K53+#REF!+M53+L53+P53+Q53+R53+S53</f>
        <v>#REF!</v>
      </c>
      <c r="U53" s="208">
        <f t="shared" si="19"/>
        <v>0</v>
      </c>
      <c r="V53" s="213">
        <f t="shared" si="20"/>
        <v>0</v>
      </c>
    </row>
    <row r="54" spans="1:22" ht="15.75" thickBot="1">
      <c r="A54" s="154">
        <v>15</v>
      </c>
      <c r="B54" s="194">
        <f t="shared" si="9"/>
        <v>0</v>
      </c>
      <c r="C54" s="195">
        <f t="shared" si="9"/>
        <v>0</v>
      </c>
      <c r="D54" s="195">
        <f t="shared" si="9"/>
        <v>0</v>
      </c>
      <c r="E54" s="195">
        <f t="shared" si="9"/>
        <v>0</v>
      </c>
      <c r="F54" s="195">
        <f t="shared" si="9"/>
        <v>0</v>
      </c>
      <c r="G54" s="195">
        <f t="shared" si="9"/>
        <v>0</v>
      </c>
      <c r="H54" s="195">
        <f t="shared" si="10"/>
        <v>0</v>
      </c>
      <c r="I54" s="195">
        <f t="shared" si="11"/>
        <v>0</v>
      </c>
      <c r="J54" s="195">
        <f t="shared" si="12"/>
        <v>0</v>
      </c>
      <c r="K54" s="195">
        <f t="shared" si="13"/>
        <v>0</v>
      </c>
      <c r="L54" s="195">
        <f t="shared" ref="L54" si="57">L19/20</f>
        <v>0</v>
      </c>
      <c r="M54" s="207">
        <f t="shared" si="13"/>
        <v>0</v>
      </c>
      <c r="N54" s="207">
        <f t="shared" si="15"/>
        <v>0</v>
      </c>
      <c r="O54" s="195">
        <f t="shared" si="16"/>
        <v>0</v>
      </c>
      <c r="P54" s="195">
        <f t="shared" ref="P54:Q54" si="58">P19/20</f>
        <v>0</v>
      </c>
      <c r="Q54" s="195">
        <f t="shared" si="58"/>
        <v>0</v>
      </c>
      <c r="R54" s="195">
        <f t="shared" ref="R54:S54" si="59">R19/20</f>
        <v>0</v>
      </c>
      <c r="S54" s="195">
        <f t="shared" si="59"/>
        <v>0</v>
      </c>
      <c r="T54" s="208" t="e">
        <f>+B54+C54+D54+F54+G54+I54+K54+#REF!+M54+L54+P54+Q54+R54+S54</f>
        <v>#REF!</v>
      </c>
      <c r="U54" s="208">
        <f t="shared" si="19"/>
        <v>0</v>
      </c>
      <c r="V54" s="213">
        <f t="shared" si="20"/>
        <v>0</v>
      </c>
    </row>
    <row r="55" spans="1:22" ht="15.75" thickBot="1">
      <c r="A55" s="154">
        <v>16</v>
      </c>
      <c r="B55" s="194">
        <f t="shared" si="9"/>
        <v>0</v>
      </c>
      <c r="C55" s="195">
        <f t="shared" si="9"/>
        <v>0</v>
      </c>
      <c r="D55" s="195">
        <f t="shared" si="9"/>
        <v>0</v>
      </c>
      <c r="E55" s="195">
        <f t="shared" si="9"/>
        <v>0</v>
      </c>
      <c r="F55" s="195">
        <f t="shared" si="9"/>
        <v>0</v>
      </c>
      <c r="G55" s="195">
        <f t="shared" si="9"/>
        <v>0</v>
      </c>
      <c r="H55" s="195">
        <f t="shared" si="10"/>
        <v>0</v>
      </c>
      <c r="I55" s="195">
        <f t="shared" si="11"/>
        <v>0</v>
      </c>
      <c r="J55" s="195">
        <f t="shared" si="12"/>
        <v>0</v>
      </c>
      <c r="K55" s="195">
        <f t="shared" si="13"/>
        <v>0</v>
      </c>
      <c r="L55" s="195">
        <f t="shared" ref="L55" si="60">L20/20</f>
        <v>0</v>
      </c>
      <c r="M55" s="207">
        <f t="shared" si="13"/>
        <v>0</v>
      </c>
      <c r="N55" s="207">
        <f t="shared" si="15"/>
        <v>0</v>
      </c>
      <c r="O55" s="195">
        <f t="shared" si="16"/>
        <v>0</v>
      </c>
      <c r="P55" s="195">
        <f t="shared" ref="P55:Q55" si="61">P20/20</f>
        <v>0</v>
      </c>
      <c r="Q55" s="195">
        <f t="shared" si="61"/>
        <v>0</v>
      </c>
      <c r="R55" s="195">
        <f t="shared" ref="R55:S55" si="62">R20/20</f>
        <v>0</v>
      </c>
      <c r="S55" s="195">
        <f t="shared" si="62"/>
        <v>0</v>
      </c>
      <c r="T55" s="208" t="e">
        <f>+B55+C55+D55+F55+G55+I55+K55+#REF!+M55+L55+P55+Q55+R55+S55</f>
        <v>#REF!</v>
      </c>
      <c r="U55" s="208">
        <f t="shared" si="19"/>
        <v>0</v>
      </c>
      <c r="V55" s="213">
        <f t="shared" si="20"/>
        <v>0</v>
      </c>
    </row>
    <row r="56" spans="1:22" ht="15.75" thickBot="1">
      <c r="A56" s="154">
        <v>17</v>
      </c>
      <c r="B56" s="194">
        <f t="shared" ref="B56:G70" si="63">B21/20</f>
        <v>0</v>
      </c>
      <c r="C56" s="195">
        <f t="shared" si="63"/>
        <v>0</v>
      </c>
      <c r="D56" s="195">
        <f t="shared" si="63"/>
        <v>0</v>
      </c>
      <c r="E56" s="195">
        <f t="shared" si="63"/>
        <v>0</v>
      </c>
      <c r="F56" s="195">
        <f t="shared" si="63"/>
        <v>0</v>
      </c>
      <c r="G56" s="195">
        <f t="shared" si="63"/>
        <v>0</v>
      </c>
      <c r="H56" s="195">
        <f t="shared" si="10"/>
        <v>0</v>
      </c>
      <c r="I56" s="195">
        <f t="shared" si="11"/>
        <v>0</v>
      </c>
      <c r="J56" s="195">
        <f t="shared" si="12"/>
        <v>0</v>
      </c>
      <c r="K56" s="195">
        <f t="shared" si="13"/>
        <v>0</v>
      </c>
      <c r="L56" s="195">
        <f t="shared" ref="L56" si="64">L21/20</f>
        <v>0</v>
      </c>
      <c r="M56" s="207">
        <f t="shared" si="13"/>
        <v>0</v>
      </c>
      <c r="N56" s="207">
        <f t="shared" si="15"/>
        <v>0</v>
      </c>
      <c r="O56" s="195">
        <f t="shared" si="16"/>
        <v>0</v>
      </c>
      <c r="P56" s="195">
        <f t="shared" ref="P56:Q56" si="65">P21/20</f>
        <v>0</v>
      </c>
      <c r="Q56" s="195">
        <f t="shared" si="65"/>
        <v>0</v>
      </c>
      <c r="R56" s="195">
        <f t="shared" ref="R56:S56" si="66">R21/20</f>
        <v>0</v>
      </c>
      <c r="S56" s="195">
        <f t="shared" si="66"/>
        <v>0</v>
      </c>
      <c r="T56" s="208" t="e">
        <f>+B56+C56+D56+F56+G56+I56+K56+#REF!+M56+L56+P56+Q56+R56+S56</f>
        <v>#REF!</v>
      </c>
      <c r="U56" s="208">
        <f t="shared" si="19"/>
        <v>0</v>
      </c>
      <c r="V56" s="213">
        <f t="shared" si="20"/>
        <v>0</v>
      </c>
    </row>
    <row r="57" spans="1:22" ht="15.75" thickBot="1">
      <c r="A57" s="154">
        <v>18</v>
      </c>
      <c r="B57" s="194">
        <f t="shared" si="63"/>
        <v>0</v>
      </c>
      <c r="C57" s="195">
        <f t="shared" si="63"/>
        <v>0</v>
      </c>
      <c r="D57" s="195">
        <f t="shared" si="63"/>
        <v>0</v>
      </c>
      <c r="E57" s="195">
        <f t="shared" si="63"/>
        <v>0</v>
      </c>
      <c r="F57" s="195">
        <f t="shared" si="63"/>
        <v>0</v>
      </c>
      <c r="G57" s="195">
        <f t="shared" si="63"/>
        <v>0</v>
      </c>
      <c r="H57" s="195">
        <f t="shared" si="10"/>
        <v>0</v>
      </c>
      <c r="I57" s="195">
        <f t="shared" si="11"/>
        <v>0</v>
      </c>
      <c r="J57" s="195">
        <f t="shared" si="12"/>
        <v>0</v>
      </c>
      <c r="K57" s="195">
        <f t="shared" ref="K57:M70" si="67">K22/20</f>
        <v>0</v>
      </c>
      <c r="L57" s="195">
        <f t="shared" ref="L57" si="68">L22/20</f>
        <v>0</v>
      </c>
      <c r="M57" s="207">
        <f t="shared" si="67"/>
        <v>0</v>
      </c>
      <c r="N57" s="207">
        <f t="shared" si="15"/>
        <v>0</v>
      </c>
      <c r="O57" s="195">
        <f t="shared" si="16"/>
        <v>0</v>
      </c>
      <c r="P57" s="195">
        <f t="shared" ref="P57:Q57" si="69">P22/20</f>
        <v>0</v>
      </c>
      <c r="Q57" s="195">
        <f t="shared" si="69"/>
        <v>0</v>
      </c>
      <c r="R57" s="195">
        <f t="shared" ref="R57:S57" si="70">R22/20</f>
        <v>0</v>
      </c>
      <c r="S57" s="195">
        <f t="shared" si="70"/>
        <v>0</v>
      </c>
      <c r="T57" s="208" t="e">
        <f>+B57+C57+D57+F57+G57+I57+K57+#REF!+M57+L57+P57+Q57+R57+S57</f>
        <v>#REF!</v>
      </c>
      <c r="U57" s="208">
        <f t="shared" si="19"/>
        <v>0</v>
      </c>
      <c r="V57" s="213">
        <f t="shared" si="20"/>
        <v>0</v>
      </c>
    </row>
    <row r="58" spans="1:22" ht="15.75" thickBot="1">
      <c r="A58" s="154">
        <v>19</v>
      </c>
      <c r="B58" s="194">
        <f t="shared" si="63"/>
        <v>0</v>
      </c>
      <c r="C58" s="195">
        <f t="shared" si="63"/>
        <v>0</v>
      </c>
      <c r="D58" s="195">
        <f t="shared" si="63"/>
        <v>0</v>
      </c>
      <c r="E58" s="195">
        <f t="shared" si="63"/>
        <v>0</v>
      </c>
      <c r="F58" s="195">
        <f t="shared" si="63"/>
        <v>0</v>
      </c>
      <c r="G58" s="195">
        <f t="shared" si="63"/>
        <v>0</v>
      </c>
      <c r="H58" s="195">
        <f t="shared" si="10"/>
        <v>0</v>
      </c>
      <c r="I58" s="195">
        <f t="shared" si="11"/>
        <v>0</v>
      </c>
      <c r="J58" s="195">
        <f t="shared" si="12"/>
        <v>0</v>
      </c>
      <c r="K58" s="195">
        <f t="shared" si="67"/>
        <v>0</v>
      </c>
      <c r="L58" s="195">
        <f t="shared" ref="L58" si="71">L23/20</f>
        <v>0</v>
      </c>
      <c r="M58" s="207">
        <f t="shared" si="67"/>
        <v>0</v>
      </c>
      <c r="N58" s="207">
        <f t="shared" si="15"/>
        <v>0</v>
      </c>
      <c r="O58" s="195">
        <f t="shared" si="16"/>
        <v>0</v>
      </c>
      <c r="P58" s="195">
        <f t="shared" ref="P58:Q58" si="72">P23/20</f>
        <v>0</v>
      </c>
      <c r="Q58" s="195">
        <f t="shared" si="72"/>
        <v>0</v>
      </c>
      <c r="R58" s="195">
        <f t="shared" ref="R58:S58" si="73">R23/20</f>
        <v>0</v>
      </c>
      <c r="S58" s="195">
        <f t="shared" si="73"/>
        <v>0</v>
      </c>
      <c r="T58" s="208" t="e">
        <f>+B58+C58+D58+F58+G58+I58+K58+#REF!+M58+L58+P58+Q58+R58+S58</f>
        <v>#REF!</v>
      </c>
      <c r="U58" s="208">
        <f t="shared" si="19"/>
        <v>0</v>
      </c>
      <c r="V58" s="213">
        <f t="shared" si="20"/>
        <v>0</v>
      </c>
    </row>
    <row r="59" spans="1:22" ht="15.75" thickBot="1">
      <c r="A59" s="154">
        <v>20</v>
      </c>
      <c r="B59" s="194">
        <f t="shared" si="63"/>
        <v>0</v>
      </c>
      <c r="C59" s="195">
        <f t="shared" si="63"/>
        <v>0</v>
      </c>
      <c r="D59" s="195">
        <f t="shared" si="63"/>
        <v>0</v>
      </c>
      <c r="E59" s="195">
        <f t="shared" si="63"/>
        <v>0</v>
      </c>
      <c r="F59" s="195">
        <f t="shared" si="63"/>
        <v>0</v>
      </c>
      <c r="G59" s="195">
        <f t="shared" si="63"/>
        <v>0</v>
      </c>
      <c r="H59" s="195">
        <f t="shared" si="10"/>
        <v>0</v>
      </c>
      <c r="I59" s="195">
        <f t="shared" si="11"/>
        <v>0</v>
      </c>
      <c r="J59" s="195">
        <f t="shared" si="12"/>
        <v>0</v>
      </c>
      <c r="K59" s="195">
        <f t="shared" si="67"/>
        <v>0</v>
      </c>
      <c r="L59" s="195">
        <f t="shared" ref="L59" si="74">L24/20</f>
        <v>0</v>
      </c>
      <c r="M59" s="207">
        <f t="shared" si="67"/>
        <v>0</v>
      </c>
      <c r="N59" s="207">
        <f t="shared" si="15"/>
        <v>0</v>
      </c>
      <c r="O59" s="195">
        <f t="shared" si="16"/>
        <v>0</v>
      </c>
      <c r="P59" s="195">
        <f t="shared" ref="P59:Q59" si="75">P24/20</f>
        <v>0</v>
      </c>
      <c r="Q59" s="195">
        <f t="shared" si="75"/>
        <v>0</v>
      </c>
      <c r="R59" s="195">
        <f t="shared" ref="R59:S59" si="76">R24/20</f>
        <v>0</v>
      </c>
      <c r="S59" s="195">
        <f t="shared" si="76"/>
        <v>0</v>
      </c>
      <c r="T59" s="208" t="e">
        <f>+B59+C59+D59+F59+G59+I59+K59+#REF!+M59+L59+P59+Q59+R59+S59</f>
        <v>#REF!</v>
      </c>
      <c r="U59" s="208">
        <f t="shared" si="19"/>
        <v>0</v>
      </c>
      <c r="V59" s="213">
        <f t="shared" si="20"/>
        <v>0</v>
      </c>
    </row>
    <row r="60" spans="1:22" ht="15.75" thickBot="1">
      <c r="A60" s="154">
        <v>21</v>
      </c>
      <c r="B60" s="194">
        <f t="shared" si="63"/>
        <v>0</v>
      </c>
      <c r="C60" s="195">
        <f t="shared" si="63"/>
        <v>0</v>
      </c>
      <c r="D60" s="195">
        <f t="shared" si="63"/>
        <v>0</v>
      </c>
      <c r="E60" s="195">
        <f t="shared" si="63"/>
        <v>0</v>
      </c>
      <c r="F60" s="195">
        <f t="shared" si="63"/>
        <v>0</v>
      </c>
      <c r="G60" s="195">
        <f t="shared" si="63"/>
        <v>0</v>
      </c>
      <c r="H60" s="195">
        <f t="shared" si="10"/>
        <v>0</v>
      </c>
      <c r="I60" s="195">
        <f t="shared" si="11"/>
        <v>0</v>
      </c>
      <c r="J60" s="195">
        <f t="shared" si="12"/>
        <v>0</v>
      </c>
      <c r="K60" s="195">
        <f t="shared" si="67"/>
        <v>0</v>
      </c>
      <c r="L60" s="195">
        <f t="shared" ref="L60" si="77">L25/20</f>
        <v>0</v>
      </c>
      <c r="M60" s="207">
        <f t="shared" si="67"/>
        <v>0</v>
      </c>
      <c r="N60" s="207">
        <f t="shared" si="15"/>
        <v>0</v>
      </c>
      <c r="O60" s="195">
        <f t="shared" si="16"/>
        <v>0</v>
      </c>
      <c r="P60" s="195">
        <f t="shared" ref="P60:Q60" si="78">P25/20</f>
        <v>0</v>
      </c>
      <c r="Q60" s="195">
        <f t="shared" si="78"/>
        <v>0</v>
      </c>
      <c r="R60" s="195">
        <f t="shared" ref="R60:S60" si="79">R25/20</f>
        <v>0</v>
      </c>
      <c r="S60" s="195">
        <f t="shared" si="79"/>
        <v>0</v>
      </c>
      <c r="T60" s="208" t="e">
        <f>+B60+C60+D60+F60+G60+I60+K60+#REF!+M60+L60+P60+Q60+R60+S60</f>
        <v>#REF!</v>
      </c>
      <c r="U60" s="208">
        <f t="shared" si="19"/>
        <v>0</v>
      </c>
      <c r="V60" s="213">
        <f t="shared" si="20"/>
        <v>0</v>
      </c>
    </row>
    <row r="61" spans="1:22" ht="15.75" thickBot="1">
      <c r="A61" s="154">
        <v>22</v>
      </c>
      <c r="B61" s="194">
        <f t="shared" si="63"/>
        <v>0</v>
      </c>
      <c r="C61" s="195">
        <f t="shared" si="63"/>
        <v>0</v>
      </c>
      <c r="D61" s="195">
        <f t="shared" si="63"/>
        <v>0</v>
      </c>
      <c r="E61" s="195">
        <f t="shared" si="63"/>
        <v>0</v>
      </c>
      <c r="F61" s="195">
        <f t="shared" si="63"/>
        <v>0</v>
      </c>
      <c r="G61" s="195">
        <f t="shared" si="63"/>
        <v>0</v>
      </c>
      <c r="H61" s="195">
        <f t="shared" si="10"/>
        <v>0</v>
      </c>
      <c r="I61" s="195">
        <f t="shared" si="11"/>
        <v>0</v>
      </c>
      <c r="J61" s="195">
        <f t="shared" si="12"/>
        <v>0</v>
      </c>
      <c r="K61" s="195">
        <f t="shared" si="67"/>
        <v>0</v>
      </c>
      <c r="L61" s="195">
        <f t="shared" ref="L61" si="80">L26/20</f>
        <v>0</v>
      </c>
      <c r="M61" s="207">
        <f t="shared" si="67"/>
        <v>0</v>
      </c>
      <c r="N61" s="207">
        <f t="shared" si="15"/>
        <v>0</v>
      </c>
      <c r="O61" s="195">
        <f t="shared" si="16"/>
        <v>0</v>
      </c>
      <c r="P61" s="195">
        <f t="shared" ref="P61:Q61" si="81">P26/20</f>
        <v>0</v>
      </c>
      <c r="Q61" s="195">
        <f t="shared" si="81"/>
        <v>0</v>
      </c>
      <c r="R61" s="195">
        <f t="shared" ref="R61:S61" si="82">R26/20</f>
        <v>0</v>
      </c>
      <c r="S61" s="195">
        <f t="shared" si="82"/>
        <v>0</v>
      </c>
      <c r="T61" s="208" t="e">
        <f>+B61+C61+D61+F61+G61+I61+K61+#REF!+M61+L61+P61+Q61+R61+S61</f>
        <v>#REF!</v>
      </c>
      <c r="U61" s="208">
        <f t="shared" si="19"/>
        <v>0</v>
      </c>
      <c r="V61" s="213">
        <f t="shared" si="20"/>
        <v>0</v>
      </c>
    </row>
    <row r="62" spans="1:22" ht="15.75" thickBot="1">
      <c r="A62" s="154">
        <v>23</v>
      </c>
      <c r="B62" s="194">
        <f t="shared" si="63"/>
        <v>0</v>
      </c>
      <c r="C62" s="195">
        <f t="shared" si="63"/>
        <v>0</v>
      </c>
      <c r="D62" s="195">
        <f t="shared" si="63"/>
        <v>0</v>
      </c>
      <c r="E62" s="195">
        <f t="shared" si="63"/>
        <v>0</v>
      </c>
      <c r="F62" s="195">
        <f t="shared" si="63"/>
        <v>0</v>
      </c>
      <c r="G62" s="195">
        <f t="shared" si="63"/>
        <v>0</v>
      </c>
      <c r="H62" s="195">
        <f t="shared" si="10"/>
        <v>0</v>
      </c>
      <c r="I62" s="195">
        <f t="shared" si="11"/>
        <v>0</v>
      </c>
      <c r="J62" s="195">
        <f t="shared" si="12"/>
        <v>0</v>
      </c>
      <c r="K62" s="195">
        <f t="shared" si="67"/>
        <v>0</v>
      </c>
      <c r="L62" s="195">
        <f t="shared" ref="L62" si="83">L27/20</f>
        <v>0</v>
      </c>
      <c r="M62" s="207">
        <f t="shared" si="67"/>
        <v>0</v>
      </c>
      <c r="N62" s="207">
        <f t="shared" si="15"/>
        <v>0</v>
      </c>
      <c r="O62" s="195">
        <f t="shared" si="16"/>
        <v>0</v>
      </c>
      <c r="P62" s="195">
        <f t="shared" ref="P62:Q62" si="84">P27/20</f>
        <v>0</v>
      </c>
      <c r="Q62" s="195">
        <f t="shared" si="84"/>
        <v>0</v>
      </c>
      <c r="R62" s="195">
        <f t="shared" ref="R62:S62" si="85">R27/20</f>
        <v>0</v>
      </c>
      <c r="S62" s="195">
        <f t="shared" si="85"/>
        <v>0</v>
      </c>
      <c r="T62" s="208" t="e">
        <f>+B62+C62+D62+F62+G62+I62+K62+#REF!+M62+L62+P62+Q62+R62+S62</f>
        <v>#REF!</v>
      </c>
      <c r="U62" s="208">
        <f t="shared" si="19"/>
        <v>0</v>
      </c>
      <c r="V62" s="213">
        <f t="shared" si="20"/>
        <v>0</v>
      </c>
    </row>
    <row r="63" spans="1:22" ht="15.75" thickBot="1">
      <c r="A63" s="154">
        <v>24</v>
      </c>
      <c r="B63" s="194">
        <f t="shared" si="63"/>
        <v>0</v>
      </c>
      <c r="C63" s="195">
        <f t="shared" si="63"/>
        <v>0</v>
      </c>
      <c r="D63" s="195">
        <f t="shared" si="63"/>
        <v>0</v>
      </c>
      <c r="E63" s="195">
        <f t="shared" si="63"/>
        <v>0</v>
      </c>
      <c r="F63" s="195">
        <f t="shared" si="63"/>
        <v>0</v>
      </c>
      <c r="G63" s="195">
        <f t="shared" si="63"/>
        <v>0</v>
      </c>
      <c r="H63" s="195">
        <f t="shared" si="10"/>
        <v>0</v>
      </c>
      <c r="I63" s="195">
        <f t="shared" si="11"/>
        <v>0</v>
      </c>
      <c r="J63" s="195">
        <f t="shared" si="12"/>
        <v>0</v>
      </c>
      <c r="K63" s="195">
        <f t="shared" si="67"/>
        <v>0</v>
      </c>
      <c r="L63" s="195">
        <f t="shared" ref="L63" si="86">L28/20</f>
        <v>0</v>
      </c>
      <c r="M63" s="207">
        <f t="shared" si="67"/>
        <v>0</v>
      </c>
      <c r="N63" s="207">
        <f t="shared" si="15"/>
        <v>0</v>
      </c>
      <c r="O63" s="195">
        <f t="shared" si="16"/>
        <v>0</v>
      </c>
      <c r="P63" s="195">
        <f t="shared" ref="P63:Q63" si="87">P28/20</f>
        <v>0</v>
      </c>
      <c r="Q63" s="195">
        <f t="shared" si="87"/>
        <v>0</v>
      </c>
      <c r="R63" s="195">
        <f t="shared" ref="R63:S63" si="88">R28/20</f>
        <v>0</v>
      </c>
      <c r="S63" s="195">
        <f t="shared" si="88"/>
        <v>0</v>
      </c>
      <c r="T63" s="208" t="e">
        <f>+B63+C63+D63+F63+G63+I63+K63+#REF!+M63+L63+P63+Q63+R63+S63</f>
        <v>#REF!</v>
      </c>
      <c r="U63" s="208">
        <f t="shared" si="19"/>
        <v>0</v>
      </c>
      <c r="V63" s="213">
        <f t="shared" si="20"/>
        <v>0</v>
      </c>
    </row>
    <row r="64" spans="1:22" ht="15.75" thickBot="1">
      <c r="A64" s="154">
        <v>25</v>
      </c>
      <c r="B64" s="194">
        <f t="shared" si="63"/>
        <v>0</v>
      </c>
      <c r="C64" s="195">
        <f t="shared" si="63"/>
        <v>0</v>
      </c>
      <c r="D64" s="195">
        <f t="shared" si="63"/>
        <v>0</v>
      </c>
      <c r="E64" s="195">
        <f t="shared" si="63"/>
        <v>0</v>
      </c>
      <c r="F64" s="195">
        <f t="shared" si="63"/>
        <v>0</v>
      </c>
      <c r="G64" s="195">
        <f t="shared" si="63"/>
        <v>0</v>
      </c>
      <c r="H64" s="195">
        <f t="shared" si="10"/>
        <v>0</v>
      </c>
      <c r="I64" s="195">
        <f t="shared" si="11"/>
        <v>0</v>
      </c>
      <c r="J64" s="195">
        <f t="shared" si="12"/>
        <v>0</v>
      </c>
      <c r="K64" s="195">
        <f t="shared" si="67"/>
        <v>0</v>
      </c>
      <c r="L64" s="195">
        <f t="shared" ref="L64" si="89">L29/20</f>
        <v>0</v>
      </c>
      <c r="M64" s="207">
        <f t="shared" si="67"/>
        <v>0</v>
      </c>
      <c r="N64" s="207">
        <f t="shared" si="15"/>
        <v>0</v>
      </c>
      <c r="O64" s="195">
        <f t="shared" si="16"/>
        <v>0</v>
      </c>
      <c r="P64" s="195">
        <f t="shared" ref="P64:Q64" si="90">P29/20</f>
        <v>0</v>
      </c>
      <c r="Q64" s="195">
        <f t="shared" si="90"/>
        <v>0</v>
      </c>
      <c r="R64" s="195">
        <f t="shared" ref="R64:S64" si="91">R29/20</f>
        <v>0</v>
      </c>
      <c r="S64" s="195">
        <f t="shared" si="91"/>
        <v>0</v>
      </c>
      <c r="T64" s="208" t="e">
        <f>+B64+C64+D64+F64+G64+I64+K64+#REF!+M64+L64+P64+Q64+R64+S64</f>
        <v>#REF!</v>
      </c>
      <c r="U64" s="208">
        <f t="shared" si="19"/>
        <v>0</v>
      </c>
      <c r="V64" s="213">
        <f t="shared" si="20"/>
        <v>0</v>
      </c>
    </row>
    <row r="65" spans="1:22" ht="15.75" thickBot="1">
      <c r="A65" s="154">
        <v>26</v>
      </c>
      <c r="B65" s="194">
        <f t="shared" si="63"/>
        <v>0</v>
      </c>
      <c r="C65" s="195">
        <f t="shared" si="63"/>
        <v>0</v>
      </c>
      <c r="D65" s="195">
        <f t="shared" si="63"/>
        <v>0</v>
      </c>
      <c r="E65" s="195">
        <f t="shared" si="63"/>
        <v>0</v>
      </c>
      <c r="F65" s="195">
        <f t="shared" si="63"/>
        <v>0</v>
      </c>
      <c r="G65" s="195">
        <f t="shared" si="63"/>
        <v>0</v>
      </c>
      <c r="H65" s="195">
        <f t="shared" si="10"/>
        <v>0</v>
      </c>
      <c r="I65" s="195">
        <f t="shared" si="11"/>
        <v>0</v>
      </c>
      <c r="J65" s="195">
        <f t="shared" si="12"/>
        <v>0</v>
      </c>
      <c r="K65" s="195">
        <f t="shared" si="67"/>
        <v>0</v>
      </c>
      <c r="L65" s="195">
        <f t="shared" ref="L65" si="92">L30/20</f>
        <v>0</v>
      </c>
      <c r="M65" s="207">
        <f t="shared" si="67"/>
        <v>0</v>
      </c>
      <c r="N65" s="207">
        <f t="shared" si="15"/>
        <v>0</v>
      </c>
      <c r="O65" s="195">
        <f t="shared" si="16"/>
        <v>0</v>
      </c>
      <c r="P65" s="195">
        <f t="shared" ref="P65:Q65" si="93">P30/20</f>
        <v>0</v>
      </c>
      <c r="Q65" s="195">
        <f t="shared" si="93"/>
        <v>0</v>
      </c>
      <c r="R65" s="195">
        <f t="shared" ref="R65:S65" si="94">R30/20</f>
        <v>0</v>
      </c>
      <c r="S65" s="195">
        <f t="shared" si="94"/>
        <v>0</v>
      </c>
      <c r="T65" s="208" t="e">
        <f>+B65+C65+D65+F65+G65+I65+K65+#REF!+M65+L65+P65+Q65+R65+S65</f>
        <v>#REF!</v>
      </c>
      <c r="U65" s="208">
        <f t="shared" si="19"/>
        <v>0</v>
      </c>
      <c r="V65" s="213">
        <f t="shared" si="20"/>
        <v>0</v>
      </c>
    </row>
    <row r="66" spans="1:22" ht="15.75" thickBot="1">
      <c r="A66" s="154">
        <v>27</v>
      </c>
      <c r="B66" s="194">
        <f t="shared" si="63"/>
        <v>0</v>
      </c>
      <c r="C66" s="195">
        <f t="shared" si="63"/>
        <v>0</v>
      </c>
      <c r="D66" s="195">
        <f t="shared" si="63"/>
        <v>0</v>
      </c>
      <c r="E66" s="195">
        <f t="shared" si="63"/>
        <v>0</v>
      </c>
      <c r="F66" s="195">
        <f t="shared" si="63"/>
        <v>0</v>
      </c>
      <c r="G66" s="195">
        <f t="shared" si="63"/>
        <v>0</v>
      </c>
      <c r="H66" s="195">
        <f t="shared" si="10"/>
        <v>0</v>
      </c>
      <c r="I66" s="195">
        <f t="shared" si="11"/>
        <v>0</v>
      </c>
      <c r="J66" s="195">
        <f t="shared" si="12"/>
        <v>0</v>
      </c>
      <c r="K66" s="195">
        <f t="shared" si="67"/>
        <v>0</v>
      </c>
      <c r="L66" s="195">
        <f t="shared" ref="L66" si="95">L31/20</f>
        <v>0</v>
      </c>
      <c r="M66" s="207">
        <f t="shared" si="67"/>
        <v>0</v>
      </c>
      <c r="N66" s="207">
        <f t="shared" si="15"/>
        <v>0</v>
      </c>
      <c r="O66" s="195">
        <f t="shared" si="16"/>
        <v>0</v>
      </c>
      <c r="P66" s="195">
        <f t="shared" ref="P66:Q66" si="96">P31/20</f>
        <v>0</v>
      </c>
      <c r="Q66" s="195">
        <f t="shared" si="96"/>
        <v>0</v>
      </c>
      <c r="R66" s="195">
        <f t="shared" ref="R66:S66" si="97">R31/20</f>
        <v>0</v>
      </c>
      <c r="S66" s="195">
        <f t="shared" si="97"/>
        <v>0</v>
      </c>
      <c r="T66" s="208" t="e">
        <f>+B66+C66+D66+F66+G66+I66+K66+#REF!+M66+L66+P66+Q66+R66+S66</f>
        <v>#REF!</v>
      </c>
      <c r="U66" s="208">
        <f t="shared" si="19"/>
        <v>0</v>
      </c>
      <c r="V66" s="213">
        <f t="shared" si="20"/>
        <v>0</v>
      </c>
    </row>
    <row r="67" spans="1:22" ht="15.75" thickBot="1">
      <c r="A67" s="154">
        <v>28</v>
      </c>
      <c r="B67" s="194">
        <f t="shared" si="63"/>
        <v>0</v>
      </c>
      <c r="C67" s="195">
        <f t="shared" si="63"/>
        <v>0</v>
      </c>
      <c r="D67" s="195">
        <f t="shared" si="63"/>
        <v>0</v>
      </c>
      <c r="E67" s="195">
        <f t="shared" si="63"/>
        <v>0</v>
      </c>
      <c r="F67" s="195">
        <f t="shared" si="63"/>
        <v>0</v>
      </c>
      <c r="G67" s="195">
        <f t="shared" si="63"/>
        <v>0</v>
      </c>
      <c r="H67" s="195">
        <f t="shared" si="10"/>
        <v>0</v>
      </c>
      <c r="I67" s="195">
        <f t="shared" si="11"/>
        <v>0</v>
      </c>
      <c r="J67" s="195">
        <f t="shared" si="12"/>
        <v>0</v>
      </c>
      <c r="K67" s="195">
        <f t="shared" si="67"/>
        <v>0</v>
      </c>
      <c r="L67" s="195">
        <f t="shared" ref="L67" si="98">L32/20</f>
        <v>0</v>
      </c>
      <c r="M67" s="207">
        <f t="shared" si="67"/>
        <v>0</v>
      </c>
      <c r="N67" s="207">
        <f t="shared" si="15"/>
        <v>0</v>
      </c>
      <c r="O67" s="195">
        <f t="shared" si="16"/>
        <v>0</v>
      </c>
      <c r="P67" s="195">
        <f t="shared" ref="P67:Q67" si="99">P32/20</f>
        <v>0</v>
      </c>
      <c r="Q67" s="195">
        <f t="shared" si="99"/>
        <v>0</v>
      </c>
      <c r="R67" s="195">
        <f t="shared" ref="R67:S67" si="100">R32/20</f>
        <v>0</v>
      </c>
      <c r="S67" s="195">
        <f t="shared" si="100"/>
        <v>0</v>
      </c>
      <c r="T67" s="208" t="e">
        <f>+B67+C67+D67+F67+G67+I67+K67+#REF!+M67+L67+P67+Q67+R67+S67</f>
        <v>#REF!</v>
      </c>
      <c r="U67" s="208">
        <f t="shared" si="19"/>
        <v>0</v>
      </c>
      <c r="V67" s="213">
        <f t="shared" si="20"/>
        <v>0</v>
      </c>
    </row>
    <row r="68" spans="1:22" ht="15.75" thickBot="1">
      <c r="A68" s="154">
        <v>29</v>
      </c>
      <c r="B68" s="194">
        <f t="shared" si="63"/>
        <v>0</v>
      </c>
      <c r="C68" s="195">
        <f t="shared" si="63"/>
        <v>0</v>
      </c>
      <c r="D68" s="195">
        <f t="shared" si="63"/>
        <v>0</v>
      </c>
      <c r="E68" s="195">
        <f t="shared" si="63"/>
        <v>0</v>
      </c>
      <c r="F68" s="195">
        <f t="shared" si="63"/>
        <v>0</v>
      </c>
      <c r="G68" s="195">
        <f t="shared" si="63"/>
        <v>0</v>
      </c>
      <c r="H68" s="195">
        <f t="shared" si="10"/>
        <v>0</v>
      </c>
      <c r="I68" s="195">
        <f t="shared" si="11"/>
        <v>0</v>
      </c>
      <c r="J68" s="195">
        <f t="shared" si="12"/>
        <v>0</v>
      </c>
      <c r="K68" s="195">
        <f t="shared" si="67"/>
        <v>0</v>
      </c>
      <c r="L68" s="195">
        <f t="shared" ref="L68" si="101">L33/20</f>
        <v>0</v>
      </c>
      <c r="M68" s="207">
        <f t="shared" si="67"/>
        <v>0</v>
      </c>
      <c r="N68" s="207">
        <f t="shared" si="15"/>
        <v>0</v>
      </c>
      <c r="O68" s="195">
        <f t="shared" si="16"/>
        <v>0</v>
      </c>
      <c r="P68" s="195">
        <f t="shared" ref="P68:Q68" si="102">P33/20</f>
        <v>0</v>
      </c>
      <c r="Q68" s="195">
        <f t="shared" si="102"/>
        <v>0</v>
      </c>
      <c r="R68" s="195">
        <f t="shared" ref="R68:S68" si="103">R33/20</f>
        <v>0</v>
      </c>
      <c r="S68" s="195">
        <f t="shared" si="103"/>
        <v>0</v>
      </c>
      <c r="T68" s="208" t="e">
        <f>+B68+C68+D68+F68+G68+I68+K68+#REF!+M68+L68+P68+Q68+R68+S68</f>
        <v>#REF!</v>
      </c>
      <c r="U68" s="208">
        <f t="shared" si="19"/>
        <v>0</v>
      </c>
      <c r="V68" s="213">
        <f t="shared" si="20"/>
        <v>0</v>
      </c>
    </row>
    <row r="69" spans="1:22" ht="15.75" thickBot="1">
      <c r="A69" s="154">
        <v>30</v>
      </c>
      <c r="B69" s="194">
        <f t="shared" si="63"/>
        <v>0</v>
      </c>
      <c r="C69" s="195">
        <f t="shared" si="63"/>
        <v>0</v>
      </c>
      <c r="D69" s="195">
        <f t="shared" si="63"/>
        <v>0</v>
      </c>
      <c r="E69" s="195">
        <f t="shared" si="63"/>
        <v>0</v>
      </c>
      <c r="F69" s="195">
        <f t="shared" si="63"/>
        <v>0</v>
      </c>
      <c r="G69" s="195">
        <f t="shared" si="63"/>
        <v>0</v>
      </c>
      <c r="H69" s="195">
        <f t="shared" si="10"/>
        <v>0</v>
      </c>
      <c r="I69" s="195">
        <f t="shared" si="11"/>
        <v>0</v>
      </c>
      <c r="J69" s="195">
        <f t="shared" si="12"/>
        <v>0</v>
      </c>
      <c r="K69" s="195">
        <f t="shared" si="67"/>
        <v>0</v>
      </c>
      <c r="L69" s="195">
        <f t="shared" ref="L69" si="104">L34/20</f>
        <v>0</v>
      </c>
      <c r="M69" s="207">
        <f t="shared" si="67"/>
        <v>0</v>
      </c>
      <c r="N69" s="207">
        <f t="shared" si="15"/>
        <v>0</v>
      </c>
      <c r="O69" s="195">
        <f t="shared" si="16"/>
        <v>0</v>
      </c>
      <c r="P69" s="195">
        <f t="shared" ref="P69:Q69" si="105">P34/20</f>
        <v>0</v>
      </c>
      <c r="Q69" s="195">
        <f t="shared" si="105"/>
        <v>0</v>
      </c>
      <c r="R69" s="195">
        <f t="shared" ref="R69:S69" si="106">R34/20</f>
        <v>0</v>
      </c>
      <c r="S69" s="195">
        <f t="shared" si="106"/>
        <v>0</v>
      </c>
      <c r="T69" s="208" t="e">
        <f>+B69+C69+D69+F69+G69+I69+K69+#REF!+M69+L69+P69+Q69+R69+S69</f>
        <v>#REF!</v>
      </c>
      <c r="U69" s="208">
        <f t="shared" si="19"/>
        <v>0</v>
      </c>
      <c r="V69" s="213">
        <f t="shared" si="20"/>
        <v>0</v>
      </c>
    </row>
    <row r="70" spans="1:22" ht="15.75" thickBot="1">
      <c r="A70" s="154">
        <v>31</v>
      </c>
      <c r="B70" s="194">
        <f>B35/20</f>
        <v>0</v>
      </c>
      <c r="C70" s="195">
        <f t="shared" si="63"/>
        <v>0</v>
      </c>
      <c r="D70" s="195">
        <f t="shared" si="63"/>
        <v>0</v>
      </c>
      <c r="E70" s="195">
        <f t="shared" si="63"/>
        <v>0</v>
      </c>
      <c r="F70" s="195">
        <f t="shared" si="63"/>
        <v>0</v>
      </c>
      <c r="G70" s="195">
        <f t="shared" si="63"/>
        <v>0</v>
      </c>
      <c r="H70" s="195">
        <f t="shared" si="10"/>
        <v>0</v>
      </c>
      <c r="I70" s="195">
        <f t="shared" si="11"/>
        <v>0</v>
      </c>
      <c r="J70" s="195">
        <f t="shared" si="12"/>
        <v>0</v>
      </c>
      <c r="K70" s="195">
        <f t="shared" si="67"/>
        <v>0</v>
      </c>
      <c r="L70" s="195">
        <f t="shared" ref="L70" si="107">L35/20</f>
        <v>0</v>
      </c>
      <c r="M70" s="207">
        <f t="shared" si="67"/>
        <v>0</v>
      </c>
      <c r="N70" s="207">
        <f t="shared" si="15"/>
        <v>0</v>
      </c>
      <c r="O70" s="195">
        <f t="shared" si="16"/>
        <v>0</v>
      </c>
      <c r="P70" s="195">
        <f t="shared" ref="P70:Q70" si="108">P35/20</f>
        <v>0</v>
      </c>
      <c r="Q70" s="195">
        <f t="shared" si="108"/>
        <v>0</v>
      </c>
      <c r="R70" s="195">
        <f t="shared" ref="R70:S70" si="109">R35/20</f>
        <v>0</v>
      </c>
      <c r="S70" s="195">
        <f t="shared" si="109"/>
        <v>0</v>
      </c>
      <c r="T70" s="208" t="e">
        <f>+B70+C70+D70+F70+G70+I70+K70+#REF!+M70+L70+P70+Q70+R70+S70</f>
        <v>#REF!</v>
      </c>
      <c r="U70" s="208">
        <f t="shared" si="19"/>
        <v>0</v>
      </c>
      <c r="V70" s="213">
        <f t="shared" si="20"/>
        <v>0</v>
      </c>
    </row>
    <row r="71" spans="1:22" ht="15.75" thickBot="1">
      <c r="B71" s="214">
        <f>SUM(B40:B70)</f>
        <v>0</v>
      </c>
      <c r="C71" s="214">
        <f>SUM(C40:C70)</f>
        <v>0</v>
      </c>
      <c r="D71" s="214">
        <f t="shared" ref="D71:V71" si="110">SUM(D40:D70)</f>
        <v>0</v>
      </c>
      <c r="E71" s="214">
        <f t="shared" si="110"/>
        <v>0</v>
      </c>
      <c r="F71" s="214">
        <f t="shared" si="110"/>
        <v>0</v>
      </c>
      <c r="G71" s="214">
        <f t="shared" si="110"/>
        <v>0</v>
      </c>
      <c r="H71" s="214">
        <f t="shared" si="110"/>
        <v>0</v>
      </c>
      <c r="I71" s="214">
        <f t="shared" si="110"/>
        <v>0</v>
      </c>
      <c r="J71" s="214">
        <f t="shared" si="110"/>
        <v>0</v>
      </c>
      <c r="K71" s="214">
        <f t="shared" si="110"/>
        <v>0</v>
      </c>
      <c r="L71" s="214">
        <f t="shared" ref="L71" si="111">SUM(L40:L70)</f>
        <v>0</v>
      </c>
      <c r="M71" s="214">
        <f t="shared" si="110"/>
        <v>0</v>
      </c>
      <c r="N71" s="214">
        <f t="shared" si="110"/>
        <v>0</v>
      </c>
      <c r="O71" s="214">
        <f t="shared" ref="O71" si="112">SUM(O40:O70)</f>
        <v>0</v>
      </c>
      <c r="P71" s="214">
        <f t="shared" ref="P71:T71" si="113">SUM(P40:P70)</f>
        <v>0</v>
      </c>
      <c r="Q71" s="214">
        <f t="shared" ref="Q71:R71" si="114">SUM(Q40:Q70)</f>
        <v>0</v>
      </c>
      <c r="R71" s="214">
        <f t="shared" si="114"/>
        <v>0</v>
      </c>
      <c r="S71" s="214">
        <f t="shared" ref="S71" si="115">SUM(S40:S70)</f>
        <v>0</v>
      </c>
      <c r="T71" s="214" t="e">
        <f t="shared" si="113"/>
        <v>#REF!</v>
      </c>
      <c r="U71" s="214">
        <f t="shared" si="110"/>
        <v>0</v>
      </c>
      <c r="V71" s="214">
        <f t="shared" si="110"/>
        <v>0</v>
      </c>
    </row>
  </sheetData>
  <mergeCells count="10">
    <mergeCell ref="A3:A4"/>
    <mergeCell ref="A38:A39"/>
    <mergeCell ref="G3:H3"/>
    <mergeCell ref="I3:J3"/>
    <mergeCell ref="T3:V3"/>
    <mergeCell ref="G38:H38"/>
    <mergeCell ref="I38:J38"/>
    <mergeCell ref="T38:V38"/>
    <mergeCell ref="M3:O3"/>
    <mergeCell ref="M38:O3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Y43"/>
  <sheetViews>
    <sheetView workbookViewId="0">
      <selection activeCell="K4" sqref="K4"/>
    </sheetView>
  </sheetViews>
  <sheetFormatPr baseColWidth="10" defaultColWidth="11.42578125" defaultRowHeight="15"/>
  <cols>
    <col min="1" max="1" width="7.42578125" customWidth="1"/>
    <col min="2" max="2" width="10" customWidth="1"/>
    <col min="3" max="9" width="11.5703125" customWidth="1"/>
    <col min="10" max="13" width="10.140625" customWidth="1"/>
    <col min="14" max="14" width="11.85546875" customWidth="1"/>
    <col min="15" max="15" width="10.140625" customWidth="1"/>
    <col min="16" max="16" width="13.7109375" customWidth="1"/>
    <col min="17" max="18" width="5.140625" customWidth="1"/>
    <col min="19" max="19" width="12.85546875" customWidth="1"/>
    <col min="20" max="20" width="10.85546875" customWidth="1"/>
    <col min="21" max="21" width="11.140625" customWidth="1"/>
    <col min="22" max="22" width="11.42578125" customWidth="1"/>
  </cols>
  <sheetData>
    <row r="2" spans="1:25" ht="25.5" thickBot="1">
      <c r="A2" s="583" t="s">
        <v>94</v>
      </c>
      <c r="B2" s="584"/>
      <c r="C2" s="584"/>
      <c r="D2" s="584"/>
      <c r="E2" s="584"/>
      <c r="F2" s="584"/>
      <c r="G2" s="584"/>
      <c r="H2" s="584"/>
      <c r="I2" s="584"/>
      <c r="J2" s="584"/>
      <c r="K2" s="584"/>
      <c r="L2" s="584"/>
      <c r="M2" s="584"/>
      <c r="N2" s="584"/>
      <c r="O2" s="584"/>
      <c r="P2" s="584"/>
      <c r="Q2" s="584"/>
      <c r="R2" s="584"/>
      <c r="S2" s="584"/>
      <c r="T2" s="584"/>
      <c r="U2" s="584"/>
      <c r="V2" s="585"/>
    </row>
    <row r="3" spans="1:25" ht="27.75" thickBot="1">
      <c r="A3" s="135" t="s">
        <v>95</v>
      </c>
      <c r="B3" s="136" t="s">
        <v>45</v>
      </c>
      <c r="C3" s="136" t="s">
        <v>46</v>
      </c>
      <c r="D3" s="136" t="s">
        <v>47</v>
      </c>
      <c r="E3" s="136" t="s">
        <v>48</v>
      </c>
      <c r="F3" s="136" t="s">
        <v>49</v>
      </c>
      <c r="G3" s="136" t="s">
        <v>50</v>
      </c>
      <c r="H3" s="136" t="s">
        <v>51</v>
      </c>
      <c r="I3" s="136" t="s">
        <v>63</v>
      </c>
      <c r="J3" s="150" t="s">
        <v>53</v>
      </c>
      <c r="K3" s="150" t="s">
        <v>54</v>
      </c>
      <c r="L3" s="150" t="s">
        <v>67</v>
      </c>
      <c r="M3" s="150" t="s">
        <v>185</v>
      </c>
      <c r="N3" s="150" t="s">
        <v>186</v>
      </c>
      <c r="O3" s="150" t="s">
        <v>188</v>
      </c>
      <c r="P3" s="151" t="s">
        <v>96</v>
      </c>
      <c r="Q3" s="586" t="s">
        <v>97</v>
      </c>
      <c r="R3" s="587"/>
      <c r="S3" s="152" t="s">
        <v>98</v>
      </c>
      <c r="T3" s="162" t="s">
        <v>99</v>
      </c>
      <c r="U3" s="163" t="s">
        <v>100</v>
      </c>
      <c r="V3" s="164" t="s">
        <v>101</v>
      </c>
    </row>
    <row r="4" spans="1:25" ht="24" customHeight="1" thickBot="1">
      <c r="A4" s="137">
        <v>1</v>
      </c>
      <c r="B4" s="138">
        <f>'RECAP 2'!B5</f>
        <v>0</v>
      </c>
      <c r="C4" s="139">
        <f>'RECAP 2'!C5</f>
        <v>0</v>
      </c>
      <c r="D4" s="139">
        <f>'RECAP 2'!D5</f>
        <v>0</v>
      </c>
      <c r="E4" s="139">
        <f>'RECAP 2'!E5</f>
        <v>0</v>
      </c>
      <c r="F4" s="139">
        <f>'RECAP 2'!F5</f>
        <v>0</v>
      </c>
      <c r="G4" s="139">
        <f>'RECAP 2'!G5+'RECAP 2'!H5</f>
        <v>0</v>
      </c>
      <c r="H4" s="139">
        <f>'RECAP 2'!I5+'RECAP 2'!J5</f>
        <v>0</v>
      </c>
      <c r="I4" s="139">
        <f>'RECAP 2'!K5</f>
        <v>0</v>
      </c>
      <c r="J4" s="139">
        <f>'RECAP 2'!L5</f>
        <v>0</v>
      </c>
      <c r="K4" s="139">
        <f>'RECAP 2'!M5+'RECAP 2'!N5+'RECAP 2'!O5</f>
        <v>0</v>
      </c>
      <c r="L4" s="139">
        <f>'RECAP 2'!P5</f>
        <v>0</v>
      </c>
      <c r="M4" s="139">
        <f>'RECAP 2'!Q5</f>
        <v>0</v>
      </c>
      <c r="N4" s="139">
        <f>'RECAP 2'!R5</f>
        <v>0</v>
      </c>
      <c r="O4" s="139">
        <f>'RECAP 2'!S5</f>
        <v>0</v>
      </c>
      <c r="P4" s="153">
        <f>+RECAP1!BF48</f>
        <v>0</v>
      </c>
      <c r="Q4" s="154">
        <v>1</v>
      </c>
      <c r="R4" s="155" t="s">
        <v>102</v>
      </c>
      <c r="S4" s="156">
        <f>SUM(B4:O4)</f>
        <v>0</v>
      </c>
      <c r="T4" s="165">
        <v>139780</v>
      </c>
      <c r="U4" s="166">
        <f>S4-T4</f>
        <v>-139780</v>
      </c>
      <c r="V4" s="167">
        <f>+S4/T4</f>
        <v>0</v>
      </c>
      <c r="Y4" s="168"/>
    </row>
    <row r="5" spans="1:25" ht="20.25" customHeight="1" thickBot="1">
      <c r="A5" s="137">
        <v>2</v>
      </c>
      <c r="B5" s="138">
        <f>'RECAP 2'!B6</f>
        <v>0</v>
      </c>
      <c r="C5" s="139">
        <f>'RECAP 2'!C6</f>
        <v>0</v>
      </c>
      <c r="D5" s="139">
        <f>'RECAP 2'!D6</f>
        <v>0</v>
      </c>
      <c r="E5" s="139">
        <f>'RECAP 2'!E6</f>
        <v>0</v>
      </c>
      <c r="F5" s="139">
        <f>'RECAP 2'!F6</f>
        <v>0</v>
      </c>
      <c r="G5" s="139">
        <f>'RECAP 2'!G6+'RECAP 2'!H6</f>
        <v>0</v>
      </c>
      <c r="H5" s="139">
        <f>'RECAP 2'!I6+'RECAP 2'!J6</f>
        <v>0</v>
      </c>
      <c r="I5" s="139">
        <f>'RECAP 2'!K6</f>
        <v>0</v>
      </c>
      <c r="J5" s="139">
        <f>'RECAP 2'!L6</f>
        <v>0</v>
      </c>
      <c r="K5" s="139">
        <f>'RECAP 2'!M6+'RECAP 2'!N6+'RECAP 2'!O6</f>
        <v>0</v>
      </c>
      <c r="L5" s="139">
        <f>'RECAP 2'!P6</f>
        <v>0</v>
      </c>
      <c r="M5" s="139">
        <f>'RECAP 2'!Q6</f>
        <v>0</v>
      </c>
      <c r="N5" s="139">
        <f>'RECAP 2'!R6</f>
        <v>0</v>
      </c>
      <c r="O5" s="139">
        <f>'RECAP 2'!S6</f>
        <v>0</v>
      </c>
      <c r="P5" s="153">
        <f>+RECAP1!BF49</f>
        <v>0</v>
      </c>
      <c r="Q5" s="154">
        <v>2</v>
      </c>
      <c r="R5" s="157" t="s">
        <v>103</v>
      </c>
      <c r="S5" s="156">
        <f t="shared" ref="S5:S34" si="0">SUM(B5:O5)</f>
        <v>0</v>
      </c>
      <c r="T5" s="165">
        <v>260000</v>
      </c>
      <c r="U5" s="169">
        <f t="shared" ref="U5:U34" si="1">S5-T5</f>
        <v>-260000</v>
      </c>
      <c r="V5" s="167">
        <f t="shared" ref="V5:V34" si="2">+S5/T5</f>
        <v>0</v>
      </c>
      <c r="Y5" s="168"/>
    </row>
    <row r="6" spans="1:25" ht="20.25" customHeight="1" thickBot="1">
      <c r="A6" s="137">
        <v>3</v>
      </c>
      <c r="B6" s="138">
        <f>'RECAP 2'!B7</f>
        <v>0</v>
      </c>
      <c r="C6" s="139">
        <f>'RECAP 2'!C7</f>
        <v>0</v>
      </c>
      <c r="D6" s="139">
        <f>'RECAP 2'!D7</f>
        <v>0</v>
      </c>
      <c r="E6" s="139">
        <f>'RECAP 2'!E7</f>
        <v>0</v>
      </c>
      <c r="F6" s="139">
        <f>'RECAP 2'!F7</f>
        <v>0</v>
      </c>
      <c r="G6" s="139">
        <f>'RECAP 2'!G7+'RECAP 2'!H7</f>
        <v>0</v>
      </c>
      <c r="H6" s="139">
        <f>'RECAP 2'!I7+'RECAP 2'!J7</f>
        <v>0</v>
      </c>
      <c r="I6" s="139">
        <f>'RECAP 2'!K7</f>
        <v>0</v>
      </c>
      <c r="J6" s="139">
        <f>'RECAP 2'!L7</f>
        <v>0</v>
      </c>
      <c r="K6" s="139">
        <f>'RECAP 2'!M7+'RECAP 2'!N7+'RECAP 2'!O7</f>
        <v>0</v>
      </c>
      <c r="L6" s="139">
        <f>'RECAP 2'!P7</f>
        <v>0</v>
      </c>
      <c r="M6" s="139">
        <f>'RECAP 2'!Q7</f>
        <v>0</v>
      </c>
      <c r="N6" s="139">
        <f>'RECAP 2'!R7</f>
        <v>0</v>
      </c>
      <c r="O6" s="139">
        <f>'RECAP 2'!S7</f>
        <v>0</v>
      </c>
      <c r="P6" s="153">
        <f>+RECAP1!BF50</f>
        <v>0</v>
      </c>
      <c r="Q6" s="154">
        <v>3</v>
      </c>
      <c r="R6" s="157" t="s">
        <v>104</v>
      </c>
      <c r="S6" s="156">
        <f t="shared" si="0"/>
        <v>0</v>
      </c>
      <c r="T6" s="170">
        <v>50000</v>
      </c>
      <c r="U6" s="171">
        <f t="shared" si="1"/>
        <v>-50000</v>
      </c>
      <c r="V6" s="172">
        <f t="shared" si="2"/>
        <v>0</v>
      </c>
      <c r="Y6" s="168"/>
    </row>
    <row r="7" spans="1:25" ht="21.75" customHeight="1" thickBot="1">
      <c r="A7" s="137">
        <v>4</v>
      </c>
      <c r="B7" s="138">
        <f>'RECAP 2'!B8</f>
        <v>0</v>
      </c>
      <c r="C7" s="139">
        <f>'RECAP 2'!C8</f>
        <v>0</v>
      </c>
      <c r="D7" s="139">
        <f>'RECAP 2'!D8</f>
        <v>0</v>
      </c>
      <c r="E7" s="139">
        <f>'RECAP 2'!E8</f>
        <v>0</v>
      </c>
      <c r="F7" s="139">
        <f>'RECAP 2'!F8</f>
        <v>0</v>
      </c>
      <c r="G7" s="139">
        <f>'RECAP 2'!G8+'RECAP 2'!H8</f>
        <v>0</v>
      </c>
      <c r="H7" s="139">
        <f>'RECAP 2'!I8+'RECAP 2'!J8</f>
        <v>0</v>
      </c>
      <c r="I7" s="139">
        <f>'RECAP 2'!K8</f>
        <v>0</v>
      </c>
      <c r="J7" s="139">
        <f>'RECAP 2'!L8</f>
        <v>0</v>
      </c>
      <c r="K7" s="139">
        <f>'RECAP 2'!M8+'RECAP 2'!N8+'RECAP 2'!O8</f>
        <v>0</v>
      </c>
      <c r="L7" s="139">
        <f>'RECAP 2'!P8</f>
        <v>0</v>
      </c>
      <c r="M7" s="139">
        <f>'RECAP 2'!Q8</f>
        <v>0</v>
      </c>
      <c r="N7" s="139">
        <f>'RECAP 2'!R8</f>
        <v>0</v>
      </c>
      <c r="O7" s="139">
        <f>'RECAP 2'!S8</f>
        <v>0</v>
      </c>
      <c r="P7" s="153">
        <f>+RECAP1!BF51</f>
        <v>0</v>
      </c>
      <c r="Q7" s="154">
        <v>4</v>
      </c>
      <c r="R7" s="157" t="s">
        <v>105</v>
      </c>
      <c r="S7" s="156">
        <f t="shared" si="0"/>
        <v>0</v>
      </c>
      <c r="T7" s="170">
        <v>210000</v>
      </c>
      <c r="U7" s="171">
        <f t="shared" si="1"/>
        <v>-210000</v>
      </c>
      <c r="V7" s="172">
        <f t="shared" si="2"/>
        <v>0</v>
      </c>
      <c r="Y7" s="168"/>
    </row>
    <row r="8" spans="1:25" ht="18.75" customHeight="1" thickBot="1">
      <c r="A8" s="137">
        <v>5</v>
      </c>
      <c r="B8" s="138">
        <f>'RECAP 2'!B9</f>
        <v>0</v>
      </c>
      <c r="C8" s="139">
        <f>'RECAP 2'!C9</f>
        <v>0</v>
      </c>
      <c r="D8" s="139">
        <f>'RECAP 2'!D9</f>
        <v>0</v>
      </c>
      <c r="E8" s="139">
        <f>'RECAP 2'!E9</f>
        <v>0</v>
      </c>
      <c r="F8" s="139">
        <f>'RECAP 2'!F9</f>
        <v>0</v>
      </c>
      <c r="G8" s="139">
        <f>'RECAP 2'!G9+'RECAP 2'!H9</f>
        <v>0</v>
      </c>
      <c r="H8" s="139">
        <f>'RECAP 2'!I9+'RECAP 2'!J9</f>
        <v>0</v>
      </c>
      <c r="I8" s="139">
        <f>'RECAP 2'!K9</f>
        <v>0</v>
      </c>
      <c r="J8" s="139">
        <f>'RECAP 2'!L9</f>
        <v>0</v>
      </c>
      <c r="K8" s="139">
        <f>'RECAP 2'!M9+'RECAP 2'!N9+'RECAP 2'!O9</f>
        <v>0</v>
      </c>
      <c r="L8" s="139">
        <f>'RECAP 2'!P9</f>
        <v>0</v>
      </c>
      <c r="M8" s="139">
        <f>'RECAP 2'!Q9</f>
        <v>0</v>
      </c>
      <c r="N8" s="139">
        <f>'RECAP 2'!R9</f>
        <v>0</v>
      </c>
      <c r="O8" s="139">
        <f>'RECAP 2'!S9</f>
        <v>0</v>
      </c>
      <c r="P8" s="153">
        <f>+RECAP1!BF52</f>
        <v>0</v>
      </c>
      <c r="Q8" s="154">
        <v>5</v>
      </c>
      <c r="R8" s="157" t="s">
        <v>106</v>
      </c>
      <c r="S8" s="156">
        <f t="shared" si="0"/>
        <v>0</v>
      </c>
      <c r="T8" s="173">
        <v>260000</v>
      </c>
      <c r="U8" s="171">
        <f t="shared" si="1"/>
        <v>-260000</v>
      </c>
      <c r="V8" s="172">
        <f t="shared" si="2"/>
        <v>0</v>
      </c>
      <c r="Y8" s="168"/>
    </row>
    <row r="9" spans="1:25" ht="18.75" customHeight="1" thickBot="1">
      <c r="A9" s="137">
        <v>6</v>
      </c>
      <c r="B9" s="138">
        <f>'RECAP 2'!B10</f>
        <v>0</v>
      </c>
      <c r="C9" s="139">
        <f>'RECAP 2'!C10</f>
        <v>0</v>
      </c>
      <c r="D9" s="139">
        <f>'RECAP 2'!D10</f>
        <v>0</v>
      </c>
      <c r="E9" s="139">
        <f>'RECAP 2'!E10</f>
        <v>0</v>
      </c>
      <c r="F9" s="139">
        <f>'RECAP 2'!F10</f>
        <v>0</v>
      </c>
      <c r="G9" s="139">
        <f>'RECAP 2'!G10+'RECAP 2'!H10</f>
        <v>0</v>
      </c>
      <c r="H9" s="139">
        <f>'RECAP 2'!I10+'RECAP 2'!J10</f>
        <v>0</v>
      </c>
      <c r="I9" s="139">
        <f>'RECAP 2'!K10</f>
        <v>0</v>
      </c>
      <c r="J9" s="139">
        <f>'RECAP 2'!L10</f>
        <v>0</v>
      </c>
      <c r="K9" s="139">
        <f>'RECAP 2'!M10+'RECAP 2'!N10+'RECAP 2'!O10</f>
        <v>0</v>
      </c>
      <c r="L9" s="139">
        <f>'RECAP 2'!P10</f>
        <v>0</v>
      </c>
      <c r="M9" s="139">
        <f>'RECAP 2'!Q10</f>
        <v>0</v>
      </c>
      <c r="N9" s="139">
        <f>'RECAP 2'!R10</f>
        <v>0</v>
      </c>
      <c r="O9" s="139">
        <f>'RECAP 2'!S10</f>
        <v>0</v>
      </c>
      <c r="P9" s="153">
        <f>+RECAP1!BF53</f>
        <v>0</v>
      </c>
      <c r="Q9" s="154">
        <v>6</v>
      </c>
      <c r="R9" s="157" t="s">
        <v>107</v>
      </c>
      <c r="S9" s="156">
        <f t="shared" si="0"/>
        <v>0</v>
      </c>
      <c r="T9" s="173">
        <v>260000</v>
      </c>
      <c r="U9" s="171">
        <f t="shared" si="1"/>
        <v>-260000</v>
      </c>
      <c r="V9" s="172">
        <f t="shared" si="2"/>
        <v>0</v>
      </c>
      <c r="Y9" s="168"/>
    </row>
    <row r="10" spans="1:25" ht="18" customHeight="1" thickBot="1">
      <c r="A10" s="137">
        <v>7</v>
      </c>
      <c r="B10" s="138">
        <f>'RECAP 2'!B11</f>
        <v>0</v>
      </c>
      <c r="C10" s="139">
        <f>'RECAP 2'!C11</f>
        <v>0</v>
      </c>
      <c r="D10" s="139">
        <f>'RECAP 2'!D11</f>
        <v>0</v>
      </c>
      <c r="E10" s="139">
        <f>'RECAP 2'!E11</f>
        <v>0</v>
      </c>
      <c r="F10" s="139">
        <f>'RECAP 2'!F11</f>
        <v>0</v>
      </c>
      <c r="G10" s="139">
        <f>'RECAP 2'!G11+'RECAP 2'!H11</f>
        <v>0</v>
      </c>
      <c r="H10" s="139">
        <f>'RECAP 2'!I11+'RECAP 2'!J11</f>
        <v>0</v>
      </c>
      <c r="I10" s="139">
        <f>'RECAP 2'!K11</f>
        <v>0</v>
      </c>
      <c r="J10" s="139">
        <f>'RECAP 2'!L11</f>
        <v>0</v>
      </c>
      <c r="K10" s="139">
        <f>'RECAP 2'!M11+'RECAP 2'!N11+'RECAP 2'!O11</f>
        <v>0</v>
      </c>
      <c r="L10" s="139">
        <f>'RECAP 2'!P11</f>
        <v>0</v>
      </c>
      <c r="M10" s="139">
        <f>'RECAP 2'!Q11</f>
        <v>0</v>
      </c>
      <c r="N10" s="139">
        <f>'RECAP 2'!R11</f>
        <v>0</v>
      </c>
      <c r="O10" s="139">
        <f>'RECAP 2'!S11</f>
        <v>0</v>
      </c>
      <c r="P10" s="153">
        <f>+RECAP1!BF54</f>
        <v>0</v>
      </c>
      <c r="Q10" s="154">
        <v>7</v>
      </c>
      <c r="R10" s="158" t="s">
        <v>108</v>
      </c>
      <c r="S10" s="156">
        <f t="shared" si="0"/>
        <v>0</v>
      </c>
      <c r="T10" s="173">
        <v>260000</v>
      </c>
      <c r="U10" s="171">
        <f t="shared" si="1"/>
        <v>-260000</v>
      </c>
      <c r="V10" s="172">
        <f t="shared" si="2"/>
        <v>0</v>
      </c>
      <c r="Y10" s="168"/>
    </row>
    <row r="11" spans="1:25" ht="21" customHeight="1" thickBot="1">
      <c r="A11" s="137">
        <v>8</v>
      </c>
      <c r="B11" s="138">
        <f>'RECAP 2'!B12</f>
        <v>0</v>
      </c>
      <c r="C11" s="139">
        <f>'RECAP 2'!C12</f>
        <v>0</v>
      </c>
      <c r="D11" s="139">
        <f>'RECAP 2'!D12</f>
        <v>0</v>
      </c>
      <c r="E11" s="139">
        <f>'RECAP 2'!E12</f>
        <v>0</v>
      </c>
      <c r="F11" s="139">
        <f>'RECAP 2'!F12</f>
        <v>0</v>
      </c>
      <c r="G11" s="139">
        <f>'RECAP 2'!G12+'RECAP 2'!H12</f>
        <v>0</v>
      </c>
      <c r="H11" s="139">
        <f>'RECAP 2'!I12+'RECAP 2'!J12</f>
        <v>0</v>
      </c>
      <c r="I11" s="139">
        <f>'RECAP 2'!K12</f>
        <v>0</v>
      </c>
      <c r="J11" s="139">
        <f>'RECAP 2'!L12</f>
        <v>0</v>
      </c>
      <c r="K11" s="139">
        <f>'RECAP 2'!M12+'RECAP 2'!N12+'RECAP 2'!O12</f>
        <v>0</v>
      </c>
      <c r="L11" s="139">
        <f>'RECAP 2'!P12</f>
        <v>0</v>
      </c>
      <c r="M11" s="139">
        <f>'RECAP 2'!Q12</f>
        <v>0</v>
      </c>
      <c r="N11" s="139">
        <f>'RECAP 2'!R12</f>
        <v>0</v>
      </c>
      <c r="O11" s="139">
        <f>'RECAP 2'!S12</f>
        <v>0</v>
      </c>
      <c r="P11" s="153">
        <f>+RECAP1!BF55</f>
        <v>0</v>
      </c>
      <c r="Q11" s="154">
        <v>8</v>
      </c>
      <c r="R11" s="155" t="s">
        <v>109</v>
      </c>
      <c r="S11" s="156">
        <f t="shared" si="0"/>
        <v>0</v>
      </c>
      <c r="T11" s="173">
        <v>260000</v>
      </c>
      <c r="U11" s="171">
        <f t="shared" si="1"/>
        <v>-260000</v>
      </c>
      <c r="V11" s="172">
        <f t="shared" si="2"/>
        <v>0</v>
      </c>
      <c r="Y11" s="168"/>
    </row>
    <row r="12" spans="1:25" ht="21.75" customHeight="1" thickBot="1">
      <c r="A12" s="137">
        <v>9</v>
      </c>
      <c r="B12" s="138">
        <f>'RECAP 2'!B13</f>
        <v>0</v>
      </c>
      <c r="C12" s="139">
        <f>'RECAP 2'!C13</f>
        <v>0</v>
      </c>
      <c r="D12" s="139">
        <f>'RECAP 2'!D13</f>
        <v>0</v>
      </c>
      <c r="E12" s="139">
        <f>'RECAP 2'!E13</f>
        <v>0</v>
      </c>
      <c r="F12" s="139">
        <f>'RECAP 2'!F13</f>
        <v>0</v>
      </c>
      <c r="G12" s="139">
        <f>'RECAP 2'!G13+'RECAP 2'!H13</f>
        <v>0</v>
      </c>
      <c r="H12" s="139">
        <f>'RECAP 2'!I13+'RECAP 2'!J13</f>
        <v>0</v>
      </c>
      <c r="I12" s="139">
        <f>'RECAP 2'!K13</f>
        <v>0</v>
      </c>
      <c r="J12" s="139">
        <f>'RECAP 2'!L13</f>
        <v>0</v>
      </c>
      <c r="K12" s="139">
        <f>'RECAP 2'!M13+'RECAP 2'!N13+'RECAP 2'!O13</f>
        <v>0</v>
      </c>
      <c r="L12" s="139">
        <f>'RECAP 2'!P13</f>
        <v>0</v>
      </c>
      <c r="M12" s="139">
        <f>'RECAP 2'!Q13</f>
        <v>0</v>
      </c>
      <c r="N12" s="139">
        <f>'RECAP 2'!R13</f>
        <v>0</v>
      </c>
      <c r="O12" s="139">
        <f>'RECAP 2'!S13</f>
        <v>0</v>
      </c>
      <c r="P12" s="153">
        <f>+RECAP1!BF56</f>
        <v>0</v>
      </c>
      <c r="Q12" s="154">
        <v>9</v>
      </c>
      <c r="R12" s="157" t="s">
        <v>110</v>
      </c>
      <c r="S12" s="156">
        <f t="shared" si="0"/>
        <v>0</v>
      </c>
      <c r="T12" s="173">
        <v>260000</v>
      </c>
      <c r="U12" s="171">
        <f t="shared" si="1"/>
        <v>-260000</v>
      </c>
      <c r="V12" s="172">
        <f t="shared" si="2"/>
        <v>0</v>
      </c>
      <c r="Y12" s="168"/>
    </row>
    <row r="13" spans="1:25" ht="24.75" customHeight="1" thickBot="1">
      <c r="A13" s="137">
        <v>10</v>
      </c>
      <c r="B13" s="138">
        <f>'RECAP 2'!B14</f>
        <v>0</v>
      </c>
      <c r="C13" s="139">
        <f>'RECAP 2'!C14</f>
        <v>0</v>
      </c>
      <c r="D13" s="139">
        <f>'RECAP 2'!D14</f>
        <v>0</v>
      </c>
      <c r="E13" s="139">
        <f>'RECAP 2'!E14</f>
        <v>0</v>
      </c>
      <c r="F13" s="139">
        <f>'RECAP 2'!F14</f>
        <v>0</v>
      </c>
      <c r="G13" s="139">
        <f>'RECAP 2'!G14+'RECAP 2'!H14</f>
        <v>0</v>
      </c>
      <c r="H13" s="139">
        <f>'RECAP 2'!I14+'RECAP 2'!J14</f>
        <v>0</v>
      </c>
      <c r="I13" s="139">
        <f>'RECAP 2'!K14</f>
        <v>0</v>
      </c>
      <c r="J13" s="139">
        <f>'RECAP 2'!L14</f>
        <v>0</v>
      </c>
      <c r="K13" s="139">
        <f>'RECAP 2'!M14+'RECAP 2'!N14+'RECAP 2'!O14</f>
        <v>0</v>
      </c>
      <c r="L13" s="139">
        <f>'RECAP 2'!P14</f>
        <v>0</v>
      </c>
      <c r="M13" s="139">
        <f>'RECAP 2'!Q14</f>
        <v>0</v>
      </c>
      <c r="N13" s="139">
        <f>'RECAP 2'!R14</f>
        <v>0</v>
      </c>
      <c r="O13" s="139">
        <f>'RECAP 2'!S14</f>
        <v>0</v>
      </c>
      <c r="P13" s="153">
        <f>+RECAP1!BF57</f>
        <v>0</v>
      </c>
      <c r="Q13" s="154">
        <v>10</v>
      </c>
      <c r="R13" s="157" t="s">
        <v>111</v>
      </c>
      <c r="S13" s="156">
        <f t="shared" si="0"/>
        <v>0</v>
      </c>
      <c r="T13" s="173">
        <v>50000</v>
      </c>
      <c r="U13" s="171">
        <f t="shared" si="1"/>
        <v>-50000</v>
      </c>
      <c r="V13" s="172">
        <f t="shared" si="2"/>
        <v>0</v>
      </c>
    </row>
    <row r="14" spans="1:25" ht="21" customHeight="1" thickBot="1">
      <c r="A14" s="137">
        <v>11</v>
      </c>
      <c r="B14" s="138">
        <f>'RECAP 2'!B15</f>
        <v>0</v>
      </c>
      <c r="C14" s="139">
        <f>'RECAP 2'!C15</f>
        <v>0</v>
      </c>
      <c r="D14" s="139">
        <f>'RECAP 2'!D15</f>
        <v>0</v>
      </c>
      <c r="E14" s="139">
        <f>'RECAP 2'!E15</f>
        <v>0</v>
      </c>
      <c r="F14" s="139">
        <f>'RECAP 2'!F15</f>
        <v>0</v>
      </c>
      <c r="G14" s="139">
        <f>'RECAP 2'!G15+'RECAP 2'!H15</f>
        <v>0</v>
      </c>
      <c r="H14" s="139">
        <f>'RECAP 2'!I15+'RECAP 2'!J15</f>
        <v>0</v>
      </c>
      <c r="I14" s="139">
        <f>'RECAP 2'!K15</f>
        <v>0</v>
      </c>
      <c r="J14" s="139">
        <f>'RECAP 2'!L15</f>
        <v>0</v>
      </c>
      <c r="K14" s="139">
        <f>'RECAP 2'!M15+'RECAP 2'!N15+'RECAP 2'!O15</f>
        <v>0</v>
      </c>
      <c r="L14" s="139">
        <f>'RECAP 2'!P15</f>
        <v>0</v>
      </c>
      <c r="M14" s="139">
        <f>'RECAP 2'!Q15</f>
        <v>0</v>
      </c>
      <c r="N14" s="139">
        <f>'RECAP 2'!R15</f>
        <v>0</v>
      </c>
      <c r="O14" s="139">
        <f>'RECAP 2'!S15</f>
        <v>0</v>
      </c>
      <c r="P14" s="153">
        <f>+RECAP1!BF58</f>
        <v>0</v>
      </c>
      <c r="Q14" s="154">
        <v>11</v>
      </c>
      <c r="R14" s="157" t="s">
        <v>112</v>
      </c>
      <c r="S14" s="156">
        <f t="shared" si="0"/>
        <v>0</v>
      </c>
      <c r="T14" s="173">
        <v>210000</v>
      </c>
      <c r="U14" s="171">
        <f t="shared" si="1"/>
        <v>-210000</v>
      </c>
      <c r="V14" s="172">
        <f t="shared" si="2"/>
        <v>0</v>
      </c>
    </row>
    <row r="15" spans="1:25" ht="20.25" customHeight="1" thickBot="1">
      <c r="A15" s="137">
        <v>12</v>
      </c>
      <c r="B15" s="138">
        <f>'RECAP 2'!B16</f>
        <v>0</v>
      </c>
      <c r="C15" s="139">
        <f>'RECAP 2'!C16</f>
        <v>0</v>
      </c>
      <c r="D15" s="139">
        <f>'RECAP 2'!D16</f>
        <v>0</v>
      </c>
      <c r="E15" s="139">
        <f>'RECAP 2'!E16</f>
        <v>0</v>
      </c>
      <c r="F15" s="139">
        <f>'RECAP 2'!F16</f>
        <v>0</v>
      </c>
      <c r="G15" s="139">
        <f>'RECAP 2'!G16+'RECAP 2'!H16</f>
        <v>0</v>
      </c>
      <c r="H15" s="139">
        <f>'RECAP 2'!I16+'RECAP 2'!J16</f>
        <v>0</v>
      </c>
      <c r="I15" s="139">
        <f>'RECAP 2'!K16</f>
        <v>0</v>
      </c>
      <c r="J15" s="139">
        <f>'RECAP 2'!L16</f>
        <v>0</v>
      </c>
      <c r="K15" s="139">
        <f>'RECAP 2'!M16+'RECAP 2'!N16+'RECAP 2'!O16</f>
        <v>0</v>
      </c>
      <c r="L15" s="139">
        <f>'RECAP 2'!P16</f>
        <v>0</v>
      </c>
      <c r="M15" s="139">
        <f>'RECAP 2'!Q16</f>
        <v>0</v>
      </c>
      <c r="N15" s="139">
        <f>'RECAP 2'!R16</f>
        <v>0</v>
      </c>
      <c r="O15" s="139">
        <f>'RECAP 2'!S16</f>
        <v>0</v>
      </c>
      <c r="P15" s="153">
        <f>+RECAP1!BF59</f>
        <v>0</v>
      </c>
      <c r="Q15" s="154">
        <v>12</v>
      </c>
      <c r="R15" s="157" t="s">
        <v>113</v>
      </c>
      <c r="S15" s="156">
        <f t="shared" si="0"/>
        <v>0</v>
      </c>
      <c r="T15" s="173">
        <v>260000</v>
      </c>
      <c r="U15" s="171">
        <f t="shared" si="1"/>
        <v>-260000</v>
      </c>
      <c r="V15" s="172">
        <f t="shared" si="2"/>
        <v>0</v>
      </c>
    </row>
    <row r="16" spans="1:25" ht="20.25" customHeight="1" thickBot="1">
      <c r="A16" s="137">
        <v>13</v>
      </c>
      <c r="B16" s="138">
        <f>'RECAP 2'!B17</f>
        <v>0</v>
      </c>
      <c r="C16" s="139">
        <f>'RECAP 2'!C17</f>
        <v>0</v>
      </c>
      <c r="D16" s="139">
        <f>'RECAP 2'!D17</f>
        <v>0</v>
      </c>
      <c r="E16" s="139">
        <f>'RECAP 2'!E17</f>
        <v>0</v>
      </c>
      <c r="F16" s="139">
        <f>'RECAP 2'!F17</f>
        <v>0</v>
      </c>
      <c r="G16" s="139">
        <f>'RECAP 2'!G17+'RECAP 2'!H17</f>
        <v>0</v>
      </c>
      <c r="H16" s="139">
        <f>'RECAP 2'!I17+'RECAP 2'!J17</f>
        <v>0</v>
      </c>
      <c r="I16" s="139">
        <f>'RECAP 2'!K17</f>
        <v>0</v>
      </c>
      <c r="J16" s="139">
        <f>'RECAP 2'!L17</f>
        <v>0</v>
      </c>
      <c r="K16" s="139">
        <f>'RECAP 2'!M17+'RECAP 2'!N17+'RECAP 2'!O17</f>
        <v>0</v>
      </c>
      <c r="L16" s="139">
        <f>'RECAP 2'!P17</f>
        <v>0</v>
      </c>
      <c r="M16" s="139">
        <f>'RECAP 2'!Q17</f>
        <v>0</v>
      </c>
      <c r="N16" s="139">
        <f>'RECAP 2'!R17</f>
        <v>0</v>
      </c>
      <c r="O16" s="139">
        <f>'RECAP 2'!S17</f>
        <v>0</v>
      </c>
      <c r="P16" s="153">
        <f>+RECAP1!BF60</f>
        <v>0</v>
      </c>
      <c r="Q16" s="154">
        <v>13</v>
      </c>
      <c r="R16" s="157" t="s">
        <v>107</v>
      </c>
      <c r="S16" s="156">
        <f t="shared" si="0"/>
        <v>0</v>
      </c>
      <c r="T16" s="173">
        <v>260000</v>
      </c>
      <c r="U16" s="171">
        <f t="shared" si="1"/>
        <v>-260000</v>
      </c>
      <c r="V16" s="172">
        <f t="shared" si="2"/>
        <v>0</v>
      </c>
    </row>
    <row r="17" spans="1:22" ht="20.25" customHeight="1" thickBot="1">
      <c r="A17" s="137">
        <v>14</v>
      </c>
      <c r="B17" s="138">
        <f>'RECAP 2'!B18</f>
        <v>0</v>
      </c>
      <c r="C17" s="139">
        <f>'RECAP 2'!C18</f>
        <v>0</v>
      </c>
      <c r="D17" s="139">
        <f>'RECAP 2'!D18</f>
        <v>0</v>
      </c>
      <c r="E17" s="139">
        <f>'RECAP 2'!E18</f>
        <v>0</v>
      </c>
      <c r="F17" s="139">
        <f>'RECAP 2'!F18</f>
        <v>0</v>
      </c>
      <c r="G17" s="139">
        <f>'RECAP 2'!G18+'RECAP 2'!H18</f>
        <v>0</v>
      </c>
      <c r="H17" s="139">
        <f>'RECAP 2'!I18+'RECAP 2'!J18</f>
        <v>0</v>
      </c>
      <c r="I17" s="139">
        <f>'RECAP 2'!K18</f>
        <v>0</v>
      </c>
      <c r="J17" s="139">
        <f>'RECAP 2'!L18</f>
        <v>0</v>
      </c>
      <c r="K17" s="139">
        <f>'RECAP 2'!M18+'RECAP 2'!N18+'RECAP 2'!O18</f>
        <v>0</v>
      </c>
      <c r="L17" s="139">
        <f>'RECAP 2'!P18</f>
        <v>0</v>
      </c>
      <c r="M17" s="139">
        <f>'RECAP 2'!Q18</f>
        <v>0</v>
      </c>
      <c r="N17" s="139">
        <f>'RECAP 2'!R18</f>
        <v>0</v>
      </c>
      <c r="O17" s="139">
        <f>'RECAP 2'!S18</f>
        <v>0</v>
      </c>
      <c r="P17" s="153">
        <f>+RECAP1!BF61</f>
        <v>0</v>
      </c>
      <c r="Q17" s="154">
        <v>14</v>
      </c>
      <c r="R17" s="158" t="s">
        <v>108</v>
      </c>
      <c r="S17" s="156">
        <f t="shared" si="0"/>
        <v>0</v>
      </c>
      <c r="T17" s="173">
        <v>260000</v>
      </c>
      <c r="U17" s="171">
        <f t="shared" si="1"/>
        <v>-260000</v>
      </c>
      <c r="V17" s="172">
        <f t="shared" si="2"/>
        <v>0</v>
      </c>
    </row>
    <row r="18" spans="1:22" ht="20.25" customHeight="1" thickBot="1">
      <c r="A18" s="137">
        <v>15</v>
      </c>
      <c r="B18" s="138">
        <f>'RECAP 2'!B19</f>
        <v>0</v>
      </c>
      <c r="C18" s="139">
        <f>'RECAP 2'!C19</f>
        <v>0</v>
      </c>
      <c r="D18" s="139">
        <f>'RECAP 2'!D19</f>
        <v>0</v>
      </c>
      <c r="E18" s="139">
        <f>'RECAP 2'!E19</f>
        <v>0</v>
      </c>
      <c r="F18" s="139">
        <f>'RECAP 2'!F19</f>
        <v>0</v>
      </c>
      <c r="G18" s="139">
        <f>'RECAP 2'!G19+'RECAP 2'!H19</f>
        <v>0</v>
      </c>
      <c r="H18" s="139">
        <f>'RECAP 2'!I19+'RECAP 2'!J19</f>
        <v>0</v>
      </c>
      <c r="I18" s="139">
        <f>'RECAP 2'!K19</f>
        <v>0</v>
      </c>
      <c r="J18" s="139">
        <f>'RECAP 2'!L19</f>
        <v>0</v>
      </c>
      <c r="K18" s="139">
        <f>'RECAP 2'!M19+'RECAP 2'!N19+'RECAP 2'!O19</f>
        <v>0</v>
      </c>
      <c r="L18" s="139">
        <f>'RECAP 2'!P19</f>
        <v>0</v>
      </c>
      <c r="M18" s="139">
        <f>'RECAP 2'!Q19</f>
        <v>0</v>
      </c>
      <c r="N18" s="139">
        <f>'RECAP 2'!R19</f>
        <v>0</v>
      </c>
      <c r="O18" s="139">
        <f>'RECAP 2'!S19</f>
        <v>0</v>
      </c>
      <c r="P18" s="153">
        <f>+RECAP1!BF62</f>
        <v>0</v>
      </c>
      <c r="Q18" s="154">
        <v>15</v>
      </c>
      <c r="R18" s="155" t="s">
        <v>109</v>
      </c>
      <c r="S18" s="156">
        <f t="shared" si="0"/>
        <v>0</v>
      </c>
      <c r="T18" s="173">
        <v>260000</v>
      </c>
      <c r="U18" s="171">
        <f t="shared" si="1"/>
        <v>-260000</v>
      </c>
      <c r="V18" s="172">
        <f t="shared" si="2"/>
        <v>0</v>
      </c>
    </row>
    <row r="19" spans="1:22" ht="19.5" customHeight="1" thickBot="1">
      <c r="A19" s="137">
        <v>16</v>
      </c>
      <c r="B19" s="138">
        <f>'RECAP 2'!B20</f>
        <v>0</v>
      </c>
      <c r="C19" s="139">
        <f>'RECAP 2'!C20</f>
        <v>0</v>
      </c>
      <c r="D19" s="139">
        <f>'RECAP 2'!D20</f>
        <v>0</v>
      </c>
      <c r="E19" s="139">
        <f>'RECAP 2'!E20</f>
        <v>0</v>
      </c>
      <c r="F19" s="139">
        <f>'RECAP 2'!F20</f>
        <v>0</v>
      </c>
      <c r="G19" s="139">
        <f>'RECAP 2'!G20+'RECAP 2'!H20</f>
        <v>0</v>
      </c>
      <c r="H19" s="139">
        <f>'RECAP 2'!I20+'RECAP 2'!J20</f>
        <v>0</v>
      </c>
      <c r="I19" s="139">
        <f>'RECAP 2'!K20</f>
        <v>0</v>
      </c>
      <c r="J19" s="139">
        <f>'RECAP 2'!L20</f>
        <v>0</v>
      </c>
      <c r="K19" s="139">
        <f>'RECAP 2'!M20+'RECAP 2'!N20+'RECAP 2'!O20</f>
        <v>0</v>
      </c>
      <c r="L19" s="139">
        <f>'RECAP 2'!P20</f>
        <v>0</v>
      </c>
      <c r="M19" s="139">
        <f>'RECAP 2'!Q20</f>
        <v>0</v>
      </c>
      <c r="N19" s="139">
        <f>'RECAP 2'!R20</f>
        <v>0</v>
      </c>
      <c r="O19" s="139">
        <f>'RECAP 2'!S20</f>
        <v>0</v>
      </c>
      <c r="P19" s="153">
        <f>+RECAP1!BF63</f>
        <v>0</v>
      </c>
      <c r="Q19" s="154">
        <v>16</v>
      </c>
      <c r="R19" s="157" t="s">
        <v>110</v>
      </c>
      <c r="S19" s="156">
        <f t="shared" si="0"/>
        <v>0</v>
      </c>
      <c r="T19" s="173">
        <v>260000</v>
      </c>
      <c r="U19" s="171">
        <f t="shared" si="1"/>
        <v>-260000</v>
      </c>
      <c r="V19" s="172">
        <f t="shared" si="2"/>
        <v>0</v>
      </c>
    </row>
    <row r="20" spans="1:22" ht="19.5" customHeight="1" thickBot="1">
      <c r="A20" s="137">
        <v>17</v>
      </c>
      <c r="B20" s="138">
        <f>'RECAP 2'!B21</f>
        <v>0</v>
      </c>
      <c r="C20" s="139">
        <f>'RECAP 2'!C21</f>
        <v>0</v>
      </c>
      <c r="D20" s="139">
        <f>'RECAP 2'!D21</f>
        <v>0</v>
      </c>
      <c r="E20" s="139">
        <f>'RECAP 2'!E21</f>
        <v>0</v>
      </c>
      <c r="F20" s="139">
        <f>'RECAP 2'!F21</f>
        <v>0</v>
      </c>
      <c r="G20" s="139">
        <f>'RECAP 2'!G21+'RECAP 2'!H21</f>
        <v>0</v>
      </c>
      <c r="H20" s="139">
        <f>'RECAP 2'!I21+'RECAP 2'!J21</f>
        <v>0</v>
      </c>
      <c r="I20" s="139">
        <f>'RECAP 2'!K21</f>
        <v>0</v>
      </c>
      <c r="J20" s="139">
        <f>'RECAP 2'!L21</f>
        <v>0</v>
      </c>
      <c r="K20" s="139">
        <f>'RECAP 2'!M21+'RECAP 2'!N21+'RECAP 2'!O21</f>
        <v>0</v>
      </c>
      <c r="L20" s="139">
        <f>'RECAP 2'!P21</f>
        <v>0</v>
      </c>
      <c r="M20" s="139">
        <f>'RECAP 2'!Q21</f>
        <v>0</v>
      </c>
      <c r="N20" s="139">
        <f>'RECAP 2'!R21</f>
        <v>0</v>
      </c>
      <c r="O20" s="139">
        <f>'RECAP 2'!S21</f>
        <v>0</v>
      </c>
      <c r="P20" s="153">
        <f>+RECAP1!BF64</f>
        <v>0</v>
      </c>
      <c r="Q20" s="154">
        <v>17</v>
      </c>
      <c r="R20" s="157" t="s">
        <v>111</v>
      </c>
      <c r="S20" s="156">
        <f t="shared" si="0"/>
        <v>0</v>
      </c>
      <c r="T20" s="173">
        <v>50000</v>
      </c>
      <c r="U20" s="171">
        <f t="shared" si="1"/>
        <v>-50000</v>
      </c>
      <c r="V20" s="172">
        <f t="shared" si="2"/>
        <v>0</v>
      </c>
    </row>
    <row r="21" spans="1:22" ht="19.5" customHeight="1" thickBot="1">
      <c r="A21" s="137">
        <v>18</v>
      </c>
      <c r="B21" s="138">
        <f>'RECAP 2'!B22</f>
        <v>0</v>
      </c>
      <c r="C21" s="139">
        <f>'RECAP 2'!C22</f>
        <v>0</v>
      </c>
      <c r="D21" s="139">
        <f>'RECAP 2'!D22</f>
        <v>0</v>
      </c>
      <c r="E21" s="139">
        <f>'RECAP 2'!E22</f>
        <v>0</v>
      </c>
      <c r="F21" s="139">
        <f>'RECAP 2'!F22</f>
        <v>0</v>
      </c>
      <c r="G21" s="139">
        <f>'RECAP 2'!G22+'RECAP 2'!H22</f>
        <v>0</v>
      </c>
      <c r="H21" s="139">
        <f>'RECAP 2'!I22+'RECAP 2'!J22</f>
        <v>0</v>
      </c>
      <c r="I21" s="139">
        <f>'RECAP 2'!K22</f>
        <v>0</v>
      </c>
      <c r="J21" s="139">
        <f>'RECAP 2'!L22</f>
        <v>0</v>
      </c>
      <c r="K21" s="139">
        <f>'RECAP 2'!M22+'RECAP 2'!N22+'RECAP 2'!O22</f>
        <v>0</v>
      </c>
      <c r="L21" s="139">
        <f>'RECAP 2'!P22</f>
        <v>0</v>
      </c>
      <c r="M21" s="139">
        <f>'RECAP 2'!Q22</f>
        <v>0</v>
      </c>
      <c r="N21" s="139">
        <f>'RECAP 2'!R22</f>
        <v>0</v>
      </c>
      <c r="O21" s="139">
        <f>'RECAP 2'!S22</f>
        <v>0</v>
      </c>
      <c r="P21" s="153">
        <f>+RECAP1!BF65</f>
        <v>0</v>
      </c>
      <c r="Q21" s="154">
        <v>18</v>
      </c>
      <c r="R21" s="157" t="s">
        <v>112</v>
      </c>
      <c r="S21" s="156">
        <f t="shared" si="0"/>
        <v>0</v>
      </c>
      <c r="T21" s="173">
        <v>210000</v>
      </c>
      <c r="U21" s="171">
        <f t="shared" si="1"/>
        <v>-210000</v>
      </c>
      <c r="V21" s="172">
        <f t="shared" si="2"/>
        <v>0</v>
      </c>
    </row>
    <row r="22" spans="1:22" ht="19.5" customHeight="1" thickBot="1">
      <c r="A22" s="137">
        <v>19</v>
      </c>
      <c r="B22" s="138">
        <f>'RECAP 2'!B23</f>
        <v>0</v>
      </c>
      <c r="C22" s="139">
        <f>'RECAP 2'!C23</f>
        <v>0</v>
      </c>
      <c r="D22" s="139">
        <f>'RECAP 2'!D23</f>
        <v>0</v>
      </c>
      <c r="E22" s="139">
        <f>'RECAP 2'!E23</f>
        <v>0</v>
      </c>
      <c r="F22" s="139">
        <f>'RECAP 2'!F23</f>
        <v>0</v>
      </c>
      <c r="G22" s="139">
        <f>'RECAP 2'!G23+'RECAP 2'!H23</f>
        <v>0</v>
      </c>
      <c r="H22" s="139">
        <f>'RECAP 2'!I23+'RECAP 2'!J23</f>
        <v>0</v>
      </c>
      <c r="I22" s="139">
        <f>'RECAP 2'!K23</f>
        <v>0</v>
      </c>
      <c r="J22" s="139">
        <f>'RECAP 2'!L23</f>
        <v>0</v>
      </c>
      <c r="K22" s="139">
        <f>'RECAP 2'!M23+'RECAP 2'!N23+'RECAP 2'!O23</f>
        <v>0</v>
      </c>
      <c r="L22" s="139">
        <f>'RECAP 2'!P23</f>
        <v>0</v>
      </c>
      <c r="M22" s="139">
        <f>'RECAP 2'!Q23</f>
        <v>0</v>
      </c>
      <c r="N22" s="139">
        <f>'RECAP 2'!R23</f>
        <v>0</v>
      </c>
      <c r="O22" s="139">
        <f>'RECAP 2'!S23</f>
        <v>0</v>
      </c>
      <c r="P22" s="153">
        <f>+RECAP1!BF66</f>
        <v>0</v>
      </c>
      <c r="Q22" s="154">
        <v>19</v>
      </c>
      <c r="R22" s="157" t="s">
        <v>113</v>
      </c>
      <c r="S22" s="156">
        <f t="shared" si="0"/>
        <v>0</v>
      </c>
      <c r="T22" s="173">
        <v>260000</v>
      </c>
      <c r="U22" s="171">
        <f t="shared" si="1"/>
        <v>-260000</v>
      </c>
      <c r="V22" s="172">
        <f t="shared" si="2"/>
        <v>0</v>
      </c>
    </row>
    <row r="23" spans="1:22" ht="19.5" customHeight="1" thickBot="1">
      <c r="A23" s="137">
        <v>20</v>
      </c>
      <c r="B23" s="138">
        <f>'RECAP 2'!B24</f>
        <v>0</v>
      </c>
      <c r="C23" s="139">
        <f>'RECAP 2'!C24</f>
        <v>0</v>
      </c>
      <c r="D23" s="139">
        <f>'RECAP 2'!D24</f>
        <v>0</v>
      </c>
      <c r="E23" s="139">
        <f>'RECAP 2'!E24</f>
        <v>0</v>
      </c>
      <c r="F23" s="139">
        <f>'RECAP 2'!F24</f>
        <v>0</v>
      </c>
      <c r="G23" s="139">
        <f>'RECAP 2'!G24+'RECAP 2'!H24</f>
        <v>0</v>
      </c>
      <c r="H23" s="139">
        <f>'RECAP 2'!I24+'RECAP 2'!J24</f>
        <v>0</v>
      </c>
      <c r="I23" s="139">
        <f>'RECAP 2'!K24</f>
        <v>0</v>
      </c>
      <c r="J23" s="139">
        <f>'RECAP 2'!L24</f>
        <v>0</v>
      </c>
      <c r="K23" s="139">
        <f>'RECAP 2'!M24+'RECAP 2'!N24+'RECAP 2'!O24</f>
        <v>0</v>
      </c>
      <c r="L23" s="139">
        <f>'RECAP 2'!P24</f>
        <v>0</v>
      </c>
      <c r="M23" s="139">
        <f>'RECAP 2'!Q24</f>
        <v>0</v>
      </c>
      <c r="N23" s="139">
        <f>'RECAP 2'!R24</f>
        <v>0</v>
      </c>
      <c r="O23" s="139">
        <f>'RECAP 2'!S24</f>
        <v>0</v>
      </c>
      <c r="P23" s="153">
        <f>+RECAP1!BF67</f>
        <v>0</v>
      </c>
      <c r="Q23" s="154">
        <v>20</v>
      </c>
      <c r="R23" s="157" t="s">
        <v>107</v>
      </c>
      <c r="S23" s="156">
        <f t="shared" si="0"/>
        <v>0</v>
      </c>
      <c r="T23" s="173">
        <v>260000</v>
      </c>
      <c r="U23" s="171">
        <f t="shared" si="1"/>
        <v>-260000</v>
      </c>
      <c r="V23" s="172">
        <f t="shared" si="2"/>
        <v>0</v>
      </c>
    </row>
    <row r="24" spans="1:22" ht="19.5" customHeight="1" thickBot="1">
      <c r="A24" s="137">
        <v>21</v>
      </c>
      <c r="B24" s="138">
        <f>'RECAP 2'!B25</f>
        <v>0</v>
      </c>
      <c r="C24" s="139">
        <f>'RECAP 2'!C25</f>
        <v>0</v>
      </c>
      <c r="D24" s="139">
        <f>'RECAP 2'!D25</f>
        <v>0</v>
      </c>
      <c r="E24" s="139">
        <f>'RECAP 2'!E25</f>
        <v>0</v>
      </c>
      <c r="F24" s="139">
        <f>'RECAP 2'!F25</f>
        <v>0</v>
      </c>
      <c r="G24" s="139">
        <f>'RECAP 2'!G25+'RECAP 2'!H25</f>
        <v>0</v>
      </c>
      <c r="H24" s="139">
        <f>'RECAP 2'!I25+'RECAP 2'!J25</f>
        <v>0</v>
      </c>
      <c r="I24" s="139">
        <f>'RECAP 2'!K25</f>
        <v>0</v>
      </c>
      <c r="J24" s="139">
        <f>'RECAP 2'!L25</f>
        <v>0</v>
      </c>
      <c r="K24" s="139">
        <f>'RECAP 2'!M25+'RECAP 2'!N25+'RECAP 2'!O25</f>
        <v>0</v>
      </c>
      <c r="L24" s="139">
        <f>'RECAP 2'!P25</f>
        <v>0</v>
      </c>
      <c r="M24" s="139">
        <f>'RECAP 2'!Q25</f>
        <v>0</v>
      </c>
      <c r="N24" s="139">
        <f>'RECAP 2'!R25</f>
        <v>0</v>
      </c>
      <c r="O24" s="139">
        <f>'RECAP 2'!S25</f>
        <v>0</v>
      </c>
      <c r="P24" s="153">
        <f>+RECAP1!BF68</f>
        <v>0</v>
      </c>
      <c r="Q24" s="154">
        <v>21</v>
      </c>
      <c r="R24" s="158" t="s">
        <v>108</v>
      </c>
      <c r="S24" s="156">
        <f t="shared" si="0"/>
        <v>0</v>
      </c>
      <c r="T24" s="173">
        <v>260000</v>
      </c>
      <c r="U24" s="171">
        <f t="shared" si="1"/>
        <v>-260000</v>
      </c>
      <c r="V24" s="172">
        <f t="shared" si="2"/>
        <v>0</v>
      </c>
    </row>
    <row r="25" spans="1:22" ht="21" customHeight="1" thickBot="1">
      <c r="A25" s="137">
        <v>22</v>
      </c>
      <c r="B25" s="138">
        <f>'RECAP 2'!B26</f>
        <v>0</v>
      </c>
      <c r="C25" s="139">
        <f>'RECAP 2'!C26</f>
        <v>0</v>
      </c>
      <c r="D25" s="139">
        <f>'RECAP 2'!D26</f>
        <v>0</v>
      </c>
      <c r="E25" s="139">
        <f>'RECAP 2'!E26</f>
        <v>0</v>
      </c>
      <c r="F25" s="139">
        <f>'RECAP 2'!F26</f>
        <v>0</v>
      </c>
      <c r="G25" s="139">
        <f>'RECAP 2'!G26+'RECAP 2'!H26</f>
        <v>0</v>
      </c>
      <c r="H25" s="139">
        <f>'RECAP 2'!I26+'RECAP 2'!J26</f>
        <v>0</v>
      </c>
      <c r="I25" s="139">
        <f>'RECAP 2'!K26</f>
        <v>0</v>
      </c>
      <c r="J25" s="139">
        <f>'RECAP 2'!L26</f>
        <v>0</v>
      </c>
      <c r="K25" s="139">
        <f>'RECAP 2'!M26+'RECAP 2'!N26+'RECAP 2'!O26</f>
        <v>0</v>
      </c>
      <c r="L25" s="139">
        <f>'RECAP 2'!P26</f>
        <v>0</v>
      </c>
      <c r="M25" s="139">
        <f>'RECAP 2'!Q26</f>
        <v>0</v>
      </c>
      <c r="N25" s="139">
        <f>'RECAP 2'!R26</f>
        <v>0</v>
      </c>
      <c r="O25" s="139">
        <f>'RECAP 2'!S26</f>
        <v>0</v>
      </c>
      <c r="P25" s="153">
        <f>+RECAP1!BF69</f>
        <v>0</v>
      </c>
      <c r="Q25" s="154">
        <v>22</v>
      </c>
      <c r="R25" s="155" t="s">
        <v>109</v>
      </c>
      <c r="S25" s="156">
        <f t="shared" si="0"/>
        <v>0</v>
      </c>
      <c r="T25" s="173">
        <v>260000</v>
      </c>
      <c r="U25" s="171">
        <f t="shared" si="1"/>
        <v>-260000</v>
      </c>
      <c r="V25" s="172">
        <f t="shared" si="2"/>
        <v>0</v>
      </c>
    </row>
    <row r="26" spans="1:22" ht="21" customHeight="1" thickBot="1">
      <c r="A26" s="137">
        <v>23</v>
      </c>
      <c r="B26" s="138">
        <f>'RECAP 2'!B27</f>
        <v>0</v>
      </c>
      <c r="C26" s="139">
        <f>'RECAP 2'!C27</f>
        <v>0</v>
      </c>
      <c r="D26" s="139">
        <f>'RECAP 2'!D27</f>
        <v>0</v>
      </c>
      <c r="E26" s="139">
        <f>'RECAP 2'!E27</f>
        <v>0</v>
      </c>
      <c r="F26" s="139">
        <f>'RECAP 2'!F27</f>
        <v>0</v>
      </c>
      <c r="G26" s="139">
        <f>'RECAP 2'!G27+'RECAP 2'!H27</f>
        <v>0</v>
      </c>
      <c r="H26" s="139">
        <f>'RECAP 2'!I27+'RECAP 2'!J27</f>
        <v>0</v>
      </c>
      <c r="I26" s="139">
        <f>'RECAP 2'!K27</f>
        <v>0</v>
      </c>
      <c r="J26" s="139">
        <f>'RECAP 2'!L27</f>
        <v>0</v>
      </c>
      <c r="K26" s="139">
        <f>'RECAP 2'!M27+'RECAP 2'!N27+'RECAP 2'!O27</f>
        <v>0</v>
      </c>
      <c r="L26" s="139">
        <f>'RECAP 2'!P27</f>
        <v>0</v>
      </c>
      <c r="M26" s="139">
        <f>'RECAP 2'!Q27</f>
        <v>0</v>
      </c>
      <c r="N26" s="139">
        <f>'RECAP 2'!R27</f>
        <v>0</v>
      </c>
      <c r="O26" s="139">
        <f>'RECAP 2'!S27</f>
        <v>0</v>
      </c>
      <c r="P26" s="153">
        <f>+RECAP1!BF70</f>
        <v>0</v>
      </c>
      <c r="Q26" s="154">
        <v>23</v>
      </c>
      <c r="R26" s="157" t="s">
        <v>110</v>
      </c>
      <c r="S26" s="156">
        <f t="shared" si="0"/>
        <v>0</v>
      </c>
      <c r="T26" s="173">
        <v>260000</v>
      </c>
      <c r="U26" s="171">
        <f t="shared" si="1"/>
        <v>-260000</v>
      </c>
      <c r="V26" s="172">
        <f t="shared" si="2"/>
        <v>0</v>
      </c>
    </row>
    <row r="27" spans="1:22" ht="24.75" customHeight="1" thickBot="1">
      <c r="A27" s="137">
        <v>24</v>
      </c>
      <c r="B27" s="138">
        <f>'RECAP 2'!B28</f>
        <v>0</v>
      </c>
      <c r="C27" s="139">
        <f>'RECAP 2'!C28</f>
        <v>0</v>
      </c>
      <c r="D27" s="139">
        <f>'RECAP 2'!D28</f>
        <v>0</v>
      </c>
      <c r="E27" s="139">
        <f>'RECAP 2'!E28</f>
        <v>0</v>
      </c>
      <c r="F27" s="139">
        <f>'RECAP 2'!F28</f>
        <v>0</v>
      </c>
      <c r="G27" s="139">
        <f>'RECAP 2'!G28+'RECAP 2'!H28</f>
        <v>0</v>
      </c>
      <c r="H27" s="139">
        <f>'RECAP 2'!I28+'RECAP 2'!J28</f>
        <v>0</v>
      </c>
      <c r="I27" s="139">
        <f>'RECAP 2'!K28</f>
        <v>0</v>
      </c>
      <c r="J27" s="139">
        <f>'RECAP 2'!L28</f>
        <v>0</v>
      </c>
      <c r="K27" s="139">
        <f>'RECAP 2'!M28+'RECAP 2'!N28+'RECAP 2'!O28</f>
        <v>0</v>
      </c>
      <c r="L27" s="139">
        <f>'RECAP 2'!P28</f>
        <v>0</v>
      </c>
      <c r="M27" s="139">
        <f>'RECAP 2'!Q28</f>
        <v>0</v>
      </c>
      <c r="N27" s="139">
        <f>'RECAP 2'!R28</f>
        <v>0</v>
      </c>
      <c r="O27" s="139">
        <f>'RECAP 2'!S28</f>
        <v>0</v>
      </c>
      <c r="P27" s="153">
        <f>+RECAP1!BF71</f>
        <v>0</v>
      </c>
      <c r="Q27" s="154">
        <v>24</v>
      </c>
      <c r="R27" s="157" t="s">
        <v>111</v>
      </c>
      <c r="S27" s="156">
        <f t="shared" si="0"/>
        <v>0</v>
      </c>
      <c r="T27" s="173">
        <v>50000</v>
      </c>
      <c r="U27" s="171">
        <f t="shared" si="1"/>
        <v>-50000</v>
      </c>
      <c r="V27" s="172">
        <f t="shared" si="2"/>
        <v>0</v>
      </c>
    </row>
    <row r="28" spans="1:22" ht="21" customHeight="1" thickBot="1">
      <c r="A28" s="137">
        <v>25</v>
      </c>
      <c r="B28" s="138">
        <f>'RECAP 2'!B29</f>
        <v>0</v>
      </c>
      <c r="C28" s="139">
        <f>'RECAP 2'!C29</f>
        <v>0</v>
      </c>
      <c r="D28" s="139">
        <f>'RECAP 2'!D29</f>
        <v>0</v>
      </c>
      <c r="E28" s="139">
        <f>'RECAP 2'!E29</f>
        <v>0</v>
      </c>
      <c r="F28" s="139">
        <f>'RECAP 2'!F29</f>
        <v>0</v>
      </c>
      <c r="G28" s="139">
        <f>'RECAP 2'!G29+'RECAP 2'!H29</f>
        <v>0</v>
      </c>
      <c r="H28" s="139">
        <f>'RECAP 2'!I29+'RECAP 2'!J29</f>
        <v>0</v>
      </c>
      <c r="I28" s="139">
        <f>'RECAP 2'!K29</f>
        <v>0</v>
      </c>
      <c r="J28" s="139">
        <f>'RECAP 2'!L29</f>
        <v>0</v>
      </c>
      <c r="K28" s="139">
        <f>'RECAP 2'!M29+'RECAP 2'!N29+'RECAP 2'!O29</f>
        <v>0</v>
      </c>
      <c r="L28" s="139">
        <f>'RECAP 2'!P29</f>
        <v>0</v>
      </c>
      <c r="M28" s="139">
        <f>'RECAP 2'!Q29</f>
        <v>0</v>
      </c>
      <c r="N28" s="139">
        <f>'RECAP 2'!R29</f>
        <v>0</v>
      </c>
      <c r="O28" s="139">
        <f>'RECAP 2'!S29</f>
        <v>0</v>
      </c>
      <c r="P28" s="153">
        <f>+RECAP1!BF72</f>
        <v>0</v>
      </c>
      <c r="Q28" s="154">
        <v>25</v>
      </c>
      <c r="R28" s="157" t="s">
        <v>112</v>
      </c>
      <c r="S28" s="156">
        <f t="shared" si="0"/>
        <v>0</v>
      </c>
      <c r="T28" s="173">
        <v>210000</v>
      </c>
      <c r="U28" s="171">
        <f t="shared" si="1"/>
        <v>-210000</v>
      </c>
      <c r="V28" s="172">
        <f t="shared" si="2"/>
        <v>0</v>
      </c>
    </row>
    <row r="29" spans="1:22" ht="21" customHeight="1" thickBot="1">
      <c r="A29" s="137">
        <v>26</v>
      </c>
      <c r="B29" s="138">
        <f>'RECAP 2'!B30</f>
        <v>0</v>
      </c>
      <c r="C29" s="139">
        <f>'RECAP 2'!C30</f>
        <v>0</v>
      </c>
      <c r="D29" s="139">
        <f>'RECAP 2'!D30</f>
        <v>0</v>
      </c>
      <c r="E29" s="139">
        <f>'RECAP 2'!E30</f>
        <v>0</v>
      </c>
      <c r="F29" s="139">
        <f>'RECAP 2'!F30</f>
        <v>0</v>
      </c>
      <c r="G29" s="139">
        <f>'RECAP 2'!G30+'RECAP 2'!H30</f>
        <v>0</v>
      </c>
      <c r="H29" s="139">
        <f>'RECAP 2'!I30+'RECAP 2'!J30</f>
        <v>0</v>
      </c>
      <c r="I29" s="139">
        <f>'RECAP 2'!K30</f>
        <v>0</v>
      </c>
      <c r="J29" s="139">
        <f>'RECAP 2'!L30</f>
        <v>0</v>
      </c>
      <c r="K29" s="139">
        <f>'RECAP 2'!M30+'RECAP 2'!N30+'RECAP 2'!O30</f>
        <v>0</v>
      </c>
      <c r="L29" s="139">
        <f>'RECAP 2'!P30</f>
        <v>0</v>
      </c>
      <c r="M29" s="139">
        <f>'RECAP 2'!Q30</f>
        <v>0</v>
      </c>
      <c r="N29" s="139">
        <f>'RECAP 2'!R30</f>
        <v>0</v>
      </c>
      <c r="O29" s="139">
        <f>'RECAP 2'!S30</f>
        <v>0</v>
      </c>
      <c r="P29" s="153">
        <f>+RECAP1!BF73</f>
        <v>0</v>
      </c>
      <c r="Q29" s="154">
        <v>26</v>
      </c>
      <c r="R29" s="157" t="s">
        <v>113</v>
      </c>
      <c r="S29" s="156">
        <f t="shared" si="0"/>
        <v>0</v>
      </c>
      <c r="T29" s="173">
        <v>260000</v>
      </c>
      <c r="U29" s="171">
        <f t="shared" si="1"/>
        <v>-260000</v>
      </c>
      <c r="V29" s="172">
        <f t="shared" si="2"/>
        <v>0</v>
      </c>
    </row>
    <row r="30" spans="1:22" ht="19.5" customHeight="1" thickBot="1">
      <c r="A30" s="137">
        <v>27</v>
      </c>
      <c r="B30" s="138">
        <f>'RECAP 2'!B31</f>
        <v>0</v>
      </c>
      <c r="C30" s="139">
        <f>'RECAP 2'!C31</f>
        <v>0</v>
      </c>
      <c r="D30" s="139">
        <f>'RECAP 2'!D31</f>
        <v>0</v>
      </c>
      <c r="E30" s="139">
        <f>'RECAP 2'!E31</f>
        <v>0</v>
      </c>
      <c r="F30" s="139">
        <f>'RECAP 2'!F31</f>
        <v>0</v>
      </c>
      <c r="G30" s="139">
        <f>'RECAP 2'!G31+'RECAP 2'!H31</f>
        <v>0</v>
      </c>
      <c r="H30" s="139">
        <f>'RECAP 2'!I31+'RECAP 2'!J31</f>
        <v>0</v>
      </c>
      <c r="I30" s="139">
        <f>'RECAP 2'!K31</f>
        <v>0</v>
      </c>
      <c r="J30" s="139">
        <f>'RECAP 2'!L31</f>
        <v>0</v>
      </c>
      <c r="K30" s="139">
        <f>'RECAP 2'!M31+'RECAP 2'!N31+'RECAP 2'!O31</f>
        <v>0</v>
      </c>
      <c r="L30" s="139">
        <f>'RECAP 2'!P31</f>
        <v>0</v>
      </c>
      <c r="M30" s="139">
        <f>'RECAP 2'!Q31</f>
        <v>0</v>
      </c>
      <c r="N30" s="139">
        <f>'RECAP 2'!R31</f>
        <v>0</v>
      </c>
      <c r="O30" s="139">
        <f>'RECAP 2'!S31</f>
        <v>0</v>
      </c>
      <c r="P30" s="153">
        <f>+RECAP1!BF74</f>
        <v>0</v>
      </c>
      <c r="Q30" s="154">
        <v>27</v>
      </c>
      <c r="R30" s="157" t="s">
        <v>107</v>
      </c>
      <c r="S30" s="156">
        <f t="shared" si="0"/>
        <v>0</v>
      </c>
      <c r="T30" s="173">
        <v>260000</v>
      </c>
      <c r="U30" s="171">
        <f t="shared" si="1"/>
        <v>-260000</v>
      </c>
      <c r="V30" s="172">
        <f t="shared" si="2"/>
        <v>0</v>
      </c>
    </row>
    <row r="31" spans="1:22" ht="19.5" customHeight="1" thickBot="1">
      <c r="A31" s="137">
        <v>28</v>
      </c>
      <c r="B31" s="138">
        <f>'RECAP 2'!B32</f>
        <v>0</v>
      </c>
      <c r="C31" s="139">
        <f>'RECAP 2'!C32</f>
        <v>0</v>
      </c>
      <c r="D31" s="139">
        <f>'RECAP 2'!D32</f>
        <v>0</v>
      </c>
      <c r="E31" s="139">
        <f>'RECAP 2'!E32</f>
        <v>0</v>
      </c>
      <c r="F31" s="139">
        <f>'RECAP 2'!F32</f>
        <v>0</v>
      </c>
      <c r="G31" s="139">
        <f>'RECAP 2'!G32+'RECAP 2'!H32</f>
        <v>0</v>
      </c>
      <c r="H31" s="139">
        <f>'RECAP 2'!I32+'RECAP 2'!J32</f>
        <v>0</v>
      </c>
      <c r="I31" s="139">
        <f>'RECAP 2'!K32</f>
        <v>0</v>
      </c>
      <c r="J31" s="139">
        <f>'RECAP 2'!L32</f>
        <v>0</v>
      </c>
      <c r="K31" s="139">
        <f>'RECAP 2'!M32+'RECAP 2'!N32+'RECAP 2'!O32</f>
        <v>0</v>
      </c>
      <c r="L31" s="139">
        <f>'RECAP 2'!P32</f>
        <v>0</v>
      </c>
      <c r="M31" s="139">
        <f>'RECAP 2'!Q32</f>
        <v>0</v>
      </c>
      <c r="N31" s="139">
        <f>'RECAP 2'!R32</f>
        <v>0</v>
      </c>
      <c r="O31" s="139">
        <f>'RECAP 2'!S32</f>
        <v>0</v>
      </c>
      <c r="P31" s="153">
        <f>+RECAP1!BF75</f>
        <v>0</v>
      </c>
      <c r="Q31" s="154">
        <v>28</v>
      </c>
      <c r="R31" s="158" t="s">
        <v>108</v>
      </c>
      <c r="S31" s="156">
        <f t="shared" si="0"/>
        <v>0</v>
      </c>
      <c r="T31" s="173">
        <v>260000</v>
      </c>
      <c r="U31" s="171">
        <f t="shared" si="1"/>
        <v>-260000</v>
      </c>
      <c r="V31" s="172">
        <f t="shared" si="2"/>
        <v>0</v>
      </c>
    </row>
    <row r="32" spans="1:22" ht="19.5" customHeight="1" thickBot="1">
      <c r="A32" s="137">
        <v>29</v>
      </c>
      <c r="B32" s="138">
        <f>'RECAP 2'!B33</f>
        <v>0</v>
      </c>
      <c r="C32" s="139">
        <f>'RECAP 2'!C33</f>
        <v>0</v>
      </c>
      <c r="D32" s="139">
        <f>'RECAP 2'!D33</f>
        <v>0</v>
      </c>
      <c r="E32" s="139">
        <f>'RECAP 2'!E33</f>
        <v>0</v>
      </c>
      <c r="F32" s="139">
        <f>'RECAP 2'!F33</f>
        <v>0</v>
      </c>
      <c r="G32" s="139">
        <f>'RECAP 2'!G33+'RECAP 2'!H33</f>
        <v>0</v>
      </c>
      <c r="H32" s="139">
        <f>'RECAP 2'!I33+'RECAP 2'!J33</f>
        <v>0</v>
      </c>
      <c r="I32" s="139">
        <f>'RECAP 2'!K33</f>
        <v>0</v>
      </c>
      <c r="J32" s="139">
        <f>'RECAP 2'!L33</f>
        <v>0</v>
      </c>
      <c r="K32" s="139">
        <f>'RECAP 2'!M33+'RECAP 2'!N33+'RECAP 2'!O33</f>
        <v>0</v>
      </c>
      <c r="L32" s="139">
        <f>'RECAP 2'!P33</f>
        <v>0</v>
      </c>
      <c r="M32" s="139">
        <f>'RECAP 2'!Q33</f>
        <v>0</v>
      </c>
      <c r="N32" s="139">
        <f>'RECAP 2'!R33</f>
        <v>0</v>
      </c>
      <c r="O32" s="139">
        <f>'RECAP 2'!S33</f>
        <v>0</v>
      </c>
      <c r="P32" s="153">
        <f>+RECAP1!BF76</f>
        <v>0</v>
      </c>
      <c r="Q32" s="154">
        <v>29</v>
      </c>
      <c r="R32" s="155" t="s">
        <v>109</v>
      </c>
      <c r="S32" s="156">
        <f t="shared" si="0"/>
        <v>0</v>
      </c>
      <c r="T32" s="173">
        <v>260000</v>
      </c>
      <c r="U32" s="171">
        <f t="shared" si="1"/>
        <v>-260000</v>
      </c>
      <c r="V32" s="172">
        <f t="shared" si="2"/>
        <v>0</v>
      </c>
    </row>
    <row r="33" spans="1:22" ht="19.5" customHeight="1" thickBot="1">
      <c r="A33" s="137">
        <v>30</v>
      </c>
      <c r="B33" s="138">
        <f>'RECAP 2'!B34</f>
        <v>0</v>
      </c>
      <c r="C33" s="139">
        <f>'RECAP 2'!C34</f>
        <v>0</v>
      </c>
      <c r="D33" s="139">
        <f>'RECAP 2'!D34</f>
        <v>0</v>
      </c>
      <c r="E33" s="139">
        <f>'RECAP 2'!E34</f>
        <v>0</v>
      </c>
      <c r="F33" s="139">
        <f>'RECAP 2'!F34</f>
        <v>0</v>
      </c>
      <c r="G33" s="139">
        <f>'RECAP 2'!G34+'RECAP 2'!H34</f>
        <v>0</v>
      </c>
      <c r="H33" s="139">
        <f>'RECAP 2'!I34+'RECAP 2'!J34</f>
        <v>0</v>
      </c>
      <c r="I33" s="139">
        <f>'RECAP 2'!K34</f>
        <v>0</v>
      </c>
      <c r="J33" s="139">
        <f>'RECAP 2'!L34</f>
        <v>0</v>
      </c>
      <c r="K33" s="139">
        <f>'RECAP 2'!M34+'RECAP 2'!N34+'RECAP 2'!O34</f>
        <v>0</v>
      </c>
      <c r="L33" s="139">
        <f>'RECAP 2'!P34</f>
        <v>0</v>
      </c>
      <c r="M33" s="139">
        <f>'RECAP 2'!Q34</f>
        <v>0</v>
      </c>
      <c r="N33" s="139">
        <f>'RECAP 2'!R34</f>
        <v>0</v>
      </c>
      <c r="O33" s="139">
        <f>'RECAP 2'!S34</f>
        <v>0</v>
      </c>
      <c r="P33" s="153">
        <f>+RECAP1!BF77</f>
        <v>0</v>
      </c>
      <c r="Q33" s="154">
        <v>30</v>
      </c>
      <c r="R33" s="157" t="s">
        <v>110</v>
      </c>
      <c r="S33" s="156">
        <f t="shared" si="0"/>
        <v>0</v>
      </c>
      <c r="T33" s="173">
        <v>260000</v>
      </c>
      <c r="U33" s="171">
        <f t="shared" si="1"/>
        <v>-260000</v>
      </c>
      <c r="V33" s="172">
        <f t="shared" si="2"/>
        <v>0</v>
      </c>
    </row>
    <row r="34" spans="1:22" ht="24" customHeight="1" thickBot="1">
      <c r="A34" s="137">
        <v>31</v>
      </c>
      <c r="B34" s="138">
        <f>'RECAP 2'!B35</f>
        <v>0</v>
      </c>
      <c r="C34" s="139">
        <f>'RECAP 2'!C35</f>
        <v>0</v>
      </c>
      <c r="D34" s="139">
        <f>'RECAP 2'!D35</f>
        <v>0</v>
      </c>
      <c r="E34" s="139">
        <f>'RECAP 2'!E35</f>
        <v>0</v>
      </c>
      <c r="F34" s="139">
        <f>'RECAP 2'!F35</f>
        <v>0</v>
      </c>
      <c r="G34" s="139">
        <f>'RECAP 2'!G35+'RECAP 2'!H35</f>
        <v>0</v>
      </c>
      <c r="H34" s="139">
        <f>'RECAP 2'!I35+'RECAP 2'!J35</f>
        <v>0</v>
      </c>
      <c r="I34" s="139">
        <f>'RECAP 2'!K35</f>
        <v>0</v>
      </c>
      <c r="J34" s="139">
        <f>'RECAP 2'!L35</f>
        <v>0</v>
      </c>
      <c r="K34" s="139">
        <f>'RECAP 2'!M35+'RECAP 2'!N35+'RECAP 2'!O35</f>
        <v>0</v>
      </c>
      <c r="L34" s="139">
        <f>'RECAP 2'!P35</f>
        <v>0</v>
      </c>
      <c r="M34" s="139">
        <f>'RECAP 2'!Q35</f>
        <v>0</v>
      </c>
      <c r="N34" s="139">
        <f>'RECAP 2'!R35</f>
        <v>0</v>
      </c>
      <c r="O34" s="139">
        <f>'RECAP 2'!S35</f>
        <v>0</v>
      </c>
      <c r="P34" s="153">
        <f>+RECAP1!BF78</f>
        <v>0</v>
      </c>
      <c r="Q34" s="154">
        <v>31</v>
      </c>
      <c r="R34" s="157" t="s">
        <v>111</v>
      </c>
      <c r="S34" s="156">
        <f t="shared" si="0"/>
        <v>0</v>
      </c>
      <c r="T34" s="173">
        <v>50000</v>
      </c>
      <c r="U34" s="171">
        <f t="shared" si="1"/>
        <v>-50000</v>
      </c>
      <c r="V34" s="172">
        <f t="shared" si="2"/>
        <v>0</v>
      </c>
    </row>
    <row r="35" spans="1:22" ht="0.75" customHeight="1" thickBot="1">
      <c r="A35" s="140"/>
      <c r="B35" s="141"/>
      <c r="C35" s="142"/>
      <c r="D35" s="142"/>
      <c r="E35" s="142"/>
      <c r="F35" s="142"/>
      <c r="G35" s="142"/>
      <c r="H35" s="142"/>
      <c r="I35" s="142"/>
      <c r="J35" s="142"/>
      <c r="K35" s="142"/>
      <c r="L35" s="142"/>
      <c r="M35" s="142"/>
      <c r="N35" s="142"/>
      <c r="O35" s="142"/>
      <c r="P35" s="159"/>
      <c r="Q35" s="154"/>
      <c r="R35" s="157"/>
      <c r="S35" s="160"/>
      <c r="T35" s="174"/>
      <c r="U35" s="175"/>
      <c r="V35" s="176"/>
    </row>
    <row r="36" spans="1:22" ht="15.75" customHeight="1" thickBot="1">
      <c r="A36" s="590" t="s">
        <v>59</v>
      </c>
      <c r="B36" s="143">
        <f>SUM(B4:B34)</f>
        <v>0</v>
      </c>
      <c r="C36" s="143">
        <f t="shared" ref="C36:P36" si="3">SUM(C4:C34)</f>
        <v>0</v>
      </c>
      <c r="D36" s="143">
        <f t="shared" si="3"/>
        <v>0</v>
      </c>
      <c r="E36" s="143">
        <f t="shared" si="3"/>
        <v>0</v>
      </c>
      <c r="F36" s="143">
        <f t="shared" si="3"/>
        <v>0</v>
      </c>
      <c r="G36" s="143">
        <f t="shared" si="3"/>
        <v>0</v>
      </c>
      <c r="H36" s="143">
        <f t="shared" si="3"/>
        <v>0</v>
      </c>
      <c r="I36" s="143">
        <f t="shared" si="3"/>
        <v>0</v>
      </c>
      <c r="J36" s="143">
        <f t="shared" si="3"/>
        <v>0</v>
      </c>
      <c r="K36" s="143">
        <f>SUM(K4:K34)</f>
        <v>0</v>
      </c>
      <c r="L36" s="143">
        <f t="shared" si="3"/>
        <v>0</v>
      </c>
      <c r="M36" s="143">
        <f t="shared" ref="M36:N36" si="4">SUM(M4:M34)</f>
        <v>0</v>
      </c>
      <c r="N36" s="143">
        <f t="shared" si="4"/>
        <v>0</v>
      </c>
      <c r="O36" s="143">
        <f t="shared" ref="O36" si="5">SUM(O4:O34)</f>
        <v>0</v>
      </c>
      <c r="P36" s="592">
        <f t="shared" si="3"/>
        <v>0</v>
      </c>
      <c r="Q36" s="599" t="s">
        <v>114</v>
      </c>
      <c r="R36" s="599"/>
      <c r="S36" s="594">
        <f>SUM(S4:S34)</f>
        <v>0</v>
      </c>
      <c r="T36" s="594">
        <f>SUM(T4:T34)</f>
        <v>6689780</v>
      </c>
      <c r="U36" s="594">
        <f>+S36-T36</f>
        <v>-6689780</v>
      </c>
      <c r="V36" s="597">
        <f>+S36/T36</f>
        <v>0</v>
      </c>
    </row>
    <row r="37" spans="1:22" ht="24.75" customHeight="1" thickBot="1">
      <c r="A37" s="591"/>
      <c r="B37" s="144"/>
      <c r="C37" s="588">
        <f>S36</f>
        <v>0</v>
      </c>
      <c r="D37" s="589"/>
      <c r="E37" s="589"/>
      <c r="F37" s="589"/>
      <c r="G37" s="589"/>
      <c r="H37" s="589"/>
      <c r="I37" s="589"/>
      <c r="J37" s="589"/>
      <c r="K37" s="161"/>
      <c r="L37" s="161"/>
      <c r="M37" s="161"/>
      <c r="N37" s="161"/>
      <c r="O37" s="161"/>
      <c r="P37" s="593"/>
      <c r="Q37" s="599"/>
      <c r="R37" s="599"/>
      <c r="S37" s="595"/>
      <c r="T37" s="596"/>
      <c r="U37" s="596"/>
      <c r="V37" s="598"/>
    </row>
    <row r="38" spans="1:22">
      <c r="C38" s="145"/>
      <c r="D38" s="145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</row>
    <row r="39" spans="1:22"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6"/>
      <c r="O39" s="146"/>
    </row>
    <row r="40" spans="1:22">
      <c r="C40" s="147"/>
      <c r="D40" s="147"/>
      <c r="E40" s="147"/>
      <c r="F40" s="147"/>
      <c r="G40" s="147"/>
      <c r="H40" s="147"/>
      <c r="I40" s="147"/>
      <c r="J40" s="147"/>
      <c r="K40" s="147"/>
      <c r="L40" s="147"/>
      <c r="M40" s="147"/>
      <c r="N40" s="147"/>
      <c r="O40" s="147"/>
    </row>
    <row r="41" spans="1:22">
      <c r="C41" s="148"/>
      <c r="D41" s="148"/>
      <c r="E41" s="148"/>
      <c r="F41" s="148"/>
      <c r="G41" s="148"/>
      <c r="H41" s="148"/>
      <c r="I41" s="148"/>
      <c r="J41" s="148"/>
      <c r="K41" s="148"/>
      <c r="L41" s="148"/>
      <c r="M41" s="148"/>
      <c r="N41" s="148"/>
      <c r="O41" s="148"/>
    </row>
    <row r="42" spans="1:22">
      <c r="C42" s="148"/>
      <c r="D42" s="148"/>
      <c r="E42" s="148"/>
      <c r="F42" s="148"/>
      <c r="G42" s="148"/>
      <c r="H42" s="148"/>
      <c r="I42" s="148"/>
      <c r="J42" s="148"/>
      <c r="K42" s="148"/>
      <c r="L42" s="148"/>
      <c r="M42" s="148"/>
      <c r="N42" s="148"/>
      <c r="O42" s="148"/>
    </row>
    <row r="43" spans="1:22">
      <c r="E43" s="149"/>
      <c r="F43" s="145"/>
    </row>
  </sheetData>
  <mergeCells count="10">
    <mergeCell ref="A2:V2"/>
    <mergeCell ref="Q3:R3"/>
    <mergeCell ref="C37:J37"/>
    <mergeCell ref="A36:A37"/>
    <mergeCell ref="P36:P37"/>
    <mergeCell ref="S36:S37"/>
    <mergeCell ref="T36:T37"/>
    <mergeCell ref="U36:U37"/>
    <mergeCell ref="V36:V37"/>
    <mergeCell ref="Q36:R37"/>
  </mergeCells>
  <printOptions horizontalCentered="1"/>
  <pageMargins left="0.196850393700787" right="0.196850393700787" top="0" bottom="0" header="0" footer="0"/>
  <pageSetup paperSize="9" scale="7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Z76"/>
  <sheetViews>
    <sheetView zoomScale="48" zoomScaleNormal="48" workbookViewId="0">
      <selection activeCell="X8" sqref="X8"/>
    </sheetView>
  </sheetViews>
  <sheetFormatPr baseColWidth="10" defaultColWidth="11.42578125" defaultRowHeight="15"/>
  <cols>
    <col min="1" max="1" width="26.5703125" customWidth="1"/>
    <col min="2" max="2" width="14.42578125" customWidth="1"/>
    <col min="3" max="3" width="15.5703125" customWidth="1"/>
    <col min="4" max="4" width="14.85546875" customWidth="1"/>
    <col min="5" max="5" width="14.42578125" customWidth="1"/>
    <col min="6" max="6" width="15.28515625" customWidth="1"/>
    <col min="7" max="7" width="14.85546875" customWidth="1"/>
    <col min="8" max="8" width="14.5703125" customWidth="1"/>
    <col min="9" max="9" width="15.28515625" customWidth="1"/>
    <col min="10" max="10" width="14.85546875" customWidth="1"/>
    <col min="11" max="11" width="14.42578125" customWidth="1"/>
    <col min="12" max="12" width="15.140625" customWidth="1"/>
    <col min="13" max="13" width="13.42578125" customWidth="1"/>
    <col min="14" max="14" width="16.85546875" customWidth="1"/>
    <col min="15" max="15" width="15.5703125" customWidth="1"/>
    <col min="16" max="17" width="17.5703125" customWidth="1"/>
    <col min="18" max="18" width="14.5703125" customWidth="1"/>
    <col min="19" max="20" width="15.28515625" customWidth="1"/>
    <col min="21" max="24" width="17.5703125" customWidth="1"/>
    <col min="25" max="25" width="14.7109375" customWidth="1"/>
  </cols>
  <sheetData>
    <row r="3" spans="1:25" ht="69" customHeight="1" thickBot="1">
      <c r="A3" s="600" t="s">
        <v>115</v>
      </c>
      <c r="B3" s="603" t="s">
        <v>116</v>
      </c>
      <c r="C3" s="604"/>
      <c r="D3" s="604"/>
      <c r="E3" s="604"/>
      <c r="F3" s="604"/>
      <c r="G3" s="604"/>
      <c r="H3" s="604"/>
      <c r="I3" s="604"/>
      <c r="J3" s="604"/>
      <c r="K3" s="604"/>
      <c r="L3" s="604"/>
      <c r="M3" s="604"/>
      <c r="N3" s="604"/>
      <c r="O3" s="604"/>
      <c r="P3" s="604"/>
      <c r="Q3" s="604"/>
      <c r="R3" s="604"/>
      <c r="S3" s="604"/>
      <c r="T3" s="604"/>
      <c r="U3" s="604"/>
      <c r="V3" s="604"/>
      <c r="W3" s="604"/>
      <c r="X3" s="604"/>
      <c r="Y3" s="605"/>
    </row>
    <row r="4" spans="1:25" ht="15" customHeight="1">
      <c r="A4" s="601"/>
      <c r="B4" s="618"/>
      <c r="C4" s="619"/>
      <c r="D4" s="619"/>
      <c r="E4" s="619"/>
      <c r="F4" s="619"/>
      <c r="G4" s="619"/>
      <c r="H4" s="619"/>
      <c r="I4" s="619"/>
      <c r="J4" s="619"/>
      <c r="K4" s="619"/>
      <c r="L4" s="619"/>
      <c r="M4" s="619"/>
      <c r="N4" s="619"/>
      <c r="O4" s="619"/>
      <c r="P4" s="619"/>
      <c r="Q4" s="619"/>
      <c r="R4" s="619"/>
      <c r="S4" s="619"/>
      <c r="T4" s="619"/>
      <c r="U4" s="619"/>
      <c r="V4" s="619"/>
      <c r="W4" s="619"/>
      <c r="X4" s="619"/>
      <c r="Y4" s="620"/>
    </row>
    <row r="5" spans="1:25" ht="15.75" customHeight="1" thickBot="1">
      <c r="A5" s="601"/>
      <c r="B5" s="621"/>
      <c r="C5" s="622"/>
      <c r="D5" s="622"/>
      <c r="E5" s="622"/>
      <c r="F5" s="622"/>
      <c r="G5" s="622"/>
      <c r="H5" s="622"/>
      <c r="I5" s="622"/>
      <c r="J5" s="622"/>
      <c r="K5" s="622"/>
      <c r="L5" s="622"/>
      <c r="M5" s="622"/>
      <c r="N5" s="622"/>
      <c r="O5" s="622"/>
      <c r="P5" s="622"/>
      <c r="Q5" s="622"/>
      <c r="R5" s="622"/>
      <c r="S5" s="622"/>
      <c r="T5" s="622"/>
      <c r="U5" s="622"/>
      <c r="V5" s="622"/>
      <c r="W5" s="622"/>
      <c r="X5" s="622"/>
      <c r="Y5" s="623"/>
    </row>
    <row r="6" spans="1:25" ht="34.5" customHeight="1" thickBot="1">
      <c r="A6" s="601"/>
      <c r="B6" s="624" t="s">
        <v>117</v>
      </c>
      <c r="C6" s="629"/>
      <c r="D6" s="625"/>
      <c r="E6" s="613" t="s">
        <v>118</v>
      </c>
      <c r="F6" s="614"/>
      <c r="G6" s="615"/>
      <c r="H6" s="624" t="s">
        <v>119</v>
      </c>
      <c r="I6" s="625"/>
      <c r="J6" s="624" t="s">
        <v>120</v>
      </c>
      <c r="K6" s="625"/>
      <c r="L6" s="624" t="s">
        <v>121</v>
      </c>
      <c r="M6" s="625"/>
      <c r="N6" s="44" t="s">
        <v>122</v>
      </c>
      <c r="O6" s="44" t="s">
        <v>123</v>
      </c>
      <c r="P6" s="44" t="s">
        <v>124</v>
      </c>
      <c r="Q6" s="44" t="s">
        <v>125</v>
      </c>
      <c r="R6" s="613" t="s">
        <v>54</v>
      </c>
      <c r="S6" s="614"/>
      <c r="T6" s="615"/>
      <c r="U6" s="44" t="s">
        <v>146</v>
      </c>
      <c r="V6" s="416" t="s">
        <v>189</v>
      </c>
      <c r="W6" s="416" t="s">
        <v>190</v>
      </c>
      <c r="X6" s="416" t="s">
        <v>191</v>
      </c>
      <c r="Y6" s="609"/>
    </row>
    <row r="7" spans="1:25" ht="21.75" thickBot="1">
      <c r="A7" s="602"/>
      <c r="B7" s="106" t="s">
        <v>126</v>
      </c>
      <c r="C7" s="107" t="s">
        <v>127</v>
      </c>
      <c r="D7" s="108" t="s">
        <v>128</v>
      </c>
      <c r="E7" s="106" t="s">
        <v>129</v>
      </c>
      <c r="F7" s="107" t="s">
        <v>127</v>
      </c>
      <c r="G7" s="108" t="s">
        <v>128</v>
      </c>
      <c r="H7" s="106" t="s">
        <v>127</v>
      </c>
      <c r="I7" s="108" t="s">
        <v>128</v>
      </c>
      <c r="J7" s="106" t="s">
        <v>127</v>
      </c>
      <c r="K7" s="108" t="s">
        <v>128</v>
      </c>
      <c r="L7" s="106" t="s">
        <v>130</v>
      </c>
      <c r="M7" s="108" t="s">
        <v>128</v>
      </c>
      <c r="N7" s="31" t="s">
        <v>127</v>
      </c>
      <c r="O7" s="31" t="s">
        <v>127</v>
      </c>
      <c r="P7" s="31" t="s">
        <v>127</v>
      </c>
      <c r="Q7" s="31" t="s">
        <v>127</v>
      </c>
      <c r="R7" s="106" t="s">
        <v>129</v>
      </c>
      <c r="S7" s="106" t="s">
        <v>127</v>
      </c>
      <c r="T7" s="106" t="s">
        <v>127</v>
      </c>
      <c r="U7" s="31" t="s">
        <v>127</v>
      </c>
      <c r="V7" s="31" t="s">
        <v>127</v>
      </c>
      <c r="W7" s="31" t="s">
        <v>127</v>
      </c>
      <c r="X7" s="31" t="s">
        <v>127</v>
      </c>
      <c r="Y7" s="610"/>
    </row>
    <row r="8" spans="1:25" ht="39.950000000000003" customHeight="1" thickBot="1">
      <c r="A8" s="109">
        <f>SUM(B8:U8)</f>
        <v>0</v>
      </c>
      <c r="B8" s="110"/>
      <c r="C8" s="110"/>
      <c r="D8" s="110"/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24">
        <v>1</v>
      </c>
    </row>
    <row r="9" spans="1:25" ht="39.950000000000003" customHeight="1" thickBot="1">
      <c r="A9" s="109">
        <f t="shared" ref="A9:A38" si="0">SUM(B9:U9)</f>
        <v>0</v>
      </c>
      <c r="B9" s="110"/>
      <c r="C9" s="110"/>
      <c r="D9" s="110"/>
      <c r="E9" s="110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25">
        <v>2</v>
      </c>
    </row>
    <row r="10" spans="1:25" ht="39.950000000000003" customHeight="1" thickBot="1">
      <c r="A10" s="109">
        <f t="shared" si="0"/>
        <v>0</v>
      </c>
      <c r="B10" s="110"/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25">
        <v>3</v>
      </c>
    </row>
    <row r="11" spans="1:25" ht="39.950000000000003" customHeight="1" thickBot="1">
      <c r="A11" s="109">
        <f t="shared" si="0"/>
        <v>0</v>
      </c>
      <c r="B11" s="110"/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25">
        <v>4</v>
      </c>
    </row>
    <row r="12" spans="1:25" ht="39.950000000000003" customHeight="1" thickBot="1">
      <c r="A12" s="109">
        <f t="shared" si="0"/>
        <v>0</v>
      </c>
      <c r="B12" s="110"/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25">
        <v>5</v>
      </c>
    </row>
    <row r="13" spans="1:25" ht="39.950000000000003" customHeight="1" thickBot="1">
      <c r="A13" s="109">
        <f t="shared" si="0"/>
        <v>0</v>
      </c>
      <c r="B13" s="110"/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25">
        <v>6</v>
      </c>
    </row>
    <row r="14" spans="1:25" ht="39.950000000000003" customHeight="1" thickBot="1">
      <c r="A14" s="109">
        <f t="shared" si="0"/>
        <v>0</v>
      </c>
      <c r="B14" s="110"/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25">
        <v>7</v>
      </c>
    </row>
    <row r="15" spans="1:25" ht="39.950000000000003" customHeight="1" thickBot="1">
      <c r="A15" s="109">
        <f t="shared" si="0"/>
        <v>0</v>
      </c>
      <c r="B15" s="110"/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25">
        <v>8</v>
      </c>
    </row>
    <row r="16" spans="1:25" ht="39.950000000000003" customHeight="1" thickBot="1">
      <c r="A16" s="109">
        <f t="shared" si="0"/>
        <v>0</v>
      </c>
      <c r="B16" s="110"/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25">
        <v>9</v>
      </c>
    </row>
    <row r="17" spans="1:25" ht="39.950000000000003" customHeight="1" thickBot="1">
      <c r="A17" s="109">
        <f t="shared" si="0"/>
        <v>0</v>
      </c>
      <c r="B17" s="110"/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25">
        <v>10</v>
      </c>
    </row>
    <row r="18" spans="1:25" ht="39.950000000000003" customHeight="1" thickBot="1">
      <c r="A18" s="109">
        <f t="shared" si="0"/>
        <v>0</v>
      </c>
      <c r="B18" s="110"/>
      <c r="C18" s="110"/>
      <c r="D18" s="110"/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25">
        <v>11</v>
      </c>
    </row>
    <row r="19" spans="1:25" ht="39.950000000000003" customHeight="1" thickBot="1">
      <c r="A19" s="109">
        <f t="shared" si="0"/>
        <v>0</v>
      </c>
      <c r="B19" s="110"/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25">
        <v>12</v>
      </c>
    </row>
    <row r="20" spans="1:25" ht="39.950000000000003" customHeight="1" thickBot="1">
      <c r="A20" s="109">
        <f t="shared" si="0"/>
        <v>0</v>
      </c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25">
        <v>13</v>
      </c>
    </row>
    <row r="21" spans="1:25" ht="39.950000000000003" customHeight="1" thickBot="1">
      <c r="A21" s="109">
        <f t="shared" si="0"/>
        <v>0</v>
      </c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25">
        <v>14</v>
      </c>
    </row>
    <row r="22" spans="1:25" ht="39.950000000000003" customHeight="1" thickBot="1">
      <c r="A22" s="109">
        <f t="shared" si="0"/>
        <v>0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25">
        <v>15</v>
      </c>
    </row>
    <row r="23" spans="1:25" ht="39.950000000000003" customHeight="1" thickBot="1">
      <c r="A23" s="109">
        <f t="shared" si="0"/>
        <v>0</v>
      </c>
      <c r="B23" s="110"/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25">
        <v>16</v>
      </c>
    </row>
    <row r="24" spans="1:25" ht="39.950000000000003" customHeight="1" thickBot="1">
      <c r="A24" s="109">
        <f t="shared" si="0"/>
        <v>0</v>
      </c>
      <c r="B24" s="110"/>
      <c r="C24" s="110"/>
      <c r="D24" s="110"/>
      <c r="E24" s="110"/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25">
        <v>17</v>
      </c>
    </row>
    <row r="25" spans="1:25" ht="39.950000000000003" customHeight="1" thickBot="1">
      <c r="A25" s="109">
        <f t="shared" si="0"/>
        <v>0</v>
      </c>
      <c r="B25" s="110"/>
      <c r="C25" s="110"/>
      <c r="D25" s="110"/>
      <c r="E25" s="110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25">
        <v>18</v>
      </c>
    </row>
    <row r="26" spans="1:25" ht="39.950000000000003" customHeight="1" thickBot="1">
      <c r="A26" s="109">
        <f t="shared" si="0"/>
        <v>0</v>
      </c>
      <c r="B26" s="110"/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25">
        <v>19</v>
      </c>
    </row>
    <row r="27" spans="1:25" ht="39.950000000000003" customHeight="1" thickBot="1">
      <c r="A27" s="109">
        <f t="shared" si="0"/>
        <v>0</v>
      </c>
      <c r="B27" s="110"/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25">
        <v>20</v>
      </c>
    </row>
    <row r="28" spans="1:25" ht="39.950000000000003" customHeight="1" thickBot="1">
      <c r="A28" s="109">
        <f t="shared" si="0"/>
        <v>0</v>
      </c>
      <c r="B28" s="110"/>
      <c r="C28" s="110"/>
      <c r="D28" s="110"/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25">
        <v>21</v>
      </c>
    </row>
    <row r="29" spans="1:25" ht="39.950000000000003" customHeight="1" thickBot="1">
      <c r="A29" s="109">
        <f t="shared" si="0"/>
        <v>0</v>
      </c>
      <c r="B29" s="110"/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25">
        <v>22</v>
      </c>
    </row>
    <row r="30" spans="1:25" ht="39.950000000000003" customHeight="1" thickBot="1">
      <c r="A30" s="109">
        <f t="shared" si="0"/>
        <v>0</v>
      </c>
      <c r="B30" s="110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25">
        <v>23</v>
      </c>
    </row>
    <row r="31" spans="1:25" ht="39.950000000000003" customHeight="1" thickBot="1">
      <c r="A31" s="109">
        <f t="shared" si="0"/>
        <v>0</v>
      </c>
      <c r="B31" s="110"/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25">
        <v>24</v>
      </c>
    </row>
    <row r="32" spans="1:25" ht="39.950000000000003" customHeight="1" thickBot="1">
      <c r="A32" s="109">
        <f t="shared" si="0"/>
        <v>0</v>
      </c>
      <c r="B32" s="110"/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25">
        <v>25</v>
      </c>
    </row>
    <row r="33" spans="1:26" ht="39.950000000000003" customHeight="1" thickBot="1">
      <c r="A33" s="109">
        <f t="shared" si="0"/>
        <v>0</v>
      </c>
      <c r="B33" s="110"/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25">
        <v>26</v>
      </c>
    </row>
    <row r="34" spans="1:26" ht="39.950000000000003" customHeight="1" thickBot="1">
      <c r="A34" s="109">
        <f t="shared" si="0"/>
        <v>0</v>
      </c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25">
        <v>27</v>
      </c>
    </row>
    <row r="35" spans="1:26" ht="39.950000000000003" customHeight="1" thickBot="1">
      <c r="A35" s="109">
        <f t="shared" si="0"/>
        <v>0</v>
      </c>
      <c r="B35" s="110"/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25">
        <v>28</v>
      </c>
    </row>
    <row r="36" spans="1:26" ht="39.950000000000003" customHeight="1" thickBot="1">
      <c r="A36" s="109">
        <f t="shared" si="0"/>
        <v>0</v>
      </c>
      <c r="B36" s="110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25">
        <v>29</v>
      </c>
    </row>
    <row r="37" spans="1:26" ht="39.950000000000003" customHeight="1" thickBot="1">
      <c r="A37" s="109">
        <f t="shared" si="0"/>
        <v>0</v>
      </c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25">
        <v>30</v>
      </c>
    </row>
    <row r="38" spans="1:26" ht="39.950000000000003" customHeight="1" thickBot="1">
      <c r="A38" s="109">
        <f t="shared" si="0"/>
        <v>0</v>
      </c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26">
        <v>31</v>
      </c>
    </row>
    <row r="39" spans="1:26" ht="39.950000000000003" customHeight="1" thickBot="1">
      <c r="A39" s="111">
        <f>SUM(B39:U39)</f>
        <v>0</v>
      </c>
      <c r="B39" s="112">
        <f>SUM(B8:B38)</f>
        <v>0</v>
      </c>
      <c r="C39" s="112">
        <f t="shared" ref="C39:Q39" si="1">SUM(C8:C38)</f>
        <v>0</v>
      </c>
      <c r="D39" s="113">
        <f t="shared" si="1"/>
        <v>0</v>
      </c>
      <c r="E39" s="112">
        <f t="shared" si="1"/>
        <v>0</v>
      </c>
      <c r="F39" s="112">
        <f t="shared" si="1"/>
        <v>0</v>
      </c>
      <c r="G39" s="113">
        <f t="shared" si="1"/>
        <v>0</v>
      </c>
      <c r="H39" s="112">
        <f t="shared" si="1"/>
        <v>0</v>
      </c>
      <c r="I39" s="113">
        <f t="shared" si="1"/>
        <v>0</v>
      </c>
      <c r="J39" s="112">
        <f t="shared" si="1"/>
        <v>0</v>
      </c>
      <c r="K39" s="113">
        <f t="shared" si="1"/>
        <v>0</v>
      </c>
      <c r="L39" s="112">
        <f t="shared" si="1"/>
        <v>0</v>
      </c>
      <c r="M39" s="113">
        <f t="shared" si="1"/>
        <v>0</v>
      </c>
      <c r="N39" s="123">
        <f t="shared" si="1"/>
        <v>0</v>
      </c>
      <c r="O39" s="113">
        <f t="shared" si="1"/>
        <v>0</v>
      </c>
      <c r="P39" s="113">
        <f t="shared" si="1"/>
        <v>0</v>
      </c>
      <c r="Q39" s="113">
        <f t="shared" si="1"/>
        <v>0</v>
      </c>
      <c r="R39" s="112">
        <f t="shared" ref="R39" si="2">SUM(R8:R38)</f>
        <v>0</v>
      </c>
      <c r="S39" s="113">
        <f>SUM(S8:S38)</f>
        <v>0</v>
      </c>
      <c r="T39" s="113">
        <f>SUM(T8:T38)</f>
        <v>0</v>
      </c>
      <c r="U39" s="113">
        <f t="shared" ref="U39:V39" si="3">SUM(U8:U38)</f>
        <v>0</v>
      </c>
      <c r="V39" s="113">
        <f t="shared" si="3"/>
        <v>0</v>
      </c>
      <c r="W39" s="113">
        <f t="shared" ref="W39:X39" si="4">SUM(W8:W38)</f>
        <v>0</v>
      </c>
      <c r="X39" s="113">
        <f t="shared" si="4"/>
        <v>0</v>
      </c>
      <c r="Y39" s="53" t="s">
        <v>115</v>
      </c>
    </row>
    <row r="40" spans="1:26" ht="15.75" thickBot="1"/>
    <row r="41" spans="1:26" ht="27" thickBot="1">
      <c r="A41" s="606" t="s">
        <v>115</v>
      </c>
      <c r="B41" s="626" t="s">
        <v>131</v>
      </c>
      <c r="C41" s="627"/>
      <c r="D41" s="627"/>
      <c r="E41" s="627"/>
      <c r="F41" s="627"/>
      <c r="G41" s="627"/>
      <c r="H41" s="627"/>
      <c r="I41" s="627"/>
      <c r="J41" s="627"/>
      <c r="K41" s="627"/>
      <c r="L41" s="627"/>
      <c r="M41" s="627"/>
      <c r="N41" s="627"/>
      <c r="O41" s="627"/>
      <c r="P41" s="627"/>
      <c r="Q41" s="627"/>
      <c r="R41" s="627"/>
      <c r="S41" s="627"/>
      <c r="T41" s="627"/>
      <c r="U41" s="627"/>
      <c r="V41" s="627"/>
      <c r="W41" s="627"/>
      <c r="X41" s="627"/>
      <c r="Y41" s="628"/>
    </row>
    <row r="42" spans="1:26" ht="21.75" thickBot="1">
      <c r="A42" s="607"/>
      <c r="B42" s="624" t="s">
        <v>117</v>
      </c>
      <c r="C42" s="629"/>
      <c r="D42" s="629"/>
      <c r="E42" s="624" t="s">
        <v>118</v>
      </c>
      <c r="F42" s="629"/>
      <c r="G42" s="625"/>
      <c r="H42" s="624" t="s">
        <v>119</v>
      </c>
      <c r="I42" s="625"/>
      <c r="J42" s="624" t="s">
        <v>120</v>
      </c>
      <c r="K42" s="625"/>
      <c r="L42" s="624" t="s">
        <v>121</v>
      </c>
      <c r="M42" s="625"/>
      <c r="N42" s="54" t="s">
        <v>122</v>
      </c>
      <c r="O42" s="44" t="s">
        <v>123</v>
      </c>
      <c r="P42" s="44" t="s">
        <v>132</v>
      </c>
      <c r="Q42" s="44" t="s">
        <v>125</v>
      </c>
      <c r="R42" s="624" t="s">
        <v>54</v>
      </c>
      <c r="S42" s="625"/>
      <c r="T42" s="417"/>
      <c r="U42" s="44" t="s">
        <v>146</v>
      </c>
      <c r="V42" s="416" t="s">
        <v>146</v>
      </c>
      <c r="W42" s="416" t="s">
        <v>146</v>
      </c>
      <c r="X42" s="416" t="s">
        <v>146</v>
      </c>
      <c r="Y42" s="611" t="s">
        <v>133</v>
      </c>
      <c r="Z42" s="616" t="s">
        <v>134</v>
      </c>
    </row>
    <row r="43" spans="1:26" ht="21.75" thickBot="1">
      <c r="A43" s="608"/>
      <c r="B43" s="106" t="s">
        <v>126</v>
      </c>
      <c r="C43" s="107" t="s">
        <v>127</v>
      </c>
      <c r="D43" s="114" t="s">
        <v>128</v>
      </c>
      <c r="E43" s="106" t="s">
        <v>129</v>
      </c>
      <c r="F43" s="107" t="s">
        <v>127</v>
      </c>
      <c r="G43" s="108" t="s">
        <v>128</v>
      </c>
      <c r="H43" s="106" t="s">
        <v>127</v>
      </c>
      <c r="I43" s="108" t="s">
        <v>128</v>
      </c>
      <c r="J43" s="106" t="s">
        <v>127</v>
      </c>
      <c r="K43" s="108" t="s">
        <v>128</v>
      </c>
      <c r="L43" s="106" t="s">
        <v>130</v>
      </c>
      <c r="M43" s="108" t="s">
        <v>128</v>
      </c>
      <c r="N43" s="3" t="s">
        <v>127</v>
      </c>
      <c r="O43" s="3" t="s">
        <v>127</v>
      </c>
      <c r="P43" s="3" t="s">
        <v>127</v>
      </c>
      <c r="Q43" s="3" t="s">
        <v>127</v>
      </c>
      <c r="R43" s="106" t="s">
        <v>126</v>
      </c>
      <c r="S43" s="106" t="s">
        <v>127</v>
      </c>
      <c r="T43" s="106" t="s">
        <v>127</v>
      </c>
      <c r="U43" s="31" t="s">
        <v>127</v>
      </c>
      <c r="V43" s="31" t="s">
        <v>127</v>
      </c>
      <c r="W43" s="31" t="s">
        <v>127</v>
      </c>
      <c r="X43" s="31" t="s">
        <v>127</v>
      </c>
      <c r="Y43" s="612"/>
      <c r="Z43" s="617"/>
    </row>
    <row r="44" spans="1:26" ht="39.950000000000003" customHeight="1" thickBot="1">
      <c r="A44" s="115">
        <f>SUM(B44:Y44)</f>
        <v>0</v>
      </c>
      <c r="B44" s="116">
        <f>B8/25</f>
        <v>0</v>
      </c>
      <c r="C44" s="117">
        <f>C8/20</f>
        <v>0</v>
      </c>
      <c r="D44" s="118">
        <f>D8/15</f>
        <v>0</v>
      </c>
      <c r="E44" s="116">
        <f>E8/30</f>
        <v>0</v>
      </c>
      <c r="F44" s="117">
        <f>F8/20</f>
        <v>0</v>
      </c>
      <c r="G44" s="119">
        <f>G8/15</f>
        <v>0</v>
      </c>
      <c r="H44" s="116">
        <f>H8/20</f>
        <v>0</v>
      </c>
      <c r="I44" s="119">
        <f>I8/15</f>
        <v>0</v>
      </c>
      <c r="J44" s="116">
        <f>J8/20</f>
        <v>0</v>
      </c>
      <c r="K44" s="119">
        <f>K8/15</f>
        <v>0</v>
      </c>
      <c r="L44" s="116">
        <f>L8/20</f>
        <v>0</v>
      </c>
      <c r="M44" s="119">
        <f>M8/15</f>
        <v>0</v>
      </c>
      <c r="N44" s="119">
        <f t="shared" ref="N44:R59" si="5">N8/20</f>
        <v>0</v>
      </c>
      <c r="O44" s="119">
        <f t="shared" si="5"/>
        <v>0</v>
      </c>
      <c r="P44" s="119">
        <f>P8/20</f>
        <v>0</v>
      </c>
      <c r="Q44" s="127">
        <f>Q8/20</f>
        <v>0</v>
      </c>
      <c r="R44" s="116">
        <f>R8/20</f>
        <v>0</v>
      </c>
      <c r="S44" s="119">
        <f>S8/15</f>
        <v>0</v>
      </c>
      <c r="T44" s="119">
        <f>T8/15</f>
        <v>0</v>
      </c>
      <c r="U44" s="127">
        <f>U8/20</f>
        <v>0</v>
      </c>
      <c r="V44" s="127">
        <f>V8/20</f>
        <v>0</v>
      </c>
      <c r="W44" s="127">
        <f>W8/20</f>
        <v>0</v>
      </c>
      <c r="X44" s="127">
        <f>X8/20</f>
        <v>0</v>
      </c>
      <c r="Y44" s="127"/>
      <c r="Z44" s="128">
        <v>1</v>
      </c>
    </row>
    <row r="45" spans="1:26" ht="39.950000000000003" customHeight="1" thickBot="1">
      <c r="A45" s="115">
        <f>SUM(B45:Y45)</f>
        <v>0</v>
      </c>
      <c r="B45" s="120">
        <f t="shared" ref="B45:B74" si="6">B9/25</f>
        <v>0</v>
      </c>
      <c r="C45" s="41">
        <f t="shared" ref="C45:C74" si="7">C9/20</f>
        <v>0</v>
      </c>
      <c r="D45" s="121">
        <f t="shared" ref="D45:D74" si="8">D9/15</f>
        <v>0</v>
      </c>
      <c r="E45" s="120">
        <f t="shared" ref="E45:E74" si="9">E9/30</f>
        <v>0</v>
      </c>
      <c r="F45" s="41">
        <f t="shared" ref="F45:F74" si="10">F9/20</f>
        <v>0</v>
      </c>
      <c r="G45" s="122">
        <f t="shared" ref="G45:G74" si="11">G9/15</f>
        <v>0</v>
      </c>
      <c r="H45" s="120">
        <f t="shared" ref="H45:H74" si="12">H9/20</f>
        <v>0</v>
      </c>
      <c r="I45" s="122">
        <f t="shared" ref="I45:I74" si="13">I9/15</f>
        <v>0</v>
      </c>
      <c r="J45" s="120">
        <f t="shared" ref="J45:J74" si="14">J9/20</f>
        <v>0</v>
      </c>
      <c r="K45" s="122">
        <f t="shared" ref="K45:K74" si="15">K9/15</f>
        <v>0</v>
      </c>
      <c r="L45" s="120">
        <f t="shared" ref="L45:L74" si="16">L9/20</f>
        <v>0</v>
      </c>
      <c r="M45" s="122">
        <f t="shared" ref="M45:M74" si="17">M9/15</f>
        <v>0</v>
      </c>
      <c r="N45" s="119">
        <f t="shared" si="5"/>
        <v>0</v>
      </c>
      <c r="O45" s="119">
        <f t="shared" si="5"/>
        <v>0</v>
      </c>
      <c r="P45" s="119">
        <f t="shared" si="5"/>
        <v>0</v>
      </c>
      <c r="Q45" s="127">
        <f t="shared" si="5"/>
        <v>0</v>
      </c>
      <c r="R45" s="120">
        <f t="shared" si="5"/>
        <v>0</v>
      </c>
      <c r="S45" s="122">
        <f t="shared" ref="S45:T74" si="18">S9/15</f>
        <v>0</v>
      </c>
      <c r="T45" s="122">
        <f t="shared" si="18"/>
        <v>0</v>
      </c>
      <c r="U45" s="127">
        <f t="shared" ref="U45:V45" si="19">U9/20</f>
        <v>0</v>
      </c>
      <c r="V45" s="127">
        <f t="shared" si="19"/>
        <v>0</v>
      </c>
      <c r="W45" s="127">
        <f t="shared" ref="W45:X45" si="20">W9/20</f>
        <v>0</v>
      </c>
      <c r="X45" s="127">
        <f t="shared" si="20"/>
        <v>0</v>
      </c>
      <c r="Y45" s="127"/>
      <c r="Z45" s="129">
        <v>2</v>
      </c>
    </row>
    <row r="46" spans="1:26" ht="39.950000000000003" customHeight="1" thickBot="1">
      <c r="A46" s="115">
        <f t="shared" ref="A46:A74" si="21">SUM(B46:Y46)</f>
        <v>0</v>
      </c>
      <c r="B46" s="120">
        <f t="shared" si="6"/>
        <v>0</v>
      </c>
      <c r="C46" s="41">
        <f t="shared" si="7"/>
        <v>0</v>
      </c>
      <c r="D46" s="121">
        <f t="shared" si="8"/>
        <v>0</v>
      </c>
      <c r="E46" s="120">
        <f t="shared" si="9"/>
        <v>0</v>
      </c>
      <c r="F46" s="41">
        <f t="shared" si="10"/>
        <v>0</v>
      </c>
      <c r="G46" s="122">
        <f t="shared" si="11"/>
        <v>0</v>
      </c>
      <c r="H46" s="120">
        <f t="shared" si="12"/>
        <v>0</v>
      </c>
      <c r="I46" s="122">
        <f t="shared" si="13"/>
        <v>0</v>
      </c>
      <c r="J46" s="120">
        <f t="shared" si="14"/>
        <v>0</v>
      </c>
      <c r="K46" s="122">
        <f t="shared" si="15"/>
        <v>0</v>
      </c>
      <c r="L46" s="120">
        <f t="shared" si="16"/>
        <v>0</v>
      </c>
      <c r="M46" s="122">
        <f t="shared" si="17"/>
        <v>0</v>
      </c>
      <c r="N46" s="119">
        <f t="shared" si="5"/>
        <v>0</v>
      </c>
      <c r="O46" s="119">
        <f t="shared" si="5"/>
        <v>0</v>
      </c>
      <c r="P46" s="119">
        <f t="shared" si="5"/>
        <v>0</v>
      </c>
      <c r="Q46" s="127">
        <f t="shared" si="5"/>
        <v>0</v>
      </c>
      <c r="R46" s="120">
        <f t="shared" si="5"/>
        <v>0</v>
      </c>
      <c r="S46" s="122">
        <f t="shared" si="18"/>
        <v>0</v>
      </c>
      <c r="T46" s="122">
        <f t="shared" si="18"/>
        <v>0</v>
      </c>
      <c r="U46" s="127">
        <f t="shared" ref="U46:V46" si="22">U10/20</f>
        <v>0</v>
      </c>
      <c r="V46" s="127">
        <f t="shared" si="22"/>
        <v>0</v>
      </c>
      <c r="W46" s="127">
        <f t="shared" ref="W46:X46" si="23">W10/20</f>
        <v>0</v>
      </c>
      <c r="X46" s="127">
        <f t="shared" si="23"/>
        <v>0</v>
      </c>
      <c r="Y46" s="127"/>
      <c r="Z46" s="129">
        <v>3</v>
      </c>
    </row>
    <row r="47" spans="1:26" ht="39.950000000000003" customHeight="1" thickBot="1">
      <c r="A47" s="115">
        <f t="shared" si="21"/>
        <v>0</v>
      </c>
      <c r="B47" s="120">
        <f t="shared" si="6"/>
        <v>0</v>
      </c>
      <c r="C47" s="41">
        <f t="shared" si="7"/>
        <v>0</v>
      </c>
      <c r="D47" s="121">
        <f t="shared" si="8"/>
        <v>0</v>
      </c>
      <c r="E47" s="120">
        <f t="shared" si="9"/>
        <v>0</v>
      </c>
      <c r="F47" s="41">
        <f t="shared" si="10"/>
        <v>0</v>
      </c>
      <c r="G47" s="122">
        <f t="shared" si="11"/>
        <v>0</v>
      </c>
      <c r="H47" s="120">
        <f t="shared" si="12"/>
        <v>0</v>
      </c>
      <c r="I47" s="122">
        <f t="shared" si="13"/>
        <v>0</v>
      </c>
      <c r="J47" s="120">
        <f t="shared" si="14"/>
        <v>0</v>
      </c>
      <c r="K47" s="122">
        <f t="shared" si="15"/>
        <v>0</v>
      </c>
      <c r="L47" s="120">
        <f t="shared" si="16"/>
        <v>0</v>
      </c>
      <c r="M47" s="122">
        <f t="shared" si="17"/>
        <v>0</v>
      </c>
      <c r="N47" s="119">
        <f t="shared" si="5"/>
        <v>0</v>
      </c>
      <c r="O47" s="119">
        <f t="shared" si="5"/>
        <v>0</v>
      </c>
      <c r="P47" s="119">
        <f t="shared" si="5"/>
        <v>0</v>
      </c>
      <c r="Q47" s="127">
        <f t="shared" si="5"/>
        <v>0</v>
      </c>
      <c r="R47" s="120">
        <f t="shared" si="5"/>
        <v>0</v>
      </c>
      <c r="S47" s="122">
        <f t="shared" si="18"/>
        <v>0</v>
      </c>
      <c r="T47" s="122">
        <f t="shared" si="18"/>
        <v>0</v>
      </c>
      <c r="U47" s="127">
        <f t="shared" ref="U47:V47" si="24">U11/20</f>
        <v>0</v>
      </c>
      <c r="V47" s="127">
        <f t="shared" si="24"/>
        <v>0</v>
      </c>
      <c r="W47" s="127">
        <f t="shared" ref="W47:X47" si="25">W11/20</f>
        <v>0</v>
      </c>
      <c r="X47" s="127">
        <f t="shared" si="25"/>
        <v>0</v>
      </c>
      <c r="Y47" s="127"/>
      <c r="Z47" s="129">
        <v>4</v>
      </c>
    </row>
    <row r="48" spans="1:26" ht="39.950000000000003" customHeight="1" thickBot="1">
      <c r="A48" s="115">
        <f t="shared" si="21"/>
        <v>0</v>
      </c>
      <c r="B48" s="120">
        <f t="shared" si="6"/>
        <v>0</v>
      </c>
      <c r="C48" s="41">
        <f t="shared" si="7"/>
        <v>0</v>
      </c>
      <c r="D48" s="121">
        <f t="shared" si="8"/>
        <v>0</v>
      </c>
      <c r="E48" s="120">
        <f t="shared" si="9"/>
        <v>0</v>
      </c>
      <c r="F48" s="41">
        <f t="shared" si="10"/>
        <v>0</v>
      </c>
      <c r="G48" s="122">
        <f t="shared" si="11"/>
        <v>0</v>
      </c>
      <c r="H48" s="120">
        <f t="shared" si="12"/>
        <v>0</v>
      </c>
      <c r="I48" s="122">
        <f t="shared" si="13"/>
        <v>0</v>
      </c>
      <c r="J48" s="120">
        <f t="shared" si="14"/>
        <v>0</v>
      </c>
      <c r="K48" s="122">
        <f t="shared" si="15"/>
        <v>0</v>
      </c>
      <c r="L48" s="120">
        <f t="shared" si="16"/>
        <v>0</v>
      </c>
      <c r="M48" s="122">
        <f t="shared" si="17"/>
        <v>0</v>
      </c>
      <c r="N48" s="119">
        <f t="shared" si="5"/>
        <v>0</v>
      </c>
      <c r="O48" s="119">
        <f t="shared" si="5"/>
        <v>0</v>
      </c>
      <c r="P48" s="119">
        <f t="shared" si="5"/>
        <v>0</v>
      </c>
      <c r="Q48" s="127">
        <f t="shared" si="5"/>
        <v>0</v>
      </c>
      <c r="R48" s="120">
        <f t="shared" si="5"/>
        <v>0</v>
      </c>
      <c r="S48" s="122">
        <f t="shared" si="18"/>
        <v>0</v>
      </c>
      <c r="T48" s="122">
        <f t="shared" si="18"/>
        <v>0</v>
      </c>
      <c r="U48" s="127">
        <f t="shared" ref="U48:V48" si="26">U12/20</f>
        <v>0</v>
      </c>
      <c r="V48" s="127">
        <f t="shared" si="26"/>
        <v>0</v>
      </c>
      <c r="W48" s="127">
        <f t="shared" ref="W48:X48" si="27">W12/20</f>
        <v>0</v>
      </c>
      <c r="X48" s="127">
        <f t="shared" si="27"/>
        <v>0</v>
      </c>
      <c r="Y48" s="127"/>
      <c r="Z48" s="129">
        <v>5</v>
      </c>
    </row>
    <row r="49" spans="1:26" ht="39.950000000000003" customHeight="1" thickBot="1">
      <c r="A49" s="115">
        <f t="shared" si="21"/>
        <v>0</v>
      </c>
      <c r="B49" s="120">
        <f t="shared" si="6"/>
        <v>0</v>
      </c>
      <c r="C49" s="41">
        <f t="shared" si="7"/>
        <v>0</v>
      </c>
      <c r="D49" s="121">
        <f t="shared" si="8"/>
        <v>0</v>
      </c>
      <c r="E49" s="120">
        <f t="shared" si="9"/>
        <v>0</v>
      </c>
      <c r="F49" s="41">
        <f t="shared" si="10"/>
        <v>0</v>
      </c>
      <c r="G49" s="122">
        <f t="shared" si="11"/>
        <v>0</v>
      </c>
      <c r="H49" s="120">
        <f t="shared" si="12"/>
        <v>0</v>
      </c>
      <c r="I49" s="122">
        <f t="shared" si="13"/>
        <v>0</v>
      </c>
      <c r="J49" s="120">
        <f t="shared" si="14"/>
        <v>0</v>
      </c>
      <c r="K49" s="122">
        <f t="shared" si="15"/>
        <v>0</v>
      </c>
      <c r="L49" s="120">
        <f t="shared" si="16"/>
        <v>0</v>
      </c>
      <c r="M49" s="122">
        <f t="shared" si="17"/>
        <v>0</v>
      </c>
      <c r="N49" s="119">
        <f t="shared" si="5"/>
        <v>0</v>
      </c>
      <c r="O49" s="119">
        <f t="shared" si="5"/>
        <v>0</v>
      </c>
      <c r="P49" s="119">
        <f t="shared" si="5"/>
        <v>0</v>
      </c>
      <c r="Q49" s="127">
        <f t="shared" si="5"/>
        <v>0</v>
      </c>
      <c r="R49" s="120">
        <f t="shared" si="5"/>
        <v>0</v>
      </c>
      <c r="S49" s="122">
        <f t="shared" si="18"/>
        <v>0</v>
      </c>
      <c r="T49" s="122">
        <f t="shared" si="18"/>
        <v>0</v>
      </c>
      <c r="U49" s="127">
        <f t="shared" ref="U49:V49" si="28">U13/20</f>
        <v>0</v>
      </c>
      <c r="V49" s="127">
        <f t="shared" si="28"/>
        <v>0</v>
      </c>
      <c r="W49" s="127">
        <f t="shared" ref="W49:X49" si="29">W13/20</f>
        <v>0</v>
      </c>
      <c r="X49" s="127">
        <f t="shared" si="29"/>
        <v>0</v>
      </c>
      <c r="Y49" s="127"/>
      <c r="Z49" s="129">
        <v>6</v>
      </c>
    </row>
    <row r="50" spans="1:26" ht="39.950000000000003" customHeight="1" thickBot="1">
      <c r="A50" s="115">
        <f t="shared" si="21"/>
        <v>0</v>
      </c>
      <c r="B50" s="120">
        <f t="shared" si="6"/>
        <v>0</v>
      </c>
      <c r="C50" s="41">
        <f t="shared" si="7"/>
        <v>0</v>
      </c>
      <c r="D50" s="121">
        <f t="shared" si="8"/>
        <v>0</v>
      </c>
      <c r="E50" s="120">
        <f t="shared" si="9"/>
        <v>0</v>
      </c>
      <c r="F50" s="41">
        <f t="shared" si="10"/>
        <v>0</v>
      </c>
      <c r="G50" s="122">
        <f t="shared" si="11"/>
        <v>0</v>
      </c>
      <c r="H50" s="120">
        <f t="shared" si="12"/>
        <v>0</v>
      </c>
      <c r="I50" s="122">
        <f t="shared" si="13"/>
        <v>0</v>
      </c>
      <c r="J50" s="120">
        <f t="shared" si="14"/>
        <v>0</v>
      </c>
      <c r="K50" s="122">
        <f t="shared" si="15"/>
        <v>0</v>
      </c>
      <c r="L50" s="120">
        <f t="shared" si="16"/>
        <v>0</v>
      </c>
      <c r="M50" s="122">
        <f t="shared" si="17"/>
        <v>0</v>
      </c>
      <c r="N50" s="119">
        <f t="shared" si="5"/>
        <v>0</v>
      </c>
      <c r="O50" s="119">
        <f t="shared" si="5"/>
        <v>0</v>
      </c>
      <c r="P50" s="119">
        <f t="shared" si="5"/>
        <v>0</v>
      </c>
      <c r="Q50" s="127">
        <f t="shared" si="5"/>
        <v>0</v>
      </c>
      <c r="R50" s="120">
        <f t="shared" si="5"/>
        <v>0</v>
      </c>
      <c r="S50" s="122">
        <f t="shared" si="18"/>
        <v>0</v>
      </c>
      <c r="T50" s="122">
        <f t="shared" si="18"/>
        <v>0</v>
      </c>
      <c r="U50" s="127">
        <f t="shared" ref="U50:V50" si="30">U14/20</f>
        <v>0</v>
      </c>
      <c r="V50" s="127">
        <f t="shared" si="30"/>
        <v>0</v>
      </c>
      <c r="W50" s="127">
        <f t="shared" ref="W50:X50" si="31">W14/20</f>
        <v>0</v>
      </c>
      <c r="X50" s="127">
        <f t="shared" si="31"/>
        <v>0</v>
      </c>
      <c r="Y50" s="127"/>
      <c r="Z50" s="129">
        <v>7</v>
      </c>
    </row>
    <row r="51" spans="1:26" ht="39.950000000000003" customHeight="1" thickBot="1">
      <c r="A51" s="115">
        <f t="shared" si="21"/>
        <v>0</v>
      </c>
      <c r="B51" s="120">
        <f t="shared" si="6"/>
        <v>0</v>
      </c>
      <c r="C51" s="41">
        <f t="shared" si="7"/>
        <v>0</v>
      </c>
      <c r="D51" s="121">
        <f t="shared" si="8"/>
        <v>0</v>
      </c>
      <c r="E51" s="120">
        <f t="shared" si="9"/>
        <v>0</v>
      </c>
      <c r="F51" s="41">
        <f t="shared" si="10"/>
        <v>0</v>
      </c>
      <c r="G51" s="122">
        <f t="shared" si="11"/>
        <v>0</v>
      </c>
      <c r="H51" s="120">
        <f t="shared" si="12"/>
        <v>0</v>
      </c>
      <c r="I51" s="122">
        <f t="shared" si="13"/>
        <v>0</v>
      </c>
      <c r="J51" s="120">
        <f t="shared" si="14"/>
        <v>0</v>
      </c>
      <c r="K51" s="122">
        <f t="shared" si="15"/>
        <v>0</v>
      </c>
      <c r="L51" s="120">
        <f t="shared" si="16"/>
        <v>0</v>
      </c>
      <c r="M51" s="122">
        <f t="shared" si="17"/>
        <v>0</v>
      </c>
      <c r="N51" s="119">
        <f t="shared" si="5"/>
        <v>0</v>
      </c>
      <c r="O51" s="119">
        <f t="shared" si="5"/>
        <v>0</v>
      </c>
      <c r="P51" s="119">
        <f t="shared" si="5"/>
        <v>0</v>
      </c>
      <c r="Q51" s="127">
        <f t="shared" si="5"/>
        <v>0</v>
      </c>
      <c r="R51" s="120">
        <f t="shared" si="5"/>
        <v>0</v>
      </c>
      <c r="S51" s="122">
        <f t="shared" si="18"/>
        <v>0</v>
      </c>
      <c r="T51" s="122">
        <f t="shared" si="18"/>
        <v>0</v>
      </c>
      <c r="U51" s="127">
        <f t="shared" ref="U51:V51" si="32">U15/20</f>
        <v>0</v>
      </c>
      <c r="V51" s="127">
        <f t="shared" si="32"/>
        <v>0</v>
      </c>
      <c r="W51" s="127">
        <f t="shared" ref="W51:X51" si="33">W15/20</f>
        <v>0</v>
      </c>
      <c r="X51" s="127">
        <f t="shared" si="33"/>
        <v>0</v>
      </c>
      <c r="Y51" s="127"/>
      <c r="Z51" s="129">
        <v>8</v>
      </c>
    </row>
    <row r="52" spans="1:26" ht="39.950000000000003" customHeight="1" thickBot="1">
      <c r="A52" s="115">
        <f t="shared" si="21"/>
        <v>0</v>
      </c>
      <c r="B52" s="120">
        <f t="shared" si="6"/>
        <v>0</v>
      </c>
      <c r="C52" s="41">
        <f t="shared" si="7"/>
        <v>0</v>
      </c>
      <c r="D52" s="121">
        <f t="shared" si="8"/>
        <v>0</v>
      </c>
      <c r="E52" s="120">
        <f t="shared" si="9"/>
        <v>0</v>
      </c>
      <c r="F52" s="41">
        <f t="shared" si="10"/>
        <v>0</v>
      </c>
      <c r="G52" s="122">
        <f t="shared" si="11"/>
        <v>0</v>
      </c>
      <c r="H52" s="120">
        <f t="shared" si="12"/>
        <v>0</v>
      </c>
      <c r="I52" s="122">
        <f t="shared" si="13"/>
        <v>0</v>
      </c>
      <c r="J52" s="120">
        <f t="shared" si="14"/>
        <v>0</v>
      </c>
      <c r="K52" s="122">
        <f t="shared" si="15"/>
        <v>0</v>
      </c>
      <c r="L52" s="120">
        <f t="shared" si="16"/>
        <v>0</v>
      </c>
      <c r="M52" s="122">
        <f t="shared" si="17"/>
        <v>0</v>
      </c>
      <c r="N52" s="119">
        <f t="shared" si="5"/>
        <v>0</v>
      </c>
      <c r="O52" s="119">
        <f t="shared" si="5"/>
        <v>0</v>
      </c>
      <c r="P52" s="119">
        <f t="shared" si="5"/>
        <v>0</v>
      </c>
      <c r="Q52" s="127">
        <f t="shared" si="5"/>
        <v>0</v>
      </c>
      <c r="R52" s="120">
        <f t="shared" si="5"/>
        <v>0</v>
      </c>
      <c r="S52" s="122">
        <f t="shared" si="18"/>
        <v>0</v>
      </c>
      <c r="T52" s="122">
        <f t="shared" si="18"/>
        <v>0</v>
      </c>
      <c r="U52" s="127">
        <f t="shared" ref="U52:V52" si="34">U16/20</f>
        <v>0</v>
      </c>
      <c r="V52" s="127">
        <f t="shared" si="34"/>
        <v>0</v>
      </c>
      <c r="W52" s="127">
        <f t="shared" ref="W52:X52" si="35">W16/20</f>
        <v>0</v>
      </c>
      <c r="X52" s="127">
        <f t="shared" si="35"/>
        <v>0</v>
      </c>
      <c r="Y52" s="127"/>
      <c r="Z52" s="129">
        <v>9</v>
      </c>
    </row>
    <row r="53" spans="1:26" ht="39.950000000000003" customHeight="1" thickBot="1">
      <c r="A53" s="115">
        <f t="shared" si="21"/>
        <v>0</v>
      </c>
      <c r="B53" s="120">
        <f t="shared" si="6"/>
        <v>0</v>
      </c>
      <c r="C53" s="41">
        <f t="shared" si="7"/>
        <v>0</v>
      </c>
      <c r="D53" s="121">
        <f t="shared" si="8"/>
        <v>0</v>
      </c>
      <c r="E53" s="120">
        <f t="shared" si="9"/>
        <v>0</v>
      </c>
      <c r="F53" s="41">
        <f t="shared" si="10"/>
        <v>0</v>
      </c>
      <c r="G53" s="122">
        <f t="shared" si="11"/>
        <v>0</v>
      </c>
      <c r="H53" s="120">
        <f t="shared" si="12"/>
        <v>0</v>
      </c>
      <c r="I53" s="122">
        <f t="shared" si="13"/>
        <v>0</v>
      </c>
      <c r="J53" s="120">
        <f t="shared" si="14"/>
        <v>0</v>
      </c>
      <c r="K53" s="122">
        <f t="shared" si="15"/>
        <v>0</v>
      </c>
      <c r="L53" s="120">
        <f t="shared" si="16"/>
        <v>0</v>
      </c>
      <c r="M53" s="122">
        <f t="shared" si="17"/>
        <v>0</v>
      </c>
      <c r="N53" s="119">
        <f t="shared" si="5"/>
        <v>0</v>
      </c>
      <c r="O53" s="119">
        <f t="shared" si="5"/>
        <v>0</v>
      </c>
      <c r="P53" s="119">
        <f t="shared" si="5"/>
        <v>0</v>
      </c>
      <c r="Q53" s="127">
        <f t="shared" si="5"/>
        <v>0</v>
      </c>
      <c r="R53" s="120">
        <f t="shared" si="5"/>
        <v>0</v>
      </c>
      <c r="S53" s="122">
        <f t="shared" si="18"/>
        <v>0</v>
      </c>
      <c r="T53" s="122">
        <f t="shared" si="18"/>
        <v>0</v>
      </c>
      <c r="U53" s="127">
        <f t="shared" ref="U53:V53" si="36">U17/20</f>
        <v>0</v>
      </c>
      <c r="V53" s="127">
        <f t="shared" si="36"/>
        <v>0</v>
      </c>
      <c r="W53" s="127">
        <f t="shared" ref="W53:X53" si="37">W17/20</f>
        <v>0</v>
      </c>
      <c r="X53" s="127">
        <f t="shared" si="37"/>
        <v>0</v>
      </c>
      <c r="Y53" s="127"/>
      <c r="Z53" s="129">
        <v>10</v>
      </c>
    </row>
    <row r="54" spans="1:26" ht="39.950000000000003" customHeight="1" thickBot="1">
      <c r="A54" s="115">
        <f t="shared" si="21"/>
        <v>0</v>
      </c>
      <c r="B54" s="120">
        <f t="shared" si="6"/>
        <v>0</v>
      </c>
      <c r="C54" s="41">
        <f t="shared" si="7"/>
        <v>0</v>
      </c>
      <c r="D54" s="121">
        <f t="shared" si="8"/>
        <v>0</v>
      </c>
      <c r="E54" s="120">
        <f t="shared" si="9"/>
        <v>0</v>
      </c>
      <c r="F54" s="41">
        <f t="shared" si="10"/>
        <v>0</v>
      </c>
      <c r="G54" s="122">
        <f t="shared" si="11"/>
        <v>0</v>
      </c>
      <c r="H54" s="120">
        <f t="shared" si="12"/>
        <v>0</v>
      </c>
      <c r="I54" s="122">
        <f t="shared" si="13"/>
        <v>0</v>
      </c>
      <c r="J54" s="120">
        <f t="shared" si="14"/>
        <v>0</v>
      </c>
      <c r="K54" s="122">
        <f t="shared" si="15"/>
        <v>0</v>
      </c>
      <c r="L54" s="120">
        <f t="shared" si="16"/>
        <v>0</v>
      </c>
      <c r="M54" s="122">
        <f t="shared" si="17"/>
        <v>0</v>
      </c>
      <c r="N54" s="119">
        <f t="shared" si="5"/>
        <v>0</v>
      </c>
      <c r="O54" s="119">
        <f t="shared" si="5"/>
        <v>0</v>
      </c>
      <c r="P54" s="119">
        <f t="shared" si="5"/>
        <v>0</v>
      </c>
      <c r="Q54" s="127">
        <f t="shared" si="5"/>
        <v>0</v>
      </c>
      <c r="R54" s="120">
        <f t="shared" si="5"/>
        <v>0</v>
      </c>
      <c r="S54" s="122">
        <f t="shared" si="18"/>
        <v>0</v>
      </c>
      <c r="T54" s="122">
        <f t="shared" si="18"/>
        <v>0</v>
      </c>
      <c r="U54" s="127">
        <f t="shared" ref="U54:V54" si="38">U18/20</f>
        <v>0</v>
      </c>
      <c r="V54" s="127">
        <f t="shared" si="38"/>
        <v>0</v>
      </c>
      <c r="W54" s="127">
        <f t="shared" ref="W54:X54" si="39">W18/20</f>
        <v>0</v>
      </c>
      <c r="X54" s="127">
        <f t="shared" si="39"/>
        <v>0</v>
      </c>
      <c r="Y54" s="127"/>
      <c r="Z54" s="129">
        <v>11</v>
      </c>
    </row>
    <row r="55" spans="1:26" ht="39.950000000000003" customHeight="1" thickBot="1">
      <c r="A55" s="115">
        <f t="shared" si="21"/>
        <v>0</v>
      </c>
      <c r="B55" s="120">
        <f t="shared" si="6"/>
        <v>0</v>
      </c>
      <c r="C55" s="41">
        <f t="shared" si="7"/>
        <v>0</v>
      </c>
      <c r="D55" s="121">
        <f t="shared" si="8"/>
        <v>0</v>
      </c>
      <c r="E55" s="120">
        <f t="shared" si="9"/>
        <v>0</v>
      </c>
      <c r="F55" s="41">
        <f t="shared" si="10"/>
        <v>0</v>
      </c>
      <c r="G55" s="122">
        <f t="shared" si="11"/>
        <v>0</v>
      </c>
      <c r="H55" s="120">
        <f t="shared" si="12"/>
        <v>0</v>
      </c>
      <c r="I55" s="122">
        <f t="shared" si="13"/>
        <v>0</v>
      </c>
      <c r="J55" s="120">
        <f t="shared" si="14"/>
        <v>0</v>
      </c>
      <c r="K55" s="122">
        <f t="shared" si="15"/>
        <v>0</v>
      </c>
      <c r="L55" s="120">
        <f t="shared" si="16"/>
        <v>0</v>
      </c>
      <c r="M55" s="122">
        <f t="shared" si="17"/>
        <v>0</v>
      </c>
      <c r="N55" s="119">
        <f t="shared" si="5"/>
        <v>0</v>
      </c>
      <c r="O55" s="119">
        <f t="shared" si="5"/>
        <v>0</v>
      </c>
      <c r="P55" s="119">
        <f t="shared" si="5"/>
        <v>0</v>
      </c>
      <c r="Q55" s="127">
        <f t="shared" si="5"/>
        <v>0</v>
      </c>
      <c r="R55" s="120">
        <f t="shared" si="5"/>
        <v>0</v>
      </c>
      <c r="S55" s="122">
        <f t="shared" si="18"/>
        <v>0</v>
      </c>
      <c r="T55" s="122">
        <f t="shared" si="18"/>
        <v>0</v>
      </c>
      <c r="U55" s="127">
        <f t="shared" ref="U55:V55" si="40">U19/20</f>
        <v>0</v>
      </c>
      <c r="V55" s="127">
        <f t="shared" si="40"/>
        <v>0</v>
      </c>
      <c r="W55" s="127">
        <f t="shared" ref="W55:X55" si="41">W19/20</f>
        <v>0</v>
      </c>
      <c r="X55" s="127">
        <f t="shared" si="41"/>
        <v>0</v>
      </c>
      <c r="Y55" s="127"/>
      <c r="Z55" s="129">
        <v>12</v>
      </c>
    </row>
    <row r="56" spans="1:26" ht="39.950000000000003" customHeight="1" thickBot="1">
      <c r="A56" s="115">
        <f t="shared" si="21"/>
        <v>0</v>
      </c>
      <c r="B56" s="120">
        <f t="shared" si="6"/>
        <v>0</v>
      </c>
      <c r="C56" s="41">
        <f t="shared" si="7"/>
        <v>0</v>
      </c>
      <c r="D56" s="121">
        <f t="shared" si="8"/>
        <v>0</v>
      </c>
      <c r="E56" s="120">
        <f t="shared" si="9"/>
        <v>0</v>
      </c>
      <c r="F56" s="41">
        <f t="shared" si="10"/>
        <v>0</v>
      </c>
      <c r="G56" s="122">
        <f t="shared" si="11"/>
        <v>0</v>
      </c>
      <c r="H56" s="120">
        <f t="shared" si="12"/>
        <v>0</v>
      </c>
      <c r="I56" s="122">
        <f t="shared" si="13"/>
        <v>0</v>
      </c>
      <c r="J56" s="120">
        <f t="shared" si="14"/>
        <v>0</v>
      </c>
      <c r="K56" s="122">
        <f t="shared" si="15"/>
        <v>0</v>
      </c>
      <c r="L56" s="120">
        <f t="shared" si="16"/>
        <v>0</v>
      </c>
      <c r="M56" s="122">
        <f t="shared" si="17"/>
        <v>0</v>
      </c>
      <c r="N56" s="119">
        <f t="shared" si="5"/>
        <v>0</v>
      </c>
      <c r="O56" s="119">
        <f t="shared" si="5"/>
        <v>0</v>
      </c>
      <c r="P56" s="119">
        <f t="shared" si="5"/>
        <v>0</v>
      </c>
      <c r="Q56" s="127">
        <f t="shared" si="5"/>
        <v>0</v>
      </c>
      <c r="R56" s="120">
        <f t="shared" si="5"/>
        <v>0</v>
      </c>
      <c r="S56" s="122">
        <f t="shared" si="18"/>
        <v>0</v>
      </c>
      <c r="T56" s="122">
        <f t="shared" si="18"/>
        <v>0</v>
      </c>
      <c r="U56" s="127">
        <f t="shared" ref="U56:V56" si="42">U20/20</f>
        <v>0</v>
      </c>
      <c r="V56" s="127">
        <f t="shared" si="42"/>
        <v>0</v>
      </c>
      <c r="W56" s="127">
        <f t="shared" ref="W56:X56" si="43">W20/20</f>
        <v>0</v>
      </c>
      <c r="X56" s="127">
        <f t="shared" si="43"/>
        <v>0</v>
      </c>
      <c r="Y56" s="127"/>
      <c r="Z56" s="129">
        <v>13</v>
      </c>
    </row>
    <row r="57" spans="1:26" ht="39.950000000000003" customHeight="1" thickBot="1">
      <c r="A57" s="115">
        <f t="shared" si="21"/>
        <v>0</v>
      </c>
      <c r="B57" s="120">
        <f t="shared" si="6"/>
        <v>0</v>
      </c>
      <c r="C57" s="41">
        <f t="shared" si="7"/>
        <v>0</v>
      </c>
      <c r="D57" s="121">
        <f t="shared" si="8"/>
        <v>0</v>
      </c>
      <c r="E57" s="120">
        <f t="shared" si="9"/>
        <v>0</v>
      </c>
      <c r="F57" s="41">
        <f t="shared" si="10"/>
        <v>0</v>
      </c>
      <c r="G57" s="122">
        <f t="shared" si="11"/>
        <v>0</v>
      </c>
      <c r="H57" s="120">
        <f t="shared" si="12"/>
        <v>0</v>
      </c>
      <c r="I57" s="122">
        <f t="shared" si="13"/>
        <v>0</v>
      </c>
      <c r="J57" s="120">
        <f t="shared" si="14"/>
        <v>0</v>
      </c>
      <c r="K57" s="122">
        <f t="shared" si="15"/>
        <v>0</v>
      </c>
      <c r="L57" s="120">
        <f t="shared" si="16"/>
        <v>0</v>
      </c>
      <c r="M57" s="122">
        <f t="shared" si="17"/>
        <v>0</v>
      </c>
      <c r="N57" s="119">
        <f t="shared" si="5"/>
        <v>0</v>
      </c>
      <c r="O57" s="119">
        <f t="shared" si="5"/>
        <v>0</v>
      </c>
      <c r="P57" s="119">
        <f t="shared" si="5"/>
        <v>0</v>
      </c>
      <c r="Q57" s="127">
        <f t="shared" si="5"/>
        <v>0</v>
      </c>
      <c r="R57" s="120">
        <f t="shared" si="5"/>
        <v>0</v>
      </c>
      <c r="S57" s="122">
        <f t="shared" si="18"/>
        <v>0</v>
      </c>
      <c r="T57" s="122">
        <f t="shared" si="18"/>
        <v>0</v>
      </c>
      <c r="U57" s="127">
        <f t="shared" ref="U57:V57" si="44">U21/20</f>
        <v>0</v>
      </c>
      <c r="V57" s="127">
        <f t="shared" si="44"/>
        <v>0</v>
      </c>
      <c r="W57" s="127">
        <f t="shared" ref="W57:X57" si="45">W21/20</f>
        <v>0</v>
      </c>
      <c r="X57" s="127">
        <f t="shared" si="45"/>
        <v>0</v>
      </c>
      <c r="Y57" s="127"/>
      <c r="Z57" s="129">
        <v>14</v>
      </c>
    </row>
    <row r="58" spans="1:26" ht="39.950000000000003" customHeight="1" thickBot="1">
      <c r="A58" s="115">
        <f t="shared" si="21"/>
        <v>0</v>
      </c>
      <c r="B58" s="120">
        <f t="shared" si="6"/>
        <v>0</v>
      </c>
      <c r="C58" s="41">
        <f t="shared" si="7"/>
        <v>0</v>
      </c>
      <c r="D58" s="121">
        <f t="shared" si="8"/>
        <v>0</v>
      </c>
      <c r="E58" s="120">
        <f t="shared" si="9"/>
        <v>0</v>
      </c>
      <c r="F58" s="41">
        <f t="shared" si="10"/>
        <v>0</v>
      </c>
      <c r="G58" s="122">
        <f t="shared" si="11"/>
        <v>0</v>
      </c>
      <c r="H58" s="120">
        <f t="shared" si="12"/>
        <v>0</v>
      </c>
      <c r="I58" s="122">
        <f t="shared" si="13"/>
        <v>0</v>
      </c>
      <c r="J58" s="120">
        <f t="shared" si="14"/>
        <v>0</v>
      </c>
      <c r="K58" s="122">
        <f t="shared" si="15"/>
        <v>0</v>
      </c>
      <c r="L58" s="120">
        <f t="shared" si="16"/>
        <v>0</v>
      </c>
      <c r="M58" s="122">
        <f t="shared" si="17"/>
        <v>0</v>
      </c>
      <c r="N58" s="119">
        <f t="shared" si="5"/>
        <v>0</v>
      </c>
      <c r="O58" s="119">
        <f t="shared" si="5"/>
        <v>0</v>
      </c>
      <c r="P58" s="119">
        <f t="shared" si="5"/>
        <v>0</v>
      </c>
      <c r="Q58" s="127">
        <f t="shared" si="5"/>
        <v>0</v>
      </c>
      <c r="R58" s="120">
        <f t="shared" si="5"/>
        <v>0</v>
      </c>
      <c r="S58" s="122">
        <f t="shared" si="18"/>
        <v>0</v>
      </c>
      <c r="T58" s="122">
        <f t="shared" si="18"/>
        <v>0</v>
      </c>
      <c r="U58" s="127">
        <f t="shared" ref="U58:V58" si="46">U22/20</f>
        <v>0</v>
      </c>
      <c r="V58" s="127">
        <f t="shared" si="46"/>
        <v>0</v>
      </c>
      <c r="W58" s="127">
        <f t="shared" ref="W58:X58" si="47">W22/20</f>
        <v>0</v>
      </c>
      <c r="X58" s="127">
        <f t="shared" si="47"/>
        <v>0</v>
      </c>
      <c r="Y58" s="127"/>
      <c r="Z58" s="129">
        <v>15</v>
      </c>
    </row>
    <row r="59" spans="1:26" ht="39.950000000000003" customHeight="1" thickBot="1">
      <c r="A59" s="115">
        <f t="shared" si="21"/>
        <v>0</v>
      </c>
      <c r="B59" s="120">
        <f t="shared" si="6"/>
        <v>0</v>
      </c>
      <c r="C59" s="41">
        <f t="shared" si="7"/>
        <v>0</v>
      </c>
      <c r="D59" s="121">
        <f t="shared" si="8"/>
        <v>0</v>
      </c>
      <c r="E59" s="120">
        <f t="shared" si="9"/>
        <v>0</v>
      </c>
      <c r="F59" s="41">
        <f t="shared" si="10"/>
        <v>0</v>
      </c>
      <c r="G59" s="122">
        <f t="shared" si="11"/>
        <v>0</v>
      </c>
      <c r="H59" s="120">
        <f t="shared" si="12"/>
        <v>0</v>
      </c>
      <c r="I59" s="122">
        <f t="shared" si="13"/>
        <v>0</v>
      </c>
      <c r="J59" s="120">
        <f t="shared" si="14"/>
        <v>0</v>
      </c>
      <c r="K59" s="122">
        <f t="shared" si="15"/>
        <v>0</v>
      </c>
      <c r="L59" s="120">
        <f t="shared" si="16"/>
        <v>0</v>
      </c>
      <c r="M59" s="122">
        <f t="shared" si="17"/>
        <v>0</v>
      </c>
      <c r="N59" s="119">
        <f t="shared" si="5"/>
        <v>0</v>
      </c>
      <c r="O59" s="119">
        <f t="shared" si="5"/>
        <v>0</v>
      </c>
      <c r="P59" s="119">
        <f t="shared" si="5"/>
        <v>0</v>
      </c>
      <c r="Q59" s="127">
        <f t="shared" si="5"/>
        <v>0</v>
      </c>
      <c r="R59" s="120">
        <f t="shared" si="5"/>
        <v>0</v>
      </c>
      <c r="S59" s="122">
        <f t="shared" si="18"/>
        <v>0</v>
      </c>
      <c r="T59" s="122">
        <f t="shared" si="18"/>
        <v>0</v>
      </c>
      <c r="U59" s="127">
        <f t="shared" ref="U59:V59" si="48">U23/20</f>
        <v>0</v>
      </c>
      <c r="V59" s="127">
        <f t="shared" si="48"/>
        <v>0</v>
      </c>
      <c r="W59" s="127">
        <f t="shared" ref="W59:X59" si="49">W23/20</f>
        <v>0</v>
      </c>
      <c r="X59" s="127">
        <f t="shared" si="49"/>
        <v>0</v>
      </c>
      <c r="Y59" s="127"/>
      <c r="Z59" s="129">
        <v>16</v>
      </c>
    </row>
    <row r="60" spans="1:26" ht="39.950000000000003" customHeight="1" thickBot="1">
      <c r="A60" s="115">
        <f t="shared" si="21"/>
        <v>0</v>
      </c>
      <c r="B60" s="120">
        <f t="shared" si="6"/>
        <v>0</v>
      </c>
      <c r="C60" s="41">
        <f t="shared" si="7"/>
        <v>0</v>
      </c>
      <c r="D60" s="121">
        <f t="shared" si="8"/>
        <v>0</v>
      </c>
      <c r="E60" s="120">
        <f t="shared" si="9"/>
        <v>0</v>
      </c>
      <c r="F60" s="41">
        <f t="shared" si="10"/>
        <v>0</v>
      </c>
      <c r="G60" s="122">
        <f t="shared" si="11"/>
        <v>0</v>
      </c>
      <c r="H60" s="120">
        <f t="shared" si="12"/>
        <v>0</v>
      </c>
      <c r="I60" s="122">
        <f t="shared" si="13"/>
        <v>0</v>
      </c>
      <c r="J60" s="120">
        <f t="shared" si="14"/>
        <v>0</v>
      </c>
      <c r="K60" s="122">
        <f t="shared" si="15"/>
        <v>0</v>
      </c>
      <c r="L60" s="120">
        <f t="shared" si="16"/>
        <v>0</v>
      </c>
      <c r="M60" s="122">
        <f t="shared" si="17"/>
        <v>0</v>
      </c>
      <c r="N60" s="119">
        <f t="shared" ref="N60:R74" si="50">N24/20</f>
        <v>0</v>
      </c>
      <c r="O60" s="119">
        <f t="shared" si="50"/>
        <v>0</v>
      </c>
      <c r="P60" s="119">
        <f t="shared" si="50"/>
        <v>0</v>
      </c>
      <c r="Q60" s="127">
        <f t="shared" si="50"/>
        <v>0</v>
      </c>
      <c r="R60" s="120">
        <f t="shared" si="50"/>
        <v>0</v>
      </c>
      <c r="S60" s="122">
        <f t="shared" si="18"/>
        <v>0</v>
      </c>
      <c r="T60" s="122">
        <f t="shared" si="18"/>
        <v>0</v>
      </c>
      <c r="U60" s="127">
        <f t="shared" ref="U60:V60" si="51">U24/20</f>
        <v>0</v>
      </c>
      <c r="V60" s="127">
        <f t="shared" si="51"/>
        <v>0</v>
      </c>
      <c r="W60" s="127">
        <f t="shared" ref="W60:X60" si="52">W24/20</f>
        <v>0</v>
      </c>
      <c r="X60" s="127">
        <f t="shared" si="52"/>
        <v>0</v>
      </c>
      <c r="Y60" s="127"/>
      <c r="Z60" s="129">
        <v>17</v>
      </c>
    </row>
    <row r="61" spans="1:26" ht="39.950000000000003" customHeight="1" thickBot="1">
      <c r="A61" s="115">
        <f t="shared" si="21"/>
        <v>0</v>
      </c>
      <c r="B61" s="120">
        <f t="shared" si="6"/>
        <v>0</v>
      </c>
      <c r="C61" s="41">
        <f t="shared" si="7"/>
        <v>0</v>
      </c>
      <c r="D61" s="121">
        <f t="shared" si="8"/>
        <v>0</v>
      </c>
      <c r="E61" s="120">
        <f t="shared" si="9"/>
        <v>0</v>
      </c>
      <c r="F61" s="41">
        <f t="shared" si="10"/>
        <v>0</v>
      </c>
      <c r="G61" s="122">
        <f t="shared" si="11"/>
        <v>0</v>
      </c>
      <c r="H61" s="120">
        <f t="shared" si="12"/>
        <v>0</v>
      </c>
      <c r="I61" s="122">
        <f t="shared" si="13"/>
        <v>0</v>
      </c>
      <c r="J61" s="120">
        <f t="shared" si="14"/>
        <v>0</v>
      </c>
      <c r="K61" s="122">
        <f t="shared" si="15"/>
        <v>0</v>
      </c>
      <c r="L61" s="120">
        <f t="shared" si="16"/>
        <v>0</v>
      </c>
      <c r="M61" s="122">
        <f t="shared" si="17"/>
        <v>0</v>
      </c>
      <c r="N61" s="119">
        <f t="shared" si="50"/>
        <v>0</v>
      </c>
      <c r="O61" s="119">
        <f t="shared" si="50"/>
        <v>0</v>
      </c>
      <c r="P61" s="119">
        <f t="shared" si="50"/>
        <v>0</v>
      </c>
      <c r="Q61" s="127">
        <f t="shared" si="50"/>
        <v>0</v>
      </c>
      <c r="R61" s="120">
        <f t="shared" si="50"/>
        <v>0</v>
      </c>
      <c r="S61" s="122">
        <f t="shared" si="18"/>
        <v>0</v>
      </c>
      <c r="T61" s="122">
        <f t="shared" si="18"/>
        <v>0</v>
      </c>
      <c r="U61" s="127">
        <f t="shared" ref="U61:V61" si="53">U25/20</f>
        <v>0</v>
      </c>
      <c r="V61" s="127">
        <f t="shared" si="53"/>
        <v>0</v>
      </c>
      <c r="W61" s="127">
        <f t="shared" ref="W61:X61" si="54">W25/20</f>
        <v>0</v>
      </c>
      <c r="X61" s="127">
        <f t="shared" si="54"/>
        <v>0</v>
      </c>
      <c r="Y61" s="127"/>
      <c r="Z61" s="129">
        <v>18</v>
      </c>
    </row>
    <row r="62" spans="1:26" ht="39.950000000000003" customHeight="1" thickBot="1">
      <c r="A62" s="115">
        <f t="shared" si="21"/>
        <v>0</v>
      </c>
      <c r="B62" s="120">
        <f t="shared" si="6"/>
        <v>0</v>
      </c>
      <c r="C62" s="41">
        <f t="shared" si="7"/>
        <v>0</v>
      </c>
      <c r="D62" s="121">
        <f t="shared" si="8"/>
        <v>0</v>
      </c>
      <c r="E62" s="120">
        <f t="shared" si="9"/>
        <v>0</v>
      </c>
      <c r="F62" s="41">
        <f t="shared" si="10"/>
        <v>0</v>
      </c>
      <c r="G62" s="122">
        <f t="shared" si="11"/>
        <v>0</v>
      </c>
      <c r="H62" s="120">
        <f t="shared" si="12"/>
        <v>0</v>
      </c>
      <c r="I62" s="122">
        <f t="shared" si="13"/>
        <v>0</v>
      </c>
      <c r="J62" s="120">
        <f t="shared" si="14"/>
        <v>0</v>
      </c>
      <c r="K62" s="122">
        <f t="shared" si="15"/>
        <v>0</v>
      </c>
      <c r="L62" s="120">
        <f t="shared" si="16"/>
        <v>0</v>
      </c>
      <c r="M62" s="122">
        <f t="shared" si="17"/>
        <v>0</v>
      </c>
      <c r="N62" s="119">
        <f t="shared" si="50"/>
        <v>0</v>
      </c>
      <c r="O62" s="119">
        <f t="shared" si="50"/>
        <v>0</v>
      </c>
      <c r="P62" s="119">
        <f t="shared" si="50"/>
        <v>0</v>
      </c>
      <c r="Q62" s="127">
        <f t="shared" si="50"/>
        <v>0</v>
      </c>
      <c r="R62" s="120">
        <f t="shared" si="50"/>
        <v>0</v>
      </c>
      <c r="S62" s="122">
        <f t="shared" si="18"/>
        <v>0</v>
      </c>
      <c r="T62" s="122">
        <f t="shared" si="18"/>
        <v>0</v>
      </c>
      <c r="U62" s="127">
        <f t="shared" ref="U62:V62" si="55">U26/20</f>
        <v>0</v>
      </c>
      <c r="V62" s="127">
        <f t="shared" si="55"/>
        <v>0</v>
      </c>
      <c r="W62" s="127">
        <f t="shared" ref="W62:X62" si="56">W26/20</f>
        <v>0</v>
      </c>
      <c r="X62" s="127">
        <f t="shared" si="56"/>
        <v>0</v>
      </c>
      <c r="Y62" s="127"/>
      <c r="Z62" s="129">
        <v>19</v>
      </c>
    </row>
    <row r="63" spans="1:26" ht="39.950000000000003" customHeight="1" thickBot="1">
      <c r="A63" s="115">
        <f t="shared" si="21"/>
        <v>0</v>
      </c>
      <c r="B63" s="120">
        <f t="shared" si="6"/>
        <v>0</v>
      </c>
      <c r="C63" s="41">
        <f t="shared" si="7"/>
        <v>0</v>
      </c>
      <c r="D63" s="121">
        <f t="shared" si="8"/>
        <v>0</v>
      </c>
      <c r="E63" s="120">
        <f t="shared" si="9"/>
        <v>0</v>
      </c>
      <c r="F63" s="41">
        <f t="shared" si="10"/>
        <v>0</v>
      </c>
      <c r="G63" s="122">
        <f t="shared" si="11"/>
        <v>0</v>
      </c>
      <c r="H63" s="120">
        <f t="shared" si="12"/>
        <v>0</v>
      </c>
      <c r="I63" s="122">
        <f t="shared" si="13"/>
        <v>0</v>
      </c>
      <c r="J63" s="120">
        <f t="shared" si="14"/>
        <v>0</v>
      </c>
      <c r="K63" s="122">
        <f t="shared" si="15"/>
        <v>0</v>
      </c>
      <c r="L63" s="120">
        <f t="shared" si="16"/>
        <v>0</v>
      </c>
      <c r="M63" s="122">
        <f t="shared" si="17"/>
        <v>0</v>
      </c>
      <c r="N63" s="119">
        <f t="shared" si="50"/>
        <v>0</v>
      </c>
      <c r="O63" s="119">
        <f t="shared" si="50"/>
        <v>0</v>
      </c>
      <c r="P63" s="119">
        <f t="shared" si="50"/>
        <v>0</v>
      </c>
      <c r="Q63" s="127">
        <f t="shared" si="50"/>
        <v>0</v>
      </c>
      <c r="R63" s="120">
        <f t="shared" si="50"/>
        <v>0</v>
      </c>
      <c r="S63" s="122">
        <f t="shared" si="18"/>
        <v>0</v>
      </c>
      <c r="T63" s="122">
        <f t="shared" si="18"/>
        <v>0</v>
      </c>
      <c r="U63" s="127">
        <f t="shared" ref="U63:V63" si="57">U27/20</f>
        <v>0</v>
      </c>
      <c r="V63" s="127">
        <f t="shared" si="57"/>
        <v>0</v>
      </c>
      <c r="W63" s="127">
        <f t="shared" ref="W63:X63" si="58">W27/20</f>
        <v>0</v>
      </c>
      <c r="X63" s="127">
        <f t="shared" si="58"/>
        <v>0</v>
      </c>
      <c r="Y63" s="127"/>
      <c r="Z63" s="129">
        <v>20</v>
      </c>
    </row>
    <row r="64" spans="1:26" ht="39.950000000000003" customHeight="1" thickBot="1">
      <c r="A64" s="115">
        <f t="shared" si="21"/>
        <v>0</v>
      </c>
      <c r="B64" s="120">
        <f t="shared" si="6"/>
        <v>0</v>
      </c>
      <c r="C64" s="41">
        <f t="shared" si="7"/>
        <v>0</v>
      </c>
      <c r="D64" s="121">
        <f t="shared" si="8"/>
        <v>0</v>
      </c>
      <c r="E64" s="120">
        <f t="shared" si="9"/>
        <v>0</v>
      </c>
      <c r="F64" s="41">
        <f t="shared" si="10"/>
        <v>0</v>
      </c>
      <c r="G64" s="122">
        <f t="shared" si="11"/>
        <v>0</v>
      </c>
      <c r="H64" s="120">
        <f t="shared" si="12"/>
        <v>0</v>
      </c>
      <c r="I64" s="122">
        <f t="shared" si="13"/>
        <v>0</v>
      </c>
      <c r="J64" s="120">
        <f t="shared" si="14"/>
        <v>0</v>
      </c>
      <c r="K64" s="122">
        <f t="shared" si="15"/>
        <v>0</v>
      </c>
      <c r="L64" s="120">
        <f t="shared" si="16"/>
        <v>0</v>
      </c>
      <c r="M64" s="122">
        <f t="shared" si="17"/>
        <v>0</v>
      </c>
      <c r="N64" s="119">
        <f t="shared" si="50"/>
        <v>0</v>
      </c>
      <c r="O64" s="119">
        <f t="shared" si="50"/>
        <v>0</v>
      </c>
      <c r="P64" s="119">
        <f t="shared" si="50"/>
        <v>0</v>
      </c>
      <c r="Q64" s="127">
        <f t="shared" si="50"/>
        <v>0</v>
      </c>
      <c r="R64" s="120">
        <f t="shared" si="50"/>
        <v>0</v>
      </c>
      <c r="S64" s="122">
        <f t="shared" si="18"/>
        <v>0</v>
      </c>
      <c r="T64" s="122">
        <f t="shared" si="18"/>
        <v>0</v>
      </c>
      <c r="U64" s="127">
        <f t="shared" ref="U64:V64" si="59">U28/20</f>
        <v>0</v>
      </c>
      <c r="V64" s="127">
        <f t="shared" si="59"/>
        <v>0</v>
      </c>
      <c r="W64" s="127">
        <f t="shared" ref="W64:X64" si="60">W28/20</f>
        <v>0</v>
      </c>
      <c r="X64" s="127">
        <f t="shared" si="60"/>
        <v>0</v>
      </c>
      <c r="Y64" s="127"/>
      <c r="Z64" s="129">
        <v>21</v>
      </c>
    </row>
    <row r="65" spans="1:26" ht="39.950000000000003" customHeight="1" thickBot="1">
      <c r="A65" s="115">
        <f t="shared" si="21"/>
        <v>0</v>
      </c>
      <c r="B65" s="120">
        <f t="shared" si="6"/>
        <v>0</v>
      </c>
      <c r="C65" s="41">
        <f t="shared" si="7"/>
        <v>0</v>
      </c>
      <c r="D65" s="121">
        <f t="shared" si="8"/>
        <v>0</v>
      </c>
      <c r="E65" s="120">
        <f t="shared" si="9"/>
        <v>0</v>
      </c>
      <c r="F65" s="41">
        <f t="shared" si="10"/>
        <v>0</v>
      </c>
      <c r="G65" s="122">
        <f t="shared" si="11"/>
        <v>0</v>
      </c>
      <c r="H65" s="120">
        <f t="shared" si="12"/>
        <v>0</v>
      </c>
      <c r="I65" s="122">
        <f t="shared" si="13"/>
        <v>0</v>
      </c>
      <c r="J65" s="120">
        <f t="shared" si="14"/>
        <v>0</v>
      </c>
      <c r="K65" s="122">
        <f t="shared" si="15"/>
        <v>0</v>
      </c>
      <c r="L65" s="120">
        <f t="shared" si="16"/>
        <v>0</v>
      </c>
      <c r="M65" s="122">
        <f t="shared" si="17"/>
        <v>0</v>
      </c>
      <c r="N65" s="119">
        <f t="shared" si="50"/>
        <v>0</v>
      </c>
      <c r="O65" s="119">
        <f t="shared" si="50"/>
        <v>0</v>
      </c>
      <c r="P65" s="119">
        <f t="shared" si="50"/>
        <v>0</v>
      </c>
      <c r="Q65" s="127">
        <f t="shared" si="50"/>
        <v>0</v>
      </c>
      <c r="R65" s="120">
        <f t="shared" si="50"/>
        <v>0</v>
      </c>
      <c r="S65" s="122">
        <f t="shared" si="18"/>
        <v>0</v>
      </c>
      <c r="T65" s="122">
        <f t="shared" si="18"/>
        <v>0</v>
      </c>
      <c r="U65" s="127">
        <f t="shared" ref="U65:V65" si="61">U29/20</f>
        <v>0</v>
      </c>
      <c r="V65" s="127">
        <f t="shared" si="61"/>
        <v>0</v>
      </c>
      <c r="W65" s="127">
        <f t="shared" ref="W65:X65" si="62">W29/20</f>
        <v>0</v>
      </c>
      <c r="X65" s="127">
        <f t="shared" si="62"/>
        <v>0</v>
      </c>
      <c r="Y65" s="127"/>
      <c r="Z65" s="129">
        <v>22</v>
      </c>
    </row>
    <row r="66" spans="1:26" ht="39.950000000000003" customHeight="1" thickBot="1">
      <c r="A66" s="115">
        <f t="shared" si="21"/>
        <v>0</v>
      </c>
      <c r="B66" s="120">
        <f t="shared" si="6"/>
        <v>0</v>
      </c>
      <c r="C66" s="41">
        <f t="shared" si="7"/>
        <v>0</v>
      </c>
      <c r="D66" s="121">
        <f t="shared" si="8"/>
        <v>0</v>
      </c>
      <c r="E66" s="120">
        <f t="shared" si="9"/>
        <v>0</v>
      </c>
      <c r="F66" s="41">
        <f t="shared" si="10"/>
        <v>0</v>
      </c>
      <c r="G66" s="122">
        <f t="shared" si="11"/>
        <v>0</v>
      </c>
      <c r="H66" s="120">
        <f t="shared" si="12"/>
        <v>0</v>
      </c>
      <c r="I66" s="122">
        <f t="shared" si="13"/>
        <v>0</v>
      </c>
      <c r="J66" s="120">
        <f t="shared" si="14"/>
        <v>0</v>
      </c>
      <c r="K66" s="122">
        <f t="shared" si="15"/>
        <v>0</v>
      </c>
      <c r="L66" s="120">
        <f t="shared" si="16"/>
        <v>0</v>
      </c>
      <c r="M66" s="122">
        <f t="shared" si="17"/>
        <v>0</v>
      </c>
      <c r="N66" s="119">
        <f t="shared" si="50"/>
        <v>0</v>
      </c>
      <c r="O66" s="119">
        <f t="shared" si="50"/>
        <v>0</v>
      </c>
      <c r="P66" s="119">
        <f t="shared" si="50"/>
        <v>0</v>
      </c>
      <c r="Q66" s="127">
        <f t="shared" si="50"/>
        <v>0</v>
      </c>
      <c r="R66" s="120">
        <f t="shared" si="50"/>
        <v>0</v>
      </c>
      <c r="S66" s="122">
        <f t="shared" si="18"/>
        <v>0</v>
      </c>
      <c r="T66" s="122">
        <f t="shared" si="18"/>
        <v>0</v>
      </c>
      <c r="U66" s="127">
        <f t="shared" ref="U66:V66" si="63">U30/20</f>
        <v>0</v>
      </c>
      <c r="V66" s="127">
        <f t="shared" si="63"/>
        <v>0</v>
      </c>
      <c r="W66" s="127">
        <f t="shared" ref="W66:X66" si="64">W30/20</f>
        <v>0</v>
      </c>
      <c r="X66" s="127">
        <f t="shared" si="64"/>
        <v>0</v>
      </c>
      <c r="Y66" s="127"/>
      <c r="Z66" s="129">
        <v>23</v>
      </c>
    </row>
    <row r="67" spans="1:26" ht="39.950000000000003" customHeight="1" thickBot="1">
      <c r="A67" s="115">
        <f t="shared" si="21"/>
        <v>0</v>
      </c>
      <c r="B67" s="120">
        <f t="shared" si="6"/>
        <v>0</v>
      </c>
      <c r="C67" s="41">
        <f t="shared" si="7"/>
        <v>0</v>
      </c>
      <c r="D67" s="121">
        <f t="shared" si="8"/>
        <v>0</v>
      </c>
      <c r="E67" s="120">
        <f t="shared" si="9"/>
        <v>0</v>
      </c>
      <c r="F67" s="41">
        <f t="shared" si="10"/>
        <v>0</v>
      </c>
      <c r="G67" s="122">
        <f t="shared" si="11"/>
        <v>0</v>
      </c>
      <c r="H67" s="120">
        <f t="shared" si="12"/>
        <v>0</v>
      </c>
      <c r="I67" s="122">
        <f t="shared" si="13"/>
        <v>0</v>
      </c>
      <c r="J67" s="120">
        <f t="shared" si="14"/>
        <v>0</v>
      </c>
      <c r="K67" s="122">
        <f t="shared" si="15"/>
        <v>0</v>
      </c>
      <c r="L67" s="120">
        <f t="shared" si="16"/>
        <v>0</v>
      </c>
      <c r="M67" s="122">
        <f t="shared" si="17"/>
        <v>0</v>
      </c>
      <c r="N67" s="119">
        <f t="shared" si="50"/>
        <v>0</v>
      </c>
      <c r="O67" s="119">
        <f t="shared" si="50"/>
        <v>0</v>
      </c>
      <c r="P67" s="119">
        <f t="shared" si="50"/>
        <v>0</v>
      </c>
      <c r="Q67" s="127">
        <f t="shared" si="50"/>
        <v>0</v>
      </c>
      <c r="R67" s="120">
        <f t="shared" si="50"/>
        <v>0</v>
      </c>
      <c r="S67" s="122">
        <f t="shared" si="18"/>
        <v>0</v>
      </c>
      <c r="T67" s="122">
        <f t="shared" si="18"/>
        <v>0</v>
      </c>
      <c r="U67" s="127">
        <f t="shared" ref="U67:V67" si="65">U31/20</f>
        <v>0</v>
      </c>
      <c r="V67" s="127">
        <f t="shared" si="65"/>
        <v>0</v>
      </c>
      <c r="W67" s="127">
        <f t="shared" ref="W67:X67" si="66">W31/20</f>
        <v>0</v>
      </c>
      <c r="X67" s="127">
        <f t="shared" si="66"/>
        <v>0</v>
      </c>
      <c r="Y67" s="127"/>
      <c r="Z67" s="129">
        <v>24</v>
      </c>
    </row>
    <row r="68" spans="1:26" ht="39.950000000000003" customHeight="1" thickBot="1">
      <c r="A68" s="115">
        <f t="shared" si="21"/>
        <v>0</v>
      </c>
      <c r="B68" s="120">
        <f t="shared" si="6"/>
        <v>0</v>
      </c>
      <c r="C68" s="41">
        <f t="shared" si="7"/>
        <v>0</v>
      </c>
      <c r="D68" s="121">
        <f t="shared" si="8"/>
        <v>0</v>
      </c>
      <c r="E68" s="120">
        <f t="shared" si="9"/>
        <v>0</v>
      </c>
      <c r="F68" s="41">
        <f t="shared" si="10"/>
        <v>0</v>
      </c>
      <c r="G68" s="122">
        <f t="shared" si="11"/>
        <v>0</v>
      </c>
      <c r="H68" s="120">
        <f t="shared" si="12"/>
        <v>0</v>
      </c>
      <c r="I68" s="122">
        <f t="shared" si="13"/>
        <v>0</v>
      </c>
      <c r="J68" s="120">
        <f t="shared" si="14"/>
        <v>0</v>
      </c>
      <c r="K68" s="122">
        <f t="shared" si="15"/>
        <v>0</v>
      </c>
      <c r="L68" s="120">
        <f t="shared" si="16"/>
        <v>0</v>
      </c>
      <c r="M68" s="122">
        <f t="shared" si="17"/>
        <v>0</v>
      </c>
      <c r="N68" s="119">
        <f t="shared" si="50"/>
        <v>0</v>
      </c>
      <c r="O68" s="119">
        <f t="shared" si="50"/>
        <v>0</v>
      </c>
      <c r="P68" s="119">
        <f t="shared" si="50"/>
        <v>0</v>
      </c>
      <c r="Q68" s="127">
        <f t="shared" si="50"/>
        <v>0</v>
      </c>
      <c r="R68" s="120">
        <f t="shared" si="50"/>
        <v>0</v>
      </c>
      <c r="S68" s="122">
        <f t="shared" si="18"/>
        <v>0</v>
      </c>
      <c r="T68" s="122">
        <f t="shared" si="18"/>
        <v>0</v>
      </c>
      <c r="U68" s="127">
        <f t="shared" ref="U68:V68" si="67">U32/20</f>
        <v>0</v>
      </c>
      <c r="V68" s="127">
        <f t="shared" si="67"/>
        <v>0</v>
      </c>
      <c r="W68" s="127">
        <f t="shared" ref="W68:X68" si="68">W32/20</f>
        <v>0</v>
      </c>
      <c r="X68" s="127">
        <f t="shared" si="68"/>
        <v>0</v>
      </c>
      <c r="Y68" s="127"/>
      <c r="Z68" s="129">
        <v>25</v>
      </c>
    </row>
    <row r="69" spans="1:26" ht="39.950000000000003" customHeight="1" thickBot="1">
      <c r="A69" s="115">
        <f t="shared" si="21"/>
        <v>0</v>
      </c>
      <c r="B69" s="120">
        <f t="shared" si="6"/>
        <v>0</v>
      </c>
      <c r="C69" s="41">
        <f t="shared" si="7"/>
        <v>0</v>
      </c>
      <c r="D69" s="121">
        <f t="shared" si="8"/>
        <v>0</v>
      </c>
      <c r="E69" s="120">
        <f t="shared" si="9"/>
        <v>0</v>
      </c>
      <c r="F69" s="41">
        <f t="shared" si="10"/>
        <v>0</v>
      </c>
      <c r="G69" s="122">
        <f t="shared" si="11"/>
        <v>0</v>
      </c>
      <c r="H69" s="120">
        <f t="shared" si="12"/>
        <v>0</v>
      </c>
      <c r="I69" s="122">
        <f t="shared" si="13"/>
        <v>0</v>
      </c>
      <c r="J69" s="120">
        <f t="shared" si="14"/>
        <v>0</v>
      </c>
      <c r="K69" s="122">
        <f t="shared" si="15"/>
        <v>0</v>
      </c>
      <c r="L69" s="120">
        <f t="shared" si="16"/>
        <v>0</v>
      </c>
      <c r="M69" s="122">
        <f t="shared" si="17"/>
        <v>0</v>
      </c>
      <c r="N69" s="119">
        <f t="shared" si="50"/>
        <v>0</v>
      </c>
      <c r="O69" s="119">
        <f t="shared" si="50"/>
        <v>0</v>
      </c>
      <c r="P69" s="119">
        <f t="shared" si="50"/>
        <v>0</v>
      </c>
      <c r="Q69" s="127">
        <f t="shared" si="50"/>
        <v>0</v>
      </c>
      <c r="R69" s="120">
        <f t="shared" si="50"/>
        <v>0</v>
      </c>
      <c r="S69" s="122">
        <f t="shared" si="18"/>
        <v>0</v>
      </c>
      <c r="T69" s="122">
        <f t="shared" si="18"/>
        <v>0</v>
      </c>
      <c r="U69" s="127">
        <f t="shared" ref="U69:V69" si="69">U33/20</f>
        <v>0</v>
      </c>
      <c r="V69" s="127">
        <f t="shared" si="69"/>
        <v>0</v>
      </c>
      <c r="W69" s="127">
        <f t="shared" ref="W69:X69" si="70">W33/20</f>
        <v>0</v>
      </c>
      <c r="X69" s="127">
        <f t="shared" si="70"/>
        <v>0</v>
      </c>
      <c r="Y69" s="127"/>
      <c r="Z69" s="129">
        <v>26</v>
      </c>
    </row>
    <row r="70" spans="1:26" ht="39.950000000000003" customHeight="1" thickBot="1">
      <c r="A70" s="115">
        <f t="shared" si="21"/>
        <v>0</v>
      </c>
      <c r="B70" s="120">
        <f t="shared" si="6"/>
        <v>0</v>
      </c>
      <c r="C70" s="41">
        <f t="shared" si="7"/>
        <v>0</v>
      </c>
      <c r="D70" s="121">
        <f t="shared" si="8"/>
        <v>0</v>
      </c>
      <c r="E70" s="120">
        <f t="shared" si="9"/>
        <v>0</v>
      </c>
      <c r="F70" s="41">
        <f t="shared" si="10"/>
        <v>0</v>
      </c>
      <c r="G70" s="122">
        <f t="shared" si="11"/>
        <v>0</v>
      </c>
      <c r="H70" s="120">
        <f t="shared" si="12"/>
        <v>0</v>
      </c>
      <c r="I70" s="122">
        <f t="shared" si="13"/>
        <v>0</v>
      </c>
      <c r="J70" s="120">
        <f t="shared" si="14"/>
        <v>0</v>
      </c>
      <c r="K70" s="122">
        <f t="shared" si="15"/>
        <v>0</v>
      </c>
      <c r="L70" s="120">
        <f t="shared" si="16"/>
        <v>0</v>
      </c>
      <c r="M70" s="122">
        <f t="shared" si="17"/>
        <v>0</v>
      </c>
      <c r="N70" s="119">
        <f t="shared" si="50"/>
        <v>0</v>
      </c>
      <c r="O70" s="119">
        <f t="shared" si="50"/>
        <v>0</v>
      </c>
      <c r="P70" s="119">
        <f t="shared" si="50"/>
        <v>0</v>
      </c>
      <c r="Q70" s="127">
        <f t="shared" si="50"/>
        <v>0</v>
      </c>
      <c r="R70" s="120">
        <f t="shared" si="50"/>
        <v>0</v>
      </c>
      <c r="S70" s="122">
        <f t="shared" si="18"/>
        <v>0</v>
      </c>
      <c r="T70" s="122">
        <f t="shared" si="18"/>
        <v>0</v>
      </c>
      <c r="U70" s="127">
        <f t="shared" ref="U70:V70" si="71">U34/20</f>
        <v>0</v>
      </c>
      <c r="V70" s="127">
        <f t="shared" si="71"/>
        <v>0</v>
      </c>
      <c r="W70" s="127">
        <f t="shared" ref="W70:X70" si="72">W34/20</f>
        <v>0</v>
      </c>
      <c r="X70" s="127">
        <f t="shared" si="72"/>
        <v>0</v>
      </c>
      <c r="Y70" s="127"/>
      <c r="Z70" s="129">
        <v>27</v>
      </c>
    </row>
    <row r="71" spans="1:26" ht="39.950000000000003" customHeight="1" thickBot="1">
      <c r="A71" s="115">
        <f t="shared" si="21"/>
        <v>0</v>
      </c>
      <c r="B71" s="120">
        <f t="shared" si="6"/>
        <v>0</v>
      </c>
      <c r="C71" s="41">
        <f t="shared" si="7"/>
        <v>0</v>
      </c>
      <c r="D71" s="121">
        <f t="shared" si="8"/>
        <v>0</v>
      </c>
      <c r="E71" s="120">
        <f t="shared" si="9"/>
        <v>0</v>
      </c>
      <c r="F71" s="41">
        <f t="shared" si="10"/>
        <v>0</v>
      </c>
      <c r="G71" s="122">
        <f t="shared" si="11"/>
        <v>0</v>
      </c>
      <c r="H71" s="120">
        <f t="shared" si="12"/>
        <v>0</v>
      </c>
      <c r="I71" s="122">
        <f t="shared" si="13"/>
        <v>0</v>
      </c>
      <c r="J71" s="120">
        <f t="shared" si="14"/>
        <v>0</v>
      </c>
      <c r="K71" s="122">
        <f t="shared" si="15"/>
        <v>0</v>
      </c>
      <c r="L71" s="120">
        <f t="shared" si="16"/>
        <v>0</v>
      </c>
      <c r="M71" s="122">
        <f t="shared" si="17"/>
        <v>0</v>
      </c>
      <c r="N71" s="119">
        <f t="shared" si="50"/>
        <v>0</v>
      </c>
      <c r="O71" s="119">
        <f t="shared" si="50"/>
        <v>0</v>
      </c>
      <c r="P71" s="119">
        <f t="shared" si="50"/>
        <v>0</v>
      </c>
      <c r="Q71" s="127">
        <f t="shared" si="50"/>
        <v>0</v>
      </c>
      <c r="R71" s="120">
        <f t="shared" si="50"/>
        <v>0</v>
      </c>
      <c r="S71" s="122">
        <f t="shared" si="18"/>
        <v>0</v>
      </c>
      <c r="T71" s="122">
        <f t="shared" si="18"/>
        <v>0</v>
      </c>
      <c r="U71" s="127">
        <f t="shared" ref="U71:V71" si="73">U35/20</f>
        <v>0</v>
      </c>
      <c r="V71" s="127">
        <f t="shared" si="73"/>
        <v>0</v>
      </c>
      <c r="W71" s="127">
        <f t="shared" ref="W71:X71" si="74">W35/20</f>
        <v>0</v>
      </c>
      <c r="X71" s="127">
        <f t="shared" si="74"/>
        <v>0</v>
      </c>
      <c r="Y71" s="127"/>
      <c r="Z71" s="129">
        <v>28</v>
      </c>
    </row>
    <row r="72" spans="1:26" ht="39.950000000000003" customHeight="1" thickBot="1">
      <c r="A72" s="115">
        <f t="shared" si="21"/>
        <v>0</v>
      </c>
      <c r="B72" s="120">
        <f t="shared" si="6"/>
        <v>0</v>
      </c>
      <c r="C72" s="41">
        <f t="shared" si="7"/>
        <v>0</v>
      </c>
      <c r="D72" s="121">
        <f t="shared" si="8"/>
        <v>0</v>
      </c>
      <c r="E72" s="120">
        <f t="shared" si="9"/>
        <v>0</v>
      </c>
      <c r="F72" s="41">
        <f t="shared" si="10"/>
        <v>0</v>
      </c>
      <c r="G72" s="122">
        <f t="shared" si="11"/>
        <v>0</v>
      </c>
      <c r="H72" s="120">
        <f t="shared" si="12"/>
        <v>0</v>
      </c>
      <c r="I72" s="122">
        <f t="shared" si="13"/>
        <v>0</v>
      </c>
      <c r="J72" s="120">
        <f t="shared" si="14"/>
        <v>0</v>
      </c>
      <c r="K72" s="122">
        <f t="shared" si="15"/>
        <v>0</v>
      </c>
      <c r="L72" s="120">
        <f t="shared" si="16"/>
        <v>0</v>
      </c>
      <c r="M72" s="122">
        <f t="shared" si="17"/>
        <v>0</v>
      </c>
      <c r="N72" s="119">
        <f t="shared" si="50"/>
        <v>0</v>
      </c>
      <c r="O72" s="119">
        <f t="shared" si="50"/>
        <v>0</v>
      </c>
      <c r="P72" s="119">
        <f t="shared" si="50"/>
        <v>0</v>
      </c>
      <c r="Q72" s="127">
        <f t="shared" si="50"/>
        <v>0</v>
      </c>
      <c r="R72" s="120">
        <f t="shared" si="50"/>
        <v>0</v>
      </c>
      <c r="S72" s="122">
        <f t="shared" si="18"/>
        <v>0</v>
      </c>
      <c r="T72" s="122">
        <f t="shared" si="18"/>
        <v>0</v>
      </c>
      <c r="U72" s="127">
        <f t="shared" ref="U72:V72" si="75">U36/20</f>
        <v>0</v>
      </c>
      <c r="V72" s="127">
        <f t="shared" si="75"/>
        <v>0</v>
      </c>
      <c r="W72" s="127">
        <f t="shared" ref="W72:X72" si="76">W36/20</f>
        <v>0</v>
      </c>
      <c r="X72" s="127">
        <f t="shared" si="76"/>
        <v>0</v>
      </c>
      <c r="Y72" s="127"/>
      <c r="Z72" s="129">
        <v>29</v>
      </c>
    </row>
    <row r="73" spans="1:26" ht="39.950000000000003" customHeight="1" thickBot="1">
      <c r="A73" s="115">
        <f t="shared" si="21"/>
        <v>0</v>
      </c>
      <c r="B73" s="120">
        <f t="shared" si="6"/>
        <v>0</v>
      </c>
      <c r="C73" s="41">
        <f t="shared" si="7"/>
        <v>0</v>
      </c>
      <c r="D73" s="121">
        <f t="shared" si="8"/>
        <v>0</v>
      </c>
      <c r="E73" s="120">
        <f t="shared" si="9"/>
        <v>0</v>
      </c>
      <c r="F73" s="41">
        <f t="shared" si="10"/>
        <v>0</v>
      </c>
      <c r="G73" s="122">
        <f t="shared" si="11"/>
        <v>0</v>
      </c>
      <c r="H73" s="120">
        <f t="shared" si="12"/>
        <v>0</v>
      </c>
      <c r="I73" s="122">
        <f t="shared" si="13"/>
        <v>0</v>
      </c>
      <c r="J73" s="120">
        <f t="shared" si="14"/>
        <v>0</v>
      </c>
      <c r="K73" s="122">
        <f t="shared" si="15"/>
        <v>0</v>
      </c>
      <c r="L73" s="120">
        <f t="shared" si="16"/>
        <v>0</v>
      </c>
      <c r="M73" s="122">
        <f t="shared" si="17"/>
        <v>0</v>
      </c>
      <c r="N73" s="119">
        <f t="shared" si="50"/>
        <v>0</v>
      </c>
      <c r="O73" s="119">
        <f t="shared" si="50"/>
        <v>0</v>
      </c>
      <c r="P73" s="119">
        <f t="shared" si="50"/>
        <v>0</v>
      </c>
      <c r="Q73" s="127">
        <f t="shared" si="50"/>
        <v>0</v>
      </c>
      <c r="R73" s="120">
        <f t="shared" si="50"/>
        <v>0</v>
      </c>
      <c r="S73" s="122">
        <f t="shared" si="18"/>
        <v>0</v>
      </c>
      <c r="T73" s="122">
        <f t="shared" si="18"/>
        <v>0</v>
      </c>
      <c r="U73" s="127">
        <f t="shared" ref="U73:V73" si="77">U37/20</f>
        <v>0</v>
      </c>
      <c r="V73" s="127">
        <f t="shared" si="77"/>
        <v>0</v>
      </c>
      <c r="W73" s="127">
        <f t="shared" ref="W73:X73" si="78">W37/20</f>
        <v>0</v>
      </c>
      <c r="X73" s="127">
        <f t="shared" si="78"/>
        <v>0</v>
      </c>
      <c r="Y73" s="127"/>
      <c r="Z73" s="129">
        <v>30</v>
      </c>
    </row>
    <row r="74" spans="1:26" ht="39.950000000000003" customHeight="1" thickBot="1">
      <c r="A74" s="115">
        <f t="shared" si="21"/>
        <v>0</v>
      </c>
      <c r="B74" s="130">
        <f t="shared" si="6"/>
        <v>0</v>
      </c>
      <c r="C74" s="131">
        <f t="shared" si="7"/>
        <v>0</v>
      </c>
      <c r="D74" s="132">
        <f t="shared" si="8"/>
        <v>0</v>
      </c>
      <c r="E74" s="120">
        <f t="shared" si="9"/>
        <v>0</v>
      </c>
      <c r="F74" s="41">
        <f t="shared" si="10"/>
        <v>0</v>
      </c>
      <c r="G74" s="122">
        <f t="shared" si="11"/>
        <v>0</v>
      </c>
      <c r="H74" s="120">
        <f t="shared" si="12"/>
        <v>0</v>
      </c>
      <c r="I74" s="122">
        <f t="shared" si="13"/>
        <v>0</v>
      </c>
      <c r="J74" s="120">
        <f t="shared" si="14"/>
        <v>0</v>
      </c>
      <c r="K74" s="122">
        <f t="shared" si="15"/>
        <v>0</v>
      </c>
      <c r="L74" s="120">
        <f t="shared" si="16"/>
        <v>0</v>
      </c>
      <c r="M74" s="122">
        <f t="shared" si="17"/>
        <v>0</v>
      </c>
      <c r="N74" s="119">
        <f t="shared" si="50"/>
        <v>0</v>
      </c>
      <c r="O74" s="119">
        <f t="shared" si="50"/>
        <v>0</v>
      </c>
      <c r="P74" s="119">
        <f t="shared" si="50"/>
        <v>0</v>
      </c>
      <c r="Q74" s="127">
        <f t="shared" si="50"/>
        <v>0</v>
      </c>
      <c r="R74" s="120">
        <f t="shared" si="50"/>
        <v>0</v>
      </c>
      <c r="S74" s="122">
        <f t="shared" si="18"/>
        <v>0</v>
      </c>
      <c r="T74" s="122">
        <f t="shared" si="18"/>
        <v>0</v>
      </c>
      <c r="U74" s="127">
        <f t="shared" ref="U74:V74" si="79">U38/20</f>
        <v>0</v>
      </c>
      <c r="V74" s="127">
        <f t="shared" si="79"/>
        <v>0</v>
      </c>
      <c r="W74" s="127">
        <f t="shared" ref="W74:X74" si="80">W38/20</f>
        <v>0</v>
      </c>
      <c r="X74" s="127">
        <f t="shared" si="80"/>
        <v>0</v>
      </c>
      <c r="Y74" s="127"/>
      <c r="Z74" s="134">
        <v>31</v>
      </c>
    </row>
    <row r="75" spans="1:26" ht="39.950000000000003" customHeight="1" thickBot="1">
      <c r="A75" s="61">
        <f>SUM(B75:Y75)</f>
        <v>0</v>
      </c>
      <c r="B75" s="133">
        <f t="shared" ref="B75:Q75" si="81">SUM(B44:B74)</f>
        <v>0</v>
      </c>
      <c r="C75" s="133">
        <f t="shared" si="81"/>
        <v>0</v>
      </c>
      <c r="D75" s="133">
        <f t="shared" si="81"/>
        <v>0</v>
      </c>
      <c r="E75" s="133">
        <f t="shared" si="81"/>
        <v>0</v>
      </c>
      <c r="F75" s="133">
        <f t="shared" si="81"/>
        <v>0</v>
      </c>
      <c r="G75" s="133">
        <f t="shared" si="81"/>
        <v>0</v>
      </c>
      <c r="H75" s="133">
        <f t="shared" si="81"/>
        <v>0</v>
      </c>
      <c r="I75" s="133">
        <f t="shared" si="81"/>
        <v>0</v>
      </c>
      <c r="J75" s="133">
        <f t="shared" si="81"/>
        <v>0</v>
      </c>
      <c r="K75" s="133">
        <f t="shared" si="81"/>
        <v>0</v>
      </c>
      <c r="L75" s="133">
        <f t="shared" si="81"/>
        <v>0</v>
      </c>
      <c r="M75" s="133">
        <f t="shared" si="81"/>
        <v>0</v>
      </c>
      <c r="N75" s="133">
        <f t="shared" si="81"/>
        <v>0</v>
      </c>
      <c r="O75" s="133">
        <f t="shared" si="81"/>
        <v>0</v>
      </c>
      <c r="P75" s="133">
        <f t="shared" si="81"/>
        <v>0</v>
      </c>
      <c r="Q75" s="133">
        <f t="shared" si="81"/>
        <v>0</v>
      </c>
      <c r="R75" s="133">
        <f t="shared" ref="R75:U75" si="82">SUM(R44:R74)</f>
        <v>0</v>
      </c>
      <c r="S75" s="133">
        <f t="shared" si="82"/>
        <v>0</v>
      </c>
      <c r="T75" s="133">
        <f t="shared" ref="T75" si="83">SUM(T44:T74)</f>
        <v>0</v>
      </c>
      <c r="U75" s="133">
        <f t="shared" si="82"/>
        <v>0</v>
      </c>
      <c r="V75" s="133">
        <f t="shared" ref="V75:W75" si="84">SUM(V44:V74)</f>
        <v>0</v>
      </c>
      <c r="W75" s="133">
        <f t="shared" si="84"/>
        <v>0</v>
      </c>
      <c r="X75" s="133">
        <f t="shared" ref="X75" si="85">SUM(X44:X74)</f>
        <v>0</v>
      </c>
      <c r="Y75" s="133">
        <f>SUM(Y44:Y74)</f>
        <v>0</v>
      </c>
      <c r="Z75" s="65" t="s">
        <v>115</v>
      </c>
    </row>
    <row r="76" spans="1:26" ht="23.25" customHeight="1"/>
  </sheetData>
  <mergeCells count="20">
    <mergeCell ref="Z42:Z43"/>
    <mergeCell ref="B4:Y5"/>
    <mergeCell ref="R42:S42"/>
    <mergeCell ref="B41:Y41"/>
    <mergeCell ref="B42:D42"/>
    <mergeCell ref="E42:G42"/>
    <mergeCell ref="H42:I42"/>
    <mergeCell ref="J42:K42"/>
    <mergeCell ref="L42:M42"/>
    <mergeCell ref="B6:D6"/>
    <mergeCell ref="E6:G6"/>
    <mergeCell ref="H6:I6"/>
    <mergeCell ref="J6:K6"/>
    <mergeCell ref="L6:M6"/>
    <mergeCell ref="A3:A7"/>
    <mergeCell ref="B3:Y3"/>
    <mergeCell ref="A41:A43"/>
    <mergeCell ref="Y6:Y7"/>
    <mergeCell ref="Y42:Y43"/>
    <mergeCell ref="R6:T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3:BK43"/>
  <sheetViews>
    <sheetView zoomScale="80" zoomScaleNormal="80" workbookViewId="0">
      <selection activeCell="B9" sqref="B9:AF9"/>
    </sheetView>
  </sheetViews>
  <sheetFormatPr baseColWidth="10" defaultColWidth="11.42578125" defaultRowHeight="15"/>
  <cols>
    <col min="1" max="1" width="13.5703125" customWidth="1"/>
  </cols>
  <sheetData>
    <row r="3" spans="1:33">
      <c r="A3" s="630"/>
      <c r="B3" s="631"/>
      <c r="C3" s="631"/>
      <c r="D3" s="631"/>
      <c r="E3" s="631"/>
      <c r="F3" s="631"/>
      <c r="G3" s="631"/>
      <c r="H3" s="631"/>
      <c r="I3" s="631"/>
      <c r="J3" s="631"/>
      <c r="K3" s="631"/>
      <c r="L3" s="631"/>
      <c r="M3" s="631"/>
      <c r="N3" s="631"/>
      <c r="O3" s="631"/>
      <c r="P3" s="631"/>
      <c r="Q3" s="631"/>
      <c r="R3" s="631"/>
      <c r="S3" s="631"/>
      <c r="T3" s="631"/>
      <c r="U3" s="631"/>
      <c r="V3" s="631"/>
      <c r="W3" s="631"/>
      <c r="X3" s="631"/>
      <c r="Y3" s="631"/>
      <c r="Z3" s="631"/>
      <c r="AA3" s="631"/>
      <c r="AB3" s="631"/>
      <c r="AC3" s="631"/>
      <c r="AD3" s="631"/>
      <c r="AE3" s="631"/>
      <c r="AF3" s="631"/>
      <c r="AG3" s="632"/>
    </row>
    <row r="4" spans="1:33">
      <c r="A4" s="633"/>
      <c r="B4" s="634"/>
      <c r="C4" s="634"/>
      <c r="D4" s="634"/>
      <c r="E4" s="634"/>
      <c r="F4" s="634"/>
      <c r="G4" s="634"/>
      <c r="H4" s="634"/>
      <c r="I4" s="634"/>
      <c r="J4" s="634"/>
      <c r="K4" s="634"/>
      <c r="L4" s="634"/>
      <c r="M4" s="634"/>
      <c r="N4" s="634"/>
      <c r="O4" s="634"/>
      <c r="P4" s="634"/>
      <c r="Q4" s="634"/>
      <c r="R4" s="634"/>
      <c r="S4" s="634"/>
      <c r="T4" s="634"/>
      <c r="U4" s="634"/>
      <c r="V4" s="634"/>
      <c r="W4" s="634"/>
      <c r="X4" s="634"/>
      <c r="Y4" s="634"/>
      <c r="Z4" s="634"/>
      <c r="AA4" s="634"/>
      <c r="AB4" s="634"/>
      <c r="AC4" s="634"/>
      <c r="AD4" s="634"/>
      <c r="AE4" s="634"/>
      <c r="AF4" s="634"/>
      <c r="AG4" s="635"/>
    </row>
    <row r="5" spans="1:33" ht="26.25">
      <c r="A5" s="92" t="s">
        <v>135</v>
      </c>
      <c r="B5" s="93">
        <v>1</v>
      </c>
      <c r="C5" s="93">
        <v>2</v>
      </c>
      <c r="D5" s="93">
        <v>3</v>
      </c>
      <c r="E5" s="93">
        <v>4</v>
      </c>
      <c r="F5" s="93">
        <v>5</v>
      </c>
      <c r="G5" s="93">
        <v>6</v>
      </c>
      <c r="H5" s="93">
        <v>7</v>
      </c>
      <c r="I5" s="93">
        <v>8</v>
      </c>
      <c r="J5" s="93">
        <v>9</v>
      </c>
      <c r="K5" s="93">
        <v>10</v>
      </c>
      <c r="L5" s="93">
        <v>11</v>
      </c>
      <c r="M5" s="93">
        <v>12</v>
      </c>
      <c r="N5" s="93">
        <v>13</v>
      </c>
      <c r="O5" s="93">
        <v>14</v>
      </c>
      <c r="P5" s="93">
        <v>15</v>
      </c>
      <c r="Q5" s="93">
        <v>16</v>
      </c>
      <c r="R5" s="93">
        <v>17</v>
      </c>
      <c r="S5" s="93">
        <v>18</v>
      </c>
      <c r="T5" s="93">
        <v>19</v>
      </c>
      <c r="U5" s="93">
        <v>20</v>
      </c>
      <c r="V5" s="93">
        <v>21</v>
      </c>
      <c r="W5" s="93">
        <v>22</v>
      </c>
      <c r="X5" s="93">
        <v>23</v>
      </c>
      <c r="Y5" s="93">
        <v>24</v>
      </c>
      <c r="Z5" s="93">
        <v>25</v>
      </c>
      <c r="AA5" s="93">
        <v>26</v>
      </c>
      <c r="AB5" s="93">
        <v>27</v>
      </c>
      <c r="AC5" s="93">
        <v>28</v>
      </c>
      <c r="AD5" s="93">
        <v>29</v>
      </c>
      <c r="AE5" s="93">
        <v>30</v>
      </c>
      <c r="AF5" s="93">
        <v>31</v>
      </c>
      <c r="AG5" s="103" t="s">
        <v>136</v>
      </c>
    </row>
    <row r="6" spans="1:33" ht="21">
      <c r="A6" s="94" t="s">
        <v>137</v>
      </c>
      <c r="B6" s="95"/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102"/>
      <c r="Z6" s="96"/>
      <c r="AA6" s="96"/>
      <c r="AB6" s="96"/>
      <c r="AC6" s="96"/>
      <c r="AD6" s="96"/>
      <c r="AE6" s="96"/>
      <c r="AF6" s="96"/>
      <c r="AG6" s="104">
        <f>SUM(B6:AF6)</f>
        <v>0</v>
      </c>
    </row>
    <row r="7" spans="1:33" ht="21">
      <c r="A7" s="94" t="s">
        <v>138</v>
      </c>
      <c r="B7" s="97"/>
      <c r="C7" s="98"/>
      <c r="D7" s="99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  <c r="AA7" s="98"/>
      <c r="AB7" s="98"/>
      <c r="AC7" s="98"/>
      <c r="AD7" s="98"/>
      <c r="AE7" s="98"/>
      <c r="AF7" s="98"/>
      <c r="AG7" s="104">
        <f t="shared" ref="AG7:AG8" si="0">SUM(B7:AF7)</f>
        <v>0</v>
      </c>
    </row>
    <row r="8" spans="1:33" ht="21">
      <c r="A8" s="94" t="s">
        <v>139</v>
      </c>
      <c r="B8" s="97"/>
      <c r="C8" s="98"/>
      <c r="D8" s="99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8"/>
      <c r="AF8" s="98"/>
      <c r="AG8" s="104">
        <f t="shared" si="0"/>
        <v>0</v>
      </c>
    </row>
    <row r="9" spans="1:33" ht="23.25">
      <c r="A9" s="100" t="s">
        <v>140</v>
      </c>
      <c r="B9" s="101">
        <f>SUM(B6:B8)</f>
        <v>0</v>
      </c>
      <c r="C9" s="101">
        <f t="shared" ref="C9:G9" si="1">SUM(C6:C8)</f>
        <v>0</v>
      </c>
      <c r="D9" s="101">
        <f t="shared" si="1"/>
        <v>0</v>
      </c>
      <c r="E9" s="101">
        <f t="shared" si="1"/>
        <v>0</v>
      </c>
      <c r="F9" s="101">
        <f t="shared" si="1"/>
        <v>0</v>
      </c>
      <c r="G9" s="101">
        <f t="shared" si="1"/>
        <v>0</v>
      </c>
      <c r="H9" s="101">
        <f t="shared" ref="H9" si="2">SUM(H6:H8)</f>
        <v>0</v>
      </c>
      <c r="I9" s="101">
        <f t="shared" ref="I9" si="3">SUM(I6:I8)</f>
        <v>0</v>
      </c>
      <c r="J9" s="101">
        <f t="shared" ref="J9" si="4">SUM(J6:J8)</f>
        <v>0</v>
      </c>
      <c r="K9" s="101">
        <f t="shared" ref="K9:L9" si="5">SUM(K6:K8)</f>
        <v>0</v>
      </c>
      <c r="L9" s="101">
        <f t="shared" si="5"/>
        <v>0</v>
      </c>
      <c r="M9" s="101">
        <f t="shared" ref="M9" si="6">SUM(M6:M8)</f>
        <v>0</v>
      </c>
      <c r="N9" s="101">
        <f t="shared" ref="N9" si="7">SUM(N6:N8)</f>
        <v>0</v>
      </c>
      <c r="O9" s="101">
        <f t="shared" ref="O9" si="8">SUM(O6:O8)</f>
        <v>0</v>
      </c>
      <c r="P9" s="101">
        <f t="shared" ref="P9:Q9" si="9">SUM(P6:P8)</f>
        <v>0</v>
      </c>
      <c r="Q9" s="101">
        <f t="shared" si="9"/>
        <v>0</v>
      </c>
      <c r="R9" s="101">
        <f t="shared" ref="R9" si="10">SUM(R6:R8)</f>
        <v>0</v>
      </c>
      <c r="S9" s="101">
        <f t="shared" ref="S9" si="11">SUM(S6:S8)</f>
        <v>0</v>
      </c>
      <c r="T9" s="101">
        <f t="shared" ref="T9" si="12">SUM(T6:T8)</f>
        <v>0</v>
      </c>
      <c r="U9" s="101">
        <f t="shared" ref="U9:V9" si="13">SUM(U6:U8)</f>
        <v>0</v>
      </c>
      <c r="V9" s="101">
        <f t="shared" si="13"/>
        <v>0</v>
      </c>
      <c r="W9" s="101">
        <f t="shared" ref="W9" si="14">SUM(W6:W8)</f>
        <v>0</v>
      </c>
      <c r="X9" s="101">
        <f t="shared" ref="X9" si="15">SUM(X6:X8)</f>
        <v>0</v>
      </c>
      <c r="Y9" s="101">
        <f t="shared" ref="Y9" si="16">SUM(Y6:Y8)</f>
        <v>0</v>
      </c>
      <c r="Z9" s="101">
        <f t="shared" ref="Z9:AA9" si="17">SUM(Z6:Z8)</f>
        <v>0</v>
      </c>
      <c r="AA9" s="101">
        <f t="shared" si="17"/>
        <v>0</v>
      </c>
      <c r="AB9" s="101">
        <f t="shared" ref="AB9" si="18">SUM(AB6:AB8)</f>
        <v>0</v>
      </c>
      <c r="AC9" s="101">
        <f t="shared" ref="AC9" si="19">SUM(AC6:AC8)</f>
        <v>0</v>
      </c>
      <c r="AD9" s="101">
        <f t="shared" ref="AD9" si="20">SUM(AD6:AD8)</f>
        <v>0</v>
      </c>
      <c r="AE9" s="101">
        <f t="shared" ref="AE9:AG9" si="21">SUM(AE6:AE8)</f>
        <v>0</v>
      </c>
      <c r="AF9" s="101">
        <f t="shared" si="21"/>
        <v>0</v>
      </c>
      <c r="AG9" s="105">
        <f t="shared" si="21"/>
        <v>0</v>
      </c>
    </row>
    <row r="13" spans="1:33">
      <c r="AD13" t="s">
        <v>94</v>
      </c>
    </row>
    <row r="43" spans="37:63">
      <c r="AK43">
        <v>750</v>
      </c>
      <c r="AL43">
        <v>2240</v>
      </c>
      <c r="AM43">
        <v>5430</v>
      </c>
      <c r="AN43">
        <v>590</v>
      </c>
      <c r="AO43">
        <v>1840</v>
      </c>
      <c r="AP43">
        <v>3570</v>
      </c>
      <c r="AQ43">
        <v>1670</v>
      </c>
      <c r="AR43">
        <v>1660</v>
      </c>
      <c r="AS43">
        <v>4170</v>
      </c>
      <c r="AW43">
        <v>1750</v>
      </c>
      <c r="AX43">
        <v>2200</v>
      </c>
      <c r="AY43">
        <v>4050</v>
      </c>
      <c r="AZ43">
        <v>1500</v>
      </c>
      <c r="BA43">
        <v>2000</v>
      </c>
      <c r="BB43">
        <v>2500</v>
      </c>
      <c r="BC43">
        <v>1185</v>
      </c>
      <c r="BD43">
        <v>2640</v>
      </c>
      <c r="BE43">
        <v>2775</v>
      </c>
      <c r="BF43">
        <v>530</v>
      </c>
      <c r="BG43">
        <v>1040</v>
      </c>
      <c r="BH43">
        <v>1680</v>
      </c>
      <c r="BJ43">
        <v>5220</v>
      </c>
      <c r="BK43">
        <v>4500</v>
      </c>
    </row>
  </sheetData>
  <mergeCells count="1">
    <mergeCell ref="A3:AG4"/>
  </mergeCells>
  <pageMargins left="0.196850393700787" right="0.196850393700787" top="0.196850393700787" bottom="0.196850393700787" header="0.196850393700787" footer="0.196850393700787"/>
  <pageSetup paperSize="9" scale="2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7:AI15"/>
  <sheetViews>
    <sheetView topLeftCell="A4" zoomScale="70" zoomScaleNormal="70" workbookViewId="0">
      <selection activeCell="C10" sqref="C10"/>
    </sheetView>
  </sheetViews>
  <sheetFormatPr baseColWidth="10" defaultColWidth="11.42578125" defaultRowHeight="15"/>
  <cols>
    <col min="34" max="34" width="12.42578125" customWidth="1"/>
  </cols>
  <sheetData>
    <row r="7" spans="2:35">
      <c r="B7" s="636"/>
      <c r="C7" s="630"/>
      <c r="D7" s="631"/>
      <c r="E7" s="631"/>
      <c r="F7" s="631"/>
      <c r="G7" s="631"/>
      <c r="H7" s="631"/>
      <c r="I7" s="631"/>
      <c r="J7" s="631"/>
      <c r="K7" s="631"/>
      <c r="L7" s="631"/>
      <c r="M7" s="631"/>
      <c r="N7" s="631"/>
      <c r="O7" s="631"/>
      <c r="P7" s="631"/>
      <c r="Q7" s="631"/>
      <c r="R7" s="631"/>
      <c r="S7" s="631"/>
      <c r="T7" s="631"/>
      <c r="U7" s="631"/>
      <c r="V7" s="631"/>
      <c r="W7" s="631"/>
      <c r="X7" s="631"/>
      <c r="Y7" s="631"/>
      <c r="Z7" s="631"/>
      <c r="AA7" s="631"/>
      <c r="AB7" s="631"/>
      <c r="AC7" s="631"/>
      <c r="AD7" s="631"/>
      <c r="AE7" s="631"/>
      <c r="AF7" s="631"/>
      <c r="AG7" s="632"/>
      <c r="AH7" s="639" t="s">
        <v>141</v>
      </c>
      <c r="AI7" s="639" t="s">
        <v>141</v>
      </c>
    </row>
    <row r="8" spans="2:35">
      <c r="B8" s="637"/>
      <c r="C8" s="633"/>
      <c r="D8" s="634"/>
      <c r="E8" s="634"/>
      <c r="F8" s="634"/>
      <c r="G8" s="634"/>
      <c r="H8" s="634"/>
      <c r="I8" s="634"/>
      <c r="J8" s="634"/>
      <c r="K8" s="634"/>
      <c r="L8" s="634"/>
      <c r="M8" s="634"/>
      <c r="N8" s="634"/>
      <c r="O8" s="634"/>
      <c r="P8" s="634"/>
      <c r="Q8" s="634"/>
      <c r="R8" s="634"/>
      <c r="S8" s="634"/>
      <c r="T8" s="634"/>
      <c r="U8" s="634"/>
      <c r="V8" s="634"/>
      <c r="W8" s="634"/>
      <c r="X8" s="634"/>
      <c r="Y8" s="634"/>
      <c r="Z8" s="634"/>
      <c r="AA8" s="634"/>
      <c r="AB8" s="634"/>
      <c r="AC8" s="634"/>
      <c r="AD8" s="634"/>
      <c r="AE8" s="634"/>
      <c r="AF8" s="634"/>
      <c r="AG8" s="635"/>
      <c r="AH8" s="640"/>
      <c r="AI8" s="640"/>
    </row>
    <row r="9" spans="2:35">
      <c r="B9" s="638"/>
      <c r="C9" s="67">
        <v>1</v>
      </c>
      <c r="D9" s="68">
        <v>2</v>
      </c>
      <c r="E9" s="68">
        <v>3</v>
      </c>
      <c r="F9" s="67">
        <v>4</v>
      </c>
      <c r="G9" s="68">
        <v>5</v>
      </c>
      <c r="H9" s="68">
        <v>6</v>
      </c>
      <c r="I9" s="79">
        <v>7</v>
      </c>
      <c r="J9" s="68">
        <v>8</v>
      </c>
      <c r="K9" s="68">
        <v>9</v>
      </c>
      <c r="L9" s="67">
        <v>10</v>
      </c>
      <c r="M9" s="68">
        <v>11</v>
      </c>
      <c r="N9" s="68">
        <v>12</v>
      </c>
      <c r="O9" s="67">
        <v>13</v>
      </c>
      <c r="P9" s="80">
        <v>14</v>
      </c>
      <c r="Q9" s="68">
        <v>15</v>
      </c>
      <c r="R9" s="67">
        <v>16</v>
      </c>
      <c r="S9" s="68">
        <v>17</v>
      </c>
      <c r="T9" s="68">
        <v>18</v>
      </c>
      <c r="U9" s="67">
        <v>19</v>
      </c>
      <c r="V9" s="68">
        <v>20</v>
      </c>
      <c r="W9" s="68">
        <v>21</v>
      </c>
      <c r="X9" s="67">
        <v>22</v>
      </c>
      <c r="Y9" s="68">
        <v>23</v>
      </c>
      <c r="Z9" s="68">
        <v>24</v>
      </c>
      <c r="AA9" s="67">
        <v>25</v>
      </c>
      <c r="AB9" s="68">
        <v>26</v>
      </c>
      <c r="AC9" s="68">
        <v>27</v>
      </c>
      <c r="AD9" s="67">
        <v>28</v>
      </c>
      <c r="AE9" s="68">
        <v>29</v>
      </c>
      <c r="AF9" s="68">
        <v>30</v>
      </c>
      <c r="AG9" s="67">
        <v>31</v>
      </c>
      <c r="AH9" s="641"/>
      <c r="AI9" s="641"/>
    </row>
    <row r="10" spans="2:35" ht="45">
      <c r="B10" s="69" t="s">
        <v>142</v>
      </c>
      <c r="C10" s="70">
        <f>RECAP1!BF4</f>
        <v>0</v>
      </c>
      <c r="D10" s="70">
        <f>RECAP1!BF5</f>
        <v>0</v>
      </c>
      <c r="E10" s="70">
        <f>RECAP1!BF6</f>
        <v>0</v>
      </c>
      <c r="F10" s="70">
        <f>RECAP1!BF7</f>
        <v>0</v>
      </c>
      <c r="G10" s="70">
        <f>RECAP1!BF8</f>
        <v>0</v>
      </c>
      <c r="H10" s="70">
        <f>RECAP1!BF9</f>
        <v>0</v>
      </c>
      <c r="I10" s="81">
        <f>RECAP1!BF10</f>
        <v>0</v>
      </c>
      <c r="J10" s="70">
        <f>RECAP1!BF11</f>
        <v>0</v>
      </c>
      <c r="K10" s="70">
        <f>RECAP1!BF12</f>
        <v>0</v>
      </c>
      <c r="L10" s="70">
        <f>RECAP1!BF13</f>
        <v>0</v>
      </c>
      <c r="M10" s="70">
        <f>RECAP1!BF14</f>
        <v>0</v>
      </c>
      <c r="N10" s="70">
        <f>RECAP1!BF15</f>
        <v>0</v>
      </c>
      <c r="O10" s="70">
        <f>RECAP1!BF16</f>
        <v>0</v>
      </c>
      <c r="P10" s="81">
        <f>RECAP1!BF17</f>
        <v>0</v>
      </c>
      <c r="Q10" s="70">
        <f>RECAP1!BF18</f>
        <v>0</v>
      </c>
      <c r="R10" s="70">
        <f>RECAP1!BF19</f>
        <v>0</v>
      </c>
      <c r="S10" s="70">
        <f>RECAP1!BF20</f>
        <v>0</v>
      </c>
      <c r="T10" s="70">
        <f>RECAP1!BF21</f>
        <v>0</v>
      </c>
      <c r="U10" s="70">
        <f>RECAP1!BF22</f>
        <v>0</v>
      </c>
      <c r="V10" s="70">
        <f>RECAP1!BF23</f>
        <v>0</v>
      </c>
      <c r="W10" s="70">
        <f>RECAP1!BF24</f>
        <v>0</v>
      </c>
      <c r="X10" s="70">
        <f>RECAP1!BF25</f>
        <v>0</v>
      </c>
      <c r="Y10" s="70">
        <f>RECAP1!BF26</f>
        <v>0</v>
      </c>
      <c r="Z10" s="70">
        <f>RECAP1!BF27</f>
        <v>0</v>
      </c>
      <c r="AA10" s="70">
        <f>RECAP1!BF28</f>
        <v>0</v>
      </c>
      <c r="AB10" s="70">
        <f>RECAP1!BF29</f>
        <v>0</v>
      </c>
      <c r="AC10" s="70">
        <f>RECAP1!BF30</f>
        <v>0</v>
      </c>
      <c r="AD10" s="70">
        <f>RECAP1!BF31</f>
        <v>0</v>
      </c>
      <c r="AE10" s="70">
        <f>RECAP1!BF32</f>
        <v>0</v>
      </c>
      <c r="AF10" s="70">
        <f>RECAP1!BF33</f>
        <v>0</v>
      </c>
      <c r="AG10" s="70">
        <f>RECAP1!BF34</f>
        <v>0</v>
      </c>
      <c r="AH10" s="86">
        <f>SUM(C10:AG10)</f>
        <v>0</v>
      </c>
      <c r="AI10" s="642">
        <f>SUM(AH10:AH11)</f>
        <v>0</v>
      </c>
    </row>
    <row r="11" spans="2:35" ht="30">
      <c r="B11" s="71" t="s">
        <v>143</v>
      </c>
      <c r="C11" s="70">
        <f>'RECAP 5'!B9</f>
        <v>0</v>
      </c>
      <c r="D11" s="70">
        <f>'RECAP 5'!C9</f>
        <v>0</v>
      </c>
      <c r="E11" s="72">
        <f>'RECAP 5'!D9</f>
        <v>0</v>
      </c>
      <c r="F11" s="72">
        <f>'RECAP 5'!E9</f>
        <v>0</v>
      </c>
      <c r="G11" s="72">
        <f>'RECAP 5'!F9</f>
        <v>0</v>
      </c>
      <c r="H11" s="72">
        <f>'RECAP 5'!G9</f>
        <v>0</v>
      </c>
      <c r="I11" s="82">
        <f>'RECAP 5'!H9</f>
        <v>0</v>
      </c>
      <c r="J11" s="72">
        <f>'RECAP 5'!I9</f>
        <v>0</v>
      </c>
      <c r="K11" s="72">
        <f>'RECAP 5'!J9</f>
        <v>0</v>
      </c>
      <c r="L11" s="72">
        <f>'RECAP 5'!K9</f>
        <v>0</v>
      </c>
      <c r="M11" s="72">
        <f>'RECAP 5'!L9</f>
        <v>0</v>
      </c>
      <c r="N11" s="72">
        <f>'RECAP 5'!M9</f>
        <v>0</v>
      </c>
      <c r="O11" s="72">
        <f>'RECAP 5'!N9</f>
        <v>0</v>
      </c>
      <c r="P11" s="82">
        <f>'RECAP 5'!O9</f>
        <v>0</v>
      </c>
      <c r="Q11" s="72">
        <f>'RECAP 5'!P9</f>
        <v>0</v>
      </c>
      <c r="R11" s="72">
        <f>'RECAP 5'!Q9</f>
        <v>0</v>
      </c>
      <c r="S11" s="72">
        <f>'RECAP 5'!R9</f>
        <v>0</v>
      </c>
      <c r="T11" s="72">
        <f>'RECAP 5'!S9</f>
        <v>0</v>
      </c>
      <c r="U11" s="72">
        <f>'RECAP 5'!T9</f>
        <v>0</v>
      </c>
      <c r="V11" s="72">
        <f>'RECAP 5'!U9</f>
        <v>0</v>
      </c>
      <c r="W11" s="72">
        <f>'RECAP 5'!V9</f>
        <v>0</v>
      </c>
      <c r="X11" s="72">
        <f>'RECAP 5'!W9</f>
        <v>0</v>
      </c>
      <c r="Y11" s="72">
        <f>'RECAP 5'!X9</f>
        <v>0</v>
      </c>
      <c r="Z11" s="72">
        <f>'RECAP 5'!Y9</f>
        <v>0</v>
      </c>
      <c r="AA11" s="72">
        <f>'RECAP 5'!Z9</f>
        <v>0</v>
      </c>
      <c r="AB11" s="72">
        <f>'RECAP 5'!AA9</f>
        <v>0</v>
      </c>
      <c r="AC11" s="72">
        <f>'RECAP 5'!AB9</f>
        <v>0</v>
      </c>
      <c r="AD11" s="72">
        <f>'RECAP 5'!AC9</f>
        <v>0</v>
      </c>
      <c r="AE11" s="72">
        <f>'RECAP 5'!AD9</f>
        <v>0</v>
      </c>
      <c r="AF11" s="72">
        <f>'RECAP 5'!AE9</f>
        <v>0</v>
      </c>
      <c r="AG11" s="72">
        <f>'RECAP 5'!AF9</f>
        <v>0</v>
      </c>
      <c r="AH11" s="87">
        <f>SUM(C11:AG11)</f>
        <v>0</v>
      </c>
      <c r="AI11" s="643"/>
    </row>
    <row r="12" spans="2:35" ht="18.75">
      <c r="B12" s="73" t="s">
        <v>115</v>
      </c>
      <c r="C12" s="70">
        <f>SUM(C10:C11)</f>
        <v>0</v>
      </c>
      <c r="D12" s="70">
        <f>SUM(D10:D11)</f>
        <v>0</v>
      </c>
      <c r="E12" s="70">
        <f t="shared" ref="E12:AG12" si="0">SUM(E10:E11)</f>
        <v>0</v>
      </c>
      <c r="F12" s="70">
        <f t="shared" si="0"/>
        <v>0</v>
      </c>
      <c r="G12" s="70">
        <f t="shared" si="0"/>
        <v>0</v>
      </c>
      <c r="H12" s="70">
        <f t="shared" si="0"/>
        <v>0</v>
      </c>
      <c r="I12" s="81">
        <f t="shared" si="0"/>
        <v>0</v>
      </c>
      <c r="J12" s="70">
        <f t="shared" si="0"/>
        <v>0</v>
      </c>
      <c r="K12" s="70">
        <f t="shared" si="0"/>
        <v>0</v>
      </c>
      <c r="L12" s="70">
        <f t="shared" si="0"/>
        <v>0</v>
      </c>
      <c r="M12" s="70">
        <f t="shared" si="0"/>
        <v>0</v>
      </c>
      <c r="N12" s="70">
        <f t="shared" si="0"/>
        <v>0</v>
      </c>
      <c r="O12" s="70">
        <f t="shared" si="0"/>
        <v>0</v>
      </c>
      <c r="P12" s="81">
        <f t="shared" si="0"/>
        <v>0</v>
      </c>
      <c r="Q12" s="70">
        <f t="shared" si="0"/>
        <v>0</v>
      </c>
      <c r="R12" s="70">
        <f t="shared" si="0"/>
        <v>0</v>
      </c>
      <c r="S12" s="70">
        <f t="shared" si="0"/>
        <v>0</v>
      </c>
      <c r="T12" s="70">
        <f t="shared" si="0"/>
        <v>0</v>
      </c>
      <c r="U12" s="70">
        <f t="shared" si="0"/>
        <v>0</v>
      </c>
      <c r="V12" s="70">
        <f t="shared" si="0"/>
        <v>0</v>
      </c>
      <c r="W12" s="70">
        <f t="shared" si="0"/>
        <v>0</v>
      </c>
      <c r="X12" s="70">
        <f t="shared" si="0"/>
        <v>0</v>
      </c>
      <c r="Y12" s="70">
        <f t="shared" si="0"/>
        <v>0</v>
      </c>
      <c r="Z12" s="70">
        <f t="shared" si="0"/>
        <v>0</v>
      </c>
      <c r="AA12" s="70">
        <f t="shared" si="0"/>
        <v>0</v>
      </c>
      <c r="AB12" s="70">
        <f t="shared" si="0"/>
        <v>0</v>
      </c>
      <c r="AC12" s="70">
        <f t="shared" si="0"/>
        <v>0</v>
      </c>
      <c r="AD12" s="70">
        <f t="shared" si="0"/>
        <v>0</v>
      </c>
      <c r="AE12" s="70">
        <f t="shared" si="0"/>
        <v>0</v>
      </c>
      <c r="AF12" s="70">
        <f t="shared" si="0"/>
        <v>0</v>
      </c>
      <c r="AG12" s="70">
        <f t="shared" si="0"/>
        <v>0</v>
      </c>
      <c r="AH12" s="87"/>
      <c r="AI12" s="88"/>
    </row>
    <row r="13" spans="2:35" ht="60">
      <c r="B13" s="71" t="s">
        <v>144</v>
      </c>
      <c r="C13" s="74">
        <f>RECAP1!BF48</f>
        <v>0</v>
      </c>
      <c r="D13" s="75">
        <f>RECAP1!BF49</f>
        <v>0</v>
      </c>
      <c r="E13" s="75">
        <f>RECAP1!BF50</f>
        <v>0</v>
      </c>
      <c r="F13" s="75">
        <f>RECAP1!BF51</f>
        <v>0</v>
      </c>
      <c r="G13" s="75">
        <f>RECAP1!BF52</f>
        <v>0</v>
      </c>
      <c r="H13" s="75">
        <f>RECAP1!BF53</f>
        <v>0</v>
      </c>
      <c r="I13" s="83">
        <f>RECAP1!BF54</f>
        <v>0</v>
      </c>
      <c r="J13" s="75">
        <f>RECAP1!BF55</f>
        <v>0</v>
      </c>
      <c r="K13" s="75">
        <f>RECAP1!BF56</f>
        <v>0</v>
      </c>
      <c r="L13" s="75">
        <f>RECAP1!BF57</f>
        <v>0</v>
      </c>
      <c r="M13" s="75">
        <f>RECAP1!BF58</f>
        <v>0</v>
      </c>
      <c r="N13" s="75">
        <f>RECAP1!BF59</f>
        <v>0</v>
      </c>
      <c r="O13" s="75">
        <f>RECAP1!BF60</f>
        <v>0</v>
      </c>
      <c r="P13" s="83">
        <f>RECAP1!BF61</f>
        <v>0</v>
      </c>
      <c r="Q13" s="75">
        <f>RECAP1!BF62</f>
        <v>0</v>
      </c>
      <c r="R13" s="75">
        <f>RECAP1!BF63</f>
        <v>0</v>
      </c>
      <c r="S13" s="75">
        <f>RECAP1!BF64</f>
        <v>0</v>
      </c>
      <c r="T13" s="75">
        <f>RECAP1!BF65</f>
        <v>0</v>
      </c>
      <c r="U13" s="75">
        <f>RECAP1!BF66</f>
        <v>0</v>
      </c>
      <c r="V13" s="75">
        <f>RECAP1!BF67</f>
        <v>0</v>
      </c>
      <c r="W13" s="75">
        <f>RECAP1!BF68</f>
        <v>0</v>
      </c>
      <c r="X13" s="75">
        <f>RECAP1!BF69</f>
        <v>0</v>
      </c>
      <c r="Y13" s="75">
        <f>RECAP1!BF70</f>
        <v>0</v>
      </c>
      <c r="Z13" s="75">
        <f>RECAP1!BF71</f>
        <v>0</v>
      </c>
      <c r="AA13" s="75">
        <f>RECAP1!BF72</f>
        <v>0</v>
      </c>
      <c r="AB13" s="75">
        <f>RECAP1!BF73</f>
        <v>0</v>
      </c>
      <c r="AC13" s="75">
        <f>RECAP1!BF74</f>
        <v>0</v>
      </c>
      <c r="AD13" s="75">
        <f>RECAP1!BF75</f>
        <v>0</v>
      </c>
      <c r="AE13" s="75">
        <f>RECAP1!BF76</f>
        <v>0</v>
      </c>
      <c r="AF13" s="75">
        <f>RECAP1!BF77</f>
        <v>0</v>
      </c>
      <c r="AG13" s="75">
        <f>RECAP1!BF78</f>
        <v>0</v>
      </c>
      <c r="AH13" s="89">
        <f>SUM(C13:AG13)</f>
        <v>0</v>
      </c>
      <c r="AI13" s="644">
        <f>SUM(AH13:AH14)</f>
        <v>0</v>
      </c>
    </row>
    <row r="14" spans="2:35" ht="60">
      <c r="B14" s="69" t="s">
        <v>145</v>
      </c>
      <c r="C14" s="76">
        <f>'R4'!A44</f>
        <v>0</v>
      </c>
      <c r="D14" s="76">
        <f>'R4'!A45</f>
        <v>0</v>
      </c>
      <c r="E14" s="76">
        <f>'R4'!A46</f>
        <v>0</v>
      </c>
      <c r="F14" s="76">
        <f>'R4'!A47</f>
        <v>0</v>
      </c>
      <c r="G14" s="77">
        <f>'R4'!A48</f>
        <v>0</v>
      </c>
      <c r="H14" s="78">
        <f>'R4'!A49</f>
        <v>0</v>
      </c>
      <c r="I14" s="84">
        <f>'R4'!A50</f>
        <v>0</v>
      </c>
      <c r="J14" s="78">
        <f>'R4'!A51</f>
        <v>0</v>
      </c>
      <c r="K14" s="78">
        <f>'R4'!A52</f>
        <v>0</v>
      </c>
      <c r="L14" s="78">
        <f>'R4'!A53</f>
        <v>0</v>
      </c>
      <c r="M14" s="78">
        <f>'R4'!A54</f>
        <v>0</v>
      </c>
      <c r="N14" s="78">
        <f>'R4'!A55</f>
        <v>0</v>
      </c>
      <c r="O14" s="78">
        <f>'R4'!A56</f>
        <v>0</v>
      </c>
      <c r="P14" s="84">
        <f>'R4'!A57</f>
        <v>0</v>
      </c>
      <c r="Q14" s="78">
        <f>'R4'!A58</f>
        <v>0</v>
      </c>
      <c r="R14" s="78">
        <f>'R4'!A59</f>
        <v>0</v>
      </c>
      <c r="S14" s="78">
        <f>'R4'!A60</f>
        <v>0</v>
      </c>
      <c r="T14" s="78">
        <f>'R4'!A61</f>
        <v>0</v>
      </c>
      <c r="U14" s="78">
        <f>'R4'!A62</f>
        <v>0</v>
      </c>
      <c r="V14" s="78">
        <f>'R4'!A63</f>
        <v>0</v>
      </c>
      <c r="W14" s="77">
        <f>'R4'!A64</f>
        <v>0</v>
      </c>
      <c r="X14" s="77">
        <f>'R4'!A65</f>
        <v>0</v>
      </c>
      <c r="Y14" s="77">
        <f>'R4'!A66</f>
        <v>0</v>
      </c>
      <c r="Z14" s="77">
        <f>'R4'!A67</f>
        <v>0</v>
      </c>
      <c r="AA14" s="77">
        <f>'R4'!A68</f>
        <v>0</v>
      </c>
      <c r="AB14" s="77">
        <f>'R4'!A69</f>
        <v>0</v>
      </c>
      <c r="AC14" s="77">
        <f>'R4'!A70</f>
        <v>0</v>
      </c>
      <c r="AD14" s="77">
        <f>'R4'!A71</f>
        <v>0</v>
      </c>
      <c r="AE14" s="77">
        <f>'R4'!A72</f>
        <v>0</v>
      </c>
      <c r="AF14" s="77">
        <f>'R4'!A73</f>
        <v>0</v>
      </c>
      <c r="AG14" s="77">
        <f>'R4'!A74</f>
        <v>0</v>
      </c>
      <c r="AH14" s="90">
        <f>SUM(C14:AG14)</f>
        <v>0</v>
      </c>
      <c r="AI14" s="645"/>
    </row>
    <row r="15" spans="2:35" ht="15.75">
      <c r="B15" s="73" t="s">
        <v>115</v>
      </c>
      <c r="C15" s="74">
        <f>SUM(C13:C14)</f>
        <v>0</v>
      </c>
      <c r="D15" s="74">
        <f t="shared" ref="D15:AG15" si="1">SUM(D13:D14)</f>
        <v>0</v>
      </c>
      <c r="E15" s="74">
        <f t="shared" si="1"/>
        <v>0</v>
      </c>
      <c r="F15" s="74">
        <f t="shared" si="1"/>
        <v>0</v>
      </c>
      <c r="G15" s="74">
        <f t="shared" si="1"/>
        <v>0</v>
      </c>
      <c r="H15" s="74">
        <f t="shared" si="1"/>
        <v>0</v>
      </c>
      <c r="I15" s="85">
        <f t="shared" si="1"/>
        <v>0</v>
      </c>
      <c r="J15" s="74">
        <f t="shared" si="1"/>
        <v>0</v>
      </c>
      <c r="K15" s="74">
        <f t="shared" si="1"/>
        <v>0</v>
      </c>
      <c r="L15" s="74">
        <f t="shared" si="1"/>
        <v>0</v>
      </c>
      <c r="M15" s="74">
        <f t="shared" si="1"/>
        <v>0</v>
      </c>
      <c r="N15" s="74">
        <f t="shared" si="1"/>
        <v>0</v>
      </c>
      <c r="O15" s="74">
        <f t="shared" si="1"/>
        <v>0</v>
      </c>
      <c r="P15" s="85">
        <f t="shared" si="1"/>
        <v>0</v>
      </c>
      <c r="Q15" s="74">
        <f t="shared" si="1"/>
        <v>0</v>
      </c>
      <c r="R15" s="74">
        <f t="shared" si="1"/>
        <v>0</v>
      </c>
      <c r="S15" s="74">
        <f t="shared" si="1"/>
        <v>0</v>
      </c>
      <c r="T15" s="74">
        <f t="shared" si="1"/>
        <v>0</v>
      </c>
      <c r="U15" s="74">
        <f t="shared" si="1"/>
        <v>0</v>
      </c>
      <c r="V15" s="74">
        <f t="shared" si="1"/>
        <v>0</v>
      </c>
      <c r="W15" s="74">
        <f t="shared" si="1"/>
        <v>0</v>
      </c>
      <c r="X15" s="74">
        <f t="shared" si="1"/>
        <v>0</v>
      </c>
      <c r="Y15" s="74">
        <f t="shared" si="1"/>
        <v>0</v>
      </c>
      <c r="Z15" s="74">
        <f t="shared" si="1"/>
        <v>0</v>
      </c>
      <c r="AA15" s="74">
        <f t="shared" si="1"/>
        <v>0</v>
      </c>
      <c r="AB15" s="74">
        <f t="shared" si="1"/>
        <v>0</v>
      </c>
      <c r="AC15" s="74">
        <f t="shared" si="1"/>
        <v>0</v>
      </c>
      <c r="AD15" s="74">
        <f t="shared" si="1"/>
        <v>0</v>
      </c>
      <c r="AE15" s="74">
        <f t="shared" si="1"/>
        <v>0</v>
      </c>
      <c r="AF15" s="74">
        <f t="shared" si="1"/>
        <v>0</v>
      </c>
      <c r="AG15" s="74">
        <f t="shared" si="1"/>
        <v>0</v>
      </c>
      <c r="AH15" s="83"/>
      <c r="AI15" s="91"/>
    </row>
  </sheetData>
  <mergeCells count="6">
    <mergeCell ref="B7:B9"/>
    <mergeCell ref="AH7:AH9"/>
    <mergeCell ref="AI7:AI9"/>
    <mergeCell ref="AI10:AI11"/>
    <mergeCell ref="AI13:AI14"/>
    <mergeCell ref="C7:AG8"/>
  </mergeCells>
  <printOptions verticalCentered="1"/>
  <pageMargins left="0.196850393700787" right="0.196850393700787" top="0.196850393700787" bottom="0.196850393700787" header="0.196850393700787" footer="0.196850393700787"/>
  <pageSetup paperSize="9" scale="35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3:AE76"/>
  <sheetViews>
    <sheetView zoomScale="60" zoomScaleNormal="60" workbookViewId="0">
      <selection activeCell="R20" sqref="R20"/>
    </sheetView>
  </sheetViews>
  <sheetFormatPr baseColWidth="10" defaultColWidth="11.42578125" defaultRowHeight="15"/>
  <cols>
    <col min="1" max="3" width="14.28515625" customWidth="1"/>
    <col min="4" max="4" width="14.42578125" customWidth="1"/>
    <col min="5" max="5" width="15.5703125" customWidth="1"/>
    <col min="6" max="6" width="14.42578125" customWidth="1"/>
    <col min="7" max="7" width="15.28515625" customWidth="1"/>
    <col min="8" max="8" width="14.5703125" customWidth="1"/>
    <col min="9" max="9" width="14.85546875" customWidth="1"/>
    <col min="10" max="10" width="15.140625" customWidth="1"/>
    <col min="11" max="11" width="16.85546875" customWidth="1"/>
    <col min="12" max="12" width="15.5703125" customWidth="1"/>
    <col min="13" max="14" width="17.5703125" customWidth="1"/>
    <col min="15" max="15" width="17.42578125" customWidth="1"/>
  </cols>
  <sheetData>
    <row r="3" spans="1:31" ht="26.25">
      <c r="A3" s="600" t="s">
        <v>115</v>
      </c>
      <c r="B3" s="648" t="s">
        <v>116</v>
      </c>
      <c r="C3" s="649"/>
      <c r="D3" s="649"/>
      <c r="E3" s="649"/>
      <c r="F3" s="649"/>
      <c r="G3" s="649"/>
      <c r="H3" s="649"/>
      <c r="I3" s="649"/>
      <c r="J3" s="649"/>
      <c r="K3" s="649"/>
      <c r="L3" s="649"/>
      <c r="M3" s="649"/>
      <c r="N3" s="649"/>
      <c r="O3" s="650"/>
    </row>
    <row r="4" spans="1:31" ht="15" customHeight="1">
      <c r="A4" s="601"/>
      <c r="B4" s="655"/>
      <c r="C4" s="656"/>
      <c r="D4" s="656"/>
      <c r="E4" s="656"/>
      <c r="F4" s="656"/>
      <c r="G4" s="656"/>
      <c r="H4" s="656"/>
      <c r="I4" s="656"/>
      <c r="J4" s="656"/>
      <c r="K4" s="656"/>
      <c r="L4" s="656"/>
      <c r="M4" s="656"/>
      <c r="N4" s="656"/>
      <c r="O4" s="657"/>
    </row>
    <row r="5" spans="1:31" ht="15.75" customHeight="1">
      <c r="A5" s="601"/>
      <c r="B5" s="655"/>
      <c r="C5" s="656"/>
      <c r="D5" s="656"/>
      <c r="E5" s="656"/>
      <c r="F5" s="656"/>
      <c r="G5" s="656"/>
      <c r="H5" s="656"/>
      <c r="I5" s="656"/>
      <c r="J5" s="656"/>
      <c r="K5" s="656"/>
      <c r="L5" s="656"/>
      <c r="M5" s="656"/>
      <c r="N5" s="656"/>
      <c r="O5" s="657"/>
    </row>
    <row r="6" spans="1:31" ht="26.25">
      <c r="A6" s="601"/>
      <c r="B6" s="651" t="s">
        <v>54</v>
      </c>
      <c r="C6" s="652"/>
      <c r="D6" s="629" t="s">
        <v>117</v>
      </c>
      <c r="E6" s="629"/>
      <c r="F6" s="613" t="s">
        <v>118</v>
      </c>
      <c r="G6" s="615"/>
      <c r="H6" s="2" t="s">
        <v>119</v>
      </c>
      <c r="I6" s="44" t="s">
        <v>120</v>
      </c>
      <c r="J6" s="2" t="s">
        <v>121</v>
      </c>
      <c r="K6" s="44" t="s">
        <v>122</v>
      </c>
      <c r="L6" s="2" t="s">
        <v>123</v>
      </c>
      <c r="M6" s="44" t="s">
        <v>132</v>
      </c>
      <c r="N6" s="31" t="s">
        <v>125</v>
      </c>
      <c r="O6" s="467"/>
      <c r="AD6">
        <f>SUM(D6:AC6)</f>
        <v>0</v>
      </c>
      <c r="AE6">
        <v>2</v>
      </c>
    </row>
    <row r="7" spans="1:31" ht="21">
      <c r="A7" s="602"/>
      <c r="B7" s="4" t="s">
        <v>126</v>
      </c>
      <c r="C7" s="5" t="s">
        <v>127</v>
      </c>
      <c r="D7" s="6" t="s">
        <v>126</v>
      </c>
      <c r="E7" s="7" t="s">
        <v>127</v>
      </c>
      <c r="F7" s="4" t="s">
        <v>129</v>
      </c>
      <c r="G7" s="5" t="s">
        <v>127</v>
      </c>
      <c r="H7" s="2" t="s">
        <v>127</v>
      </c>
      <c r="I7" s="44" t="s">
        <v>127</v>
      </c>
      <c r="J7" s="2" t="s">
        <v>130</v>
      </c>
      <c r="K7" s="5" t="s">
        <v>127</v>
      </c>
      <c r="L7" s="5" t="s">
        <v>127</v>
      </c>
      <c r="M7" s="5" t="s">
        <v>127</v>
      </c>
      <c r="N7" s="5" t="s">
        <v>127</v>
      </c>
      <c r="O7" s="460"/>
    </row>
    <row r="8" spans="1:31" ht="35.1" customHeight="1">
      <c r="A8" s="8">
        <f>SUM(B8:N8)</f>
        <v>0</v>
      </c>
      <c r="B8" s="9"/>
      <c r="C8" s="10"/>
      <c r="D8" s="11"/>
      <c r="E8" s="12"/>
      <c r="F8" s="13"/>
      <c r="G8" s="14"/>
      <c r="H8" s="15"/>
      <c r="I8" s="45"/>
      <c r="J8" s="15"/>
      <c r="K8" s="45"/>
      <c r="L8" s="15"/>
      <c r="M8" s="45"/>
      <c r="N8" s="46"/>
      <c r="O8" s="47">
        <v>1</v>
      </c>
    </row>
    <row r="9" spans="1:31" ht="35.1" customHeight="1">
      <c r="A9" s="8">
        <f t="shared" ref="A9:A39" si="0">SUM(B9:N9)</f>
        <v>0</v>
      </c>
      <c r="B9" s="16"/>
      <c r="C9" s="17"/>
      <c r="D9" s="18"/>
      <c r="E9" s="19"/>
      <c r="F9" s="20"/>
      <c r="G9" s="21"/>
      <c r="H9" s="22"/>
      <c r="I9" s="48"/>
      <c r="J9" s="22"/>
      <c r="K9" s="48"/>
      <c r="L9" s="22"/>
      <c r="M9" s="48"/>
      <c r="N9" s="49"/>
      <c r="O9" s="50">
        <v>2</v>
      </c>
    </row>
    <row r="10" spans="1:31" ht="35.1" customHeight="1">
      <c r="A10" s="8">
        <f t="shared" si="0"/>
        <v>0</v>
      </c>
      <c r="B10" s="16"/>
      <c r="C10" s="17"/>
      <c r="D10" s="18"/>
      <c r="E10" s="19"/>
      <c r="F10" s="20"/>
      <c r="G10" s="21"/>
      <c r="H10" s="22"/>
      <c r="I10" s="48"/>
      <c r="J10" s="22"/>
      <c r="K10" s="48"/>
      <c r="L10" s="22"/>
      <c r="M10" s="48"/>
      <c r="N10" s="49"/>
      <c r="O10" s="50">
        <v>3</v>
      </c>
    </row>
    <row r="11" spans="1:31" ht="35.1" customHeight="1">
      <c r="A11" s="8">
        <f t="shared" si="0"/>
        <v>0</v>
      </c>
      <c r="B11" s="16"/>
      <c r="C11" s="17"/>
      <c r="D11" s="18"/>
      <c r="E11" s="19"/>
      <c r="F11" s="20"/>
      <c r="G11" s="21"/>
      <c r="H11" s="22"/>
      <c r="I11" s="48"/>
      <c r="J11" s="22"/>
      <c r="K11" s="48"/>
      <c r="L11" s="22"/>
      <c r="M11" s="48"/>
      <c r="N11" s="49"/>
      <c r="O11" s="47">
        <v>4</v>
      </c>
    </row>
    <row r="12" spans="1:31" ht="35.1" customHeight="1">
      <c r="A12" s="8">
        <f t="shared" si="0"/>
        <v>0</v>
      </c>
      <c r="B12" s="16"/>
      <c r="C12" s="17"/>
      <c r="D12" s="18"/>
      <c r="E12" s="19"/>
      <c r="F12" s="20"/>
      <c r="G12" s="21"/>
      <c r="H12" s="22"/>
      <c r="I12" s="48"/>
      <c r="J12" s="22"/>
      <c r="K12" s="48"/>
      <c r="L12" s="22"/>
      <c r="M12" s="48"/>
      <c r="N12" s="49"/>
      <c r="O12" s="50">
        <v>5</v>
      </c>
    </row>
    <row r="13" spans="1:31" ht="35.1" customHeight="1">
      <c r="A13" s="8">
        <f t="shared" si="0"/>
        <v>0</v>
      </c>
      <c r="B13" s="16"/>
      <c r="C13" s="17"/>
      <c r="D13" s="18"/>
      <c r="E13" s="19"/>
      <c r="F13" s="20"/>
      <c r="G13" s="21"/>
      <c r="H13" s="22"/>
      <c r="I13" s="48"/>
      <c r="J13" s="22"/>
      <c r="K13" s="48"/>
      <c r="L13" s="22"/>
      <c r="M13" s="48"/>
      <c r="N13" s="49"/>
      <c r="O13" s="50">
        <v>6</v>
      </c>
    </row>
    <row r="14" spans="1:31" s="1" customFormat="1" ht="35.1" customHeight="1">
      <c r="A14" s="8">
        <f t="shared" si="0"/>
        <v>0</v>
      </c>
      <c r="B14" s="16"/>
      <c r="C14" s="17"/>
      <c r="D14" s="18"/>
      <c r="E14" s="19"/>
      <c r="F14" s="20"/>
      <c r="G14" s="21"/>
      <c r="H14" s="22"/>
      <c r="I14" s="48"/>
      <c r="J14" s="22"/>
      <c r="K14" s="48"/>
      <c r="L14" s="22"/>
      <c r="M14" s="48"/>
      <c r="N14" s="49"/>
      <c r="O14" s="47">
        <v>7</v>
      </c>
    </row>
    <row r="15" spans="1:31" ht="35.1" customHeight="1">
      <c r="A15" s="8">
        <f t="shared" si="0"/>
        <v>0</v>
      </c>
      <c r="B15" s="16"/>
      <c r="C15" s="17"/>
      <c r="D15" s="18"/>
      <c r="E15" s="19"/>
      <c r="F15" s="20"/>
      <c r="G15" s="21"/>
      <c r="H15" s="22"/>
      <c r="I15" s="48"/>
      <c r="J15" s="22"/>
      <c r="K15" s="48"/>
      <c r="L15" s="22"/>
      <c r="M15" s="48"/>
      <c r="N15" s="49"/>
      <c r="O15" s="50">
        <v>8</v>
      </c>
    </row>
    <row r="16" spans="1:31" ht="35.1" customHeight="1">
      <c r="A16" s="8">
        <f t="shared" si="0"/>
        <v>0</v>
      </c>
      <c r="B16" s="16"/>
      <c r="C16" s="17"/>
      <c r="D16" s="18"/>
      <c r="E16" s="19"/>
      <c r="F16" s="20"/>
      <c r="G16" s="21"/>
      <c r="H16" s="22"/>
      <c r="I16" s="48"/>
      <c r="J16" s="22"/>
      <c r="K16" s="48"/>
      <c r="L16" s="22"/>
      <c r="M16" s="48"/>
      <c r="N16" s="49"/>
      <c r="O16" s="50">
        <v>9</v>
      </c>
    </row>
    <row r="17" spans="1:15" ht="35.1" customHeight="1">
      <c r="A17" s="8">
        <f t="shared" si="0"/>
        <v>0</v>
      </c>
      <c r="B17" s="16"/>
      <c r="C17" s="17"/>
      <c r="D17" s="18"/>
      <c r="E17" s="19"/>
      <c r="F17" s="20"/>
      <c r="G17" s="21"/>
      <c r="H17" s="22"/>
      <c r="I17" s="48"/>
      <c r="J17" s="22"/>
      <c r="K17" s="48"/>
      <c r="L17" s="22"/>
      <c r="M17" s="48"/>
      <c r="N17" s="49"/>
      <c r="O17" s="47">
        <v>10</v>
      </c>
    </row>
    <row r="18" spans="1:15" ht="35.1" customHeight="1">
      <c r="A18" s="8">
        <f t="shared" si="0"/>
        <v>0</v>
      </c>
      <c r="B18" s="16"/>
      <c r="C18" s="17"/>
      <c r="D18" s="18"/>
      <c r="E18" s="19"/>
      <c r="F18" s="20"/>
      <c r="G18" s="21"/>
      <c r="H18" s="22"/>
      <c r="I18" s="48"/>
      <c r="J18" s="22"/>
      <c r="K18" s="48"/>
      <c r="L18" s="22"/>
      <c r="M18" s="48"/>
      <c r="N18" s="49"/>
      <c r="O18" s="50">
        <v>11</v>
      </c>
    </row>
    <row r="19" spans="1:15" ht="35.1" customHeight="1">
      <c r="A19" s="8">
        <f t="shared" si="0"/>
        <v>0</v>
      </c>
      <c r="B19" s="16"/>
      <c r="C19" s="17"/>
      <c r="D19" s="18"/>
      <c r="E19" s="19"/>
      <c r="F19" s="20"/>
      <c r="G19" s="21"/>
      <c r="H19" s="22"/>
      <c r="I19" s="48"/>
      <c r="J19" s="22"/>
      <c r="K19" s="48"/>
      <c r="L19" s="22"/>
      <c r="M19" s="48"/>
      <c r="N19" s="49"/>
      <c r="O19" s="50">
        <v>12</v>
      </c>
    </row>
    <row r="20" spans="1:15" ht="35.1" customHeight="1">
      <c r="A20" s="8">
        <f t="shared" si="0"/>
        <v>0</v>
      </c>
      <c r="B20" s="16"/>
      <c r="C20" s="17"/>
      <c r="D20" s="18"/>
      <c r="E20" s="19"/>
      <c r="F20" s="20"/>
      <c r="G20" s="21"/>
      <c r="H20" s="22"/>
      <c r="I20" s="48"/>
      <c r="J20" s="22"/>
      <c r="K20" s="48"/>
      <c r="L20" s="22"/>
      <c r="M20" s="48"/>
      <c r="N20" s="49"/>
      <c r="O20" s="47">
        <v>13</v>
      </c>
    </row>
    <row r="21" spans="1:15" ht="35.1" customHeight="1">
      <c r="A21" s="8">
        <f t="shared" si="0"/>
        <v>0</v>
      </c>
      <c r="B21" s="16"/>
      <c r="C21" s="17"/>
      <c r="D21" s="18"/>
      <c r="E21" s="19"/>
      <c r="F21" s="20"/>
      <c r="G21" s="21"/>
      <c r="H21" s="22"/>
      <c r="I21" s="48"/>
      <c r="J21" s="22"/>
      <c r="K21" s="48"/>
      <c r="L21" s="22"/>
      <c r="M21" s="48"/>
      <c r="N21" s="49"/>
      <c r="O21" s="50">
        <v>14</v>
      </c>
    </row>
    <row r="22" spans="1:15" ht="35.1" customHeight="1">
      <c r="A22" s="8">
        <f t="shared" si="0"/>
        <v>0</v>
      </c>
      <c r="B22" s="16"/>
      <c r="C22" s="17"/>
      <c r="D22" s="18"/>
      <c r="E22" s="19"/>
      <c r="F22" s="20"/>
      <c r="G22" s="21"/>
      <c r="H22" s="22"/>
      <c r="I22" s="48"/>
      <c r="J22" s="22"/>
      <c r="K22" s="48"/>
      <c r="L22" s="22"/>
      <c r="M22" s="48"/>
      <c r="N22" s="49"/>
      <c r="O22" s="50">
        <v>15</v>
      </c>
    </row>
    <row r="23" spans="1:15" ht="35.1" customHeight="1">
      <c r="A23" s="8">
        <f t="shared" si="0"/>
        <v>0</v>
      </c>
      <c r="B23" s="16"/>
      <c r="C23" s="17"/>
      <c r="D23" s="18"/>
      <c r="E23" s="19"/>
      <c r="F23" s="20"/>
      <c r="G23" s="21"/>
      <c r="H23" s="22"/>
      <c r="I23" s="48"/>
      <c r="J23" s="22"/>
      <c r="K23" s="48"/>
      <c r="L23" s="22"/>
      <c r="M23" s="48"/>
      <c r="N23" s="49"/>
      <c r="O23" s="47">
        <v>16</v>
      </c>
    </row>
    <row r="24" spans="1:15" ht="35.1" customHeight="1">
      <c r="A24" s="8">
        <f t="shared" si="0"/>
        <v>0</v>
      </c>
      <c r="B24" s="16"/>
      <c r="C24" s="17"/>
      <c r="D24" s="18"/>
      <c r="E24" s="19"/>
      <c r="F24" s="20"/>
      <c r="G24" s="21"/>
      <c r="H24" s="22"/>
      <c r="I24" s="48"/>
      <c r="J24" s="22"/>
      <c r="K24" s="48"/>
      <c r="L24" s="22"/>
      <c r="M24" s="48"/>
      <c r="N24" s="49"/>
      <c r="O24" s="50">
        <v>17</v>
      </c>
    </row>
    <row r="25" spans="1:15" ht="35.1" customHeight="1">
      <c r="A25" s="8">
        <f t="shared" si="0"/>
        <v>0</v>
      </c>
      <c r="B25" s="16"/>
      <c r="C25" s="17"/>
      <c r="D25" s="18"/>
      <c r="E25" s="19"/>
      <c r="F25" s="20"/>
      <c r="G25" s="21"/>
      <c r="H25" s="22"/>
      <c r="I25" s="48"/>
      <c r="J25" s="22"/>
      <c r="K25" s="48"/>
      <c r="L25" s="22"/>
      <c r="M25" s="48"/>
      <c r="N25" s="49"/>
      <c r="O25" s="50">
        <v>18</v>
      </c>
    </row>
    <row r="26" spans="1:15" ht="35.1" customHeight="1">
      <c r="A26" s="8">
        <f t="shared" si="0"/>
        <v>0</v>
      </c>
      <c r="B26" s="16"/>
      <c r="C26" s="17"/>
      <c r="D26" s="18"/>
      <c r="E26" s="19"/>
      <c r="F26" s="20"/>
      <c r="G26" s="21"/>
      <c r="H26" s="22"/>
      <c r="I26" s="48"/>
      <c r="J26" s="22"/>
      <c r="K26" s="48"/>
      <c r="L26" s="22"/>
      <c r="M26" s="48"/>
      <c r="N26" s="49"/>
      <c r="O26" s="47">
        <v>19</v>
      </c>
    </row>
    <row r="27" spans="1:15" ht="35.1" customHeight="1">
      <c r="A27" s="8">
        <f t="shared" si="0"/>
        <v>0</v>
      </c>
      <c r="B27" s="16"/>
      <c r="C27" s="17"/>
      <c r="D27" s="18"/>
      <c r="E27" s="19"/>
      <c r="F27" s="20"/>
      <c r="G27" s="21"/>
      <c r="H27" s="22"/>
      <c r="I27" s="48"/>
      <c r="J27" s="22"/>
      <c r="K27" s="48"/>
      <c r="L27" s="22"/>
      <c r="M27" s="48"/>
      <c r="N27" s="49"/>
      <c r="O27" s="50">
        <v>20</v>
      </c>
    </row>
    <row r="28" spans="1:15" ht="35.1" customHeight="1">
      <c r="A28" s="8">
        <f t="shared" si="0"/>
        <v>0</v>
      </c>
      <c r="B28" s="16"/>
      <c r="C28" s="17"/>
      <c r="D28" s="18"/>
      <c r="E28" s="19"/>
      <c r="F28" s="20"/>
      <c r="G28" s="21"/>
      <c r="H28" s="22"/>
      <c r="I28" s="48"/>
      <c r="J28" s="22"/>
      <c r="K28" s="48"/>
      <c r="L28" s="22"/>
      <c r="M28" s="48"/>
      <c r="N28" s="49"/>
      <c r="O28" s="50">
        <v>21</v>
      </c>
    </row>
    <row r="29" spans="1:15" ht="35.1" customHeight="1">
      <c r="A29" s="8">
        <f t="shared" si="0"/>
        <v>0</v>
      </c>
      <c r="B29" s="16"/>
      <c r="C29" s="17"/>
      <c r="D29" s="18"/>
      <c r="E29" s="19"/>
      <c r="F29" s="20"/>
      <c r="G29" s="21"/>
      <c r="H29" s="22"/>
      <c r="I29" s="48"/>
      <c r="J29" s="22"/>
      <c r="K29" s="48"/>
      <c r="L29" s="22"/>
      <c r="M29" s="48"/>
      <c r="N29" s="49"/>
      <c r="O29" s="47">
        <v>22</v>
      </c>
    </row>
    <row r="30" spans="1:15" ht="35.1" customHeight="1">
      <c r="A30" s="8">
        <f t="shared" si="0"/>
        <v>0</v>
      </c>
      <c r="B30" s="16"/>
      <c r="C30" s="17"/>
      <c r="D30" s="18"/>
      <c r="E30" s="19"/>
      <c r="F30" s="20"/>
      <c r="G30" s="21"/>
      <c r="H30" s="22"/>
      <c r="I30" s="48"/>
      <c r="J30" s="22"/>
      <c r="K30" s="48"/>
      <c r="L30" s="22"/>
      <c r="M30" s="48"/>
      <c r="N30" s="49"/>
      <c r="O30" s="50">
        <v>23</v>
      </c>
    </row>
    <row r="31" spans="1:15" ht="35.1" customHeight="1">
      <c r="A31" s="8">
        <f t="shared" si="0"/>
        <v>0</v>
      </c>
      <c r="B31" s="16"/>
      <c r="C31" s="17"/>
      <c r="D31" s="18"/>
      <c r="E31" s="19"/>
      <c r="F31" s="20"/>
      <c r="G31" s="21"/>
      <c r="H31" s="22"/>
      <c r="I31" s="48"/>
      <c r="J31" s="22"/>
      <c r="K31" s="48"/>
      <c r="L31" s="22"/>
      <c r="M31" s="48"/>
      <c r="N31" s="49"/>
      <c r="O31" s="50">
        <v>24</v>
      </c>
    </row>
    <row r="32" spans="1:15" ht="35.1" customHeight="1">
      <c r="A32" s="8">
        <f t="shared" si="0"/>
        <v>0</v>
      </c>
      <c r="B32" s="16"/>
      <c r="C32" s="17"/>
      <c r="D32" s="18"/>
      <c r="E32" s="19"/>
      <c r="F32" s="20"/>
      <c r="G32" s="21"/>
      <c r="H32" s="22"/>
      <c r="I32" s="48"/>
      <c r="J32" s="22"/>
      <c r="K32" s="48"/>
      <c r="L32" s="22"/>
      <c r="M32" s="48"/>
      <c r="N32" s="49"/>
      <c r="O32" s="47">
        <v>25</v>
      </c>
    </row>
    <row r="33" spans="1:16" ht="35.1" customHeight="1">
      <c r="A33" s="8">
        <f t="shared" si="0"/>
        <v>0</v>
      </c>
      <c r="B33" s="16"/>
      <c r="C33" s="17"/>
      <c r="D33" s="18"/>
      <c r="E33" s="19"/>
      <c r="F33" s="20"/>
      <c r="G33" s="21"/>
      <c r="H33" s="22"/>
      <c r="I33" s="48"/>
      <c r="J33" s="22"/>
      <c r="K33" s="48"/>
      <c r="L33" s="22"/>
      <c r="M33" s="48"/>
      <c r="N33" s="49"/>
      <c r="O33" s="50">
        <v>26</v>
      </c>
    </row>
    <row r="34" spans="1:16" ht="35.1" customHeight="1">
      <c r="A34" s="8">
        <f t="shared" si="0"/>
        <v>0</v>
      </c>
      <c r="B34" s="16"/>
      <c r="C34" s="17"/>
      <c r="D34" s="18"/>
      <c r="E34" s="19"/>
      <c r="F34" s="20"/>
      <c r="G34" s="21"/>
      <c r="H34" s="22"/>
      <c r="I34" s="48"/>
      <c r="J34" s="22"/>
      <c r="K34" s="48"/>
      <c r="L34" s="22"/>
      <c r="M34" s="48"/>
      <c r="N34" s="49"/>
      <c r="O34" s="50">
        <v>27</v>
      </c>
    </row>
    <row r="35" spans="1:16" ht="35.1" customHeight="1">
      <c r="A35" s="8">
        <f t="shared" si="0"/>
        <v>0</v>
      </c>
      <c r="B35" s="16"/>
      <c r="C35" s="17"/>
      <c r="D35" s="18"/>
      <c r="E35" s="19"/>
      <c r="F35" s="20"/>
      <c r="G35" s="21"/>
      <c r="H35" s="22"/>
      <c r="I35" s="48"/>
      <c r="J35" s="22"/>
      <c r="K35" s="48"/>
      <c r="L35" s="22"/>
      <c r="M35" s="48"/>
      <c r="N35" s="49"/>
      <c r="O35" s="47">
        <v>28</v>
      </c>
    </row>
    <row r="36" spans="1:16" ht="35.1" customHeight="1">
      <c r="A36" s="8">
        <f t="shared" si="0"/>
        <v>0</v>
      </c>
      <c r="B36" s="16"/>
      <c r="C36" s="17"/>
      <c r="D36" s="18"/>
      <c r="E36" s="19"/>
      <c r="F36" s="20"/>
      <c r="G36" s="21"/>
      <c r="H36" s="22"/>
      <c r="I36" s="48"/>
      <c r="J36" s="22"/>
      <c r="K36" s="48"/>
      <c r="L36" s="22"/>
      <c r="M36" s="48"/>
      <c r="N36" s="49"/>
      <c r="O36" s="50">
        <v>29</v>
      </c>
    </row>
    <row r="37" spans="1:16" ht="35.1" customHeight="1">
      <c r="A37" s="8">
        <f t="shared" si="0"/>
        <v>0</v>
      </c>
      <c r="B37" s="16"/>
      <c r="C37" s="17"/>
      <c r="D37" s="18"/>
      <c r="E37" s="19"/>
      <c r="F37" s="20"/>
      <c r="G37" s="21"/>
      <c r="H37" s="22"/>
      <c r="I37" s="48"/>
      <c r="J37" s="22"/>
      <c r="K37" s="48"/>
      <c r="L37" s="22"/>
      <c r="M37" s="48"/>
      <c r="N37" s="49"/>
      <c r="O37" s="50">
        <v>30</v>
      </c>
    </row>
    <row r="38" spans="1:16" ht="35.1" customHeight="1">
      <c r="A38" s="23">
        <f t="shared" si="0"/>
        <v>0</v>
      </c>
      <c r="B38" s="24"/>
      <c r="C38" s="25"/>
      <c r="D38" s="26"/>
      <c r="E38" s="27"/>
      <c r="F38" s="28"/>
      <c r="G38" s="29"/>
      <c r="H38" s="30"/>
      <c r="I38" s="51"/>
      <c r="J38" s="30"/>
      <c r="K38" s="51"/>
      <c r="L38" s="30"/>
      <c r="M38" s="51"/>
      <c r="N38" s="52"/>
      <c r="O38" s="47">
        <v>31</v>
      </c>
    </row>
    <row r="39" spans="1:16" ht="39.950000000000003" customHeight="1">
      <c r="A39" s="31">
        <f t="shared" si="0"/>
        <v>0</v>
      </c>
      <c r="B39" s="32">
        <f>SUM(B8:B38)</f>
        <v>0</v>
      </c>
      <c r="C39" s="32">
        <f>SUM(C8:C38)</f>
        <v>0</v>
      </c>
      <c r="D39" s="32">
        <f>SUM(D8:D38)</f>
        <v>0</v>
      </c>
      <c r="E39" s="33">
        <f t="shared" ref="E39:N39" si="1">SUM(E8:E38)</f>
        <v>0</v>
      </c>
      <c r="F39" s="34">
        <f t="shared" si="1"/>
        <v>0</v>
      </c>
      <c r="G39" s="35">
        <f t="shared" si="1"/>
        <v>0</v>
      </c>
      <c r="H39" s="36">
        <f t="shared" si="1"/>
        <v>0</v>
      </c>
      <c r="I39" s="35">
        <f t="shared" si="1"/>
        <v>0</v>
      </c>
      <c r="J39" s="36">
        <f t="shared" si="1"/>
        <v>0</v>
      </c>
      <c r="K39" s="35">
        <f t="shared" si="1"/>
        <v>0</v>
      </c>
      <c r="L39" s="36">
        <f t="shared" si="1"/>
        <v>0</v>
      </c>
      <c r="M39" s="35">
        <f t="shared" si="1"/>
        <v>0</v>
      </c>
      <c r="N39" s="35">
        <f t="shared" si="1"/>
        <v>0</v>
      </c>
      <c r="O39" s="53" t="s">
        <v>115</v>
      </c>
    </row>
    <row r="41" spans="1:16" ht="39.950000000000003" customHeight="1">
      <c r="A41" s="606" t="s">
        <v>115</v>
      </c>
      <c r="B41" s="648" t="s">
        <v>131</v>
      </c>
      <c r="C41" s="649"/>
      <c r="D41" s="649"/>
      <c r="E41" s="649"/>
      <c r="F41" s="649"/>
      <c r="G41" s="649"/>
      <c r="H41" s="649"/>
      <c r="I41" s="649"/>
      <c r="J41" s="649"/>
      <c r="K41" s="649"/>
      <c r="L41" s="649"/>
      <c r="M41" s="649"/>
      <c r="N41" s="649"/>
      <c r="O41" s="650"/>
    </row>
    <row r="42" spans="1:16" ht="39.950000000000003" customHeight="1">
      <c r="A42" s="607"/>
      <c r="B42" s="658" t="s">
        <v>54</v>
      </c>
      <c r="C42" s="659"/>
      <c r="D42" s="624" t="s">
        <v>117</v>
      </c>
      <c r="E42" s="629"/>
      <c r="F42" s="624" t="s">
        <v>118</v>
      </c>
      <c r="G42" s="629"/>
      <c r="H42" s="37" t="s">
        <v>119</v>
      </c>
      <c r="I42" s="37" t="s">
        <v>120</v>
      </c>
      <c r="J42" s="37" t="s">
        <v>121</v>
      </c>
      <c r="K42" s="54" t="s">
        <v>122</v>
      </c>
      <c r="L42" s="44" t="s">
        <v>123</v>
      </c>
      <c r="M42" s="44" t="s">
        <v>132</v>
      </c>
      <c r="N42" s="37" t="s">
        <v>125</v>
      </c>
      <c r="O42" s="653" t="s">
        <v>133</v>
      </c>
      <c r="P42" s="616" t="s">
        <v>134</v>
      </c>
    </row>
    <row r="43" spans="1:16" ht="39.950000000000003" customHeight="1">
      <c r="A43" s="607"/>
      <c r="B43" s="4" t="s">
        <v>126</v>
      </c>
      <c r="C43" s="38" t="s">
        <v>127</v>
      </c>
      <c r="D43" s="4" t="s">
        <v>126</v>
      </c>
      <c r="E43" s="38" t="s">
        <v>127</v>
      </c>
      <c r="F43" s="4" t="s">
        <v>129</v>
      </c>
      <c r="G43" s="38" t="s">
        <v>127</v>
      </c>
      <c r="H43" s="4" t="s">
        <v>127</v>
      </c>
      <c r="I43" s="4" t="s">
        <v>127</v>
      </c>
      <c r="J43" s="4" t="s">
        <v>130</v>
      </c>
      <c r="K43" s="4" t="s">
        <v>130</v>
      </c>
      <c r="L43" s="4" t="s">
        <v>130</v>
      </c>
      <c r="M43" s="4" t="s">
        <v>130</v>
      </c>
      <c r="N43" s="37" t="s">
        <v>130</v>
      </c>
      <c r="O43" s="654"/>
      <c r="P43" s="617"/>
    </row>
    <row r="44" spans="1:16" ht="39.950000000000003" customHeight="1">
      <c r="A44" s="39">
        <f t="shared" ref="A44:A74" si="2">SUM(D44:M44)</f>
        <v>0</v>
      </c>
      <c r="B44" s="40">
        <f>B8/25</f>
        <v>0</v>
      </c>
      <c r="C44" s="40">
        <f>C8/20</f>
        <v>0</v>
      </c>
      <c r="D44" s="41">
        <f>D8/25</f>
        <v>0</v>
      </c>
      <c r="E44" s="41">
        <f>E8/20</f>
        <v>0</v>
      </c>
      <c r="F44" s="41">
        <f>F8/30</f>
        <v>0</v>
      </c>
      <c r="G44" s="41">
        <f t="shared" ref="G44:N44" si="3">G8/20</f>
        <v>0</v>
      </c>
      <c r="H44" s="41">
        <f t="shared" si="3"/>
        <v>0</v>
      </c>
      <c r="I44" s="41">
        <f t="shared" si="3"/>
        <v>0</v>
      </c>
      <c r="J44" s="41">
        <f t="shared" si="3"/>
        <v>0</v>
      </c>
      <c r="K44" s="41">
        <f t="shared" si="3"/>
        <v>0</v>
      </c>
      <c r="L44" s="41">
        <f t="shared" si="3"/>
        <v>0</v>
      </c>
      <c r="M44" s="41">
        <f t="shared" si="3"/>
        <v>0</v>
      </c>
      <c r="N44" s="41">
        <f t="shared" si="3"/>
        <v>0</v>
      </c>
      <c r="O44" s="55"/>
      <c r="P44" s="56">
        <v>1</v>
      </c>
    </row>
    <row r="45" spans="1:16" ht="39.950000000000003" customHeight="1">
      <c r="A45" s="42">
        <f t="shared" si="2"/>
        <v>0</v>
      </c>
      <c r="B45" s="40">
        <f t="shared" ref="B45:B74" si="4">B9/25</f>
        <v>0</v>
      </c>
      <c r="C45" s="40">
        <f t="shared" ref="C45:C74" si="5">C9/20</f>
        <v>0</v>
      </c>
      <c r="D45" s="43">
        <f t="shared" ref="D45:D74" si="6">D9/25</f>
        <v>0</v>
      </c>
      <c r="E45" s="43">
        <f t="shared" ref="E45:E74" si="7">E9/20</f>
        <v>0</v>
      </c>
      <c r="F45" s="43">
        <f t="shared" ref="F45:F74" si="8">F9/30</f>
        <v>0</v>
      </c>
      <c r="G45" s="43">
        <f t="shared" ref="G45:G74" si="9">G9/20</f>
        <v>0</v>
      </c>
      <c r="H45" s="43">
        <f t="shared" ref="H45:H74" si="10">H9/20</f>
        <v>0</v>
      </c>
      <c r="I45" s="43">
        <f t="shared" ref="I45:I74" si="11">I9/20</f>
        <v>0</v>
      </c>
      <c r="J45" s="43">
        <f t="shared" ref="J45:J74" si="12">J9/20</f>
        <v>0</v>
      </c>
      <c r="K45" s="41">
        <f t="shared" ref="K45:K74" si="13">K9/20</f>
        <v>0</v>
      </c>
      <c r="L45" s="41">
        <f t="shared" ref="L45:L74" si="14">L9/20</f>
        <v>0</v>
      </c>
      <c r="M45" s="41">
        <f t="shared" ref="M45:N74" si="15">M9/20</f>
        <v>0</v>
      </c>
      <c r="N45" s="41">
        <f t="shared" si="15"/>
        <v>0</v>
      </c>
      <c r="O45" s="57"/>
      <c r="P45" s="56">
        <v>2</v>
      </c>
    </row>
    <row r="46" spans="1:16" ht="39.950000000000003" customHeight="1">
      <c r="A46" s="42">
        <f t="shared" si="2"/>
        <v>0</v>
      </c>
      <c r="B46" s="40">
        <f t="shared" si="4"/>
        <v>0</v>
      </c>
      <c r="C46" s="40">
        <f t="shared" si="5"/>
        <v>0</v>
      </c>
      <c r="D46" s="43">
        <f t="shared" si="6"/>
        <v>0</v>
      </c>
      <c r="E46" s="43">
        <f t="shared" si="7"/>
        <v>0</v>
      </c>
      <c r="F46" s="43">
        <f t="shared" si="8"/>
        <v>0</v>
      </c>
      <c r="G46" s="43">
        <f t="shared" si="9"/>
        <v>0</v>
      </c>
      <c r="H46" s="43">
        <f t="shared" si="10"/>
        <v>0</v>
      </c>
      <c r="I46" s="43">
        <f t="shared" si="11"/>
        <v>0</v>
      </c>
      <c r="J46" s="43">
        <f t="shared" si="12"/>
        <v>0</v>
      </c>
      <c r="K46" s="41">
        <f t="shared" si="13"/>
        <v>0</v>
      </c>
      <c r="L46" s="41">
        <f t="shared" si="14"/>
        <v>0</v>
      </c>
      <c r="M46" s="41">
        <f t="shared" si="15"/>
        <v>0</v>
      </c>
      <c r="N46" s="41">
        <f t="shared" si="15"/>
        <v>0</v>
      </c>
      <c r="O46" s="57"/>
      <c r="P46" s="56">
        <v>3</v>
      </c>
    </row>
    <row r="47" spans="1:16" ht="39.950000000000003" customHeight="1">
      <c r="A47" s="42">
        <f t="shared" si="2"/>
        <v>0</v>
      </c>
      <c r="B47" s="40">
        <f t="shared" si="4"/>
        <v>0</v>
      </c>
      <c r="C47" s="40">
        <f t="shared" si="5"/>
        <v>0</v>
      </c>
      <c r="D47" s="43">
        <f t="shared" si="6"/>
        <v>0</v>
      </c>
      <c r="E47" s="43">
        <f t="shared" si="7"/>
        <v>0</v>
      </c>
      <c r="F47" s="43">
        <f t="shared" si="8"/>
        <v>0</v>
      </c>
      <c r="G47" s="43">
        <f t="shared" si="9"/>
        <v>0</v>
      </c>
      <c r="H47" s="43">
        <f t="shared" si="10"/>
        <v>0</v>
      </c>
      <c r="I47" s="43">
        <f t="shared" si="11"/>
        <v>0</v>
      </c>
      <c r="J47" s="43">
        <f t="shared" si="12"/>
        <v>0</v>
      </c>
      <c r="K47" s="41">
        <f t="shared" si="13"/>
        <v>0</v>
      </c>
      <c r="L47" s="41">
        <f t="shared" si="14"/>
        <v>0</v>
      </c>
      <c r="M47" s="41">
        <f t="shared" si="15"/>
        <v>0</v>
      </c>
      <c r="N47" s="41">
        <f t="shared" si="15"/>
        <v>0</v>
      </c>
      <c r="O47" s="57"/>
      <c r="P47" s="56">
        <v>4</v>
      </c>
    </row>
    <row r="48" spans="1:16" ht="39.950000000000003" customHeight="1">
      <c r="A48" s="42">
        <f t="shared" si="2"/>
        <v>0</v>
      </c>
      <c r="B48" s="40">
        <f t="shared" si="4"/>
        <v>0</v>
      </c>
      <c r="C48" s="40">
        <f t="shared" si="5"/>
        <v>0</v>
      </c>
      <c r="D48" s="43">
        <f t="shared" si="6"/>
        <v>0</v>
      </c>
      <c r="E48" s="43">
        <f t="shared" si="7"/>
        <v>0</v>
      </c>
      <c r="F48" s="43">
        <f t="shared" si="8"/>
        <v>0</v>
      </c>
      <c r="G48" s="43">
        <f t="shared" si="9"/>
        <v>0</v>
      </c>
      <c r="H48" s="43">
        <f t="shared" si="10"/>
        <v>0</v>
      </c>
      <c r="I48" s="43">
        <f t="shared" si="11"/>
        <v>0</v>
      </c>
      <c r="J48" s="43">
        <f t="shared" si="12"/>
        <v>0</v>
      </c>
      <c r="K48" s="41">
        <f t="shared" si="13"/>
        <v>0</v>
      </c>
      <c r="L48" s="41">
        <f t="shared" si="14"/>
        <v>0</v>
      </c>
      <c r="M48" s="41">
        <f t="shared" si="15"/>
        <v>0</v>
      </c>
      <c r="N48" s="41">
        <f t="shared" si="15"/>
        <v>0</v>
      </c>
      <c r="O48" s="57"/>
      <c r="P48" s="56">
        <v>5</v>
      </c>
    </row>
    <row r="49" spans="1:16" ht="39.950000000000003" customHeight="1">
      <c r="A49" s="42">
        <f t="shared" si="2"/>
        <v>0</v>
      </c>
      <c r="B49" s="40">
        <f t="shared" si="4"/>
        <v>0</v>
      </c>
      <c r="C49" s="40">
        <f t="shared" si="5"/>
        <v>0</v>
      </c>
      <c r="D49" s="43">
        <f t="shared" si="6"/>
        <v>0</v>
      </c>
      <c r="E49" s="43">
        <f t="shared" si="7"/>
        <v>0</v>
      </c>
      <c r="F49" s="43">
        <f t="shared" si="8"/>
        <v>0</v>
      </c>
      <c r="G49" s="43">
        <f t="shared" si="9"/>
        <v>0</v>
      </c>
      <c r="H49" s="43">
        <f t="shared" si="10"/>
        <v>0</v>
      </c>
      <c r="I49" s="43">
        <f t="shared" si="11"/>
        <v>0</v>
      </c>
      <c r="J49" s="43">
        <f t="shared" si="12"/>
        <v>0</v>
      </c>
      <c r="K49" s="41">
        <f t="shared" si="13"/>
        <v>0</v>
      </c>
      <c r="L49" s="41">
        <f t="shared" si="14"/>
        <v>0</v>
      </c>
      <c r="M49" s="41">
        <f t="shared" si="15"/>
        <v>0</v>
      </c>
      <c r="N49" s="41">
        <f t="shared" si="15"/>
        <v>0</v>
      </c>
      <c r="O49" s="57"/>
      <c r="P49" s="56">
        <v>6</v>
      </c>
    </row>
    <row r="50" spans="1:16" ht="39.950000000000003" customHeight="1">
      <c r="A50" s="42">
        <f t="shared" si="2"/>
        <v>0</v>
      </c>
      <c r="B50" s="40">
        <f t="shared" si="4"/>
        <v>0</v>
      </c>
      <c r="C50" s="40">
        <f t="shared" si="5"/>
        <v>0</v>
      </c>
      <c r="D50" s="43">
        <f t="shared" si="6"/>
        <v>0</v>
      </c>
      <c r="E50" s="43">
        <f t="shared" si="7"/>
        <v>0</v>
      </c>
      <c r="F50" s="43">
        <f t="shared" si="8"/>
        <v>0</v>
      </c>
      <c r="G50" s="43">
        <f t="shared" si="9"/>
        <v>0</v>
      </c>
      <c r="H50" s="43">
        <f t="shared" si="10"/>
        <v>0</v>
      </c>
      <c r="I50" s="43">
        <f t="shared" si="11"/>
        <v>0</v>
      </c>
      <c r="J50" s="43">
        <f t="shared" si="12"/>
        <v>0</v>
      </c>
      <c r="K50" s="41">
        <f t="shared" si="13"/>
        <v>0</v>
      </c>
      <c r="L50" s="41">
        <f t="shared" si="14"/>
        <v>0</v>
      </c>
      <c r="M50" s="41">
        <f t="shared" si="15"/>
        <v>0</v>
      </c>
      <c r="N50" s="41">
        <f t="shared" si="15"/>
        <v>0</v>
      </c>
      <c r="O50" s="57"/>
      <c r="P50" s="56">
        <v>7</v>
      </c>
    </row>
    <row r="51" spans="1:16" ht="39.950000000000003" customHeight="1">
      <c r="A51" s="42">
        <f t="shared" si="2"/>
        <v>0</v>
      </c>
      <c r="B51" s="40">
        <f t="shared" si="4"/>
        <v>0</v>
      </c>
      <c r="C51" s="40">
        <f t="shared" si="5"/>
        <v>0</v>
      </c>
      <c r="D51" s="43">
        <f t="shared" si="6"/>
        <v>0</v>
      </c>
      <c r="E51" s="43">
        <f t="shared" si="7"/>
        <v>0</v>
      </c>
      <c r="F51" s="43">
        <f t="shared" si="8"/>
        <v>0</v>
      </c>
      <c r="G51" s="43">
        <f t="shared" si="9"/>
        <v>0</v>
      </c>
      <c r="H51" s="43">
        <f t="shared" si="10"/>
        <v>0</v>
      </c>
      <c r="I51" s="43">
        <f t="shared" si="11"/>
        <v>0</v>
      </c>
      <c r="J51" s="43">
        <f t="shared" si="12"/>
        <v>0</v>
      </c>
      <c r="K51" s="41">
        <f t="shared" si="13"/>
        <v>0</v>
      </c>
      <c r="L51" s="41">
        <f t="shared" si="14"/>
        <v>0</v>
      </c>
      <c r="M51" s="41">
        <f t="shared" si="15"/>
        <v>0</v>
      </c>
      <c r="N51" s="41">
        <f t="shared" si="15"/>
        <v>0</v>
      </c>
      <c r="O51" s="57"/>
      <c r="P51" s="56">
        <v>8</v>
      </c>
    </row>
    <row r="52" spans="1:16" ht="39.950000000000003" customHeight="1">
      <c r="A52" s="42">
        <f t="shared" si="2"/>
        <v>0</v>
      </c>
      <c r="B52" s="40">
        <f t="shared" si="4"/>
        <v>0</v>
      </c>
      <c r="C52" s="40">
        <f t="shared" si="5"/>
        <v>0</v>
      </c>
      <c r="D52" s="43">
        <f t="shared" si="6"/>
        <v>0</v>
      </c>
      <c r="E52" s="43">
        <f t="shared" si="7"/>
        <v>0</v>
      </c>
      <c r="F52" s="43">
        <f t="shared" si="8"/>
        <v>0</v>
      </c>
      <c r="G52" s="43">
        <f t="shared" si="9"/>
        <v>0</v>
      </c>
      <c r="H52" s="43">
        <f t="shared" si="10"/>
        <v>0</v>
      </c>
      <c r="I52" s="43">
        <f t="shared" si="11"/>
        <v>0</v>
      </c>
      <c r="J52" s="43">
        <f t="shared" si="12"/>
        <v>0</v>
      </c>
      <c r="K52" s="41">
        <f t="shared" si="13"/>
        <v>0</v>
      </c>
      <c r="L52" s="41">
        <f t="shared" si="14"/>
        <v>0</v>
      </c>
      <c r="M52" s="41">
        <f t="shared" si="15"/>
        <v>0</v>
      </c>
      <c r="N52" s="41">
        <f t="shared" si="15"/>
        <v>0</v>
      </c>
      <c r="O52" s="57"/>
      <c r="P52" s="56">
        <v>9</v>
      </c>
    </row>
    <row r="53" spans="1:16" ht="39.950000000000003" customHeight="1">
      <c r="A53" s="42">
        <f t="shared" si="2"/>
        <v>0</v>
      </c>
      <c r="B53" s="40">
        <f t="shared" si="4"/>
        <v>0</v>
      </c>
      <c r="C53" s="40">
        <f t="shared" si="5"/>
        <v>0</v>
      </c>
      <c r="D53" s="43">
        <f t="shared" si="6"/>
        <v>0</v>
      </c>
      <c r="E53" s="43">
        <f t="shared" si="7"/>
        <v>0</v>
      </c>
      <c r="F53" s="43">
        <f t="shared" si="8"/>
        <v>0</v>
      </c>
      <c r="G53" s="43">
        <f t="shared" si="9"/>
        <v>0</v>
      </c>
      <c r="H53" s="43">
        <f t="shared" si="10"/>
        <v>0</v>
      </c>
      <c r="I53" s="43">
        <f t="shared" si="11"/>
        <v>0</v>
      </c>
      <c r="J53" s="43">
        <f t="shared" si="12"/>
        <v>0</v>
      </c>
      <c r="K53" s="41">
        <f t="shared" si="13"/>
        <v>0</v>
      </c>
      <c r="L53" s="41">
        <f t="shared" si="14"/>
        <v>0</v>
      </c>
      <c r="M53" s="41">
        <f t="shared" si="15"/>
        <v>0</v>
      </c>
      <c r="N53" s="41">
        <f t="shared" si="15"/>
        <v>0</v>
      </c>
      <c r="O53" s="57"/>
      <c r="P53" s="56">
        <v>10</v>
      </c>
    </row>
    <row r="54" spans="1:16" ht="39.950000000000003" customHeight="1">
      <c r="A54" s="42">
        <f t="shared" si="2"/>
        <v>0</v>
      </c>
      <c r="B54" s="40">
        <f t="shared" si="4"/>
        <v>0</v>
      </c>
      <c r="C54" s="40">
        <f t="shared" si="5"/>
        <v>0</v>
      </c>
      <c r="D54" s="43">
        <f t="shared" si="6"/>
        <v>0</v>
      </c>
      <c r="E54" s="43">
        <f t="shared" si="7"/>
        <v>0</v>
      </c>
      <c r="F54" s="43">
        <f t="shared" si="8"/>
        <v>0</v>
      </c>
      <c r="G54" s="43">
        <f t="shared" si="9"/>
        <v>0</v>
      </c>
      <c r="H54" s="43">
        <f t="shared" si="10"/>
        <v>0</v>
      </c>
      <c r="I54" s="43">
        <f t="shared" si="11"/>
        <v>0</v>
      </c>
      <c r="J54" s="43">
        <f t="shared" si="12"/>
        <v>0</v>
      </c>
      <c r="K54" s="41">
        <f t="shared" si="13"/>
        <v>0</v>
      </c>
      <c r="L54" s="41">
        <f t="shared" si="14"/>
        <v>0</v>
      </c>
      <c r="M54" s="41">
        <f t="shared" si="15"/>
        <v>0</v>
      </c>
      <c r="N54" s="41">
        <f t="shared" si="15"/>
        <v>0</v>
      </c>
      <c r="O54" s="57"/>
      <c r="P54" s="56">
        <v>11</v>
      </c>
    </row>
    <row r="55" spans="1:16" ht="39.950000000000003" customHeight="1">
      <c r="A55" s="42">
        <f t="shared" si="2"/>
        <v>0</v>
      </c>
      <c r="B55" s="40">
        <f t="shared" si="4"/>
        <v>0</v>
      </c>
      <c r="C55" s="40">
        <f t="shared" si="5"/>
        <v>0</v>
      </c>
      <c r="D55" s="43">
        <f t="shared" si="6"/>
        <v>0</v>
      </c>
      <c r="E55" s="43">
        <f t="shared" si="7"/>
        <v>0</v>
      </c>
      <c r="F55" s="43">
        <f t="shared" si="8"/>
        <v>0</v>
      </c>
      <c r="G55" s="43">
        <f t="shared" si="9"/>
        <v>0</v>
      </c>
      <c r="H55" s="43">
        <f t="shared" si="10"/>
        <v>0</v>
      </c>
      <c r="I55" s="43">
        <f t="shared" si="11"/>
        <v>0</v>
      </c>
      <c r="J55" s="43">
        <f t="shared" si="12"/>
        <v>0</v>
      </c>
      <c r="K55" s="41">
        <f t="shared" si="13"/>
        <v>0</v>
      </c>
      <c r="L55" s="41">
        <f t="shared" si="14"/>
        <v>0</v>
      </c>
      <c r="M55" s="41">
        <f t="shared" si="15"/>
        <v>0</v>
      </c>
      <c r="N55" s="41">
        <f t="shared" si="15"/>
        <v>0</v>
      </c>
      <c r="O55" s="57"/>
      <c r="P55" s="56">
        <v>12</v>
      </c>
    </row>
    <row r="56" spans="1:16" ht="39.950000000000003" customHeight="1">
      <c r="A56" s="42">
        <f t="shared" si="2"/>
        <v>0</v>
      </c>
      <c r="B56" s="40">
        <f t="shared" si="4"/>
        <v>0</v>
      </c>
      <c r="C56" s="40">
        <f t="shared" si="5"/>
        <v>0</v>
      </c>
      <c r="D56" s="43">
        <f t="shared" si="6"/>
        <v>0</v>
      </c>
      <c r="E56" s="43">
        <f t="shared" si="7"/>
        <v>0</v>
      </c>
      <c r="F56" s="43">
        <f t="shared" si="8"/>
        <v>0</v>
      </c>
      <c r="G56" s="43">
        <f t="shared" si="9"/>
        <v>0</v>
      </c>
      <c r="H56" s="43">
        <f t="shared" si="10"/>
        <v>0</v>
      </c>
      <c r="I56" s="43">
        <f t="shared" si="11"/>
        <v>0</v>
      </c>
      <c r="J56" s="43">
        <f t="shared" si="12"/>
        <v>0</v>
      </c>
      <c r="K56" s="41">
        <f t="shared" si="13"/>
        <v>0</v>
      </c>
      <c r="L56" s="41">
        <f t="shared" si="14"/>
        <v>0</v>
      </c>
      <c r="M56" s="41">
        <f t="shared" si="15"/>
        <v>0</v>
      </c>
      <c r="N56" s="41">
        <f t="shared" si="15"/>
        <v>0</v>
      </c>
      <c r="O56" s="57"/>
      <c r="P56" s="56">
        <v>13</v>
      </c>
    </row>
    <row r="57" spans="1:16" ht="39.950000000000003" customHeight="1">
      <c r="A57" s="42">
        <f t="shared" si="2"/>
        <v>0</v>
      </c>
      <c r="B57" s="40">
        <f t="shared" si="4"/>
        <v>0</v>
      </c>
      <c r="C57" s="40">
        <f t="shared" si="5"/>
        <v>0</v>
      </c>
      <c r="D57" s="43">
        <f t="shared" si="6"/>
        <v>0</v>
      </c>
      <c r="E57" s="43">
        <f t="shared" si="7"/>
        <v>0</v>
      </c>
      <c r="F57" s="43">
        <f t="shared" si="8"/>
        <v>0</v>
      </c>
      <c r="G57" s="43">
        <f t="shared" si="9"/>
        <v>0</v>
      </c>
      <c r="H57" s="43">
        <f t="shared" si="10"/>
        <v>0</v>
      </c>
      <c r="I57" s="43">
        <f t="shared" si="11"/>
        <v>0</v>
      </c>
      <c r="J57" s="43">
        <f t="shared" si="12"/>
        <v>0</v>
      </c>
      <c r="K57" s="41">
        <f t="shared" si="13"/>
        <v>0</v>
      </c>
      <c r="L57" s="41">
        <f t="shared" si="14"/>
        <v>0</v>
      </c>
      <c r="M57" s="41">
        <f t="shared" si="15"/>
        <v>0</v>
      </c>
      <c r="N57" s="41">
        <f t="shared" si="15"/>
        <v>0</v>
      </c>
      <c r="O57" s="57"/>
      <c r="P57" s="56">
        <v>14</v>
      </c>
    </row>
    <row r="58" spans="1:16" ht="39.950000000000003" customHeight="1">
      <c r="A58" s="42">
        <f t="shared" si="2"/>
        <v>0</v>
      </c>
      <c r="B58" s="40">
        <f t="shared" si="4"/>
        <v>0</v>
      </c>
      <c r="C58" s="40">
        <f t="shared" si="5"/>
        <v>0</v>
      </c>
      <c r="D58" s="43">
        <f t="shared" si="6"/>
        <v>0</v>
      </c>
      <c r="E58" s="43">
        <f t="shared" si="7"/>
        <v>0</v>
      </c>
      <c r="F58" s="43">
        <f t="shared" si="8"/>
        <v>0</v>
      </c>
      <c r="G58" s="43">
        <f t="shared" si="9"/>
        <v>0</v>
      </c>
      <c r="H58" s="43">
        <f t="shared" si="10"/>
        <v>0</v>
      </c>
      <c r="I58" s="43">
        <f t="shared" si="11"/>
        <v>0</v>
      </c>
      <c r="J58" s="43">
        <f t="shared" si="12"/>
        <v>0</v>
      </c>
      <c r="K58" s="41">
        <f t="shared" si="13"/>
        <v>0</v>
      </c>
      <c r="L58" s="41">
        <f t="shared" si="14"/>
        <v>0</v>
      </c>
      <c r="M58" s="41">
        <f t="shared" si="15"/>
        <v>0</v>
      </c>
      <c r="N58" s="41">
        <f t="shared" si="15"/>
        <v>0</v>
      </c>
      <c r="O58" s="57"/>
      <c r="P58" s="56">
        <v>15</v>
      </c>
    </row>
    <row r="59" spans="1:16" ht="39.950000000000003" customHeight="1">
      <c r="A59" s="42">
        <f t="shared" si="2"/>
        <v>0</v>
      </c>
      <c r="B59" s="40">
        <f t="shared" si="4"/>
        <v>0</v>
      </c>
      <c r="C59" s="40">
        <f t="shared" si="5"/>
        <v>0</v>
      </c>
      <c r="D59" s="43">
        <f t="shared" si="6"/>
        <v>0</v>
      </c>
      <c r="E59" s="43">
        <f t="shared" si="7"/>
        <v>0</v>
      </c>
      <c r="F59" s="43">
        <f t="shared" si="8"/>
        <v>0</v>
      </c>
      <c r="G59" s="43">
        <f t="shared" si="9"/>
        <v>0</v>
      </c>
      <c r="H59" s="43">
        <f t="shared" si="10"/>
        <v>0</v>
      </c>
      <c r="I59" s="43">
        <f t="shared" si="11"/>
        <v>0</v>
      </c>
      <c r="J59" s="43">
        <f t="shared" si="12"/>
        <v>0</v>
      </c>
      <c r="K59" s="41">
        <f t="shared" si="13"/>
        <v>0</v>
      </c>
      <c r="L59" s="41">
        <f t="shared" si="14"/>
        <v>0</v>
      </c>
      <c r="M59" s="41">
        <f t="shared" si="15"/>
        <v>0</v>
      </c>
      <c r="N59" s="41">
        <f t="shared" si="15"/>
        <v>0</v>
      </c>
      <c r="O59" s="57"/>
      <c r="P59" s="56">
        <v>16</v>
      </c>
    </row>
    <row r="60" spans="1:16" ht="39.950000000000003" customHeight="1">
      <c r="A60" s="42">
        <f t="shared" si="2"/>
        <v>0</v>
      </c>
      <c r="B60" s="40">
        <f t="shared" si="4"/>
        <v>0</v>
      </c>
      <c r="C60" s="40">
        <f t="shared" si="5"/>
        <v>0</v>
      </c>
      <c r="D60" s="43">
        <f t="shared" si="6"/>
        <v>0</v>
      </c>
      <c r="E60" s="43">
        <f t="shared" si="7"/>
        <v>0</v>
      </c>
      <c r="F60" s="43">
        <f t="shared" si="8"/>
        <v>0</v>
      </c>
      <c r="G60" s="43">
        <f t="shared" si="9"/>
        <v>0</v>
      </c>
      <c r="H60" s="43">
        <f t="shared" si="10"/>
        <v>0</v>
      </c>
      <c r="I60" s="43">
        <f t="shared" si="11"/>
        <v>0</v>
      </c>
      <c r="J60" s="43">
        <f t="shared" si="12"/>
        <v>0</v>
      </c>
      <c r="K60" s="41">
        <f t="shared" si="13"/>
        <v>0</v>
      </c>
      <c r="L60" s="41">
        <f t="shared" si="14"/>
        <v>0</v>
      </c>
      <c r="M60" s="41">
        <f t="shared" si="15"/>
        <v>0</v>
      </c>
      <c r="N60" s="41">
        <f t="shared" si="15"/>
        <v>0</v>
      </c>
      <c r="O60" s="57"/>
      <c r="P60" s="56">
        <v>17</v>
      </c>
    </row>
    <row r="61" spans="1:16" ht="39.950000000000003" customHeight="1">
      <c r="A61" s="42">
        <f t="shared" si="2"/>
        <v>0</v>
      </c>
      <c r="B61" s="40">
        <f t="shared" si="4"/>
        <v>0</v>
      </c>
      <c r="C61" s="40">
        <f t="shared" si="5"/>
        <v>0</v>
      </c>
      <c r="D61" s="43">
        <f t="shared" si="6"/>
        <v>0</v>
      </c>
      <c r="E61" s="43">
        <f t="shared" si="7"/>
        <v>0</v>
      </c>
      <c r="F61" s="43">
        <f t="shared" si="8"/>
        <v>0</v>
      </c>
      <c r="G61" s="43">
        <f t="shared" si="9"/>
        <v>0</v>
      </c>
      <c r="H61" s="43">
        <f t="shared" si="10"/>
        <v>0</v>
      </c>
      <c r="I61" s="43">
        <f t="shared" si="11"/>
        <v>0</v>
      </c>
      <c r="J61" s="43">
        <f t="shared" si="12"/>
        <v>0</v>
      </c>
      <c r="K61" s="41">
        <f t="shared" si="13"/>
        <v>0</v>
      </c>
      <c r="L61" s="41">
        <f t="shared" si="14"/>
        <v>0</v>
      </c>
      <c r="M61" s="41">
        <f t="shared" si="15"/>
        <v>0</v>
      </c>
      <c r="N61" s="41">
        <f t="shared" si="15"/>
        <v>0</v>
      </c>
      <c r="O61" s="57"/>
      <c r="P61" s="56">
        <v>18</v>
      </c>
    </row>
    <row r="62" spans="1:16" ht="39.950000000000003" customHeight="1">
      <c r="A62" s="42">
        <f t="shared" si="2"/>
        <v>0</v>
      </c>
      <c r="B62" s="40">
        <f t="shared" si="4"/>
        <v>0</v>
      </c>
      <c r="C62" s="40">
        <f t="shared" si="5"/>
        <v>0</v>
      </c>
      <c r="D62" s="43">
        <f t="shared" si="6"/>
        <v>0</v>
      </c>
      <c r="E62" s="43">
        <f t="shared" si="7"/>
        <v>0</v>
      </c>
      <c r="F62" s="43">
        <f t="shared" si="8"/>
        <v>0</v>
      </c>
      <c r="G62" s="43">
        <f t="shared" si="9"/>
        <v>0</v>
      </c>
      <c r="H62" s="43">
        <f t="shared" si="10"/>
        <v>0</v>
      </c>
      <c r="I62" s="43">
        <f t="shared" si="11"/>
        <v>0</v>
      </c>
      <c r="J62" s="43">
        <f t="shared" si="12"/>
        <v>0</v>
      </c>
      <c r="K62" s="41">
        <f t="shared" si="13"/>
        <v>0</v>
      </c>
      <c r="L62" s="41">
        <f t="shared" si="14"/>
        <v>0</v>
      </c>
      <c r="M62" s="41">
        <f t="shared" si="15"/>
        <v>0</v>
      </c>
      <c r="N62" s="41">
        <f t="shared" si="15"/>
        <v>0</v>
      </c>
      <c r="O62" s="57"/>
      <c r="P62" s="56">
        <v>19</v>
      </c>
    </row>
    <row r="63" spans="1:16" ht="39.950000000000003" customHeight="1">
      <c r="A63" s="42">
        <f t="shared" si="2"/>
        <v>0</v>
      </c>
      <c r="B63" s="40">
        <f t="shared" si="4"/>
        <v>0</v>
      </c>
      <c r="C63" s="40">
        <f t="shared" si="5"/>
        <v>0</v>
      </c>
      <c r="D63" s="43">
        <f t="shared" si="6"/>
        <v>0</v>
      </c>
      <c r="E63" s="43">
        <f t="shared" si="7"/>
        <v>0</v>
      </c>
      <c r="F63" s="43">
        <f t="shared" si="8"/>
        <v>0</v>
      </c>
      <c r="G63" s="43">
        <f t="shared" si="9"/>
        <v>0</v>
      </c>
      <c r="H63" s="43">
        <f t="shared" si="10"/>
        <v>0</v>
      </c>
      <c r="I63" s="43">
        <f t="shared" si="11"/>
        <v>0</v>
      </c>
      <c r="J63" s="43">
        <f t="shared" si="12"/>
        <v>0</v>
      </c>
      <c r="K63" s="41">
        <f t="shared" si="13"/>
        <v>0</v>
      </c>
      <c r="L63" s="41">
        <f t="shared" si="14"/>
        <v>0</v>
      </c>
      <c r="M63" s="41">
        <f t="shared" si="15"/>
        <v>0</v>
      </c>
      <c r="N63" s="41">
        <f t="shared" si="15"/>
        <v>0</v>
      </c>
      <c r="O63" s="57"/>
      <c r="P63" s="56">
        <v>20</v>
      </c>
    </row>
    <row r="64" spans="1:16" ht="39.950000000000003" customHeight="1">
      <c r="A64" s="42">
        <f t="shared" si="2"/>
        <v>0</v>
      </c>
      <c r="B64" s="40">
        <f t="shared" si="4"/>
        <v>0</v>
      </c>
      <c r="C64" s="40">
        <f t="shared" si="5"/>
        <v>0</v>
      </c>
      <c r="D64" s="43">
        <f t="shared" si="6"/>
        <v>0</v>
      </c>
      <c r="E64" s="43">
        <f t="shared" si="7"/>
        <v>0</v>
      </c>
      <c r="F64" s="43">
        <f t="shared" si="8"/>
        <v>0</v>
      </c>
      <c r="G64" s="43">
        <f t="shared" si="9"/>
        <v>0</v>
      </c>
      <c r="H64" s="43">
        <f t="shared" si="10"/>
        <v>0</v>
      </c>
      <c r="I64" s="43">
        <f t="shared" si="11"/>
        <v>0</v>
      </c>
      <c r="J64" s="43">
        <f t="shared" si="12"/>
        <v>0</v>
      </c>
      <c r="K64" s="41">
        <f t="shared" si="13"/>
        <v>0</v>
      </c>
      <c r="L64" s="41">
        <f t="shared" si="14"/>
        <v>0</v>
      </c>
      <c r="M64" s="41">
        <f t="shared" si="15"/>
        <v>0</v>
      </c>
      <c r="N64" s="41">
        <f t="shared" si="15"/>
        <v>0</v>
      </c>
      <c r="O64" s="57"/>
      <c r="P64" s="56">
        <v>21</v>
      </c>
    </row>
    <row r="65" spans="1:16" ht="39.950000000000003" customHeight="1">
      <c r="A65" s="42">
        <f t="shared" si="2"/>
        <v>0</v>
      </c>
      <c r="B65" s="40">
        <f t="shared" si="4"/>
        <v>0</v>
      </c>
      <c r="C65" s="40">
        <f t="shared" si="5"/>
        <v>0</v>
      </c>
      <c r="D65" s="43">
        <f t="shared" si="6"/>
        <v>0</v>
      </c>
      <c r="E65" s="43">
        <f t="shared" si="7"/>
        <v>0</v>
      </c>
      <c r="F65" s="43">
        <f t="shared" si="8"/>
        <v>0</v>
      </c>
      <c r="G65" s="43">
        <f t="shared" si="9"/>
        <v>0</v>
      </c>
      <c r="H65" s="43">
        <f t="shared" si="10"/>
        <v>0</v>
      </c>
      <c r="I65" s="43">
        <f t="shared" si="11"/>
        <v>0</v>
      </c>
      <c r="J65" s="43">
        <f t="shared" si="12"/>
        <v>0</v>
      </c>
      <c r="K65" s="41">
        <f t="shared" si="13"/>
        <v>0</v>
      </c>
      <c r="L65" s="41">
        <f t="shared" si="14"/>
        <v>0</v>
      </c>
      <c r="M65" s="41">
        <f t="shared" si="15"/>
        <v>0</v>
      </c>
      <c r="N65" s="41">
        <f t="shared" si="15"/>
        <v>0</v>
      </c>
      <c r="O65" s="57"/>
      <c r="P65" s="56">
        <v>22</v>
      </c>
    </row>
    <row r="66" spans="1:16" ht="39.950000000000003" customHeight="1">
      <c r="A66" s="42">
        <f t="shared" si="2"/>
        <v>0</v>
      </c>
      <c r="B66" s="40">
        <f t="shared" si="4"/>
        <v>0</v>
      </c>
      <c r="C66" s="40">
        <f t="shared" si="5"/>
        <v>0</v>
      </c>
      <c r="D66" s="43">
        <f t="shared" si="6"/>
        <v>0</v>
      </c>
      <c r="E66" s="43">
        <f t="shared" si="7"/>
        <v>0</v>
      </c>
      <c r="F66" s="43">
        <f t="shared" si="8"/>
        <v>0</v>
      </c>
      <c r="G66" s="43">
        <f t="shared" si="9"/>
        <v>0</v>
      </c>
      <c r="H66" s="43">
        <f t="shared" si="10"/>
        <v>0</v>
      </c>
      <c r="I66" s="43">
        <f t="shared" si="11"/>
        <v>0</v>
      </c>
      <c r="J66" s="43">
        <f t="shared" si="12"/>
        <v>0</v>
      </c>
      <c r="K66" s="41">
        <f t="shared" si="13"/>
        <v>0</v>
      </c>
      <c r="L66" s="41">
        <f t="shared" si="14"/>
        <v>0</v>
      </c>
      <c r="M66" s="41">
        <f t="shared" si="15"/>
        <v>0</v>
      </c>
      <c r="N66" s="41">
        <f t="shared" si="15"/>
        <v>0</v>
      </c>
      <c r="O66" s="57"/>
      <c r="P66" s="56">
        <v>23</v>
      </c>
    </row>
    <row r="67" spans="1:16" ht="39.950000000000003" customHeight="1">
      <c r="A67" s="42">
        <f t="shared" si="2"/>
        <v>0</v>
      </c>
      <c r="B67" s="40">
        <f t="shared" si="4"/>
        <v>0</v>
      </c>
      <c r="C67" s="40">
        <f t="shared" si="5"/>
        <v>0</v>
      </c>
      <c r="D67" s="43">
        <f t="shared" si="6"/>
        <v>0</v>
      </c>
      <c r="E67" s="43">
        <f t="shared" si="7"/>
        <v>0</v>
      </c>
      <c r="F67" s="43">
        <f t="shared" si="8"/>
        <v>0</v>
      </c>
      <c r="G67" s="43">
        <f t="shared" si="9"/>
        <v>0</v>
      </c>
      <c r="H67" s="43">
        <f t="shared" si="10"/>
        <v>0</v>
      </c>
      <c r="I67" s="43">
        <f t="shared" si="11"/>
        <v>0</v>
      </c>
      <c r="J67" s="43">
        <f t="shared" si="12"/>
        <v>0</v>
      </c>
      <c r="K67" s="41">
        <f t="shared" si="13"/>
        <v>0</v>
      </c>
      <c r="L67" s="41">
        <f t="shared" si="14"/>
        <v>0</v>
      </c>
      <c r="M67" s="41">
        <f t="shared" si="15"/>
        <v>0</v>
      </c>
      <c r="N67" s="41">
        <f t="shared" si="15"/>
        <v>0</v>
      </c>
      <c r="O67" s="57"/>
      <c r="P67" s="56">
        <v>24</v>
      </c>
    </row>
    <row r="68" spans="1:16" ht="39.950000000000003" customHeight="1">
      <c r="A68" s="42">
        <f t="shared" si="2"/>
        <v>0</v>
      </c>
      <c r="B68" s="40">
        <f t="shared" si="4"/>
        <v>0</v>
      </c>
      <c r="C68" s="40">
        <f t="shared" si="5"/>
        <v>0</v>
      </c>
      <c r="D68" s="43">
        <f t="shared" si="6"/>
        <v>0</v>
      </c>
      <c r="E68" s="43">
        <f t="shared" si="7"/>
        <v>0</v>
      </c>
      <c r="F68" s="43">
        <f t="shared" si="8"/>
        <v>0</v>
      </c>
      <c r="G68" s="43">
        <f t="shared" si="9"/>
        <v>0</v>
      </c>
      <c r="H68" s="43">
        <f t="shared" si="10"/>
        <v>0</v>
      </c>
      <c r="I68" s="43">
        <f t="shared" si="11"/>
        <v>0</v>
      </c>
      <c r="J68" s="43">
        <f t="shared" si="12"/>
        <v>0</v>
      </c>
      <c r="K68" s="41">
        <f t="shared" si="13"/>
        <v>0</v>
      </c>
      <c r="L68" s="41">
        <f t="shared" si="14"/>
        <v>0</v>
      </c>
      <c r="M68" s="41">
        <f t="shared" si="15"/>
        <v>0</v>
      </c>
      <c r="N68" s="41">
        <f t="shared" si="15"/>
        <v>0</v>
      </c>
      <c r="O68" s="57"/>
      <c r="P68" s="56">
        <v>25</v>
      </c>
    </row>
    <row r="69" spans="1:16" ht="39.950000000000003" customHeight="1">
      <c r="A69" s="42">
        <f t="shared" si="2"/>
        <v>0</v>
      </c>
      <c r="B69" s="40">
        <f t="shared" si="4"/>
        <v>0</v>
      </c>
      <c r="C69" s="40">
        <f t="shared" si="5"/>
        <v>0</v>
      </c>
      <c r="D69" s="43">
        <f t="shared" si="6"/>
        <v>0</v>
      </c>
      <c r="E69" s="43">
        <f t="shared" si="7"/>
        <v>0</v>
      </c>
      <c r="F69" s="43">
        <f t="shared" si="8"/>
        <v>0</v>
      </c>
      <c r="G69" s="43">
        <f t="shared" si="9"/>
        <v>0</v>
      </c>
      <c r="H69" s="43">
        <f t="shared" si="10"/>
        <v>0</v>
      </c>
      <c r="I69" s="43">
        <f t="shared" si="11"/>
        <v>0</v>
      </c>
      <c r="J69" s="43">
        <f t="shared" si="12"/>
        <v>0</v>
      </c>
      <c r="K69" s="41">
        <f t="shared" si="13"/>
        <v>0</v>
      </c>
      <c r="L69" s="41">
        <f t="shared" si="14"/>
        <v>0</v>
      </c>
      <c r="M69" s="41">
        <f t="shared" si="15"/>
        <v>0</v>
      </c>
      <c r="N69" s="41">
        <f t="shared" si="15"/>
        <v>0</v>
      </c>
      <c r="O69" s="57"/>
      <c r="P69" s="56">
        <v>26</v>
      </c>
    </row>
    <row r="70" spans="1:16" ht="39.950000000000003" customHeight="1">
      <c r="A70" s="42">
        <f t="shared" si="2"/>
        <v>0</v>
      </c>
      <c r="B70" s="40">
        <f t="shared" si="4"/>
        <v>0</v>
      </c>
      <c r="C70" s="40">
        <f t="shared" si="5"/>
        <v>0</v>
      </c>
      <c r="D70" s="43">
        <f t="shared" si="6"/>
        <v>0</v>
      </c>
      <c r="E70" s="43">
        <f t="shared" si="7"/>
        <v>0</v>
      </c>
      <c r="F70" s="43">
        <f t="shared" si="8"/>
        <v>0</v>
      </c>
      <c r="G70" s="43">
        <f t="shared" si="9"/>
        <v>0</v>
      </c>
      <c r="H70" s="43">
        <f t="shared" si="10"/>
        <v>0</v>
      </c>
      <c r="I70" s="43">
        <f t="shared" si="11"/>
        <v>0</v>
      </c>
      <c r="J70" s="43">
        <f t="shared" si="12"/>
        <v>0</v>
      </c>
      <c r="K70" s="41">
        <f t="shared" si="13"/>
        <v>0</v>
      </c>
      <c r="L70" s="41">
        <f t="shared" si="14"/>
        <v>0</v>
      </c>
      <c r="M70" s="41">
        <f t="shared" si="15"/>
        <v>0</v>
      </c>
      <c r="N70" s="41">
        <f t="shared" si="15"/>
        <v>0</v>
      </c>
      <c r="O70" s="57"/>
      <c r="P70" s="56">
        <v>27</v>
      </c>
    </row>
    <row r="71" spans="1:16" ht="39.950000000000003" customHeight="1">
      <c r="A71" s="42">
        <f t="shared" si="2"/>
        <v>0</v>
      </c>
      <c r="B71" s="40">
        <f t="shared" si="4"/>
        <v>0</v>
      </c>
      <c r="C71" s="40">
        <f t="shared" si="5"/>
        <v>0</v>
      </c>
      <c r="D71" s="43">
        <f t="shared" si="6"/>
        <v>0</v>
      </c>
      <c r="E71" s="43">
        <f t="shared" si="7"/>
        <v>0</v>
      </c>
      <c r="F71" s="43">
        <f t="shared" si="8"/>
        <v>0</v>
      </c>
      <c r="G71" s="43">
        <f t="shared" si="9"/>
        <v>0</v>
      </c>
      <c r="H71" s="43">
        <f t="shared" si="10"/>
        <v>0</v>
      </c>
      <c r="I71" s="43">
        <f t="shared" si="11"/>
        <v>0</v>
      </c>
      <c r="J71" s="43">
        <f t="shared" si="12"/>
        <v>0</v>
      </c>
      <c r="K71" s="41">
        <f t="shared" si="13"/>
        <v>0</v>
      </c>
      <c r="L71" s="41">
        <f t="shared" si="14"/>
        <v>0</v>
      </c>
      <c r="M71" s="41">
        <f t="shared" si="15"/>
        <v>0</v>
      </c>
      <c r="N71" s="41">
        <f t="shared" si="15"/>
        <v>0</v>
      </c>
      <c r="O71" s="57"/>
      <c r="P71" s="56">
        <v>28</v>
      </c>
    </row>
    <row r="72" spans="1:16" ht="39.950000000000003" customHeight="1">
      <c r="A72" s="42">
        <f t="shared" si="2"/>
        <v>0</v>
      </c>
      <c r="B72" s="40">
        <f t="shared" si="4"/>
        <v>0</v>
      </c>
      <c r="C72" s="40">
        <f t="shared" si="5"/>
        <v>0</v>
      </c>
      <c r="D72" s="43">
        <f t="shared" si="6"/>
        <v>0</v>
      </c>
      <c r="E72" s="43">
        <f t="shared" si="7"/>
        <v>0</v>
      </c>
      <c r="F72" s="43">
        <f t="shared" si="8"/>
        <v>0</v>
      </c>
      <c r="G72" s="43">
        <f t="shared" si="9"/>
        <v>0</v>
      </c>
      <c r="H72" s="43">
        <f t="shared" si="10"/>
        <v>0</v>
      </c>
      <c r="I72" s="43">
        <f t="shared" si="11"/>
        <v>0</v>
      </c>
      <c r="J72" s="43">
        <f t="shared" si="12"/>
        <v>0</v>
      </c>
      <c r="K72" s="41">
        <f t="shared" si="13"/>
        <v>0</v>
      </c>
      <c r="L72" s="41">
        <f t="shared" si="14"/>
        <v>0</v>
      </c>
      <c r="M72" s="41">
        <f t="shared" si="15"/>
        <v>0</v>
      </c>
      <c r="N72" s="41">
        <f t="shared" si="15"/>
        <v>0</v>
      </c>
      <c r="O72" s="57"/>
      <c r="P72" s="56">
        <v>29</v>
      </c>
    </row>
    <row r="73" spans="1:16" ht="39.950000000000003" customHeight="1">
      <c r="A73" s="42">
        <f t="shared" si="2"/>
        <v>0</v>
      </c>
      <c r="B73" s="40">
        <f t="shared" si="4"/>
        <v>0</v>
      </c>
      <c r="C73" s="40">
        <f t="shared" si="5"/>
        <v>0</v>
      </c>
      <c r="D73" s="43">
        <f t="shared" si="6"/>
        <v>0</v>
      </c>
      <c r="E73" s="43">
        <f t="shared" si="7"/>
        <v>0</v>
      </c>
      <c r="F73" s="43">
        <f t="shared" si="8"/>
        <v>0</v>
      </c>
      <c r="G73" s="43">
        <f t="shared" si="9"/>
        <v>0</v>
      </c>
      <c r="H73" s="43">
        <f t="shared" si="10"/>
        <v>0</v>
      </c>
      <c r="I73" s="43">
        <f t="shared" si="11"/>
        <v>0</v>
      </c>
      <c r="J73" s="43">
        <f t="shared" si="12"/>
        <v>0</v>
      </c>
      <c r="K73" s="41">
        <f t="shared" si="13"/>
        <v>0</v>
      </c>
      <c r="L73" s="41">
        <f t="shared" si="14"/>
        <v>0</v>
      </c>
      <c r="M73" s="41">
        <f t="shared" si="15"/>
        <v>0</v>
      </c>
      <c r="N73" s="41">
        <f t="shared" si="15"/>
        <v>0</v>
      </c>
      <c r="O73" s="57"/>
      <c r="P73" s="56">
        <v>30</v>
      </c>
    </row>
    <row r="74" spans="1:16" ht="39.950000000000003" customHeight="1">
      <c r="A74" s="58">
        <f t="shared" si="2"/>
        <v>0</v>
      </c>
      <c r="B74" s="59">
        <f t="shared" si="4"/>
        <v>0</v>
      </c>
      <c r="C74" s="59">
        <f t="shared" si="5"/>
        <v>0</v>
      </c>
      <c r="D74" s="60">
        <f t="shared" si="6"/>
        <v>0</v>
      </c>
      <c r="E74" s="60">
        <f t="shared" si="7"/>
        <v>0</v>
      </c>
      <c r="F74" s="60">
        <f t="shared" si="8"/>
        <v>0</v>
      </c>
      <c r="G74" s="60">
        <f t="shared" si="9"/>
        <v>0</v>
      </c>
      <c r="H74" s="60">
        <f t="shared" si="10"/>
        <v>0</v>
      </c>
      <c r="I74" s="60">
        <f t="shared" si="11"/>
        <v>0</v>
      </c>
      <c r="J74" s="60">
        <f t="shared" si="12"/>
        <v>0</v>
      </c>
      <c r="K74" s="41">
        <f t="shared" si="13"/>
        <v>0</v>
      </c>
      <c r="L74" s="41">
        <f t="shared" si="14"/>
        <v>0</v>
      </c>
      <c r="M74" s="41">
        <f t="shared" si="15"/>
        <v>0</v>
      </c>
      <c r="N74" s="41">
        <f t="shared" si="15"/>
        <v>0</v>
      </c>
      <c r="O74" s="64"/>
      <c r="P74" s="56">
        <v>31</v>
      </c>
    </row>
    <row r="75" spans="1:16" ht="39.950000000000003" customHeight="1">
      <c r="A75" s="61">
        <f>SUM(B75:O75)</f>
        <v>0</v>
      </c>
      <c r="B75" s="62">
        <f t="shared" ref="B75:O75" si="16">SUM(B44:B74)</f>
        <v>0</v>
      </c>
      <c r="C75" s="62">
        <f t="shared" si="16"/>
        <v>0</v>
      </c>
      <c r="D75" s="62">
        <f t="shared" si="16"/>
        <v>0</v>
      </c>
      <c r="E75" s="62">
        <f t="shared" si="16"/>
        <v>0</v>
      </c>
      <c r="F75" s="62">
        <f t="shared" si="16"/>
        <v>0</v>
      </c>
      <c r="G75" s="62">
        <f t="shared" si="16"/>
        <v>0</v>
      </c>
      <c r="H75" s="62">
        <f t="shared" si="16"/>
        <v>0</v>
      </c>
      <c r="I75" s="62">
        <f t="shared" si="16"/>
        <v>0</v>
      </c>
      <c r="J75" s="62">
        <f t="shared" si="16"/>
        <v>0</v>
      </c>
      <c r="K75" s="62">
        <f t="shared" si="16"/>
        <v>0</v>
      </c>
      <c r="L75" s="62">
        <f t="shared" si="16"/>
        <v>0</v>
      </c>
      <c r="M75" s="62">
        <f t="shared" si="16"/>
        <v>0</v>
      </c>
      <c r="N75" s="62">
        <f t="shared" si="16"/>
        <v>0</v>
      </c>
      <c r="O75" s="62">
        <f t="shared" si="16"/>
        <v>0</v>
      </c>
      <c r="P75" s="65" t="s">
        <v>115</v>
      </c>
    </row>
    <row r="76" spans="1:16" ht="32.25" customHeight="1">
      <c r="B76" s="646">
        <f>SUM(B75:C75)</f>
        <v>0</v>
      </c>
      <c r="C76" s="647"/>
      <c r="D76" s="646">
        <f>SUM(D75:E75)</f>
        <v>0</v>
      </c>
      <c r="E76" s="647"/>
      <c r="F76" s="646">
        <f>SUM(F75:G75)</f>
        <v>0</v>
      </c>
      <c r="G76" s="647"/>
      <c r="H76" s="63">
        <f>SUM(H75:H75)</f>
        <v>0</v>
      </c>
      <c r="I76" s="63">
        <f>SUM(I75:I75)</f>
        <v>0</v>
      </c>
      <c r="J76" s="63">
        <f>SUM(J75:J75)</f>
        <v>0</v>
      </c>
      <c r="K76" s="66">
        <f>K75</f>
        <v>0</v>
      </c>
      <c r="L76" s="66">
        <f>L75</f>
        <v>0</v>
      </c>
      <c r="M76" s="66">
        <f>M75</f>
        <v>0</v>
      </c>
      <c r="N76" s="66">
        <f>N75</f>
        <v>0</v>
      </c>
      <c r="O76" s="66">
        <f>O75</f>
        <v>0</v>
      </c>
    </row>
  </sheetData>
  <mergeCells count="17">
    <mergeCell ref="A3:A7"/>
    <mergeCell ref="A41:A43"/>
    <mergeCell ref="O6:O7"/>
    <mergeCell ref="O42:O43"/>
    <mergeCell ref="P42:P43"/>
    <mergeCell ref="B4:O5"/>
    <mergeCell ref="B42:C42"/>
    <mergeCell ref="D42:E42"/>
    <mergeCell ref="F42:G42"/>
    <mergeCell ref="B76:C76"/>
    <mergeCell ref="D76:E76"/>
    <mergeCell ref="F76:G76"/>
    <mergeCell ref="B3:O3"/>
    <mergeCell ref="B6:C6"/>
    <mergeCell ref="D6:E6"/>
    <mergeCell ref="F6:G6"/>
    <mergeCell ref="B41:O41"/>
  </mergeCells>
  <printOptions horizontalCentered="1"/>
  <pageMargins left="0" right="0" top="0.196850393700787" bottom="0" header="0" footer="0"/>
  <pageSetup paperSize="9" scale="21" fitToWidth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etat_receveur</vt:lpstr>
      <vt:lpstr>BUS</vt:lpstr>
      <vt:lpstr>LIGNE</vt:lpstr>
      <vt:lpstr>RETAION-BUS</vt:lpstr>
      <vt:lpstr>ROTATION-LIGNE</vt:lpstr>
      <vt:lpstr>RECAP1</vt:lpstr>
      <vt:lpstr>RECAP 2</vt:lpstr>
      <vt:lpstr>RECAP 3</vt:lpstr>
      <vt:lpstr>R4</vt:lpstr>
      <vt:lpstr>RECAP 5</vt:lpstr>
      <vt:lpstr>RECAP 6</vt:lpstr>
      <vt:lpstr>RECAP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ETUS</dc:creator>
  <cp:lastModifiedBy>ADMIN</cp:lastModifiedBy>
  <cp:lastPrinted>2023-05-02T09:40:00Z</cp:lastPrinted>
  <dcterms:created xsi:type="dcterms:W3CDTF">2018-07-31T07:44:00Z</dcterms:created>
  <dcterms:modified xsi:type="dcterms:W3CDTF">2026-09-10T15:25:26Z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BFAF7446F9A8465CBF205A3E7D8D9782_12</vt:lpwstr>
  </property>
  <property fmtid="{D5CDD505-2E9C-101B-9397-08002B2CF9AE}" pid="3" name="KSOProductBuildVer">
    <vt:lpwstr>1036-12.2.0.22549</vt:lpwstr>
  </property>
</Properties>
</file>