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laravel\recette\public\assets\word\"/>
    </mc:Choice>
  </mc:AlternateContent>
  <xr:revisionPtr revIDLastSave="0" documentId="13_ncr:1_{92676DE7-1ECA-4C87-A413-125AC207B72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etat_receveur" sheetId="18" r:id="rId1"/>
    <sheet name="BUS" sheetId="1" r:id="rId2"/>
    <sheet name="LIGNE" sheetId="2" r:id="rId3"/>
    <sheet name="RETAION-BUS" sheetId="4" r:id="rId4"/>
    <sheet name="ROTATION-LIGNE" sheetId="5" r:id="rId5"/>
    <sheet name="RECAP1" sheetId="9" r:id="rId6"/>
    <sheet name="RECAP 2" sheetId="17" r:id="rId7"/>
    <sheet name="RECAP 3" sheetId="10" r:id="rId8"/>
    <sheet name="R4" sheetId="20" r:id="rId9"/>
    <sheet name="RECAP 5" sheetId="15" r:id="rId10"/>
    <sheet name="RECAP 6" sheetId="16" r:id="rId11"/>
    <sheet name="RECAP 4" sheetId="14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K106" i="2" l="1"/>
  <c r="BJ106" i="2"/>
  <c r="BI106" i="2"/>
  <c r="BH106" i="2"/>
  <c r="BG106" i="2"/>
  <c r="BF106" i="2"/>
  <c r="BE106" i="2"/>
  <c r="BD106" i="2"/>
  <c r="BC106" i="2"/>
  <c r="BB106" i="2"/>
  <c r="BA106" i="2"/>
  <c r="BK71" i="2"/>
  <c r="BJ71" i="2"/>
  <c r="BI71" i="2"/>
  <c r="BH71" i="2"/>
  <c r="BG71" i="2"/>
  <c r="BF71" i="2"/>
  <c r="BE71" i="2"/>
  <c r="BD71" i="2"/>
  <c r="BC71" i="2"/>
  <c r="BB71" i="2"/>
  <c r="BA71" i="2"/>
  <c r="BA35" i="2"/>
  <c r="BB35" i="2"/>
  <c r="BC35" i="2"/>
  <c r="BD35" i="2"/>
  <c r="BE35" i="2"/>
  <c r="BF35" i="2"/>
  <c r="BG35" i="2"/>
  <c r="BH35" i="2"/>
  <c r="BI35" i="2"/>
  <c r="BJ35" i="2"/>
  <c r="BK35" i="2"/>
  <c r="AZ35" i="2"/>
  <c r="BA141" i="2"/>
  <c r="BB141" i="2"/>
  <c r="BC141" i="2"/>
  <c r="BD141" i="2"/>
  <c r="BE141" i="2"/>
  <c r="BF141" i="2"/>
  <c r="BG141" i="2"/>
  <c r="BH141" i="2"/>
  <c r="BI141" i="2"/>
  <c r="BJ141" i="2"/>
  <c r="BK141" i="2"/>
  <c r="AZ141" i="2"/>
  <c r="AZ111" i="2"/>
  <c r="BA111" i="2"/>
  <c r="BB111" i="2"/>
  <c r="BC111" i="2"/>
  <c r="BD111" i="2"/>
  <c r="BE111" i="2"/>
  <c r="BF111" i="2"/>
  <c r="BG111" i="2"/>
  <c r="BH111" i="2"/>
  <c r="BI111" i="2"/>
  <c r="BJ111" i="2"/>
  <c r="BK111" i="2"/>
  <c r="AZ112" i="2"/>
  <c r="BA112" i="2"/>
  <c r="BB112" i="2"/>
  <c r="BC112" i="2"/>
  <c r="BD112" i="2"/>
  <c r="BE112" i="2"/>
  <c r="BF112" i="2"/>
  <c r="BG112" i="2"/>
  <c r="BH112" i="2"/>
  <c r="BI112" i="2"/>
  <c r="BJ112" i="2"/>
  <c r="BK112" i="2"/>
  <c r="AZ113" i="2"/>
  <c r="BA113" i="2"/>
  <c r="BB113" i="2"/>
  <c r="BC113" i="2"/>
  <c r="BD113" i="2"/>
  <c r="BE113" i="2"/>
  <c r="BF113" i="2"/>
  <c r="BG113" i="2"/>
  <c r="BH113" i="2"/>
  <c r="BI113" i="2"/>
  <c r="BJ113" i="2"/>
  <c r="BK113" i="2"/>
  <c r="AZ114" i="2"/>
  <c r="BA114" i="2"/>
  <c r="BB114" i="2"/>
  <c r="BC114" i="2"/>
  <c r="BD114" i="2"/>
  <c r="BE114" i="2"/>
  <c r="BF114" i="2"/>
  <c r="BG114" i="2"/>
  <c r="BH114" i="2"/>
  <c r="BI114" i="2"/>
  <c r="BJ114" i="2"/>
  <c r="BK114" i="2"/>
  <c r="AZ115" i="2"/>
  <c r="BA115" i="2"/>
  <c r="BB115" i="2"/>
  <c r="BC115" i="2"/>
  <c r="BD115" i="2"/>
  <c r="BE115" i="2"/>
  <c r="BF115" i="2"/>
  <c r="BG115" i="2"/>
  <c r="BH115" i="2"/>
  <c r="BI115" i="2"/>
  <c r="BJ115" i="2"/>
  <c r="BK115" i="2"/>
  <c r="BK152" i="2" s="1"/>
  <c r="AZ116" i="2"/>
  <c r="BA116" i="2"/>
  <c r="BB116" i="2"/>
  <c r="BC116" i="2"/>
  <c r="BD116" i="2"/>
  <c r="BE116" i="2"/>
  <c r="BF116" i="2"/>
  <c r="BG116" i="2"/>
  <c r="BH116" i="2"/>
  <c r="BI116" i="2"/>
  <c r="BJ116" i="2"/>
  <c r="BK116" i="2"/>
  <c r="AZ117" i="2"/>
  <c r="BA117" i="2"/>
  <c r="BB117" i="2"/>
  <c r="BC117" i="2"/>
  <c r="BD117" i="2"/>
  <c r="BE117" i="2"/>
  <c r="BF117" i="2"/>
  <c r="BG117" i="2"/>
  <c r="BH117" i="2"/>
  <c r="BI117" i="2"/>
  <c r="BJ117" i="2"/>
  <c r="BK117" i="2"/>
  <c r="AZ118" i="2"/>
  <c r="BA118" i="2"/>
  <c r="BB118" i="2"/>
  <c r="BC118" i="2"/>
  <c r="BD118" i="2"/>
  <c r="BE118" i="2"/>
  <c r="BF118" i="2"/>
  <c r="BG118" i="2"/>
  <c r="BH118" i="2"/>
  <c r="BI118" i="2"/>
  <c r="BJ118" i="2"/>
  <c r="BK118" i="2"/>
  <c r="AZ119" i="2"/>
  <c r="BA119" i="2"/>
  <c r="BB119" i="2"/>
  <c r="BC119" i="2"/>
  <c r="BD119" i="2"/>
  <c r="BE119" i="2"/>
  <c r="BF119" i="2"/>
  <c r="BG119" i="2"/>
  <c r="BH119" i="2"/>
  <c r="BI119" i="2"/>
  <c r="BJ119" i="2"/>
  <c r="BK119" i="2"/>
  <c r="AZ120" i="2"/>
  <c r="BA120" i="2"/>
  <c r="BB120" i="2"/>
  <c r="BC120" i="2"/>
  <c r="BD120" i="2"/>
  <c r="BE120" i="2"/>
  <c r="BF120" i="2"/>
  <c r="BG120" i="2"/>
  <c r="BH120" i="2"/>
  <c r="BI120" i="2"/>
  <c r="BJ120" i="2"/>
  <c r="BK120" i="2"/>
  <c r="AZ121" i="2"/>
  <c r="BA121" i="2"/>
  <c r="BB121" i="2"/>
  <c r="BC121" i="2"/>
  <c r="BD121" i="2"/>
  <c r="BE121" i="2"/>
  <c r="BF121" i="2"/>
  <c r="BG121" i="2"/>
  <c r="BH121" i="2"/>
  <c r="BI121" i="2"/>
  <c r="BJ121" i="2"/>
  <c r="BK121" i="2"/>
  <c r="AZ122" i="2"/>
  <c r="BA122" i="2"/>
  <c r="BB122" i="2"/>
  <c r="BC122" i="2"/>
  <c r="BD122" i="2"/>
  <c r="BE122" i="2"/>
  <c r="BF122" i="2"/>
  <c r="BG122" i="2"/>
  <c r="BH122" i="2"/>
  <c r="BI122" i="2"/>
  <c r="BJ122" i="2"/>
  <c r="BK122" i="2"/>
  <c r="AZ123" i="2"/>
  <c r="BA123" i="2"/>
  <c r="BB123" i="2"/>
  <c r="BC123" i="2"/>
  <c r="BD123" i="2"/>
  <c r="BE123" i="2"/>
  <c r="BF123" i="2"/>
  <c r="BG123" i="2"/>
  <c r="BH123" i="2"/>
  <c r="BI123" i="2"/>
  <c r="BJ123" i="2"/>
  <c r="BK123" i="2"/>
  <c r="AZ124" i="2"/>
  <c r="BA124" i="2"/>
  <c r="BB124" i="2"/>
  <c r="BC124" i="2"/>
  <c r="BD124" i="2"/>
  <c r="BE124" i="2"/>
  <c r="BF124" i="2"/>
  <c r="BG124" i="2"/>
  <c r="BH124" i="2"/>
  <c r="BI124" i="2"/>
  <c r="BJ124" i="2"/>
  <c r="BK124" i="2"/>
  <c r="AZ125" i="2"/>
  <c r="BA125" i="2"/>
  <c r="BB125" i="2"/>
  <c r="BC125" i="2"/>
  <c r="BD125" i="2"/>
  <c r="BE125" i="2"/>
  <c r="BF125" i="2"/>
  <c r="BG125" i="2"/>
  <c r="BH125" i="2"/>
  <c r="BI125" i="2"/>
  <c r="BJ125" i="2"/>
  <c r="BK125" i="2"/>
  <c r="AZ126" i="2"/>
  <c r="BA126" i="2"/>
  <c r="BB126" i="2"/>
  <c r="BC126" i="2"/>
  <c r="BD126" i="2"/>
  <c r="BE126" i="2"/>
  <c r="BF126" i="2"/>
  <c r="BG126" i="2"/>
  <c r="BH126" i="2"/>
  <c r="BI126" i="2"/>
  <c r="BJ126" i="2"/>
  <c r="BK126" i="2"/>
  <c r="AZ127" i="2"/>
  <c r="BA127" i="2"/>
  <c r="BB127" i="2"/>
  <c r="BC127" i="2"/>
  <c r="BD127" i="2"/>
  <c r="BE127" i="2"/>
  <c r="BF127" i="2"/>
  <c r="BG127" i="2"/>
  <c r="BH127" i="2"/>
  <c r="BI127" i="2"/>
  <c r="BJ127" i="2"/>
  <c r="BK127" i="2"/>
  <c r="AZ128" i="2"/>
  <c r="BA128" i="2"/>
  <c r="BB128" i="2"/>
  <c r="BC128" i="2"/>
  <c r="BD128" i="2"/>
  <c r="BE128" i="2"/>
  <c r="BF128" i="2"/>
  <c r="BG128" i="2"/>
  <c r="BH128" i="2"/>
  <c r="BI128" i="2"/>
  <c r="BJ128" i="2"/>
  <c r="BK128" i="2"/>
  <c r="AZ129" i="2"/>
  <c r="BA129" i="2"/>
  <c r="BB129" i="2"/>
  <c r="BC129" i="2"/>
  <c r="BD129" i="2"/>
  <c r="BE129" i="2"/>
  <c r="BF129" i="2"/>
  <c r="BG129" i="2"/>
  <c r="BH129" i="2"/>
  <c r="BI129" i="2"/>
  <c r="BJ129" i="2"/>
  <c r="BK129" i="2"/>
  <c r="AZ130" i="2"/>
  <c r="BA130" i="2"/>
  <c r="BB130" i="2"/>
  <c r="BC130" i="2"/>
  <c r="BD130" i="2"/>
  <c r="BE130" i="2"/>
  <c r="BF130" i="2"/>
  <c r="BG130" i="2"/>
  <c r="BH130" i="2"/>
  <c r="BI130" i="2"/>
  <c r="BJ130" i="2"/>
  <c r="BK130" i="2"/>
  <c r="AZ131" i="2"/>
  <c r="BA131" i="2"/>
  <c r="BB131" i="2"/>
  <c r="BC131" i="2"/>
  <c r="BD131" i="2"/>
  <c r="BE131" i="2"/>
  <c r="BF131" i="2"/>
  <c r="BG131" i="2"/>
  <c r="BH131" i="2"/>
  <c r="BI131" i="2"/>
  <c r="BJ131" i="2"/>
  <c r="BK131" i="2"/>
  <c r="AZ132" i="2"/>
  <c r="BA132" i="2"/>
  <c r="BB132" i="2"/>
  <c r="BC132" i="2"/>
  <c r="BD132" i="2"/>
  <c r="BE132" i="2"/>
  <c r="BF132" i="2"/>
  <c r="BG132" i="2"/>
  <c r="BH132" i="2"/>
  <c r="BI132" i="2"/>
  <c r="BJ132" i="2"/>
  <c r="BK132" i="2"/>
  <c r="AZ133" i="2"/>
  <c r="BA133" i="2"/>
  <c r="BB133" i="2"/>
  <c r="BC133" i="2"/>
  <c r="BD133" i="2"/>
  <c r="BE133" i="2"/>
  <c r="BF133" i="2"/>
  <c r="BG133" i="2"/>
  <c r="BH133" i="2"/>
  <c r="BI133" i="2"/>
  <c r="BJ133" i="2"/>
  <c r="BK133" i="2"/>
  <c r="AZ134" i="2"/>
  <c r="BA134" i="2"/>
  <c r="BB134" i="2"/>
  <c r="BC134" i="2"/>
  <c r="BD134" i="2"/>
  <c r="BE134" i="2"/>
  <c r="BF134" i="2"/>
  <c r="BG134" i="2"/>
  <c r="BH134" i="2"/>
  <c r="BI134" i="2"/>
  <c r="BJ134" i="2"/>
  <c r="BK134" i="2"/>
  <c r="AZ135" i="2"/>
  <c r="BA135" i="2"/>
  <c r="BB135" i="2"/>
  <c r="BC135" i="2"/>
  <c r="BD135" i="2"/>
  <c r="BE135" i="2"/>
  <c r="BF135" i="2"/>
  <c r="BG135" i="2"/>
  <c r="BH135" i="2"/>
  <c r="BI135" i="2"/>
  <c r="BJ135" i="2"/>
  <c r="BK135" i="2"/>
  <c r="AZ136" i="2"/>
  <c r="BA136" i="2"/>
  <c r="BB136" i="2"/>
  <c r="BC136" i="2"/>
  <c r="BD136" i="2"/>
  <c r="BE136" i="2"/>
  <c r="BF136" i="2"/>
  <c r="BG136" i="2"/>
  <c r="BH136" i="2"/>
  <c r="BI136" i="2"/>
  <c r="BJ136" i="2"/>
  <c r="BK136" i="2"/>
  <c r="AZ137" i="2"/>
  <c r="BA137" i="2"/>
  <c r="BB137" i="2"/>
  <c r="BC137" i="2"/>
  <c r="BD137" i="2"/>
  <c r="BE137" i="2"/>
  <c r="BF137" i="2"/>
  <c r="BG137" i="2"/>
  <c r="BH137" i="2"/>
  <c r="BI137" i="2"/>
  <c r="BJ137" i="2"/>
  <c r="BK137" i="2"/>
  <c r="AZ138" i="2"/>
  <c r="BA138" i="2"/>
  <c r="BB138" i="2"/>
  <c r="BC138" i="2"/>
  <c r="BD138" i="2"/>
  <c r="BE138" i="2"/>
  <c r="BF138" i="2"/>
  <c r="BG138" i="2"/>
  <c r="BH138" i="2"/>
  <c r="BI138" i="2"/>
  <c r="BJ138" i="2"/>
  <c r="BK138" i="2"/>
  <c r="AZ139" i="2"/>
  <c r="BA139" i="2"/>
  <c r="BB139" i="2"/>
  <c r="BC139" i="2"/>
  <c r="BD139" i="2"/>
  <c r="BE139" i="2"/>
  <c r="BF139" i="2"/>
  <c r="BG139" i="2"/>
  <c r="BH139" i="2"/>
  <c r="BI139" i="2"/>
  <c r="BJ139" i="2"/>
  <c r="BK139" i="2"/>
  <c r="AZ140" i="2"/>
  <c r="BA140" i="2"/>
  <c r="BB140" i="2"/>
  <c r="BC140" i="2"/>
  <c r="BD140" i="2"/>
  <c r="BE140" i="2"/>
  <c r="BF140" i="2"/>
  <c r="BG140" i="2"/>
  <c r="BH140" i="2"/>
  <c r="BI140" i="2"/>
  <c r="BJ140" i="2"/>
  <c r="BK140" i="2"/>
  <c r="BK177" i="2" s="1"/>
  <c r="BI110" i="2"/>
  <c r="BA110" i="2"/>
  <c r="BB110" i="2"/>
  <c r="BB147" i="2" s="1"/>
  <c r="BC110" i="2"/>
  <c r="BD110" i="2"/>
  <c r="BE110" i="2"/>
  <c r="BF110" i="2"/>
  <c r="BG110" i="2"/>
  <c r="BH110" i="2"/>
  <c r="BJ110" i="2"/>
  <c r="BJ147" i="2" s="1"/>
  <c r="BK110" i="2"/>
  <c r="BK147" i="2" s="1"/>
  <c r="BI177" i="2"/>
  <c r="AZ148" i="2"/>
  <c r="BA148" i="2"/>
  <c r="BB148" i="2"/>
  <c r="BC148" i="2"/>
  <c r="BD148" i="2"/>
  <c r="BE148" i="2"/>
  <c r="BF148" i="2"/>
  <c r="BG148" i="2"/>
  <c r="BH148" i="2"/>
  <c r="BI148" i="2"/>
  <c r="BJ148" i="2"/>
  <c r="BK148" i="2"/>
  <c r="AZ149" i="2"/>
  <c r="BA149" i="2"/>
  <c r="BB149" i="2"/>
  <c r="BC149" i="2"/>
  <c r="BD149" i="2"/>
  <c r="BE149" i="2"/>
  <c r="BF149" i="2"/>
  <c r="BG149" i="2"/>
  <c r="BH149" i="2"/>
  <c r="BI149" i="2"/>
  <c r="BJ149" i="2"/>
  <c r="BK149" i="2"/>
  <c r="AZ150" i="2"/>
  <c r="BA150" i="2"/>
  <c r="BB150" i="2"/>
  <c r="BC150" i="2"/>
  <c r="BD150" i="2"/>
  <c r="BE150" i="2"/>
  <c r="BF150" i="2"/>
  <c r="BG150" i="2"/>
  <c r="BH150" i="2"/>
  <c r="BI150" i="2"/>
  <c r="BJ150" i="2"/>
  <c r="BK150" i="2"/>
  <c r="AZ151" i="2"/>
  <c r="BA151" i="2"/>
  <c r="BB151" i="2"/>
  <c r="BC151" i="2"/>
  <c r="BD151" i="2"/>
  <c r="BE151" i="2"/>
  <c r="BF151" i="2"/>
  <c r="BG151" i="2"/>
  <c r="BH151" i="2"/>
  <c r="BI151" i="2"/>
  <c r="BJ151" i="2"/>
  <c r="BK151" i="2"/>
  <c r="AZ152" i="2"/>
  <c r="BA152" i="2"/>
  <c r="BB152" i="2"/>
  <c r="BC152" i="2"/>
  <c r="BD152" i="2"/>
  <c r="BE152" i="2"/>
  <c r="BF152" i="2"/>
  <c r="BG152" i="2"/>
  <c r="BH152" i="2"/>
  <c r="BI152" i="2"/>
  <c r="BJ152" i="2"/>
  <c r="AZ153" i="2"/>
  <c r="BA153" i="2"/>
  <c r="BB153" i="2"/>
  <c r="BC153" i="2"/>
  <c r="BD153" i="2"/>
  <c r="BE153" i="2"/>
  <c r="BF153" i="2"/>
  <c r="BG153" i="2"/>
  <c r="BH153" i="2"/>
  <c r="BI153" i="2"/>
  <c r="BJ153" i="2"/>
  <c r="BK153" i="2"/>
  <c r="AZ154" i="2"/>
  <c r="BA154" i="2"/>
  <c r="BB154" i="2"/>
  <c r="BC154" i="2"/>
  <c r="BD154" i="2"/>
  <c r="BE154" i="2"/>
  <c r="BF154" i="2"/>
  <c r="BG154" i="2"/>
  <c r="BH154" i="2"/>
  <c r="BI154" i="2"/>
  <c r="BJ154" i="2"/>
  <c r="BK154" i="2"/>
  <c r="AZ155" i="2"/>
  <c r="BA155" i="2"/>
  <c r="BB155" i="2"/>
  <c r="BC155" i="2"/>
  <c r="BD155" i="2"/>
  <c r="BE155" i="2"/>
  <c r="BF155" i="2"/>
  <c r="BG155" i="2"/>
  <c r="BH155" i="2"/>
  <c r="BI155" i="2"/>
  <c r="BJ155" i="2"/>
  <c r="BK155" i="2"/>
  <c r="AZ156" i="2"/>
  <c r="BA156" i="2"/>
  <c r="BB156" i="2"/>
  <c r="BC156" i="2"/>
  <c r="BD156" i="2"/>
  <c r="BE156" i="2"/>
  <c r="BF156" i="2"/>
  <c r="BG156" i="2"/>
  <c r="BH156" i="2"/>
  <c r="BI156" i="2"/>
  <c r="BJ156" i="2"/>
  <c r="BK156" i="2"/>
  <c r="AZ157" i="2"/>
  <c r="BA157" i="2"/>
  <c r="BB157" i="2"/>
  <c r="BC157" i="2"/>
  <c r="BD157" i="2"/>
  <c r="BE157" i="2"/>
  <c r="BF157" i="2"/>
  <c r="BG157" i="2"/>
  <c r="BH157" i="2"/>
  <c r="BI157" i="2"/>
  <c r="BJ157" i="2"/>
  <c r="BK157" i="2"/>
  <c r="AZ158" i="2"/>
  <c r="BA158" i="2"/>
  <c r="BB158" i="2"/>
  <c r="BC158" i="2"/>
  <c r="BD158" i="2"/>
  <c r="BE158" i="2"/>
  <c r="BF158" i="2"/>
  <c r="BG158" i="2"/>
  <c r="BH158" i="2"/>
  <c r="BI158" i="2"/>
  <c r="BJ158" i="2"/>
  <c r="BK158" i="2"/>
  <c r="AZ159" i="2"/>
  <c r="BA159" i="2"/>
  <c r="BB159" i="2"/>
  <c r="BC159" i="2"/>
  <c r="BD159" i="2"/>
  <c r="BE159" i="2"/>
  <c r="BF159" i="2"/>
  <c r="BG159" i="2"/>
  <c r="BH159" i="2"/>
  <c r="BI159" i="2"/>
  <c r="BJ159" i="2"/>
  <c r="BK159" i="2"/>
  <c r="AZ160" i="2"/>
  <c r="BA160" i="2"/>
  <c r="BB160" i="2"/>
  <c r="BC160" i="2"/>
  <c r="BD160" i="2"/>
  <c r="BE160" i="2"/>
  <c r="BF160" i="2"/>
  <c r="BG160" i="2"/>
  <c r="BH160" i="2"/>
  <c r="BI160" i="2"/>
  <c r="BJ160" i="2"/>
  <c r="BK160" i="2"/>
  <c r="AZ161" i="2"/>
  <c r="BA161" i="2"/>
  <c r="BB161" i="2"/>
  <c r="BC161" i="2"/>
  <c r="BD161" i="2"/>
  <c r="BE161" i="2"/>
  <c r="BF161" i="2"/>
  <c r="BG161" i="2"/>
  <c r="BH161" i="2"/>
  <c r="BI161" i="2"/>
  <c r="BJ161" i="2"/>
  <c r="BK161" i="2"/>
  <c r="AZ162" i="2"/>
  <c r="BA162" i="2"/>
  <c r="BB162" i="2"/>
  <c r="BC162" i="2"/>
  <c r="BD162" i="2"/>
  <c r="BE162" i="2"/>
  <c r="BF162" i="2"/>
  <c r="BG162" i="2"/>
  <c r="BH162" i="2"/>
  <c r="BI162" i="2"/>
  <c r="BJ162" i="2"/>
  <c r="BK162" i="2"/>
  <c r="AZ163" i="2"/>
  <c r="BA163" i="2"/>
  <c r="BB163" i="2"/>
  <c r="BC163" i="2"/>
  <c r="BD163" i="2"/>
  <c r="BE163" i="2"/>
  <c r="BF163" i="2"/>
  <c r="BG163" i="2"/>
  <c r="BH163" i="2"/>
  <c r="BI163" i="2"/>
  <c r="BJ163" i="2"/>
  <c r="BK163" i="2"/>
  <c r="AZ164" i="2"/>
  <c r="BA164" i="2"/>
  <c r="BB164" i="2"/>
  <c r="BC164" i="2"/>
  <c r="BD164" i="2"/>
  <c r="BE164" i="2"/>
  <c r="BF164" i="2"/>
  <c r="BG164" i="2"/>
  <c r="BH164" i="2"/>
  <c r="BI164" i="2"/>
  <c r="BJ164" i="2"/>
  <c r="BK164" i="2"/>
  <c r="AZ165" i="2"/>
  <c r="BA165" i="2"/>
  <c r="BB165" i="2"/>
  <c r="BC165" i="2"/>
  <c r="BD165" i="2"/>
  <c r="BE165" i="2"/>
  <c r="BF165" i="2"/>
  <c r="BG165" i="2"/>
  <c r="BH165" i="2"/>
  <c r="BI165" i="2"/>
  <c r="BJ165" i="2"/>
  <c r="BK165" i="2"/>
  <c r="AZ166" i="2"/>
  <c r="BA166" i="2"/>
  <c r="BB166" i="2"/>
  <c r="BC166" i="2"/>
  <c r="BD166" i="2"/>
  <c r="BE166" i="2"/>
  <c r="BF166" i="2"/>
  <c r="BG166" i="2"/>
  <c r="BH166" i="2"/>
  <c r="BI166" i="2"/>
  <c r="BJ166" i="2"/>
  <c r="BK166" i="2"/>
  <c r="AZ167" i="2"/>
  <c r="BA167" i="2"/>
  <c r="BB167" i="2"/>
  <c r="BC167" i="2"/>
  <c r="BD167" i="2"/>
  <c r="BE167" i="2"/>
  <c r="BF167" i="2"/>
  <c r="BG167" i="2"/>
  <c r="BH167" i="2"/>
  <c r="BI167" i="2"/>
  <c r="BJ167" i="2"/>
  <c r="BK167" i="2"/>
  <c r="AZ168" i="2"/>
  <c r="BA168" i="2"/>
  <c r="BB168" i="2"/>
  <c r="BC168" i="2"/>
  <c r="BD168" i="2"/>
  <c r="BE168" i="2"/>
  <c r="BF168" i="2"/>
  <c r="BG168" i="2"/>
  <c r="BH168" i="2"/>
  <c r="BI168" i="2"/>
  <c r="BJ168" i="2"/>
  <c r="BK168" i="2"/>
  <c r="AZ169" i="2"/>
  <c r="BA169" i="2"/>
  <c r="BB169" i="2"/>
  <c r="BC169" i="2"/>
  <c r="BD169" i="2"/>
  <c r="BE169" i="2"/>
  <c r="BF169" i="2"/>
  <c r="BG169" i="2"/>
  <c r="BH169" i="2"/>
  <c r="BI169" i="2"/>
  <c r="BJ169" i="2"/>
  <c r="BK169" i="2"/>
  <c r="AZ170" i="2"/>
  <c r="BA170" i="2"/>
  <c r="BB170" i="2"/>
  <c r="BC170" i="2"/>
  <c r="BD170" i="2"/>
  <c r="BE170" i="2"/>
  <c r="BF170" i="2"/>
  <c r="BG170" i="2"/>
  <c r="BH170" i="2"/>
  <c r="BI170" i="2"/>
  <c r="BJ170" i="2"/>
  <c r="BK170" i="2"/>
  <c r="AZ171" i="2"/>
  <c r="BA171" i="2"/>
  <c r="BB171" i="2"/>
  <c r="BC171" i="2"/>
  <c r="BD171" i="2"/>
  <c r="BE171" i="2"/>
  <c r="BF171" i="2"/>
  <c r="BG171" i="2"/>
  <c r="BH171" i="2"/>
  <c r="BI171" i="2"/>
  <c r="BJ171" i="2"/>
  <c r="BK171" i="2"/>
  <c r="AZ172" i="2"/>
  <c r="BA172" i="2"/>
  <c r="BB172" i="2"/>
  <c r="BC172" i="2"/>
  <c r="BD172" i="2"/>
  <c r="BE172" i="2"/>
  <c r="BF172" i="2"/>
  <c r="BG172" i="2"/>
  <c r="BH172" i="2"/>
  <c r="BI172" i="2"/>
  <c r="BJ172" i="2"/>
  <c r="BK172" i="2"/>
  <c r="AZ173" i="2"/>
  <c r="BA173" i="2"/>
  <c r="BB173" i="2"/>
  <c r="BC173" i="2"/>
  <c r="BD173" i="2"/>
  <c r="BE173" i="2"/>
  <c r="BF173" i="2"/>
  <c r="BG173" i="2"/>
  <c r="BH173" i="2"/>
  <c r="BI173" i="2"/>
  <c r="BJ173" i="2"/>
  <c r="BK173" i="2"/>
  <c r="AZ174" i="2"/>
  <c r="BA174" i="2"/>
  <c r="BB174" i="2"/>
  <c r="BC174" i="2"/>
  <c r="BD174" i="2"/>
  <c r="BE174" i="2"/>
  <c r="BF174" i="2"/>
  <c r="BG174" i="2"/>
  <c r="BH174" i="2"/>
  <c r="BI174" i="2"/>
  <c r="BJ174" i="2"/>
  <c r="BK174" i="2"/>
  <c r="AZ175" i="2"/>
  <c r="BA175" i="2"/>
  <c r="BB175" i="2"/>
  <c r="BC175" i="2"/>
  <c r="BD175" i="2"/>
  <c r="BE175" i="2"/>
  <c r="BF175" i="2"/>
  <c r="BG175" i="2"/>
  <c r="BH175" i="2"/>
  <c r="BI175" i="2"/>
  <c r="BJ175" i="2"/>
  <c r="BK175" i="2"/>
  <c r="AZ176" i="2"/>
  <c r="BA176" i="2"/>
  <c r="BB176" i="2"/>
  <c r="BC176" i="2"/>
  <c r="BD176" i="2"/>
  <c r="BE176" i="2"/>
  <c r="BF176" i="2"/>
  <c r="BG176" i="2"/>
  <c r="BH176" i="2"/>
  <c r="BI176" i="2"/>
  <c r="BJ176" i="2"/>
  <c r="BK176" i="2"/>
  <c r="AZ177" i="2"/>
  <c r="BA177" i="2"/>
  <c r="BB177" i="2"/>
  <c r="BC177" i="2"/>
  <c r="BD177" i="2"/>
  <c r="BE177" i="2"/>
  <c r="BF177" i="2"/>
  <c r="BG177" i="2"/>
  <c r="BH177" i="2"/>
  <c r="BJ177" i="2"/>
  <c r="BI147" i="2"/>
  <c r="BI178" i="2" s="1"/>
  <c r="BA147" i="2"/>
  <c r="BC147" i="2"/>
  <c r="BD147" i="2"/>
  <c r="BD178" i="2" s="1"/>
  <c r="BE147" i="2"/>
  <c r="BE178" i="2" s="1"/>
  <c r="BF147" i="2"/>
  <c r="BF178" i="2" s="1"/>
  <c r="BG147" i="2"/>
  <c r="BH147" i="2"/>
  <c r="A75" i="20"/>
  <c r="A45" i="20"/>
  <c r="A44" i="20"/>
  <c r="A39" i="20"/>
  <c r="A9" i="20"/>
  <c r="A10" i="20"/>
  <c r="A11" i="20"/>
  <c r="A12" i="20"/>
  <c r="A13" i="20"/>
  <c r="A14" i="20"/>
  <c r="A15" i="20"/>
  <c r="A16" i="20"/>
  <c r="A17" i="20"/>
  <c r="A18" i="20"/>
  <c r="A19" i="20"/>
  <c r="A20" i="20"/>
  <c r="A21" i="20"/>
  <c r="A22" i="20"/>
  <c r="A23" i="20"/>
  <c r="A24" i="20"/>
  <c r="A25" i="20"/>
  <c r="A26" i="20"/>
  <c r="A27" i="20"/>
  <c r="A28" i="20"/>
  <c r="A29" i="20"/>
  <c r="A30" i="20"/>
  <c r="A31" i="20"/>
  <c r="A32" i="20"/>
  <c r="A33" i="20"/>
  <c r="A34" i="20"/>
  <c r="A35" i="20"/>
  <c r="A36" i="20"/>
  <c r="A37" i="20"/>
  <c r="A38" i="20"/>
  <c r="A8" i="20"/>
  <c r="T74" i="20"/>
  <c r="T73" i="20"/>
  <c r="T72" i="20"/>
  <c r="T71" i="20"/>
  <c r="T70" i="20"/>
  <c r="T69" i="20"/>
  <c r="T68" i="20"/>
  <c r="T67" i="20"/>
  <c r="T66" i="20"/>
  <c r="T65" i="20"/>
  <c r="T64" i="20"/>
  <c r="T63" i="20"/>
  <c r="T62" i="20"/>
  <c r="T61" i="20"/>
  <c r="T60" i="20"/>
  <c r="T59" i="20"/>
  <c r="T58" i="20"/>
  <c r="T57" i="20"/>
  <c r="T56" i="20"/>
  <c r="T55" i="20"/>
  <c r="T54" i="20"/>
  <c r="T53" i="20"/>
  <c r="T52" i="20"/>
  <c r="T51" i="20"/>
  <c r="T50" i="20"/>
  <c r="T49" i="20"/>
  <c r="T48" i="20"/>
  <c r="T47" i="20"/>
  <c r="T46" i="20"/>
  <c r="T45" i="20"/>
  <c r="T44" i="20"/>
  <c r="T75" i="20" s="1"/>
  <c r="T39" i="20"/>
  <c r="S39" i="20"/>
  <c r="U75" i="20"/>
  <c r="S74" i="20"/>
  <c r="R74" i="20"/>
  <c r="S73" i="20"/>
  <c r="R73" i="20"/>
  <c r="S72" i="20"/>
  <c r="R72" i="20"/>
  <c r="S71" i="20"/>
  <c r="R71" i="20"/>
  <c r="S70" i="20"/>
  <c r="R70" i="20"/>
  <c r="S69" i="20"/>
  <c r="R69" i="20"/>
  <c r="S68" i="20"/>
  <c r="R68" i="20"/>
  <c r="S67" i="20"/>
  <c r="R67" i="20"/>
  <c r="S66" i="20"/>
  <c r="R66" i="20"/>
  <c r="S65" i="20"/>
  <c r="R65" i="20"/>
  <c r="S64" i="20"/>
  <c r="R64" i="20"/>
  <c r="S63" i="20"/>
  <c r="R63" i="20"/>
  <c r="S62" i="20"/>
  <c r="R62" i="20"/>
  <c r="S61" i="20"/>
  <c r="R61" i="20"/>
  <c r="S60" i="20"/>
  <c r="R60" i="20"/>
  <c r="S59" i="20"/>
  <c r="R59" i="20"/>
  <c r="S58" i="20"/>
  <c r="R58" i="20"/>
  <c r="S57" i="20"/>
  <c r="R57" i="20"/>
  <c r="S56" i="20"/>
  <c r="R56" i="20"/>
  <c r="S55" i="20"/>
  <c r="R55" i="20"/>
  <c r="S54" i="20"/>
  <c r="R54" i="20"/>
  <c r="S53" i="20"/>
  <c r="R53" i="20"/>
  <c r="S52" i="20"/>
  <c r="R52" i="20"/>
  <c r="S51" i="20"/>
  <c r="R51" i="20"/>
  <c r="S50" i="20"/>
  <c r="R50" i="20"/>
  <c r="S49" i="20"/>
  <c r="R49" i="20"/>
  <c r="S48" i="20"/>
  <c r="R48" i="20"/>
  <c r="S47" i="20"/>
  <c r="R47" i="20"/>
  <c r="S46" i="20"/>
  <c r="R46" i="20"/>
  <c r="S45" i="20"/>
  <c r="S75" i="20" s="1"/>
  <c r="R45" i="20"/>
  <c r="S44" i="20"/>
  <c r="R44" i="20"/>
  <c r="R39" i="20"/>
  <c r="O76" i="14"/>
  <c r="N76" i="14"/>
  <c r="M76" i="14"/>
  <c r="L76" i="14"/>
  <c r="K76" i="14"/>
  <c r="J76" i="14"/>
  <c r="I76" i="14"/>
  <c r="H76" i="14"/>
  <c r="F76" i="14"/>
  <c r="D76" i="14"/>
  <c r="B76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A75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A74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A73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A72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A71" i="14"/>
  <c r="N70" i="14"/>
  <c r="M70" i="14"/>
  <c r="L70" i="14"/>
  <c r="K70" i="14"/>
  <c r="J70" i="14"/>
  <c r="I70" i="14"/>
  <c r="H70" i="14"/>
  <c r="G70" i="14"/>
  <c r="F70" i="14"/>
  <c r="E70" i="14"/>
  <c r="D70" i="14"/>
  <c r="C70" i="14"/>
  <c r="B70" i="14"/>
  <c r="A70" i="14"/>
  <c r="N69" i="14"/>
  <c r="M69" i="14"/>
  <c r="L69" i="14"/>
  <c r="K69" i="14"/>
  <c r="J69" i="14"/>
  <c r="I69" i="14"/>
  <c r="H69" i="14"/>
  <c r="G69" i="14"/>
  <c r="F69" i="14"/>
  <c r="E69" i="14"/>
  <c r="D69" i="14"/>
  <c r="C69" i="14"/>
  <c r="B69" i="14"/>
  <c r="A69" i="14"/>
  <c r="N68" i="14"/>
  <c r="M68" i="14"/>
  <c r="L68" i="14"/>
  <c r="K68" i="14"/>
  <c r="J68" i="14"/>
  <c r="I68" i="14"/>
  <c r="H68" i="14"/>
  <c r="G68" i="14"/>
  <c r="F68" i="14"/>
  <c r="E68" i="14"/>
  <c r="D68" i="14"/>
  <c r="C68" i="14"/>
  <c r="B68" i="14"/>
  <c r="A68" i="14"/>
  <c r="N67" i="14"/>
  <c r="M67" i="14"/>
  <c r="L67" i="14"/>
  <c r="K67" i="14"/>
  <c r="J67" i="14"/>
  <c r="I67" i="14"/>
  <c r="H67" i="14"/>
  <c r="G67" i="14"/>
  <c r="F67" i="14"/>
  <c r="E67" i="14"/>
  <c r="D67" i="14"/>
  <c r="C67" i="14"/>
  <c r="B67" i="14"/>
  <c r="A67" i="14"/>
  <c r="N66" i="14"/>
  <c r="M66" i="14"/>
  <c r="L66" i="14"/>
  <c r="K66" i="14"/>
  <c r="J66" i="14"/>
  <c r="I66" i="14"/>
  <c r="H66" i="14"/>
  <c r="G66" i="14"/>
  <c r="F66" i="14"/>
  <c r="E66" i="14"/>
  <c r="D66" i="14"/>
  <c r="C66" i="14"/>
  <c r="B66" i="14"/>
  <c r="A66" i="14"/>
  <c r="N65" i="14"/>
  <c r="M65" i="14"/>
  <c r="L65" i="14"/>
  <c r="K65" i="14"/>
  <c r="J65" i="14"/>
  <c r="I65" i="14"/>
  <c r="H65" i="14"/>
  <c r="G65" i="14"/>
  <c r="F65" i="14"/>
  <c r="E65" i="14"/>
  <c r="D65" i="14"/>
  <c r="C65" i="14"/>
  <c r="B65" i="14"/>
  <c r="A65" i="14"/>
  <c r="N64" i="14"/>
  <c r="M64" i="14"/>
  <c r="L64" i="14"/>
  <c r="K64" i="14"/>
  <c r="J64" i="14"/>
  <c r="I64" i="14"/>
  <c r="H64" i="14"/>
  <c r="G64" i="14"/>
  <c r="F64" i="14"/>
  <c r="E64" i="14"/>
  <c r="D64" i="14"/>
  <c r="C64" i="14"/>
  <c r="B64" i="14"/>
  <c r="A64" i="14"/>
  <c r="N63" i="14"/>
  <c r="M63" i="14"/>
  <c r="L63" i="14"/>
  <c r="K63" i="14"/>
  <c r="J63" i="14"/>
  <c r="I63" i="14"/>
  <c r="H63" i="14"/>
  <c r="G63" i="14"/>
  <c r="F63" i="14"/>
  <c r="E63" i="14"/>
  <c r="D63" i="14"/>
  <c r="C63" i="14"/>
  <c r="B63" i="14"/>
  <c r="A63" i="14"/>
  <c r="N62" i="14"/>
  <c r="M62" i="14"/>
  <c r="L62" i="14"/>
  <c r="K62" i="14"/>
  <c r="J62" i="14"/>
  <c r="I62" i="14"/>
  <c r="H62" i="14"/>
  <c r="G62" i="14"/>
  <c r="F62" i="14"/>
  <c r="E62" i="14"/>
  <c r="D62" i="14"/>
  <c r="C62" i="14"/>
  <c r="B62" i="14"/>
  <c r="A62" i="14"/>
  <c r="N61" i="14"/>
  <c r="M61" i="14"/>
  <c r="L61" i="14"/>
  <c r="K61" i="14"/>
  <c r="J61" i="14"/>
  <c r="I61" i="14"/>
  <c r="H61" i="14"/>
  <c r="G61" i="14"/>
  <c r="F61" i="14"/>
  <c r="E61" i="14"/>
  <c r="D61" i="14"/>
  <c r="C61" i="14"/>
  <c r="B61" i="14"/>
  <c r="A61" i="14"/>
  <c r="N60" i="14"/>
  <c r="M60" i="14"/>
  <c r="L60" i="14"/>
  <c r="K60" i="14"/>
  <c r="J60" i="14"/>
  <c r="I60" i="14"/>
  <c r="H60" i="14"/>
  <c r="G60" i="14"/>
  <c r="F60" i="14"/>
  <c r="E60" i="14"/>
  <c r="D60" i="14"/>
  <c r="C60" i="14"/>
  <c r="B60" i="14"/>
  <c r="A60" i="14"/>
  <c r="N59" i="14"/>
  <c r="M59" i="14"/>
  <c r="L59" i="14"/>
  <c r="K59" i="14"/>
  <c r="J59" i="14"/>
  <c r="I59" i="14"/>
  <c r="H59" i="14"/>
  <c r="G59" i="14"/>
  <c r="F59" i="14"/>
  <c r="E59" i="14"/>
  <c r="D59" i="14"/>
  <c r="C59" i="14"/>
  <c r="B59" i="14"/>
  <c r="A59" i="14"/>
  <c r="N58" i="14"/>
  <c r="M58" i="14"/>
  <c r="L58" i="14"/>
  <c r="K58" i="14"/>
  <c r="J58" i="14"/>
  <c r="I58" i="14"/>
  <c r="H58" i="14"/>
  <c r="G58" i="14"/>
  <c r="F58" i="14"/>
  <c r="E58" i="14"/>
  <c r="D58" i="14"/>
  <c r="C58" i="14"/>
  <c r="B58" i="14"/>
  <c r="A58" i="14"/>
  <c r="N57" i="14"/>
  <c r="M57" i="14"/>
  <c r="L57" i="14"/>
  <c r="K57" i="14"/>
  <c r="J57" i="14"/>
  <c r="I57" i="14"/>
  <c r="H57" i="14"/>
  <c r="G57" i="14"/>
  <c r="F57" i="14"/>
  <c r="E57" i="14"/>
  <c r="D57" i="14"/>
  <c r="C57" i="14"/>
  <c r="B57" i="14"/>
  <c r="A57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A56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A55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A54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A53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A52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A51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A50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A49" i="14"/>
  <c r="N48" i="14"/>
  <c r="M48" i="14"/>
  <c r="L48" i="14"/>
  <c r="K48" i="14"/>
  <c r="J48" i="14"/>
  <c r="I48" i="14"/>
  <c r="H48" i="14"/>
  <c r="G48" i="14"/>
  <c r="F48" i="14"/>
  <c r="E48" i="14"/>
  <c r="D48" i="14"/>
  <c r="C48" i="14"/>
  <c r="B48" i="14"/>
  <c r="A48" i="14"/>
  <c r="N47" i="14"/>
  <c r="M47" i="14"/>
  <c r="L47" i="14"/>
  <c r="K47" i="14"/>
  <c r="J47" i="14"/>
  <c r="I47" i="14"/>
  <c r="H47" i="14"/>
  <c r="G47" i="14"/>
  <c r="F47" i="14"/>
  <c r="E47" i="14"/>
  <c r="D47" i="14"/>
  <c r="C47" i="14"/>
  <c r="B47" i="14"/>
  <c r="A47" i="14"/>
  <c r="N46" i="14"/>
  <c r="M46" i="14"/>
  <c r="L46" i="14"/>
  <c r="K46" i="14"/>
  <c r="J46" i="14"/>
  <c r="I46" i="14"/>
  <c r="H46" i="14"/>
  <c r="G46" i="14"/>
  <c r="F46" i="14"/>
  <c r="E46" i="14"/>
  <c r="D46" i="14"/>
  <c r="C46" i="14"/>
  <c r="B46" i="14"/>
  <c r="A46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A45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A44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D6" i="14"/>
  <c r="AH13" i="16"/>
  <c r="AG13" i="16"/>
  <c r="AF13" i="16"/>
  <c r="AE13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R13" i="16"/>
  <c r="Q13" i="16"/>
  <c r="P13" i="16"/>
  <c r="O13" i="16"/>
  <c r="N13" i="16"/>
  <c r="M13" i="16"/>
  <c r="L13" i="16"/>
  <c r="K13" i="16"/>
  <c r="J13" i="16"/>
  <c r="I13" i="16"/>
  <c r="H13" i="16"/>
  <c r="G13" i="16"/>
  <c r="F13" i="16"/>
  <c r="E13" i="16"/>
  <c r="D13" i="16"/>
  <c r="C13" i="16"/>
  <c r="AG12" i="16"/>
  <c r="AF12" i="16"/>
  <c r="AE12" i="16"/>
  <c r="AD12" i="16"/>
  <c r="AC12" i="16"/>
  <c r="AB12" i="16"/>
  <c r="AA12" i="16"/>
  <c r="Z12" i="16"/>
  <c r="Y12" i="16"/>
  <c r="X12" i="16"/>
  <c r="W12" i="16"/>
  <c r="V12" i="16"/>
  <c r="U12" i="16"/>
  <c r="T12" i="16"/>
  <c r="S12" i="16"/>
  <c r="R12" i="16"/>
  <c r="Q12" i="16"/>
  <c r="P12" i="16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AH11" i="16"/>
  <c r="AG11" i="16"/>
  <c r="AF11" i="16"/>
  <c r="AE11" i="16"/>
  <c r="AD11" i="16"/>
  <c r="AC11" i="16"/>
  <c r="AB11" i="16"/>
  <c r="AA11" i="16"/>
  <c r="Z11" i="16"/>
  <c r="Y11" i="16"/>
  <c r="X11" i="16"/>
  <c r="W11" i="16"/>
  <c r="V11" i="16"/>
  <c r="U11" i="16"/>
  <c r="T11" i="16"/>
  <c r="S11" i="16"/>
  <c r="R11" i="16"/>
  <c r="Q11" i="16"/>
  <c r="P11" i="16"/>
  <c r="O11" i="16"/>
  <c r="N11" i="16"/>
  <c r="M11" i="16"/>
  <c r="L11" i="16"/>
  <c r="K11" i="16"/>
  <c r="J11" i="16"/>
  <c r="I11" i="16"/>
  <c r="H11" i="16"/>
  <c r="G11" i="16"/>
  <c r="F11" i="16"/>
  <c r="E11" i="16"/>
  <c r="D11" i="16"/>
  <c r="C11" i="16"/>
  <c r="AI10" i="16"/>
  <c r="AH10" i="16"/>
  <c r="AG10" i="16"/>
  <c r="AF10" i="16"/>
  <c r="AE10" i="16"/>
  <c r="AD10" i="16"/>
  <c r="AC10" i="16"/>
  <c r="AB10" i="16"/>
  <c r="AA10" i="16"/>
  <c r="Z10" i="16"/>
  <c r="Y10" i="16"/>
  <c r="X10" i="16"/>
  <c r="W10" i="16"/>
  <c r="V10" i="16"/>
  <c r="U10" i="16"/>
  <c r="T10" i="16"/>
  <c r="S10" i="16"/>
  <c r="R10" i="16"/>
  <c r="Q10" i="16"/>
  <c r="P10" i="16"/>
  <c r="O10" i="16"/>
  <c r="N10" i="16"/>
  <c r="M10" i="16"/>
  <c r="L10" i="16"/>
  <c r="K10" i="16"/>
  <c r="J10" i="16"/>
  <c r="I10" i="16"/>
  <c r="H10" i="16"/>
  <c r="G10" i="16"/>
  <c r="F10" i="16"/>
  <c r="E10" i="16"/>
  <c r="D10" i="16"/>
  <c r="C10" i="16"/>
  <c r="AG9" i="15"/>
  <c r="AF9" i="15"/>
  <c r="AE9" i="15"/>
  <c r="AD9" i="15"/>
  <c r="AC9" i="15"/>
  <c r="AB9" i="15"/>
  <c r="AA9" i="15"/>
  <c r="Z9" i="15"/>
  <c r="Y9" i="15"/>
  <c r="X9" i="15"/>
  <c r="W9" i="15"/>
  <c r="V9" i="15"/>
  <c r="U9" i="15"/>
  <c r="T9" i="15"/>
  <c r="S9" i="15"/>
  <c r="R9" i="15"/>
  <c r="Q9" i="15"/>
  <c r="P9" i="15"/>
  <c r="O9" i="15"/>
  <c r="N9" i="15"/>
  <c r="M9" i="15"/>
  <c r="L9" i="15"/>
  <c r="K9" i="15"/>
  <c r="J9" i="15"/>
  <c r="I9" i="15"/>
  <c r="H9" i="15"/>
  <c r="G9" i="15"/>
  <c r="F9" i="15"/>
  <c r="E9" i="15"/>
  <c r="D9" i="15"/>
  <c r="C9" i="15"/>
  <c r="B9" i="15"/>
  <c r="AG8" i="15"/>
  <c r="AG7" i="15"/>
  <c r="AG6" i="15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A73" i="20" s="1"/>
  <c r="AF14" i="16" s="1"/>
  <c r="AF15" i="16" s="1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Q70" i="20"/>
  <c r="P70" i="20"/>
  <c r="O70" i="20"/>
  <c r="N70" i="20"/>
  <c r="M70" i="20"/>
  <c r="L70" i="20"/>
  <c r="K70" i="20"/>
  <c r="J70" i="20"/>
  <c r="I70" i="20"/>
  <c r="H70" i="20"/>
  <c r="G70" i="20"/>
  <c r="F70" i="20"/>
  <c r="E70" i="20"/>
  <c r="D70" i="20"/>
  <c r="C70" i="20"/>
  <c r="B70" i="20"/>
  <c r="A70" i="20" s="1"/>
  <c r="AC14" i="16" s="1"/>
  <c r="AC15" i="16" s="1"/>
  <c r="Q69" i="20"/>
  <c r="P69" i="20"/>
  <c r="O69" i="20"/>
  <c r="N69" i="20"/>
  <c r="M69" i="20"/>
  <c r="L69" i="20"/>
  <c r="K69" i="20"/>
  <c r="J69" i="20"/>
  <c r="I69" i="20"/>
  <c r="H69" i="20"/>
  <c r="G69" i="20"/>
  <c r="F69" i="20"/>
  <c r="E69" i="20"/>
  <c r="D69" i="20"/>
  <c r="C69" i="20"/>
  <c r="B69" i="20"/>
  <c r="Q68" i="20"/>
  <c r="P68" i="20"/>
  <c r="O68" i="20"/>
  <c r="N68" i="20"/>
  <c r="M68" i="20"/>
  <c r="L68" i="20"/>
  <c r="K68" i="20"/>
  <c r="J68" i="20"/>
  <c r="I68" i="20"/>
  <c r="H68" i="20"/>
  <c r="G68" i="20"/>
  <c r="F68" i="20"/>
  <c r="E68" i="20"/>
  <c r="D68" i="20"/>
  <c r="C68" i="20"/>
  <c r="B68" i="20"/>
  <c r="Q67" i="20"/>
  <c r="P67" i="20"/>
  <c r="O67" i="20"/>
  <c r="N67" i="20"/>
  <c r="M67" i="20"/>
  <c r="L67" i="20"/>
  <c r="K67" i="20"/>
  <c r="J67" i="20"/>
  <c r="I67" i="20"/>
  <c r="H67" i="20"/>
  <c r="G67" i="20"/>
  <c r="F67" i="20"/>
  <c r="E67" i="20"/>
  <c r="D67" i="20"/>
  <c r="C67" i="20"/>
  <c r="B67" i="20"/>
  <c r="Q66" i="20"/>
  <c r="P66" i="20"/>
  <c r="O66" i="20"/>
  <c r="N66" i="20"/>
  <c r="M66" i="20"/>
  <c r="L66" i="20"/>
  <c r="K66" i="20"/>
  <c r="J66" i="20"/>
  <c r="I66" i="20"/>
  <c r="H66" i="20"/>
  <c r="G66" i="20"/>
  <c r="F66" i="20"/>
  <c r="E66" i="20"/>
  <c r="D66" i="20"/>
  <c r="C66" i="20"/>
  <c r="B66" i="20"/>
  <c r="Q65" i="20"/>
  <c r="P65" i="20"/>
  <c r="O65" i="20"/>
  <c r="N65" i="20"/>
  <c r="M65" i="20"/>
  <c r="L65" i="20"/>
  <c r="K65" i="20"/>
  <c r="J65" i="20"/>
  <c r="I65" i="20"/>
  <c r="H65" i="20"/>
  <c r="G65" i="20"/>
  <c r="F65" i="20"/>
  <c r="E65" i="20"/>
  <c r="D65" i="20"/>
  <c r="C65" i="20"/>
  <c r="B65" i="20"/>
  <c r="Q64" i="20"/>
  <c r="P64" i="20"/>
  <c r="O64" i="20"/>
  <c r="N64" i="20"/>
  <c r="M64" i="20"/>
  <c r="L64" i="20"/>
  <c r="K64" i="20"/>
  <c r="J64" i="20"/>
  <c r="I64" i="20"/>
  <c r="H64" i="20"/>
  <c r="G64" i="20"/>
  <c r="F64" i="20"/>
  <c r="E64" i="20"/>
  <c r="D64" i="20"/>
  <c r="C64" i="20"/>
  <c r="B64" i="20"/>
  <c r="A64" i="20" s="1"/>
  <c r="W14" i="16" s="1"/>
  <c r="W15" i="16" s="1"/>
  <c r="Q63" i="20"/>
  <c r="P63" i="20"/>
  <c r="O63" i="20"/>
  <c r="N63" i="20"/>
  <c r="M63" i="20"/>
  <c r="L63" i="20"/>
  <c r="K63" i="20"/>
  <c r="J63" i="20"/>
  <c r="I63" i="20"/>
  <c r="H63" i="20"/>
  <c r="G63" i="20"/>
  <c r="F63" i="20"/>
  <c r="E63" i="20"/>
  <c r="D63" i="20"/>
  <c r="C63" i="20"/>
  <c r="B63" i="20"/>
  <c r="Q62" i="20"/>
  <c r="P62" i="20"/>
  <c r="O62" i="20"/>
  <c r="N62" i="20"/>
  <c r="M62" i="20"/>
  <c r="L62" i="20"/>
  <c r="K62" i="20"/>
  <c r="J62" i="20"/>
  <c r="I62" i="20"/>
  <c r="H62" i="20"/>
  <c r="G62" i="20"/>
  <c r="F62" i="20"/>
  <c r="E62" i="20"/>
  <c r="D62" i="20"/>
  <c r="C62" i="20"/>
  <c r="B62" i="20"/>
  <c r="Q61" i="20"/>
  <c r="P61" i="20"/>
  <c r="O61" i="20"/>
  <c r="N61" i="20"/>
  <c r="M61" i="20"/>
  <c r="L61" i="20"/>
  <c r="K61" i="20"/>
  <c r="J61" i="20"/>
  <c r="I61" i="20"/>
  <c r="H61" i="20"/>
  <c r="G61" i="20"/>
  <c r="F61" i="20"/>
  <c r="E61" i="20"/>
  <c r="D61" i="20"/>
  <c r="C61" i="20"/>
  <c r="B61" i="20"/>
  <c r="A61" i="20" s="1"/>
  <c r="T14" i="16" s="1"/>
  <c r="T15" i="16" s="1"/>
  <c r="Q60" i="20"/>
  <c r="P60" i="20"/>
  <c r="O60" i="20"/>
  <c r="N60" i="20"/>
  <c r="M60" i="20"/>
  <c r="L60" i="20"/>
  <c r="K60" i="20"/>
  <c r="J60" i="20"/>
  <c r="I60" i="20"/>
  <c r="H60" i="20"/>
  <c r="G60" i="20"/>
  <c r="F60" i="20"/>
  <c r="E60" i="20"/>
  <c r="D60" i="20"/>
  <c r="C60" i="20"/>
  <c r="B60" i="20"/>
  <c r="Q59" i="20"/>
  <c r="P59" i="20"/>
  <c r="O59" i="20"/>
  <c r="N59" i="20"/>
  <c r="M59" i="20"/>
  <c r="L59" i="20"/>
  <c r="K59" i="20"/>
  <c r="J59" i="20"/>
  <c r="I59" i="20"/>
  <c r="H59" i="20"/>
  <c r="G59" i="20"/>
  <c r="F59" i="20"/>
  <c r="E59" i="20"/>
  <c r="D59" i="20"/>
  <c r="C59" i="20"/>
  <c r="B59" i="20"/>
  <c r="Q58" i="20"/>
  <c r="P58" i="20"/>
  <c r="O58" i="20"/>
  <c r="N58" i="20"/>
  <c r="M58" i="20"/>
  <c r="L58" i="20"/>
  <c r="K58" i="20"/>
  <c r="J58" i="20"/>
  <c r="I58" i="20"/>
  <c r="H58" i="20"/>
  <c r="G58" i="20"/>
  <c r="F58" i="20"/>
  <c r="E58" i="20"/>
  <c r="D58" i="20"/>
  <c r="C58" i="20"/>
  <c r="B58" i="20"/>
  <c r="A58" i="20" s="1"/>
  <c r="Q14" i="16" s="1"/>
  <c r="Q15" i="16" s="1"/>
  <c r="Q57" i="20"/>
  <c r="P57" i="20"/>
  <c r="O57" i="20"/>
  <c r="N57" i="20"/>
  <c r="M57" i="20"/>
  <c r="L57" i="20"/>
  <c r="K57" i="20"/>
  <c r="J57" i="20"/>
  <c r="I57" i="20"/>
  <c r="H57" i="20"/>
  <c r="G57" i="20"/>
  <c r="F57" i="20"/>
  <c r="E57" i="20"/>
  <c r="D57" i="20"/>
  <c r="C57" i="20"/>
  <c r="B57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A52" i="20" s="1"/>
  <c r="K14" i="16" s="1"/>
  <c r="K15" i="16" s="1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A51" i="20" s="1"/>
  <c r="J14" i="16" s="1"/>
  <c r="J15" i="16" s="1"/>
  <c r="B51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Q48" i="20"/>
  <c r="P48" i="20"/>
  <c r="O48" i="20"/>
  <c r="N48" i="20"/>
  <c r="M48" i="20"/>
  <c r="L48" i="20"/>
  <c r="K48" i="20"/>
  <c r="J48" i="20"/>
  <c r="I48" i="20"/>
  <c r="H48" i="20"/>
  <c r="G48" i="20"/>
  <c r="F48" i="20"/>
  <c r="E48" i="20"/>
  <c r="D48" i="20"/>
  <c r="C48" i="20"/>
  <c r="B48" i="20"/>
  <c r="Q47" i="20"/>
  <c r="P47" i="20"/>
  <c r="O47" i="20"/>
  <c r="N47" i="20"/>
  <c r="M47" i="20"/>
  <c r="L47" i="20"/>
  <c r="K47" i="20"/>
  <c r="J47" i="20"/>
  <c r="I47" i="20"/>
  <c r="H47" i="20"/>
  <c r="G47" i="20"/>
  <c r="F47" i="20"/>
  <c r="E47" i="20"/>
  <c r="D47" i="20"/>
  <c r="C47" i="20"/>
  <c r="B47" i="20"/>
  <c r="Q46" i="20"/>
  <c r="P46" i="20"/>
  <c r="O46" i="20"/>
  <c r="N46" i="20"/>
  <c r="M46" i="20"/>
  <c r="L46" i="20"/>
  <c r="K46" i="20"/>
  <c r="J46" i="20"/>
  <c r="I46" i="20"/>
  <c r="H46" i="20"/>
  <c r="G46" i="20"/>
  <c r="F46" i="20"/>
  <c r="E46" i="20"/>
  <c r="D46" i="20"/>
  <c r="C46" i="20"/>
  <c r="B46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Q44" i="20"/>
  <c r="P44" i="20"/>
  <c r="O44" i="20"/>
  <c r="N44" i="20"/>
  <c r="M44" i="20"/>
  <c r="L44" i="20"/>
  <c r="K44" i="20"/>
  <c r="K75" i="20" s="1"/>
  <c r="J44" i="20"/>
  <c r="I44" i="20"/>
  <c r="H44" i="20"/>
  <c r="G44" i="20"/>
  <c r="F44" i="20"/>
  <c r="E44" i="20"/>
  <c r="D44" i="20"/>
  <c r="C44" i="20"/>
  <c r="B44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Q36" i="10"/>
  <c r="M36" i="10"/>
  <c r="M34" i="10"/>
  <c r="M33" i="10"/>
  <c r="M32" i="10"/>
  <c r="M31" i="10"/>
  <c r="M30" i="10"/>
  <c r="M29" i="10"/>
  <c r="M28" i="10"/>
  <c r="M27" i="10"/>
  <c r="M26" i="10"/>
  <c r="M25" i="10"/>
  <c r="M24" i="10"/>
  <c r="M23" i="10"/>
  <c r="M22" i="10"/>
  <c r="M21" i="10"/>
  <c r="M20" i="10"/>
  <c r="M19" i="10"/>
  <c r="M18" i="10"/>
  <c r="M17" i="10"/>
  <c r="M16" i="10"/>
  <c r="M15" i="10"/>
  <c r="M14" i="10"/>
  <c r="M13" i="10"/>
  <c r="M12" i="10"/>
  <c r="M11" i="10"/>
  <c r="M10" i="10"/>
  <c r="M9" i="10"/>
  <c r="M8" i="10"/>
  <c r="M7" i="10"/>
  <c r="M6" i="10"/>
  <c r="M5" i="10"/>
  <c r="M4" i="10"/>
  <c r="AK79" i="9"/>
  <c r="AJ79" i="9"/>
  <c r="AI79" i="9"/>
  <c r="AH79" i="9"/>
  <c r="AG79" i="9"/>
  <c r="AF79" i="9"/>
  <c r="AE79" i="9"/>
  <c r="AD79" i="9"/>
  <c r="AC79" i="9"/>
  <c r="AB79" i="9"/>
  <c r="AA79" i="9"/>
  <c r="Z79" i="9"/>
  <c r="Y79" i="9"/>
  <c r="X79" i="9"/>
  <c r="W79" i="9"/>
  <c r="V79" i="9"/>
  <c r="U79" i="9"/>
  <c r="T79" i="9"/>
  <c r="S79" i="9"/>
  <c r="R79" i="9"/>
  <c r="Q79" i="9"/>
  <c r="P79" i="9"/>
  <c r="O79" i="9"/>
  <c r="N79" i="9"/>
  <c r="M79" i="9"/>
  <c r="L79" i="9"/>
  <c r="K79" i="9"/>
  <c r="J79" i="9"/>
  <c r="I79" i="9"/>
  <c r="H79" i="9"/>
  <c r="G79" i="9"/>
  <c r="F79" i="9"/>
  <c r="E79" i="9"/>
  <c r="D79" i="9"/>
  <c r="C79" i="9"/>
  <c r="B79" i="9"/>
  <c r="AK78" i="9"/>
  <c r="AJ78" i="9"/>
  <c r="AI78" i="9"/>
  <c r="AH78" i="9"/>
  <c r="AG78" i="9"/>
  <c r="AF78" i="9"/>
  <c r="AE78" i="9"/>
  <c r="AD78" i="9"/>
  <c r="AC78" i="9"/>
  <c r="AB78" i="9"/>
  <c r="AA78" i="9"/>
  <c r="Z78" i="9"/>
  <c r="Y78" i="9"/>
  <c r="X78" i="9"/>
  <c r="W78" i="9"/>
  <c r="V78" i="9"/>
  <c r="U78" i="9"/>
  <c r="T78" i="9"/>
  <c r="S78" i="9"/>
  <c r="R78" i="9"/>
  <c r="Q78" i="9"/>
  <c r="P78" i="9"/>
  <c r="O78" i="9"/>
  <c r="N78" i="9"/>
  <c r="M78" i="9"/>
  <c r="L78" i="9"/>
  <c r="K78" i="9"/>
  <c r="J78" i="9"/>
  <c r="I78" i="9"/>
  <c r="H78" i="9"/>
  <c r="G78" i="9"/>
  <c r="F78" i="9"/>
  <c r="E78" i="9"/>
  <c r="D78" i="9"/>
  <c r="C78" i="9"/>
  <c r="B78" i="9"/>
  <c r="AK77" i="9"/>
  <c r="AJ77" i="9"/>
  <c r="AI77" i="9"/>
  <c r="AH77" i="9"/>
  <c r="AG77" i="9"/>
  <c r="AF77" i="9"/>
  <c r="AE77" i="9"/>
  <c r="AD77" i="9"/>
  <c r="AC77" i="9"/>
  <c r="AB77" i="9"/>
  <c r="AA77" i="9"/>
  <c r="Z77" i="9"/>
  <c r="Y77" i="9"/>
  <c r="X77" i="9"/>
  <c r="W77" i="9"/>
  <c r="V77" i="9"/>
  <c r="U77" i="9"/>
  <c r="T77" i="9"/>
  <c r="S77" i="9"/>
  <c r="R77" i="9"/>
  <c r="Q77" i="9"/>
  <c r="P77" i="9"/>
  <c r="O77" i="9"/>
  <c r="N77" i="9"/>
  <c r="M77" i="9"/>
  <c r="L77" i="9"/>
  <c r="K77" i="9"/>
  <c r="J77" i="9"/>
  <c r="I77" i="9"/>
  <c r="H77" i="9"/>
  <c r="G77" i="9"/>
  <c r="F77" i="9"/>
  <c r="E77" i="9"/>
  <c r="D77" i="9"/>
  <c r="C77" i="9"/>
  <c r="B77" i="9"/>
  <c r="AK76" i="9"/>
  <c r="AJ76" i="9"/>
  <c r="AI76" i="9"/>
  <c r="AH76" i="9"/>
  <c r="AG76" i="9"/>
  <c r="AF76" i="9"/>
  <c r="AE76" i="9"/>
  <c r="AD76" i="9"/>
  <c r="AC76" i="9"/>
  <c r="AB76" i="9"/>
  <c r="AA76" i="9"/>
  <c r="Z76" i="9"/>
  <c r="Y76" i="9"/>
  <c r="X76" i="9"/>
  <c r="W76" i="9"/>
  <c r="V76" i="9"/>
  <c r="U76" i="9"/>
  <c r="T76" i="9"/>
  <c r="S76" i="9"/>
  <c r="R76" i="9"/>
  <c r="Q76" i="9"/>
  <c r="P76" i="9"/>
  <c r="O76" i="9"/>
  <c r="N76" i="9"/>
  <c r="M76" i="9"/>
  <c r="L76" i="9"/>
  <c r="K76" i="9"/>
  <c r="J76" i="9"/>
  <c r="I76" i="9"/>
  <c r="H76" i="9"/>
  <c r="G76" i="9"/>
  <c r="F76" i="9"/>
  <c r="E76" i="9"/>
  <c r="D76" i="9"/>
  <c r="C76" i="9"/>
  <c r="B76" i="9"/>
  <c r="AK75" i="9"/>
  <c r="AJ75" i="9"/>
  <c r="AI75" i="9"/>
  <c r="AH75" i="9"/>
  <c r="AG75" i="9"/>
  <c r="AF75" i="9"/>
  <c r="AE75" i="9"/>
  <c r="AD75" i="9"/>
  <c r="AC75" i="9"/>
  <c r="AB75" i="9"/>
  <c r="AA75" i="9"/>
  <c r="Z75" i="9"/>
  <c r="Y75" i="9"/>
  <c r="X75" i="9"/>
  <c r="W75" i="9"/>
  <c r="V75" i="9"/>
  <c r="U75" i="9"/>
  <c r="T75" i="9"/>
  <c r="S75" i="9"/>
  <c r="R75" i="9"/>
  <c r="Q75" i="9"/>
  <c r="P75" i="9"/>
  <c r="O75" i="9"/>
  <c r="N75" i="9"/>
  <c r="M75" i="9"/>
  <c r="L75" i="9"/>
  <c r="K75" i="9"/>
  <c r="J75" i="9"/>
  <c r="I75" i="9"/>
  <c r="H75" i="9"/>
  <c r="G75" i="9"/>
  <c r="F75" i="9"/>
  <c r="E75" i="9"/>
  <c r="D75" i="9"/>
  <c r="C75" i="9"/>
  <c r="B75" i="9"/>
  <c r="AK74" i="9"/>
  <c r="AJ74" i="9"/>
  <c r="AI74" i="9"/>
  <c r="AH74" i="9"/>
  <c r="AG74" i="9"/>
  <c r="AF74" i="9"/>
  <c r="AE74" i="9"/>
  <c r="AD74" i="9"/>
  <c r="AC74" i="9"/>
  <c r="AB74" i="9"/>
  <c r="AA74" i="9"/>
  <c r="Z74" i="9"/>
  <c r="Y74" i="9"/>
  <c r="X74" i="9"/>
  <c r="W74" i="9"/>
  <c r="V74" i="9"/>
  <c r="U74" i="9"/>
  <c r="T74" i="9"/>
  <c r="S74" i="9"/>
  <c r="R74" i="9"/>
  <c r="Q74" i="9"/>
  <c r="P74" i="9"/>
  <c r="O74" i="9"/>
  <c r="N74" i="9"/>
  <c r="M74" i="9"/>
  <c r="L74" i="9"/>
  <c r="K74" i="9"/>
  <c r="J74" i="9"/>
  <c r="I74" i="9"/>
  <c r="H74" i="9"/>
  <c r="G74" i="9"/>
  <c r="F74" i="9"/>
  <c r="E74" i="9"/>
  <c r="D74" i="9"/>
  <c r="C74" i="9"/>
  <c r="B74" i="9"/>
  <c r="AK73" i="9"/>
  <c r="AJ73" i="9"/>
  <c r="AI73" i="9"/>
  <c r="AH73" i="9"/>
  <c r="AG73" i="9"/>
  <c r="AF73" i="9"/>
  <c r="AE73" i="9"/>
  <c r="AD73" i="9"/>
  <c r="AC73" i="9"/>
  <c r="AB73" i="9"/>
  <c r="AA73" i="9"/>
  <c r="Z73" i="9"/>
  <c r="Y73" i="9"/>
  <c r="X73" i="9"/>
  <c r="W73" i="9"/>
  <c r="V73" i="9"/>
  <c r="U73" i="9"/>
  <c r="T73" i="9"/>
  <c r="S73" i="9"/>
  <c r="R73" i="9"/>
  <c r="Q73" i="9"/>
  <c r="P73" i="9"/>
  <c r="O73" i="9"/>
  <c r="N73" i="9"/>
  <c r="M73" i="9"/>
  <c r="L73" i="9"/>
  <c r="K73" i="9"/>
  <c r="J73" i="9"/>
  <c r="I73" i="9"/>
  <c r="H73" i="9"/>
  <c r="G73" i="9"/>
  <c r="F73" i="9"/>
  <c r="E73" i="9"/>
  <c r="D73" i="9"/>
  <c r="C73" i="9"/>
  <c r="B73" i="9"/>
  <c r="AK72" i="9"/>
  <c r="AJ72" i="9"/>
  <c r="AI72" i="9"/>
  <c r="AH72" i="9"/>
  <c r="AG72" i="9"/>
  <c r="AF72" i="9"/>
  <c r="AE72" i="9"/>
  <c r="AD72" i="9"/>
  <c r="AC72" i="9"/>
  <c r="AB72" i="9"/>
  <c r="AA72" i="9"/>
  <c r="Z72" i="9"/>
  <c r="Y72" i="9"/>
  <c r="X72" i="9"/>
  <c r="W72" i="9"/>
  <c r="V72" i="9"/>
  <c r="U72" i="9"/>
  <c r="T72" i="9"/>
  <c r="S72" i="9"/>
  <c r="R72" i="9"/>
  <c r="Q72" i="9"/>
  <c r="P72" i="9"/>
  <c r="O72" i="9"/>
  <c r="N72" i="9"/>
  <c r="M72" i="9"/>
  <c r="L72" i="9"/>
  <c r="K72" i="9"/>
  <c r="J72" i="9"/>
  <c r="I72" i="9"/>
  <c r="H72" i="9"/>
  <c r="G72" i="9"/>
  <c r="F72" i="9"/>
  <c r="E72" i="9"/>
  <c r="D72" i="9"/>
  <c r="C72" i="9"/>
  <c r="B72" i="9"/>
  <c r="AK71" i="9"/>
  <c r="AJ71" i="9"/>
  <c r="AI71" i="9"/>
  <c r="AH71" i="9"/>
  <c r="AG71" i="9"/>
  <c r="AF71" i="9"/>
  <c r="AE71" i="9"/>
  <c r="AD71" i="9"/>
  <c r="AC71" i="9"/>
  <c r="AB71" i="9"/>
  <c r="AA71" i="9"/>
  <c r="Z71" i="9"/>
  <c r="Y71" i="9"/>
  <c r="X71" i="9"/>
  <c r="W71" i="9"/>
  <c r="V71" i="9"/>
  <c r="U71" i="9"/>
  <c r="T71" i="9"/>
  <c r="S71" i="9"/>
  <c r="R71" i="9"/>
  <c r="Q71" i="9"/>
  <c r="P71" i="9"/>
  <c r="O71" i="9"/>
  <c r="N71" i="9"/>
  <c r="M71" i="9"/>
  <c r="L71" i="9"/>
  <c r="K71" i="9"/>
  <c r="J71" i="9"/>
  <c r="I71" i="9"/>
  <c r="H71" i="9"/>
  <c r="G71" i="9"/>
  <c r="F71" i="9"/>
  <c r="E71" i="9"/>
  <c r="D71" i="9"/>
  <c r="C71" i="9"/>
  <c r="B71" i="9"/>
  <c r="AK70" i="9"/>
  <c r="AJ70" i="9"/>
  <c r="AI70" i="9"/>
  <c r="AH70" i="9"/>
  <c r="AG70" i="9"/>
  <c r="AF70" i="9"/>
  <c r="AE70" i="9"/>
  <c r="AD70" i="9"/>
  <c r="AC70" i="9"/>
  <c r="AB70" i="9"/>
  <c r="AA70" i="9"/>
  <c r="Z70" i="9"/>
  <c r="Y70" i="9"/>
  <c r="X70" i="9"/>
  <c r="W70" i="9"/>
  <c r="V70" i="9"/>
  <c r="U70" i="9"/>
  <c r="T70" i="9"/>
  <c r="S70" i="9"/>
  <c r="R70" i="9"/>
  <c r="Q70" i="9"/>
  <c r="P70" i="9"/>
  <c r="O70" i="9"/>
  <c r="N70" i="9"/>
  <c r="M70" i="9"/>
  <c r="L70" i="9"/>
  <c r="K70" i="9"/>
  <c r="J70" i="9"/>
  <c r="I70" i="9"/>
  <c r="H70" i="9"/>
  <c r="G70" i="9"/>
  <c r="F70" i="9"/>
  <c r="E70" i="9"/>
  <c r="D70" i="9"/>
  <c r="C70" i="9"/>
  <c r="B70" i="9"/>
  <c r="AK69" i="9"/>
  <c r="AJ69" i="9"/>
  <c r="AI69" i="9"/>
  <c r="AH69" i="9"/>
  <c r="AG69" i="9"/>
  <c r="AF69" i="9"/>
  <c r="AE69" i="9"/>
  <c r="AD69" i="9"/>
  <c r="AC69" i="9"/>
  <c r="AB69" i="9"/>
  <c r="AA69" i="9"/>
  <c r="Z69" i="9"/>
  <c r="Y69" i="9"/>
  <c r="X69" i="9"/>
  <c r="W69" i="9"/>
  <c r="V69" i="9"/>
  <c r="U69" i="9"/>
  <c r="T69" i="9"/>
  <c r="S69" i="9"/>
  <c r="R69" i="9"/>
  <c r="Q69" i="9"/>
  <c r="P69" i="9"/>
  <c r="O69" i="9"/>
  <c r="N69" i="9"/>
  <c r="M69" i="9"/>
  <c r="L69" i="9"/>
  <c r="K69" i="9"/>
  <c r="J69" i="9"/>
  <c r="I69" i="9"/>
  <c r="H69" i="9"/>
  <c r="G69" i="9"/>
  <c r="F69" i="9"/>
  <c r="E69" i="9"/>
  <c r="D69" i="9"/>
  <c r="C69" i="9"/>
  <c r="B69" i="9"/>
  <c r="AK68" i="9"/>
  <c r="AJ68" i="9"/>
  <c r="AI68" i="9"/>
  <c r="AH68" i="9"/>
  <c r="AG68" i="9"/>
  <c r="AF68" i="9"/>
  <c r="AE68" i="9"/>
  <c r="AD68" i="9"/>
  <c r="AC68" i="9"/>
  <c r="AB68" i="9"/>
  <c r="AA68" i="9"/>
  <c r="Z68" i="9"/>
  <c r="Y68" i="9"/>
  <c r="X68" i="9"/>
  <c r="W68" i="9"/>
  <c r="V68" i="9"/>
  <c r="U68" i="9"/>
  <c r="T68" i="9"/>
  <c r="S68" i="9"/>
  <c r="R68" i="9"/>
  <c r="Q68" i="9"/>
  <c r="P68" i="9"/>
  <c r="O68" i="9"/>
  <c r="N68" i="9"/>
  <c r="M68" i="9"/>
  <c r="L68" i="9"/>
  <c r="K68" i="9"/>
  <c r="J68" i="9"/>
  <c r="I68" i="9"/>
  <c r="H68" i="9"/>
  <c r="G68" i="9"/>
  <c r="F68" i="9"/>
  <c r="E68" i="9"/>
  <c r="D68" i="9"/>
  <c r="C68" i="9"/>
  <c r="B68" i="9"/>
  <c r="AK67" i="9"/>
  <c r="AJ67" i="9"/>
  <c r="AI67" i="9"/>
  <c r="AH67" i="9"/>
  <c r="AG67" i="9"/>
  <c r="AF67" i="9"/>
  <c r="AE67" i="9"/>
  <c r="AD67" i="9"/>
  <c r="AC67" i="9"/>
  <c r="AB67" i="9"/>
  <c r="AA67" i="9"/>
  <c r="Z67" i="9"/>
  <c r="Y67" i="9"/>
  <c r="X67" i="9"/>
  <c r="W67" i="9"/>
  <c r="V67" i="9"/>
  <c r="U67" i="9"/>
  <c r="T67" i="9"/>
  <c r="S67" i="9"/>
  <c r="R67" i="9"/>
  <c r="Q67" i="9"/>
  <c r="P67" i="9"/>
  <c r="O67" i="9"/>
  <c r="N67" i="9"/>
  <c r="M67" i="9"/>
  <c r="L67" i="9"/>
  <c r="K67" i="9"/>
  <c r="J67" i="9"/>
  <c r="I67" i="9"/>
  <c r="H67" i="9"/>
  <c r="G67" i="9"/>
  <c r="F67" i="9"/>
  <c r="E67" i="9"/>
  <c r="D67" i="9"/>
  <c r="C67" i="9"/>
  <c r="B67" i="9"/>
  <c r="AK66" i="9"/>
  <c r="AJ66" i="9"/>
  <c r="AI66" i="9"/>
  <c r="AH66" i="9"/>
  <c r="AG66" i="9"/>
  <c r="AF66" i="9"/>
  <c r="AE66" i="9"/>
  <c r="AD66" i="9"/>
  <c r="AC66" i="9"/>
  <c r="AB66" i="9"/>
  <c r="AA66" i="9"/>
  <c r="Z66" i="9"/>
  <c r="Y66" i="9"/>
  <c r="X66" i="9"/>
  <c r="W66" i="9"/>
  <c r="V66" i="9"/>
  <c r="U66" i="9"/>
  <c r="T66" i="9"/>
  <c r="S66" i="9"/>
  <c r="R66" i="9"/>
  <c r="Q66" i="9"/>
  <c r="P66" i="9"/>
  <c r="O66" i="9"/>
  <c r="N66" i="9"/>
  <c r="M66" i="9"/>
  <c r="L66" i="9"/>
  <c r="K66" i="9"/>
  <c r="J66" i="9"/>
  <c r="I66" i="9"/>
  <c r="H66" i="9"/>
  <c r="G66" i="9"/>
  <c r="F66" i="9"/>
  <c r="E66" i="9"/>
  <c r="D66" i="9"/>
  <c r="C66" i="9"/>
  <c r="B66" i="9"/>
  <c r="AK65" i="9"/>
  <c r="AJ65" i="9"/>
  <c r="AI65" i="9"/>
  <c r="AH65" i="9"/>
  <c r="AG65" i="9"/>
  <c r="AF65" i="9"/>
  <c r="AE65" i="9"/>
  <c r="AD65" i="9"/>
  <c r="AC65" i="9"/>
  <c r="AB65" i="9"/>
  <c r="AA65" i="9"/>
  <c r="Z65" i="9"/>
  <c r="Y65" i="9"/>
  <c r="X65" i="9"/>
  <c r="W65" i="9"/>
  <c r="V65" i="9"/>
  <c r="U65" i="9"/>
  <c r="T65" i="9"/>
  <c r="S65" i="9"/>
  <c r="R65" i="9"/>
  <c r="Q65" i="9"/>
  <c r="P65" i="9"/>
  <c r="O65" i="9"/>
  <c r="N65" i="9"/>
  <c r="M65" i="9"/>
  <c r="L65" i="9"/>
  <c r="K65" i="9"/>
  <c r="J65" i="9"/>
  <c r="I65" i="9"/>
  <c r="H65" i="9"/>
  <c r="G65" i="9"/>
  <c r="F65" i="9"/>
  <c r="E65" i="9"/>
  <c r="D65" i="9"/>
  <c r="C65" i="9"/>
  <c r="B65" i="9"/>
  <c r="AK64" i="9"/>
  <c r="AJ64" i="9"/>
  <c r="AI64" i="9"/>
  <c r="AH64" i="9"/>
  <c r="AG64" i="9"/>
  <c r="AF64" i="9"/>
  <c r="AE64" i="9"/>
  <c r="AD64" i="9"/>
  <c r="AC64" i="9"/>
  <c r="AB64" i="9"/>
  <c r="AA64" i="9"/>
  <c r="Z64" i="9"/>
  <c r="Y64" i="9"/>
  <c r="X64" i="9"/>
  <c r="W64" i="9"/>
  <c r="V64" i="9"/>
  <c r="U64" i="9"/>
  <c r="T64" i="9"/>
  <c r="S64" i="9"/>
  <c r="R64" i="9"/>
  <c r="Q64" i="9"/>
  <c r="P64" i="9"/>
  <c r="O64" i="9"/>
  <c r="N64" i="9"/>
  <c r="M64" i="9"/>
  <c r="L64" i="9"/>
  <c r="K64" i="9"/>
  <c r="J64" i="9"/>
  <c r="I64" i="9"/>
  <c r="H64" i="9"/>
  <c r="G64" i="9"/>
  <c r="F64" i="9"/>
  <c r="E64" i="9"/>
  <c r="D64" i="9"/>
  <c r="C64" i="9"/>
  <c r="B64" i="9"/>
  <c r="AK63" i="9"/>
  <c r="AJ63" i="9"/>
  <c r="AI63" i="9"/>
  <c r="AH63" i="9"/>
  <c r="AG63" i="9"/>
  <c r="AF63" i="9"/>
  <c r="AE63" i="9"/>
  <c r="AD63" i="9"/>
  <c r="AC63" i="9"/>
  <c r="AB63" i="9"/>
  <c r="AA63" i="9"/>
  <c r="Z63" i="9"/>
  <c r="Y63" i="9"/>
  <c r="X63" i="9"/>
  <c r="W63" i="9"/>
  <c r="V63" i="9"/>
  <c r="U63" i="9"/>
  <c r="T63" i="9"/>
  <c r="S63" i="9"/>
  <c r="R63" i="9"/>
  <c r="Q63" i="9"/>
  <c r="P63" i="9"/>
  <c r="O63" i="9"/>
  <c r="N63" i="9"/>
  <c r="M63" i="9"/>
  <c r="L63" i="9"/>
  <c r="K63" i="9"/>
  <c r="J63" i="9"/>
  <c r="I63" i="9"/>
  <c r="H63" i="9"/>
  <c r="G63" i="9"/>
  <c r="F63" i="9"/>
  <c r="E63" i="9"/>
  <c r="D63" i="9"/>
  <c r="C63" i="9"/>
  <c r="B63" i="9"/>
  <c r="AK62" i="9"/>
  <c r="AJ62" i="9"/>
  <c r="AI62" i="9"/>
  <c r="AH62" i="9"/>
  <c r="AG62" i="9"/>
  <c r="AF62" i="9"/>
  <c r="AE62" i="9"/>
  <c r="AD62" i="9"/>
  <c r="AC62" i="9"/>
  <c r="AB62" i="9"/>
  <c r="AA62" i="9"/>
  <c r="Z62" i="9"/>
  <c r="Y62" i="9"/>
  <c r="X62" i="9"/>
  <c r="W62" i="9"/>
  <c r="V62" i="9"/>
  <c r="U62" i="9"/>
  <c r="T62" i="9"/>
  <c r="S62" i="9"/>
  <c r="R62" i="9"/>
  <c r="Q62" i="9"/>
  <c r="P62" i="9"/>
  <c r="O62" i="9"/>
  <c r="N62" i="9"/>
  <c r="M62" i="9"/>
  <c r="L62" i="9"/>
  <c r="K62" i="9"/>
  <c r="J62" i="9"/>
  <c r="I62" i="9"/>
  <c r="H62" i="9"/>
  <c r="G62" i="9"/>
  <c r="F62" i="9"/>
  <c r="E62" i="9"/>
  <c r="D62" i="9"/>
  <c r="C62" i="9"/>
  <c r="B62" i="9"/>
  <c r="AK61" i="9"/>
  <c r="AJ61" i="9"/>
  <c r="AI61" i="9"/>
  <c r="AH61" i="9"/>
  <c r="AG61" i="9"/>
  <c r="AF61" i="9"/>
  <c r="AE61" i="9"/>
  <c r="AD61" i="9"/>
  <c r="AC61" i="9"/>
  <c r="AB61" i="9"/>
  <c r="AA61" i="9"/>
  <c r="Z61" i="9"/>
  <c r="Y61" i="9"/>
  <c r="X61" i="9"/>
  <c r="W61" i="9"/>
  <c r="V61" i="9"/>
  <c r="U61" i="9"/>
  <c r="T61" i="9"/>
  <c r="S61" i="9"/>
  <c r="R61" i="9"/>
  <c r="Q61" i="9"/>
  <c r="P61" i="9"/>
  <c r="O61" i="9"/>
  <c r="N61" i="9"/>
  <c r="M61" i="9"/>
  <c r="L61" i="9"/>
  <c r="K61" i="9"/>
  <c r="J61" i="9"/>
  <c r="I61" i="9"/>
  <c r="H61" i="9"/>
  <c r="G61" i="9"/>
  <c r="F61" i="9"/>
  <c r="E61" i="9"/>
  <c r="D61" i="9"/>
  <c r="C61" i="9"/>
  <c r="B61" i="9"/>
  <c r="AK60" i="9"/>
  <c r="AJ60" i="9"/>
  <c r="AI60" i="9"/>
  <c r="AH60" i="9"/>
  <c r="AG60" i="9"/>
  <c r="AF60" i="9"/>
  <c r="AE60" i="9"/>
  <c r="AD60" i="9"/>
  <c r="AC60" i="9"/>
  <c r="AB60" i="9"/>
  <c r="AA60" i="9"/>
  <c r="Z60" i="9"/>
  <c r="Y60" i="9"/>
  <c r="X60" i="9"/>
  <c r="W60" i="9"/>
  <c r="V60" i="9"/>
  <c r="U60" i="9"/>
  <c r="T60" i="9"/>
  <c r="S60" i="9"/>
  <c r="R60" i="9"/>
  <c r="Q60" i="9"/>
  <c r="P60" i="9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0" i="9"/>
  <c r="AK59" i="9"/>
  <c r="AJ59" i="9"/>
  <c r="AI59" i="9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H59" i="9"/>
  <c r="G59" i="9"/>
  <c r="F59" i="9"/>
  <c r="E59" i="9"/>
  <c r="D59" i="9"/>
  <c r="C59" i="9"/>
  <c r="B59" i="9"/>
  <c r="AK58" i="9"/>
  <c r="AJ58" i="9"/>
  <c r="AI58" i="9"/>
  <c r="AH58" i="9"/>
  <c r="AG58" i="9"/>
  <c r="AF58" i="9"/>
  <c r="AE58" i="9"/>
  <c r="AD58" i="9"/>
  <c r="AC58" i="9"/>
  <c r="AB58" i="9"/>
  <c r="AA58" i="9"/>
  <c r="Z58" i="9"/>
  <c r="Y58" i="9"/>
  <c r="X58" i="9"/>
  <c r="W58" i="9"/>
  <c r="V58" i="9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C58" i="9"/>
  <c r="B58" i="9"/>
  <c r="AK57" i="9"/>
  <c r="AJ57" i="9"/>
  <c r="AI57" i="9"/>
  <c r="AH57" i="9"/>
  <c r="AG57" i="9"/>
  <c r="AF57" i="9"/>
  <c r="AE57" i="9"/>
  <c r="AD57" i="9"/>
  <c r="AC57" i="9"/>
  <c r="AB57" i="9"/>
  <c r="AA57" i="9"/>
  <c r="Z57" i="9"/>
  <c r="Y57" i="9"/>
  <c r="X57" i="9"/>
  <c r="W57" i="9"/>
  <c r="V57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C57" i="9"/>
  <c r="B57" i="9"/>
  <c r="AK56" i="9"/>
  <c r="AJ56" i="9"/>
  <c r="AI56" i="9"/>
  <c r="AH56" i="9"/>
  <c r="AG56" i="9"/>
  <c r="AF56" i="9"/>
  <c r="AE56" i="9"/>
  <c r="AD56" i="9"/>
  <c r="AC56" i="9"/>
  <c r="AB56" i="9"/>
  <c r="AA56" i="9"/>
  <c r="Z56" i="9"/>
  <c r="Y56" i="9"/>
  <c r="X56" i="9"/>
  <c r="W56" i="9"/>
  <c r="V56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C56" i="9"/>
  <c r="B56" i="9"/>
  <c r="AK55" i="9"/>
  <c r="AJ55" i="9"/>
  <c r="AI55" i="9"/>
  <c r="AH55" i="9"/>
  <c r="AG55" i="9"/>
  <c r="AF55" i="9"/>
  <c r="AE55" i="9"/>
  <c r="AD55" i="9"/>
  <c r="AC55" i="9"/>
  <c r="AB55" i="9"/>
  <c r="AA55" i="9"/>
  <c r="Z55" i="9"/>
  <c r="Y55" i="9"/>
  <c r="X55" i="9"/>
  <c r="W55" i="9"/>
  <c r="V55" i="9"/>
  <c r="U55" i="9"/>
  <c r="T55" i="9"/>
  <c r="S55" i="9"/>
  <c r="R55" i="9"/>
  <c r="Q55" i="9"/>
  <c r="P55" i="9"/>
  <c r="O55" i="9"/>
  <c r="N55" i="9"/>
  <c r="M55" i="9"/>
  <c r="L55" i="9"/>
  <c r="K55" i="9"/>
  <c r="J55" i="9"/>
  <c r="I55" i="9"/>
  <c r="H55" i="9"/>
  <c r="G55" i="9"/>
  <c r="F55" i="9"/>
  <c r="E55" i="9"/>
  <c r="D55" i="9"/>
  <c r="C55" i="9"/>
  <c r="B55" i="9"/>
  <c r="AK54" i="9"/>
  <c r="AJ54" i="9"/>
  <c r="AI54" i="9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B54" i="9"/>
  <c r="AK53" i="9"/>
  <c r="AJ53" i="9"/>
  <c r="AI53" i="9"/>
  <c r="AH53" i="9"/>
  <c r="AG53" i="9"/>
  <c r="AF53" i="9"/>
  <c r="AE53" i="9"/>
  <c r="AD53" i="9"/>
  <c r="AC53" i="9"/>
  <c r="AB53" i="9"/>
  <c r="AA53" i="9"/>
  <c r="Z53" i="9"/>
  <c r="Y53" i="9"/>
  <c r="X53" i="9"/>
  <c r="W53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B53" i="9"/>
  <c r="AK52" i="9"/>
  <c r="AJ52" i="9"/>
  <c r="AI52" i="9"/>
  <c r="AH52" i="9"/>
  <c r="AG52" i="9"/>
  <c r="AF52" i="9"/>
  <c r="AE52" i="9"/>
  <c r="AD52" i="9"/>
  <c r="AC52" i="9"/>
  <c r="AB52" i="9"/>
  <c r="AA52" i="9"/>
  <c r="Z52" i="9"/>
  <c r="Y52" i="9"/>
  <c r="X52" i="9"/>
  <c r="W52" i="9"/>
  <c r="V52" i="9"/>
  <c r="U52" i="9"/>
  <c r="T52" i="9"/>
  <c r="S52" i="9"/>
  <c r="R52" i="9"/>
  <c r="Q52" i="9"/>
  <c r="P52" i="9"/>
  <c r="O52" i="9"/>
  <c r="N52" i="9"/>
  <c r="M52" i="9"/>
  <c r="L52" i="9"/>
  <c r="K52" i="9"/>
  <c r="J52" i="9"/>
  <c r="I52" i="9"/>
  <c r="H52" i="9"/>
  <c r="G52" i="9"/>
  <c r="F52" i="9"/>
  <c r="E52" i="9"/>
  <c r="D52" i="9"/>
  <c r="C52" i="9"/>
  <c r="B52" i="9"/>
  <c r="AK51" i="9"/>
  <c r="AJ51" i="9"/>
  <c r="AI51" i="9"/>
  <c r="AH51" i="9"/>
  <c r="AG51" i="9"/>
  <c r="AF51" i="9"/>
  <c r="AE51" i="9"/>
  <c r="AD51" i="9"/>
  <c r="AC51" i="9"/>
  <c r="AB51" i="9"/>
  <c r="AA51" i="9"/>
  <c r="Z51" i="9"/>
  <c r="Y51" i="9"/>
  <c r="X51" i="9"/>
  <c r="W51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B51" i="9"/>
  <c r="AK50" i="9"/>
  <c r="AJ50" i="9"/>
  <c r="AI50" i="9"/>
  <c r="AH50" i="9"/>
  <c r="AG50" i="9"/>
  <c r="AF50" i="9"/>
  <c r="AE50" i="9"/>
  <c r="AD50" i="9"/>
  <c r="AC50" i="9"/>
  <c r="AB50" i="9"/>
  <c r="AA50" i="9"/>
  <c r="Z50" i="9"/>
  <c r="Y50" i="9"/>
  <c r="X50" i="9"/>
  <c r="W50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B50" i="9"/>
  <c r="AK49" i="9"/>
  <c r="AJ49" i="9"/>
  <c r="AI49" i="9"/>
  <c r="AH49" i="9"/>
  <c r="AG49" i="9"/>
  <c r="AF49" i="9"/>
  <c r="AE49" i="9"/>
  <c r="AD49" i="9"/>
  <c r="AC49" i="9"/>
  <c r="AB49" i="9"/>
  <c r="AA49" i="9"/>
  <c r="Z49" i="9"/>
  <c r="Y49" i="9"/>
  <c r="X49" i="9"/>
  <c r="W49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B49" i="9"/>
  <c r="AK48" i="9"/>
  <c r="AJ48" i="9"/>
  <c r="AI48" i="9"/>
  <c r="AH48" i="9"/>
  <c r="AG48" i="9"/>
  <c r="AF48" i="9"/>
  <c r="AE48" i="9"/>
  <c r="AD48" i="9"/>
  <c r="AC48" i="9"/>
  <c r="AB48" i="9"/>
  <c r="AA48" i="9"/>
  <c r="Z48" i="9"/>
  <c r="Y48" i="9"/>
  <c r="X48" i="9"/>
  <c r="W48" i="9"/>
  <c r="V48" i="9"/>
  <c r="U48" i="9"/>
  <c r="T48" i="9"/>
  <c r="S48" i="9"/>
  <c r="R48" i="9"/>
  <c r="Q48" i="9"/>
  <c r="P48" i="9"/>
  <c r="O48" i="9"/>
  <c r="N48" i="9"/>
  <c r="M48" i="9"/>
  <c r="L48" i="9"/>
  <c r="K48" i="9"/>
  <c r="J48" i="9"/>
  <c r="I48" i="9"/>
  <c r="H48" i="9"/>
  <c r="G48" i="9"/>
  <c r="F48" i="9"/>
  <c r="E48" i="9"/>
  <c r="D48" i="9"/>
  <c r="C48" i="9"/>
  <c r="B48" i="9"/>
  <c r="M42" i="9"/>
  <c r="AA41" i="9"/>
  <c r="M40" i="9"/>
  <c r="AA39" i="9"/>
  <c r="M39" i="9"/>
  <c r="M38" i="9"/>
  <c r="AA37" i="9"/>
  <c r="AK35" i="9"/>
  <c r="AJ35" i="9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D35" i="9"/>
  <c r="C35" i="9"/>
  <c r="B35" i="9"/>
  <c r="AK34" i="9"/>
  <c r="AJ34" i="9"/>
  <c r="AI34" i="9"/>
  <c r="AH34" i="9"/>
  <c r="AG34" i="9"/>
  <c r="AF34" i="9"/>
  <c r="AE34" i="9"/>
  <c r="AD34" i="9"/>
  <c r="AC34" i="9"/>
  <c r="AB34" i="9"/>
  <c r="AA34" i="9"/>
  <c r="Z34" i="9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K34" i="9"/>
  <c r="J34" i="9"/>
  <c r="I34" i="9"/>
  <c r="H34" i="9"/>
  <c r="G34" i="9"/>
  <c r="F34" i="9"/>
  <c r="E34" i="9"/>
  <c r="D34" i="9"/>
  <c r="C34" i="9"/>
  <c r="B34" i="9"/>
  <c r="AK33" i="9"/>
  <c r="AJ33" i="9"/>
  <c r="AI33" i="9"/>
  <c r="AH33" i="9"/>
  <c r="AG33" i="9"/>
  <c r="AF33" i="9"/>
  <c r="AE33" i="9"/>
  <c r="AD33" i="9"/>
  <c r="AC33" i="9"/>
  <c r="AB33" i="9"/>
  <c r="AA33" i="9"/>
  <c r="Z33" i="9"/>
  <c r="Y33" i="9"/>
  <c r="X33" i="9"/>
  <c r="W33" i="9"/>
  <c r="V33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C33" i="9"/>
  <c r="B33" i="9"/>
  <c r="AK32" i="9"/>
  <c r="AJ32" i="9"/>
  <c r="AI32" i="9"/>
  <c r="AH32" i="9"/>
  <c r="AG32" i="9"/>
  <c r="AF32" i="9"/>
  <c r="AE32" i="9"/>
  <c r="AD32" i="9"/>
  <c r="AC32" i="9"/>
  <c r="AB32" i="9"/>
  <c r="AA32" i="9"/>
  <c r="Z32" i="9"/>
  <c r="Y32" i="9"/>
  <c r="X32" i="9"/>
  <c r="W32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B32" i="9"/>
  <c r="AK31" i="9"/>
  <c r="AJ31" i="9"/>
  <c r="AI31" i="9"/>
  <c r="AH31" i="9"/>
  <c r="AG31" i="9"/>
  <c r="AF31" i="9"/>
  <c r="AE31" i="9"/>
  <c r="AD31" i="9"/>
  <c r="AC31" i="9"/>
  <c r="AB31" i="9"/>
  <c r="AA31" i="9"/>
  <c r="Z31" i="9"/>
  <c r="Y31" i="9"/>
  <c r="X31" i="9"/>
  <c r="W31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B31" i="9"/>
  <c r="AK30" i="9"/>
  <c r="AJ30" i="9"/>
  <c r="AI30" i="9"/>
  <c r="AH30" i="9"/>
  <c r="AG30" i="9"/>
  <c r="AF30" i="9"/>
  <c r="AE30" i="9"/>
  <c r="AD30" i="9"/>
  <c r="AC30" i="9"/>
  <c r="AB30" i="9"/>
  <c r="AA30" i="9"/>
  <c r="Z30" i="9"/>
  <c r="Y30" i="9"/>
  <c r="X30" i="9"/>
  <c r="W30" i="9"/>
  <c r="V30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C30" i="9"/>
  <c r="B30" i="9"/>
  <c r="AK29" i="9"/>
  <c r="AJ29" i="9"/>
  <c r="AI29" i="9"/>
  <c r="AH29" i="9"/>
  <c r="AG29" i="9"/>
  <c r="AF29" i="9"/>
  <c r="AE29" i="9"/>
  <c r="AD29" i="9"/>
  <c r="AC29" i="9"/>
  <c r="AB29" i="9"/>
  <c r="AA29" i="9"/>
  <c r="Z29" i="9"/>
  <c r="Y29" i="9"/>
  <c r="X29" i="9"/>
  <c r="W29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B29" i="9"/>
  <c r="AK28" i="9"/>
  <c r="AJ28" i="9"/>
  <c r="AI28" i="9"/>
  <c r="AH28" i="9"/>
  <c r="AG28" i="9"/>
  <c r="AF28" i="9"/>
  <c r="AE28" i="9"/>
  <c r="AD28" i="9"/>
  <c r="AC28" i="9"/>
  <c r="AB28" i="9"/>
  <c r="AA28" i="9"/>
  <c r="Z28" i="9"/>
  <c r="Y28" i="9"/>
  <c r="X28" i="9"/>
  <c r="W28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B28" i="9"/>
  <c r="AK27" i="9"/>
  <c r="AJ27" i="9"/>
  <c r="AI27" i="9"/>
  <c r="AH27" i="9"/>
  <c r="AG27" i="9"/>
  <c r="AF27" i="9"/>
  <c r="AE27" i="9"/>
  <c r="AD27" i="9"/>
  <c r="AC27" i="9"/>
  <c r="AB27" i="9"/>
  <c r="AA27" i="9"/>
  <c r="Z27" i="9"/>
  <c r="Y27" i="9"/>
  <c r="X27" i="9"/>
  <c r="W27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B27" i="9"/>
  <c r="AK26" i="9"/>
  <c r="AJ26" i="9"/>
  <c r="AI26" i="9"/>
  <c r="AH26" i="9"/>
  <c r="AG26" i="9"/>
  <c r="AF26" i="9"/>
  <c r="AE26" i="9"/>
  <c r="AD26" i="9"/>
  <c r="AC26" i="9"/>
  <c r="AB26" i="9"/>
  <c r="AA26" i="9"/>
  <c r="Z26" i="9"/>
  <c r="Y26" i="9"/>
  <c r="X26" i="9"/>
  <c r="W26" i="9"/>
  <c r="V26" i="9"/>
  <c r="U26" i="9"/>
  <c r="T26" i="9"/>
  <c r="S26" i="9"/>
  <c r="R26" i="9"/>
  <c r="Q26" i="9"/>
  <c r="P26" i="9"/>
  <c r="O26" i="9"/>
  <c r="N26" i="9"/>
  <c r="M26" i="9"/>
  <c r="L26" i="9"/>
  <c r="K26" i="9"/>
  <c r="J26" i="9"/>
  <c r="I26" i="9"/>
  <c r="H26" i="9"/>
  <c r="G26" i="9"/>
  <c r="F26" i="9"/>
  <c r="E26" i="9"/>
  <c r="D26" i="9"/>
  <c r="C26" i="9"/>
  <c r="B26" i="9"/>
  <c r="AK25" i="9"/>
  <c r="AJ25" i="9"/>
  <c r="AI25" i="9"/>
  <c r="AH25" i="9"/>
  <c r="AG25" i="9"/>
  <c r="AF25" i="9"/>
  <c r="AE25" i="9"/>
  <c r="AD25" i="9"/>
  <c r="AC25" i="9"/>
  <c r="AB25" i="9"/>
  <c r="AA25" i="9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B25" i="9"/>
  <c r="AK24" i="9"/>
  <c r="AJ24" i="9"/>
  <c r="AI24" i="9"/>
  <c r="AH24" i="9"/>
  <c r="AG24" i="9"/>
  <c r="AF24" i="9"/>
  <c r="AE24" i="9"/>
  <c r="AD24" i="9"/>
  <c r="AC24" i="9"/>
  <c r="AB24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B24" i="9"/>
  <c r="AK23" i="9"/>
  <c r="AJ23" i="9"/>
  <c r="AI23" i="9"/>
  <c r="AH23" i="9"/>
  <c r="AG23" i="9"/>
  <c r="AF23" i="9"/>
  <c r="AE23" i="9"/>
  <c r="AD23" i="9"/>
  <c r="AC23" i="9"/>
  <c r="AB23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B23" i="9"/>
  <c r="AK22" i="9"/>
  <c r="AJ22" i="9"/>
  <c r="AI22" i="9"/>
  <c r="AH22" i="9"/>
  <c r="AG22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B22" i="9"/>
  <c r="AK21" i="9"/>
  <c r="AJ21" i="9"/>
  <c r="AI21" i="9"/>
  <c r="AH21" i="9"/>
  <c r="AG21" i="9"/>
  <c r="AF21" i="9"/>
  <c r="AE21" i="9"/>
  <c r="AD21" i="9"/>
  <c r="AC21" i="9"/>
  <c r="AB21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B21" i="9"/>
  <c r="AK20" i="9"/>
  <c r="AJ20" i="9"/>
  <c r="AI20" i="9"/>
  <c r="AH20" i="9"/>
  <c r="AG20" i="9"/>
  <c r="AF20" i="9"/>
  <c r="AE20" i="9"/>
  <c r="AD20" i="9"/>
  <c r="AC20" i="9"/>
  <c r="AB20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B20" i="9"/>
  <c r="AK19" i="9"/>
  <c r="AJ19" i="9"/>
  <c r="AI19" i="9"/>
  <c r="AH19" i="9"/>
  <c r="AG19" i="9"/>
  <c r="AF19" i="9"/>
  <c r="AE19" i="9"/>
  <c r="AD19" i="9"/>
  <c r="AC19" i="9"/>
  <c r="AB19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B19" i="9"/>
  <c r="AK18" i="9"/>
  <c r="AJ18" i="9"/>
  <c r="AI18" i="9"/>
  <c r="AH18" i="9"/>
  <c r="AG18" i="9"/>
  <c r="AF18" i="9"/>
  <c r="AE18" i="9"/>
  <c r="AD18" i="9"/>
  <c r="AC18" i="9"/>
  <c r="AB18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B18" i="9"/>
  <c r="AK17" i="9"/>
  <c r="AJ17" i="9"/>
  <c r="AI17" i="9"/>
  <c r="AH17" i="9"/>
  <c r="AG17" i="9"/>
  <c r="AF17" i="9"/>
  <c r="AE17" i="9"/>
  <c r="AD17" i="9"/>
  <c r="AC17" i="9"/>
  <c r="AB17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B17" i="9"/>
  <c r="AK16" i="9"/>
  <c r="AJ16" i="9"/>
  <c r="AI16" i="9"/>
  <c r="AH16" i="9"/>
  <c r="AG16" i="9"/>
  <c r="AF16" i="9"/>
  <c r="AE16" i="9"/>
  <c r="AD16" i="9"/>
  <c r="AC16" i="9"/>
  <c r="AB16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B16" i="9"/>
  <c r="AK15" i="9"/>
  <c r="AJ15" i="9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K14" i="9"/>
  <c r="AJ14" i="9"/>
  <c r="AI14" i="9"/>
  <c r="AH14" i="9"/>
  <c r="AG14" i="9"/>
  <c r="AF14" i="9"/>
  <c r="AE14" i="9"/>
  <c r="AD14" i="9"/>
  <c r="AC14" i="9"/>
  <c r="AB14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B14" i="9"/>
  <c r="AK13" i="9"/>
  <c r="AJ13" i="9"/>
  <c r="AI13" i="9"/>
  <c r="AH13" i="9"/>
  <c r="AG13" i="9"/>
  <c r="AF13" i="9"/>
  <c r="AE13" i="9"/>
  <c r="AD13" i="9"/>
  <c r="AC13" i="9"/>
  <c r="AB13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B13" i="9"/>
  <c r="AK12" i="9"/>
  <c r="AJ12" i="9"/>
  <c r="AI12" i="9"/>
  <c r="AH12" i="9"/>
  <c r="AG12" i="9"/>
  <c r="AF12" i="9"/>
  <c r="AE12" i="9"/>
  <c r="AD12" i="9"/>
  <c r="AC12" i="9"/>
  <c r="AB12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B12" i="9"/>
  <c r="AK11" i="9"/>
  <c r="AJ11" i="9"/>
  <c r="AI11" i="9"/>
  <c r="AH11" i="9"/>
  <c r="AG11" i="9"/>
  <c r="AF11" i="9"/>
  <c r="AE11" i="9"/>
  <c r="AD11" i="9"/>
  <c r="AC11" i="9"/>
  <c r="AB11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B11" i="9"/>
  <c r="AK10" i="9"/>
  <c r="AJ10" i="9"/>
  <c r="AI10" i="9"/>
  <c r="AH10" i="9"/>
  <c r="AG10" i="9"/>
  <c r="AF10" i="9"/>
  <c r="AE10" i="9"/>
  <c r="AD10" i="9"/>
  <c r="AC10" i="9"/>
  <c r="AB10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B10" i="9"/>
  <c r="AK9" i="9"/>
  <c r="AJ9" i="9"/>
  <c r="AI9" i="9"/>
  <c r="AH9" i="9"/>
  <c r="AG9" i="9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B9" i="9"/>
  <c r="AK8" i="9"/>
  <c r="AJ8" i="9"/>
  <c r="AI8" i="9"/>
  <c r="AH8" i="9"/>
  <c r="AG8" i="9"/>
  <c r="AF8" i="9"/>
  <c r="AE8" i="9"/>
  <c r="AD8" i="9"/>
  <c r="AC8" i="9"/>
  <c r="AB8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B8" i="9"/>
  <c r="AK7" i="9"/>
  <c r="AJ7" i="9"/>
  <c r="AI7" i="9"/>
  <c r="AH7" i="9"/>
  <c r="AG7" i="9"/>
  <c r="AF7" i="9"/>
  <c r="AE7" i="9"/>
  <c r="AD7" i="9"/>
  <c r="AC7" i="9"/>
  <c r="AB7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B7" i="9"/>
  <c r="AK6" i="9"/>
  <c r="AJ6" i="9"/>
  <c r="AI6" i="9"/>
  <c r="AH6" i="9"/>
  <c r="AG6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B6" i="9"/>
  <c r="AK5" i="9"/>
  <c r="AJ5" i="9"/>
  <c r="AI5" i="9"/>
  <c r="AH5" i="9"/>
  <c r="AG5" i="9"/>
  <c r="AF5" i="9"/>
  <c r="AE5" i="9"/>
  <c r="AD5" i="9"/>
  <c r="AC5" i="9"/>
  <c r="AB5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B5" i="9"/>
  <c r="AK4" i="9"/>
  <c r="AJ4" i="9"/>
  <c r="AI4" i="9"/>
  <c r="AH4" i="9"/>
  <c r="AG4" i="9"/>
  <c r="AF4" i="9"/>
  <c r="AE4" i="9"/>
  <c r="AD4" i="9"/>
  <c r="AC4" i="9"/>
  <c r="AB4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B4" i="9"/>
  <c r="ET36" i="5"/>
  <c r="EQ36" i="5"/>
  <c r="EN36" i="5"/>
  <c r="EK36" i="5"/>
  <c r="EH36" i="5"/>
  <c r="EE36" i="5"/>
  <c r="EA36" i="5"/>
  <c r="DV36" i="5"/>
  <c r="DS36" i="5"/>
  <c r="DO36" i="5"/>
  <c r="DK36" i="5"/>
  <c r="DG36" i="5"/>
  <c r="DD36" i="5"/>
  <c r="DB36" i="5"/>
  <c r="CX36" i="5"/>
  <c r="CR36" i="5"/>
  <c r="CL36" i="5"/>
  <c r="CH36" i="5"/>
  <c r="CD36" i="5"/>
  <c r="BY36" i="5"/>
  <c r="BT36" i="5"/>
  <c r="BO36" i="5"/>
  <c r="BK36" i="5"/>
  <c r="BF36" i="5"/>
  <c r="BC36" i="5"/>
  <c r="BA36" i="5"/>
  <c r="AW36" i="5"/>
  <c r="AQ36" i="5"/>
  <c r="AK36" i="5"/>
  <c r="AG36" i="5"/>
  <c r="AC36" i="5"/>
  <c r="X36" i="5"/>
  <c r="S36" i="5"/>
  <c r="N36" i="5"/>
  <c r="J36" i="5"/>
  <c r="E36" i="5"/>
  <c r="B36" i="5"/>
  <c r="EU35" i="5"/>
  <c r="ET35" i="5"/>
  <c r="ES35" i="5"/>
  <c r="EQ35" i="5"/>
  <c r="DB35" i="5"/>
  <c r="BA35" i="5"/>
  <c r="EU34" i="5"/>
  <c r="ET34" i="5"/>
  <c r="ES34" i="5"/>
  <c r="EQ34" i="5"/>
  <c r="DB34" i="5"/>
  <c r="BA34" i="5"/>
  <c r="EU33" i="5"/>
  <c r="ET33" i="5"/>
  <c r="ES33" i="5"/>
  <c r="EQ33" i="5"/>
  <c r="DB33" i="5"/>
  <c r="BA33" i="5"/>
  <c r="EU32" i="5"/>
  <c r="ET32" i="5"/>
  <c r="ES32" i="5"/>
  <c r="EQ32" i="5"/>
  <c r="DB32" i="5"/>
  <c r="BA32" i="5"/>
  <c r="EU31" i="5"/>
  <c r="ET31" i="5"/>
  <c r="ES31" i="5"/>
  <c r="EQ31" i="5"/>
  <c r="DB31" i="5"/>
  <c r="BA31" i="5"/>
  <c r="EU30" i="5"/>
  <c r="ET30" i="5"/>
  <c r="ES30" i="5"/>
  <c r="EQ30" i="5"/>
  <c r="DB30" i="5"/>
  <c r="BA30" i="5"/>
  <c r="EU29" i="5"/>
  <c r="ET29" i="5"/>
  <c r="ES29" i="5"/>
  <c r="EQ29" i="5"/>
  <c r="DB29" i="5"/>
  <c r="BA29" i="5"/>
  <c r="EU28" i="5"/>
  <c r="ET28" i="5"/>
  <c r="ES28" i="5"/>
  <c r="EQ28" i="5"/>
  <c r="DB28" i="5"/>
  <c r="BA28" i="5"/>
  <c r="EU27" i="5"/>
  <c r="ET27" i="5"/>
  <c r="ES27" i="5"/>
  <c r="EQ27" i="5"/>
  <c r="DB27" i="5"/>
  <c r="BA27" i="5"/>
  <c r="EU26" i="5"/>
  <c r="ET26" i="5"/>
  <c r="ES26" i="5"/>
  <c r="EQ26" i="5"/>
  <c r="DB26" i="5"/>
  <c r="BA26" i="5"/>
  <c r="EU25" i="5"/>
  <c r="ET25" i="5"/>
  <c r="ES25" i="5"/>
  <c r="EQ25" i="5"/>
  <c r="DB25" i="5"/>
  <c r="BA25" i="5"/>
  <c r="EU24" i="5"/>
  <c r="ET24" i="5"/>
  <c r="ES24" i="5"/>
  <c r="EQ24" i="5"/>
  <c r="DB24" i="5"/>
  <c r="BA24" i="5"/>
  <c r="EU23" i="5"/>
  <c r="ET23" i="5"/>
  <c r="ES23" i="5"/>
  <c r="EQ23" i="5"/>
  <c r="DB23" i="5"/>
  <c r="BA23" i="5"/>
  <c r="EU22" i="5"/>
  <c r="ET22" i="5"/>
  <c r="ES22" i="5"/>
  <c r="EQ22" i="5"/>
  <c r="DB22" i="5"/>
  <c r="BA22" i="5"/>
  <c r="EU21" i="5"/>
  <c r="ET21" i="5"/>
  <c r="ES21" i="5"/>
  <c r="EQ21" i="5"/>
  <c r="DB21" i="5"/>
  <c r="BA21" i="5"/>
  <c r="EU20" i="5"/>
  <c r="ET20" i="5"/>
  <c r="ES20" i="5"/>
  <c r="EQ20" i="5"/>
  <c r="DB20" i="5"/>
  <c r="BA20" i="5"/>
  <c r="EU19" i="5"/>
  <c r="ET19" i="5"/>
  <c r="ES19" i="5"/>
  <c r="EQ19" i="5"/>
  <c r="DB19" i="5"/>
  <c r="BA19" i="5"/>
  <c r="EU18" i="5"/>
  <c r="ET18" i="5"/>
  <c r="ES18" i="5"/>
  <c r="EQ18" i="5"/>
  <c r="DB18" i="5"/>
  <c r="BA18" i="5"/>
  <c r="EU17" i="5"/>
  <c r="ET17" i="5"/>
  <c r="ES17" i="5"/>
  <c r="EQ17" i="5"/>
  <c r="DB17" i="5"/>
  <c r="BA17" i="5"/>
  <c r="EU16" i="5"/>
  <c r="ET16" i="5"/>
  <c r="ES16" i="5"/>
  <c r="EQ16" i="5"/>
  <c r="DB16" i="5"/>
  <c r="BA16" i="5"/>
  <c r="EU15" i="5"/>
  <c r="ET15" i="5"/>
  <c r="ES15" i="5"/>
  <c r="EQ15" i="5"/>
  <c r="DB15" i="5"/>
  <c r="BA15" i="5"/>
  <c r="EU14" i="5"/>
  <c r="ET14" i="5"/>
  <c r="ES14" i="5"/>
  <c r="EQ14" i="5"/>
  <c r="DB14" i="5"/>
  <c r="BA14" i="5"/>
  <c r="EU13" i="5"/>
  <c r="ET13" i="5"/>
  <c r="ES13" i="5"/>
  <c r="EQ13" i="5"/>
  <c r="DB13" i="5"/>
  <c r="BA13" i="5"/>
  <c r="EU12" i="5"/>
  <c r="ET12" i="5"/>
  <c r="ES12" i="5"/>
  <c r="EQ12" i="5"/>
  <c r="DB12" i="5"/>
  <c r="BA12" i="5"/>
  <c r="EU11" i="5"/>
  <c r="ET11" i="5"/>
  <c r="ES11" i="5"/>
  <c r="EQ11" i="5"/>
  <c r="DB11" i="5"/>
  <c r="BA11" i="5"/>
  <c r="EU10" i="5"/>
  <c r="ET10" i="5"/>
  <c r="ES10" i="5"/>
  <c r="EQ10" i="5"/>
  <c r="DB10" i="5"/>
  <c r="BA10" i="5"/>
  <c r="EU9" i="5"/>
  <c r="ET9" i="5"/>
  <c r="ES9" i="5"/>
  <c r="EQ9" i="5"/>
  <c r="DB9" i="5"/>
  <c r="BA9" i="5"/>
  <c r="EU8" i="5"/>
  <c r="ET8" i="5"/>
  <c r="ES8" i="5"/>
  <c r="EQ8" i="5"/>
  <c r="DB8" i="5"/>
  <c r="BA8" i="5"/>
  <c r="EU7" i="5"/>
  <c r="ET7" i="5"/>
  <c r="ES7" i="5"/>
  <c r="EQ7" i="5"/>
  <c r="DB7" i="5"/>
  <c r="BA7" i="5"/>
  <c r="EU6" i="5"/>
  <c r="ET6" i="5"/>
  <c r="ES6" i="5"/>
  <c r="EQ6" i="5"/>
  <c r="DB6" i="5"/>
  <c r="BA6" i="5"/>
  <c r="EU5" i="5"/>
  <c r="ET5" i="5"/>
  <c r="ES5" i="5"/>
  <c r="EQ5" i="5"/>
  <c r="DB5" i="5"/>
  <c r="BA5" i="5"/>
  <c r="M40" i="4"/>
  <c r="M38" i="4"/>
  <c r="DG36" i="4"/>
  <c r="DF36" i="4"/>
  <c r="DE36" i="4"/>
  <c r="DD36" i="4"/>
  <c r="DC36" i="4"/>
  <c r="DB36" i="4"/>
  <c r="DA36" i="4"/>
  <c r="CZ36" i="4"/>
  <c r="CY36" i="4"/>
  <c r="CX36" i="4"/>
  <c r="CW36" i="4"/>
  <c r="CV36" i="4"/>
  <c r="CU36" i="4"/>
  <c r="CT36" i="4"/>
  <c r="CS36" i="4"/>
  <c r="CR36" i="4"/>
  <c r="CQ36" i="4"/>
  <c r="CP36" i="4"/>
  <c r="CO36" i="4"/>
  <c r="CN36" i="4"/>
  <c r="CM36" i="4"/>
  <c r="CL36" i="4"/>
  <c r="CK36" i="4"/>
  <c r="CJ36" i="4"/>
  <c r="CI36" i="4"/>
  <c r="CH36" i="4"/>
  <c r="CG36" i="4"/>
  <c r="CF36" i="4"/>
  <c r="CE36" i="4"/>
  <c r="CD36" i="4"/>
  <c r="CC36" i="4"/>
  <c r="CB36" i="4"/>
  <c r="CA36" i="4"/>
  <c r="BZ36" i="4"/>
  <c r="BY36" i="4"/>
  <c r="BX36" i="4"/>
  <c r="BV36" i="4"/>
  <c r="BU36" i="4"/>
  <c r="BT36" i="4"/>
  <c r="BS36" i="4"/>
  <c r="BR36" i="4"/>
  <c r="BQ36" i="4"/>
  <c r="BP36" i="4"/>
  <c r="BO36" i="4"/>
  <c r="BN36" i="4"/>
  <c r="BM36" i="4"/>
  <c r="BL36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36" i="4"/>
  <c r="DG35" i="4"/>
  <c r="BV35" i="4"/>
  <c r="AK35" i="4"/>
  <c r="DG34" i="4"/>
  <c r="BV34" i="4"/>
  <c r="AK34" i="4"/>
  <c r="DG33" i="4"/>
  <c r="BV33" i="4"/>
  <c r="AK33" i="4"/>
  <c r="DG32" i="4"/>
  <c r="BV32" i="4"/>
  <c r="AK32" i="4"/>
  <c r="DG31" i="4"/>
  <c r="BV31" i="4"/>
  <c r="AK31" i="4"/>
  <c r="DG30" i="4"/>
  <c r="BV30" i="4"/>
  <c r="AK30" i="4"/>
  <c r="DG29" i="4"/>
  <c r="BV29" i="4"/>
  <c r="AK29" i="4"/>
  <c r="DG28" i="4"/>
  <c r="BV28" i="4"/>
  <c r="AK28" i="4"/>
  <c r="DG27" i="4"/>
  <c r="BV27" i="4"/>
  <c r="AK27" i="4"/>
  <c r="DG26" i="4"/>
  <c r="BV26" i="4"/>
  <c r="AK26" i="4"/>
  <c r="DG25" i="4"/>
  <c r="BV25" i="4"/>
  <c r="AK25" i="4"/>
  <c r="DG24" i="4"/>
  <c r="BV24" i="4"/>
  <c r="AK24" i="4"/>
  <c r="DG23" i="4"/>
  <c r="BV23" i="4"/>
  <c r="AK23" i="4"/>
  <c r="DG22" i="4"/>
  <c r="BV22" i="4"/>
  <c r="AK22" i="4"/>
  <c r="DG21" i="4"/>
  <c r="BV21" i="4"/>
  <c r="AK21" i="4"/>
  <c r="DG20" i="4"/>
  <c r="BV20" i="4"/>
  <c r="AK20" i="4"/>
  <c r="DG19" i="4"/>
  <c r="BV19" i="4"/>
  <c r="AK19" i="4"/>
  <c r="DG18" i="4"/>
  <c r="BV18" i="4"/>
  <c r="AK18" i="4"/>
  <c r="DG17" i="4"/>
  <c r="BV17" i="4"/>
  <c r="AK17" i="4"/>
  <c r="DG16" i="4"/>
  <c r="BV16" i="4"/>
  <c r="AK16" i="4"/>
  <c r="DG15" i="4"/>
  <c r="BV15" i="4"/>
  <c r="AK15" i="4"/>
  <c r="DG14" i="4"/>
  <c r="BV14" i="4"/>
  <c r="AK14" i="4"/>
  <c r="DG13" i="4"/>
  <c r="BV13" i="4"/>
  <c r="AK13" i="4"/>
  <c r="DG12" i="4"/>
  <c r="BV12" i="4"/>
  <c r="AK12" i="4"/>
  <c r="DG11" i="4"/>
  <c r="BV11" i="4"/>
  <c r="AK11" i="4"/>
  <c r="DG10" i="4"/>
  <c r="BV10" i="4"/>
  <c r="AK10" i="4"/>
  <c r="DG9" i="4"/>
  <c r="BV9" i="4"/>
  <c r="AK9" i="4"/>
  <c r="DG8" i="4"/>
  <c r="BV8" i="4"/>
  <c r="AK8" i="4"/>
  <c r="DG7" i="4"/>
  <c r="BV7" i="4"/>
  <c r="AK7" i="4"/>
  <c r="DG6" i="4"/>
  <c r="BV6" i="4"/>
  <c r="AK6" i="4"/>
  <c r="DG5" i="4"/>
  <c r="BV5" i="4"/>
  <c r="AK5" i="4"/>
  <c r="BQ140" i="2"/>
  <c r="BQ177" i="2" s="1"/>
  <c r="BP140" i="2"/>
  <c r="BP177" i="2" s="1"/>
  <c r="BO140" i="2"/>
  <c r="BO177" i="2" s="1"/>
  <c r="BN140" i="2"/>
  <c r="BN177" i="2" s="1"/>
  <c r="BM140" i="2"/>
  <c r="BM177" i="2" s="1"/>
  <c r="BL140" i="2"/>
  <c r="AY140" i="2"/>
  <c r="AY177" i="2" s="1"/>
  <c r="AX140" i="2"/>
  <c r="AX177" i="2" s="1"/>
  <c r="AW140" i="2"/>
  <c r="AW177" i="2" s="1"/>
  <c r="AV140" i="2"/>
  <c r="AV177" i="2" s="1"/>
  <c r="AU140" i="2"/>
  <c r="AU177" i="2" s="1"/>
  <c r="AT140" i="2"/>
  <c r="AS140" i="2"/>
  <c r="AS177" i="2" s="1"/>
  <c r="AR140" i="2"/>
  <c r="AR177" i="2" s="1"/>
  <c r="AQ140" i="2"/>
  <c r="AQ177" i="2" s="1"/>
  <c r="AP140" i="2"/>
  <c r="AO140" i="2"/>
  <c r="AO177" i="2" s="1"/>
  <c r="AN140" i="2"/>
  <c r="AN177" i="2" s="1"/>
  <c r="AM140" i="2"/>
  <c r="AM177" i="2" s="1"/>
  <c r="AL140" i="2"/>
  <c r="AL177" i="2" s="1"/>
  <c r="AK140" i="2"/>
  <c r="AK177" i="2" s="1"/>
  <c r="AJ140" i="2"/>
  <c r="AJ177" i="2" s="1"/>
  <c r="AI140" i="2"/>
  <c r="AH140" i="2"/>
  <c r="AG140" i="2"/>
  <c r="AG177" i="2" s="1"/>
  <c r="AF140" i="2"/>
  <c r="AF177" i="2" s="1"/>
  <c r="AE140" i="2"/>
  <c r="AE177" i="2" s="1"/>
  <c r="AD140" i="2"/>
  <c r="AD177" i="2" s="1"/>
  <c r="AC140" i="2"/>
  <c r="AC177" i="2" s="1"/>
  <c r="AB140" i="2"/>
  <c r="AB177" i="2" s="1"/>
  <c r="AA140" i="2"/>
  <c r="AA177" i="2" s="1"/>
  <c r="Z140" i="2"/>
  <c r="Z177" i="2" s="1"/>
  <c r="Y140" i="2"/>
  <c r="X140" i="2"/>
  <c r="W140" i="2"/>
  <c r="W177" i="2" s="1"/>
  <c r="V140" i="2"/>
  <c r="V177" i="2" s="1"/>
  <c r="U140" i="2"/>
  <c r="U177" i="2" s="1"/>
  <c r="T140" i="2"/>
  <c r="T177" i="2" s="1"/>
  <c r="S140" i="2"/>
  <c r="R140" i="2"/>
  <c r="R177" i="2" s="1"/>
  <c r="Q140" i="2"/>
  <c r="Q177" i="2" s="1"/>
  <c r="P140" i="2"/>
  <c r="P177" i="2" s="1"/>
  <c r="O140" i="2"/>
  <c r="O177" i="2" s="1"/>
  <c r="N140" i="2"/>
  <c r="M140" i="2"/>
  <c r="M177" i="2" s="1"/>
  <c r="L140" i="2"/>
  <c r="L177" i="2" s="1"/>
  <c r="K140" i="2"/>
  <c r="K177" i="2" s="1"/>
  <c r="J140" i="2"/>
  <c r="I140" i="2"/>
  <c r="I177" i="2" s="1"/>
  <c r="H140" i="2"/>
  <c r="H177" i="2" s="1"/>
  <c r="G140" i="2"/>
  <c r="G177" i="2" s="1"/>
  <c r="F140" i="2"/>
  <c r="F177" i="2" s="1"/>
  <c r="E140" i="2"/>
  <c r="E177" i="2" s="1"/>
  <c r="D140" i="2"/>
  <c r="D177" i="2" s="1"/>
  <c r="C140" i="2"/>
  <c r="B140" i="2"/>
  <c r="BQ139" i="2"/>
  <c r="BQ176" i="2" s="1"/>
  <c r="BP139" i="2"/>
  <c r="BP176" i="2" s="1"/>
  <c r="BO139" i="2"/>
  <c r="BO176" i="2" s="1"/>
  <c r="BN139" i="2"/>
  <c r="BN176" i="2" s="1"/>
  <c r="BM139" i="2"/>
  <c r="BM176" i="2" s="1"/>
  <c r="BL139" i="2"/>
  <c r="AY139" i="2"/>
  <c r="AY176" i="2" s="1"/>
  <c r="AX139" i="2"/>
  <c r="AX176" i="2" s="1"/>
  <c r="AW139" i="2"/>
  <c r="AW176" i="2" s="1"/>
  <c r="AV139" i="2"/>
  <c r="AV176" i="2" s="1"/>
  <c r="AU139" i="2"/>
  <c r="AU176" i="2" s="1"/>
  <c r="AT139" i="2"/>
  <c r="AS139" i="2"/>
  <c r="AS176" i="2" s="1"/>
  <c r="AR139" i="2"/>
  <c r="AR176" i="2" s="1"/>
  <c r="AQ139" i="2"/>
  <c r="AQ176" i="2" s="1"/>
  <c r="AP139" i="2"/>
  <c r="AO139" i="2"/>
  <c r="AO176" i="2" s="1"/>
  <c r="AN139" i="2"/>
  <c r="AN176" i="2" s="1"/>
  <c r="AM139" i="2"/>
  <c r="AM176" i="2" s="1"/>
  <c r="AL139" i="2"/>
  <c r="AL176" i="2" s="1"/>
  <c r="AK139" i="2"/>
  <c r="AK176" i="2" s="1"/>
  <c r="AJ139" i="2"/>
  <c r="AJ176" i="2" s="1"/>
  <c r="AI139" i="2"/>
  <c r="AH139" i="2"/>
  <c r="AG139" i="2"/>
  <c r="AG176" i="2" s="1"/>
  <c r="AF139" i="2"/>
  <c r="AF176" i="2" s="1"/>
  <c r="AE139" i="2"/>
  <c r="AE176" i="2" s="1"/>
  <c r="AD139" i="2"/>
  <c r="AD176" i="2" s="1"/>
  <c r="AC139" i="2"/>
  <c r="AC176" i="2" s="1"/>
  <c r="AB139" i="2"/>
  <c r="AB176" i="2" s="1"/>
  <c r="AA139" i="2"/>
  <c r="AA176" i="2" s="1"/>
  <c r="Z139" i="2"/>
  <c r="Z176" i="2" s="1"/>
  <c r="Y139" i="2"/>
  <c r="X139" i="2"/>
  <c r="W139" i="2"/>
  <c r="W176" i="2" s="1"/>
  <c r="V139" i="2"/>
  <c r="V176" i="2" s="1"/>
  <c r="U139" i="2"/>
  <c r="U176" i="2" s="1"/>
  <c r="T139" i="2"/>
  <c r="T176" i="2" s="1"/>
  <c r="S139" i="2"/>
  <c r="R139" i="2"/>
  <c r="R176" i="2" s="1"/>
  <c r="Q139" i="2"/>
  <c r="Q176" i="2" s="1"/>
  <c r="P139" i="2"/>
  <c r="P176" i="2" s="1"/>
  <c r="O139" i="2"/>
  <c r="O176" i="2" s="1"/>
  <c r="N139" i="2"/>
  <c r="M139" i="2"/>
  <c r="M176" i="2" s="1"/>
  <c r="L139" i="2"/>
  <c r="L176" i="2" s="1"/>
  <c r="K139" i="2"/>
  <c r="K176" i="2" s="1"/>
  <c r="J139" i="2"/>
  <c r="I139" i="2"/>
  <c r="I176" i="2" s="1"/>
  <c r="H139" i="2"/>
  <c r="H176" i="2" s="1"/>
  <c r="G139" i="2"/>
  <c r="G176" i="2" s="1"/>
  <c r="F139" i="2"/>
  <c r="F176" i="2" s="1"/>
  <c r="E139" i="2"/>
  <c r="D139" i="2"/>
  <c r="D176" i="2" s="1"/>
  <c r="C139" i="2"/>
  <c r="C176" i="2" s="1"/>
  <c r="B139" i="2"/>
  <c r="BQ138" i="2"/>
  <c r="BQ175" i="2" s="1"/>
  <c r="BP138" i="2"/>
  <c r="BP175" i="2" s="1"/>
  <c r="BO138" i="2"/>
  <c r="BO175" i="2" s="1"/>
  <c r="BN138" i="2"/>
  <c r="BN175" i="2" s="1"/>
  <c r="BM138" i="2"/>
  <c r="BM175" i="2" s="1"/>
  <c r="BL138" i="2"/>
  <c r="AY138" i="2"/>
  <c r="AY175" i="2" s="1"/>
  <c r="AX138" i="2"/>
  <c r="AX175" i="2" s="1"/>
  <c r="AW138" i="2"/>
  <c r="AW175" i="2" s="1"/>
  <c r="AV138" i="2"/>
  <c r="AV175" i="2" s="1"/>
  <c r="AU138" i="2"/>
  <c r="AU175" i="2" s="1"/>
  <c r="AT138" i="2"/>
  <c r="AS138" i="2"/>
  <c r="AS175" i="2" s="1"/>
  <c r="AR138" i="2"/>
  <c r="AR175" i="2" s="1"/>
  <c r="AQ138" i="2"/>
  <c r="AQ175" i="2" s="1"/>
  <c r="AP138" i="2"/>
  <c r="AO138" i="2"/>
  <c r="AO175" i="2" s="1"/>
  <c r="AN138" i="2"/>
  <c r="AN175" i="2" s="1"/>
  <c r="AM138" i="2"/>
  <c r="AM175" i="2" s="1"/>
  <c r="AL138" i="2"/>
  <c r="AL175" i="2" s="1"/>
  <c r="AK138" i="2"/>
  <c r="AK175" i="2" s="1"/>
  <c r="AJ138" i="2"/>
  <c r="AJ175" i="2" s="1"/>
  <c r="AI138" i="2"/>
  <c r="AH138" i="2"/>
  <c r="AG138" i="2"/>
  <c r="AG175" i="2" s="1"/>
  <c r="AF138" i="2"/>
  <c r="AF175" i="2" s="1"/>
  <c r="AE138" i="2"/>
  <c r="AE175" i="2" s="1"/>
  <c r="AD138" i="2"/>
  <c r="AD175" i="2" s="1"/>
  <c r="AC138" i="2"/>
  <c r="AC175" i="2" s="1"/>
  <c r="AB138" i="2"/>
  <c r="AB175" i="2" s="1"/>
  <c r="AA138" i="2"/>
  <c r="AA175" i="2" s="1"/>
  <c r="Z138" i="2"/>
  <c r="Z175" i="2" s="1"/>
  <c r="Y138" i="2"/>
  <c r="X138" i="2"/>
  <c r="W138" i="2"/>
  <c r="W175" i="2" s="1"/>
  <c r="V138" i="2"/>
  <c r="V175" i="2" s="1"/>
  <c r="U138" i="2"/>
  <c r="U175" i="2" s="1"/>
  <c r="T138" i="2"/>
  <c r="T175" i="2" s="1"/>
  <c r="S138" i="2"/>
  <c r="R138" i="2"/>
  <c r="R175" i="2" s="1"/>
  <c r="Q138" i="2"/>
  <c r="Q175" i="2" s="1"/>
  <c r="P138" i="2"/>
  <c r="P175" i="2" s="1"/>
  <c r="O138" i="2"/>
  <c r="O175" i="2" s="1"/>
  <c r="N138" i="2"/>
  <c r="M138" i="2"/>
  <c r="M175" i="2" s="1"/>
  <c r="L138" i="2"/>
  <c r="L175" i="2" s="1"/>
  <c r="K138" i="2"/>
  <c r="K175" i="2" s="1"/>
  <c r="J138" i="2"/>
  <c r="I138" i="2"/>
  <c r="I175" i="2" s="1"/>
  <c r="H138" i="2"/>
  <c r="H175" i="2" s="1"/>
  <c r="G138" i="2"/>
  <c r="G175" i="2" s="1"/>
  <c r="F138" i="2"/>
  <c r="F175" i="2" s="1"/>
  <c r="E138" i="2"/>
  <c r="D138" i="2"/>
  <c r="D175" i="2" s="1"/>
  <c r="C138" i="2"/>
  <c r="B138" i="2"/>
  <c r="BQ137" i="2"/>
  <c r="BQ174" i="2" s="1"/>
  <c r="BP137" i="2"/>
  <c r="BP174" i="2" s="1"/>
  <c r="BO137" i="2"/>
  <c r="BO174" i="2" s="1"/>
  <c r="BN137" i="2"/>
  <c r="BN174" i="2" s="1"/>
  <c r="BM137" i="2"/>
  <c r="BM174" i="2" s="1"/>
  <c r="BL137" i="2"/>
  <c r="AY137" i="2"/>
  <c r="AY174" i="2" s="1"/>
  <c r="AX137" i="2"/>
  <c r="AX174" i="2" s="1"/>
  <c r="AW137" i="2"/>
  <c r="AW174" i="2" s="1"/>
  <c r="AV137" i="2"/>
  <c r="AV174" i="2" s="1"/>
  <c r="AU137" i="2"/>
  <c r="AU174" i="2" s="1"/>
  <c r="AT137" i="2"/>
  <c r="AS137" i="2"/>
  <c r="AS174" i="2" s="1"/>
  <c r="AR137" i="2"/>
  <c r="AR174" i="2" s="1"/>
  <c r="AQ137" i="2"/>
  <c r="AQ174" i="2" s="1"/>
  <c r="AP137" i="2"/>
  <c r="AO137" i="2"/>
  <c r="AO174" i="2" s="1"/>
  <c r="AN137" i="2"/>
  <c r="AN174" i="2" s="1"/>
  <c r="AM137" i="2"/>
  <c r="AM174" i="2" s="1"/>
  <c r="AL137" i="2"/>
  <c r="AL174" i="2" s="1"/>
  <c r="AK137" i="2"/>
  <c r="AK174" i="2" s="1"/>
  <c r="AJ137" i="2"/>
  <c r="AJ174" i="2" s="1"/>
  <c r="AI137" i="2"/>
  <c r="AH137" i="2"/>
  <c r="AG137" i="2"/>
  <c r="AG174" i="2" s="1"/>
  <c r="AF137" i="2"/>
  <c r="AF174" i="2" s="1"/>
  <c r="AE137" i="2"/>
  <c r="AE174" i="2" s="1"/>
  <c r="AD137" i="2"/>
  <c r="AD174" i="2" s="1"/>
  <c r="AC137" i="2"/>
  <c r="AC174" i="2" s="1"/>
  <c r="AB137" i="2"/>
  <c r="AB174" i="2" s="1"/>
  <c r="AA137" i="2"/>
  <c r="AA174" i="2" s="1"/>
  <c r="Z137" i="2"/>
  <c r="Z174" i="2" s="1"/>
  <c r="Y137" i="2"/>
  <c r="X137" i="2"/>
  <c r="W137" i="2"/>
  <c r="W174" i="2" s="1"/>
  <c r="V137" i="2"/>
  <c r="V174" i="2" s="1"/>
  <c r="U137" i="2"/>
  <c r="U174" i="2" s="1"/>
  <c r="T137" i="2"/>
  <c r="T174" i="2" s="1"/>
  <c r="S137" i="2"/>
  <c r="R137" i="2"/>
  <c r="R174" i="2" s="1"/>
  <c r="Q137" i="2"/>
  <c r="Q174" i="2" s="1"/>
  <c r="P137" i="2"/>
  <c r="P174" i="2" s="1"/>
  <c r="O137" i="2"/>
  <c r="O174" i="2" s="1"/>
  <c r="N137" i="2"/>
  <c r="M137" i="2"/>
  <c r="M174" i="2" s="1"/>
  <c r="L137" i="2"/>
  <c r="L174" i="2" s="1"/>
  <c r="K137" i="2"/>
  <c r="K174" i="2" s="1"/>
  <c r="J137" i="2"/>
  <c r="I137" i="2"/>
  <c r="I174" i="2" s="1"/>
  <c r="H137" i="2"/>
  <c r="H174" i="2" s="1"/>
  <c r="G137" i="2"/>
  <c r="G174" i="2" s="1"/>
  <c r="F137" i="2"/>
  <c r="F174" i="2" s="1"/>
  <c r="E137" i="2"/>
  <c r="D137" i="2"/>
  <c r="D174" i="2" s="1"/>
  <c r="C137" i="2"/>
  <c r="C174" i="2" s="1"/>
  <c r="B137" i="2"/>
  <c r="BQ136" i="2"/>
  <c r="BQ173" i="2" s="1"/>
  <c r="BP136" i="2"/>
  <c r="BP173" i="2" s="1"/>
  <c r="BO136" i="2"/>
  <c r="BO173" i="2" s="1"/>
  <c r="BN136" i="2"/>
  <c r="BN173" i="2" s="1"/>
  <c r="BM136" i="2"/>
  <c r="BM173" i="2" s="1"/>
  <c r="BL136" i="2"/>
  <c r="AY136" i="2"/>
  <c r="AY173" i="2" s="1"/>
  <c r="AX136" i="2"/>
  <c r="AX173" i="2" s="1"/>
  <c r="AW136" i="2"/>
  <c r="AW173" i="2" s="1"/>
  <c r="AV136" i="2"/>
  <c r="AV173" i="2" s="1"/>
  <c r="AU136" i="2"/>
  <c r="AU173" i="2" s="1"/>
  <c r="AT136" i="2"/>
  <c r="AS136" i="2"/>
  <c r="AS173" i="2" s="1"/>
  <c r="AR136" i="2"/>
  <c r="AR173" i="2" s="1"/>
  <c r="AQ136" i="2"/>
  <c r="AQ173" i="2" s="1"/>
  <c r="AP136" i="2"/>
  <c r="AO136" i="2"/>
  <c r="AO173" i="2" s="1"/>
  <c r="AN136" i="2"/>
  <c r="AN173" i="2" s="1"/>
  <c r="AM136" i="2"/>
  <c r="AM173" i="2" s="1"/>
  <c r="AL136" i="2"/>
  <c r="AL173" i="2" s="1"/>
  <c r="AK136" i="2"/>
  <c r="AK173" i="2" s="1"/>
  <c r="AJ136" i="2"/>
  <c r="AJ173" i="2" s="1"/>
  <c r="AI136" i="2"/>
  <c r="AH136" i="2"/>
  <c r="AG136" i="2"/>
  <c r="AG173" i="2" s="1"/>
  <c r="AF136" i="2"/>
  <c r="AF173" i="2" s="1"/>
  <c r="AE136" i="2"/>
  <c r="AE173" i="2" s="1"/>
  <c r="AD136" i="2"/>
  <c r="AD173" i="2" s="1"/>
  <c r="AC136" i="2"/>
  <c r="AC173" i="2" s="1"/>
  <c r="AB136" i="2"/>
  <c r="AB173" i="2" s="1"/>
  <c r="AA136" i="2"/>
  <c r="AA173" i="2" s="1"/>
  <c r="Z136" i="2"/>
  <c r="Z173" i="2" s="1"/>
  <c r="Y136" i="2"/>
  <c r="X136" i="2"/>
  <c r="W136" i="2"/>
  <c r="W173" i="2" s="1"/>
  <c r="V136" i="2"/>
  <c r="V173" i="2" s="1"/>
  <c r="U136" i="2"/>
  <c r="U173" i="2" s="1"/>
  <c r="T136" i="2"/>
  <c r="T173" i="2" s="1"/>
  <c r="S136" i="2"/>
  <c r="R136" i="2"/>
  <c r="R173" i="2" s="1"/>
  <c r="Q136" i="2"/>
  <c r="Q173" i="2" s="1"/>
  <c r="P136" i="2"/>
  <c r="P173" i="2" s="1"/>
  <c r="O136" i="2"/>
  <c r="O173" i="2" s="1"/>
  <c r="N136" i="2"/>
  <c r="M136" i="2"/>
  <c r="M173" i="2" s="1"/>
  <c r="L136" i="2"/>
  <c r="L173" i="2" s="1"/>
  <c r="K136" i="2"/>
  <c r="K173" i="2" s="1"/>
  <c r="J136" i="2"/>
  <c r="I136" i="2"/>
  <c r="I173" i="2" s="1"/>
  <c r="H136" i="2"/>
  <c r="H173" i="2" s="1"/>
  <c r="G136" i="2"/>
  <c r="G173" i="2" s="1"/>
  <c r="F136" i="2"/>
  <c r="F173" i="2" s="1"/>
  <c r="E136" i="2"/>
  <c r="D136" i="2"/>
  <c r="D173" i="2" s="1"/>
  <c r="C136" i="2"/>
  <c r="B136" i="2"/>
  <c r="BQ135" i="2"/>
  <c r="BQ172" i="2" s="1"/>
  <c r="BP135" i="2"/>
  <c r="BP172" i="2" s="1"/>
  <c r="BO135" i="2"/>
  <c r="BO172" i="2" s="1"/>
  <c r="BN135" i="2"/>
  <c r="BN172" i="2" s="1"/>
  <c r="BM135" i="2"/>
  <c r="BM172" i="2" s="1"/>
  <c r="BL135" i="2"/>
  <c r="AY135" i="2"/>
  <c r="AY172" i="2" s="1"/>
  <c r="AX135" i="2"/>
  <c r="AX172" i="2" s="1"/>
  <c r="AW135" i="2"/>
  <c r="AW172" i="2" s="1"/>
  <c r="AV135" i="2"/>
  <c r="AV172" i="2" s="1"/>
  <c r="AU135" i="2"/>
  <c r="AU172" i="2" s="1"/>
  <c r="AT135" i="2"/>
  <c r="AS135" i="2"/>
  <c r="AS172" i="2" s="1"/>
  <c r="AR135" i="2"/>
  <c r="AR172" i="2" s="1"/>
  <c r="AQ135" i="2"/>
  <c r="AQ172" i="2" s="1"/>
  <c r="AP135" i="2"/>
  <c r="AO135" i="2"/>
  <c r="AO172" i="2" s="1"/>
  <c r="AN135" i="2"/>
  <c r="AN172" i="2" s="1"/>
  <c r="AM135" i="2"/>
  <c r="AM172" i="2" s="1"/>
  <c r="AL135" i="2"/>
  <c r="AL172" i="2" s="1"/>
  <c r="AK135" i="2"/>
  <c r="AK172" i="2" s="1"/>
  <c r="AJ135" i="2"/>
  <c r="AJ172" i="2" s="1"/>
  <c r="AI135" i="2"/>
  <c r="AH135" i="2"/>
  <c r="AG135" i="2"/>
  <c r="AG172" i="2" s="1"/>
  <c r="AF135" i="2"/>
  <c r="AF172" i="2" s="1"/>
  <c r="AE135" i="2"/>
  <c r="AE172" i="2" s="1"/>
  <c r="AD135" i="2"/>
  <c r="AD172" i="2" s="1"/>
  <c r="AC135" i="2"/>
  <c r="AC172" i="2" s="1"/>
  <c r="AB135" i="2"/>
  <c r="AB172" i="2" s="1"/>
  <c r="AA135" i="2"/>
  <c r="AA172" i="2" s="1"/>
  <c r="Z135" i="2"/>
  <c r="Z172" i="2" s="1"/>
  <c r="Y135" i="2"/>
  <c r="X135" i="2"/>
  <c r="W135" i="2"/>
  <c r="W172" i="2" s="1"/>
  <c r="V135" i="2"/>
  <c r="V172" i="2" s="1"/>
  <c r="U135" i="2"/>
  <c r="U172" i="2" s="1"/>
  <c r="T135" i="2"/>
  <c r="T172" i="2" s="1"/>
  <c r="S135" i="2"/>
  <c r="R135" i="2"/>
  <c r="R172" i="2" s="1"/>
  <c r="Q135" i="2"/>
  <c r="Q172" i="2" s="1"/>
  <c r="P135" i="2"/>
  <c r="P172" i="2" s="1"/>
  <c r="O135" i="2"/>
  <c r="O172" i="2" s="1"/>
  <c r="N135" i="2"/>
  <c r="M135" i="2"/>
  <c r="M172" i="2" s="1"/>
  <c r="L135" i="2"/>
  <c r="L172" i="2" s="1"/>
  <c r="K135" i="2"/>
  <c r="K172" i="2" s="1"/>
  <c r="J135" i="2"/>
  <c r="I135" i="2"/>
  <c r="I172" i="2" s="1"/>
  <c r="H135" i="2"/>
  <c r="H172" i="2" s="1"/>
  <c r="G135" i="2"/>
  <c r="G172" i="2" s="1"/>
  <c r="F135" i="2"/>
  <c r="F172" i="2" s="1"/>
  <c r="E135" i="2"/>
  <c r="D135" i="2"/>
  <c r="D172" i="2" s="1"/>
  <c r="C135" i="2"/>
  <c r="C172" i="2" s="1"/>
  <c r="B135" i="2"/>
  <c r="BQ134" i="2"/>
  <c r="BQ171" i="2" s="1"/>
  <c r="BP134" i="2"/>
  <c r="BP171" i="2" s="1"/>
  <c r="BO134" i="2"/>
  <c r="BO171" i="2" s="1"/>
  <c r="BN134" i="2"/>
  <c r="BN171" i="2" s="1"/>
  <c r="BM134" i="2"/>
  <c r="BM171" i="2" s="1"/>
  <c r="BL134" i="2"/>
  <c r="AY134" i="2"/>
  <c r="AY171" i="2" s="1"/>
  <c r="AX134" i="2"/>
  <c r="AX171" i="2" s="1"/>
  <c r="AW134" i="2"/>
  <c r="AW171" i="2" s="1"/>
  <c r="AV134" i="2"/>
  <c r="AV171" i="2" s="1"/>
  <c r="AU134" i="2"/>
  <c r="AU171" i="2" s="1"/>
  <c r="AT134" i="2"/>
  <c r="AS134" i="2"/>
  <c r="AS171" i="2" s="1"/>
  <c r="AR134" i="2"/>
  <c r="AR171" i="2" s="1"/>
  <c r="AQ134" i="2"/>
  <c r="AQ171" i="2" s="1"/>
  <c r="AP134" i="2"/>
  <c r="AO134" i="2"/>
  <c r="AO171" i="2" s="1"/>
  <c r="AN134" i="2"/>
  <c r="AN171" i="2" s="1"/>
  <c r="AM134" i="2"/>
  <c r="AM171" i="2" s="1"/>
  <c r="AL134" i="2"/>
  <c r="AL171" i="2" s="1"/>
  <c r="AK134" i="2"/>
  <c r="AK171" i="2" s="1"/>
  <c r="AJ134" i="2"/>
  <c r="AJ171" i="2" s="1"/>
  <c r="AI134" i="2"/>
  <c r="AH134" i="2"/>
  <c r="AG134" i="2"/>
  <c r="AG171" i="2" s="1"/>
  <c r="AF134" i="2"/>
  <c r="AF171" i="2" s="1"/>
  <c r="AE134" i="2"/>
  <c r="AE171" i="2" s="1"/>
  <c r="AD134" i="2"/>
  <c r="AD171" i="2" s="1"/>
  <c r="AC134" i="2"/>
  <c r="AC171" i="2" s="1"/>
  <c r="AB134" i="2"/>
  <c r="AB171" i="2" s="1"/>
  <c r="AA134" i="2"/>
  <c r="AA171" i="2" s="1"/>
  <c r="Z134" i="2"/>
  <c r="Z171" i="2" s="1"/>
  <c r="Y134" i="2"/>
  <c r="X134" i="2"/>
  <c r="W134" i="2"/>
  <c r="W171" i="2" s="1"/>
  <c r="V134" i="2"/>
  <c r="V171" i="2" s="1"/>
  <c r="U134" i="2"/>
  <c r="U171" i="2" s="1"/>
  <c r="T134" i="2"/>
  <c r="T171" i="2" s="1"/>
  <c r="S134" i="2"/>
  <c r="R134" i="2"/>
  <c r="R171" i="2" s="1"/>
  <c r="Q134" i="2"/>
  <c r="Q171" i="2" s="1"/>
  <c r="P134" i="2"/>
  <c r="P171" i="2" s="1"/>
  <c r="O134" i="2"/>
  <c r="O171" i="2" s="1"/>
  <c r="N134" i="2"/>
  <c r="M134" i="2"/>
  <c r="M171" i="2" s="1"/>
  <c r="L134" i="2"/>
  <c r="L171" i="2" s="1"/>
  <c r="K134" i="2"/>
  <c r="K171" i="2" s="1"/>
  <c r="J134" i="2"/>
  <c r="I134" i="2"/>
  <c r="I171" i="2" s="1"/>
  <c r="H134" i="2"/>
  <c r="H171" i="2" s="1"/>
  <c r="G134" i="2"/>
  <c r="G171" i="2" s="1"/>
  <c r="F134" i="2"/>
  <c r="F171" i="2" s="1"/>
  <c r="E134" i="2"/>
  <c r="D134" i="2"/>
  <c r="D171" i="2" s="1"/>
  <c r="C134" i="2"/>
  <c r="B134" i="2"/>
  <c r="BQ133" i="2"/>
  <c r="BQ170" i="2" s="1"/>
  <c r="BP133" i="2"/>
  <c r="BP170" i="2" s="1"/>
  <c r="BO133" i="2"/>
  <c r="BO170" i="2" s="1"/>
  <c r="BN133" i="2"/>
  <c r="BN170" i="2" s="1"/>
  <c r="BM133" i="2"/>
  <c r="BM170" i="2" s="1"/>
  <c r="BL133" i="2"/>
  <c r="AY133" i="2"/>
  <c r="AY170" i="2" s="1"/>
  <c r="AX133" i="2"/>
  <c r="AX170" i="2" s="1"/>
  <c r="AW133" i="2"/>
  <c r="AW170" i="2" s="1"/>
  <c r="AV133" i="2"/>
  <c r="AV170" i="2" s="1"/>
  <c r="AU133" i="2"/>
  <c r="AU170" i="2" s="1"/>
  <c r="AT133" i="2"/>
  <c r="AS133" i="2"/>
  <c r="AS170" i="2" s="1"/>
  <c r="AR133" i="2"/>
  <c r="AR170" i="2" s="1"/>
  <c r="AQ133" i="2"/>
  <c r="AQ170" i="2" s="1"/>
  <c r="AP133" i="2"/>
  <c r="AO133" i="2"/>
  <c r="AO170" i="2" s="1"/>
  <c r="AN133" i="2"/>
  <c r="AN170" i="2" s="1"/>
  <c r="AM133" i="2"/>
  <c r="AM170" i="2" s="1"/>
  <c r="AL133" i="2"/>
  <c r="AL170" i="2" s="1"/>
  <c r="AK133" i="2"/>
  <c r="AK170" i="2" s="1"/>
  <c r="AJ133" i="2"/>
  <c r="AJ170" i="2" s="1"/>
  <c r="AI133" i="2"/>
  <c r="AH133" i="2"/>
  <c r="AG133" i="2"/>
  <c r="AG170" i="2" s="1"/>
  <c r="AF133" i="2"/>
  <c r="AF170" i="2" s="1"/>
  <c r="AE133" i="2"/>
  <c r="AE170" i="2" s="1"/>
  <c r="AD133" i="2"/>
  <c r="AD170" i="2" s="1"/>
  <c r="AC133" i="2"/>
  <c r="AC170" i="2" s="1"/>
  <c r="AB133" i="2"/>
  <c r="AB170" i="2" s="1"/>
  <c r="AA133" i="2"/>
  <c r="AA170" i="2" s="1"/>
  <c r="Z133" i="2"/>
  <c r="Z170" i="2" s="1"/>
  <c r="Y133" i="2"/>
  <c r="X133" i="2"/>
  <c r="W133" i="2"/>
  <c r="W170" i="2" s="1"/>
  <c r="V133" i="2"/>
  <c r="V170" i="2" s="1"/>
  <c r="U133" i="2"/>
  <c r="U170" i="2" s="1"/>
  <c r="T133" i="2"/>
  <c r="T170" i="2" s="1"/>
  <c r="S133" i="2"/>
  <c r="R133" i="2"/>
  <c r="R170" i="2" s="1"/>
  <c r="Q133" i="2"/>
  <c r="Q170" i="2" s="1"/>
  <c r="P133" i="2"/>
  <c r="P170" i="2" s="1"/>
  <c r="O133" i="2"/>
  <c r="O170" i="2" s="1"/>
  <c r="N133" i="2"/>
  <c r="M133" i="2"/>
  <c r="M170" i="2" s="1"/>
  <c r="L133" i="2"/>
  <c r="L170" i="2" s="1"/>
  <c r="K133" i="2"/>
  <c r="K170" i="2" s="1"/>
  <c r="J133" i="2"/>
  <c r="I133" i="2"/>
  <c r="I170" i="2" s="1"/>
  <c r="H133" i="2"/>
  <c r="H170" i="2" s="1"/>
  <c r="G133" i="2"/>
  <c r="G170" i="2" s="1"/>
  <c r="F133" i="2"/>
  <c r="F170" i="2" s="1"/>
  <c r="E133" i="2"/>
  <c r="D133" i="2"/>
  <c r="D170" i="2" s="1"/>
  <c r="C133" i="2"/>
  <c r="C170" i="2" s="1"/>
  <c r="B133" i="2"/>
  <c r="BQ132" i="2"/>
  <c r="BQ169" i="2" s="1"/>
  <c r="BP132" i="2"/>
  <c r="BP169" i="2" s="1"/>
  <c r="BO132" i="2"/>
  <c r="BO169" i="2" s="1"/>
  <c r="BN132" i="2"/>
  <c r="BN169" i="2" s="1"/>
  <c r="BM132" i="2"/>
  <c r="BM169" i="2" s="1"/>
  <c r="BL132" i="2"/>
  <c r="AY132" i="2"/>
  <c r="AY169" i="2" s="1"/>
  <c r="AX132" i="2"/>
  <c r="AX169" i="2" s="1"/>
  <c r="AW132" i="2"/>
  <c r="AW169" i="2" s="1"/>
  <c r="AV132" i="2"/>
  <c r="AV169" i="2" s="1"/>
  <c r="AU132" i="2"/>
  <c r="AU169" i="2" s="1"/>
  <c r="AT132" i="2"/>
  <c r="AS132" i="2"/>
  <c r="AS169" i="2" s="1"/>
  <c r="AR132" i="2"/>
  <c r="AR169" i="2" s="1"/>
  <c r="AQ132" i="2"/>
  <c r="AQ169" i="2" s="1"/>
  <c r="AP132" i="2"/>
  <c r="AO132" i="2"/>
  <c r="AO169" i="2" s="1"/>
  <c r="AN132" i="2"/>
  <c r="AN169" i="2" s="1"/>
  <c r="AM132" i="2"/>
  <c r="AM169" i="2" s="1"/>
  <c r="AL132" i="2"/>
  <c r="AL169" i="2" s="1"/>
  <c r="AK132" i="2"/>
  <c r="AK169" i="2" s="1"/>
  <c r="AJ132" i="2"/>
  <c r="AJ169" i="2" s="1"/>
  <c r="AI132" i="2"/>
  <c r="AH132" i="2"/>
  <c r="AG132" i="2"/>
  <c r="AG169" i="2" s="1"/>
  <c r="AF132" i="2"/>
  <c r="AF169" i="2" s="1"/>
  <c r="AE132" i="2"/>
  <c r="AE169" i="2" s="1"/>
  <c r="AD132" i="2"/>
  <c r="AD169" i="2" s="1"/>
  <c r="AC132" i="2"/>
  <c r="AC169" i="2" s="1"/>
  <c r="AB132" i="2"/>
  <c r="AB169" i="2" s="1"/>
  <c r="AA132" i="2"/>
  <c r="AA169" i="2" s="1"/>
  <c r="Z132" i="2"/>
  <c r="Z169" i="2" s="1"/>
  <c r="Y132" i="2"/>
  <c r="X132" i="2"/>
  <c r="W132" i="2"/>
  <c r="W169" i="2" s="1"/>
  <c r="V132" i="2"/>
  <c r="V169" i="2" s="1"/>
  <c r="U132" i="2"/>
  <c r="U169" i="2" s="1"/>
  <c r="T132" i="2"/>
  <c r="T169" i="2" s="1"/>
  <c r="S132" i="2"/>
  <c r="R132" i="2"/>
  <c r="R169" i="2" s="1"/>
  <c r="Q132" i="2"/>
  <c r="Q169" i="2" s="1"/>
  <c r="P132" i="2"/>
  <c r="P169" i="2" s="1"/>
  <c r="O132" i="2"/>
  <c r="O169" i="2" s="1"/>
  <c r="N132" i="2"/>
  <c r="M132" i="2"/>
  <c r="M169" i="2" s="1"/>
  <c r="L132" i="2"/>
  <c r="L169" i="2" s="1"/>
  <c r="K132" i="2"/>
  <c r="K169" i="2" s="1"/>
  <c r="J132" i="2"/>
  <c r="I132" i="2"/>
  <c r="I169" i="2" s="1"/>
  <c r="H132" i="2"/>
  <c r="H169" i="2" s="1"/>
  <c r="G132" i="2"/>
  <c r="G169" i="2" s="1"/>
  <c r="F132" i="2"/>
  <c r="F169" i="2" s="1"/>
  <c r="E132" i="2"/>
  <c r="D132" i="2"/>
  <c r="D169" i="2" s="1"/>
  <c r="C132" i="2"/>
  <c r="B132" i="2"/>
  <c r="BQ131" i="2"/>
  <c r="BQ168" i="2" s="1"/>
  <c r="BP131" i="2"/>
  <c r="BP168" i="2" s="1"/>
  <c r="BO131" i="2"/>
  <c r="BO168" i="2" s="1"/>
  <c r="BN131" i="2"/>
  <c r="BN168" i="2" s="1"/>
  <c r="BM131" i="2"/>
  <c r="BM168" i="2" s="1"/>
  <c r="BL131" i="2"/>
  <c r="AY131" i="2"/>
  <c r="AY168" i="2" s="1"/>
  <c r="AX131" i="2"/>
  <c r="AX168" i="2" s="1"/>
  <c r="AW131" i="2"/>
  <c r="AW168" i="2" s="1"/>
  <c r="AV131" i="2"/>
  <c r="AV168" i="2" s="1"/>
  <c r="AU131" i="2"/>
  <c r="AU168" i="2" s="1"/>
  <c r="AT131" i="2"/>
  <c r="AS131" i="2"/>
  <c r="AS168" i="2" s="1"/>
  <c r="AR131" i="2"/>
  <c r="AR168" i="2" s="1"/>
  <c r="AQ131" i="2"/>
  <c r="AQ168" i="2" s="1"/>
  <c r="AP131" i="2"/>
  <c r="AO131" i="2"/>
  <c r="AO168" i="2" s="1"/>
  <c r="AN131" i="2"/>
  <c r="AN168" i="2" s="1"/>
  <c r="AM131" i="2"/>
  <c r="AM168" i="2" s="1"/>
  <c r="AL131" i="2"/>
  <c r="AL168" i="2" s="1"/>
  <c r="AK131" i="2"/>
  <c r="AK168" i="2" s="1"/>
  <c r="AJ131" i="2"/>
  <c r="AJ168" i="2" s="1"/>
  <c r="AI131" i="2"/>
  <c r="AH131" i="2"/>
  <c r="AG131" i="2"/>
  <c r="AG168" i="2" s="1"/>
  <c r="AF131" i="2"/>
  <c r="AF168" i="2" s="1"/>
  <c r="AE131" i="2"/>
  <c r="AE168" i="2" s="1"/>
  <c r="AD131" i="2"/>
  <c r="AD168" i="2" s="1"/>
  <c r="AC131" i="2"/>
  <c r="AC168" i="2" s="1"/>
  <c r="AB131" i="2"/>
  <c r="AB168" i="2" s="1"/>
  <c r="AA131" i="2"/>
  <c r="AA168" i="2" s="1"/>
  <c r="Z131" i="2"/>
  <c r="Z168" i="2" s="1"/>
  <c r="Y131" i="2"/>
  <c r="X131" i="2"/>
  <c r="W131" i="2"/>
  <c r="W168" i="2" s="1"/>
  <c r="V131" i="2"/>
  <c r="V168" i="2" s="1"/>
  <c r="U131" i="2"/>
  <c r="U168" i="2" s="1"/>
  <c r="T131" i="2"/>
  <c r="T168" i="2" s="1"/>
  <c r="S131" i="2"/>
  <c r="R131" i="2"/>
  <c r="R168" i="2" s="1"/>
  <c r="Q131" i="2"/>
  <c r="Q168" i="2" s="1"/>
  <c r="P131" i="2"/>
  <c r="P168" i="2" s="1"/>
  <c r="O131" i="2"/>
  <c r="O168" i="2" s="1"/>
  <c r="N131" i="2"/>
  <c r="M131" i="2"/>
  <c r="M168" i="2" s="1"/>
  <c r="L131" i="2"/>
  <c r="L168" i="2" s="1"/>
  <c r="K131" i="2"/>
  <c r="K168" i="2" s="1"/>
  <c r="J131" i="2"/>
  <c r="I131" i="2"/>
  <c r="I168" i="2" s="1"/>
  <c r="H131" i="2"/>
  <c r="H168" i="2" s="1"/>
  <c r="G131" i="2"/>
  <c r="G168" i="2" s="1"/>
  <c r="F131" i="2"/>
  <c r="F168" i="2" s="1"/>
  <c r="E131" i="2"/>
  <c r="D131" i="2"/>
  <c r="D168" i="2" s="1"/>
  <c r="C131" i="2"/>
  <c r="C168" i="2" s="1"/>
  <c r="B131" i="2"/>
  <c r="BQ130" i="2"/>
  <c r="BQ167" i="2" s="1"/>
  <c r="BP130" i="2"/>
  <c r="BP167" i="2" s="1"/>
  <c r="BO130" i="2"/>
  <c r="BO167" i="2" s="1"/>
  <c r="BN130" i="2"/>
  <c r="BN167" i="2" s="1"/>
  <c r="BM130" i="2"/>
  <c r="BM167" i="2" s="1"/>
  <c r="BL130" i="2"/>
  <c r="AY130" i="2"/>
  <c r="AY167" i="2" s="1"/>
  <c r="AX130" i="2"/>
  <c r="AX167" i="2" s="1"/>
  <c r="AW130" i="2"/>
  <c r="AW167" i="2" s="1"/>
  <c r="AV130" i="2"/>
  <c r="AV167" i="2" s="1"/>
  <c r="AU130" i="2"/>
  <c r="AU167" i="2" s="1"/>
  <c r="AT130" i="2"/>
  <c r="AS130" i="2"/>
  <c r="AS167" i="2" s="1"/>
  <c r="AR130" i="2"/>
  <c r="AR167" i="2" s="1"/>
  <c r="AQ130" i="2"/>
  <c r="AQ167" i="2" s="1"/>
  <c r="AP130" i="2"/>
  <c r="AO130" i="2"/>
  <c r="AO167" i="2" s="1"/>
  <c r="AN130" i="2"/>
  <c r="AN167" i="2" s="1"/>
  <c r="AM130" i="2"/>
  <c r="AM167" i="2" s="1"/>
  <c r="AL130" i="2"/>
  <c r="AL167" i="2" s="1"/>
  <c r="AK130" i="2"/>
  <c r="AK167" i="2" s="1"/>
  <c r="AJ130" i="2"/>
  <c r="AJ167" i="2" s="1"/>
  <c r="AI130" i="2"/>
  <c r="AH130" i="2"/>
  <c r="AH167" i="2" s="1"/>
  <c r="AG130" i="2"/>
  <c r="AG167" i="2" s="1"/>
  <c r="AF130" i="2"/>
  <c r="AF167" i="2" s="1"/>
  <c r="AE130" i="2"/>
  <c r="AE167" i="2" s="1"/>
  <c r="AD130" i="2"/>
  <c r="AD167" i="2" s="1"/>
  <c r="AC130" i="2"/>
  <c r="AC167" i="2" s="1"/>
  <c r="AB130" i="2"/>
  <c r="AB167" i="2" s="1"/>
  <c r="AA130" i="2"/>
  <c r="AA167" i="2" s="1"/>
  <c r="Z130" i="2"/>
  <c r="Z167" i="2" s="1"/>
  <c r="Y130" i="2"/>
  <c r="X130" i="2"/>
  <c r="W130" i="2"/>
  <c r="W167" i="2" s="1"/>
  <c r="V130" i="2"/>
  <c r="V167" i="2" s="1"/>
  <c r="U130" i="2"/>
  <c r="U167" i="2" s="1"/>
  <c r="T130" i="2"/>
  <c r="T167" i="2" s="1"/>
  <c r="S130" i="2"/>
  <c r="R130" i="2"/>
  <c r="R167" i="2" s="1"/>
  <c r="Q130" i="2"/>
  <c r="Q167" i="2" s="1"/>
  <c r="P130" i="2"/>
  <c r="P167" i="2" s="1"/>
  <c r="O130" i="2"/>
  <c r="O167" i="2" s="1"/>
  <c r="N130" i="2"/>
  <c r="M130" i="2"/>
  <c r="M167" i="2" s="1"/>
  <c r="L130" i="2"/>
  <c r="L167" i="2" s="1"/>
  <c r="K130" i="2"/>
  <c r="K167" i="2" s="1"/>
  <c r="J130" i="2"/>
  <c r="I130" i="2"/>
  <c r="I167" i="2" s="1"/>
  <c r="H130" i="2"/>
  <c r="H167" i="2" s="1"/>
  <c r="G130" i="2"/>
  <c r="G167" i="2" s="1"/>
  <c r="F130" i="2"/>
  <c r="F167" i="2" s="1"/>
  <c r="E130" i="2"/>
  <c r="D130" i="2"/>
  <c r="D167" i="2" s="1"/>
  <c r="C130" i="2"/>
  <c r="B130" i="2"/>
  <c r="BQ129" i="2"/>
  <c r="BQ166" i="2" s="1"/>
  <c r="BP129" i="2"/>
  <c r="BP166" i="2" s="1"/>
  <c r="BO129" i="2"/>
  <c r="BO166" i="2" s="1"/>
  <c r="BN129" i="2"/>
  <c r="BN166" i="2" s="1"/>
  <c r="BM129" i="2"/>
  <c r="BM166" i="2" s="1"/>
  <c r="BL129" i="2"/>
  <c r="AY129" i="2"/>
  <c r="AY166" i="2" s="1"/>
  <c r="AX129" i="2"/>
  <c r="AX166" i="2" s="1"/>
  <c r="AW129" i="2"/>
  <c r="AW166" i="2" s="1"/>
  <c r="AV129" i="2"/>
  <c r="AV166" i="2" s="1"/>
  <c r="AU129" i="2"/>
  <c r="AU166" i="2" s="1"/>
  <c r="AT129" i="2"/>
  <c r="AS129" i="2"/>
  <c r="AS166" i="2" s="1"/>
  <c r="AR129" i="2"/>
  <c r="AR166" i="2" s="1"/>
  <c r="AQ129" i="2"/>
  <c r="AQ166" i="2" s="1"/>
  <c r="AP129" i="2"/>
  <c r="AO129" i="2"/>
  <c r="AO166" i="2" s="1"/>
  <c r="AN129" i="2"/>
  <c r="AN166" i="2" s="1"/>
  <c r="AM129" i="2"/>
  <c r="AM166" i="2" s="1"/>
  <c r="AL129" i="2"/>
  <c r="AL166" i="2" s="1"/>
  <c r="AK129" i="2"/>
  <c r="AK166" i="2" s="1"/>
  <c r="AJ129" i="2"/>
  <c r="AJ166" i="2" s="1"/>
  <c r="AI129" i="2"/>
  <c r="AH129" i="2"/>
  <c r="AG129" i="2"/>
  <c r="AG166" i="2" s="1"/>
  <c r="AF129" i="2"/>
  <c r="AF166" i="2" s="1"/>
  <c r="AE129" i="2"/>
  <c r="AE166" i="2" s="1"/>
  <c r="AD129" i="2"/>
  <c r="AD166" i="2" s="1"/>
  <c r="AC129" i="2"/>
  <c r="AC166" i="2" s="1"/>
  <c r="AB129" i="2"/>
  <c r="AB166" i="2" s="1"/>
  <c r="AA129" i="2"/>
  <c r="AA166" i="2" s="1"/>
  <c r="Z129" i="2"/>
  <c r="Z166" i="2" s="1"/>
  <c r="Y129" i="2"/>
  <c r="X129" i="2"/>
  <c r="X166" i="2" s="1"/>
  <c r="W129" i="2"/>
  <c r="W166" i="2" s="1"/>
  <c r="V129" i="2"/>
  <c r="V166" i="2" s="1"/>
  <c r="U129" i="2"/>
  <c r="U166" i="2" s="1"/>
  <c r="T129" i="2"/>
  <c r="T166" i="2" s="1"/>
  <c r="S129" i="2"/>
  <c r="R129" i="2"/>
  <c r="R166" i="2" s="1"/>
  <c r="Q129" i="2"/>
  <c r="Q166" i="2" s="1"/>
  <c r="P129" i="2"/>
  <c r="P166" i="2" s="1"/>
  <c r="O129" i="2"/>
  <c r="O166" i="2" s="1"/>
  <c r="N129" i="2"/>
  <c r="M129" i="2"/>
  <c r="M166" i="2" s="1"/>
  <c r="L129" i="2"/>
  <c r="L166" i="2" s="1"/>
  <c r="K129" i="2"/>
  <c r="K166" i="2" s="1"/>
  <c r="J129" i="2"/>
  <c r="I129" i="2"/>
  <c r="I166" i="2" s="1"/>
  <c r="H129" i="2"/>
  <c r="H166" i="2" s="1"/>
  <c r="G129" i="2"/>
  <c r="G166" i="2" s="1"/>
  <c r="F129" i="2"/>
  <c r="F166" i="2" s="1"/>
  <c r="E129" i="2"/>
  <c r="D129" i="2"/>
  <c r="D166" i="2" s="1"/>
  <c r="C129" i="2"/>
  <c r="C166" i="2" s="1"/>
  <c r="B129" i="2"/>
  <c r="BQ128" i="2"/>
  <c r="BQ165" i="2" s="1"/>
  <c r="BP128" i="2"/>
  <c r="BP165" i="2" s="1"/>
  <c r="BO128" i="2"/>
  <c r="BO165" i="2" s="1"/>
  <c r="BN128" i="2"/>
  <c r="BN165" i="2" s="1"/>
  <c r="BM128" i="2"/>
  <c r="BM165" i="2" s="1"/>
  <c r="BL128" i="2"/>
  <c r="AY128" i="2"/>
  <c r="AY165" i="2" s="1"/>
  <c r="AX128" i="2"/>
  <c r="AX165" i="2" s="1"/>
  <c r="AW128" i="2"/>
  <c r="AW165" i="2" s="1"/>
  <c r="AV128" i="2"/>
  <c r="AV165" i="2" s="1"/>
  <c r="AU128" i="2"/>
  <c r="AU165" i="2" s="1"/>
  <c r="AT128" i="2"/>
  <c r="AS128" i="2"/>
  <c r="AS165" i="2" s="1"/>
  <c r="AR128" i="2"/>
  <c r="AR165" i="2" s="1"/>
  <c r="AQ128" i="2"/>
  <c r="AQ165" i="2" s="1"/>
  <c r="AP128" i="2"/>
  <c r="AO128" i="2"/>
  <c r="AO165" i="2" s="1"/>
  <c r="AN128" i="2"/>
  <c r="AN165" i="2" s="1"/>
  <c r="AM128" i="2"/>
  <c r="AM165" i="2" s="1"/>
  <c r="AL128" i="2"/>
  <c r="AL165" i="2" s="1"/>
  <c r="AK128" i="2"/>
  <c r="AK165" i="2" s="1"/>
  <c r="AJ128" i="2"/>
  <c r="AJ165" i="2" s="1"/>
  <c r="AI128" i="2"/>
  <c r="AH128" i="2"/>
  <c r="AG128" i="2"/>
  <c r="AG165" i="2" s="1"/>
  <c r="AF128" i="2"/>
  <c r="AF165" i="2" s="1"/>
  <c r="AE128" i="2"/>
  <c r="AE165" i="2" s="1"/>
  <c r="AD128" i="2"/>
  <c r="AD165" i="2" s="1"/>
  <c r="AC128" i="2"/>
  <c r="AC165" i="2" s="1"/>
  <c r="AB128" i="2"/>
  <c r="AB165" i="2" s="1"/>
  <c r="AA128" i="2"/>
  <c r="AA165" i="2" s="1"/>
  <c r="Z128" i="2"/>
  <c r="Z165" i="2" s="1"/>
  <c r="Y128" i="2"/>
  <c r="X128" i="2"/>
  <c r="W128" i="2"/>
  <c r="W165" i="2" s="1"/>
  <c r="V128" i="2"/>
  <c r="V165" i="2" s="1"/>
  <c r="U128" i="2"/>
  <c r="U165" i="2" s="1"/>
  <c r="T128" i="2"/>
  <c r="T165" i="2" s="1"/>
  <c r="S128" i="2"/>
  <c r="R128" i="2"/>
  <c r="R165" i="2" s="1"/>
  <c r="Q128" i="2"/>
  <c r="Q165" i="2" s="1"/>
  <c r="P128" i="2"/>
  <c r="P165" i="2" s="1"/>
  <c r="O128" i="2"/>
  <c r="O165" i="2" s="1"/>
  <c r="N128" i="2"/>
  <c r="M128" i="2"/>
  <c r="M165" i="2" s="1"/>
  <c r="L128" i="2"/>
  <c r="L165" i="2" s="1"/>
  <c r="K128" i="2"/>
  <c r="K165" i="2" s="1"/>
  <c r="J128" i="2"/>
  <c r="I128" i="2"/>
  <c r="I165" i="2" s="1"/>
  <c r="H128" i="2"/>
  <c r="H165" i="2" s="1"/>
  <c r="G128" i="2"/>
  <c r="G165" i="2" s="1"/>
  <c r="F128" i="2"/>
  <c r="F165" i="2" s="1"/>
  <c r="E128" i="2"/>
  <c r="D128" i="2"/>
  <c r="D165" i="2" s="1"/>
  <c r="C128" i="2"/>
  <c r="B128" i="2"/>
  <c r="B165" i="2" s="1"/>
  <c r="BQ127" i="2"/>
  <c r="BQ164" i="2" s="1"/>
  <c r="BP127" i="2"/>
  <c r="BP164" i="2" s="1"/>
  <c r="BO127" i="2"/>
  <c r="BO164" i="2" s="1"/>
  <c r="BN127" i="2"/>
  <c r="BN164" i="2" s="1"/>
  <c r="BM127" i="2"/>
  <c r="BM164" i="2" s="1"/>
  <c r="BL127" i="2"/>
  <c r="AY127" i="2"/>
  <c r="AY164" i="2" s="1"/>
  <c r="AX127" i="2"/>
  <c r="AX164" i="2" s="1"/>
  <c r="AW127" i="2"/>
  <c r="AW164" i="2" s="1"/>
  <c r="AV127" i="2"/>
  <c r="AV164" i="2" s="1"/>
  <c r="AU127" i="2"/>
  <c r="AU164" i="2" s="1"/>
  <c r="AT127" i="2"/>
  <c r="AS127" i="2"/>
  <c r="AS164" i="2" s="1"/>
  <c r="AR127" i="2"/>
  <c r="AR164" i="2" s="1"/>
  <c r="AQ127" i="2"/>
  <c r="AQ164" i="2" s="1"/>
  <c r="AP127" i="2"/>
  <c r="AO127" i="2"/>
  <c r="AO164" i="2" s="1"/>
  <c r="AN127" i="2"/>
  <c r="AN164" i="2" s="1"/>
  <c r="AM127" i="2"/>
  <c r="AM164" i="2" s="1"/>
  <c r="AL127" i="2"/>
  <c r="AL164" i="2" s="1"/>
  <c r="AK127" i="2"/>
  <c r="AK164" i="2" s="1"/>
  <c r="AJ127" i="2"/>
  <c r="AJ164" i="2" s="1"/>
  <c r="AI127" i="2"/>
  <c r="AH127" i="2"/>
  <c r="AG127" i="2"/>
  <c r="AG164" i="2" s="1"/>
  <c r="AF127" i="2"/>
  <c r="AF164" i="2" s="1"/>
  <c r="AE127" i="2"/>
  <c r="AE164" i="2" s="1"/>
  <c r="AD127" i="2"/>
  <c r="AD164" i="2" s="1"/>
  <c r="AC127" i="2"/>
  <c r="AC164" i="2" s="1"/>
  <c r="AB127" i="2"/>
  <c r="AB164" i="2" s="1"/>
  <c r="AA127" i="2"/>
  <c r="AA164" i="2" s="1"/>
  <c r="Z127" i="2"/>
  <c r="Z164" i="2" s="1"/>
  <c r="Y127" i="2"/>
  <c r="Y164" i="2" s="1"/>
  <c r="X127" i="2"/>
  <c r="X164" i="2" s="1"/>
  <c r="W127" i="2"/>
  <c r="W164" i="2" s="1"/>
  <c r="V127" i="2"/>
  <c r="V164" i="2" s="1"/>
  <c r="U127" i="2"/>
  <c r="U164" i="2" s="1"/>
  <c r="T127" i="2"/>
  <c r="T164" i="2" s="1"/>
  <c r="S127" i="2"/>
  <c r="R127" i="2"/>
  <c r="R164" i="2" s="1"/>
  <c r="Q127" i="2"/>
  <c r="Q164" i="2" s="1"/>
  <c r="P127" i="2"/>
  <c r="P164" i="2" s="1"/>
  <c r="O127" i="2"/>
  <c r="O164" i="2" s="1"/>
  <c r="N127" i="2"/>
  <c r="M127" i="2"/>
  <c r="M164" i="2" s="1"/>
  <c r="L127" i="2"/>
  <c r="L164" i="2" s="1"/>
  <c r="K127" i="2"/>
  <c r="K164" i="2" s="1"/>
  <c r="J127" i="2"/>
  <c r="I127" i="2"/>
  <c r="I164" i="2" s="1"/>
  <c r="H127" i="2"/>
  <c r="H164" i="2" s="1"/>
  <c r="G127" i="2"/>
  <c r="G164" i="2" s="1"/>
  <c r="F127" i="2"/>
  <c r="F164" i="2" s="1"/>
  <c r="E127" i="2"/>
  <c r="D127" i="2"/>
  <c r="D164" i="2" s="1"/>
  <c r="C127" i="2"/>
  <c r="C164" i="2" s="1"/>
  <c r="B127" i="2"/>
  <c r="BQ126" i="2"/>
  <c r="BQ163" i="2" s="1"/>
  <c r="BP126" i="2"/>
  <c r="BP163" i="2" s="1"/>
  <c r="BO126" i="2"/>
  <c r="BO163" i="2" s="1"/>
  <c r="BN126" i="2"/>
  <c r="BN163" i="2" s="1"/>
  <c r="BM126" i="2"/>
  <c r="BM163" i="2" s="1"/>
  <c r="BL126" i="2"/>
  <c r="AY126" i="2"/>
  <c r="AY163" i="2" s="1"/>
  <c r="AX126" i="2"/>
  <c r="AX163" i="2" s="1"/>
  <c r="AW126" i="2"/>
  <c r="AW163" i="2" s="1"/>
  <c r="AV126" i="2"/>
  <c r="AV163" i="2" s="1"/>
  <c r="AU126" i="2"/>
  <c r="AU163" i="2" s="1"/>
  <c r="AT126" i="2"/>
  <c r="AT163" i="2" s="1"/>
  <c r="AS126" i="2"/>
  <c r="AS163" i="2" s="1"/>
  <c r="AR126" i="2"/>
  <c r="AR163" i="2" s="1"/>
  <c r="AQ126" i="2"/>
  <c r="AQ163" i="2" s="1"/>
  <c r="AP126" i="2"/>
  <c r="AO126" i="2"/>
  <c r="AO163" i="2" s="1"/>
  <c r="AN126" i="2"/>
  <c r="AN163" i="2" s="1"/>
  <c r="AM126" i="2"/>
  <c r="AM163" i="2" s="1"/>
  <c r="AL126" i="2"/>
  <c r="AL163" i="2" s="1"/>
  <c r="AK126" i="2"/>
  <c r="AK163" i="2" s="1"/>
  <c r="AJ126" i="2"/>
  <c r="AJ163" i="2" s="1"/>
  <c r="AI126" i="2"/>
  <c r="AH126" i="2"/>
  <c r="AG126" i="2"/>
  <c r="AG163" i="2" s="1"/>
  <c r="AF126" i="2"/>
  <c r="AF163" i="2" s="1"/>
  <c r="AE126" i="2"/>
  <c r="AE163" i="2" s="1"/>
  <c r="AD126" i="2"/>
  <c r="AD163" i="2" s="1"/>
  <c r="AC126" i="2"/>
  <c r="AC163" i="2" s="1"/>
  <c r="AB126" i="2"/>
  <c r="AB163" i="2" s="1"/>
  <c r="AA126" i="2"/>
  <c r="AA163" i="2" s="1"/>
  <c r="Z126" i="2"/>
  <c r="Z163" i="2" s="1"/>
  <c r="Y126" i="2"/>
  <c r="X126" i="2"/>
  <c r="W126" i="2"/>
  <c r="W163" i="2" s="1"/>
  <c r="V126" i="2"/>
  <c r="V163" i="2" s="1"/>
  <c r="U126" i="2"/>
  <c r="U163" i="2" s="1"/>
  <c r="T126" i="2"/>
  <c r="T163" i="2" s="1"/>
  <c r="S126" i="2"/>
  <c r="R126" i="2"/>
  <c r="R163" i="2" s="1"/>
  <c r="Q126" i="2"/>
  <c r="Q163" i="2" s="1"/>
  <c r="P126" i="2"/>
  <c r="P163" i="2" s="1"/>
  <c r="O126" i="2"/>
  <c r="O163" i="2" s="1"/>
  <c r="N126" i="2"/>
  <c r="M126" i="2"/>
  <c r="M163" i="2" s="1"/>
  <c r="L126" i="2"/>
  <c r="L163" i="2" s="1"/>
  <c r="K126" i="2"/>
  <c r="K163" i="2" s="1"/>
  <c r="J126" i="2"/>
  <c r="J163" i="2" s="1"/>
  <c r="I126" i="2"/>
  <c r="I163" i="2" s="1"/>
  <c r="H126" i="2"/>
  <c r="H163" i="2" s="1"/>
  <c r="G126" i="2"/>
  <c r="G163" i="2" s="1"/>
  <c r="F126" i="2"/>
  <c r="F163" i="2" s="1"/>
  <c r="E126" i="2"/>
  <c r="D126" i="2"/>
  <c r="D163" i="2" s="1"/>
  <c r="C126" i="2"/>
  <c r="B126" i="2"/>
  <c r="BQ125" i="2"/>
  <c r="BQ162" i="2" s="1"/>
  <c r="BP125" i="2"/>
  <c r="BP162" i="2" s="1"/>
  <c r="BO125" i="2"/>
  <c r="BO162" i="2" s="1"/>
  <c r="BN125" i="2"/>
  <c r="BN162" i="2" s="1"/>
  <c r="BM125" i="2"/>
  <c r="BM162" i="2" s="1"/>
  <c r="BL125" i="2"/>
  <c r="AY125" i="2"/>
  <c r="AY162" i="2" s="1"/>
  <c r="AX125" i="2"/>
  <c r="AX162" i="2" s="1"/>
  <c r="AW125" i="2"/>
  <c r="AW162" i="2" s="1"/>
  <c r="AV125" i="2"/>
  <c r="AV162" i="2" s="1"/>
  <c r="AU125" i="2"/>
  <c r="AU162" i="2" s="1"/>
  <c r="AT125" i="2"/>
  <c r="AS125" i="2"/>
  <c r="AS162" i="2" s="1"/>
  <c r="AR125" i="2"/>
  <c r="AR162" i="2" s="1"/>
  <c r="AQ125" i="2"/>
  <c r="AQ162" i="2" s="1"/>
  <c r="AP125" i="2"/>
  <c r="AO125" i="2"/>
  <c r="AO162" i="2" s="1"/>
  <c r="AN125" i="2"/>
  <c r="AN162" i="2" s="1"/>
  <c r="AM125" i="2"/>
  <c r="AM162" i="2" s="1"/>
  <c r="AL125" i="2"/>
  <c r="AL162" i="2" s="1"/>
  <c r="AK125" i="2"/>
  <c r="AK162" i="2" s="1"/>
  <c r="AJ125" i="2"/>
  <c r="AJ162" i="2" s="1"/>
  <c r="AI125" i="2"/>
  <c r="AH125" i="2"/>
  <c r="AG125" i="2"/>
  <c r="AG162" i="2" s="1"/>
  <c r="AF125" i="2"/>
  <c r="AF162" i="2" s="1"/>
  <c r="AE125" i="2"/>
  <c r="AE162" i="2" s="1"/>
  <c r="AD125" i="2"/>
  <c r="AD162" i="2" s="1"/>
  <c r="AC125" i="2"/>
  <c r="AC162" i="2" s="1"/>
  <c r="AB125" i="2"/>
  <c r="AB162" i="2" s="1"/>
  <c r="AA125" i="2"/>
  <c r="AA162" i="2" s="1"/>
  <c r="Z125" i="2"/>
  <c r="Z162" i="2" s="1"/>
  <c r="Y125" i="2"/>
  <c r="Y162" i="2" s="1"/>
  <c r="X125" i="2"/>
  <c r="W125" i="2"/>
  <c r="W162" i="2" s="1"/>
  <c r="V125" i="2"/>
  <c r="V162" i="2" s="1"/>
  <c r="U125" i="2"/>
  <c r="U162" i="2" s="1"/>
  <c r="T125" i="2"/>
  <c r="T162" i="2" s="1"/>
  <c r="S125" i="2"/>
  <c r="R125" i="2"/>
  <c r="R162" i="2" s="1"/>
  <c r="Q125" i="2"/>
  <c r="Q162" i="2" s="1"/>
  <c r="P125" i="2"/>
  <c r="P162" i="2" s="1"/>
  <c r="O125" i="2"/>
  <c r="O162" i="2" s="1"/>
  <c r="N125" i="2"/>
  <c r="M125" i="2"/>
  <c r="M162" i="2" s="1"/>
  <c r="L125" i="2"/>
  <c r="L162" i="2" s="1"/>
  <c r="K125" i="2"/>
  <c r="K162" i="2" s="1"/>
  <c r="J125" i="2"/>
  <c r="I125" i="2"/>
  <c r="I162" i="2" s="1"/>
  <c r="H125" i="2"/>
  <c r="H162" i="2" s="1"/>
  <c r="G125" i="2"/>
  <c r="G162" i="2" s="1"/>
  <c r="F125" i="2"/>
  <c r="F162" i="2" s="1"/>
  <c r="E125" i="2"/>
  <c r="D125" i="2"/>
  <c r="D162" i="2" s="1"/>
  <c r="C125" i="2"/>
  <c r="C162" i="2" s="1"/>
  <c r="B125" i="2"/>
  <c r="BQ124" i="2"/>
  <c r="BQ161" i="2" s="1"/>
  <c r="BP124" i="2"/>
  <c r="BP161" i="2" s="1"/>
  <c r="BO124" i="2"/>
  <c r="BO161" i="2" s="1"/>
  <c r="BN124" i="2"/>
  <c r="BN161" i="2" s="1"/>
  <c r="BM124" i="2"/>
  <c r="BM161" i="2" s="1"/>
  <c r="BL124" i="2"/>
  <c r="AY124" i="2"/>
  <c r="AY161" i="2" s="1"/>
  <c r="AX124" i="2"/>
  <c r="AX161" i="2" s="1"/>
  <c r="AW124" i="2"/>
  <c r="AW161" i="2" s="1"/>
  <c r="AV124" i="2"/>
  <c r="AV161" i="2" s="1"/>
  <c r="AU124" i="2"/>
  <c r="AU161" i="2" s="1"/>
  <c r="AT124" i="2"/>
  <c r="AS124" i="2"/>
  <c r="AS161" i="2" s="1"/>
  <c r="AR124" i="2"/>
  <c r="AR161" i="2" s="1"/>
  <c r="AQ124" i="2"/>
  <c r="AQ161" i="2" s="1"/>
  <c r="AP124" i="2"/>
  <c r="AO124" i="2"/>
  <c r="AO161" i="2" s="1"/>
  <c r="AN124" i="2"/>
  <c r="AN161" i="2" s="1"/>
  <c r="AM124" i="2"/>
  <c r="AM161" i="2" s="1"/>
  <c r="AL124" i="2"/>
  <c r="AL161" i="2" s="1"/>
  <c r="AK124" i="2"/>
  <c r="AK161" i="2" s="1"/>
  <c r="AJ124" i="2"/>
  <c r="AJ161" i="2" s="1"/>
  <c r="AI124" i="2"/>
  <c r="AH124" i="2"/>
  <c r="AH161" i="2" s="1"/>
  <c r="AG124" i="2"/>
  <c r="AG161" i="2" s="1"/>
  <c r="AF124" i="2"/>
  <c r="AF161" i="2" s="1"/>
  <c r="AE124" i="2"/>
  <c r="AE161" i="2" s="1"/>
  <c r="AD124" i="2"/>
  <c r="AD161" i="2" s="1"/>
  <c r="AC124" i="2"/>
  <c r="AC161" i="2" s="1"/>
  <c r="AB124" i="2"/>
  <c r="AB161" i="2" s="1"/>
  <c r="AA124" i="2"/>
  <c r="AA161" i="2" s="1"/>
  <c r="Z124" i="2"/>
  <c r="Z161" i="2" s="1"/>
  <c r="Y124" i="2"/>
  <c r="X124" i="2"/>
  <c r="W124" i="2"/>
  <c r="W161" i="2" s="1"/>
  <c r="V124" i="2"/>
  <c r="V161" i="2" s="1"/>
  <c r="U124" i="2"/>
  <c r="U161" i="2" s="1"/>
  <c r="T124" i="2"/>
  <c r="T161" i="2" s="1"/>
  <c r="S124" i="2"/>
  <c r="S161" i="2" s="1"/>
  <c r="R124" i="2"/>
  <c r="R161" i="2" s="1"/>
  <c r="Q124" i="2"/>
  <c r="Q161" i="2" s="1"/>
  <c r="P124" i="2"/>
  <c r="P161" i="2" s="1"/>
  <c r="O124" i="2"/>
  <c r="O161" i="2" s="1"/>
  <c r="N124" i="2"/>
  <c r="M124" i="2"/>
  <c r="M161" i="2" s="1"/>
  <c r="L124" i="2"/>
  <c r="L161" i="2" s="1"/>
  <c r="K124" i="2"/>
  <c r="K161" i="2" s="1"/>
  <c r="J124" i="2"/>
  <c r="I124" i="2"/>
  <c r="I161" i="2" s="1"/>
  <c r="H124" i="2"/>
  <c r="H161" i="2" s="1"/>
  <c r="G124" i="2"/>
  <c r="G161" i="2" s="1"/>
  <c r="F124" i="2"/>
  <c r="F161" i="2" s="1"/>
  <c r="E124" i="2"/>
  <c r="D124" i="2"/>
  <c r="D161" i="2" s="1"/>
  <c r="C124" i="2"/>
  <c r="B124" i="2"/>
  <c r="BQ123" i="2"/>
  <c r="BQ160" i="2" s="1"/>
  <c r="BP123" i="2"/>
  <c r="BP160" i="2" s="1"/>
  <c r="BO123" i="2"/>
  <c r="BO160" i="2" s="1"/>
  <c r="BN123" i="2"/>
  <c r="BN160" i="2" s="1"/>
  <c r="BM123" i="2"/>
  <c r="BM160" i="2" s="1"/>
  <c r="BL123" i="2"/>
  <c r="AY123" i="2"/>
  <c r="AY160" i="2" s="1"/>
  <c r="AX123" i="2"/>
  <c r="AX160" i="2" s="1"/>
  <c r="AW123" i="2"/>
  <c r="AW160" i="2" s="1"/>
  <c r="AV123" i="2"/>
  <c r="AV160" i="2" s="1"/>
  <c r="AU123" i="2"/>
  <c r="AU160" i="2" s="1"/>
  <c r="AT123" i="2"/>
  <c r="AS123" i="2"/>
  <c r="AS160" i="2" s="1"/>
  <c r="AR123" i="2"/>
  <c r="AR160" i="2" s="1"/>
  <c r="AQ123" i="2"/>
  <c r="AQ160" i="2" s="1"/>
  <c r="AP123" i="2"/>
  <c r="AO123" i="2"/>
  <c r="AO160" i="2" s="1"/>
  <c r="AN123" i="2"/>
  <c r="AN160" i="2" s="1"/>
  <c r="AM123" i="2"/>
  <c r="AM160" i="2" s="1"/>
  <c r="AL123" i="2"/>
  <c r="AL160" i="2" s="1"/>
  <c r="AK123" i="2"/>
  <c r="AK160" i="2" s="1"/>
  <c r="AJ123" i="2"/>
  <c r="AJ160" i="2" s="1"/>
  <c r="AI123" i="2"/>
  <c r="AH123" i="2"/>
  <c r="AG123" i="2"/>
  <c r="AG160" i="2" s="1"/>
  <c r="AF123" i="2"/>
  <c r="AF160" i="2" s="1"/>
  <c r="AE123" i="2"/>
  <c r="AE160" i="2" s="1"/>
  <c r="AD123" i="2"/>
  <c r="AD160" i="2" s="1"/>
  <c r="AC123" i="2"/>
  <c r="AC160" i="2" s="1"/>
  <c r="AB123" i="2"/>
  <c r="AB160" i="2" s="1"/>
  <c r="AA123" i="2"/>
  <c r="AA160" i="2" s="1"/>
  <c r="Z123" i="2"/>
  <c r="Z160" i="2" s="1"/>
  <c r="Y123" i="2"/>
  <c r="Y160" i="2" s="1"/>
  <c r="X123" i="2"/>
  <c r="W123" i="2"/>
  <c r="W160" i="2" s="1"/>
  <c r="V123" i="2"/>
  <c r="V160" i="2" s="1"/>
  <c r="U123" i="2"/>
  <c r="U160" i="2" s="1"/>
  <c r="T123" i="2"/>
  <c r="T160" i="2" s="1"/>
  <c r="S123" i="2"/>
  <c r="R123" i="2"/>
  <c r="R160" i="2" s="1"/>
  <c r="Q123" i="2"/>
  <c r="Q160" i="2" s="1"/>
  <c r="P123" i="2"/>
  <c r="P160" i="2" s="1"/>
  <c r="O123" i="2"/>
  <c r="O160" i="2" s="1"/>
  <c r="N123" i="2"/>
  <c r="M123" i="2"/>
  <c r="M160" i="2" s="1"/>
  <c r="L123" i="2"/>
  <c r="L160" i="2" s="1"/>
  <c r="K123" i="2"/>
  <c r="K160" i="2" s="1"/>
  <c r="J123" i="2"/>
  <c r="I123" i="2"/>
  <c r="I160" i="2" s="1"/>
  <c r="H123" i="2"/>
  <c r="H160" i="2" s="1"/>
  <c r="G123" i="2"/>
  <c r="G160" i="2" s="1"/>
  <c r="F123" i="2"/>
  <c r="F160" i="2" s="1"/>
  <c r="E123" i="2"/>
  <c r="D123" i="2"/>
  <c r="D160" i="2" s="1"/>
  <c r="C123" i="2"/>
  <c r="C160" i="2" s="1"/>
  <c r="B123" i="2"/>
  <c r="BQ122" i="2"/>
  <c r="BQ159" i="2" s="1"/>
  <c r="BP122" i="2"/>
  <c r="BP159" i="2" s="1"/>
  <c r="BO122" i="2"/>
  <c r="BO159" i="2" s="1"/>
  <c r="BN122" i="2"/>
  <c r="BN159" i="2" s="1"/>
  <c r="BM122" i="2"/>
  <c r="BM159" i="2" s="1"/>
  <c r="BL122" i="2"/>
  <c r="AY122" i="2"/>
  <c r="AY159" i="2" s="1"/>
  <c r="AX122" i="2"/>
  <c r="AX159" i="2" s="1"/>
  <c r="AW122" i="2"/>
  <c r="AW159" i="2" s="1"/>
  <c r="AV122" i="2"/>
  <c r="AV159" i="2" s="1"/>
  <c r="AU122" i="2"/>
  <c r="AU159" i="2" s="1"/>
  <c r="AT122" i="2"/>
  <c r="AS122" i="2"/>
  <c r="AS159" i="2" s="1"/>
  <c r="AR122" i="2"/>
  <c r="AR159" i="2" s="1"/>
  <c r="AQ122" i="2"/>
  <c r="AQ159" i="2" s="1"/>
  <c r="AP122" i="2"/>
  <c r="AO122" i="2"/>
  <c r="AO159" i="2" s="1"/>
  <c r="AN122" i="2"/>
  <c r="AN159" i="2" s="1"/>
  <c r="AM122" i="2"/>
  <c r="AM159" i="2" s="1"/>
  <c r="AL122" i="2"/>
  <c r="AL159" i="2" s="1"/>
  <c r="AK122" i="2"/>
  <c r="AK159" i="2" s="1"/>
  <c r="AJ122" i="2"/>
  <c r="AJ159" i="2" s="1"/>
  <c r="AI122" i="2"/>
  <c r="AH122" i="2"/>
  <c r="AG122" i="2"/>
  <c r="AG159" i="2" s="1"/>
  <c r="AF122" i="2"/>
  <c r="AF159" i="2" s="1"/>
  <c r="AE122" i="2"/>
  <c r="AE159" i="2" s="1"/>
  <c r="AD122" i="2"/>
  <c r="AD159" i="2" s="1"/>
  <c r="AC122" i="2"/>
  <c r="AC159" i="2" s="1"/>
  <c r="AB122" i="2"/>
  <c r="AB159" i="2" s="1"/>
  <c r="AA122" i="2"/>
  <c r="AA159" i="2" s="1"/>
  <c r="Z122" i="2"/>
  <c r="Z159" i="2" s="1"/>
  <c r="Y122" i="2"/>
  <c r="Y159" i="2" s="1"/>
  <c r="X122" i="2"/>
  <c r="W122" i="2"/>
  <c r="W159" i="2" s="1"/>
  <c r="V122" i="2"/>
  <c r="V159" i="2" s="1"/>
  <c r="U122" i="2"/>
  <c r="U159" i="2" s="1"/>
  <c r="T122" i="2"/>
  <c r="T159" i="2" s="1"/>
  <c r="S122" i="2"/>
  <c r="R122" i="2"/>
  <c r="R159" i="2" s="1"/>
  <c r="Q122" i="2"/>
  <c r="Q159" i="2" s="1"/>
  <c r="P122" i="2"/>
  <c r="P159" i="2" s="1"/>
  <c r="O122" i="2"/>
  <c r="O159" i="2" s="1"/>
  <c r="N122" i="2"/>
  <c r="M122" i="2"/>
  <c r="M159" i="2" s="1"/>
  <c r="L122" i="2"/>
  <c r="L159" i="2" s="1"/>
  <c r="K122" i="2"/>
  <c r="K159" i="2" s="1"/>
  <c r="J122" i="2"/>
  <c r="I122" i="2"/>
  <c r="I159" i="2" s="1"/>
  <c r="H122" i="2"/>
  <c r="H159" i="2" s="1"/>
  <c r="G122" i="2"/>
  <c r="G159" i="2" s="1"/>
  <c r="F122" i="2"/>
  <c r="F159" i="2" s="1"/>
  <c r="E122" i="2"/>
  <c r="E159" i="2" s="1"/>
  <c r="D122" i="2"/>
  <c r="D159" i="2" s="1"/>
  <c r="C122" i="2"/>
  <c r="C159" i="2" s="1"/>
  <c r="B122" i="2"/>
  <c r="BQ121" i="2"/>
  <c r="BQ158" i="2" s="1"/>
  <c r="BP121" i="2"/>
  <c r="BP158" i="2" s="1"/>
  <c r="BO121" i="2"/>
  <c r="BO158" i="2" s="1"/>
  <c r="BN121" i="2"/>
  <c r="BN158" i="2" s="1"/>
  <c r="BM121" i="2"/>
  <c r="BM158" i="2" s="1"/>
  <c r="BL121" i="2"/>
  <c r="AY121" i="2"/>
  <c r="AY158" i="2" s="1"/>
  <c r="AX121" i="2"/>
  <c r="AX158" i="2" s="1"/>
  <c r="AW121" i="2"/>
  <c r="AW158" i="2" s="1"/>
  <c r="AV121" i="2"/>
  <c r="AV158" i="2" s="1"/>
  <c r="AU121" i="2"/>
  <c r="AU158" i="2" s="1"/>
  <c r="AT121" i="2"/>
  <c r="AS121" i="2"/>
  <c r="AS158" i="2" s="1"/>
  <c r="AR121" i="2"/>
  <c r="AR158" i="2" s="1"/>
  <c r="AQ121" i="2"/>
  <c r="AQ158" i="2" s="1"/>
  <c r="AP121" i="2"/>
  <c r="AO121" i="2"/>
  <c r="AO158" i="2" s="1"/>
  <c r="AN121" i="2"/>
  <c r="AN158" i="2" s="1"/>
  <c r="AM121" i="2"/>
  <c r="AM158" i="2" s="1"/>
  <c r="AL121" i="2"/>
  <c r="AL158" i="2" s="1"/>
  <c r="AK121" i="2"/>
  <c r="AK158" i="2" s="1"/>
  <c r="AJ121" i="2"/>
  <c r="AJ158" i="2" s="1"/>
  <c r="AI121" i="2"/>
  <c r="AH121" i="2"/>
  <c r="AG121" i="2"/>
  <c r="AG158" i="2" s="1"/>
  <c r="AF121" i="2"/>
  <c r="AF158" i="2" s="1"/>
  <c r="AE121" i="2"/>
  <c r="AE158" i="2" s="1"/>
  <c r="AD121" i="2"/>
  <c r="AD158" i="2" s="1"/>
  <c r="AC121" i="2"/>
  <c r="AC158" i="2" s="1"/>
  <c r="AB121" i="2"/>
  <c r="AB158" i="2" s="1"/>
  <c r="AA121" i="2"/>
  <c r="AA158" i="2" s="1"/>
  <c r="Z121" i="2"/>
  <c r="Z158" i="2" s="1"/>
  <c r="Y121" i="2"/>
  <c r="X121" i="2"/>
  <c r="W121" i="2"/>
  <c r="W158" i="2" s="1"/>
  <c r="V121" i="2"/>
  <c r="V158" i="2" s="1"/>
  <c r="U121" i="2"/>
  <c r="U158" i="2" s="1"/>
  <c r="T121" i="2"/>
  <c r="T158" i="2" s="1"/>
  <c r="S121" i="2"/>
  <c r="R121" i="2"/>
  <c r="R158" i="2" s="1"/>
  <c r="Q121" i="2"/>
  <c r="Q158" i="2" s="1"/>
  <c r="P121" i="2"/>
  <c r="P158" i="2" s="1"/>
  <c r="O121" i="2"/>
  <c r="O158" i="2" s="1"/>
  <c r="N121" i="2"/>
  <c r="M121" i="2"/>
  <c r="M158" i="2" s="1"/>
  <c r="L121" i="2"/>
  <c r="L158" i="2" s="1"/>
  <c r="K121" i="2"/>
  <c r="K158" i="2" s="1"/>
  <c r="J121" i="2"/>
  <c r="I121" i="2"/>
  <c r="I158" i="2" s="1"/>
  <c r="H121" i="2"/>
  <c r="H158" i="2" s="1"/>
  <c r="G121" i="2"/>
  <c r="G158" i="2" s="1"/>
  <c r="F121" i="2"/>
  <c r="F158" i="2" s="1"/>
  <c r="E121" i="2"/>
  <c r="D121" i="2"/>
  <c r="D158" i="2" s="1"/>
  <c r="C121" i="2"/>
  <c r="C158" i="2" s="1"/>
  <c r="B121" i="2"/>
  <c r="BQ120" i="2"/>
  <c r="BQ157" i="2" s="1"/>
  <c r="BP120" i="2"/>
  <c r="BP157" i="2" s="1"/>
  <c r="BO120" i="2"/>
  <c r="BO157" i="2" s="1"/>
  <c r="BN120" i="2"/>
  <c r="BN157" i="2" s="1"/>
  <c r="BM120" i="2"/>
  <c r="BM157" i="2" s="1"/>
  <c r="BL120" i="2"/>
  <c r="AY120" i="2"/>
  <c r="AY157" i="2" s="1"/>
  <c r="AX120" i="2"/>
  <c r="AX157" i="2" s="1"/>
  <c r="AW120" i="2"/>
  <c r="AW157" i="2" s="1"/>
  <c r="AV120" i="2"/>
  <c r="AV157" i="2" s="1"/>
  <c r="AU120" i="2"/>
  <c r="AU157" i="2" s="1"/>
  <c r="AT120" i="2"/>
  <c r="AS120" i="2"/>
  <c r="AS157" i="2" s="1"/>
  <c r="AR120" i="2"/>
  <c r="AR157" i="2" s="1"/>
  <c r="AQ120" i="2"/>
  <c r="AQ157" i="2" s="1"/>
  <c r="AP120" i="2"/>
  <c r="AO120" i="2"/>
  <c r="AO157" i="2" s="1"/>
  <c r="AN120" i="2"/>
  <c r="AN157" i="2" s="1"/>
  <c r="AM120" i="2"/>
  <c r="AM157" i="2" s="1"/>
  <c r="AL120" i="2"/>
  <c r="AL157" i="2" s="1"/>
  <c r="AK120" i="2"/>
  <c r="AK157" i="2" s="1"/>
  <c r="AJ120" i="2"/>
  <c r="AJ157" i="2" s="1"/>
  <c r="AI120" i="2"/>
  <c r="AH120" i="2"/>
  <c r="AG120" i="2"/>
  <c r="AG157" i="2" s="1"/>
  <c r="AF120" i="2"/>
  <c r="AF157" i="2" s="1"/>
  <c r="AE120" i="2"/>
  <c r="AE157" i="2" s="1"/>
  <c r="AD120" i="2"/>
  <c r="AD157" i="2" s="1"/>
  <c r="AC120" i="2"/>
  <c r="AC157" i="2" s="1"/>
  <c r="AB120" i="2"/>
  <c r="AB157" i="2" s="1"/>
  <c r="AA120" i="2"/>
  <c r="AA157" i="2" s="1"/>
  <c r="Z120" i="2"/>
  <c r="Z157" i="2" s="1"/>
  <c r="Y120" i="2"/>
  <c r="X120" i="2"/>
  <c r="W120" i="2"/>
  <c r="W157" i="2" s="1"/>
  <c r="V120" i="2"/>
  <c r="V157" i="2" s="1"/>
  <c r="U120" i="2"/>
  <c r="U157" i="2" s="1"/>
  <c r="T120" i="2"/>
  <c r="T157" i="2" s="1"/>
  <c r="S120" i="2"/>
  <c r="R120" i="2"/>
  <c r="R157" i="2" s="1"/>
  <c r="Q120" i="2"/>
  <c r="Q157" i="2" s="1"/>
  <c r="P120" i="2"/>
  <c r="P157" i="2" s="1"/>
  <c r="O120" i="2"/>
  <c r="O157" i="2" s="1"/>
  <c r="N120" i="2"/>
  <c r="M120" i="2"/>
  <c r="M157" i="2" s="1"/>
  <c r="L120" i="2"/>
  <c r="L157" i="2" s="1"/>
  <c r="K120" i="2"/>
  <c r="K157" i="2" s="1"/>
  <c r="J120" i="2"/>
  <c r="J157" i="2" s="1"/>
  <c r="I120" i="2"/>
  <c r="I157" i="2" s="1"/>
  <c r="H120" i="2"/>
  <c r="H157" i="2" s="1"/>
  <c r="G120" i="2"/>
  <c r="G157" i="2" s="1"/>
  <c r="F120" i="2"/>
  <c r="F157" i="2" s="1"/>
  <c r="E120" i="2"/>
  <c r="D120" i="2"/>
  <c r="D157" i="2" s="1"/>
  <c r="C120" i="2"/>
  <c r="C157" i="2" s="1"/>
  <c r="B120" i="2"/>
  <c r="BQ119" i="2"/>
  <c r="BQ156" i="2" s="1"/>
  <c r="BP119" i="2"/>
  <c r="BP156" i="2" s="1"/>
  <c r="BO119" i="2"/>
  <c r="BO156" i="2" s="1"/>
  <c r="BN119" i="2"/>
  <c r="BN156" i="2" s="1"/>
  <c r="BM119" i="2"/>
  <c r="BM156" i="2" s="1"/>
  <c r="BL119" i="2"/>
  <c r="BL156" i="2" s="1"/>
  <c r="AY119" i="2"/>
  <c r="AY156" i="2" s="1"/>
  <c r="AX119" i="2"/>
  <c r="AX156" i="2" s="1"/>
  <c r="AW119" i="2"/>
  <c r="AW156" i="2" s="1"/>
  <c r="AV119" i="2"/>
  <c r="AV156" i="2" s="1"/>
  <c r="AU119" i="2"/>
  <c r="AU156" i="2" s="1"/>
  <c r="AT119" i="2"/>
  <c r="AS119" i="2"/>
  <c r="AS156" i="2" s="1"/>
  <c r="AR119" i="2"/>
  <c r="AR156" i="2" s="1"/>
  <c r="AQ119" i="2"/>
  <c r="AQ156" i="2" s="1"/>
  <c r="AP119" i="2"/>
  <c r="AO119" i="2"/>
  <c r="AO156" i="2" s="1"/>
  <c r="AN119" i="2"/>
  <c r="AN156" i="2" s="1"/>
  <c r="AM119" i="2"/>
  <c r="AM156" i="2" s="1"/>
  <c r="AL119" i="2"/>
  <c r="AL156" i="2" s="1"/>
  <c r="AK119" i="2"/>
  <c r="AK156" i="2" s="1"/>
  <c r="AJ119" i="2"/>
  <c r="AJ156" i="2" s="1"/>
  <c r="AI119" i="2"/>
  <c r="AH119" i="2"/>
  <c r="AG119" i="2"/>
  <c r="AG156" i="2" s="1"/>
  <c r="AF119" i="2"/>
  <c r="AF156" i="2" s="1"/>
  <c r="AE119" i="2"/>
  <c r="AE156" i="2" s="1"/>
  <c r="AD119" i="2"/>
  <c r="AD156" i="2" s="1"/>
  <c r="AC119" i="2"/>
  <c r="AC156" i="2" s="1"/>
  <c r="AB119" i="2"/>
  <c r="AB156" i="2" s="1"/>
  <c r="AA119" i="2"/>
  <c r="AA156" i="2" s="1"/>
  <c r="Z119" i="2"/>
  <c r="Z156" i="2" s="1"/>
  <c r="Y119" i="2"/>
  <c r="Y156" i="2" s="1"/>
  <c r="X119" i="2"/>
  <c r="W119" i="2"/>
  <c r="W156" i="2" s="1"/>
  <c r="V119" i="2"/>
  <c r="V156" i="2" s="1"/>
  <c r="U119" i="2"/>
  <c r="U156" i="2" s="1"/>
  <c r="T119" i="2"/>
  <c r="T156" i="2" s="1"/>
  <c r="S119" i="2"/>
  <c r="R119" i="2"/>
  <c r="R156" i="2" s="1"/>
  <c r="Q119" i="2"/>
  <c r="Q156" i="2" s="1"/>
  <c r="P119" i="2"/>
  <c r="P156" i="2" s="1"/>
  <c r="O119" i="2"/>
  <c r="O156" i="2" s="1"/>
  <c r="N119" i="2"/>
  <c r="M119" i="2"/>
  <c r="M156" i="2" s="1"/>
  <c r="L119" i="2"/>
  <c r="L156" i="2" s="1"/>
  <c r="K119" i="2"/>
  <c r="K156" i="2" s="1"/>
  <c r="J119" i="2"/>
  <c r="I119" i="2"/>
  <c r="I156" i="2" s="1"/>
  <c r="H119" i="2"/>
  <c r="H156" i="2" s="1"/>
  <c r="G119" i="2"/>
  <c r="G156" i="2" s="1"/>
  <c r="F119" i="2"/>
  <c r="F156" i="2" s="1"/>
  <c r="E119" i="2"/>
  <c r="D119" i="2"/>
  <c r="D156" i="2" s="1"/>
  <c r="C119" i="2"/>
  <c r="C156" i="2" s="1"/>
  <c r="B119" i="2"/>
  <c r="BQ118" i="2"/>
  <c r="BQ155" i="2" s="1"/>
  <c r="BP118" i="2"/>
  <c r="BP155" i="2" s="1"/>
  <c r="BO118" i="2"/>
  <c r="BO155" i="2" s="1"/>
  <c r="BN118" i="2"/>
  <c r="BN155" i="2" s="1"/>
  <c r="BM118" i="2"/>
  <c r="BM155" i="2" s="1"/>
  <c r="BL118" i="2"/>
  <c r="AY118" i="2"/>
  <c r="AY155" i="2" s="1"/>
  <c r="AX118" i="2"/>
  <c r="AX155" i="2" s="1"/>
  <c r="AW118" i="2"/>
  <c r="AW155" i="2" s="1"/>
  <c r="AV118" i="2"/>
  <c r="AV155" i="2" s="1"/>
  <c r="AU118" i="2"/>
  <c r="AU155" i="2" s="1"/>
  <c r="AT118" i="2"/>
  <c r="AS118" i="2"/>
  <c r="AS155" i="2" s="1"/>
  <c r="AR118" i="2"/>
  <c r="AR155" i="2" s="1"/>
  <c r="AQ118" i="2"/>
  <c r="AQ155" i="2" s="1"/>
  <c r="AP118" i="2"/>
  <c r="AO118" i="2"/>
  <c r="AO155" i="2" s="1"/>
  <c r="AN118" i="2"/>
  <c r="AN155" i="2" s="1"/>
  <c r="AM118" i="2"/>
  <c r="AM155" i="2" s="1"/>
  <c r="AL118" i="2"/>
  <c r="AL155" i="2" s="1"/>
  <c r="AK118" i="2"/>
  <c r="AK155" i="2" s="1"/>
  <c r="AJ118" i="2"/>
  <c r="AJ155" i="2" s="1"/>
  <c r="AI118" i="2"/>
  <c r="AH118" i="2"/>
  <c r="AG118" i="2"/>
  <c r="AG155" i="2" s="1"/>
  <c r="AF118" i="2"/>
  <c r="AF155" i="2" s="1"/>
  <c r="AE118" i="2"/>
  <c r="AE155" i="2" s="1"/>
  <c r="AD118" i="2"/>
  <c r="AD155" i="2" s="1"/>
  <c r="AC118" i="2"/>
  <c r="AC155" i="2" s="1"/>
  <c r="AB118" i="2"/>
  <c r="AB155" i="2" s="1"/>
  <c r="AA118" i="2"/>
  <c r="AA155" i="2" s="1"/>
  <c r="Z118" i="2"/>
  <c r="Z155" i="2" s="1"/>
  <c r="Y118" i="2"/>
  <c r="X118" i="2"/>
  <c r="W118" i="2"/>
  <c r="W155" i="2" s="1"/>
  <c r="V118" i="2"/>
  <c r="V155" i="2" s="1"/>
  <c r="U118" i="2"/>
  <c r="U155" i="2" s="1"/>
  <c r="T118" i="2"/>
  <c r="T155" i="2" s="1"/>
  <c r="S118" i="2"/>
  <c r="S155" i="2" s="1"/>
  <c r="R118" i="2"/>
  <c r="R155" i="2" s="1"/>
  <c r="Q118" i="2"/>
  <c r="Q155" i="2" s="1"/>
  <c r="P118" i="2"/>
  <c r="P155" i="2" s="1"/>
  <c r="O118" i="2"/>
  <c r="O155" i="2" s="1"/>
  <c r="N118" i="2"/>
  <c r="N155" i="2" s="1"/>
  <c r="M118" i="2"/>
  <c r="M155" i="2" s="1"/>
  <c r="L118" i="2"/>
  <c r="L155" i="2" s="1"/>
  <c r="K118" i="2"/>
  <c r="K155" i="2" s="1"/>
  <c r="J118" i="2"/>
  <c r="I118" i="2"/>
  <c r="I155" i="2" s="1"/>
  <c r="H118" i="2"/>
  <c r="H155" i="2" s="1"/>
  <c r="G118" i="2"/>
  <c r="G155" i="2" s="1"/>
  <c r="F118" i="2"/>
  <c r="F155" i="2" s="1"/>
  <c r="E118" i="2"/>
  <c r="D118" i="2"/>
  <c r="D155" i="2" s="1"/>
  <c r="C118" i="2"/>
  <c r="C155" i="2" s="1"/>
  <c r="B118" i="2"/>
  <c r="BQ117" i="2"/>
  <c r="BQ154" i="2" s="1"/>
  <c r="BP117" i="2"/>
  <c r="BP154" i="2" s="1"/>
  <c r="BO117" i="2"/>
  <c r="BO154" i="2" s="1"/>
  <c r="BN117" i="2"/>
  <c r="BN154" i="2" s="1"/>
  <c r="BM117" i="2"/>
  <c r="BM154" i="2" s="1"/>
  <c r="BL117" i="2"/>
  <c r="AY117" i="2"/>
  <c r="AY154" i="2" s="1"/>
  <c r="AX117" i="2"/>
  <c r="AX154" i="2" s="1"/>
  <c r="AW117" i="2"/>
  <c r="AW154" i="2" s="1"/>
  <c r="AV117" i="2"/>
  <c r="AV154" i="2" s="1"/>
  <c r="AU117" i="2"/>
  <c r="AU154" i="2" s="1"/>
  <c r="AT117" i="2"/>
  <c r="AS117" i="2"/>
  <c r="AS154" i="2" s="1"/>
  <c r="AR117" i="2"/>
  <c r="AR154" i="2" s="1"/>
  <c r="AQ117" i="2"/>
  <c r="AQ154" i="2" s="1"/>
  <c r="AP117" i="2"/>
  <c r="AO117" i="2"/>
  <c r="AO154" i="2" s="1"/>
  <c r="AN117" i="2"/>
  <c r="AN154" i="2" s="1"/>
  <c r="AM117" i="2"/>
  <c r="AM154" i="2" s="1"/>
  <c r="AL117" i="2"/>
  <c r="AL154" i="2" s="1"/>
  <c r="AK117" i="2"/>
  <c r="AK154" i="2" s="1"/>
  <c r="AJ117" i="2"/>
  <c r="AJ154" i="2" s="1"/>
  <c r="AI117" i="2"/>
  <c r="AH117" i="2"/>
  <c r="AH154" i="2" s="1"/>
  <c r="AG117" i="2"/>
  <c r="AG154" i="2" s="1"/>
  <c r="AF117" i="2"/>
  <c r="AF154" i="2" s="1"/>
  <c r="AE117" i="2"/>
  <c r="AE154" i="2" s="1"/>
  <c r="AD117" i="2"/>
  <c r="AD154" i="2" s="1"/>
  <c r="AC117" i="2"/>
  <c r="AC154" i="2" s="1"/>
  <c r="AB117" i="2"/>
  <c r="AB154" i="2" s="1"/>
  <c r="AA117" i="2"/>
  <c r="AA154" i="2" s="1"/>
  <c r="Z117" i="2"/>
  <c r="Z154" i="2" s="1"/>
  <c r="Y117" i="2"/>
  <c r="X117" i="2"/>
  <c r="X154" i="2" s="1"/>
  <c r="W117" i="2"/>
  <c r="W154" i="2" s="1"/>
  <c r="V117" i="2"/>
  <c r="V154" i="2" s="1"/>
  <c r="U117" i="2"/>
  <c r="U154" i="2" s="1"/>
  <c r="T117" i="2"/>
  <c r="T154" i="2" s="1"/>
  <c r="S117" i="2"/>
  <c r="R117" i="2"/>
  <c r="R154" i="2" s="1"/>
  <c r="Q117" i="2"/>
  <c r="Q154" i="2" s="1"/>
  <c r="P117" i="2"/>
  <c r="P154" i="2" s="1"/>
  <c r="O117" i="2"/>
  <c r="O154" i="2" s="1"/>
  <c r="N117" i="2"/>
  <c r="M117" i="2"/>
  <c r="M154" i="2" s="1"/>
  <c r="L117" i="2"/>
  <c r="L154" i="2" s="1"/>
  <c r="K117" i="2"/>
  <c r="K154" i="2" s="1"/>
  <c r="J117" i="2"/>
  <c r="I117" i="2"/>
  <c r="I154" i="2" s="1"/>
  <c r="H117" i="2"/>
  <c r="H154" i="2" s="1"/>
  <c r="G117" i="2"/>
  <c r="G154" i="2" s="1"/>
  <c r="F117" i="2"/>
  <c r="F154" i="2" s="1"/>
  <c r="E117" i="2"/>
  <c r="D117" i="2"/>
  <c r="D154" i="2" s="1"/>
  <c r="C117" i="2"/>
  <c r="C154" i="2" s="1"/>
  <c r="B117" i="2"/>
  <c r="BQ116" i="2"/>
  <c r="BQ153" i="2" s="1"/>
  <c r="BP116" i="2"/>
  <c r="BP153" i="2" s="1"/>
  <c r="BO116" i="2"/>
  <c r="BO153" i="2" s="1"/>
  <c r="BN116" i="2"/>
  <c r="BN153" i="2" s="1"/>
  <c r="BM116" i="2"/>
  <c r="BM153" i="2" s="1"/>
  <c r="BL116" i="2"/>
  <c r="AY116" i="2"/>
  <c r="AY153" i="2" s="1"/>
  <c r="AX116" i="2"/>
  <c r="AX153" i="2" s="1"/>
  <c r="AW116" i="2"/>
  <c r="AW153" i="2" s="1"/>
  <c r="AV116" i="2"/>
  <c r="AV153" i="2" s="1"/>
  <c r="AU116" i="2"/>
  <c r="AU153" i="2" s="1"/>
  <c r="AT116" i="2"/>
  <c r="AS116" i="2"/>
  <c r="AS153" i="2" s="1"/>
  <c r="AR116" i="2"/>
  <c r="AR153" i="2" s="1"/>
  <c r="AQ116" i="2"/>
  <c r="AQ153" i="2" s="1"/>
  <c r="AP116" i="2"/>
  <c r="AO116" i="2"/>
  <c r="AO153" i="2" s="1"/>
  <c r="AN116" i="2"/>
  <c r="AN153" i="2" s="1"/>
  <c r="AM116" i="2"/>
  <c r="AM153" i="2" s="1"/>
  <c r="AL116" i="2"/>
  <c r="AL153" i="2" s="1"/>
  <c r="AK116" i="2"/>
  <c r="AK153" i="2" s="1"/>
  <c r="AJ116" i="2"/>
  <c r="AJ153" i="2" s="1"/>
  <c r="AI116" i="2"/>
  <c r="AH116" i="2"/>
  <c r="AG116" i="2"/>
  <c r="AG153" i="2" s="1"/>
  <c r="AF116" i="2"/>
  <c r="AF153" i="2" s="1"/>
  <c r="AE116" i="2"/>
  <c r="AE153" i="2" s="1"/>
  <c r="AD116" i="2"/>
  <c r="AD153" i="2" s="1"/>
  <c r="AC116" i="2"/>
  <c r="AC153" i="2" s="1"/>
  <c r="AB116" i="2"/>
  <c r="AB153" i="2" s="1"/>
  <c r="AA116" i="2"/>
  <c r="AA153" i="2" s="1"/>
  <c r="Z116" i="2"/>
  <c r="Z153" i="2" s="1"/>
  <c r="Y116" i="2"/>
  <c r="X116" i="2"/>
  <c r="W116" i="2"/>
  <c r="W153" i="2" s="1"/>
  <c r="V116" i="2"/>
  <c r="V153" i="2" s="1"/>
  <c r="U116" i="2"/>
  <c r="U153" i="2" s="1"/>
  <c r="T116" i="2"/>
  <c r="T153" i="2" s="1"/>
  <c r="S116" i="2"/>
  <c r="R116" i="2"/>
  <c r="R153" i="2" s="1"/>
  <c r="Q116" i="2"/>
  <c r="Q153" i="2" s="1"/>
  <c r="P116" i="2"/>
  <c r="P153" i="2" s="1"/>
  <c r="O116" i="2"/>
  <c r="O153" i="2" s="1"/>
  <c r="N116" i="2"/>
  <c r="M116" i="2"/>
  <c r="M153" i="2" s="1"/>
  <c r="L116" i="2"/>
  <c r="L153" i="2" s="1"/>
  <c r="K116" i="2"/>
  <c r="K153" i="2" s="1"/>
  <c r="J116" i="2"/>
  <c r="I116" i="2"/>
  <c r="I153" i="2" s="1"/>
  <c r="H116" i="2"/>
  <c r="H153" i="2" s="1"/>
  <c r="G116" i="2"/>
  <c r="G153" i="2" s="1"/>
  <c r="F116" i="2"/>
  <c r="F153" i="2" s="1"/>
  <c r="E116" i="2"/>
  <c r="D116" i="2"/>
  <c r="D153" i="2" s="1"/>
  <c r="C116" i="2"/>
  <c r="C153" i="2" s="1"/>
  <c r="B116" i="2"/>
  <c r="BQ115" i="2"/>
  <c r="BQ152" i="2" s="1"/>
  <c r="BP115" i="2"/>
  <c r="BP152" i="2" s="1"/>
  <c r="BO115" i="2"/>
  <c r="BO152" i="2" s="1"/>
  <c r="BN115" i="2"/>
  <c r="BN152" i="2" s="1"/>
  <c r="BM115" i="2"/>
  <c r="BM152" i="2" s="1"/>
  <c r="BL115" i="2"/>
  <c r="AY115" i="2"/>
  <c r="AY152" i="2" s="1"/>
  <c r="AX115" i="2"/>
  <c r="AX152" i="2" s="1"/>
  <c r="AW115" i="2"/>
  <c r="AW152" i="2" s="1"/>
  <c r="AV115" i="2"/>
  <c r="AV152" i="2" s="1"/>
  <c r="AU115" i="2"/>
  <c r="AU152" i="2" s="1"/>
  <c r="AT115" i="2"/>
  <c r="AS115" i="2"/>
  <c r="AS152" i="2" s="1"/>
  <c r="AR115" i="2"/>
  <c r="AR152" i="2" s="1"/>
  <c r="AQ115" i="2"/>
  <c r="AQ152" i="2" s="1"/>
  <c r="AP115" i="2"/>
  <c r="AO115" i="2"/>
  <c r="AO152" i="2" s="1"/>
  <c r="AN115" i="2"/>
  <c r="AN152" i="2" s="1"/>
  <c r="AM115" i="2"/>
  <c r="AM152" i="2" s="1"/>
  <c r="AL115" i="2"/>
  <c r="AL152" i="2" s="1"/>
  <c r="AK115" i="2"/>
  <c r="AK152" i="2" s="1"/>
  <c r="AJ115" i="2"/>
  <c r="AJ152" i="2" s="1"/>
  <c r="AI115" i="2"/>
  <c r="AH115" i="2"/>
  <c r="AG115" i="2"/>
  <c r="AG152" i="2" s="1"/>
  <c r="AF115" i="2"/>
  <c r="AF152" i="2" s="1"/>
  <c r="AE115" i="2"/>
  <c r="AE152" i="2" s="1"/>
  <c r="AD115" i="2"/>
  <c r="AD152" i="2" s="1"/>
  <c r="AC115" i="2"/>
  <c r="AC152" i="2" s="1"/>
  <c r="AB115" i="2"/>
  <c r="AB152" i="2" s="1"/>
  <c r="AA115" i="2"/>
  <c r="AA152" i="2" s="1"/>
  <c r="Z115" i="2"/>
  <c r="Z152" i="2" s="1"/>
  <c r="Y115" i="2"/>
  <c r="X115" i="2"/>
  <c r="W115" i="2"/>
  <c r="W152" i="2" s="1"/>
  <c r="V115" i="2"/>
  <c r="V152" i="2" s="1"/>
  <c r="U115" i="2"/>
  <c r="U152" i="2" s="1"/>
  <c r="T115" i="2"/>
  <c r="T152" i="2" s="1"/>
  <c r="S115" i="2"/>
  <c r="R115" i="2"/>
  <c r="R152" i="2" s="1"/>
  <c r="Q115" i="2"/>
  <c r="Q152" i="2" s="1"/>
  <c r="P115" i="2"/>
  <c r="P152" i="2" s="1"/>
  <c r="O115" i="2"/>
  <c r="O152" i="2" s="1"/>
  <c r="N115" i="2"/>
  <c r="M115" i="2"/>
  <c r="M152" i="2" s="1"/>
  <c r="L115" i="2"/>
  <c r="L152" i="2" s="1"/>
  <c r="K115" i="2"/>
  <c r="K152" i="2" s="1"/>
  <c r="J115" i="2"/>
  <c r="J152" i="2" s="1"/>
  <c r="I115" i="2"/>
  <c r="I152" i="2" s="1"/>
  <c r="H115" i="2"/>
  <c r="H152" i="2" s="1"/>
  <c r="G115" i="2"/>
  <c r="G152" i="2" s="1"/>
  <c r="F115" i="2"/>
  <c r="F152" i="2" s="1"/>
  <c r="E115" i="2"/>
  <c r="D115" i="2"/>
  <c r="D152" i="2" s="1"/>
  <c r="C115" i="2"/>
  <c r="C152" i="2" s="1"/>
  <c r="B115" i="2"/>
  <c r="BQ114" i="2"/>
  <c r="BQ151" i="2" s="1"/>
  <c r="BP114" i="2"/>
  <c r="BP151" i="2" s="1"/>
  <c r="BO114" i="2"/>
  <c r="BO151" i="2" s="1"/>
  <c r="BN114" i="2"/>
  <c r="BN151" i="2" s="1"/>
  <c r="BM114" i="2"/>
  <c r="BM151" i="2" s="1"/>
  <c r="BL114" i="2"/>
  <c r="AY114" i="2"/>
  <c r="AY151" i="2" s="1"/>
  <c r="AX114" i="2"/>
  <c r="AX151" i="2" s="1"/>
  <c r="AW114" i="2"/>
  <c r="AW151" i="2" s="1"/>
  <c r="AV114" i="2"/>
  <c r="AV151" i="2" s="1"/>
  <c r="AU114" i="2"/>
  <c r="AU151" i="2" s="1"/>
  <c r="AT114" i="2"/>
  <c r="AT151" i="2" s="1"/>
  <c r="AS114" i="2"/>
  <c r="AS151" i="2" s="1"/>
  <c r="AR114" i="2"/>
  <c r="AR151" i="2" s="1"/>
  <c r="AQ114" i="2"/>
  <c r="AQ151" i="2" s="1"/>
  <c r="AP114" i="2"/>
  <c r="AO114" i="2"/>
  <c r="AO151" i="2" s="1"/>
  <c r="AN114" i="2"/>
  <c r="AN151" i="2" s="1"/>
  <c r="AM114" i="2"/>
  <c r="AM151" i="2" s="1"/>
  <c r="AL114" i="2"/>
  <c r="AL151" i="2" s="1"/>
  <c r="AK114" i="2"/>
  <c r="AK151" i="2" s="1"/>
  <c r="AJ114" i="2"/>
  <c r="AJ151" i="2" s="1"/>
  <c r="AI114" i="2"/>
  <c r="AH114" i="2"/>
  <c r="AH151" i="2" s="1"/>
  <c r="AG114" i="2"/>
  <c r="AG151" i="2" s="1"/>
  <c r="AF114" i="2"/>
  <c r="AF151" i="2" s="1"/>
  <c r="AE114" i="2"/>
  <c r="AE151" i="2" s="1"/>
  <c r="AD114" i="2"/>
  <c r="AD151" i="2" s="1"/>
  <c r="AC114" i="2"/>
  <c r="AC151" i="2" s="1"/>
  <c r="AB114" i="2"/>
  <c r="AB151" i="2" s="1"/>
  <c r="AA114" i="2"/>
  <c r="AA151" i="2" s="1"/>
  <c r="Z114" i="2"/>
  <c r="Z151" i="2" s="1"/>
  <c r="Y114" i="2"/>
  <c r="X114" i="2"/>
  <c r="W114" i="2"/>
  <c r="W151" i="2" s="1"/>
  <c r="V114" i="2"/>
  <c r="V151" i="2" s="1"/>
  <c r="U114" i="2"/>
  <c r="U151" i="2" s="1"/>
  <c r="T114" i="2"/>
  <c r="T151" i="2" s="1"/>
  <c r="S114" i="2"/>
  <c r="R114" i="2"/>
  <c r="R151" i="2" s="1"/>
  <c r="Q114" i="2"/>
  <c r="Q151" i="2" s="1"/>
  <c r="P114" i="2"/>
  <c r="P151" i="2" s="1"/>
  <c r="O114" i="2"/>
  <c r="O151" i="2" s="1"/>
  <c r="N114" i="2"/>
  <c r="M114" i="2"/>
  <c r="M151" i="2" s="1"/>
  <c r="L114" i="2"/>
  <c r="L151" i="2" s="1"/>
  <c r="K114" i="2"/>
  <c r="K151" i="2" s="1"/>
  <c r="J114" i="2"/>
  <c r="J151" i="2" s="1"/>
  <c r="I114" i="2"/>
  <c r="I151" i="2" s="1"/>
  <c r="H114" i="2"/>
  <c r="H151" i="2" s="1"/>
  <c r="G114" i="2"/>
  <c r="G151" i="2" s="1"/>
  <c r="F114" i="2"/>
  <c r="F151" i="2" s="1"/>
  <c r="E114" i="2"/>
  <c r="D114" i="2"/>
  <c r="D151" i="2" s="1"/>
  <c r="C114" i="2"/>
  <c r="C151" i="2" s="1"/>
  <c r="B114" i="2"/>
  <c r="BQ113" i="2"/>
  <c r="BQ150" i="2" s="1"/>
  <c r="BP113" i="2"/>
  <c r="BP150" i="2" s="1"/>
  <c r="BO113" i="2"/>
  <c r="BO150" i="2" s="1"/>
  <c r="BN113" i="2"/>
  <c r="BN150" i="2" s="1"/>
  <c r="BM113" i="2"/>
  <c r="BM150" i="2" s="1"/>
  <c r="BL113" i="2"/>
  <c r="AY113" i="2"/>
  <c r="AY150" i="2" s="1"/>
  <c r="AX113" i="2"/>
  <c r="AX150" i="2" s="1"/>
  <c r="AW113" i="2"/>
  <c r="AW150" i="2" s="1"/>
  <c r="AV113" i="2"/>
  <c r="AV150" i="2" s="1"/>
  <c r="AU113" i="2"/>
  <c r="AU150" i="2" s="1"/>
  <c r="AT113" i="2"/>
  <c r="AS113" i="2"/>
  <c r="AS150" i="2" s="1"/>
  <c r="AR113" i="2"/>
  <c r="AR150" i="2" s="1"/>
  <c r="AQ113" i="2"/>
  <c r="AQ150" i="2" s="1"/>
  <c r="AP113" i="2"/>
  <c r="AO113" i="2"/>
  <c r="AO150" i="2" s="1"/>
  <c r="AN113" i="2"/>
  <c r="AN150" i="2" s="1"/>
  <c r="AM113" i="2"/>
  <c r="AM150" i="2" s="1"/>
  <c r="AL113" i="2"/>
  <c r="AL150" i="2" s="1"/>
  <c r="AK113" i="2"/>
  <c r="AK150" i="2" s="1"/>
  <c r="AJ113" i="2"/>
  <c r="AJ150" i="2" s="1"/>
  <c r="AI113" i="2"/>
  <c r="AH113" i="2"/>
  <c r="AG113" i="2"/>
  <c r="AG150" i="2" s="1"/>
  <c r="AF113" i="2"/>
  <c r="AF150" i="2" s="1"/>
  <c r="AE113" i="2"/>
  <c r="AE150" i="2" s="1"/>
  <c r="AD113" i="2"/>
  <c r="AD150" i="2" s="1"/>
  <c r="AC113" i="2"/>
  <c r="AC150" i="2" s="1"/>
  <c r="AB113" i="2"/>
  <c r="AB150" i="2" s="1"/>
  <c r="AA113" i="2"/>
  <c r="AA150" i="2" s="1"/>
  <c r="Z113" i="2"/>
  <c r="Z150" i="2" s="1"/>
  <c r="Y113" i="2"/>
  <c r="X113" i="2"/>
  <c r="W113" i="2"/>
  <c r="W150" i="2" s="1"/>
  <c r="V113" i="2"/>
  <c r="V150" i="2" s="1"/>
  <c r="U113" i="2"/>
  <c r="U150" i="2" s="1"/>
  <c r="T113" i="2"/>
  <c r="T150" i="2" s="1"/>
  <c r="S113" i="2"/>
  <c r="R113" i="2"/>
  <c r="R150" i="2" s="1"/>
  <c r="Q113" i="2"/>
  <c r="Q150" i="2" s="1"/>
  <c r="P113" i="2"/>
  <c r="P150" i="2" s="1"/>
  <c r="O113" i="2"/>
  <c r="O150" i="2" s="1"/>
  <c r="N113" i="2"/>
  <c r="M113" i="2"/>
  <c r="M150" i="2" s="1"/>
  <c r="L113" i="2"/>
  <c r="L150" i="2" s="1"/>
  <c r="K113" i="2"/>
  <c r="K150" i="2" s="1"/>
  <c r="J113" i="2"/>
  <c r="I113" i="2"/>
  <c r="I150" i="2" s="1"/>
  <c r="H113" i="2"/>
  <c r="H150" i="2" s="1"/>
  <c r="G113" i="2"/>
  <c r="G150" i="2" s="1"/>
  <c r="F113" i="2"/>
  <c r="F150" i="2" s="1"/>
  <c r="E113" i="2"/>
  <c r="D113" i="2"/>
  <c r="D150" i="2" s="1"/>
  <c r="C113" i="2"/>
  <c r="C150" i="2" s="1"/>
  <c r="B113" i="2"/>
  <c r="BQ112" i="2"/>
  <c r="BQ149" i="2" s="1"/>
  <c r="BP112" i="2"/>
  <c r="BP149" i="2" s="1"/>
  <c r="BO112" i="2"/>
  <c r="BO149" i="2" s="1"/>
  <c r="BN112" i="2"/>
  <c r="BN149" i="2" s="1"/>
  <c r="BM112" i="2"/>
  <c r="BM149" i="2" s="1"/>
  <c r="BL112" i="2"/>
  <c r="AY112" i="2"/>
  <c r="AY149" i="2" s="1"/>
  <c r="AX112" i="2"/>
  <c r="AX149" i="2" s="1"/>
  <c r="AW112" i="2"/>
  <c r="AW149" i="2" s="1"/>
  <c r="AV112" i="2"/>
  <c r="AV149" i="2" s="1"/>
  <c r="AU112" i="2"/>
  <c r="AU149" i="2" s="1"/>
  <c r="AT112" i="2"/>
  <c r="AS112" i="2"/>
  <c r="AS149" i="2" s="1"/>
  <c r="AR112" i="2"/>
  <c r="AR149" i="2" s="1"/>
  <c r="AQ112" i="2"/>
  <c r="AQ149" i="2" s="1"/>
  <c r="AP112" i="2"/>
  <c r="AO112" i="2"/>
  <c r="AO149" i="2" s="1"/>
  <c r="AN112" i="2"/>
  <c r="AN149" i="2" s="1"/>
  <c r="AM112" i="2"/>
  <c r="AM149" i="2" s="1"/>
  <c r="AL112" i="2"/>
  <c r="AL149" i="2" s="1"/>
  <c r="AK112" i="2"/>
  <c r="AK149" i="2" s="1"/>
  <c r="AJ112" i="2"/>
  <c r="AJ149" i="2" s="1"/>
  <c r="AI112" i="2"/>
  <c r="AH112" i="2"/>
  <c r="AH149" i="2" s="1"/>
  <c r="AG112" i="2"/>
  <c r="AG149" i="2" s="1"/>
  <c r="AF112" i="2"/>
  <c r="AF149" i="2" s="1"/>
  <c r="AE112" i="2"/>
  <c r="AE149" i="2" s="1"/>
  <c r="AD112" i="2"/>
  <c r="AD149" i="2" s="1"/>
  <c r="AC112" i="2"/>
  <c r="AC149" i="2" s="1"/>
  <c r="AB112" i="2"/>
  <c r="AB149" i="2" s="1"/>
  <c r="AA112" i="2"/>
  <c r="AA149" i="2" s="1"/>
  <c r="Z112" i="2"/>
  <c r="Z149" i="2" s="1"/>
  <c r="Y112" i="2"/>
  <c r="X112" i="2"/>
  <c r="W112" i="2"/>
  <c r="W149" i="2" s="1"/>
  <c r="V112" i="2"/>
  <c r="V149" i="2" s="1"/>
  <c r="U112" i="2"/>
  <c r="U149" i="2" s="1"/>
  <c r="T112" i="2"/>
  <c r="T149" i="2" s="1"/>
  <c r="S112" i="2"/>
  <c r="R112" i="2"/>
  <c r="R149" i="2" s="1"/>
  <c r="Q112" i="2"/>
  <c r="Q149" i="2" s="1"/>
  <c r="P112" i="2"/>
  <c r="P149" i="2" s="1"/>
  <c r="O112" i="2"/>
  <c r="O149" i="2" s="1"/>
  <c r="N112" i="2"/>
  <c r="N149" i="2" s="1"/>
  <c r="M112" i="2"/>
  <c r="M149" i="2" s="1"/>
  <c r="L112" i="2"/>
  <c r="L149" i="2" s="1"/>
  <c r="K112" i="2"/>
  <c r="K149" i="2" s="1"/>
  <c r="J112" i="2"/>
  <c r="J149" i="2" s="1"/>
  <c r="I112" i="2"/>
  <c r="I149" i="2" s="1"/>
  <c r="H112" i="2"/>
  <c r="H149" i="2" s="1"/>
  <c r="G112" i="2"/>
  <c r="G149" i="2" s="1"/>
  <c r="F112" i="2"/>
  <c r="F149" i="2" s="1"/>
  <c r="E112" i="2"/>
  <c r="E149" i="2" s="1"/>
  <c r="D112" i="2"/>
  <c r="D149" i="2" s="1"/>
  <c r="C112" i="2"/>
  <c r="C149" i="2" s="1"/>
  <c r="B112" i="2"/>
  <c r="B149" i="2" s="1"/>
  <c r="BQ111" i="2"/>
  <c r="BQ148" i="2" s="1"/>
  <c r="BP111" i="2"/>
  <c r="BP148" i="2" s="1"/>
  <c r="BO111" i="2"/>
  <c r="BO148" i="2" s="1"/>
  <c r="BN111" i="2"/>
  <c r="BN148" i="2" s="1"/>
  <c r="BM111" i="2"/>
  <c r="BM148" i="2" s="1"/>
  <c r="BL111" i="2"/>
  <c r="AY111" i="2"/>
  <c r="AY148" i="2" s="1"/>
  <c r="AX111" i="2"/>
  <c r="AX148" i="2" s="1"/>
  <c r="AW111" i="2"/>
  <c r="AW148" i="2" s="1"/>
  <c r="AV111" i="2"/>
  <c r="AV148" i="2" s="1"/>
  <c r="AU111" i="2"/>
  <c r="AU148" i="2" s="1"/>
  <c r="AT111" i="2"/>
  <c r="AT148" i="2" s="1"/>
  <c r="AS111" i="2"/>
  <c r="AS148" i="2" s="1"/>
  <c r="AR111" i="2"/>
  <c r="AR148" i="2" s="1"/>
  <c r="AQ111" i="2"/>
  <c r="AQ148" i="2" s="1"/>
  <c r="AP111" i="2"/>
  <c r="AO111" i="2"/>
  <c r="AO148" i="2" s="1"/>
  <c r="AN111" i="2"/>
  <c r="AN148" i="2" s="1"/>
  <c r="AM111" i="2"/>
  <c r="AM148" i="2" s="1"/>
  <c r="AL111" i="2"/>
  <c r="AL148" i="2" s="1"/>
  <c r="AK111" i="2"/>
  <c r="AK148" i="2" s="1"/>
  <c r="AJ111" i="2"/>
  <c r="AJ148" i="2" s="1"/>
  <c r="AI111" i="2"/>
  <c r="AH111" i="2"/>
  <c r="AH148" i="2" s="1"/>
  <c r="AG111" i="2"/>
  <c r="AG148" i="2" s="1"/>
  <c r="AF111" i="2"/>
  <c r="AF148" i="2" s="1"/>
  <c r="AE111" i="2"/>
  <c r="AE148" i="2" s="1"/>
  <c r="AD111" i="2"/>
  <c r="AD148" i="2" s="1"/>
  <c r="AC111" i="2"/>
  <c r="AC148" i="2" s="1"/>
  <c r="AB111" i="2"/>
  <c r="AB148" i="2" s="1"/>
  <c r="AA111" i="2"/>
  <c r="AA148" i="2" s="1"/>
  <c r="Z111" i="2"/>
  <c r="Z148" i="2" s="1"/>
  <c r="Y111" i="2"/>
  <c r="X111" i="2"/>
  <c r="W111" i="2"/>
  <c r="W148" i="2" s="1"/>
  <c r="V111" i="2"/>
  <c r="V148" i="2" s="1"/>
  <c r="U111" i="2"/>
  <c r="U148" i="2" s="1"/>
  <c r="T111" i="2"/>
  <c r="T148" i="2" s="1"/>
  <c r="S111" i="2"/>
  <c r="S148" i="2" s="1"/>
  <c r="R111" i="2"/>
  <c r="R148" i="2" s="1"/>
  <c r="Q111" i="2"/>
  <c r="Q148" i="2" s="1"/>
  <c r="P111" i="2"/>
  <c r="P148" i="2" s="1"/>
  <c r="O111" i="2"/>
  <c r="O148" i="2" s="1"/>
  <c r="N111" i="2"/>
  <c r="M111" i="2"/>
  <c r="M148" i="2" s="1"/>
  <c r="L111" i="2"/>
  <c r="L148" i="2" s="1"/>
  <c r="K111" i="2"/>
  <c r="K148" i="2" s="1"/>
  <c r="J111" i="2"/>
  <c r="I111" i="2"/>
  <c r="I148" i="2" s="1"/>
  <c r="H111" i="2"/>
  <c r="H148" i="2" s="1"/>
  <c r="G111" i="2"/>
  <c r="G148" i="2" s="1"/>
  <c r="F111" i="2"/>
  <c r="F148" i="2" s="1"/>
  <c r="E111" i="2"/>
  <c r="D111" i="2"/>
  <c r="D148" i="2" s="1"/>
  <c r="C111" i="2"/>
  <c r="C148" i="2" s="1"/>
  <c r="B111" i="2"/>
  <c r="BQ110" i="2"/>
  <c r="BQ147" i="2" s="1"/>
  <c r="BP110" i="2"/>
  <c r="BP147" i="2" s="1"/>
  <c r="BO110" i="2"/>
  <c r="BO147" i="2" s="1"/>
  <c r="BN110" i="2"/>
  <c r="BM110" i="2"/>
  <c r="BL110" i="2"/>
  <c r="BL147" i="2" s="1"/>
  <c r="AZ110" i="2"/>
  <c r="AZ147" i="2" s="1"/>
  <c r="AY110" i="2"/>
  <c r="AY147" i="2" s="1"/>
  <c r="AX110" i="2"/>
  <c r="AW110" i="2"/>
  <c r="AV110" i="2"/>
  <c r="AV147" i="2" s="1"/>
  <c r="AU110" i="2"/>
  <c r="AT110" i="2"/>
  <c r="AT141" i="2" s="1"/>
  <c r="AS110" i="2"/>
  <c r="AS147" i="2" s="1"/>
  <c r="AR110" i="2"/>
  <c r="AQ110" i="2"/>
  <c r="AP110" i="2"/>
  <c r="AO110" i="2"/>
  <c r="AO147" i="2" s="1"/>
  <c r="AN110" i="2"/>
  <c r="AM110" i="2"/>
  <c r="AL110" i="2"/>
  <c r="AK110" i="2"/>
  <c r="AJ110" i="2"/>
  <c r="AI110" i="2"/>
  <c r="AH110" i="2"/>
  <c r="AG110" i="2"/>
  <c r="AG147" i="2" s="1"/>
  <c r="AF110" i="2"/>
  <c r="AE110" i="2"/>
  <c r="AD110" i="2"/>
  <c r="AD147" i="2" s="1"/>
  <c r="AC110" i="2"/>
  <c r="AC147" i="2" s="1"/>
  <c r="AB110" i="2"/>
  <c r="AB147" i="2" s="1"/>
  <c r="AA110" i="2"/>
  <c r="AA147" i="2" s="1"/>
  <c r="Z110" i="2"/>
  <c r="Y110" i="2"/>
  <c r="X110" i="2"/>
  <c r="X147" i="2" s="1"/>
  <c r="W110" i="2"/>
  <c r="W147" i="2" s="1"/>
  <c r="V110" i="2"/>
  <c r="V147" i="2" s="1"/>
  <c r="U110" i="2"/>
  <c r="U147" i="2" s="1"/>
  <c r="T110" i="2"/>
  <c r="S110" i="2"/>
  <c r="R110" i="2"/>
  <c r="R147" i="2" s="1"/>
  <c r="Q110" i="2"/>
  <c r="Q147" i="2" s="1"/>
  <c r="P110" i="2"/>
  <c r="P147" i="2" s="1"/>
  <c r="O110" i="2"/>
  <c r="O147" i="2" s="1"/>
  <c r="N110" i="2"/>
  <c r="M110" i="2"/>
  <c r="L110" i="2"/>
  <c r="L147" i="2" s="1"/>
  <c r="K110" i="2"/>
  <c r="J110" i="2"/>
  <c r="I110" i="2"/>
  <c r="I147" i="2" s="1"/>
  <c r="H110" i="2"/>
  <c r="G110" i="2"/>
  <c r="F110" i="2"/>
  <c r="F147" i="2" s="1"/>
  <c r="E110" i="2"/>
  <c r="D110" i="2"/>
  <c r="C110" i="2"/>
  <c r="B110" i="2"/>
  <c r="BQ106" i="2"/>
  <c r="BP106" i="2"/>
  <c r="BO106" i="2"/>
  <c r="BN106" i="2"/>
  <c r="BM106" i="2"/>
  <c r="BL106" i="2"/>
  <c r="AZ106" i="2"/>
  <c r="AY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B106" i="2"/>
  <c r="BR105" i="2"/>
  <c r="BR104" i="2"/>
  <c r="BR103" i="2"/>
  <c r="BR102" i="2"/>
  <c r="BR101" i="2"/>
  <c r="BR100" i="2"/>
  <c r="BR99" i="2"/>
  <c r="BR98" i="2"/>
  <c r="BR97" i="2"/>
  <c r="BR96" i="2"/>
  <c r="BR95" i="2"/>
  <c r="BR94" i="2"/>
  <c r="BR93" i="2"/>
  <c r="BR92" i="2"/>
  <c r="BR91" i="2"/>
  <c r="BR90" i="2"/>
  <c r="BR89" i="2"/>
  <c r="BR88" i="2"/>
  <c r="BR87" i="2"/>
  <c r="BR86" i="2"/>
  <c r="BR85" i="2"/>
  <c r="BR84" i="2"/>
  <c r="BR83" i="2"/>
  <c r="BR82" i="2"/>
  <c r="BR81" i="2"/>
  <c r="BR80" i="2"/>
  <c r="BR79" i="2"/>
  <c r="BR78" i="2"/>
  <c r="BR77" i="2"/>
  <c r="BR76" i="2"/>
  <c r="BR75" i="2"/>
  <c r="BQ71" i="2"/>
  <c r="BP71" i="2"/>
  <c r="BO71" i="2"/>
  <c r="BN71" i="2"/>
  <c r="BM71" i="2"/>
  <c r="BL71" i="2"/>
  <c r="AZ71" i="2"/>
  <c r="AY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K71" i="2"/>
  <c r="AJ71" i="2"/>
  <c r="AI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BR70" i="2"/>
  <c r="BR69" i="2"/>
  <c r="BR68" i="2"/>
  <c r="BR67" i="2"/>
  <c r="BR66" i="2"/>
  <c r="BR65" i="2"/>
  <c r="BR64" i="2"/>
  <c r="BR63" i="2"/>
  <c r="BR62" i="2"/>
  <c r="BR61" i="2"/>
  <c r="BR60" i="2"/>
  <c r="BR59" i="2"/>
  <c r="BR58" i="2"/>
  <c r="BR57" i="2"/>
  <c r="BR56" i="2"/>
  <c r="BR55" i="2"/>
  <c r="BR54" i="2"/>
  <c r="BR53" i="2"/>
  <c r="BR52" i="2"/>
  <c r="BR51" i="2"/>
  <c r="BR50" i="2"/>
  <c r="BR49" i="2"/>
  <c r="BR48" i="2"/>
  <c r="BR47" i="2"/>
  <c r="BR46" i="2"/>
  <c r="BR45" i="2"/>
  <c r="BR44" i="2"/>
  <c r="BR43" i="2"/>
  <c r="BR42" i="2"/>
  <c r="BR41" i="2"/>
  <c r="BR40" i="2"/>
  <c r="BQ35" i="2"/>
  <c r="BP35" i="2"/>
  <c r="BO35" i="2"/>
  <c r="BN35" i="2"/>
  <c r="BM35" i="2"/>
  <c r="BL35" i="2"/>
  <c r="AY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BR34" i="2"/>
  <c r="BR33" i="2"/>
  <c r="BR32" i="2"/>
  <c r="BR31" i="2"/>
  <c r="BR30" i="2"/>
  <c r="BR29" i="2"/>
  <c r="BR28" i="2"/>
  <c r="BR27" i="2"/>
  <c r="BR26" i="2"/>
  <c r="BR25" i="2"/>
  <c r="BR24" i="2"/>
  <c r="BR23" i="2"/>
  <c r="BR22" i="2"/>
  <c r="BR21" i="2"/>
  <c r="BR20" i="2"/>
  <c r="BR19" i="2"/>
  <c r="BR18" i="2"/>
  <c r="BR17" i="2"/>
  <c r="BR16" i="2"/>
  <c r="BR15" i="2"/>
  <c r="BR14" i="2"/>
  <c r="BR13" i="2"/>
  <c r="BR12" i="2"/>
  <c r="BR11" i="2"/>
  <c r="BR10" i="2"/>
  <c r="BR9" i="2"/>
  <c r="BR8" i="2"/>
  <c r="BR7" i="2"/>
  <c r="BR6" i="2"/>
  <c r="BR5" i="2"/>
  <c r="BR4" i="2"/>
  <c r="DF182" i="1"/>
  <c r="DE182" i="1"/>
  <c r="DD182" i="1"/>
  <c r="DC182" i="1"/>
  <c r="DB182" i="1"/>
  <c r="DA182" i="1"/>
  <c r="CZ182" i="1"/>
  <c r="CY182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DF181" i="1"/>
  <c r="DE181" i="1"/>
  <c r="DD181" i="1"/>
  <c r="DC181" i="1"/>
  <c r="DB181" i="1"/>
  <c r="DA181" i="1"/>
  <c r="CZ181" i="1"/>
  <c r="CY181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DF179" i="1"/>
  <c r="DE179" i="1"/>
  <c r="DD179" i="1"/>
  <c r="DC179" i="1"/>
  <c r="DB179" i="1"/>
  <c r="DA179" i="1"/>
  <c r="CZ179" i="1"/>
  <c r="CY179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DF178" i="1"/>
  <c r="DE178" i="1"/>
  <c r="DD178" i="1"/>
  <c r="DC178" i="1"/>
  <c r="DB178" i="1"/>
  <c r="DA178" i="1"/>
  <c r="CZ178" i="1"/>
  <c r="CY178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DF177" i="1"/>
  <c r="DE177" i="1"/>
  <c r="DD177" i="1"/>
  <c r="DC177" i="1"/>
  <c r="DB177" i="1"/>
  <c r="DA177" i="1"/>
  <c r="CZ177" i="1"/>
  <c r="CY177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DF176" i="1"/>
  <c r="DE176" i="1"/>
  <c r="DD176" i="1"/>
  <c r="DC176" i="1"/>
  <c r="DB176" i="1"/>
  <c r="DA176" i="1"/>
  <c r="CZ176" i="1"/>
  <c r="CY176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DF174" i="1"/>
  <c r="DE174" i="1"/>
  <c r="DD174" i="1"/>
  <c r="DC174" i="1"/>
  <c r="DB174" i="1"/>
  <c r="DA174" i="1"/>
  <c r="CZ174" i="1"/>
  <c r="CY174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DF173" i="1"/>
  <c r="DE173" i="1"/>
  <c r="DD173" i="1"/>
  <c r="DC173" i="1"/>
  <c r="DB173" i="1"/>
  <c r="DA173" i="1"/>
  <c r="CZ173" i="1"/>
  <c r="CY173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DF172" i="1"/>
  <c r="DE172" i="1"/>
  <c r="DD172" i="1"/>
  <c r="DC172" i="1"/>
  <c r="DB172" i="1"/>
  <c r="DA172" i="1"/>
  <c r="CZ172" i="1"/>
  <c r="CY172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DF171" i="1"/>
  <c r="DE171" i="1"/>
  <c r="DD171" i="1"/>
  <c r="DC171" i="1"/>
  <c r="DB171" i="1"/>
  <c r="DA171" i="1"/>
  <c r="CZ171" i="1"/>
  <c r="CY171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DF170" i="1"/>
  <c r="DE170" i="1"/>
  <c r="DD170" i="1"/>
  <c r="DC170" i="1"/>
  <c r="DB170" i="1"/>
  <c r="DA170" i="1"/>
  <c r="CZ170" i="1"/>
  <c r="CY170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DF169" i="1"/>
  <c r="DE169" i="1"/>
  <c r="DD169" i="1"/>
  <c r="DC169" i="1"/>
  <c r="DB169" i="1"/>
  <c r="DA169" i="1"/>
  <c r="CZ169" i="1"/>
  <c r="CY169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DF168" i="1"/>
  <c r="DE168" i="1"/>
  <c r="DD168" i="1"/>
  <c r="DC168" i="1"/>
  <c r="DB168" i="1"/>
  <c r="DA168" i="1"/>
  <c r="CZ168" i="1"/>
  <c r="CY168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DF166" i="1"/>
  <c r="DE166" i="1"/>
  <c r="DD166" i="1"/>
  <c r="DC166" i="1"/>
  <c r="DB166" i="1"/>
  <c r="DA166" i="1"/>
  <c r="CZ166" i="1"/>
  <c r="CY166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DF165" i="1"/>
  <c r="DE165" i="1"/>
  <c r="DD165" i="1"/>
  <c r="DC165" i="1"/>
  <c r="DB165" i="1"/>
  <c r="DA165" i="1"/>
  <c r="CZ165" i="1"/>
  <c r="CY165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DF164" i="1"/>
  <c r="DE164" i="1"/>
  <c r="DD164" i="1"/>
  <c r="DC164" i="1"/>
  <c r="DB164" i="1"/>
  <c r="DA164" i="1"/>
  <c r="CZ164" i="1"/>
  <c r="CY164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DF163" i="1"/>
  <c r="DE163" i="1"/>
  <c r="DD163" i="1"/>
  <c r="DC163" i="1"/>
  <c r="DB163" i="1"/>
  <c r="DA163" i="1"/>
  <c r="CZ163" i="1"/>
  <c r="CY163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DF161" i="1"/>
  <c r="DE161" i="1"/>
  <c r="DD161" i="1"/>
  <c r="DC161" i="1"/>
  <c r="DB161" i="1"/>
  <c r="DA161" i="1"/>
  <c r="CZ161" i="1"/>
  <c r="CY161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DF160" i="1"/>
  <c r="DE160" i="1"/>
  <c r="DD160" i="1"/>
  <c r="DC160" i="1"/>
  <c r="DB160" i="1"/>
  <c r="DA160" i="1"/>
  <c r="CZ160" i="1"/>
  <c r="CY160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DF159" i="1"/>
  <c r="DE159" i="1"/>
  <c r="DD159" i="1"/>
  <c r="DC159" i="1"/>
  <c r="DB159" i="1"/>
  <c r="DA159" i="1"/>
  <c r="CZ159" i="1"/>
  <c r="CY159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DF158" i="1"/>
  <c r="DE158" i="1"/>
  <c r="DD158" i="1"/>
  <c r="DC158" i="1"/>
  <c r="DB158" i="1"/>
  <c r="DA158" i="1"/>
  <c r="CZ158" i="1"/>
  <c r="CY158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DF157" i="1"/>
  <c r="DE157" i="1"/>
  <c r="DD157" i="1"/>
  <c r="DC157" i="1"/>
  <c r="DB157" i="1"/>
  <c r="DA157" i="1"/>
  <c r="CZ157" i="1"/>
  <c r="CY157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DF155" i="1"/>
  <c r="DE155" i="1"/>
  <c r="DD155" i="1"/>
  <c r="DC155" i="1"/>
  <c r="DB155" i="1"/>
  <c r="DA155" i="1"/>
  <c r="CZ155" i="1"/>
  <c r="CY155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DF154" i="1"/>
  <c r="DE154" i="1"/>
  <c r="DD154" i="1"/>
  <c r="DC154" i="1"/>
  <c r="DB154" i="1"/>
  <c r="DA154" i="1"/>
  <c r="CZ154" i="1"/>
  <c r="CY154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DF153" i="1"/>
  <c r="DE153" i="1"/>
  <c r="DD153" i="1"/>
  <c r="DC153" i="1"/>
  <c r="DB153" i="1"/>
  <c r="DA153" i="1"/>
  <c r="CZ153" i="1"/>
  <c r="CY153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DF152" i="1"/>
  <c r="DE152" i="1"/>
  <c r="DD152" i="1"/>
  <c r="DC152" i="1"/>
  <c r="DB152" i="1"/>
  <c r="DA152" i="1"/>
  <c r="CZ152" i="1"/>
  <c r="CY152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DF151" i="1"/>
  <c r="DE151" i="1"/>
  <c r="DD151" i="1"/>
  <c r="DC151" i="1"/>
  <c r="DB151" i="1"/>
  <c r="DA151" i="1"/>
  <c r="CZ151" i="1"/>
  <c r="CY151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DF146" i="1"/>
  <c r="DE146" i="1"/>
  <c r="DD146" i="1"/>
  <c r="DC146" i="1"/>
  <c r="DB146" i="1"/>
  <c r="DA146" i="1"/>
  <c r="CZ146" i="1"/>
  <c r="CY146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DF145" i="1"/>
  <c r="DE145" i="1"/>
  <c r="DD145" i="1"/>
  <c r="DC145" i="1"/>
  <c r="DB145" i="1"/>
  <c r="DA145" i="1"/>
  <c r="CZ145" i="1"/>
  <c r="CY145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DF144" i="1"/>
  <c r="DE144" i="1"/>
  <c r="DD144" i="1"/>
  <c r="DC144" i="1"/>
  <c r="DB144" i="1"/>
  <c r="DA144" i="1"/>
  <c r="CZ144" i="1"/>
  <c r="CY144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DF143" i="1"/>
  <c r="DE143" i="1"/>
  <c r="DD143" i="1"/>
  <c r="DC143" i="1"/>
  <c r="DB143" i="1"/>
  <c r="DA143" i="1"/>
  <c r="CZ143" i="1"/>
  <c r="CY143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DF142" i="1"/>
  <c r="DE142" i="1"/>
  <c r="DD142" i="1"/>
  <c r="DC142" i="1"/>
  <c r="DB142" i="1"/>
  <c r="DA142" i="1"/>
  <c r="CZ142" i="1"/>
  <c r="CY142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DF141" i="1"/>
  <c r="DE141" i="1"/>
  <c r="DD141" i="1"/>
  <c r="DC141" i="1"/>
  <c r="DB141" i="1"/>
  <c r="DA141" i="1"/>
  <c r="CZ141" i="1"/>
  <c r="CY141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DF140" i="1"/>
  <c r="DE140" i="1"/>
  <c r="DD140" i="1"/>
  <c r="DC140" i="1"/>
  <c r="DB140" i="1"/>
  <c r="DA140" i="1"/>
  <c r="CZ140" i="1"/>
  <c r="CY140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DF138" i="1"/>
  <c r="DE138" i="1"/>
  <c r="DD138" i="1"/>
  <c r="DC138" i="1"/>
  <c r="DB138" i="1"/>
  <c r="DA138" i="1"/>
  <c r="CZ138" i="1"/>
  <c r="CY138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DF137" i="1"/>
  <c r="DE137" i="1"/>
  <c r="DD137" i="1"/>
  <c r="DC137" i="1"/>
  <c r="DB137" i="1"/>
  <c r="DA137" i="1"/>
  <c r="CZ137" i="1"/>
  <c r="CY137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DF136" i="1"/>
  <c r="DE136" i="1"/>
  <c r="DD136" i="1"/>
  <c r="DC136" i="1"/>
  <c r="DB136" i="1"/>
  <c r="DA136" i="1"/>
  <c r="CZ136" i="1"/>
  <c r="CY136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DF135" i="1"/>
  <c r="DE135" i="1"/>
  <c r="DD135" i="1"/>
  <c r="DC135" i="1"/>
  <c r="DB135" i="1"/>
  <c r="DA135" i="1"/>
  <c r="CZ135" i="1"/>
  <c r="CY135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DF134" i="1"/>
  <c r="DE134" i="1"/>
  <c r="DD134" i="1"/>
  <c r="DC134" i="1"/>
  <c r="DB134" i="1"/>
  <c r="DA134" i="1"/>
  <c r="CZ134" i="1"/>
  <c r="CY134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DF133" i="1"/>
  <c r="DE133" i="1"/>
  <c r="DD133" i="1"/>
  <c r="DC133" i="1"/>
  <c r="DB133" i="1"/>
  <c r="DA133" i="1"/>
  <c r="CZ133" i="1"/>
  <c r="CY133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DF132" i="1"/>
  <c r="DE132" i="1"/>
  <c r="DD132" i="1"/>
  <c r="DC132" i="1"/>
  <c r="DB132" i="1"/>
  <c r="DA132" i="1"/>
  <c r="CZ132" i="1"/>
  <c r="CY132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DF131" i="1"/>
  <c r="DE131" i="1"/>
  <c r="DD131" i="1"/>
  <c r="DC131" i="1"/>
  <c r="DB131" i="1"/>
  <c r="DA131" i="1"/>
  <c r="CZ131" i="1"/>
  <c r="CY131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DF130" i="1"/>
  <c r="DE130" i="1"/>
  <c r="DD130" i="1"/>
  <c r="DC130" i="1"/>
  <c r="DB130" i="1"/>
  <c r="DA130" i="1"/>
  <c r="CZ130" i="1"/>
  <c r="CY130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DF129" i="1"/>
  <c r="DE129" i="1"/>
  <c r="DD129" i="1"/>
  <c r="DC129" i="1"/>
  <c r="DB129" i="1"/>
  <c r="DA129" i="1"/>
  <c r="CZ129" i="1"/>
  <c r="CY129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DF127" i="1"/>
  <c r="DE127" i="1"/>
  <c r="DD127" i="1"/>
  <c r="DC127" i="1"/>
  <c r="DB127" i="1"/>
  <c r="DA127" i="1"/>
  <c r="CZ127" i="1"/>
  <c r="CY127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DF126" i="1"/>
  <c r="DE126" i="1"/>
  <c r="DD126" i="1"/>
  <c r="DC126" i="1"/>
  <c r="DB126" i="1"/>
  <c r="DA126" i="1"/>
  <c r="CZ126" i="1"/>
  <c r="CY126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DF125" i="1"/>
  <c r="DE125" i="1"/>
  <c r="DD125" i="1"/>
  <c r="DC125" i="1"/>
  <c r="DB125" i="1"/>
  <c r="DA125" i="1"/>
  <c r="CZ125" i="1"/>
  <c r="CY125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DF124" i="1"/>
  <c r="DE124" i="1"/>
  <c r="DD124" i="1"/>
  <c r="DC124" i="1"/>
  <c r="DB124" i="1"/>
  <c r="DA124" i="1"/>
  <c r="CZ124" i="1"/>
  <c r="CY124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DF123" i="1"/>
  <c r="DE123" i="1"/>
  <c r="DD123" i="1"/>
  <c r="DC123" i="1"/>
  <c r="DB123" i="1"/>
  <c r="DA123" i="1"/>
  <c r="CZ123" i="1"/>
  <c r="CY123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DF121" i="1"/>
  <c r="DE121" i="1"/>
  <c r="DD121" i="1"/>
  <c r="DC121" i="1"/>
  <c r="DB121" i="1"/>
  <c r="DA121" i="1"/>
  <c r="CZ121" i="1"/>
  <c r="CY121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DF120" i="1"/>
  <c r="DE120" i="1"/>
  <c r="DD120" i="1"/>
  <c r="DC120" i="1"/>
  <c r="DB120" i="1"/>
  <c r="DA120" i="1"/>
  <c r="CZ120" i="1"/>
  <c r="CY120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DF119" i="1"/>
  <c r="DE119" i="1"/>
  <c r="DD119" i="1"/>
  <c r="DC119" i="1"/>
  <c r="DB119" i="1"/>
  <c r="DA119" i="1"/>
  <c r="CZ119" i="1"/>
  <c r="CY119" i="1"/>
  <c r="CX119" i="1"/>
  <c r="CW119" i="1"/>
  <c r="CV119" i="1"/>
  <c r="CU119" i="1"/>
  <c r="CT119" i="1"/>
  <c r="CS119" i="1"/>
  <c r="CR119" i="1"/>
  <c r="CQ119" i="1"/>
  <c r="CP119" i="1"/>
  <c r="CO119" i="1"/>
  <c r="CN119" i="1"/>
  <c r="CM119" i="1"/>
  <c r="CL119" i="1"/>
  <c r="CK119" i="1"/>
  <c r="CJ119" i="1"/>
  <c r="CI119" i="1"/>
  <c r="CH119" i="1"/>
  <c r="CG119" i="1"/>
  <c r="CF119" i="1"/>
  <c r="CE119" i="1"/>
  <c r="CD119" i="1"/>
  <c r="CC119" i="1"/>
  <c r="CB119" i="1"/>
  <c r="CA119" i="1"/>
  <c r="BZ119" i="1"/>
  <c r="BY119" i="1"/>
  <c r="BX119" i="1"/>
  <c r="BW119" i="1"/>
  <c r="BV119" i="1"/>
  <c r="BU119" i="1"/>
  <c r="BT119" i="1"/>
  <c r="BS119" i="1"/>
  <c r="BR119" i="1"/>
  <c r="BQ119" i="1"/>
  <c r="BP119" i="1"/>
  <c r="BO119" i="1"/>
  <c r="BN119" i="1"/>
  <c r="BM119" i="1"/>
  <c r="BL119" i="1"/>
  <c r="BK119" i="1"/>
  <c r="BJ119" i="1"/>
  <c r="BI119" i="1"/>
  <c r="BH119" i="1"/>
  <c r="BG119" i="1"/>
  <c r="BF119" i="1"/>
  <c r="BE119" i="1"/>
  <c r="BD119" i="1"/>
  <c r="BC119" i="1"/>
  <c r="BB119" i="1"/>
  <c r="BA119" i="1"/>
  <c r="AZ119" i="1"/>
  <c r="AY119" i="1"/>
  <c r="AX119" i="1"/>
  <c r="AW119" i="1"/>
  <c r="AV119" i="1"/>
  <c r="AU119" i="1"/>
  <c r="AT119" i="1"/>
  <c r="AS119" i="1"/>
  <c r="AR119" i="1"/>
  <c r="AQ119" i="1"/>
  <c r="AP119" i="1"/>
  <c r="AO119" i="1"/>
  <c r="AN119" i="1"/>
  <c r="AM119" i="1"/>
  <c r="AL119" i="1"/>
  <c r="AK119" i="1"/>
  <c r="AJ119" i="1"/>
  <c r="AI119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DF118" i="1"/>
  <c r="DE118" i="1"/>
  <c r="DD118" i="1"/>
  <c r="DC118" i="1"/>
  <c r="DB118" i="1"/>
  <c r="DA118" i="1"/>
  <c r="CZ118" i="1"/>
  <c r="CY118" i="1"/>
  <c r="CX118" i="1"/>
  <c r="CW118" i="1"/>
  <c r="CV118" i="1"/>
  <c r="CU118" i="1"/>
  <c r="CT118" i="1"/>
  <c r="CS118" i="1"/>
  <c r="CR118" i="1"/>
  <c r="CQ118" i="1"/>
  <c r="CP118" i="1"/>
  <c r="CO118" i="1"/>
  <c r="CN118" i="1"/>
  <c r="CM118" i="1"/>
  <c r="CL118" i="1"/>
  <c r="CK118" i="1"/>
  <c r="CJ118" i="1"/>
  <c r="CI118" i="1"/>
  <c r="CH118" i="1"/>
  <c r="CG118" i="1"/>
  <c r="CF118" i="1"/>
  <c r="CE118" i="1"/>
  <c r="CD118" i="1"/>
  <c r="CC118" i="1"/>
  <c r="CB118" i="1"/>
  <c r="CA118" i="1"/>
  <c r="BZ118" i="1"/>
  <c r="BY118" i="1"/>
  <c r="BX118" i="1"/>
  <c r="BW118" i="1"/>
  <c r="BV118" i="1"/>
  <c r="BU118" i="1"/>
  <c r="BT118" i="1"/>
  <c r="BS118" i="1"/>
  <c r="BR118" i="1"/>
  <c r="BQ118" i="1"/>
  <c r="BP118" i="1"/>
  <c r="BO118" i="1"/>
  <c r="BN118" i="1"/>
  <c r="BM118" i="1"/>
  <c r="BL118" i="1"/>
  <c r="BK118" i="1"/>
  <c r="BJ118" i="1"/>
  <c r="BI118" i="1"/>
  <c r="BH118" i="1"/>
  <c r="BG118" i="1"/>
  <c r="BF118" i="1"/>
  <c r="BE118" i="1"/>
  <c r="BD118" i="1"/>
  <c r="BC118" i="1"/>
  <c r="BB118" i="1"/>
  <c r="BA118" i="1"/>
  <c r="AZ118" i="1"/>
  <c r="AY118" i="1"/>
  <c r="AX118" i="1"/>
  <c r="AW118" i="1"/>
  <c r="AV118" i="1"/>
  <c r="AU118" i="1"/>
  <c r="AT118" i="1"/>
  <c r="AS118" i="1"/>
  <c r="AR118" i="1"/>
  <c r="AQ118" i="1"/>
  <c r="AP118" i="1"/>
  <c r="AO118" i="1"/>
  <c r="AN118" i="1"/>
  <c r="AM118" i="1"/>
  <c r="AL118" i="1"/>
  <c r="AK118" i="1"/>
  <c r="AJ118" i="1"/>
  <c r="AI118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DF117" i="1"/>
  <c r="DE117" i="1"/>
  <c r="DD117" i="1"/>
  <c r="DC117" i="1"/>
  <c r="DB117" i="1"/>
  <c r="DA117" i="1"/>
  <c r="CZ117" i="1"/>
  <c r="CY117" i="1"/>
  <c r="CX117" i="1"/>
  <c r="CW117" i="1"/>
  <c r="CV117" i="1"/>
  <c r="CU117" i="1"/>
  <c r="CT117" i="1"/>
  <c r="CS117" i="1"/>
  <c r="CR117" i="1"/>
  <c r="CQ117" i="1"/>
  <c r="CP117" i="1"/>
  <c r="CO117" i="1"/>
  <c r="CN117" i="1"/>
  <c r="CM117" i="1"/>
  <c r="CL117" i="1"/>
  <c r="CK117" i="1"/>
  <c r="CJ117" i="1"/>
  <c r="CI117" i="1"/>
  <c r="CH117" i="1"/>
  <c r="CG117" i="1"/>
  <c r="CF117" i="1"/>
  <c r="CE117" i="1"/>
  <c r="CD117" i="1"/>
  <c r="CC117" i="1"/>
  <c r="CB117" i="1"/>
  <c r="CA117" i="1"/>
  <c r="BZ117" i="1"/>
  <c r="BY117" i="1"/>
  <c r="BX117" i="1"/>
  <c r="BW117" i="1"/>
  <c r="BV117" i="1"/>
  <c r="BU117" i="1"/>
  <c r="BT117" i="1"/>
  <c r="BS117" i="1"/>
  <c r="BR117" i="1"/>
  <c r="BQ117" i="1"/>
  <c r="BP117" i="1"/>
  <c r="BO117" i="1"/>
  <c r="BN117" i="1"/>
  <c r="BM117" i="1"/>
  <c r="BL117" i="1"/>
  <c r="BK117" i="1"/>
  <c r="BJ117" i="1"/>
  <c r="BI117" i="1"/>
  <c r="BH117" i="1"/>
  <c r="BG117" i="1"/>
  <c r="BF117" i="1"/>
  <c r="BE117" i="1"/>
  <c r="BD117" i="1"/>
  <c r="BC117" i="1"/>
  <c r="BB117" i="1"/>
  <c r="BA117" i="1"/>
  <c r="AZ117" i="1"/>
  <c r="AY117" i="1"/>
  <c r="AX117" i="1"/>
  <c r="AW117" i="1"/>
  <c r="AV117" i="1"/>
  <c r="AU117" i="1"/>
  <c r="AT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DF116" i="1"/>
  <c r="DE116" i="1"/>
  <c r="DD116" i="1"/>
  <c r="DC116" i="1"/>
  <c r="DB116" i="1"/>
  <c r="DA116" i="1"/>
  <c r="CZ116" i="1"/>
  <c r="CY116" i="1"/>
  <c r="CX116" i="1"/>
  <c r="CW116" i="1"/>
  <c r="CV116" i="1"/>
  <c r="CU116" i="1"/>
  <c r="CT116" i="1"/>
  <c r="CS116" i="1"/>
  <c r="CR116" i="1"/>
  <c r="CQ116" i="1"/>
  <c r="CP116" i="1"/>
  <c r="CO116" i="1"/>
  <c r="CN116" i="1"/>
  <c r="CM116" i="1"/>
  <c r="CL116" i="1"/>
  <c r="CK116" i="1"/>
  <c r="CJ116" i="1"/>
  <c r="CI116" i="1"/>
  <c r="CH116" i="1"/>
  <c r="CG116" i="1"/>
  <c r="CF116" i="1"/>
  <c r="CE116" i="1"/>
  <c r="CD116" i="1"/>
  <c r="CC116" i="1"/>
  <c r="CB116" i="1"/>
  <c r="CA116" i="1"/>
  <c r="BZ116" i="1"/>
  <c r="BY116" i="1"/>
  <c r="BX116" i="1"/>
  <c r="BW116" i="1"/>
  <c r="BV116" i="1"/>
  <c r="BU116" i="1"/>
  <c r="BT116" i="1"/>
  <c r="BS116" i="1"/>
  <c r="BR116" i="1"/>
  <c r="BQ116" i="1"/>
  <c r="BP116" i="1"/>
  <c r="BO116" i="1"/>
  <c r="BN116" i="1"/>
  <c r="BM116" i="1"/>
  <c r="BL116" i="1"/>
  <c r="BK116" i="1"/>
  <c r="BJ116" i="1"/>
  <c r="BI116" i="1"/>
  <c r="BH116" i="1"/>
  <c r="BG116" i="1"/>
  <c r="BF116" i="1"/>
  <c r="BE116" i="1"/>
  <c r="BD116" i="1"/>
  <c r="BC116" i="1"/>
  <c r="BB116" i="1"/>
  <c r="BA116" i="1"/>
  <c r="AZ116" i="1"/>
  <c r="AY116" i="1"/>
  <c r="AX116" i="1"/>
  <c r="AW116" i="1"/>
  <c r="AV116" i="1"/>
  <c r="AU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Q115" i="1"/>
  <c r="CP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Q111" i="1"/>
  <c r="CP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DF110" i="1"/>
  <c r="DE110" i="1"/>
  <c r="DD110" i="1"/>
  <c r="DC110" i="1"/>
  <c r="DF109" i="1"/>
  <c r="DE109" i="1"/>
  <c r="DD109" i="1"/>
  <c r="DC109" i="1"/>
  <c r="DF108" i="1"/>
  <c r="DE108" i="1"/>
  <c r="DD108" i="1"/>
  <c r="DC108" i="1"/>
  <c r="DF107" i="1"/>
  <c r="DE107" i="1"/>
  <c r="DD107" i="1"/>
  <c r="DC107" i="1"/>
  <c r="DF106" i="1"/>
  <c r="DE106" i="1"/>
  <c r="DD106" i="1"/>
  <c r="DC106" i="1"/>
  <c r="DF105" i="1"/>
  <c r="DE105" i="1"/>
  <c r="DD105" i="1"/>
  <c r="DC105" i="1"/>
  <c r="DF104" i="1"/>
  <c r="DE104" i="1"/>
  <c r="DD104" i="1"/>
  <c r="DC104" i="1"/>
  <c r="DF103" i="1"/>
  <c r="DE103" i="1"/>
  <c r="DD103" i="1"/>
  <c r="DC103" i="1"/>
  <c r="DF102" i="1"/>
  <c r="DE102" i="1"/>
  <c r="DD102" i="1"/>
  <c r="DC102" i="1"/>
  <c r="DF101" i="1"/>
  <c r="DE101" i="1"/>
  <c r="DD101" i="1"/>
  <c r="DC101" i="1"/>
  <c r="DF100" i="1"/>
  <c r="DE100" i="1"/>
  <c r="DD100" i="1"/>
  <c r="DC100" i="1"/>
  <c r="DF99" i="1"/>
  <c r="DE99" i="1"/>
  <c r="DD99" i="1"/>
  <c r="DC99" i="1"/>
  <c r="DF98" i="1"/>
  <c r="DE98" i="1"/>
  <c r="DD98" i="1"/>
  <c r="DC98" i="1"/>
  <c r="DF97" i="1"/>
  <c r="DE97" i="1"/>
  <c r="DD97" i="1"/>
  <c r="DC97" i="1"/>
  <c r="DF96" i="1"/>
  <c r="DE96" i="1"/>
  <c r="DD96" i="1"/>
  <c r="DC96" i="1"/>
  <c r="DF95" i="1"/>
  <c r="DE95" i="1"/>
  <c r="DD95" i="1"/>
  <c r="DC95" i="1"/>
  <c r="DF94" i="1"/>
  <c r="DE94" i="1"/>
  <c r="DD94" i="1"/>
  <c r="DC94" i="1"/>
  <c r="DF93" i="1"/>
  <c r="DE93" i="1"/>
  <c r="DD93" i="1"/>
  <c r="DC93" i="1"/>
  <c r="DF92" i="1"/>
  <c r="DE92" i="1"/>
  <c r="DD92" i="1"/>
  <c r="DC92" i="1"/>
  <c r="DF91" i="1"/>
  <c r="DE91" i="1"/>
  <c r="DD91" i="1"/>
  <c r="DC91" i="1"/>
  <c r="DF90" i="1"/>
  <c r="DE90" i="1"/>
  <c r="DD90" i="1"/>
  <c r="DC90" i="1"/>
  <c r="DF89" i="1"/>
  <c r="DE89" i="1"/>
  <c r="DD89" i="1"/>
  <c r="DC89" i="1"/>
  <c r="DF88" i="1"/>
  <c r="DE88" i="1"/>
  <c r="DD88" i="1"/>
  <c r="DC88" i="1"/>
  <c r="DF87" i="1"/>
  <c r="DE87" i="1"/>
  <c r="DD87" i="1"/>
  <c r="DC87" i="1"/>
  <c r="DF86" i="1"/>
  <c r="DE86" i="1"/>
  <c r="DD86" i="1"/>
  <c r="DC86" i="1"/>
  <c r="DF85" i="1"/>
  <c r="DE85" i="1"/>
  <c r="DD85" i="1"/>
  <c r="DC85" i="1"/>
  <c r="DF84" i="1"/>
  <c r="DE84" i="1"/>
  <c r="DD84" i="1"/>
  <c r="DC84" i="1"/>
  <c r="DF83" i="1"/>
  <c r="DE83" i="1"/>
  <c r="DD83" i="1"/>
  <c r="DC83" i="1"/>
  <c r="DF82" i="1"/>
  <c r="DE82" i="1"/>
  <c r="DD82" i="1"/>
  <c r="DC82" i="1"/>
  <c r="DF81" i="1"/>
  <c r="DE81" i="1"/>
  <c r="DD81" i="1"/>
  <c r="DC81" i="1"/>
  <c r="DF80" i="1"/>
  <c r="DE80" i="1"/>
  <c r="DD80" i="1"/>
  <c r="DC80" i="1"/>
  <c r="DF79" i="1"/>
  <c r="DF78" i="1"/>
  <c r="DF77" i="1"/>
  <c r="DF76" i="1"/>
  <c r="DF75" i="1"/>
  <c r="DE75" i="1"/>
  <c r="DD75" i="1"/>
  <c r="DC75" i="1"/>
  <c r="DB75" i="1"/>
  <c r="DA75" i="1"/>
  <c r="CZ75" i="1"/>
  <c r="CY75" i="1"/>
  <c r="CX75" i="1"/>
  <c r="CW75" i="1"/>
  <c r="CV75" i="1"/>
  <c r="CU75" i="1"/>
  <c r="CT75" i="1"/>
  <c r="CS75" i="1"/>
  <c r="CR75" i="1"/>
  <c r="CQ75" i="1"/>
  <c r="CP75" i="1"/>
  <c r="CO75" i="1"/>
  <c r="CN75" i="1"/>
  <c r="CM75" i="1"/>
  <c r="CL75" i="1"/>
  <c r="CK75" i="1"/>
  <c r="CJ75" i="1"/>
  <c r="CI75" i="1"/>
  <c r="CH75" i="1"/>
  <c r="CG75" i="1"/>
  <c r="CF75" i="1"/>
  <c r="CE75" i="1"/>
  <c r="CD75" i="1"/>
  <c r="CC75" i="1"/>
  <c r="CB75" i="1"/>
  <c r="CA75" i="1"/>
  <c r="BZ75" i="1"/>
  <c r="BY75" i="1"/>
  <c r="BX75" i="1"/>
  <c r="BW75" i="1"/>
  <c r="BV75" i="1"/>
  <c r="BU75" i="1"/>
  <c r="BT75" i="1"/>
  <c r="BS75" i="1"/>
  <c r="BR75" i="1"/>
  <c r="BQ75" i="1"/>
  <c r="BP75" i="1"/>
  <c r="BO75" i="1"/>
  <c r="BN75" i="1"/>
  <c r="BM75" i="1"/>
  <c r="BL75" i="1"/>
  <c r="BK75" i="1"/>
  <c r="BJ75" i="1"/>
  <c r="BI75" i="1"/>
  <c r="BH75" i="1"/>
  <c r="BG75" i="1"/>
  <c r="BF75" i="1"/>
  <c r="BE75" i="1"/>
  <c r="BD75" i="1"/>
  <c r="BC75" i="1"/>
  <c r="BB75" i="1"/>
  <c r="BA75" i="1"/>
  <c r="AZ75" i="1"/>
  <c r="AY75" i="1"/>
  <c r="AX75" i="1"/>
  <c r="AW75" i="1"/>
  <c r="AV75" i="1"/>
  <c r="AU75" i="1"/>
  <c r="AT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DF74" i="1"/>
  <c r="DE74" i="1"/>
  <c r="DD74" i="1"/>
  <c r="DC74" i="1"/>
  <c r="DF73" i="1"/>
  <c r="DE73" i="1"/>
  <c r="DD73" i="1"/>
  <c r="DC73" i="1"/>
  <c r="DF72" i="1"/>
  <c r="DE72" i="1"/>
  <c r="DD72" i="1"/>
  <c r="DC72" i="1"/>
  <c r="DF71" i="1"/>
  <c r="DE71" i="1"/>
  <c r="DD71" i="1"/>
  <c r="DC71" i="1"/>
  <c r="DF70" i="1"/>
  <c r="DE70" i="1"/>
  <c r="DD70" i="1"/>
  <c r="DC70" i="1"/>
  <c r="DE69" i="1"/>
  <c r="DD69" i="1"/>
  <c r="DC69" i="1"/>
  <c r="DE68" i="1"/>
  <c r="DD68" i="1"/>
  <c r="DC68" i="1"/>
  <c r="DE67" i="1"/>
  <c r="DD67" i="1"/>
  <c r="DC67" i="1"/>
  <c r="DE66" i="1"/>
  <c r="DD66" i="1"/>
  <c r="DC66" i="1"/>
  <c r="DE65" i="1"/>
  <c r="DD65" i="1"/>
  <c r="DC65" i="1"/>
  <c r="DE64" i="1"/>
  <c r="DD64" i="1"/>
  <c r="DC64" i="1"/>
  <c r="DE63" i="1"/>
  <c r="DD63" i="1"/>
  <c r="DC63" i="1"/>
  <c r="DE62" i="1"/>
  <c r="DD62" i="1"/>
  <c r="DC62" i="1"/>
  <c r="DE61" i="1"/>
  <c r="DD61" i="1"/>
  <c r="DC61" i="1"/>
  <c r="DE60" i="1"/>
  <c r="DD60" i="1"/>
  <c r="DC60" i="1"/>
  <c r="DE59" i="1"/>
  <c r="DD59" i="1"/>
  <c r="DC59" i="1"/>
  <c r="DE58" i="1"/>
  <c r="DD58" i="1"/>
  <c r="DC58" i="1"/>
  <c r="DE57" i="1"/>
  <c r="DD57" i="1"/>
  <c r="DC57" i="1"/>
  <c r="DE56" i="1"/>
  <c r="DD56" i="1"/>
  <c r="DC56" i="1"/>
  <c r="DE55" i="1"/>
  <c r="DD55" i="1"/>
  <c r="DC55" i="1"/>
  <c r="DE54" i="1"/>
  <c r="DD54" i="1"/>
  <c r="DC54" i="1"/>
  <c r="DE53" i="1"/>
  <c r="DD53" i="1"/>
  <c r="DC53" i="1"/>
  <c r="DE52" i="1"/>
  <c r="DD52" i="1"/>
  <c r="DC52" i="1"/>
  <c r="DE51" i="1"/>
  <c r="DD51" i="1"/>
  <c r="DC51" i="1"/>
  <c r="DE50" i="1"/>
  <c r="DD50" i="1"/>
  <c r="DC50" i="1"/>
  <c r="DE49" i="1"/>
  <c r="DD49" i="1"/>
  <c r="DC49" i="1"/>
  <c r="DE48" i="1"/>
  <c r="DD48" i="1"/>
  <c r="DC48" i="1"/>
  <c r="DE47" i="1"/>
  <c r="DD47" i="1"/>
  <c r="DC47" i="1"/>
  <c r="DE46" i="1"/>
  <c r="DD46" i="1"/>
  <c r="DC46" i="1"/>
  <c r="DE45" i="1"/>
  <c r="DD45" i="1"/>
  <c r="DC45" i="1"/>
  <c r="DE44" i="1"/>
  <c r="DD44" i="1"/>
  <c r="DC44" i="1"/>
  <c r="DE39" i="1"/>
  <c r="DD39" i="1"/>
  <c r="DC39" i="1"/>
  <c r="DB39" i="1"/>
  <c r="DA39" i="1"/>
  <c r="CZ39" i="1"/>
  <c r="CY39" i="1"/>
  <c r="CX39" i="1"/>
  <c r="CW39" i="1"/>
  <c r="CV39" i="1"/>
  <c r="CU39" i="1"/>
  <c r="CT39" i="1"/>
  <c r="CS39" i="1"/>
  <c r="CR39" i="1"/>
  <c r="CQ39" i="1"/>
  <c r="CP39" i="1"/>
  <c r="CO39" i="1"/>
  <c r="CN39" i="1"/>
  <c r="CM39" i="1"/>
  <c r="CL39" i="1"/>
  <c r="CK39" i="1"/>
  <c r="CJ39" i="1"/>
  <c r="CI39" i="1"/>
  <c r="CH39" i="1"/>
  <c r="CG39" i="1"/>
  <c r="CF39" i="1"/>
  <c r="CE39" i="1"/>
  <c r="CD39" i="1"/>
  <c r="CC39" i="1"/>
  <c r="CB39" i="1"/>
  <c r="CA39" i="1"/>
  <c r="BZ39" i="1"/>
  <c r="BY39" i="1"/>
  <c r="BX39" i="1"/>
  <c r="BW39" i="1"/>
  <c r="BV39" i="1"/>
  <c r="BU39" i="1"/>
  <c r="BT39" i="1"/>
  <c r="BS39" i="1"/>
  <c r="BR39" i="1"/>
  <c r="BQ39" i="1"/>
  <c r="BP39" i="1"/>
  <c r="BO39" i="1"/>
  <c r="BN39" i="1"/>
  <c r="BM39" i="1"/>
  <c r="BL39" i="1"/>
  <c r="BK39" i="1"/>
  <c r="BJ39" i="1"/>
  <c r="BI39" i="1"/>
  <c r="BH39" i="1"/>
  <c r="BG39" i="1"/>
  <c r="BF39" i="1"/>
  <c r="BE39" i="1"/>
  <c r="BD39" i="1"/>
  <c r="BC39" i="1"/>
  <c r="BB39" i="1"/>
  <c r="BA39" i="1"/>
  <c r="AZ39" i="1"/>
  <c r="AY39" i="1"/>
  <c r="AX39" i="1"/>
  <c r="AW39" i="1"/>
  <c r="AV39" i="1"/>
  <c r="AU39" i="1"/>
  <c r="AT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DE38" i="1"/>
  <c r="DD38" i="1"/>
  <c r="DC38" i="1"/>
  <c r="DF37" i="1"/>
  <c r="DE37" i="1"/>
  <c r="DD37" i="1"/>
  <c r="DC37" i="1"/>
  <c r="DF36" i="1"/>
  <c r="DE36" i="1"/>
  <c r="DD36" i="1"/>
  <c r="DC36" i="1"/>
  <c r="DF35" i="1"/>
  <c r="DE35" i="1"/>
  <c r="DD35" i="1"/>
  <c r="DC35" i="1"/>
  <c r="DF34" i="1"/>
  <c r="DE34" i="1"/>
  <c r="DD34" i="1"/>
  <c r="DC34" i="1"/>
  <c r="DE33" i="1"/>
  <c r="DD33" i="1"/>
  <c r="DC33" i="1"/>
  <c r="DE32" i="1"/>
  <c r="DD32" i="1"/>
  <c r="DC32" i="1"/>
  <c r="DE31" i="1"/>
  <c r="DD31" i="1"/>
  <c r="DC31" i="1"/>
  <c r="DE30" i="1"/>
  <c r="DD30" i="1"/>
  <c r="DC30" i="1"/>
  <c r="DE29" i="1"/>
  <c r="DD29" i="1"/>
  <c r="DC29" i="1"/>
  <c r="DE28" i="1"/>
  <c r="DD28" i="1"/>
  <c r="DC28" i="1"/>
  <c r="DE27" i="1"/>
  <c r="DD27" i="1"/>
  <c r="DC27" i="1"/>
  <c r="DE26" i="1"/>
  <c r="DD26" i="1"/>
  <c r="DC26" i="1"/>
  <c r="DE25" i="1"/>
  <c r="DD25" i="1"/>
  <c r="DC25" i="1"/>
  <c r="DE24" i="1"/>
  <c r="DD24" i="1"/>
  <c r="DC24" i="1"/>
  <c r="DE23" i="1"/>
  <c r="DD23" i="1"/>
  <c r="DC23" i="1"/>
  <c r="DE22" i="1"/>
  <c r="DD22" i="1"/>
  <c r="DC22" i="1"/>
  <c r="DE21" i="1"/>
  <c r="DD21" i="1"/>
  <c r="DC21" i="1"/>
  <c r="DE20" i="1"/>
  <c r="DD20" i="1"/>
  <c r="DC20" i="1"/>
  <c r="DE19" i="1"/>
  <c r="DD19" i="1"/>
  <c r="DC19" i="1"/>
  <c r="DE18" i="1"/>
  <c r="DD18" i="1"/>
  <c r="DC18" i="1"/>
  <c r="DE17" i="1"/>
  <c r="DD17" i="1"/>
  <c r="DC17" i="1"/>
  <c r="DE16" i="1"/>
  <c r="DD16" i="1"/>
  <c r="DC16" i="1"/>
  <c r="DE15" i="1"/>
  <c r="DD15" i="1"/>
  <c r="DC15" i="1"/>
  <c r="DE14" i="1"/>
  <c r="DD14" i="1"/>
  <c r="DC14" i="1"/>
  <c r="DE13" i="1"/>
  <c r="DD13" i="1"/>
  <c r="DC13" i="1"/>
  <c r="DE12" i="1"/>
  <c r="DD12" i="1"/>
  <c r="DC12" i="1"/>
  <c r="DE11" i="1"/>
  <c r="DD11" i="1"/>
  <c r="DC11" i="1"/>
  <c r="DE10" i="1"/>
  <c r="DD10" i="1"/>
  <c r="DC10" i="1"/>
  <c r="DE9" i="1"/>
  <c r="DD9" i="1"/>
  <c r="DC9" i="1"/>
  <c r="DE8" i="1"/>
  <c r="DD8" i="1"/>
  <c r="DC8" i="1"/>
  <c r="BK178" i="2" l="1"/>
  <c r="BJ178" i="2"/>
  <c r="BH178" i="2"/>
  <c r="BG178" i="2"/>
  <c r="BB178" i="2"/>
  <c r="BC178" i="2"/>
  <c r="BA178" i="2"/>
  <c r="B26" i="17"/>
  <c r="B20" i="17"/>
  <c r="M15" i="17"/>
  <c r="J141" i="2"/>
  <c r="I178" i="2"/>
  <c r="B16" i="17"/>
  <c r="G11" i="17"/>
  <c r="G17" i="17"/>
  <c r="G52" i="17" s="1"/>
  <c r="BR115" i="2"/>
  <c r="BT115" i="2" s="1"/>
  <c r="AP141" i="2"/>
  <c r="O178" i="2"/>
  <c r="AA178" i="2"/>
  <c r="AY178" i="2"/>
  <c r="BR116" i="2"/>
  <c r="BT116" i="2" s="1"/>
  <c r="BR71" i="2"/>
  <c r="BR106" i="2"/>
  <c r="AB178" i="2"/>
  <c r="BP178" i="2"/>
  <c r="BR35" i="2"/>
  <c r="C8" i="17"/>
  <c r="C7" i="10" s="1"/>
  <c r="H15" i="17"/>
  <c r="R15" i="17" s="1"/>
  <c r="BR131" i="2"/>
  <c r="BT131" i="2" s="1"/>
  <c r="C35" i="17"/>
  <c r="C70" i="17" s="1"/>
  <c r="I10" i="17"/>
  <c r="BO178" i="2"/>
  <c r="U178" i="2"/>
  <c r="AS178" i="2"/>
  <c r="G147" i="2"/>
  <c r="G178" i="2" s="1"/>
  <c r="G141" i="2"/>
  <c r="S147" i="2"/>
  <c r="F5" i="17"/>
  <c r="S141" i="2"/>
  <c r="AE147" i="2"/>
  <c r="AE178" i="2" s="1"/>
  <c r="AE141" i="2"/>
  <c r="AQ147" i="2"/>
  <c r="AQ178" i="2" s="1"/>
  <c r="AQ141" i="2"/>
  <c r="H6" i="17"/>
  <c r="Y148" i="2"/>
  <c r="C14" i="17"/>
  <c r="E156" i="2"/>
  <c r="N14" i="17"/>
  <c r="N49" i="17" s="1"/>
  <c r="J15" i="17"/>
  <c r="AI157" i="2"/>
  <c r="K16" i="17"/>
  <c r="AP158" i="2"/>
  <c r="BR121" i="2"/>
  <c r="BT121" i="2" s="1"/>
  <c r="O17" i="17"/>
  <c r="BL159" i="2"/>
  <c r="F18" i="17"/>
  <c r="S160" i="2"/>
  <c r="H19" i="17"/>
  <c r="Y161" i="2"/>
  <c r="C163" i="2"/>
  <c r="BR126" i="2"/>
  <c r="BT126" i="2" s="1"/>
  <c r="J22" i="17"/>
  <c r="AI164" i="2"/>
  <c r="C23" i="17"/>
  <c r="E165" i="2"/>
  <c r="N23" i="17"/>
  <c r="N58" i="17" s="1"/>
  <c r="C28" i="17"/>
  <c r="E170" i="2"/>
  <c r="N28" i="17"/>
  <c r="N63" i="17" s="1"/>
  <c r="J29" i="17"/>
  <c r="AI171" i="2"/>
  <c r="F30" i="17"/>
  <c r="S172" i="2"/>
  <c r="M33" i="17"/>
  <c r="F141" i="2"/>
  <c r="L178" i="2"/>
  <c r="AV178" i="2"/>
  <c r="H147" i="2"/>
  <c r="H141" i="2"/>
  <c r="T147" i="2"/>
  <c r="T178" i="2" s="1"/>
  <c r="T141" i="2"/>
  <c r="AF147" i="2"/>
  <c r="AF178" i="2" s="1"/>
  <c r="AF141" i="2"/>
  <c r="AR147" i="2"/>
  <c r="AR178" i="2" s="1"/>
  <c r="AR141" i="2"/>
  <c r="B6" i="17"/>
  <c r="B148" i="2"/>
  <c r="E6" i="17"/>
  <c r="N148" i="2"/>
  <c r="C12" i="17"/>
  <c r="E154" i="2"/>
  <c r="N12" i="17"/>
  <c r="N47" i="17" s="1"/>
  <c r="J13" i="17"/>
  <c r="AI155" i="2"/>
  <c r="K14" i="17"/>
  <c r="AP156" i="2"/>
  <c r="BR119" i="2"/>
  <c r="BT119" i="2" s="1"/>
  <c r="G15" i="17"/>
  <c r="X157" i="2"/>
  <c r="O15" i="17"/>
  <c r="BL157" i="2"/>
  <c r="F16" i="17"/>
  <c r="S158" i="2"/>
  <c r="H17" i="17"/>
  <c r="D20" i="17"/>
  <c r="J162" i="2"/>
  <c r="I20" i="17"/>
  <c r="AH162" i="2"/>
  <c r="L20" i="17"/>
  <c r="AT162" i="2"/>
  <c r="M21" i="17"/>
  <c r="K28" i="17"/>
  <c r="AP170" i="2"/>
  <c r="BR133" i="2"/>
  <c r="BT133" i="2" s="1"/>
  <c r="G29" i="17"/>
  <c r="X171" i="2"/>
  <c r="O29" i="17"/>
  <c r="BL171" i="2"/>
  <c r="D32" i="17"/>
  <c r="J174" i="2"/>
  <c r="I32" i="17"/>
  <c r="AH174" i="2"/>
  <c r="L32" i="17"/>
  <c r="AT174" i="2"/>
  <c r="I141" i="2"/>
  <c r="AS141" i="2"/>
  <c r="E150" i="2"/>
  <c r="C43" i="17"/>
  <c r="N8" i="17"/>
  <c r="N43" i="17" s="1"/>
  <c r="J9" i="17"/>
  <c r="AI151" i="2"/>
  <c r="O11" i="17"/>
  <c r="BL153" i="2"/>
  <c r="W178" i="2"/>
  <c r="K141" i="2"/>
  <c r="W141" i="2"/>
  <c r="J5" i="17"/>
  <c r="AI141" i="2"/>
  <c r="AU141" i="2"/>
  <c r="C6" i="17"/>
  <c r="E148" i="2"/>
  <c r="N6" i="17"/>
  <c r="N41" i="17" s="1"/>
  <c r="J7" i="17"/>
  <c r="K8" i="17"/>
  <c r="AP150" i="2"/>
  <c r="BR113" i="2"/>
  <c r="BT113" i="2" s="1"/>
  <c r="G9" i="17"/>
  <c r="X151" i="2"/>
  <c r="O9" i="17"/>
  <c r="BL151" i="2"/>
  <c r="F10" i="17"/>
  <c r="S152" i="2"/>
  <c r="H11" i="17"/>
  <c r="Y153" i="2"/>
  <c r="D16" i="17"/>
  <c r="J158" i="2"/>
  <c r="I16" i="17"/>
  <c r="AH158" i="2"/>
  <c r="L16" i="17"/>
  <c r="AT158" i="2"/>
  <c r="M17" i="17"/>
  <c r="J18" i="17"/>
  <c r="AI160" i="2"/>
  <c r="C19" i="17"/>
  <c r="E161" i="2"/>
  <c r="N19" i="17"/>
  <c r="N54" i="17" s="1"/>
  <c r="C24" i="17"/>
  <c r="E166" i="2"/>
  <c r="N24" i="17"/>
  <c r="N59" i="17" s="1"/>
  <c r="J25" i="17"/>
  <c r="AI167" i="2"/>
  <c r="F26" i="17"/>
  <c r="S168" i="2"/>
  <c r="H27" i="17"/>
  <c r="Y169" i="2"/>
  <c r="C171" i="2"/>
  <c r="BR134" i="2"/>
  <c r="BT134" i="2" s="1"/>
  <c r="J35" i="17"/>
  <c r="AI177" i="2"/>
  <c r="R141" i="2"/>
  <c r="X153" i="2"/>
  <c r="N10" i="17"/>
  <c r="N45" i="17" s="1"/>
  <c r="G13" i="17"/>
  <c r="X155" i="2"/>
  <c r="F14" i="17"/>
  <c r="S156" i="2"/>
  <c r="J20" i="17"/>
  <c r="AI162" i="2"/>
  <c r="D5" i="17"/>
  <c r="J147" i="2"/>
  <c r="L5" i="17"/>
  <c r="AT147" i="2"/>
  <c r="K10" i="17"/>
  <c r="AP152" i="2"/>
  <c r="D18" i="17"/>
  <c r="J160" i="2"/>
  <c r="L18" i="17"/>
  <c r="AT160" i="2"/>
  <c r="O27" i="17"/>
  <c r="BL169" i="2"/>
  <c r="D30" i="17"/>
  <c r="J172" i="2"/>
  <c r="M31" i="17"/>
  <c r="Q141" i="2"/>
  <c r="L141" i="2"/>
  <c r="G5" i="17"/>
  <c r="X141" i="2"/>
  <c r="AJ141" i="2"/>
  <c r="AV141" i="2"/>
  <c r="O5" i="17"/>
  <c r="BL141" i="2"/>
  <c r="K6" i="17"/>
  <c r="BR111" i="2"/>
  <c r="BT111" i="2" s="1"/>
  <c r="G7" i="17"/>
  <c r="X149" i="2"/>
  <c r="O7" i="17"/>
  <c r="BL149" i="2"/>
  <c r="F8" i="17"/>
  <c r="S150" i="2"/>
  <c r="H9" i="17"/>
  <c r="Y151" i="2"/>
  <c r="D14" i="17"/>
  <c r="J156" i="2"/>
  <c r="I14" i="17"/>
  <c r="AH156" i="2"/>
  <c r="L14" i="17"/>
  <c r="AT156" i="2"/>
  <c r="M50" i="17"/>
  <c r="J16" i="17"/>
  <c r="AI158" i="2"/>
  <c r="C17" i="17"/>
  <c r="N17" i="17"/>
  <c r="N52" i="17" s="1"/>
  <c r="G18" i="17"/>
  <c r="X160" i="2"/>
  <c r="O18" i="17"/>
  <c r="BL160" i="2"/>
  <c r="K24" i="17"/>
  <c r="AP166" i="2"/>
  <c r="BR129" i="2"/>
  <c r="BT129" i="2" s="1"/>
  <c r="G25" i="17"/>
  <c r="X167" i="2"/>
  <c r="O25" i="17"/>
  <c r="BL167" i="2"/>
  <c r="D28" i="17"/>
  <c r="J170" i="2"/>
  <c r="AH170" i="2"/>
  <c r="I28" i="17"/>
  <c r="L28" i="17"/>
  <c r="AT170" i="2"/>
  <c r="M29" i="17"/>
  <c r="C34" i="17"/>
  <c r="E176" i="2"/>
  <c r="N34" i="17"/>
  <c r="N69" i="17" s="1"/>
  <c r="G35" i="17"/>
  <c r="X177" i="2"/>
  <c r="O35" i="17"/>
  <c r="BL177" i="2"/>
  <c r="U141" i="2"/>
  <c r="M141" i="2"/>
  <c r="M147" i="2"/>
  <c r="M178" i="2" s="1"/>
  <c r="H5" i="17"/>
  <c r="Y141" i="2"/>
  <c r="Y147" i="2"/>
  <c r="AK141" i="2"/>
  <c r="AK147" i="2"/>
  <c r="AK178" i="2" s="1"/>
  <c r="AW141" i="2"/>
  <c r="AW147" i="2"/>
  <c r="AW178" i="2" s="1"/>
  <c r="BM141" i="2"/>
  <c r="BM147" i="2"/>
  <c r="BM178" i="2" s="1"/>
  <c r="F6" i="17"/>
  <c r="H7" i="17"/>
  <c r="Y149" i="2"/>
  <c r="D12" i="17"/>
  <c r="I12" i="17"/>
  <c r="L12" i="17"/>
  <c r="AT154" i="2"/>
  <c r="M13" i="17"/>
  <c r="J14" i="17"/>
  <c r="AI156" i="2"/>
  <c r="C15" i="17"/>
  <c r="E157" i="2"/>
  <c r="N15" i="17"/>
  <c r="N50" i="17" s="1"/>
  <c r="G16" i="17"/>
  <c r="X158" i="2"/>
  <c r="O16" i="17"/>
  <c r="BL158" i="2"/>
  <c r="K17" i="17"/>
  <c r="AP159" i="2"/>
  <c r="BR122" i="2"/>
  <c r="BT122" i="2" s="1"/>
  <c r="C22" i="17"/>
  <c r="E164" i="2"/>
  <c r="N22" i="17"/>
  <c r="N57" i="17" s="1"/>
  <c r="J23" i="17"/>
  <c r="AI165" i="2"/>
  <c r="F24" i="17"/>
  <c r="S166" i="2"/>
  <c r="H25" i="17"/>
  <c r="Y167" i="2"/>
  <c r="C169" i="2"/>
  <c r="BR132" i="2"/>
  <c r="BT132" i="2" s="1"/>
  <c r="K34" i="17"/>
  <c r="AP176" i="2"/>
  <c r="BR139" i="2"/>
  <c r="BT139" i="2" s="1"/>
  <c r="V141" i="2"/>
  <c r="AP148" i="2"/>
  <c r="I30" i="17"/>
  <c r="AH172" i="2"/>
  <c r="B5" i="17"/>
  <c r="B141" i="2"/>
  <c r="B147" i="2"/>
  <c r="E5" i="17"/>
  <c r="N141" i="2"/>
  <c r="N147" i="2"/>
  <c r="Z141" i="2"/>
  <c r="Z147" i="2"/>
  <c r="Z178" i="2" s="1"/>
  <c r="AL141" i="2"/>
  <c r="AL147" i="2"/>
  <c r="AL178" i="2" s="1"/>
  <c r="AX141" i="2"/>
  <c r="AX147" i="2"/>
  <c r="AX178" i="2" s="1"/>
  <c r="BN141" i="2"/>
  <c r="BN147" i="2"/>
  <c r="BN178" i="2" s="1"/>
  <c r="B7" i="17"/>
  <c r="E7" i="17"/>
  <c r="D10" i="17"/>
  <c r="I45" i="17"/>
  <c r="L10" i="17"/>
  <c r="AT152" i="2"/>
  <c r="M11" i="17"/>
  <c r="J12" i="17"/>
  <c r="AI154" i="2"/>
  <c r="C13" i="17"/>
  <c r="E155" i="2"/>
  <c r="N13" i="17"/>
  <c r="N48" i="17" s="1"/>
  <c r="G14" i="17"/>
  <c r="X156" i="2"/>
  <c r="O14" i="17"/>
  <c r="K15" i="17"/>
  <c r="AP157" i="2"/>
  <c r="BR120" i="2"/>
  <c r="BT120" i="2" s="1"/>
  <c r="K22" i="17"/>
  <c r="AP164" i="2"/>
  <c r="BR127" i="2"/>
  <c r="BT127" i="2" s="1"/>
  <c r="G23" i="17"/>
  <c r="X165" i="2"/>
  <c r="O23" i="17"/>
  <c r="BL165" i="2"/>
  <c r="D26" i="17"/>
  <c r="J168" i="2"/>
  <c r="I26" i="17"/>
  <c r="AH168" i="2"/>
  <c r="L26" i="17"/>
  <c r="AT168" i="2"/>
  <c r="M27" i="17"/>
  <c r="J33" i="17"/>
  <c r="AI175" i="2"/>
  <c r="AC141" i="2"/>
  <c r="BQ141" i="2"/>
  <c r="AI147" i="2"/>
  <c r="C21" i="17"/>
  <c r="E163" i="2"/>
  <c r="N21" i="17"/>
  <c r="N56" i="17" s="1"/>
  <c r="J27" i="17"/>
  <c r="AI169" i="2"/>
  <c r="C173" i="2"/>
  <c r="BR136" i="2"/>
  <c r="BT136" i="2" s="1"/>
  <c r="M6" i="17"/>
  <c r="G46" i="17"/>
  <c r="H13" i="17"/>
  <c r="Y155" i="2"/>
  <c r="I18" i="17"/>
  <c r="AH160" i="2"/>
  <c r="M19" i="17"/>
  <c r="K26" i="17"/>
  <c r="AP168" i="2"/>
  <c r="G27" i="17"/>
  <c r="X169" i="2"/>
  <c r="C141" i="2"/>
  <c r="O141" i="2"/>
  <c r="AA141" i="2"/>
  <c r="AM141" i="2"/>
  <c r="AY141" i="2"/>
  <c r="BO141" i="2"/>
  <c r="D8" i="17"/>
  <c r="J150" i="2"/>
  <c r="I8" i="17"/>
  <c r="AH150" i="2"/>
  <c r="L8" i="17"/>
  <c r="AT150" i="2"/>
  <c r="M9" i="17"/>
  <c r="J10" i="17"/>
  <c r="AI152" i="2"/>
  <c r="C11" i="17"/>
  <c r="E153" i="2"/>
  <c r="N11" i="17"/>
  <c r="N46" i="17" s="1"/>
  <c r="G12" i="17"/>
  <c r="O12" i="17"/>
  <c r="BL154" i="2"/>
  <c r="K13" i="17"/>
  <c r="AP155" i="2"/>
  <c r="BR118" i="2"/>
  <c r="BT118" i="2" s="1"/>
  <c r="C20" i="17"/>
  <c r="N20" i="17"/>
  <c r="N55" i="17" s="1"/>
  <c r="J21" i="17"/>
  <c r="AI163" i="2"/>
  <c r="F22" i="17"/>
  <c r="S164" i="2"/>
  <c r="H23" i="17"/>
  <c r="Y165" i="2"/>
  <c r="C167" i="2"/>
  <c r="BR130" i="2"/>
  <c r="BT130" i="2" s="1"/>
  <c r="J26" i="17"/>
  <c r="E174" i="2"/>
  <c r="C32" i="17"/>
  <c r="N32" i="17"/>
  <c r="N67" i="17" s="1"/>
  <c r="G33" i="17"/>
  <c r="X175" i="2"/>
  <c r="O33" i="17"/>
  <c r="BL175" i="2"/>
  <c r="C177" i="2"/>
  <c r="BR140" i="2"/>
  <c r="BT140" i="2" s="1"/>
  <c r="AD141" i="2"/>
  <c r="AJ147" i="2"/>
  <c r="AJ178" i="2" s="1"/>
  <c r="AI149" i="2"/>
  <c r="AG178" i="2"/>
  <c r="K12" i="17"/>
  <c r="AP154" i="2"/>
  <c r="N26" i="17"/>
  <c r="N61" i="17" s="1"/>
  <c r="H29" i="17"/>
  <c r="Y171" i="2"/>
  <c r="V178" i="2"/>
  <c r="F12" i="17"/>
  <c r="S154" i="2"/>
  <c r="D141" i="2"/>
  <c r="P141" i="2"/>
  <c r="AB141" i="2"/>
  <c r="AN141" i="2"/>
  <c r="M5" i="17"/>
  <c r="BP141" i="2"/>
  <c r="D6" i="17"/>
  <c r="I6" i="17"/>
  <c r="L6" i="17"/>
  <c r="M7" i="17"/>
  <c r="J8" i="17"/>
  <c r="AI150" i="2"/>
  <c r="C9" i="17"/>
  <c r="E151" i="2"/>
  <c r="N9" i="17"/>
  <c r="N44" i="17" s="1"/>
  <c r="G10" i="17"/>
  <c r="X152" i="2"/>
  <c r="O10" i="17"/>
  <c r="BL152" i="2"/>
  <c r="K11" i="17"/>
  <c r="AP153" i="2"/>
  <c r="K20" i="17"/>
  <c r="AP162" i="2"/>
  <c r="BR125" i="2"/>
  <c r="BT125" i="2" s="1"/>
  <c r="G21" i="17"/>
  <c r="X163" i="2"/>
  <c r="O21" i="17"/>
  <c r="BL163" i="2"/>
  <c r="D24" i="17"/>
  <c r="J166" i="2"/>
  <c r="I24" i="17"/>
  <c r="AH166" i="2"/>
  <c r="L24" i="17"/>
  <c r="AT166" i="2"/>
  <c r="M25" i="17"/>
  <c r="K32" i="17"/>
  <c r="AP174" i="2"/>
  <c r="BR137" i="2"/>
  <c r="BT137" i="2" s="1"/>
  <c r="M35" i="17"/>
  <c r="AG141" i="2"/>
  <c r="C147" i="2"/>
  <c r="AM147" i="2"/>
  <c r="AM178" i="2" s="1"/>
  <c r="J148" i="2"/>
  <c r="AH152" i="2"/>
  <c r="X159" i="2"/>
  <c r="BR117" i="2"/>
  <c r="BT117" i="2" s="1"/>
  <c r="O13" i="17"/>
  <c r="BL155" i="2"/>
  <c r="C161" i="2"/>
  <c r="BR124" i="2"/>
  <c r="BT124" i="2" s="1"/>
  <c r="C26" i="17"/>
  <c r="E168" i="2"/>
  <c r="F28" i="17"/>
  <c r="S170" i="2"/>
  <c r="P178" i="2"/>
  <c r="I5" i="17"/>
  <c r="AH147" i="2"/>
  <c r="L30" i="17"/>
  <c r="AT172" i="2"/>
  <c r="C5" i="17"/>
  <c r="E147" i="2"/>
  <c r="Q178" i="2"/>
  <c r="AC178" i="2"/>
  <c r="AO178" i="2"/>
  <c r="N5" i="17"/>
  <c r="BQ178" i="2"/>
  <c r="J6" i="17"/>
  <c r="AI148" i="2"/>
  <c r="C7" i="17"/>
  <c r="N7" i="17"/>
  <c r="N42" i="17" s="1"/>
  <c r="G8" i="17"/>
  <c r="X150" i="2"/>
  <c r="O8" i="17"/>
  <c r="BL150" i="2"/>
  <c r="K9" i="17"/>
  <c r="AP151" i="2"/>
  <c r="BR114" i="2"/>
  <c r="BT114" i="2" s="1"/>
  <c r="C18" i="17"/>
  <c r="E160" i="2"/>
  <c r="N18" i="17"/>
  <c r="N53" i="17" s="1"/>
  <c r="J19" i="17"/>
  <c r="AI161" i="2"/>
  <c r="S162" i="2"/>
  <c r="F20" i="17"/>
  <c r="H21" i="17"/>
  <c r="Y163" i="2"/>
  <c r="C165" i="2"/>
  <c r="BR128" i="2"/>
  <c r="BT128" i="2" s="1"/>
  <c r="J24" i="17"/>
  <c r="AI166" i="2"/>
  <c r="C25" i="17"/>
  <c r="E167" i="2"/>
  <c r="N25" i="17"/>
  <c r="N60" i="17" s="1"/>
  <c r="C30" i="17"/>
  <c r="E172" i="2"/>
  <c r="N30" i="17"/>
  <c r="N65" i="17" s="1"/>
  <c r="J31" i="17"/>
  <c r="AI173" i="2"/>
  <c r="D34" i="17"/>
  <c r="J176" i="2"/>
  <c r="I34" i="17"/>
  <c r="AH176" i="2"/>
  <c r="L34" i="17"/>
  <c r="AT176" i="2"/>
  <c r="AH141" i="2"/>
  <c r="D147" i="2"/>
  <c r="D178" i="2" s="1"/>
  <c r="AN147" i="2"/>
  <c r="AN178" i="2" s="1"/>
  <c r="E162" i="2"/>
  <c r="C10" i="17"/>
  <c r="E152" i="2"/>
  <c r="J11" i="17"/>
  <c r="AI153" i="2"/>
  <c r="F178" i="2"/>
  <c r="R178" i="2"/>
  <c r="AD178" i="2"/>
  <c r="K5" i="17"/>
  <c r="AP147" i="2"/>
  <c r="BR110" i="2"/>
  <c r="G6" i="17"/>
  <c r="X148" i="2"/>
  <c r="O6" i="17"/>
  <c r="BL148" i="2"/>
  <c r="K7" i="17"/>
  <c r="AP149" i="2"/>
  <c r="BR112" i="2"/>
  <c r="BT112" i="2" s="1"/>
  <c r="C16" i="17"/>
  <c r="E158" i="2"/>
  <c r="N16" i="17"/>
  <c r="N51" i="17" s="1"/>
  <c r="J17" i="17"/>
  <c r="AI159" i="2"/>
  <c r="K18" i="17"/>
  <c r="AP160" i="2"/>
  <c r="BR123" i="2"/>
  <c r="BT123" i="2" s="1"/>
  <c r="G19" i="17"/>
  <c r="X161" i="2"/>
  <c r="O19" i="17"/>
  <c r="BL161" i="2"/>
  <c r="D22" i="17"/>
  <c r="J164" i="2"/>
  <c r="I22" i="17"/>
  <c r="AH164" i="2"/>
  <c r="L22" i="17"/>
  <c r="AT164" i="2"/>
  <c r="M23" i="17"/>
  <c r="K30" i="17"/>
  <c r="AP172" i="2"/>
  <c r="BR135" i="2"/>
  <c r="BT135" i="2" s="1"/>
  <c r="G31" i="17"/>
  <c r="X173" i="2"/>
  <c r="O31" i="17"/>
  <c r="BL173" i="2"/>
  <c r="C175" i="2"/>
  <c r="BR138" i="2"/>
  <c r="BT138" i="2" s="1"/>
  <c r="E141" i="2"/>
  <c r="AO141" i="2"/>
  <c r="K147" i="2"/>
  <c r="K178" i="2" s="1"/>
  <c r="AU147" i="2"/>
  <c r="AU178" i="2" s="1"/>
  <c r="J154" i="2"/>
  <c r="Y157" i="2"/>
  <c r="AI168" i="2"/>
  <c r="H31" i="17"/>
  <c r="F32" i="17"/>
  <c r="S174" i="2"/>
  <c r="H33" i="17"/>
  <c r="Y175" i="2"/>
  <c r="F34" i="17"/>
  <c r="S176" i="2"/>
  <c r="H35" i="17"/>
  <c r="Y177" i="2"/>
  <c r="B9" i="17"/>
  <c r="E9" i="17"/>
  <c r="B11" i="17"/>
  <c r="E11" i="17"/>
  <c r="B13" i="17"/>
  <c r="E13" i="17"/>
  <c r="B15" i="17"/>
  <c r="B157" i="2"/>
  <c r="E15" i="17"/>
  <c r="N157" i="2"/>
  <c r="B17" i="17"/>
  <c r="B159" i="2"/>
  <c r="E17" i="17"/>
  <c r="N159" i="2"/>
  <c r="B19" i="17"/>
  <c r="E19" i="17"/>
  <c r="B21" i="17"/>
  <c r="B163" i="2"/>
  <c r="E21" i="17"/>
  <c r="N163" i="2"/>
  <c r="B23" i="17"/>
  <c r="E23" i="17"/>
  <c r="N165" i="2"/>
  <c r="B25" i="17"/>
  <c r="B167" i="2"/>
  <c r="E25" i="17"/>
  <c r="N167" i="2"/>
  <c r="B27" i="17"/>
  <c r="E27" i="17"/>
  <c r="B29" i="17"/>
  <c r="B171" i="2"/>
  <c r="E29" i="17"/>
  <c r="N171" i="2"/>
  <c r="B31" i="17"/>
  <c r="B173" i="2"/>
  <c r="E31" i="17"/>
  <c r="N173" i="2"/>
  <c r="B33" i="17"/>
  <c r="B175" i="2"/>
  <c r="E33" i="17"/>
  <c r="N175" i="2"/>
  <c r="B35" i="17"/>
  <c r="B177" i="2"/>
  <c r="E35" i="17"/>
  <c r="N177" i="2"/>
  <c r="B153" i="2"/>
  <c r="N151" i="2"/>
  <c r="B169" i="2"/>
  <c r="C27" i="17"/>
  <c r="E169" i="2"/>
  <c r="N27" i="17"/>
  <c r="N62" i="17" s="1"/>
  <c r="J28" i="17"/>
  <c r="AI170" i="2"/>
  <c r="C29" i="17"/>
  <c r="E171" i="2"/>
  <c r="N29" i="17"/>
  <c r="N64" i="17" s="1"/>
  <c r="J30" i="17"/>
  <c r="AI172" i="2"/>
  <c r="C31" i="17"/>
  <c r="E173" i="2"/>
  <c r="N31" i="17"/>
  <c r="N66" i="17" s="1"/>
  <c r="J32" i="17"/>
  <c r="AI174" i="2"/>
  <c r="C33" i="17"/>
  <c r="E175" i="2"/>
  <c r="N33" i="17"/>
  <c r="N68" i="17" s="1"/>
  <c r="J34" i="17"/>
  <c r="AI176" i="2"/>
  <c r="N35" i="17"/>
  <c r="N70" i="17" s="1"/>
  <c r="B158" i="2"/>
  <c r="K19" i="17"/>
  <c r="AP161" i="2"/>
  <c r="G20" i="17"/>
  <c r="X162" i="2"/>
  <c r="O20" i="17"/>
  <c r="BL162" i="2"/>
  <c r="K21" i="17"/>
  <c r="AP163" i="2"/>
  <c r="G22" i="17"/>
  <c r="O22" i="17"/>
  <c r="BL164" i="2"/>
  <c r="K23" i="17"/>
  <c r="AP165" i="2"/>
  <c r="G24" i="17"/>
  <c r="O24" i="17"/>
  <c r="K25" i="17"/>
  <c r="AP167" i="2"/>
  <c r="G26" i="17"/>
  <c r="X168" i="2"/>
  <c r="O26" i="17"/>
  <c r="BL168" i="2"/>
  <c r="AP169" i="2"/>
  <c r="K27" i="17"/>
  <c r="G28" i="17"/>
  <c r="X170" i="2"/>
  <c r="O28" i="17"/>
  <c r="BL170" i="2"/>
  <c r="K29" i="17"/>
  <c r="AP171" i="2"/>
  <c r="G30" i="17"/>
  <c r="X172" i="2"/>
  <c r="O30" i="17"/>
  <c r="BL172" i="2"/>
  <c r="K31" i="17"/>
  <c r="AP173" i="2"/>
  <c r="G32" i="17"/>
  <c r="X174" i="2"/>
  <c r="O32" i="17"/>
  <c r="BL174" i="2"/>
  <c r="K33" i="17"/>
  <c r="AP175" i="2"/>
  <c r="G34" i="17"/>
  <c r="X176" i="2"/>
  <c r="O34" i="17"/>
  <c r="BL176" i="2"/>
  <c r="K35" i="17"/>
  <c r="AP177" i="2"/>
  <c r="B155" i="2"/>
  <c r="B161" i="2"/>
  <c r="F7" i="17"/>
  <c r="S149" i="2"/>
  <c r="H8" i="17"/>
  <c r="Y150" i="2"/>
  <c r="F9" i="17"/>
  <c r="S151" i="2"/>
  <c r="Y152" i="2"/>
  <c r="H10" i="17"/>
  <c r="F11" i="17"/>
  <c r="S153" i="2"/>
  <c r="H12" i="17"/>
  <c r="Y154" i="2"/>
  <c r="F13" i="17"/>
  <c r="H14" i="17"/>
  <c r="F15" i="17"/>
  <c r="S157" i="2"/>
  <c r="H16" i="17"/>
  <c r="Y158" i="2"/>
  <c r="F17" i="17"/>
  <c r="S159" i="2"/>
  <c r="H18" i="17"/>
  <c r="F19" i="17"/>
  <c r="H20" i="17"/>
  <c r="F21" i="17"/>
  <c r="S163" i="2"/>
  <c r="H22" i="17"/>
  <c r="F23" i="17"/>
  <c r="S165" i="2"/>
  <c r="Y166" i="2"/>
  <c r="H24" i="17"/>
  <c r="F25" i="17"/>
  <c r="S167" i="2"/>
  <c r="H26" i="17"/>
  <c r="Y168" i="2"/>
  <c r="F27" i="17"/>
  <c r="S169" i="2"/>
  <c r="H28" i="17"/>
  <c r="Y170" i="2"/>
  <c r="F29" i="17"/>
  <c r="S171" i="2"/>
  <c r="H30" i="17"/>
  <c r="Y172" i="2"/>
  <c r="F31" i="17"/>
  <c r="S173" i="2"/>
  <c r="H32" i="17"/>
  <c r="Y174" i="2"/>
  <c r="F33" i="17"/>
  <c r="S175" i="2"/>
  <c r="H34" i="17"/>
  <c r="Y176" i="2"/>
  <c r="F35" i="17"/>
  <c r="S177" i="2"/>
  <c r="N161" i="2"/>
  <c r="N169" i="2"/>
  <c r="Y173" i="2"/>
  <c r="B8" i="17"/>
  <c r="B150" i="2"/>
  <c r="E8" i="17"/>
  <c r="N150" i="2"/>
  <c r="B10" i="17"/>
  <c r="B152" i="2"/>
  <c r="E10" i="17"/>
  <c r="N152" i="2"/>
  <c r="B12" i="17"/>
  <c r="B154" i="2"/>
  <c r="E12" i="17"/>
  <c r="N154" i="2"/>
  <c r="B14" i="17"/>
  <c r="B156" i="2"/>
  <c r="E14" i="17"/>
  <c r="N156" i="2"/>
  <c r="B15" i="10"/>
  <c r="B51" i="17"/>
  <c r="E16" i="17"/>
  <c r="B18" i="17"/>
  <c r="B160" i="2"/>
  <c r="E18" i="17"/>
  <c r="N160" i="2"/>
  <c r="B55" i="17"/>
  <c r="B19" i="10"/>
  <c r="E20" i="17"/>
  <c r="N162" i="2"/>
  <c r="B22" i="17"/>
  <c r="B164" i="2"/>
  <c r="E22" i="17"/>
  <c r="N164" i="2"/>
  <c r="B24" i="17"/>
  <c r="B166" i="2"/>
  <c r="E24" i="17"/>
  <c r="N166" i="2"/>
  <c r="B25" i="10"/>
  <c r="B61" i="17"/>
  <c r="E26" i="17"/>
  <c r="N168" i="2"/>
  <c r="B28" i="17"/>
  <c r="B170" i="2"/>
  <c r="E28" i="17"/>
  <c r="N170" i="2"/>
  <c r="B30" i="17"/>
  <c r="B172" i="2"/>
  <c r="E30" i="17"/>
  <c r="N172" i="2"/>
  <c r="B32" i="17"/>
  <c r="B174" i="2"/>
  <c r="E32" i="17"/>
  <c r="N174" i="2"/>
  <c r="B34" i="17"/>
  <c r="B176" i="2"/>
  <c r="E34" i="17"/>
  <c r="N176" i="2"/>
  <c r="N153" i="2"/>
  <c r="N158" i="2"/>
  <c r="B168" i="2"/>
  <c r="D7" i="17"/>
  <c r="I7" i="17"/>
  <c r="L7" i="17"/>
  <c r="M8" i="17"/>
  <c r="D9" i="17"/>
  <c r="I9" i="17"/>
  <c r="L9" i="17"/>
  <c r="M10" i="17"/>
  <c r="D11" i="17"/>
  <c r="J153" i="2"/>
  <c r="I11" i="17"/>
  <c r="AH153" i="2"/>
  <c r="L11" i="17"/>
  <c r="AT153" i="2"/>
  <c r="M12" i="17"/>
  <c r="D13" i="17"/>
  <c r="J155" i="2"/>
  <c r="I13" i="17"/>
  <c r="AH155" i="2"/>
  <c r="L13" i="17"/>
  <c r="AT155" i="2"/>
  <c r="M14" i="17"/>
  <c r="D15" i="17"/>
  <c r="I15" i="17"/>
  <c r="AH157" i="2"/>
  <c r="L15" i="17"/>
  <c r="AT157" i="2"/>
  <c r="M16" i="17"/>
  <c r="D17" i="17"/>
  <c r="J159" i="2"/>
  <c r="I17" i="17"/>
  <c r="AH159" i="2"/>
  <c r="L17" i="17"/>
  <c r="AT159" i="2"/>
  <c r="M18" i="17"/>
  <c r="D19" i="17"/>
  <c r="J161" i="2"/>
  <c r="I19" i="17"/>
  <c r="L19" i="17"/>
  <c r="AT161" i="2"/>
  <c r="M20" i="17"/>
  <c r="D21" i="17"/>
  <c r="I21" i="17"/>
  <c r="AH163" i="2"/>
  <c r="L21" i="17"/>
  <c r="M22" i="17"/>
  <c r="D23" i="17"/>
  <c r="J165" i="2"/>
  <c r="I23" i="17"/>
  <c r="AH165" i="2"/>
  <c r="L23" i="17"/>
  <c r="AT165" i="2"/>
  <c r="M24" i="17"/>
  <c r="D25" i="17"/>
  <c r="J167" i="2"/>
  <c r="I25" i="17"/>
  <c r="L25" i="17"/>
  <c r="AT167" i="2"/>
  <c r="M26" i="17"/>
  <c r="D27" i="17"/>
  <c r="J169" i="2"/>
  <c r="I27" i="17"/>
  <c r="AH169" i="2"/>
  <c r="L27" i="17"/>
  <c r="AT169" i="2"/>
  <c r="M28" i="17"/>
  <c r="D29" i="17"/>
  <c r="J171" i="2"/>
  <c r="I29" i="17"/>
  <c r="AH171" i="2"/>
  <c r="L29" i="17"/>
  <c r="AT171" i="2"/>
  <c r="M30" i="17"/>
  <c r="D31" i="17"/>
  <c r="J173" i="2"/>
  <c r="AH173" i="2"/>
  <c r="I31" i="17"/>
  <c r="L31" i="17"/>
  <c r="AT173" i="2"/>
  <c r="M32" i="17"/>
  <c r="D33" i="17"/>
  <c r="J175" i="2"/>
  <c r="I33" i="17"/>
  <c r="AH175" i="2"/>
  <c r="L33" i="17"/>
  <c r="AT175" i="2"/>
  <c r="M34" i="17"/>
  <c r="D35" i="17"/>
  <c r="J177" i="2"/>
  <c r="I35" i="17"/>
  <c r="AH177" i="2"/>
  <c r="AT177" i="2"/>
  <c r="L35" i="17"/>
  <c r="AT149" i="2"/>
  <c r="B151" i="2"/>
  <c r="B162" i="2"/>
  <c r="BL166" i="2"/>
  <c r="L75" i="20"/>
  <c r="I75" i="20"/>
  <c r="E75" i="20"/>
  <c r="Q75" i="20"/>
  <c r="H75" i="20"/>
  <c r="J75" i="20"/>
  <c r="A55" i="20"/>
  <c r="N14" i="16" s="1"/>
  <c r="N15" i="16" s="1"/>
  <c r="A67" i="20"/>
  <c r="Z14" i="16" s="1"/>
  <c r="Z15" i="16" s="1"/>
  <c r="C75" i="20"/>
  <c r="O75" i="20"/>
  <c r="A53" i="20"/>
  <c r="L14" i="16" s="1"/>
  <c r="L15" i="16" s="1"/>
  <c r="A54" i="20"/>
  <c r="M14" i="16" s="1"/>
  <c r="M15" i="16" s="1"/>
  <c r="A65" i="20"/>
  <c r="X14" i="16" s="1"/>
  <c r="X15" i="16" s="1"/>
  <c r="A66" i="20"/>
  <c r="Y14" i="16" s="1"/>
  <c r="Y15" i="16" s="1"/>
  <c r="A47" i="20"/>
  <c r="F14" i="16" s="1"/>
  <c r="F15" i="16" s="1"/>
  <c r="P75" i="20"/>
  <c r="A56" i="20"/>
  <c r="O14" i="16" s="1"/>
  <c r="O15" i="16" s="1"/>
  <c r="A68" i="20"/>
  <c r="AA14" i="16" s="1"/>
  <c r="AA15" i="16" s="1"/>
  <c r="A59" i="20"/>
  <c r="R14" i="16" s="1"/>
  <c r="R15" i="16" s="1"/>
  <c r="A71" i="20"/>
  <c r="AD14" i="16" s="1"/>
  <c r="AD15" i="16" s="1"/>
  <c r="F75" i="20"/>
  <c r="D14" i="16"/>
  <c r="D15" i="16" s="1"/>
  <c r="N75" i="20"/>
  <c r="A50" i="20"/>
  <c r="I14" i="16" s="1"/>
  <c r="I15" i="16" s="1"/>
  <c r="M75" i="20"/>
  <c r="G75" i="20"/>
  <c r="A48" i="20"/>
  <c r="G14" i="16" s="1"/>
  <c r="G15" i="16" s="1"/>
  <c r="A57" i="20"/>
  <c r="P14" i="16" s="1"/>
  <c r="P15" i="16" s="1"/>
  <c r="A62" i="20"/>
  <c r="U14" i="16" s="1"/>
  <c r="U15" i="16" s="1"/>
  <c r="A69" i="20"/>
  <c r="AB14" i="16" s="1"/>
  <c r="AB15" i="16" s="1"/>
  <c r="A74" i="20"/>
  <c r="AG14" i="16" s="1"/>
  <c r="AG15" i="16" s="1"/>
  <c r="R75" i="20"/>
  <c r="A60" i="20"/>
  <c r="S14" i="16" s="1"/>
  <c r="S15" i="16" s="1"/>
  <c r="A72" i="20"/>
  <c r="AE14" i="16" s="1"/>
  <c r="AE15" i="16" s="1"/>
  <c r="A63" i="20"/>
  <c r="V14" i="16" s="1"/>
  <c r="V15" i="16" s="1"/>
  <c r="A46" i="20"/>
  <c r="E14" i="16" s="1"/>
  <c r="E15" i="16" s="1"/>
  <c r="A49" i="20"/>
  <c r="H14" i="16" s="1"/>
  <c r="H15" i="16" s="1"/>
  <c r="C14" i="16"/>
  <c r="B75" i="20"/>
  <c r="D75" i="20"/>
  <c r="H50" i="17" l="1"/>
  <c r="R50" i="17" s="1"/>
  <c r="C34" i="10"/>
  <c r="H9" i="10"/>
  <c r="G16" i="10"/>
  <c r="BR149" i="2"/>
  <c r="BR170" i="2"/>
  <c r="BR165" i="2"/>
  <c r="BR161" i="2"/>
  <c r="G10" i="10"/>
  <c r="BR173" i="2"/>
  <c r="BR169" i="2"/>
  <c r="BR177" i="2"/>
  <c r="BR163" i="2"/>
  <c r="AI178" i="2"/>
  <c r="BR155" i="2"/>
  <c r="BR164" i="2"/>
  <c r="AZ178" i="2"/>
  <c r="BR168" i="2"/>
  <c r="BR156" i="2"/>
  <c r="X178" i="2"/>
  <c r="BR174" i="2"/>
  <c r="BR162" i="2"/>
  <c r="BR167" i="2"/>
  <c r="BR172" i="2"/>
  <c r="BR166" i="2"/>
  <c r="BR150" i="2"/>
  <c r="BR158" i="2"/>
  <c r="BR151" i="2"/>
  <c r="BR154" i="2"/>
  <c r="BR153" i="2"/>
  <c r="BR175" i="2"/>
  <c r="BR159" i="2"/>
  <c r="BR176" i="2"/>
  <c r="BL178" i="2"/>
  <c r="BR160" i="2"/>
  <c r="BR152" i="2"/>
  <c r="BR157" i="2"/>
  <c r="O45" i="17"/>
  <c r="L9" i="10"/>
  <c r="H5" i="10"/>
  <c r="I41" i="17"/>
  <c r="H58" i="17"/>
  <c r="R58" i="17" s="1"/>
  <c r="R23" i="17"/>
  <c r="J7" i="10"/>
  <c r="L43" i="17"/>
  <c r="G26" i="10"/>
  <c r="G62" i="17"/>
  <c r="M41" i="17"/>
  <c r="K5" i="10"/>
  <c r="D61" i="17"/>
  <c r="D25" i="10"/>
  <c r="F5" i="10"/>
  <c r="F41" i="17"/>
  <c r="K59" i="17"/>
  <c r="I23" i="10"/>
  <c r="R27" i="17"/>
  <c r="H62" i="17"/>
  <c r="R62" i="17" s="1"/>
  <c r="C18" i="10"/>
  <c r="C54" i="17"/>
  <c r="L10" i="10"/>
  <c r="O46" i="17"/>
  <c r="K63" i="17"/>
  <c r="I27" i="10"/>
  <c r="C11" i="10"/>
  <c r="C47" i="17"/>
  <c r="Q29" i="17"/>
  <c r="J64" i="17"/>
  <c r="Q64" i="17" s="1"/>
  <c r="H30" i="10"/>
  <c r="I66" i="17"/>
  <c r="I60" i="17"/>
  <c r="H24" i="10"/>
  <c r="K21" i="10"/>
  <c r="M57" i="17"/>
  <c r="K11" i="10"/>
  <c r="M47" i="17"/>
  <c r="K7" i="10"/>
  <c r="M43" i="17"/>
  <c r="B23" i="10"/>
  <c r="B59" i="17"/>
  <c r="P24" i="17"/>
  <c r="H67" i="17"/>
  <c r="R67" i="17" s="1"/>
  <c r="R32" i="17"/>
  <c r="H61" i="17"/>
  <c r="R61" i="17" s="1"/>
  <c r="R26" i="17"/>
  <c r="H53" i="17"/>
  <c r="R53" i="17" s="1"/>
  <c r="R18" i="17"/>
  <c r="F10" i="10"/>
  <c r="F46" i="17"/>
  <c r="I34" i="10"/>
  <c r="K70" i="17"/>
  <c r="I30" i="10"/>
  <c r="K66" i="17"/>
  <c r="L21" i="10"/>
  <c r="O57" i="17"/>
  <c r="E68" i="17"/>
  <c r="E32" i="10"/>
  <c r="B28" i="10"/>
  <c r="B64" i="17"/>
  <c r="P29" i="17"/>
  <c r="B22" i="10"/>
  <c r="B58" i="17"/>
  <c r="P23" i="17"/>
  <c r="I29" i="10"/>
  <c r="K65" i="17"/>
  <c r="H33" i="10"/>
  <c r="I69" i="17"/>
  <c r="C24" i="10"/>
  <c r="C60" i="17"/>
  <c r="D41" i="17"/>
  <c r="D5" i="10"/>
  <c r="H64" i="17"/>
  <c r="R64" i="17" s="1"/>
  <c r="R29" i="17"/>
  <c r="L32" i="10"/>
  <c r="O68" i="17"/>
  <c r="O47" i="17"/>
  <c r="L11" i="10"/>
  <c r="G49" i="17"/>
  <c r="G13" i="10"/>
  <c r="N178" i="2"/>
  <c r="C50" i="17"/>
  <c r="C14" i="10"/>
  <c r="J27" i="10"/>
  <c r="L63" i="17"/>
  <c r="O42" i="17"/>
  <c r="L6" i="10"/>
  <c r="D53" i="17"/>
  <c r="D17" i="10"/>
  <c r="G48" i="17"/>
  <c r="G12" i="10"/>
  <c r="H46" i="17"/>
  <c r="R46" i="17" s="1"/>
  <c r="R11" i="17"/>
  <c r="L67" i="17"/>
  <c r="J31" i="10"/>
  <c r="O50" i="17"/>
  <c r="L14" i="10"/>
  <c r="J50" i="17"/>
  <c r="Q50" i="17" s="1"/>
  <c r="Q15" i="17"/>
  <c r="F18" i="10"/>
  <c r="F54" i="17"/>
  <c r="B16" i="10"/>
  <c r="B52" i="17"/>
  <c r="P17" i="17"/>
  <c r="M70" i="17"/>
  <c r="K34" i="10"/>
  <c r="H14" i="10"/>
  <c r="I50" i="17"/>
  <c r="B43" i="17"/>
  <c r="B7" i="10"/>
  <c r="P8" i="17"/>
  <c r="G21" i="10"/>
  <c r="G57" i="17"/>
  <c r="I6" i="10"/>
  <c r="K42" i="17"/>
  <c r="C6" i="10"/>
  <c r="C42" i="17"/>
  <c r="F21" i="10"/>
  <c r="F57" i="17"/>
  <c r="J13" i="10"/>
  <c r="L49" i="17"/>
  <c r="D14" i="10"/>
  <c r="D50" i="17"/>
  <c r="L25" i="10"/>
  <c r="O61" i="17"/>
  <c r="AH178" i="2"/>
  <c r="E6" i="10"/>
  <c r="E42" i="17"/>
  <c r="E40" i="17"/>
  <c r="E36" i="17"/>
  <c r="E4" i="10"/>
  <c r="Q14" i="17"/>
  <c r="J49" i="17"/>
  <c r="Q49" i="17" s="1"/>
  <c r="L34" i="10"/>
  <c r="O70" i="17"/>
  <c r="L17" i="10"/>
  <c r="O53" i="17"/>
  <c r="G6" i="10"/>
  <c r="G42" i="17"/>
  <c r="I9" i="10"/>
  <c r="K45" i="17"/>
  <c r="F9" i="10"/>
  <c r="F45" i="17"/>
  <c r="C5" i="10"/>
  <c r="C41" i="17"/>
  <c r="I67" i="17"/>
  <c r="H31" i="10"/>
  <c r="G14" i="10"/>
  <c r="G50" i="17"/>
  <c r="E41" i="17"/>
  <c r="E5" i="10"/>
  <c r="H178" i="2"/>
  <c r="BR147" i="2"/>
  <c r="F36" i="17"/>
  <c r="F4" i="10"/>
  <c r="F40" i="17"/>
  <c r="D6" i="10"/>
  <c r="D42" i="17"/>
  <c r="E57" i="17"/>
  <c r="E21" i="10"/>
  <c r="B53" i="17"/>
  <c r="B17" i="10"/>
  <c r="P18" i="17"/>
  <c r="B11" i="10"/>
  <c r="B47" i="17"/>
  <c r="P12" i="17"/>
  <c r="H59" i="17"/>
  <c r="R59" i="17" s="1"/>
  <c r="R24" i="17"/>
  <c r="I20" i="10"/>
  <c r="K56" i="17"/>
  <c r="B62" i="17"/>
  <c r="B26" i="10"/>
  <c r="P27" i="17"/>
  <c r="E56" i="17"/>
  <c r="E20" i="10"/>
  <c r="F33" i="10"/>
  <c r="F69" i="17"/>
  <c r="L5" i="10"/>
  <c r="O41" i="17"/>
  <c r="J41" i="17"/>
  <c r="Q41" i="17" s="1"/>
  <c r="Q6" i="17"/>
  <c r="I40" i="17"/>
  <c r="H4" i="10"/>
  <c r="I36" i="17"/>
  <c r="L12" i="10"/>
  <c r="O48" i="17"/>
  <c r="K67" i="17"/>
  <c r="I31" i="10"/>
  <c r="G56" i="17"/>
  <c r="G20" i="10"/>
  <c r="K4" i="10"/>
  <c r="M40" i="17"/>
  <c r="M36" i="17"/>
  <c r="Q21" i="17"/>
  <c r="J56" i="17"/>
  <c r="Q56" i="17" s="1"/>
  <c r="D7" i="10"/>
  <c r="D43" i="17"/>
  <c r="M54" i="17"/>
  <c r="K18" i="10"/>
  <c r="Q33" i="17"/>
  <c r="J68" i="17"/>
  <c r="Q68" i="17" s="1"/>
  <c r="G22" i="10"/>
  <c r="G58" i="17"/>
  <c r="B6" i="10"/>
  <c r="B42" i="17"/>
  <c r="P7" i="17"/>
  <c r="B178" i="2"/>
  <c r="H13" i="10"/>
  <c r="I49" i="17"/>
  <c r="AT178" i="2"/>
  <c r="J60" i="17"/>
  <c r="Q60" i="17" s="1"/>
  <c r="Q25" i="17"/>
  <c r="K16" i="10"/>
  <c r="M52" i="17"/>
  <c r="L55" i="17"/>
  <c r="J19" i="10"/>
  <c r="C27" i="10"/>
  <c r="C63" i="17"/>
  <c r="F17" i="10"/>
  <c r="F53" i="17"/>
  <c r="S178" i="2"/>
  <c r="D34" i="10"/>
  <c r="D70" i="17"/>
  <c r="D44" i="17"/>
  <c r="D8" i="10"/>
  <c r="J6" i="10"/>
  <c r="L42" i="17"/>
  <c r="D45" i="17"/>
  <c r="D9" i="10"/>
  <c r="L33" i="10"/>
  <c r="O69" i="17"/>
  <c r="J32" i="10"/>
  <c r="L68" i="17"/>
  <c r="I56" i="17"/>
  <c r="H20" i="10"/>
  <c r="M59" i="17"/>
  <c r="K23" i="10"/>
  <c r="D20" i="10"/>
  <c r="D56" i="17"/>
  <c r="M49" i="17"/>
  <c r="K13" i="10"/>
  <c r="I46" i="17"/>
  <c r="H10" i="10"/>
  <c r="B67" i="17"/>
  <c r="B31" i="10"/>
  <c r="P32" i="17"/>
  <c r="E61" i="17"/>
  <c r="E25" i="10"/>
  <c r="E15" i="10"/>
  <c r="E51" i="17"/>
  <c r="H65" i="17"/>
  <c r="R65" i="17" s="1"/>
  <c r="R30" i="17"/>
  <c r="H51" i="17"/>
  <c r="R51" i="17" s="1"/>
  <c r="R16" i="17"/>
  <c r="F8" i="10"/>
  <c r="F44" i="17"/>
  <c r="G33" i="10"/>
  <c r="G69" i="17"/>
  <c r="G29" i="10"/>
  <c r="G65" i="17"/>
  <c r="G61" i="17"/>
  <c r="G25" i="10"/>
  <c r="J69" i="17"/>
  <c r="Q69" i="17" s="1"/>
  <c r="Q34" i="17"/>
  <c r="J65" i="17"/>
  <c r="Q65" i="17" s="1"/>
  <c r="Q30" i="17"/>
  <c r="B50" i="17"/>
  <c r="B14" i="10"/>
  <c r="P15" i="17"/>
  <c r="J21" i="10"/>
  <c r="L57" i="17"/>
  <c r="I17" i="10"/>
  <c r="K53" i="17"/>
  <c r="C45" i="17"/>
  <c r="C9" i="10"/>
  <c r="Q31" i="17"/>
  <c r="J66" i="17"/>
  <c r="Q66" i="17" s="1"/>
  <c r="K47" i="17"/>
  <c r="I11" i="10"/>
  <c r="C12" i="10"/>
  <c r="C48" i="17"/>
  <c r="I16" i="10"/>
  <c r="K52" i="17"/>
  <c r="M48" i="17"/>
  <c r="K12" i="10"/>
  <c r="G34" i="10"/>
  <c r="G70" i="17"/>
  <c r="D27" i="10"/>
  <c r="D63" i="17"/>
  <c r="G17" i="10"/>
  <c r="G53" i="17"/>
  <c r="I5" i="10"/>
  <c r="K41" i="17"/>
  <c r="K30" i="10"/>
  <c r="M66" i="17"/>
  <c r="J4" i="10"/>
  <c r="L40" i="17"/>
  <c r="L36" i="17"/>
  <c r="L8" i="10"/>
  <c r="O44" i="17"/>
  <c r="D31" i="10"/>
  <c r="D67" i="17"/>
  <c r="B5" i="10"/>
  <c r="B41" i="17"/>
  <c r="P6" i="17"/>
  <c r="C13" i="10"/>
  <c r="C49" i="17"/>
  <c r="J30" i="10"/>
  <c r="L66" i="17"/>
  <c r="B69" i="17"/>
  <c r="P34" i="17"/>
  <c r="B33" i="10"/>
  <c r="B44" i="17"/>
  <c r="P9" i="17"/>
  <c r="B8" i="10"/>
  <c r="K33" i="10"/>
  <c r="M69" i="17"/>
  <c r="H45" i="17"/>
  <c r="R45" i="17" s="1"/>
  <c r="R10" i="17"/>
  <c r="G18" i="10"/>
  <c r="G54" i="17"/>
  <c r="L22" i="10"/>
  <c r="O58" i="17"/>
  <c r="I42" i="17"/>
  <c r="H6" i="10"/>
  <c r="C62" i="17"/>
  <c r="C26" i="10"/>
  <c r="J46" i="17"/>
  <c r="Q46" i="17" s="1"/>
  <c r="Q11" i="17"/>
  <c r="J26" i="10"/>
  <c r="L62" i="17"/>
  <c r="J16" i="10"/>
  <c r="L52" i="17"/>
  <c r="I68" i="17"/>
  <c r="H32" i="10"/>
  <c r="K29" i="10"/>
  <c r="M65" i="17"/>
  <c r="H26" i="10"/>
  <c r="I62" i="17"/>
  <c r="H16" i="10"/>
  <c r="I52" i="17"/>
  <c r="P26" i="17"/>
  <c r="B57" i="17"/>
  <c r="B21" i="10"/>
  <c r="P22" i="17"/>
  <c r="P16" i="17"/>
  <c r="L19" i="10"/>
  <c r="O55" i="17"/>
  <c r="E30" i="10"/>
  <c r="E66" i="17"/>
  <c r="B20" i="10"/>
  <c r="B56" i="17"/>
  <c r="P21" i="17"/>
  <c r="H68" i="17"/>
  <c r="R68" i="17" s="1"/>
  <c r="R33" i="17"/>
  <c r="G5" i="10"/>
  <c r="G41" i="17"/>
  <c r="M60" i="17"/>
  <c r="K24" i="10"/>
  <c r="C44" i="17"/>
  <c r="C8" i="10"/>
  <c r="C31" i="10"/>
  <c r="C67" i="17"/>
  <c r="C10" i="10"/>
  <c r="C46" i="17"/>
  <c r="H17" i="10"/>
  <c r="I53" i="17"/>
  <c r="J62" i="17"/>
  <c r="Q62" i="17" s="1"/>
  <c r="Q27" i="17"/>
  <c r="M62" i="17"/>
  <c r="K26" i="10"/>
  <c r="B4" i="10"/>
  <c r="B36" i="17"/>
  <c r="P5" i="17"/>
  <c r="P36" i="17" s="1"/>
  <c r="B40" i="17"/>
  <c r="H60" i="17"/>
  <c r="R60" i="17" s="1"/>
  <c r="R25" i="17"/>
  <c r="D49" i="17"/>
  <c r="D13" i="10"/>
  <c r="J178" i="2"/>
  <c r="J15" i="10"/>
  <c r="L51" i="17"/>
  <c r="H19" i="10"/>
  <c r="I55" i="17"/>
  <c r="I13" i="10"/>
  <c r="K49" i="17"/>
  <c r="L16" i="10"/>
  <c r="O52" i="17"/>
  <c r="L60" i="17"/>
  <c r="J24" i="10"/>
  <c r="B13" i="10"/>
  <c r="P14" i="17"/>
  <c r="B49" i="17"/>
  <c r="E47" i="17"/>
  <c r="E11" i="10"/>
  <c r="I63" i="17"/>
  <c r="H27" i="10"/>
  <c r="K20" i="10"/>
  <c r="M56" i="17"/>
  <c r="D24" i="10"/>
  <c r="D60" i="17"/>
  <c r="E14" i="10"/>
  <c r="E50" i="17"/>
  <c r="G68" i="17"/>
  <c r="G32" i="10"/>
  <c r="J34" i="10"/>
  <c r="L70" i="17"/>
  <c r="M55" i="17"/>
  <c r="K19" i="10"/>
  <c r="L48" i="17"/>
  <c r="J12" i="10"/>
  <c r="D10" i="10"/>
  <c r="D46" i="17"/>
  <c r="E45" i="17"/>
  <c r="E9" i="10"/>
  <c r="F34" i="10"/>
  <c r="F70" i="17"/>
  <c r="F28" i="10"/>
  <c r="F64" i="17"/>
  <c r="F22" i="10"/>
  <c r="F58" i="17"/>
  <c r="F14" i="10"/>
  <c r="F50" i="17"/>
  <c r="H43" i="17"/>
  <c r="R43" i="17" s="1"/>
  <c r="R8" i="17"/>
  <c r="I32" i="10"/>
  <c r="K68" i="17"/>
  <c r="I28" i="10"/>
  <c r="K64" i="17"/>
  <c r="K60" i="17"/>
  <c r="I24" i="10"/>
  <c r="E24" i="10"/>
  <c r="E60" i="17"/>
  <c r="E18" i="10"/>
  <c r="E54" i="17"/>
  <c r="E48" i="17"/>
  <c r="E12" i="10"/>
  <c r="H21" i="10"/>
  <c r="I57" i="17"/>
  <c r="J52" i="17"/>
  <c r="Q52" i="17" s="1"/>
  <c r="Q17" i="17"/>
  <c r="BR141" i="2"/>
  <c r="BT141" i="2" s="1"/>
  <c r="BT110" i="2"/>
  <c r="H56" i="17"/>
  <c r="R56" i="17" s="1"/>
  <c r="R21" i="17"/>
  <c r="I8" i="10"/>
  <c r="K44" i="17"/>
  <c r="N40" i="17"/>
  <c r="N71" i="17" s="1"/>
  <c r="N36" i="17"/>
  <c r="K55" i="17"/>
  <c r="I19" i="10"/>
  <c r="C19" i="10"/>
  <c r="C55" i="17"/>
  <c r="I21" i="10"/>
  <c r="K57" i="17"/>
  <c r="J47" i="17"/>
  <c r="Q47" i="17" s="1"/>
  <c r="Q12" i="17"/>
  <c r="L15" i="10"/>
  <c r="O51" i="17"/>
  <c r="L47" i="17"/>
  <c r="J11" i="10"/>
  <c r="Y178" i="2"/>
  <c r="L24" i="10"/>
  <c r="O60" i="17"/>
  <c r="L4" i="10"/>
  <c r="O40" i="17"/>
  <c r="O36" i="17"/>
  <c r="D65" i="17"/>
  <c r="D29" i="10"/>
  <c r="D36" i="17"/>
  <c r="D40" i="17"/>
  <c r="D4" i="10"/>
  <c r="G44" i="17"/>
  <c r="G8" i="10"/>
  <c r="J40" i="17"/>
  <c r="J36" i="17"/>
  <c r="Q5" i="17"/>
  <c r="L28" i="10"/>
  <c r="O64" i="17"/>
  <c r="H41" i="17"/>
  <c r="R41" i="17" s="1"/>
  <c r="R6" i="17"/>
  <c r="D28" i="10"/>
  <c r="D64" i="17"/>
  <c r="D23" i="10"/>
  <c r="D59" i="17"/>
  <c r="K27" i="10"/>
  <c r="M63" i="17"/>
  <c r="H70" i="17"/>
  <c r="R70" i="17" s="1"/>
  <c r="R35" i="17"/>
  <c r="L20" i="10"/>
  <c r="O56" i="17"/>
  <c r="H7" i="10"/>
  <c r="I43" i="17"/>
  <c r="C57" i="17"/>
  <c r="C21" i="10"/>
  <c r="L46" i="17"/>
  <c r="J10" i="10"/>
  <c r="F16" i="10"/>
  <c r="F52" i="17"/>
  <c r="B32" i="10"/>
  <c r="B68" i="17"/>
  <c r="P33" i="17"/>
  <c r="M58" i="17"/>
  <c r="K22" i="10"/>
  <c r="C53" i="17"/>
  <c r="C17" i="10"/>
  <c r="D32" i="10"/>
  <c r="D68" i="17"/>
  <c r="E19" i="10"/>
  <c r="E55" i="17"/>
  <c r="H57" i="17"/>
  <c r="R57" i="17" s="1"/>
  <c r="R22" i="17"/>
  <c r="H49" i="17"/>
  <c r="R49" i="17" s="1"/>
  <c r="R14" i="17"/>
  <c r="O59" i="17"/>
  <c r="L23" i="10"/>
  <c r="G19" i="10"/>
  <c r="G55" i="17"/>
  <c r="E34" i="10"/>
  <c r="E70" i="17"/>
  <c r="B30" i="10"/>
  <c r="P31" i="17"/>
  <c r="B66" i="17"/>
  <c r="B18" i="10"/>
  <c r="P19" i="17"/>
  <c r="B54" i="17"/>
  <c r="P13" i="17"/>
  <c r="B48" i="17"/>
  <c r="B12" i="10"/>
  <c r="F31" i="10"/>
  <c r="F67" i="17"/>
  <c r="O66" i="17"/>
  <c r="L30" i="10"/>
  <c r="F19" i="10"/>
  <c r="F55" i="17"/>
  <c r="F27" i="10"/>
  <c r="F63" i="17"/>
  <c r="BR148" i="2"/>
  <c r="L59" i="17"/>
  <c r="J23" i="10"/>
  <c r="J43" i="17"/>
  <c r="Q43" i="17" s="1"/>
  <c r="Q8" i="17"/>
  <c r="Q26" i="17"/>
  <c r="J61" i="17"/>
  <c r="Q61" i="17" s="1"/>
  <c r="J45" i="17"/>
  <c r="Q45" i="17" s="1"/>
  <c r="Q10" i="17"/>
  <c r="H48" i="17"/>
  <c r="R48" i="17" s="1"/>
  <c r="R13" i="17"/>
  <c r="J25" i="10"/>
  <c r="L61" i="17"/>
  <c r="H29" i="10"/>
  <c r="I65" i="17"/>
  <c r="F23" i="10"/>
  <c r="F59" i="17"/>
  <c r="H11" i="10"/>
  <c r="I47" i="17"/>
  <c r="C16" i="10"/>
  <c r="C52" i="17"/>
  <c r="J70" i="17"/>
  <c r="Q70" i="17" s="1"/>
  <c r="Q35" i="17"/>
  <c r="C23" i="10"/>
  <c r="C59" i="17"/>
  <c r="I51" i="17"/>
  <c r="H15" i="10"/>
  <c r="D19" i="10"/>
  <c r="D55" i="17"/>
  <c r="J48" i="17"/>
  <c r="Q48" i="17" s="1"/>
  <c r="Q13" i="17"/>
  <c r="K32" i="10"/>
  <c r="M68" i="17"/>
  <c r="C22" i="10"/>
  <c r="C58" i="17"/>
  <c r="L50" i="17"/>
  <c r="J14" i="10"/>
  <c r="O54" i="17"/>
  <c r="L18" i="10"/>
  <c r="E53" i="17"/>
  <c r="E17" i="10"/>
  <c r="E31" i="10"/>
  <c r="E67" i="17"/>
  <c r="F24" i="10"/>
  <c r="F60" i="17"/>
  <c r="E26" i="10"/>
  <c r="E62" i="17"/>
  <c r="J59" i="17"/>
  <c r="Q59" i="17" s="1"/>
  <c r="Q24" i="17"/>
  <c r="J28" i="10"/>
  <c r="L64" i="17"/>
  <c r="D52" i="17"/>
  <c r="D16" i="10"/>
  <c r="H22" i="10"/>
  <c r="I58" i="17"/>
  <c r="J18" i="10"/>
  <c r="L54" i="17"/>
  <c r="I48" i="17"/>
  <c r="H12" i="10"/>
  <c r="M45" i="17"/>
  <c r="K9" i="10"/>
  <c r="P20" i="17"/>
  <c r="B45" i="17"/>
  <c r="B9" i="10"/>
  <c r="P10" i="17"/>
  <c r="H69" i="17"/>
  <c r="R69" i="17" s="1"/>
  <c r="R34" i="17"/>
  <c r="H63" i="17"/>
  <c r="R63" i="17" s="1"/>
  <c r="R28" i="17"/>
  <c r="F48" i="17"/>
  <c r="F12" i="10"/>
  <c r="F6" i="10"/>
  <c r="F42" i="17"/>
  <c r="L31" i="10"/>
  <c r="O67" i="17"/>
  <c r="L27" i="10"/>
  <c r="O63" i="17"/>
  <c r="G23" i="10"/>
  <c r="G59" i="17"/>
  <c r="C32" i="10"/>
  <c r="C68" i="17"/>
  <c r="C28" i="10"/>
  <c r="C64" i="17"/>
  <c r="B24" i="10"/>
  <c r="P25" i="17"/>
  <c r="B60" i="17"/>
  <c r="E10" i="10"/>
  <c r="E46" i="17"/>
  <c r="R31" i="17"/>
  <c r="H66" i="17"/>
  <c r="R66" i="17" s="1"/>
  <c r="D57" i="17"/>
  <c r="D21" i="10"/>
  <c r="AP178" i="2"/>
  <c r="C65" i="17"/>
  <c r="C29" i="10"/>
  <c r="L7" i="10"/>
  <c r="O43" i="17"/>
  <c r="M46" i="17"/>
  <c r="K10" i="10"/>
  <c r="G51" i="17"/>
  <c r="G15" i="10"/>
  <c r="D11" i="10"/>
  <c r="D47" i="17"/>
  <c r="H40" i="17"/>
  <c r="H36" i="17"/>
  <c r="R5" i="17"/>
  <c r="C69" i="17"/>
  <c r="C33" i="10"/>
  <c r="G24" i="10"/>
  <c r="G60" i="17"/>
  <c r="R9" i="17"/>
  <c r="H44" i="17"/>
  <c r="R44" i="17" s="1"/>
  <c r="O62" i="17"/>
  <c r="L26" i="10"/>
  <c r="J55" i="17"/>
  <c r="Q55" i="17" s="1"/>
  <c r="Q20" i="17"/>
  <c r="G28" i="10"/>
  <c r="G64" i="17"/>
  <c r="H52" i="17"/>
  <c r="R52" i="17" s="1"/>
  <c r="R17" i="17"/>
  <c r="D18" i="10"/>
  <c r="D54" i="17"/>
  <c r="E43" i="17"/>
  <c r="E7" i="10"/>
  <c r="C36" i="17"/>
  <c r="C40" i="17"/>
  <c r="C4" i="10"/>
  <c r="J20" i="10"/>
  <c r="L56" i="17"/>
  <c r="B27" i="10"/>
  <c r="B63" i="17"/>
  <c r="P28" i="17"/>
  <c r="J29" i="10"/>
  <c r="L65" i="17"/>
  <c r="G11" i="10"/>
  <c r="G47" i="17"/>
  <c r="F61" i="17"/>
  <c r="F25" i="10"/>
  <c r="J44" i="17"/>
  <c r="Q44" i="17" s="1"/>
  <c r="Q9" i="17"/>
  <c r="L29" i="10"/>
  <c r="O65" i="17"/>
  <c r="J22" i="10"/>
  <c r="L58" i="17"/>
  <c r="D26" i="10"/>
  <c r="D62" i="17"/>
  <c r="E65" i="17"/>
  <c r="E29" i="10"/>
  <c r="H34" i="10"/>
  <c r="I70" i="17"/>
  <c r="M67" i="17"/>
  <c r="K31" i="10"/>
  <c r="H28" i="10"/>
  <c r="I64" i="17"/>
  <c r="K25" i="10"/>
  <c r="M61" i="17"/>
  <c r="H18" i="10"/>
  <c r="I54" i="17"/>
  <c r="K15" i="10"/>
  <c r="M51" i="17"/>
  <c r="J8" i="10"/>
  <c r="L44" i="17"/>
  <c r="E69" i="17"/>
  <c r="E33" i="10"/>
  <c r="P30" i="17"/>
  <c r="B65" i="17"/>
  <c r="B29" i="10"/>
  <c r="E49" i="17"/>
  <c r="E13" i="10"/>
  <c r="F56" i="17"/>
  <c r="F20" i="10"/>
  <c r="I18" i="10"/>
  <c r="K54" i="17"/>
  <c r="B34" i="10"/>
  <c r="B70" i="17"/>
  <c r="P35" i="17"/>
  <c r="E52" i="17"/>
  <c r="E16" i="10"/>
  <c r="B10" i="10"/>
  <c r="B46" i="17"/>
  <c r="P11" i="17"/>
  <c r="G30" i="10"/>
  <c r="G66" i="17"/>
  <c r="I4" i="10"/>
  <c r="K40" i="17"/>
  <c r="K36" i="17"/>
  <c r="C25" i="10"/>
  <c r="C61" i="17"/>
  <c r="C178" i="2"/>
  <c r="I59" i="17"/>
  <c r="H23" i="10"/>
  <c r="K46" i="17"/>
  <c r="I10" i="10"/>
  <c r="M42" i="17"/>
  <c r="K6" i="10"/>
  <c r="F47" i="17"/>
  <c r="F11" i="10"/>
  <c r="K8" i="10"/>
  <c r="M44" i="17"/>
  <c r="C20" i="10"/>
  <c r="C56" i="17"/>
  <c r="H25" i="10"/>
  <c r="I61" i="17"/>
  <c r="I14" i="10"/>
  <c r="K50" i="17"/>
  <c r="J58" i="17"/>
  <c r="Q58" i="17" s="1"/>
  <c r="Q23" i="17"/>
  <c r="J51" i="17"/>
  <c r="Q51" i="17" s="1"/>
  <c r="Q16" i="17"/>
  <c r="D15" i="10"/>
  <c r="D51" i="17"/>
  <c r="I7" i="10"/>
  <c r="K43" i="17"/>
  <c r="F29" i="10"/>
  <c r="F65" i="17"/>
  <c r="Q22" i="17"/>
  <c r="J57" i="17"/>
  <c r="Q57" i="17" s="1"/>
  <c r="E27" i="10"/>
  <c r="E63" i="17"/>
  <c r="I26" i="10"/>
  <c r="K62" i="17"/>
  <c r="E22" i="10"/>
  <c r="E58" i="17"/>
  <c r="K17" i="10"/>
  <c r="M53" i="17"/>
  <c r="G9" i="10"/>
  <c r="G45" i="17"/>
  <c r="I25" i="10"/>
  <c r="K61" i="17"/>
  <c r="I33" i="10"/>
  <c r="K69" i="17"/>
  <c r="J53" i="17"/>
  <c r="Q53" i="17" s="1"/>
  <c r="Q18" i="17"/>
  <c r="H54" i="17"/>
  <c r="R54" i="17" s="1"/>
  <c r="R19" i="17"/>
  <c r="F30" i="10"/>
  <c r="F66" i="17"/>
  <c r="C30" i="10"/>
  <c r="C66" i="17"/>
  <c r="D69" i="17"/>
  <c r="D33" i="10"/>
  <c r="D30" i="10"/>
  <c r="D66" i="17"/>
  <c r="BR171" i="2"/>
  <c r="D22" i="10"/>
  <c r="D58" i="17"/>
  <c r="D48" i="17"/>
  <c r="D12" i="10"/>
  <c r="I44" i="17"/>
  <c r="H8" i="10"/>
  <c r="E23" i="10"/>
  <c r="E59" i="17"/>
  <c r="F68" i="17"/>
  <c r="F32" i="10"/>
  <c r="F26" i="10"/>
  <c r="F62" i="17"/>
  <c r="H55" i="17"/>
  <c r="R55" i="17" s="1"/>
  <c r="R20" i="17"/>
  <c r="H47" i="17"/>
  <c r="R47" i="17" s="1"/>
  <c r="R12" i="17"/>
  <c r="G31" i="10"/>
  <c r="G67" i="17"/>
  <c r="G27" i="10"/>
  <c r="G63" i="17"/>
  <c r="I22" i="10"/>
  <c r="K58" i="17"/>
  <c r="J67" i="17"/>
  <c r="Q67" i="17" s="1"/>
  <c r="Q32" i="17"/>
  <c r="J63" i="17"/>
  <c r="Q63" i="17" s="1"/>
  <c r="Q28" i="17"/>
  <c r="E64" i="17"/>
  <c r="E28" i="10"/>
  <c r="E44" i="17"/>
  <c r="E8" i="10"/>
  <c r="C15" i="10"/>
  <c r="C51" i="17"/>
  <c r="J33" i="10"/>
  <c r="L69" i="17"/>
  <c r="Q19" i="17"/>
  <c r="J54" i="17"/>
  <c r="Q54" i="17" s="1"/>
  <c r="G43" i="17"/>
  <c r="G7" i="10"/>
  <c r="E178" i="2"/>
  <c r="J5" i="10"/>
  <c r="L41" i="17"/>
  <c r="K48" i="17"/>
  <c r="I12" i="10"/>
  <c r="L13" i="10"/>
  <c r="O49" i="17"/>
  <c r="J9" i="10"/>
  <c r="L45" i="17"/>
  <c r="H42" i="17"/>
  <c r="R42" i="17" s="1"/>
  <c r="R7" i="17"/>
  <c r="K28" i="10"/>
  <c r="M64" i="17"/>
  <c r="K14" i="10"/>
  <c r="F43" i="17"/>
  <c r="F7" i="10"/>
  <c r="G4" i="10"/>
  <c r="G40" i="17"/>
  <c r="G36" i="17"/>
  <c r="J17" i="10"/>
  <c r="L53" i="17"/>
  <c r="F49" i="17"/>
  <c r="F13" i="10"/>
  <c r="J42" i="17"/>
  <c r="Q42" i="17" s="1"/>
  <c r="Q7" i="17"/>
  <c r="F15" i="10"/>
  <c r="F51" i="17"/>
  <c r="I15" i="10"/>
  <c r="K51" i="17"/>
  <c r="C15" i="16"/>
  <c r="AH14" i="16"/>
  <c r="AI13" i="16" s="1"/>
  <c r="P15" i="10" l="1"/>
  <c r="R15" i="10" s="1"/>
  <c r="P65" i="17"/>
  <c r="P27" i="10"/>
  <c r="S27" i="10" s="1"/>
  <c r="P66" i="17"/>
  <c r="P32" i="10"/>
  <c r="S32" i="10" s="1"/>
  <c r="P19" i="10"/>
  <c r="S19" i="10" s="1"/>
  <c r="BR178" i="2"/>
  <c r="P61" i="17"/>
  <c r="P25" i="10"/>
  <c r="R25" i="10" s="1"/>
  <c r="P51" i="17"/>
  <c r="P55" i="17"/>
  <c r="P49" i="17"/>
  <c r="P69" i="17"/>
  <c r="P34" i="10"/>
  <c r="L71" i="17"/>
  <c r="P47" i="17"/>
  <c r="E71" i="17"/>
  <c r="K71" i="17"/>
  <c r="C71" i="17"/>
  <c r="P13" i="10"/>
  <c r="P21" i="10"/>
  <c r="J36" i="10"/>
  <c r="P11" i="10"/>
  <c r="D36" i="10"/>
  <c r="P57" i="17"/>
  <c r="P52" i="17"/>
  <c r="P70" i="17"/>
  <c r="P30" i="10"/>
  <c r="I36" i="10"/>
  <c r="P9" i="10"/>
  <c r="D71" i="17"/>
  <c r="P17" i="10"/>
  <c r="P16" i="10"/>
  <c r="K36" i="10"/>
  <c r="P28" i="10"/>
  <c r="S15" i="10"/>
  <c r="P53" i="17"/>
  <c r="P59" i="17"/>
  <c r="F36" i="10"/>
  <c r="H71" i="17"/>
  <c r="R40" i="17"/>
  <c r="R71" i="17" s="1"/>
  <c r="Q40" i="17"/>
  <c r="Q71" i="17" s="1"/>
  <c r="J71" i="17"/>
  <c r="C36" i="10"/>
  <c r="P45" i="17"/>
  <c r="P31" i="10"/>
  <c r="G71" i="17"/>
  <c r="P60" i="17"/>
  <c r="P48" i="17"/>
  <c r="B71" i="17"/>
  <c r="P40" i="17"/>
  <c r="P71" i="17" s="1"/>
  <c r="P56" i="17"/>
  <c r="P41" i="17"/>
  <c r="P14" i="10"/>
  <c r="P67" i="17"/>
  <c r="P26" i="10"/>
  <c r="P23" i="10"/>
  <c r="E36" i="10"/>
  <c r="P12" i="10"/>
  <c r="G36" i="10"/>
  <c r="P46" i="17"/>
  <c r="P20" i="10"/>
  <c r="P8" i="10"/>
  <c r="P5" i="10"/>
  <c r="P50" i="17"/>
  <c r="H36" i="10"/>
  <c r="P62" i="17"/>
  <c r="P58" i="17"/>
  <c r="P10" i="10"/>
  <c r="P24" i="10"/>
  <c r="P54" i="17"/>
  <c r="I71" i="17"/>
  <c r="P7" i="10"/>
  <c r="P22" i="10"/>
  <c r="P29" i="10"/>
  <c r="P63" i="17"/>
  <c r="O71" i="17"/>
  <c r="B36" i="10"/>
  <c r="P4" i="10"/>
  <c r="P44" i="17"/>
  <c r="P42" i="17"/>
  <c r="P43" i="17"/>
  <c r="R36" i="17"/>
  <c r="P18" i="10"/>
  <c r="P68" i="17"/>
  <c r="Q36" i="17"/>
  <c r="L36" i="10"/>
  <c r="P33" i="10"/>
  <c r="P6" i="10"/>
  <c r="M71" i="17"/>
  <c r="F71" i="17"/>
  <c r="P64" i="17"/>
  <c r="R32" i="10" l="1"/>
  <c r="R19" i="10"/>
  <c r="S25" i="10"/>
  <c r="R27" i="10"/>
  <c r="S14" i="10"/>
  <c r="R14" i="10"/>
  <c r="S21" i="10"/>
  <c r="R21" i="10"/>
  <c r="S9" i="10"/>
  <c r="R9" i="10"/>
  <c r="S13" i="10"/>
  <c r="R13" i="10"/>
  <c r="S33" i="10"/>
  <c r="R33" i="10"/>
  <c r="S5" i="10"/>
  <c r="R5" i="10"/>
  <c r="S29" i="10"/>
  <c r="R29" i="10"/>
  <c r="S8" i="10"/>
  <c r="R8" i="10"/>
  <c r="S30" i="10"/>
  <c r="R30" i="10"/>
  <c r="S22" i="10"/>
  <c r="R22" i="10"/>
  <c r="S20" i="10"/>
  <c r="R20" i="10"/>
  <c r="S18" i="10"/>
  <c r="R18" i="10"/>
  <c r="S7" i="10"/>
  <c r="R7" i="10"/>
  <c r="R12" i="10"/>
  <c r="S12" i="10"/>
  <c r="S34" i="10"/>
  <c r="R34" i="10"/>
  <c r="S24" i="10"/>
  <c r="R24" i="10"/>
  <c r="S31" i="10"/>
  <c r="R31" i="10"/>
  <c r="S28" i="10"/>
  <c r="R28" i="10"/>
  <c r="S10" i="10"/>
  <c r="R10" i="10"/>
  <c r="S23" i="10"/>
  <c r="R23" i="10"/>
  <c r="S26" i="10"/>
  <c r="R26" i="10"/>
  <c r="R16" i="10"/>
  <c r="S16" i="10"/>
  <c r="S11" i="10"/>
  <c r="R11" i="10"/>
  <c r="S6" i="10"/>
  <c r="R6" i="10"/>
  <c r="P36" i="10"/>
  <c r="S4" i="10"/>
  <c r="R4" i="10"/>
  <c r="S17" i="10"/>
  <c r="R17" i="10"/>
  <c r="C37" i="10" l="1"/>
  <c r="S36" i="10"/>
  <c r="R36" i="10"/>
</calcChain>
</file>

<file path=xl/sharedStrings.xml><?xml version="1.0" encoding="utf-8"?>
<sst xmlns="http://schemas.openxmlformats.org/spreadsheetml/2006/main" count="1776" uniqueCount="147">
  <si>
    <t>شهر</t>
  </si>
  <si>
    <t>matin</t>
  </si>
  <si>
    <t>JOUR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</si>
  <si>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</si>
  <si>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</si>
  <si>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</si>
  <si>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</si>
  <si>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</si>
  <si>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</si>
  <si>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</si>
  <si>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</si>
  <si>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</si>
  <si>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</si>
  <si>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</si>
  <si>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</si>
  <si>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</si>
  <si>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</si>
  <si>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</si>
  <si>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</si>
  <si>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</si>
  <si>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</si>
  <si>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</si>
  <si>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</si>
  <si>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</si>
  <si>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</si>
  <si>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</si>
  <si>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</si>
  <si>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</si>
  <si>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</si>
  <si>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</si>
  <si>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</si>
  <si>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</si>
  <si>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</si>
  <si>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</si>
  <si>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</si>
  <si>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</si>
  <si>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</si>
  <si>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</si>
  <si>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TOTAL PAR TARIF</t>
  </si>
  <si>
    <t>20DA</t>
  </si>
  <si>
    <t>25DA</t>
  </si>
  <si>
    <t>30DA</t>
  </si>
  <si>
    <t>soir</t>
  </si>
  <si>
    <t>NUIT</t>
  </si>
  <si>
    <t>TOTAL PASSAGER PAR TARIF</t>
  </si>
  <si>
    <t>LIGNE 1B</t>
  </si>
  <si>
    <t>LIGNE 16</t>
  </si>
  <si>
    <t>LIGNE 09</t>
  </si>
  <si>
    <t>LIGNE 11</t>
  </si>
  <si>
    <t>LIGNE 27</t>
  </si>
  <si>
    <t>LIGNE 26</t>
  </si>
  <si>
    <t>LIGNE 28</t>
  </si>
  <si>
    <t>LIGNE 03</t>
  </si>
  <si>
    <t>LIGNE 25</t>
  </si>
  <si>
    <t>LAC</t>
  </si>
  <si>
    <t>LIGNE4B</t>
  </si>
  <si>
    <t>TOTAL</t>
  </si>
  <si>
    <t>nuit</t>
  </si>
  <si>
    <t>MATIN</t>
  </si>
  <si>
    <t>T</t>
  </si>
  <si>
    <t xml:space="preserve">NOMBRE DE ROTATIONS </t>
  </si>
  <si>
    <t>NOMBRE DE PLACES OFFERTES</t>
  </si>
  <si>
    <t>SOIR</t>
  </si>
  <si>
    <t>LIGNE 03b</t>
  </si>
  <si>
    <t>LIGNE 4b</t>
  </si>
  <si>
    <t>LIGNE25</t>
  </si>
  <si>
    <t>lac</t>
  </si>
  <si>
    <t>LIGNE 4B</t>
  </si>
  <si>
    <t>TOTAL BUS</t>
  </si>
  <si>
    <t>TOTAL LIGNE</t>
  </si>
  <si>
    <t>ECART</t>
  </si>
  <si>
    <t>BUS 01</t>
  </si>
  <si>
    <t>BUS 02</t>
  </si>
  <si>
    <t>BUS 03</t>
  </si>
  <si>
    <t>BUS 04</t>
  </si>
  <si>
    <t>BUS 05</t>
  </si>
  <si>
    <t>BUS 06</t>
  </si>
  <si>
    <t>BUS05</t>
  </si>
  <si>
    <t xml:space="preserve">                                                                </t>
  </si>
  <si>
    <t>+</t>
  </si>
  <si>
    <t>Nbr Des Passagers  "15 DA"</t>
  </si>
  <si>
    <t>TOTAL RECETTE MOIS</t>
  </si>
  <si>
    <t>Nbr Des Passagers  "20 DA"</t>
  </si>
  <si>
    <t>Nbr Des Passagers  "25 DA"</t>
  </si>
  <si>
    <t>TAUX DE REMPLISSAGE</t>
  </si>
  <si>
    <t>Nbr Des Passagers  "30 DA"</t>
  </si>
  <si>
    <t>Nbr Des Passagers  "40 DA"</t>
  </si>
  <si>
    <t>Taux de Réalisation  / Mois</t>
  </si>
  <si>
    <t xml:space="preserve">Total Nbr Des Passagers  </t>
  </si>
  <si>
    <t>LIGNE 3B</t>
  </si>
  <si>
    <t>LIGNE LAC</t>
  </si>
  <si>
    <t>TOTAL DES RECETTES PAR TARIFS</t>
  </si>
  <si>
    <t>jour</t>
  </si>
  <si>
    <t>TOTAL DES PASSAGER PAR TARIFS</t>
  </si>
  <si>
    <t xml:space="preserve"> </t>
  </si>
  <si>
    <t>Jour</t>
  </si>
  <si>
    <t>Nbr Des Passagers</t>
  </si>
  <si>
    <t>Jours</t>
  </si>
  <si>
    <t>Recettes réel</t>
  </si>
  <si>
    <t xml:space="preserve">Recettes Prévision </t>
  </si>
  <si>
    <t>manque /Excédent</t>
  </si>
  <si>
    <t xml:space="preserve">Taux de Réalisation </t>
  </si>
  <si>
    <t>sam</t>
  </si>
  <si>
    <t>dim</t>
  </si>
  <si>
    <t>lun</t>
  </si>
  <si>
    <t>mar</t>
  </si>
  <si>
    <t>mer</t>
  </si>
  <si>
    <t>jeu.</t>
  </si>
  <si>
    <t>ven.</t>
  </si>
  <si>
    <t>sam.</t>
  </si>
  <si>
    <t>dim.</t>
  </si>
  <si>
    <t>lun.</t>
  </si>
  <si>
    <t>mar.</t>
  </si>
  <si>
    <t>mer.</t>
  </si>
  <si>
    <t>Total Recettes</t>
  </si>
  <si>
    <t>المجموع</t>
  </si>
  <si>
    <t>مداخيل تذاكر الدفع الالكتروني</t>
  </si>
  <si>
    <t>L28</t>
  </si>
  <si>
    <t>L26</t>
  </si>
  <si>
    <t>L27</t>
  </si>
  <si>
    <t>L25</t>
  </si>
  <si>
    <t>L11</t>
  </si>
  <si>
    <t>L16</t>
  </si>
  <si>
    <t>L09</t>
  </si>
  <si>
    <t>L03</t>
  </si>
  <si>
    <t>L01B</t>
  </si>
  <si>
    <t>25 DA</t>
  </si>
  <si>
    <t>20 DA</t>
  </si>
  <si>
    <t>15 DA</t>
  </si>
  <si>
    <t>30 DA</t>
  </si>
  <si>
    <t xml:space="preserve">20 DA </t>
  </si>
  <si>
    <t xml:space="preserve">عدد المسافرين المنقول في الدفع الالكتروني </t>
  </si>
  <si>
    <t>L03B</t>
  </si>
  <si>
    <t>handicape</t>
  </si>
  <si>
    <t>JOURS</t>
  </si>
  <si>
    <t>jours</t>
  </si>
  <si>
    <t>Toatal</t>
  </si>
  <si>
    <t xml:space="preserve">carte </t>
  </si>
  <si>
    <t>flexy</t>
  </si>
  <si>
    <t>cart_etud</t>
  </si>
  <si>
    <t>total</t>
  </si>
  <si>
    <t xml:space="preserve">الإجمالي </t>
  </si>
  <si>
    <t xml:space="preserve">مداخيل التذاكر الكلاسيكية </t>
  </si>
  <si>
    <t>مبيعات الدفع الالكتروني</t>
  </si>
  <si>
    <t>عدد المسافرين المنقول كلاسيكيا</t>
  </si>
  <si>
    <t>عدد المسافرين المنقول بدفع الالكتروني</t>
  </si>
  <si>
    <t>L04B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</si>
</sst>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>
    <font>
      <sz val="11"/>
      <color theme="1"/>
      <name val="Calibri"/>
      <charset val="134"/>
      <scheme val="minor"/>
    </font>
    <font>
      <b/>
      <sz val="20"/>
      <color theme="1"/>
      <name val="Calibri"/>
      <charset val="134"/>
      <scheme val="minor"/>
    </font>
    <font>
      <b/>
      <sz val="24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6"/>
      <color rgb="FF0000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b/>
      <sz val="48"/>
      <color theme="1"/>
      <name val="Calibri"/>
      <charset val="134"/>
      <scheme val="minor"/>
    </font>
    <font>
      <b/>
      <sz val="18"/>
      <color rgb="FFC00000"/>
      <name val="Goudy Stout"/>
      <charset val="134"/>
    </font>
    <font>
      <b/>
      <sz val="10"/>
      <name val="Century Gothic"/>
      <charset val="134"/>
    </font>
    <font>
      <b/>
      <sz val="9"/>
      <name val="Century Gothic"/>
      <charset val="134"/>
    </font>
    <font>
      <b/>
      <sz val="10"/>
      <color theme="1"/>
      <name val="Century Gothic"/>
      <charset val="134"/>
    </font>
    <font>
      <b/>
      <sz val="11"/>
      <name val="Century Gothic"/>
      <charset val="134"/>
    </font>
    <font>
      <b/>
      <sz val="9"/>
      <color theme="1"/>
      <name val="Calibri"/>
      <charset val="134"/>
      <scheme val="minor"/>
    </font>
    <font>
      <b/>
      <sz val="18"/>
      <name val="Century Gothic"/>
      <charset val="134"/>
    </font>
    <font>
      <b/>
      <sz val="11"/>
      <color theme="1"/>
      <name val="Century Gothic"/>
      <charset val="134"/>
    </font>
    <font>
      <sz val="10"/>
      <color theme="1"/>
      <name val="Calibri"/>
      <charset val="134"/>
      <scheme val="minor"/>
    </font>
    <font>
      <b/>
      <sz val="11"/>
      <color rgb="FFC0000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b/>
      <sz val="8"/>
      <color theme="1"/>
      <name val="Calibri"/>
      <charset val="134"/>
      <scheme val="minor"/>
    </font>
    <font>
      <b/>
      <sz val="18"/>
      <color theme="1"/>
      <name val="Century Gothic"/>
      <charset val="134"/>
    </font>
    <font>
      <b/>
      <sz val="20"/>
      <color theme="1"/>
      <name val="Century Gothic"/>
      <charset val="134"/>
    </font>
    <font>
      <sz val="1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9C6500"/>
      <name val="Calibri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EB9C"/>
        <bgColor indexed="64"/>
      </patternFill>
    </fill>
  </fills>
  <borders count="8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rgb="FFFF0000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9" fontId="30" fillId="0" borderId="0" applyFont="0" applyFill="0" applyBorder="0" applyAlignment="0" applyProtection="0"/>
    <xf numFmtId="0" fontId="31" fillId="9" borderId="0" applyNumberFormat="0" applyBorder="0" applyAlignment="0" applyProtection="0"/>
  </cellStyleXfs>
  <cellXfs count="643">
    <xf numFmtId="0" fontId="0" fillId="0" borderId="0" xfId="0"/>
    <xf numFmtId="0" fontId="0" fillId="2" borderId="0" xfId="0" applyFill="1"/>
    <xf numFmtId="0" fontId="3" fillId="2" borderId="3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Fill="1" applyBorder="1" applyAlignment="1">
      <alignment horizontal="center" vertical="center"/>
    </xf>
    <xf numFmtId="0" fontId="4" fillId="0" borderId="15" xfId="0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0" fontId="3" fillId="0" borderId="14" xfId="0" applyFont="1" applyFill="1" applyBorder="1" applyAlignment="1">
      <alignment horizontal="center" vertical="center"/>
    </xf>
    <xf numFmtId="0" fontId="3" fillId="0" borderId="15" xfId="0" applyFont="1" applyFill="1" applyBorder="1" applyAlignment="1">
      <alignment horizontal="center" vertical="center"/>
    </xf>
    <xf numFmtId="0" fontId="3" fillId="0" borderId="18" xfId="0" applyFont="1" applyFill="1" applyBorder="1" applyAlignment="1">
      <alignment horizontal="center" vertical="center"/>
    </xf>
    <xf numFmtId="0" fontId="4" fillId="0" borderId="19" xfId="0" applyFont="1" applyFill="1" applyBorder="1" applyAlignment="1">
      <alignment horizontal="center" vertical="center"/>
    </xf>
    <xf numFmtId="0" fontId="4" fillId="0" borderId="20" xfId="0" applyFont="1" applyFill="1" applyBorder="1" applyAlignment="1">
      <alignment horizontal="center" vertical="center"/>
    </xf>
    <xf numFmtId="0" fontId="3" fillId="0" borderId="21" xfId="0" applyFont="1" applyFill="1" applyBorder="1" applyAlignment="1">
      <alignment horizontal="center" vertical="center"/>
    </xf>
    <xf numFmtId="0" fontId="3" fillId="0" borderId="22" xfId="0" applyFont="1" applyFill="1" applyBorder="1" applyAlignment="1">
      <alignment horizontal="center" vertical="center"/>
    </xf>
    <xf numFmtId="0" fontId="3" fillId="0" borderId="19" xfId="0" applyFont="1" applyFill="1" applyBorder="1" applyAlignment="1">
      <alignment horizontal="center" vertical="center"/>
    </xf>
    <xf numFmtId="0" fontId="3" fillId="0" borderId="20" xfId="0" applyFont="1" applyFill="1" applyBorder="1" applyAlignment="1">
      <alignment horizontal="center" vertical="center"/>
    </xf>
    <xf numFmtId="0" fontId="3" fillId="0" borderId="2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4" xfId="0" applyFont="1" applyFill="1" applyBorder="1" applyAlignment="1">
      <alignment horizontal="center" vertical="center"/>
    </xf>
    <xf numFmtId="0" fontId="4" fillId="0" borderId="25" xfId="0" applyFont="1" applyFill="1" applyBorder="1" applyAlignment="1">
      <alignment horizontal="center" vertical="center"/>
    </xf>
    <xf numFmtId="0" fontId="3" fillId="0" borderId="26" xfId="0" applyFont="1" applyFill="1" applyBorder="1" applyAlignment="1">
      <alignment horizontal="center" vertical="center"/>
    </xf>
    <xf numFmtId="0" fontId="3" fillId="0" borderId="27" xfId="0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5" fillId="2" borderId="30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33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4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5" fillId="0" borderId="36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0" borderId="40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5" fillId="2" borderId="43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8" fillId="0" borderId="15" xfId="0" applyFont="1" applyFill="1" applyBorder="1" applyAlignment="1">
      <alignment vertical="center"/>
    </xf>
    <xf numFmtId="0" fontId="5" fillId="2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46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vertical="center"/>
    </xf>
    <xf numFmtId="0" fontId="10" fillId="4" borderId="6" xfId="0" applyFont="1" applyFill="1" applyBorder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3" fillId="2" borderId="7" xfId="0" applyFont="1" applyFill="1" applyBorder="1" applyAlignment="1">
      <alignment vertical="center"/>
    </xf>
    <xf numFmtId="0" fontId="10" fillId="4" borderId="29" xfId="0" applyFont="1" applyFill="1" applyBorder="1" applyAlignment="1">
      <alignment vertical="center"/>
    </xf>
    <xf numFmtId="0" fontId="5" fillId="0" borderId="9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3" fontId="0" fillId="0" borderId="48" xfId="0" applyNumberFormat="1" applyBorder="1" applyAlignment="1">
      <alignment horizontal="center" vertical="center"/>
    </xf>
    <xf numFmtId="0" fontId="5" fillId="0" borderId="31" xfId="0" applyFont="1" applyBorder="1" applyAlignment="1">
      <alignment horizontal="center" vertical="center" wrapText="1"/>
    </xf>
    <xf numFmtId="3" fontId="0" fillId="0" borderId="49" xfId="0" applyNumberFormat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 wrapText="1"/>
    </xf>
    <xf numFmtId="1" fontId="0" fillId="0" borderId="48" xfId="0" applyNumberFormat="1" applyBorder="1" applyAlignment="1">
      <alignment horizontal="center" vertical="center"/>
    </xf>
    <xf numFmtId="1" fontId="0" fillId="0" borderId="49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1" fontId="0" fillId="0" borderId="51" xfId="0" applyNumberFormat="1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5" fillId="2" borderId="34" xfId="0" applyFont="1" applyFill="1" applyBorder="1" applyAlignment="1">
      <alignment horizontal="center"/>
    </xf>
    <xf numFmtId="3" fontId="0" fillId="2" borderId="48" xfId="0" applyNumberFormat="1" applyFill="1" applyBorder="1" applyAlignment="1">
      <alignment horizontal="center" vertical="center"/>
    </xf>
    <xf numFmtId="3" fontId="0" fillId="2" borderId="49" xfId="0" applyNumberFormat="1" applyFill="1" applyBorder="1" applyAlignment="1">
      <alignment horizontal="center" vertical="center"/>
    </xf>
    <xf numFmtId="1" fontId="0" fillId="2" borderId="49" xfId="0" applyNumberFormat="1" applyFill="1" applyBorder="1" applyAlignment="1">
      <alignment horizontal="center" vertical="center"/>
    </xf>
    <xf numFmtId="1" fontId="0" fillId="2" borderId="51" xfId="0" applyNumberFormat="1" applyFill="1" applyBorder="1" applyAlignment="1">
      <alignment horizontal="center" vertical="center"/>
    </xf>
    <xf numFmtId="1" fontId="0" fillId="2" borderId="48" xfId="0" applyNumberFormat="1" applyFill="1" applyBorder="1" applyAlignment="1">
      <alignment horizontal="center" vertical="center"/>
    </xf>
    <xf numFmtId="3" fontId="7" fillId="2" borderId="41" xfId="0" applyNumberFormat="1" applyFont="1" applyFill="1" applyBorder="1" applyAlignment="1">
      <alignment horizontal="center" vertical="center"/>
    </xf>
    <xf numFmtId="3" fontId="7" fillId="2" borderId="52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1" fontId="5" fillId="2" borderId="52" xfId="0" applyNumberFormat="1" applyFont="1" applyFill="1" applyBorder="1" applyAlignment="1">
      <alignment horizontal="center" vertical="center"/>
    </xf>
    <xf numFmtId="1" fontId="5" fillId="2" borderId="53" xfId="0" applyNumberFormat="1" applyFont="1" applyFill="1" applyBorder="1" applyAlignment="1">
      <alignment horizontal="center" vertical="center"/>
    </xf>
    <xf numFmtId="0" fontId="9" fillId="2" borderId="52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3" fontId="0" fillId="0" borderId="14" xfId="0" applyNumberFormat="1" applyFill="1" applyBorder="1"/>
    <xf numFmtId="3" fontId="0" fillId="0" borderId="35" xfId="0" applyNumberFormat="1" applyFill="1" applyBorder="1"/>
    <xf numFmtId="3" fontId="0" fillId="0" borderId="19" xfId="0" applyNumberFormat="1" applyFill="1" applyBorder="1"/>
    <xf numFmtId="3" fontId="0" fillId="0" borderId="36" xfId="0" applyNumberFormat="1" applyFill="1" applyBorder="1"/>
    <xf numFmtId="0" fontId="0" fillId="0" borderId="36" xfId="0" applyFill="1" applyBorder="1"/>
    <xf numFmtId="0" fontId="6" fillId="2" borderId="6" xfId="0" applyFont="1" applyFill="1" applyBorder="1" applyAlignment="1">
      <alignment horizontal="center"/>
    </xf>
    <xf numFmtId="3" fontId="0" fillId="0" borderId="24" xfId="0" applyNumberFormat="1" applyFill="1" applyBorder="1"/>
    <xf numFmtId="0" fontId="0" fillId="0" borderId="35" xfId="0" applyFill="1" applyBorder="1"/>
    <xf numFmtId="0" fontId="0" fillId="5" borderId="29" xfId="0" applyFill="1" applyBorder="1" applyAlignment="1">
      <alignment horizontal="center" vertical="center"/>
    </xf>
    <xf numFmtId="3" fontId="0" fillId="0" borderId="15" xfId="0" applyNumberFormat="1" applyFill="1" applyBorder="1" applyAlignment="1">
      <alignment horizontal="center"/>
    </xf>
    <xf numFmtId="3" fontId="0" fillId="0" borderId="25" xfId="0" applyNumberFormat="1" applyFill="1" applyBorder="1" applyAlignment="1">
      <alignment horizontal="center" vertical="center"/>
    </xf>
    <xf numFmtId="0" fontId="3" fillId="2" borderId="48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52" xfId="0" applyFont="1" applyFill="1" applyBorder="1" applyAlignment="1">
      <alignment horizontal="center" vertical="center"/>
    </xf>
    <xf numFmtId="0" fontId="4" fillId="6" borderId="13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vertical="center"/>
    </xf>
    <xf numFmtId="0" fontId="3" fillId="2" borderId="54" xfId="0" applyFont="1" applyFill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57" xfId="0" applyFont="1" applyBorder="1" applyAlignment="1">
      <alignment horizontal="center" vertical="center"/>
    </xf>
    <xf numFmtId="0" fontId="5" fillId="0" borderId="58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/>
    </xf>
    <xf numFmtId="0" fontId="5" fillId="6" borderId="41" xfId="0" applyFont="1" applyFill="1" applyBorder="1" applyAlignment="1">
      <alignment horizontal="center" vertical="center"/>
    </xf>
    <xf numFmtId="0" fontId="5" fillId="6" borderId="43" xfId="0" applyFont="1" applyFill="1" applyBorder="1" applyAlignment="1">
      <alignment horizontal="center" vertical="center"/>
    </xf>
    <xf numFmtId="0" fontId="5" fillId="6" borderId="60" xfId="0" applyFont="1" applyFill="1" applyBorder="1" applyAlignment="1">
      <alignment horizontal="center" vertical="center"/>
    </xf>
    <xf numFmtId="0" fontId="5" fillId="0" borderId="61" xfId="0" applyFont="1" applyBorder="1" applyAlignment="1">
      <alignment horizontal="center" vertical="center"/>
    </xf>
    <xf numFmtId="0" fontId="9" fillId="0" borderId="61" xfId="0" applyFont="1" applyBorder="1" applyAlignment="1">
      <alignment horizontal="center" vertical="center"/>
    </xf>
    <xf numFmtId="0" fontId="9" fillId="0" borderId="43" xfId="0" applyFont="1" applyBorder="1" applyAlignment="1">
      <alignment horizontal="center" vertical="center"/>
    </xf>
    <xf numFmtId="0" fontId="5" fillId="0" borderId="48" xfId="0" applyFont="1" applyBorder="1" applyAlignment="1">
      <alignment horizontal="center" vertical="center"/>
    </xf>
    <xf numFmtId="0" fontId="5" fillId="0" borderId="49" xfId="0" applyFont="1" applyBorder="1" applyAlignment="1">
      <alignment horizontal="center" vertical="center"/>
    </xf>
    <xf numFmtId="0" fontId="5" fillId="0" borderId="54" xfId="0" applyFont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3" fontId="14" fillId="2" borderId="6" xfId="2" applyNumberFormat="1" applyFont="1" applyFill="1" applyBorder="1" applyAlignment="1">
      <alignment horizontal="center" vertical="center" textRotation="90"/>
    </xf>
    <xf numFmtId="0" fontId="5" fillId="2" borderId="29" xfId="0" applyFont="1" applyFill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3" fontId="14" fillId="6" borderId="29" xfId="0" applyNumberFormat="1" applyFont="1" applyFill="1" applyBorder="1" applyAlignment="1">
      <alignment horizontal="center" vertical="center"/>
    </xf>
    <xf numFmtId="0" fontId="5" fillId="2" borderId="62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3" fontId="14" fillId="6" borderId="31" xfId="0" applyNumberFormat="1" applyFont="1" applyFill="1" applyBorder="1" applyAlignment="1">
      <alignment horizontal="center" vertical="center"/>
    </xf>
    <xf numFmtId="3" fontId="15" fillId="2" borderId="32" xfId="2" applyNumberFormat="1" applyFont="1" applyFill="1" applyBorder="1" applyAlignment="1">
      <alignment horizontal="center" vertical="center"/>
    </xf>
    <xf numFmtId="0" fontId="0" fillId="2" borderId="31" xfId="0" applyFill="1" applyBorder="1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9" fillId="2" borderId="29" xfId="0" applyFont="1" applyFill="1" applyBorder="1" applyAlignment="1">
      <alignment horizontal="center" vertical="center" wrapText="1"/>
    </xf>
    <xf numFmtId="3" fontId="14" fillId="2" borderId="6" xfId="2" applyNumberFormat="1" applyFont="1" applyFill="1" applyBorder="1" applyAlignment="1">
      <alignment horizontal="center" vertical="center" wrapText="1"/>
    </xf>
    <xf numFmtId="3" fontId="15" fillId="2" borderId="48" xfId="2" applyNumberFormat="1" applyFont="1" applyFill="1" applyBorder="1" applyAlignment="1">
      <alignment horizontal="center" vertical="center" wrapText="1"/>
    </xf>
    <xf numFmtId="3" fontId="14" fillId="2" borderId="48" xfId="2" applyNumberFormat="1" applyFont="1" applyFill="1" applyBorder="1" applyAlignment="1">
      <alignment horizontal="center" vertical="center"/>
    </xf>
    <xf numFmtId="0" fontId="5" fillId="2" borderId="36" xfId="0" applyFont="1" applyFill="1" applyBorder="1" applyAlignment="1">
      <alignment horizontal="center" vertical="center"/>
    </xf>
    <xf numFmtId="3" fontId="15" fillId="0" borderId="62" xfId="2" applyNumberFormat="1" applyFont="1" applyFill="1" applyBorder="1" applyAlignment="1">
      <alignment horizontal="center" vertical="center"/>
    </xf>
    <xf numFmtId="3" fontId="15" fillId="6" borderId="14" xfId="2" applyNumberFormat="1" applyFont="1" applyFill="1" applyBorder="1" applyAlignment="1">
      <alignment horizontal="center" vertical="center"/>
    </xf>
    <xf numFmtId="3" fontId="15" fillId="0" borderId="23" xfId="2" applyNumberFormat="1" applyFont="1" applyFill="1" applyBorder="1" applyAlignment="1">
      <alignment horizontal="center" vertical="center"/>
    </xf>
    <xf numFmtId="3" fontId="15" fillId="2" borderId="23" xfId="2" applyNumberFormat="1" applyFont="1" applyFill="1" applyBorder="1" applyAlignment="1">
      <alignment horizontal="center" vertical="center"/>
    </xf>
    <xf numFmtId="3" fontId="14" fillId="2" borderId="9" xfId="2" applyNumberFormat="1" applyFont="1" applyFill="1" applyBorder="1" applyAlignment="1">
      <alignment horizontal="center" vertical="center"/>
    </xf>
    <xf numFmtId="3" fontId="15" fillId="6" borderId="63" xfId="2" applyNumberFormat="1" applyFont="1" applyFill="1" applyBorder="1" applyAlignment="1">
      <alignment horizontal="center" vertical="center"/>
    </xf>
    <xf numFmtId="3" fontId="16" fillId="2" borderId="33" xfId="0" applyNumberFormat="1" applyFont="1" applyFill="1" applyBorder="1" applyAlignment="1">
      <alignment horizontal="center" vertical="center"/>
    </xf>
    <xf numFmtId="3" fontId="15" fillId="2" borderId="49" xfId="2" applyNumberFormat="1" applyFont="1" applyFill="1" applyBorder="1" applyAlignment="1">
      <alignment horizontal="center" vertical="center" wrapText="1"/>
    </xf>
    <xf numFmtId="3" fontId="15" fillId="2" borderId="52" xfId="2" applyNumberFormat="1" applyFont="1" applyFill="1" applyBorder="1" applyAlignment="1">
      <alignment horizontal="center" vertical="center" wrapText="1"/>
    </xf>
    <xf numFmtId="3" fontId="15" fillId="2" borderId="1" xfId="2" applyNumberFormat="1" applyFont="1" applyFill="1" applyBorder="1" applyAlignment="1">
      <alignment horizontal="center" vertical="center" wrapText="1"/>
    </xf>
    <xf numFmtId="3" fontId="15" fillId="6" borderId="35" xfId="2" applyNumberFormat="1" applyFont="1" applyFill="1" applyBorder="1" applyAlignment="1">
      <alignment horizontal="center" vertical="center"/>
    </xf>
    <xf numFmtId="3" fontId="14" fillId="6" borderId="15" xfId="0" applyNumberFormat="1" applyFont="1" applyFill="1" applyBorder="1" applyAlignment="1">
      <alignment horizontal="center" vertical="center"/>
    </xf>
    <xf numFmtId="9" fontId="15" fillId="6" borderId="42" xfId="1" applyFont="1" applyFill="1" applyBorder="1" applyAlignment="1">
      <alignment horizontal="center" vertical="center"/>
    </xf>
    <xf numFmtId="3" fontId="0" fillId="0" borderId="0" xfId="0" applyNumberFormat="1"/>
    <xf numFmtId="3" fontId="14" fillId="6" borderId="20" xfId="0" applyNumberFormat="1" applyFont="1" applyFill="1" applyBorder="1" applyAlignment="1">
      <alignment horizontal="center" vertical="center"/>
    </xf>
    <xf numFmtId="3" fontId="15" fillId="0" borderId="35" xfId="2" applyNumberFormat="1" applyFont="1" applyFill="1" applyBorder="1" applyAlignment="1">
      <alignment horizontal="center" vertical="center"/>
    </xf>
    <xf numFmtId="3" fontId="14" fillId="0" borderId="20" xfId="0" applyNumberFormat="1" applyFont="1" applyBorder="1" applyAlignment="1">
      <alignment horizontal="center" vertical="center"/>
    </xf>
    <xf numFmtId="9" fontId="15" fillId="0" borderId="42" xfId="1" applyFont="1" applyFill="1" applyBorder="1" applyAlignment="1">
      <alignment horizontal="center" vertical="center"/>
    </xf>
    <xf numFmtId="3" fontId="15" fillId="0" borderId="36" xfId="2" applyNumberFormat="1" applyFont="1" applyFill="1" applyBorder="1" applyAlignment="1">
      <alignment horizontal="center" vertical="center"/>
    </xf>
    <xf numFmtId="3" fontId="15" fillId="0" borderId="56" xfId="2" applyNumberFormat="1" applyFont="1" applyFill="1" applyBorder="1" applyAlignment="1">
      <alignment horizontal="center" vertical="center"/>
    </xf>
    <xf numFmtId="3" fontId="14" fillId="0" borderId="57" xfId="0" applyNumberFormat="1" applyFont="1" applyBorder="1" applyAlignment="1">
      <alignment horizontal="center" vertical="center"/>
    </xf>
    <xf numFmtId="9" fontId="15" fillId="0" borderId="61" xfId="1" applyFont="1" applyFill="1" applyBorder="1" applyAlignment="1">
      <alignment horizontal="center" vertical="center"/>
    </xf>
    <xf numFmtId="0" fontId="5" fillId="2" borderId="59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7" borderId="29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7" borderId="65" xfId="0" applyFont="1" applyFill="1" applyBorder="1" applyAlignment="1">
      <alignment horizontal="center" vertical="center" wrapText="1"/>
    </xf>
    <xf numFmtId="0" fontId="5" fillId="7" borderId="66" xfId="0" applyFont="1" applyFill="1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 wrapText="1"/>
    </xf>
    <xf numFmtId="1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5" fillId="7" borderId="51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 wrapText="1"/>
    </xf>
    <xf numFmtId="0" fontId="5" fillId="7" borderId="50" xfId="0" applyFont="1" applyFill="1" applyBorder="1" applyAlignment="1">
      <alignment horizontal="center" vertical="center"/>
    </xf>
    <xf numFmtId="0" fontId="5" fillId="7" borderId="53" xfId="0" applyFont="1" applyFill="1" applyBorder="1" applyAlignment="1">
      <alignment horizontal="center" vertical="center"/>
    </xf>
    <xf numFmtId="0" fontId="5" fillId="7" borderId="0" xfId="0" applyFont="1" applyFill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48" xfId="0" applyFont="1" applyFill="1" applyBorder="1" applyAlignment="1">
      <alignment horizontal="center" vertical="center"/>
    </xf>
    <xf numFmtId="0" fontId="5" fillId="7" borderId="5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" fontId="0" fillId="0" borderId="55" xfId="0" applyNumberFormat="1" applyBorder="1" applyAlignment="1">
      <alignment horizontal="center" vertical="center" wrapText="1"/>
    </xf>
    <xf numFmtId="1" fontId="0" fillId="0" borderId="55" xfId="0" applyNumberFormat="1" applyBorder="1" applyAlignment="1">
      <alignment horizontal="center" vertical="center"/>
    </xf>
    <xf numFmtId="0" fontId="5" fillId="2" borderId="49" xfId="0" applyFont="1" applyFill="1" applyBorder="1" applyAlignment="1">
      <alignment horizontal="center" vertical="center"/>
    </xf>
    <xf numFmtId="0" fontId="5" fillId="2" borderId="52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1" fontId="0" fillId="0" borderId="67" xfId="0" applyNumberFormat="1" applyBorder="1" applyAlignment="1">
      <alignment horizontal="center" vertical="center"/>
    </xf>
    <xf numFmtId="1" fontId="5" fillId="2" borderId="29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center" vertical="center"/>
    </xf>
    <xf numFmtId="0" fontId="5" fillId="2" borderId="29" xfId="0" applyFont="1" applyFill="1" applyBorder="1" applyAlignment="1">
      <alignment horizontal="center"/>
    </xf>
    <xf numFmtId="0" fontId="5" fillId="2" borderId="11" xfId="0" applyFont="1" applyFill="1" applyBorder="1" applyAlignment="1">
      <alignment horizontal="center" vertical="center"/>
    </xf>
    <xf numFmtId="0" fontId="5" fillId="2" borderId="34" xfId="0" applyFont="1" applyFill="1" applyBorder="1" applyAlignment="1">
      <alignment horizontal="center" vertical="center"/>
    </xf>
    <xf numFmtId="0" fontId="5" fillId="2" borderId="68" xfId="0" applyFont="1" applyFill="1" applyBorder="1" applyAlignment="1">
      <alignment horizontal="center"/>
    </xf>
    <xf numFmtId="0" fontId="5" fillId="0" borderId="38" xfId="0" applyFont="1" applyBorder="1" applyAlignment="1">
      <alignment vertical="center"/>
    </xf>
    <xf numFmtId="1" fontId="5" fillId="0" borderId="19" xfId="0" applyNumberFormat="1" applyFont="1" applyBorder="1" applyAlignment="1">
      <alignment horizontal="center" vertical="center"/>
    </xf>
    <xf numFmtId="1" fontId="5" fillId="0" borderId="36" xfId="0" applyNumberFormat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" fontId="5" fillId="0" borderId="20" xfId="0" applyNumberFormat="1" applyFont="1" applyBorder="1" applyAlignment="1">
      <alignment horizontal="center" vertical="center"/>
    </xf>
    <xf numFmtId="0" fontId="5" fillId="2" borderId="61" xfId="0" applyFont="1" applyFill="1" applyBorder="1" applyAlignment="1">
      <alignment horizontal="center" vertical="center"/>
    </xf>
    <xf numFmtId="1" fontId="5" fillId="2" borderId="29" xfId="0" applyNumberFormat="1" applyFont="1" applyFill="1" applyBorder="1" applyAlignment="1">
      <alignment horizontal="center" vertical="center"/>
    </xf>
    <xf numFmtId="1" fontId="5" fillId="2" borderId="14" xfId="0" applyNumberFormat="1" applyFont="1" applyFill="1" applyBorder="1" applyAlignment="1">
      <alignment horizontal="center" vertical="center"/>
    </xf>
    <xf numFmtId="1" fontId="5" fillId="0" borderId="0" xfId="0" applyNumberFormat="1" applyFont="1"/>
    <xf numFmtId="1" fontId="5" fillId="2" borderId="30" xfId="0" applyNumberFormat="1" applyFont="1" applyFill="1" applyBorder="1" applyAlignment="1">
      <alignment horizontal="center" vertical="center"/>
    </xf>
    <xf numFmtId="1" fontId="5" fillId="2" borderId="64" xfId="0" applyNumberFormat="1" applyFont="1" applyFill="1" applyBorder="1" applyAlignment="1">
      <alignment horizontal="center" vertical="center"/>
    </xf>
    <xf numFmtId="1" fontId="5" fillId="2" borderId="70" xfId="0" applyNumberFormat="1" applyFont="1" applyFill="1" applyBorder="1" applyAlignment="1">
      <alignment horizontal="center" vertical="center"/>
    </xf>
    <xf numFmtId="0" fontId="21" fillId="0" borderId="0" xfId="0" applyFont="1"/>
    <xf numFmtId="0" fontId="23" fillId="7" borderId="2" xfId="0" applyFont="1" applyFill="1" applyBorder="1" applyAlignment="1">
      <alignment horizontal="center" vertical="center"/>
    </xf>
    <xf numFmtId="0" fontId="23" fillId="7" borderId="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1" fillId="0" borderId="16" xfId="0" applyFont="1" applyBorder="1"/>
    <xf numFmtId="0" fontId="21" fillId="0" borderId="35" xfId="0" applyFont="1" applyBorder="1"/>
    <xf numFmtId="0" fontId="21" fillId="0" borderId="17" xfId="0" applyFont="1" applyBorder="1"/>
    <xf numFmtId="0" fontId="5" fillId="0" borderId="7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21" fillId="0" borderId="21" xfId="0" applyFont="1" applyBorder="1"/>
    <xf numFmtId="0" fontId="21" fillId="0" borderId="36" xfId="0" applyFont="1" applyBorder="1"/>
    <xf numFmtId="0" fontId="21" fillId="0" borderId="22" xfId="0" applyFont="1" applyBorder="1"/>
    <xf numFmtId="0" fontId="5" fillId="2" borderId="71" xfId="0" applyFont="1" applyFill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21" fillId="0" borderId="26" xfId="0" applyFont="1" applyBorder="1"/>
    <xf numFmtId="0" fontId="21" fillId="0" borderId="46" xfId="0" applyFont="1" applyBorder="1"/>
    <xf numFmtId="0" fontId="21" fillId="0" borderId="27" xfId="0" applyFont="1" applyBorder="1"/>
    <xf numFmtId="0" fontId="23" fillId="7" borderId="19" xfId="0" applyFont="1" applyFill="1" applyBorder="1" applyAlignment="1">
      <alignment horizontal="center" vertical="center"/>
    </xf>
    <xf numFmtId="0" fontId="23" fillId="7" borderId="36" xfId="0" applyFont="1" applyFill="1" applyBorder="1" applyAlignment="1">
      <alignment horizontal="center" vertical="center"/>
    </xf>
    <xf numFmtId="0" fontId="21" fillId="0" borderId="14" xfId="0" applyFont="1" applyBorder="1"/>
    <xf numFmtId="0" fontId="21" fillId="0" borderId="19" xfId="0" applyFont="1" applyBorder="1"/>
    <xf numFmtId="0" fontId="21" fillId="0" borderId="24" xfId="0" applyFont="1" applyBorder="1"/>
    <xf numFmtId="0" fontId="23" fillId="7" borderId="20" xfId="0" applyFont="1" applyFill="1" applyBorder="1" applyAlignment="1">
      <alignment horizontal="center" vertical="center"/>
    </xf>
    <xf numFmtId="0" fontId="21" fillId="0" borderId="20" xfId="0" applyFont="1" applyBorder="1"/>
    <xf numFmtId="0" fontId="21" fillId="0" borderId="25" xfId="0" applyFont="1" applyBorder="1"/>
    <xf numFmtId="0" fontId="21" fillId="0" borderId="15" xfId="0" applyFont="1" applyBorder="1"/>
    <xf numFmtId="0" fontId="23" fillId="7" borderId="37" xfId="0" applyFont="1" applyFill="1" applyBorder="1" applyAlignment="1">
      <alignment horizontal="center" vertical="center"/>
    </xf>
    <xf numFmtId="0" fontId="0" fillId="2" borderId="41" xfId="0" applyFill="1" applyBorder="1" applyAlignment="1">
      <alignment horizontal="center" vertical="center"/>
    </xf>
    <xf numFmtId="0" fontId="0" fillId="0" borderId="7" xfId="0" applyBorder="1"/>
    <xf numFmtId="0" fontId="22" fillId="2" borderId="33" xfId="0" applyFont="1" applyFill="1" applyBorder="1"/>
    <xf numFmtId="0" fontId="0" fillId="0" borderId="16" xfId="0" applyBorder="1"/>
    <xf numFmtId="0" fontId="0" fillId="0" borderId="35" xfId="0" applyBorder="1"/>
    <xf numFmtId="0" fontId="22" fillId="2" borderId="0" xfId="0" applyFont="1" applyFill="1"/>
    <xf numFmtId="0" fontId="23" fillId="7" borderId="72" xfId="0" applyFont="1" applyFill="1" applyBorder="1" applyAlignment="1">
      <alignment horizontal="center" vertical="center"/>
    </xf>
    <xf numFmtId="0" fontId="23" fillId="7" borderId="73" xfId="0" applyFont="1" applyFill="1" applyBorder="1" applyAlignment="1">
      <alignment horizontal="center" vertical="center"/>
    </xf>
    <xf numFmtId="0" fontId="23" fillId="7" borderId="74" xfId="0" applyFont="1" applyFill="1" applyBorder="1" applyAlignment="1">
      <alignment horizontal="center" vertical="center"/>
    </xf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21" fillId="0" borderId="43" xfId="0" applyFont="1" applyBorder="1"/>
    <xf numFmtId="0" fontId="5" fillId="0" borderId="13" xfId="0" applyFont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0" borderId="29" xfId="0" applyBorder="1" applyAlignment="1">
      <alignment horizontal="center"/>
    </xf>
    <xf numFmtId="0" fontId="0" fillId="2" borderId="40" xfId="0" applyFill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2" borderId="42" xfId="0" applyFill="1" applyBorder="1" applyAlignment="1">
      <alignment horizontal="center" vertical="center"/>
    </xf>
    <xf numFmtId="0" fontId="0" fillId="2" borderId="44" xfId="0" applyFill="1" applyBorder="1" applyAlignment="1">
      <alignment horizontal="center" vertical="center"/>
    </xf>
    <xf numFmtId="0" fontId="5" fillId="2" borderId="56" xfId="0" applyFont="1" applyFill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73" xfId="0" applyFont="1" applyBorder="1" applyAlignment="1">
      <alignment horizontal="center" vertical="center"/>
    </xf>
    <xf numFmtId="0" fontId="5" fillId="2" borderId="73" xfId="0" applyFont="1" applyFill="1" applyBorder="1" applyAlignment="1">
      <alignment horizontal="center" vertical="center"/>
    </xf>
    <xf numFmtId="0" fontId="5" fillId="2" borderId="51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0" borderId="75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2" borderId="40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0" fillId="0" borderId="21" xfId="0" applyBorder="1"/>
    <xf numFmtId="0" fontId="0" fillId="0" borderId="36" xfId="0" applyBorder="1"/>
    <xf numFmtId="0" fontId="0" fillId="0" borderId="22" xfId="0" applyBorder="1"/>
    <xf numFmtId="0" fontId="0" fillId="0" borderId="75" xfId="0" applyBorder="1"/>
    <xf numFmtId="0" fontId="5" fillId="2" borderId="7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0" borderId="43" xfId="0" applyFont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9" xfId="0" applyBorder="1"/>
    <xf numFmtId="0" fontId="0" fillId="0" borderId="24" xfId="0" applyBorder="1"/>
    <xf numFmtId="0" fontId="0" fillId="0" borderId="46" xfId="0" applyBorder="1"/>
    <xf numFmtId="0" fontId="0" fillId="0" borderId="25" xfId="0" applyBorder="1"/>
    <xf numFmtId="0" fontId="5" fillId="2" borderId="6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0" fillId="0" borderId="27" xfId="0" applyBorder="1"/>
    <xf numFmtId="0" fontId="5" fillId="7" borderId="19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5" fillId="7" borderId="34" xfId="0" applyFont="1" applyFill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5" fillId="7" borderId="20" xfId="0" applyFont="1" applyFill="1" applyBorder="1" applyAlignment="1">
      <alignment horizontal="center" vertical="center"/>
    </xf>
    <xf numFmtId="0" fontId="5" fillId="0" borderId="72" xfId="0" applyFont="1" applyBorder="1" applyAlignment="1">
      <alignment horizontal="center" vertical="center"/>
    </xf>
    <xf numFmtId="0" fontId="5" fillId="0" borderId="60" xfId="0" applyFont="1" applyBorder="1" applyAlignment="1">
      <alignment horizontal="center" vertical="center"/>
    </xf>
    <xf numFmtId="0" fontId="0" fillId="0" borderId="73" xfId="0" applyBorder="1"/>
    <xf numFmtId="0" fontId="0" fillId="0" borderId="76" xfId="0" applyBorder="1"/>
    <xf numFmtId="0" fontId="5" fillId="2" borderId="0" xfId="0" applyFont="1" applyFill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0" fillId="0" borderId="72" xfId="0" applyBorder="1"/>
    <xf numFmtId="0" fontId="5" fillId="0" borderId="2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36" xfId="0" applyFont="1" applyBorder="1" applyAlignment="1">
      <alignment horizontal="center" vertical="center"/>
    </xf>
    <xf numFmtId="0" fontId="0" fillId="0" borderId="74" xfId="0" applyBorder="1"/>
    <xf numFmtId="0" fontId="5" fillId="2" borderId="54" xfId="0" applyFont="1" applyFill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5" fillId="2" borderId="64" xfId="0" applyFont="1" applyFill="1" applyBorder="1" applyAlignment="1">
      <alignment horizontal="center" vertical="center"/>
    </xf>
    <xf numFmtId="0" fontId="25" fillId="0" borderId="42" xfId="0" applyFont="1" applyBorder="1" applyAlignment="1">
      <alignment horizontal="center" vertical="center"/>
    </xf>
    <xf numFmtId="0" fontId="5" fillId="2" borderId="78" xfId="0" applyFont="1" applyFill="1" applyBorder="1" applyAlignment="1">
      <alignment horizontal="center" vertical="center"/>
    </xf>
    <xf numFmtId="0" fontId="25" fillId="2" borderId="21" xfId="0" applyFont="1" applyFill="1" applyBorder="1" applyAlignment="1">
      <alignment horizontal="center" vertical="center"/>
    </xf>
    <xf numFmtId="0" fontId="5" fillId="0" borderId="79" xfId="0" applyFont="1" applyBorder="1" applyAlignment="1">
      <alignment horizontal="center" vertical="center"/>
    </xf>
    <xf numFmtId="0" fontId="5" fillId="2" borderId="24" xfId="0" applyFont="1" applyFill="1" applyBorder="1" applyAlignment="1">
      <alignment horizontal="center" vertical="center"/>
    </xf>
    <xf numFmtId="0" fontId="5" fillId="2" borderId="46" xfId="0" applyFont="1" applyFill="1" applyBorder="1" applyAlignment="1">
      <alignment horizontal="center" vertical="center"/>
    </xf>
    <xf numFmtId="0" fontId="5" fillId="0" borderId="74" xfId="0" applyFont="1" applyBorder="1" applyAlignment="1">
      <alignment horizontal="center" vertical="center"/>
    </xf>
    <xf numFmtId="0" fontId="5" fillId="0" borderId="76" xfId="0" applyFont="1" applyBorder="1" applyAlignment="1">
      <alignment horizontal="center" vertical="center"/>
    </xf>
    <xf numFmtId="0" fontId="25" fillId="0" borderId="14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41" xfId="0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25" fillId="0" borderId="45" xfId="0" applyFont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25" fillId="0" borderId="35" xfId="0" applyFont="1" applyBorder="1" applyAlignment="1">
      <alignment horizontal="center" vertical="center"/>
    </xf>
    <xf numFmtId="0" fontId="25" fillId="0" borderId="46" xfId="0" applyFont="1" applyBorder="1" applyAlignment="1">
      <alignment horizontal="center" vertical="center"/>
    </xf>
    <xf numFmtId="0" fontId="5" fillId="2" borderId="63" xfId="0" applyFont="1" applyFill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5" fillId="2" borderId="57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3" fontId="25" fillId="2" borderId="21" xfId="0" applyNumberFormat="1" applyFont="1" applyFill="1" applyBorder="1" applyAlignment="1">
      <alignment horizontal="center" vertical="center"/>
    </xf>
    <xf numFmtId="3" fontId="5" fillId="2" borderId="21" xfId="0" applyNumberFormat="1" applyFont="1" applyFill="1" applyBorder="1" applyAlignment="1">
      <alignment horizontal="center" vertical="center"/>
    </xf>
    <xf numFmtId="0" fontId="0" fillId="8" borderId="0" xfId="0" applyFill="1"/>
    <xf numFmtId="0" fontId="5" fillId="0" borderId="29" xfId="0" applyFont="1" applyBorder="1" applyAlignment="1">
      <alignment horizontal="center" vertical="center"/>
    </xf>
    <xf numFmtId="0" fontId="5" fillId="7" borderId="24" xfId="0" applyFont="1" applyFill="1" applyBorder="1" applyAlignment="1">
      <alignment horizontal="center" vertical="center"/>
    </xf>
    <xf numFmtId="0" fontId="5" fillId="7" borderId="46" xfId="0" applyFont="1" applyFill="1" applyBorder="1" applyAlignment="1">
      <alignment horizontal="center" vertical="center"/>
    </xf>
    <xf numFmtId="0" fontId="5" fillId="7" borderId="25" xfId="0" applyFont="1" applyFill="1" applyBorder="1" applyAlignment="1">
      <alignment horizontal="center" vertical="center"/>
    </xf>
    <xf numFmtId="0" fontId="5" fillId="7" borderId="26" xfId="0" applyFont="1" applyFill="1" applyBorder="1" applyAlignment="1">
      <alignment horizontal="center" vertical="center"/>
    </xf>
    <xf numFmtId="0" fontId="5" fillId="0" borderId="31" xfId="0" applyFont="1" applyBorder="1" applyAlignment="1">
      <alignment horizontal="center" vertical="center"/>
    </xf>
    <xf numFmtId="0" fontId="5" fillId="0" borderId="77" xfId="0" applyFont="1" applyBorder="1" applyAlignment="1">
      <alignment horizontal="center" vertical="center"/>
    </xf>
    <xf numFmtId="0" fontId="0" fillId="0" borderId="55" xfId="0" applyBorder="1"/>
    <xf numFmtId="0" fontId="0" fillId="0" borderId="56" xfId="0" applyBorder="1"/>
    <xf numFmtId="0" fontId="0" fillId="0" borderId="58" xfId="0" applyBorder="1"/>
    <xf numFmtId="0" fontId="0" fillId="0" borderId="63" xfId="0" applyBorder="1"/>
    <xf numFmtId="0" fontId="5" fillId="2" borderId="77" xfId="0" applyFont="1" applyFill="1" applyBorder="1" applyAlignment="1">
      <alignment horizontal="center" vertical="center"/>
    </xf>
    <xf numFmtId="0" fontId="5" fillId="7" borderId="27" xfId="0" applyFont="1" applyFill="1" applyBorder="1" applyAlignment="1">
      <alignment horizontal="center" vertical="center"/>
    </xf>
    <xf numFmtId="0" fontId="0" fillId="0" borderId="57" xfId="0" applyBorder="1"/>
    <xf numFmtId="0" fontId="28" fillId="0" borderId="21" xfId="0" applyFont="1" applyBorder="1"/>
    <xf numFmtId="0" fontId="28" fillId="0" borderId="36" xfId="0" applyFont="1" applyBorder="1"/>
    <xf numFmtId="0" fontId="5" fillId="7" borderId="32" xfId="0" applyFont="1" applyFill="1" applyBorder="1" applyAlignment="1">
      <alignment horizontal="center" vertical="center"/>
    </xf>
    <xf numFmtId="0" fontId="5" fillId="7" borderId="64" xfId="0" applyFont="1" applyFill="1" applyBorder="1" applyAlignment="1">
      <alignment horizontal="center" vertical="center"/>
    </xf>
    <xf numFmtId="0" fontId="5" fillId="7" borderId="78" xfId="0" applyFont="1" applyFill="1" applyBorder="1" applyAlignment="1">
      <alignment horizontal="center" vertical="center"/>
    </xf>
    <xf numFmtId="0" fontId="5" fillId="7" borderId="75" xfId="0" applyFont="1" applyFill="1" applyBorder="1" applyAlignment="1">
      <alignment horizontal="center" vertical="center"/>
    </xf>
    <xf numFmtId="0" fontId="5" fillId="7" borderId="73" xfId="0" applyFont="1" applyFill="1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5" fillId="7" borderId="65" xfId="0" applyFont="1" applyFill="1" applyBorder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8" borderId="29" xfId="0" applyFont="1" applyFill="1" applyBorder="1" applyAlignment="1">
      <alignment horizontal="center" vertical="center"/>
    </xf>
    <xf numFmtId="0" fontId="5" fillId="8" borderId="31" xfId="0" applyFont="1" applyFill="1" applyBorder="1" applyAlignment="1">
      <alignment horizontal="center" vertical="center"/>
    </xf>
    <xf numFmtId="0" fontId="5" fillId="8" borderId="33" xfId="0" applyFont="1" applyFill="1" applyBorder="1" applyAlignment="1">
      <alignment horizontal="center" vertical="center"/>
    </xf>
    <xf numFmtId="0" fontId="5" fillId="8" borderId="39" xfId="0" applyFont="1" applyFill="1" applyBorder="1" applyAlignment="1">
      <alignment horizontal="center" vertical="center"/>
    </xf>
    <xf numFmtId="0" fontId="29" fillId="0" borderId="19" xfId="0" applyFont="1" applyBorder="1"/>
    <xf numFmtId="0" fontId="29" fillId="0" borderId="36" xfId="0" applyFont="1" applyBorder="1"/>
    <xf numFmtId="0" fontId="5" fillId="7" borderId="76" xfId="0" applyFont="1" applyFill="1" applyBorder="1" applyAlignment="1">
      <alignment horizontal="center" vertical="center"/>
    </xf>
    <xf numFmtId="0" fontId="5" fillId="7" borderId="72" xfId="0" applyFont="1" applyFill="1" applyBorder="1" applyAlignment="1">
      <alignment horizontal="center" vertical="center"/>
    </xf>
    <xf numFmtId="0" fontId="5" fillId="7" borderId="74" xfId="0" applyFon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7" borderId="49" xfId="0" applyFont="1" applyFill="1" applyBorder="1" applyAlignment="1">
      <alignment horizontal="center" vertical="center"/>
    </xf>
    <xf numFmtId="0" fontId="5" fillId="0" borderId="62" xfId="0" applyFont="1" applyBorder="1" applyAlignment="1">
      <alignment horizontal="center" vertical="center"/>
    </xf>
    <xf numFmtId="1" fontId="0" fillId="0" borderId="59" xfId="0" applyNumberFormat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1" fontId="0" fillId="2" borderId="29" xfId="0" applyNumberForma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7" borderId="13" xfId="0" applyFont="1" applyFill="1" applyBorder="1" applyAlignment="1">
      <alignment horizontal="center" vertical="center"/>
    </xf>
    <xf numFmtId="0" fontId="5" fillId="7" borderId="80" xfId="0" applyFont="1" applyFill="1" applyBorder="1" applyAlignment="1">
      <alignment horizontal="center" vertical="center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  <xf numFmtId="0" fontId="26" fillId="2" borderId="37" xfId="0" applyFont="1" applyFill="1" applyBorder="1" applyAlignment="1">
      <alignment horizontal="center" vertical="center"/>
    </xf>
    <xf numFmtId="0" fontId="26" fillId="2" borderId="31" xfId="0" applyFont="1" applyFill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/>
    </xf>
    <xf numFmtId="0" fontId="26" fillId="2" borderId="39" xfId="0" applyFont="1" applyFill="1" applyBorder="1" applyAlignment="1">
      <alignment horizontal="center" vertical="center"/>
    </xf>
    <xf numFmtId="17" fontId="27" fillId="2" borderId="2" xfId="0" applyNumberFormat="1" applyFont="1" applyFill="1" applyBorder="1" applyAlignment="1">
      <alignment horizontal="center" vertical="center"/>
    </xf>
    <xf numFmtId="0" fontId="27" fillId="2" borderId="3" xfId="0" applyFont="1" applyFill="1" applyBorder="1" applyAlignment="1">
      <alignment horizontal="center" vertical="center"/>
    </xf>
    <xf numFmtId="0" fontId="27" fillId="2" borderId="37" xfId="0" applyFont="1" applyFill="1" applyBorder="1" applyAlignment="1">
      <alignment horizontal="center" vertical="center"/>
    </xf>
    <xf numFmtId="0" fontId="27" fillId="2" borderId="31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7" fillId="2" borderId="39" xfId="0" applyFont="1" applyFill="1" applyBorder="1" applyAlignment="1">
      <alignment horizontal="center" vertical="center"/>
    </xf>
    <xf numFmtId="0" fontId="5" fillId="7" borderId="18" xfId="0" applyFont="1" applyFill="1" applyBorder="1" applyAlignment="1">
      <alignment horizontal="center" vertical="center"/>
    </xf>
    <xf numFmtId="0" fontId="5" fillId="7" borderId="41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/>
    </xf>
    <xf numFmtId="0" fontId="5" fillId="7" borderId="16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17" xfId="0" applyFont="1" applyFill="1" applyBorder="1" applyAlignment="1">
      <alignment horizontal="center" vertical="center"/>
    </xf>
    <xf numFmtId="0" fontId="5" fillId="7" borderId="14" xfId="0" applyFont="1" applyFill="1" applyBorder="1" applyAlignment="1">
      <alignment horizontal="center" vertical="center"/>
    </xf>
    <xf numFmtId="0" fontId="5" fillId="7" borderId="15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/>
    </xf>
    <xf numFmtId="0" fontId="5" fillId="2" borderId="6" xfId="0" applyFont="1" applyFill="1" applyBorder="1" applyAlignment="1">
      <alignment horizontal="center"/>
    </xf>
    <xf numFmtId="0" fontId="5" fillId="2" borderId="21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7" borderId="68" xfId="0" applyFont="1" applyFill="1" applyBorder="1" applyAlignment="1">
      <alignment horizontal="center" vertical="center"/>
    </xf>
    <xf numFmtId="0" fontId="5" fillId="7" borderId="22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41" xfId="0" applyFont="1" applyFill="1" applyBorder="1" applyAlignment="1">
      <alignment horizontal="center" vertical="center"/>
    </xf>
    <xf numFmtId="0" fontId="5" fillId="2" borderId="31" xfId="0" applyFont="1" applyFill="1" applyBorder="1" applyAlignment="1">
      <alignment horizontal="center" vertical="center"/>
    </xf>
    <xf numFmtId="0" fontId="5" fillId="2" borderId="39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7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9" fillId="0" borderId="2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24" fillId="0" borderId="3" xfId="0" applyFont="1" applyBorder="1" applyAlignment="1">
      <alignment horizontal="center" vertical="center"/>
    </xf>
    <xf numFmtId="0" fontId="24" fillId="0" borderId="37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 vertical="center"/>
    </xf>
    <xf numFmtId="0" fontId="24" fillId="0" borderId="33" xfId="0" applyFont="1" applyBorder="1" applyAlignment="1">
      <alignment horizontal="center" vertical="center"/>
    </xf>
    <xf numFmtId="0" fontId="24" fillId="0" borderId="39" xfId="0" applyFont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47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47" xfId="0" applyFont="1" applyFill="1" applyBorder="1" applyAlignment="1">
      <alignment horizontal="center"/>
    </xf>
    <xf numFmtId="0" fontId="6" fillId="2" borderId="7" xfId="0" applyFont="1" applyFill="1" applyBorder="1" applyAlignment="1">
      <alignment horizontal="center"/>
    </xf>
    <xf numFmtId="1" fontId="24" fillId="0" borderId="2" xfId="0" applyNumberFormat="1" applyFont="1" applyBorder="1" applyAlignment="1">
      <alignment horizontal="center" vertical="center"/>
    </xf>
    <xf numFmtId="1" fontId="24" fillId="0" borderId="3" xfId="0" applyNumberFormat="1" applyFont="1" applyBorder="1" applyAlignment="1">
      <alignment horizontal="center" vertical="center"/>
    </xf>
    <xf numFmtId="1" fontId="24" fillId="0" borderId="37" xfId="0" applyNumberFormat="1" applyFont="1" applyBorder="1" applyAlignment="1">
      <alignment horizontal="center" vertical="center"/>
    </xf>
    <xf numFmtId="1" fontId="24" fillId="0" borderId="31" xfId="0" applyNumberFormat="1" applyFont="1" applyBorder="1" applyAlignment="1">
      <alignment horizontal="center" vertical="center"/>
    </xf>
    <xf numFmtId="1" fontId="24" fillId="0" borderId="33" xfId="0" applyNumberFormat="1" applyFont="1" applyBorder="1" applyAlignment="1">
      <alignment horizontal="center" vertical="center"/>
    </xf>
    <xf numFmtId="1" fontId="24" fillId="0" borderId="39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5" fillId="2" borderId="2" xfId="0" applyFont="1" applyFill="1" applyBorder="1" applyAlignment="1">
      <alignment horizontal="center" textRotation="90"/>
    </xf>
    <xf numFmtId="0" fontId="5" fillId="2" borderId="31" xfId="0" applyFont="1" applyFill="1" applyBorder="1" applyAlignment="1">
      <alignment horizontal="center" textRotation="90"/>
    </xf>
    <xf numFmtId="0" fontId="5" fillId="2" borderId="38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textRotation="90"/>
    </xf>
    <xf numFmtId="0" fontId="5" fillId="2" borderId="8" xfId="0" applyFont="1" applyFill="1" applyBorder="1" applyAlignment="1">
      <alignment horizontal="center" textRotation="90"/>
    </xf>
    <xf numFmtId="0" fontId="21" fillId="0" borderId="6" xfId="0" applyFont="1" applyBorder="1" applyAlignment="1">
      <alignment horizontal="center"/>
    </xf>
    <xf numFmtId="0" fontId="21" fillId="0" borderId="47" xfId="0" applyFont="1" applyBorder="1" applyAlignment="1">
      <alignment horizontal="center"/>
    </xf>
    <xf numFmtId="0" fontId="21" fillId="0" borderId="7" xfId="0" applyFont="1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9" xfId="0" applyBorder="1" applyAlignment="1">
      <alignment horizontal="center"/>
    </xf>
    <xf numFmtId="0" fontId="23" fillId="2" borderId="47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 wrapText="1"/>
    </xf>
    <xf numFmtId="0" fontId="23" fillId="2" borderId="59" xfId="0" applyFont="1" applyFill="1" applyBorder="1" applyAlignment="1">
      <alignment horizontal="center" vertical="center" wrapText="1"/>
    </xf>
    <xf numFmtId="0" fontId="23" fillId="2" borderId="49" xfId="0" applyFont="1" applyFill="1" applyBorder="1" applyAlignment="1">
      <alignment horizontal="center" vertical="center" wrapText="1"/>
    </xf>
    <xf numFmtId="0" fontId="23" fillId="2" borderId="52" xfId="0" applyFont="1" applyFill="1" applyBorder="1" applyAlignment="1">
      <alignment horizontal="center" vertical="center" wrapText="1"/>
    </xf>
    <xf numFmtId="0" fontId="23" fillId="2" borderId="48" xfId="0" applyFont="1" applyFill="1" applyBorder="1" applyAlignment="1">
      <alignment horizontal="center" vertical="center" wrapText="1"/>
    </xf>
    <xf numFmtId="0" fontId="23" fillId="2" borderId="54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47" xfId="0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 vertical="center" wrapText="1"/>
    </xf>
    <xf numFmtId="0" fontId="23" fillId="2" borderId="14" xfId="0" applyFont="1" applyFill="1" applyBorder="1" applyAlignment="1">
      <alignment horizontal="center" vertical="center" wrapText="1"/>
    </xf>
    <xf numFmtId="0" fontId="23" fillId="2" borderId="35" xfId="0" applyFont="1" applyFill="1" applyBorder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/>
    </xf>
    <xf numFmtId="0" fontId="22" fillId="2" borderId="47" xfId="0" applyFont="1" applyFill="1" applyBorder="1" applyAlignment="1">
      <alignment horizontal="center"/>
    </xf>
    <xf numFmtId="0" fontId="22" fillId="2" borderId="7" xfId="0" applyFont="1" applyFill="1" applyBorder="1" applyAlignment="1">
      <alignment horizontal="center"/>
    </xf>
    <xf numFmtId="3" fontId="17" fillId="2" borderId="69" xfId="2" applyNumberFormat="1" applyFont="1" applyFill="1" applyBorder="1" applyAlignment="1">
      <alignment horizontal="center" vertical="center"/>
    </xf>
    <xf numFmtId="3" fontId="17" fillId="2" borderId="47" xfId="2" applyNumberFormat="1" applyFont="1" applyFill="1" applyBorder="1" applyAlignment="1">
      <alignment horizontal="center" vertical="center"/>
    </xf>
    <xf numFmtId="3" fontId="17" fillId="2" borderId="7" xfId="2" applyNumberFormat="1" applyFont="1" applyFill="1" applyBorder="1" applyAlignment="1">
      <alignment horizontal="center" vertical="center"/>
    </xf>
    <xf numFmtId="1" fontId="7" fillId="0" borderId="6" xfId="0" applyNumberFormat="1" applyFont="1" applyBorder="1" applyAlignment="1">
      <alignment horizontal="center" vertical="center"/>
    </xf>
    <xf numFmtId="1" fontId="7" fillId="0" borderId="47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0" fontId="1" fillId="7" borderId="6" xfId="0" applyFont="1" applyFill="1" applyBorder="1" applyAlignment="1">
      <alignment horizontal="center"/>
    </xf>
    <xf numFmtId="0" fontId="1" fillId="7" borderId="47" xfId="0" applyFont="1" applyFill="1" applyBorder="1" applyAlignment="1">
      <alignment horizontal="center"/>
    </xf>
    <xf numFmtId="0" fontId="1" fillId="7" borderId="7" xfId="0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 vertical="center"/>
    </xf>
    <xf numFmtId="3" fontId="7" fillId="0" borderId="3" xfId="0" applyNumberFormat="1" applyFont="1" applyBorder="1" applyAlignment="1">
      <alignment horizontal="center" vertical="center"/>
    </xf>
    <xf numFmtId="3" fontId="7" fillId="0" borderId="37" xfId="0" applyNumberFormat="1" applyFont="1" applyBorder="1" applyAlignment="1">
      <alignment horizontal="center" vertical="center"/>
    </xf>
    <xf numFmtId="3" fontId="7" fillId="0" borderId="31" xfId="0" applyNumberFormat="1" applyFont="1" applyBorder="1" applyAlignment="1">
      <alignment horizontal="center" vertical="center"/>
    </xf>
    <xf numFmtId="3" fontId="7" fillId="0" borderId="33" xfId="0" applyNumberFormat="1" applyFont="1" applyBorder="1" applyAlignment="1">
      <alignment horizontal="center" vertical="center"/>
    </xf>
    <xf numFmtId="3" fontId="7" fillId="0" borderId="39" xfId="0" applyNumberFormat="1" applyFont="1" applyBorder="1" applyAlignment="1">
      <alignment horizontal="center" vertical="center"/>
    </xf>
    <xf numFmtId="10" fontId="7" fillId="0" borderId="2" xfId="1" applyNumberFormat="1" applyFont="1" applyFill="1" applyBorder="1" applyAlignment="1">
      <alignment horizontal="center" vertical="center"/>
    </xf>
    <xf numFmtId="10" fontId="7" fillId="0" borderId="3" xfId="1" applyNumberFormat="1" applyFont="1" applyFill="1" applyBorder="1" applyAlignment="1">
      <alignment horizontal="center" vertical="center"/>
    </xf>
    <xf numFmtId="10" fontId="7" fillId="0" borderId="37" xfId="1" applyNumberFormat="1" applyFont="1" applyFill="1" applyBorder="1" applyAlignment="1">
      <alignment horizontal="center" vertical="center"/>
    </xf>
    <xf numFmtId="10" fontId="7" fillId="0" borderId="31" xfId="1" applyNumberFormat="1" applyFont="1" applyFill="1" applyBorder="1" applyAlignment="1">
      <alignment horizontal="center" vertical="center"/>
    </xf>
    <xf numFmtId="10" fontId="7" fillId="0" borderId="33" xfId="1" applyNumberFormat="1" applyFont="1" applyFill="1" applyBorder="1" applyAlignment="1">
      <alignment horizontal="center" vertical="center"/>
    </xf>
    <xf numFmtId="10" fontId="7" fillId="0" borderId="39" xfId="1" applyNumberFormat="1" applyFont="1" applyFill="1" applyBorder="1" applyAlignment="1">
      <alignment horizontal="center" vertical="center"/>
    </xf>
    <xf numFmtId="3" fontId="17" fillId="0" borderId="2" xfId="2" applyNumberFormat="1" applyFont="1" applyFill="1" applyBorder="1" applyAlignment="1">
      <alignment horizontal="center" vertical="center"/>
    </xf>
    <xf numFmtId="3" fontId="17" fillId="0" borderId="3" xfId="2" applyNumberFormat="1" applyFont="1" applyFill="1" applyBorder="1" applyAlignment="1">
      <alignment horizontal="center" vertical="center"/>
    </xf>
    <xf numFmtId="3" fontId="17" fillId="0" borderId="37" xfId="2" applyNumberFormat="1" applyFont="1" applyFill="1" applyBorder="1" applyAlignment="1">
      <alignment horizontal="center" vertical="center"/>
    </xf>
    <xf numFmtId="3" fontId="17" fillId="0" borderId="31" xfId="2" applyNumberFormat="1" applyFont="1" applyFill="1" applyBorder="1" applyAlignment="1">
      <alignment horizontal="center" vertical="center"/>
    </xf>
    <xf numFmtId="3" fontId="17" fillId="0" borderId="33" xfId="2" applyNumberFormat="1" applyFont="1" applyFill="1" applyBorder="1" applyAlignment="1">
      <alignment horizontal="center" vertical="center"/>
    </xf>
    <xf numFmtId="3" fontId="17" fillId="0" borderId="39" xfId="2" applyNumberFormat="1" applyFont="1" applyFill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20" fillId="0" borderId="37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3" xfId="0" applyFont="1" applyBorder="1" applyAlignment="1">
      <alignment horizontal="center" vertical="center"/>
    </xf>
    <xf numFmtId="0" fontId="20" fillId="0" borderId="39" xfId="0" applyFont="1" applyBorder="1" applyAlignment="1">
      <alignment horizontal="center" vertical="center"/>
    </xf>
    <xf numFmtId="3" fontId="14" fillId="0" borderId="2" xfId="2" applyNumberFormat="1" applyFont="1" applyFill="1" applyBorder="1" applyAlignment="1">
      <alignment horizontal="center" vertical="center" wrapText="1"/>
    </xf>
    <xf numFmtId="3" fontId="14" fillId="0" borderId="3" xfId="2" applyNumberFormat="1" applyFont="1" applyFill="1" applyBorder="1" applyAlignment="1">
      <alignment horizontal="center" vertical="center" wrapText="1"/>
    </xf>
    <xf numFmtId="3" fontId="14" fillId="0" borderId="31" xfId="2" applyNumberFormat="1" applyFont="1" applyFill="1" applyBorder="1" applyAlignment="1">
      <alignment horizontal="center" vertical="center" wrapText="1"/>
    </xf>
    <xf numFmtId="3" fontId="14" fillId="0" borderId="33" xfId="2" applyNumberFormat="1" applyFont="1" applyFill="1" applyBorder="1" applyAlignment="1">
      <alignment horizontal="center" vertical="center" wrapText="1"/>
    </xf>
    <xf numFmtId="3" fontId="19" fillId="0" borderId="3" xfId="2" applyNumberFormat="1" applyFont="1" applyFill="1" applyBorder="1" applyAlignment="1">
      <alignment horizontal="center" vertical="center" wrapText="1"/>
    </xf>
    <xf numFmtId="3" fontId="19" fillId="0" borderId="37" xfId="2" applyNumberFormat="1" applyFont="1" applyFill="1" applyBorder="1" applyAlignment="1">
      <alignment horizontal="center" vertical="center" wrapText="1"/>
    </xf>
    <xf numFmtId="3" fontId="19" fillId="0" borderId="33" xfId="2" applyNumberFormat="1" applyFont="1" applyFill="1" applyBorder="1" applyAlignment="1">
      <alignment horizontal="center" vertical="center" wrapText="1"/>
    </xf>
    <xf numFmtId="3" fontId="19" fillId="0" borderId="39" xfId="2" applyNumberFormat="1" applyFont="1" applyFill="1" applyBorder="1" applyAlignment="1">
      <alignment horizontal="center" vertical="center" wrapText="1"/>
    </xf>
    <xf numFmtId="3" fontId="17" fillId="0" borderId="6" xfId="0" applyNumberFormat="1" applyFont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center"/>
    </xf>
    <xf numFmtId="3" fontId="17" fillId="0" borderId="7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textRotation="90"/>
    </xf>
    <xf numFmtId="0" fontId="5" fillId="2" borderId="31" xfId="0" applyFont="1" applyFill="1" applyBorder="1" applyAlignment="1">
      <alignment horizontal="center" vertical="center" textRotation="90"/>
    </xf>
    <xf numFmtId="0" fontId="5" fillId="2" borderId="8" xfId="0" applyFont="1" applyFill="1" applyBorder="1" applyAlignment="1">
      <alignment horizontal="center" vertical="center" textRotation="90"/>
    </xf>
    <xf numFmtId="0" fontId="5" fillId="2" borderId="59" xfId="0" applyFont="1" applyFill="1" applyBorder="1" applyAlignment="1">
      <alignment horizontal="center" vertical="center" wrapText="1"/>
    </xf>
    <xf numFmtId="0" fontId="5" fillId="2" borderId="54" xfId="0" applyFont="1" applyFill="1" applyBorder="1" applyAlignment="1">
      <alignment horizontal="center" vertical="center" wrapText="1"/>
    </xf>
    <xf numFmtId="0" fontId="5" fillId="2" borderId="48" xfId="0" applyFont="1" applyFill="1" applyBorder="1" applyAlignment="1">
      <alignment horizontal="center" vertical="center" wrapText="1"/>
    </xf>
    <xf numFmtId="0" fontId="5" fillId="2" borderId="52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3" fontId="13" fillId="2" borderId="6" xfId="0" applyNumberFormat="1" applyFont="1" applyFill="1" applyBorder="1" applyAlignment="1">
      <alignment horizontal="center" vertical="center"/>
    </xf>
    <xf numFmtId="3" fontId="13" fillId="2" borderId="47" xfId="0" applyNumberFormat="1" applyFont="1" applyFill="1" applyBorder="1" applyAlignment="1">
      <alignment horizontal="center" vertical="center"/>
    </xf>
    <xf numFmtId="3" fontId="13" fillId="2" borderId="7" xfId="0" applyNumberFormat="1" applyFont="1" applyFill="1" applyBorder="1" applyAlignment="1">
      <alignment horizontal="center" vertical="center"/>
    </xf>
    <xf numFmtId="3" fontId="17" fillId="2" borderId="48" xfId="2" applyNumberFormat="1" applyFont="1" applyFill="1" applyBorder="1" applyAlignment="1">
      <alignment horizontal="center" vertical="center" wrapText="1"/>
    </xf>
    <xf numFmtId="3" fontId="17" fillId="2" borderId="52" xfId="2" applyNumberFormat="1" applyFont="1" applyFill="1" applyBorder="1" applyAlignment="1">
      <alignment horizontal="center" vertical="center" wrapText="1"/>
    </xf>
    <xf numFmtId="3" fontId="16" fillId="2" borderId="6" xfId="0" applyNumberFormat="1" applyFont="1" applyFill="1" applyBorder="1" applyAlignment="1">
      <alignment horizontal="center" vertical="center"/>
    </xf>
    <xf numFmtId="3" fontId="16" fillId="2" borderId="47" xfId="0" applyNumberFormat="1" applyFont="1" applyFill="1" applyBorder="1" applyAlignment="1">
      <alignment horizontal="center" vertical="center"/>
    </xf>
    <xf numFmtId="3" fontId="14" fillId="2" borderId="40" xfId="0" applyNumberFormat="1" applyFont="1" applyFill="1" applyBorder="1" applyAlignment="1">
      <alignment horizontal="center" vertical="center"/>
    </xf>
    <xf numFmtId="0" fontId="0" fillId="2" borderId="44" xfId="0" applyFill="1" applyBorder="1"/>
    <xf numFmtId="3" fontId="14" fillId="2" borderId="9" xfId="2" applyNumberFormat="1" applyFont="1" applyFill="1" applyBorder="1" applyAlignment="1">
      <alignment horizontal="center" vertical="center"/>
    </xf>
    <xf numFmtId="3" fontId="14" fillId="2" borderId="32" xfId="2" applyNumberFormat="1" applyFont="1" applyFill="1" applyBorder="1" applyAlignment="1">
      <alignment horizontal="center" vertical="center"/>
    </xf>
    <xf numFmtId="3" fontId="15" fillId="2" borderId="56" xfId="2" applyNumberFormat="1" applyFont="1" applyFill="1" applyBorder="1" applyAlignment="1">
      <alignment horizontal="center" vertical="center"/>
    </xf>
    <xf numFmtId="3" fontId="15" fillId="2" borderId="64" xfId="2" applyNumberFormat="1" applyFont="1" applyFill="1" applyBorder="1" applyAlignment="1">
      <alignment horizontal="center" vertical="center"/>
    </xf>
    <xf numFmtId="0" fontId="18" fillId="2" borderId="46" xfId="0" applyFont="1" applyFill="1" applyBorder="1" applyAlignment="1">
      <alignment horizontal="center"/>
    </xf>
    <xf numFmtId="10" fontId="15" fillId="2" borderId="58" xfId="1" applyNumberFormat="1" applyFont="1" applyFill="1" applyBorder="1" applyAlignment="1">
      <alignment horizontal="center" vertical="center"/>
    </xf>
    <xf numFmtId="10" fontId="15" fillId="2" borderId="25" xfId="1" applyNumberFormat="1" applyFont="1" applyFill="1" applyBorder="1" applyAlignment="1">
      <alignment horizontal="center" vertical="center"/>
    </xf>
    <xf numFmtId="3" fontId="15" fillId="2" borderId="36" xfId="2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45"/>
    </xf>
    <xf numFmtId="0" fontId="1" fillId="2" borderId="4" xfId="0" applyFont="1" applyFill="1" applyBorder="1" applyAlignment="1">
      <alignment horizontal="center" vertical="center" textRotation="45"/>
    </xf>
    <xf numFmtId="0" fontId="1" fillId="2" borderId="8" xfId="0" applyFont="1" applyFill="1" applyBorder="1" applyAlignment="1">
      <alignment horizontal="center" vertical="center" textRotation="45"/>
    </xf>
    <xf numFmtId="0" fontId="6" fillId="2" borderId="1" xfId="0" applyFont="1" applyFill="1" applyBorder="1" applyAlignment="1">
      <alignment horizontal="center" vertical="center" textRotation="45"/>
    </xf>
    <xf numFmtId="0" fontId="6" fillId="2" borderId="4" xfId="0" applyFont="1" applyFill="1" applyBorder="1" applyAlignment="1">
      <alignment horizontal="center" vertical="center" textRotation="45"/>
    </xf>
    <xf numFmtId="0" fontId="6" fillId="2" borderId="8" xfId="0" applyFont="1" applyFill="1" applyBorder="1" applyAlignment="1">
      <alignment horizontal="center" vertical="center" textRotation="45"/>
    </xf>
    <xf numFmtId="0" fontId="5" fillId="2" borderId="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9" fillId="2" borderId="37" xfId="0" applyFont="1" applyFill="1" applyBorder="1" applyAlignment="1">
      <alignment horizontal="center" vertical="center"/>
    </xf>
    <xf numFmtId="0" fontId="9" fillId="2" borderId="39" xfId="0" applyFont="1" applyFill="1" applyBorder="1" applyAlignment="1">
      <alignment horizontal="center" vertical="center"/>
    </xf>
    <xf numFmtId="15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7" xfId="0" applyFont="1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2" borderId="33" xfId="0" applyFont="1" applyFill="1" applyBorder="1" applyAlignment="1">
      <alignment horizontal="center" vertical="center"/>
    </xf>
    <xf numFmtId="0" fontId="2" fillId="2" borderId="3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7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37" xfId="0" applyFont="1" applyFill="1" applyBorder="1" applyAlignment="1">
      <alignment horizontal="center" vertical="center"/>
    </xf>
    <xf numFmtId="0" fontId="11" fillId="2" borderId="31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 vertical="center"/>
    </xf>
    <xf numFmtId="0" fontId="11" fillId="2" borderId="39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7" fillId="2" borderId="1" xfId="0" applyFont="1" applyFill="1" applyBorder="1" applyAlignment="1">
      <alignment horizontal="center" textRotation="45"/>
    </xf>
    <xf numFmtId="0" fontId="7" fillId="2" borderId="4" xfId="0" applyFont="1" applyFill="1" applyBorder="1" applyAlignment="1">
      <alignment horizontal="center" textRotation="45"/>
    </xf>
    <xf numFmtId="0" fontId="7" fillId="2" borderId="8" xfId="0" applyFont="1" applyFill="1" applyBorder="1" applyAlignment="1">
      <alignment horizontal="center" textRotation="45"/>
    </xf>
    <xf numFmtId="3" fontId="9" fillId="2" borderId="1" xfId="0" applyNumberFormat="1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8" xfId="0" applyFont="1" applyFill="1" applyBorder="1" applyAlignment="1">
      <alignment horizontal="center" vertical="center"/>
    </xf>
    <xf numFmtId="15" fontId="2" fillId="2" borderId="5" xfId="0" applyNumberFormat="1" applyFont="1" applyFill="1" applyBorder="1" applyAlignment="1">
      <alignment horizontal="center" vertical="center"/>
    </xf>
    <xf numFmtId="15" fontId="2" fillId="2" borderId="0" xfId="0" applyNumberFormat="1" applyFont="1" applyFill="1" applyBorder="1" applyAlignment="1">
      <alignment horizontal="center" vertical="center"/>
    </xf>
    <xf numFmtId="15" fontId="2" fillId="2" borderId="38" xfId="0" applyNumberFormat="1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 textRotation="45"/>
    </xf>
    <xf numFmtId="0" fontId="6" fillId="2" borderId="7" xfId="0" applyFont="1" applyFill="1" applyBorder="1" applyAlignment="1">
      <alignment horizontal="center" vertical="center" textRotation="45"/>
    </xf>
    <xf numFmtId="0" fontId="10" fillId="4" borderId="6" xfId="0" applyFont="1" applyFill="1" applyBorder="1" applyAlignment="1">
      <alignment horizontal="center" vertical="center"/>
    </xf>
    <xf numFmtId="0" fontId="10" fillId="4" borderId="47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6" xfId="0" applyBorder="1"/>
  </cellXfs>
  <cellStyles count="3">
    <cellStyle name="Neutre" xfId="2" builtinId="28"/>
    <cellStyle name="Normal" xfId="0" builtinId="0"/>
    <cellStyle name="Pourcentag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F182"/>
  <sheetViews>
    <sheetView topLeftCell="BE142" zoomScale="77" zoomScaleNormal="77" workbookViewId="0">
      <selection activeCell="AJ182" sqref="AJ182"/>
    </sheetView>
  </sheetViews>
  <sheetFormatPr baseColWidth="10" defaultColWidth="11.42578125" defaultRowHeight="15"/>
  <cols>
    <col min="1" max="1" width="5.85546875" style="216" customWidth="1"/>
    <col min="2" max="2" width="9.28515625" style="216" customWidth="1"/>
    <col min="3" max="3" width="6.28515625" style="216" customWidth="1"/>
    <col min="4" max="4" width="6" style="216" customWidth="1"/>
    <col min="5" max="5" width="9.28515625" customWidth="1"/>
    <col min="6" max="7" width="7.85546875" customWidth="1"/>
    <col min="8" max="8" width="9.28515625" customWidth="1"/>
    <col min="9" max="10" width="6" customWidth="1"/>
    <col min="11" max="11" width="9.28515625" customWidth="1"/>
    <col min="12" max="12" width="6" customWidth="1"/>
    <col min="13" max="13" width="6.42578125" customWidth="1"/>
    <col min="14" max="14" width="9.28515625" customWidth="1"/>
    <col min="15" max="15" width="6" customWidth="1"/>
    <col min="16" max="16" width="7.85546875" customWidth="1"/>
    <col min="17" max="17" width="6.42578125" customWidth="1"/>
    <col min="18" max="18" width="7.85546875" customWidth="1"/>
    <col min="19" max="19" width="6" customWidth="1"/>
    <col min="20" max="20" width="7.85546875" customWidth="1"/>
    <col min="21" max="21" width="6.42578125" customWidth="1"/>
    <col min="22" max="23" width="5.85546875" customWidth="1"/>
    <col min="24" max="25" width="5.7109375" customWidth="1"/>
    <col min="26" max="26" width="6.28515625" customWidth="1"/>
    <col min="27" max="28" width="5.7109375" customWidth="1"/>
    <col min="29" max="29" width="6" customWidth="1"/>
    <col min="30" max="30" width="6.140625" customWidth="1"/>
    <col min="31" max="31" width="5.5703125" customWidth="1"/>
    <col min="32" max="32" width="5.7109375" customWidth="1"/>
    <col min="33" max="34" width="5.5703125" customWidth="1"/>
    <col min="35" max="35" width="6.85546875" customWidth="1"/>
    <col min="36" max="37" width="5.5703125" customWidth="1"/>
    <col min="38" max="38" width="5.85546875" customWidth="1"/>
    <col min="39" max="40" width="5.5703125" customWidth="1"/>
    <col min="41" max="41" width="6.140625" customWidth="1"/>
    <col min="42" max="43" width="5.5703125" customWidth="1"/>
    <col min="44" max="44" width="5.85546875" customWidth="1"/>
    <col min="45" max="45" width="5.5703125" customWidth="1"/>
    <col min="46" max="48" width="5.85546875" customWidth="1"/>
    <col min="49" max="49" width="5.5703125" customWidth="1"/>
    <col min="50" max="50" width="5.85546875" customWidth="1"/>
    <col min="51" max="52" width="5.5703125" customWidth="1"/>
    <col min="53" max="53" width="6" customWidth="1"/>
    <col min="54" max="55" width="5.5703125" customWidth="1"/>
    <col min="56" max="56" width="8" customWidth="1"/>
    <col min="57" max="57" width="5.7109375" customWidth="1"/>
    <col min="58" max="58" width="5.5703125" customWidth="1"/>
    <col min="59" max="60" width="5.85546875" customWidth="1"/>
    <col min="61" max="61" width="5.5703125" customWidth="1"/>
    <col min="62" max="62" width="5.85546875" customWidth="1"/>
    <col min="63" max="63" width="5.7109375" customWidth="1"/>
    <col min="64" max="64" width="6" customWidth="1"/>
    <col min="65" max="65" width="5.85546875" customWidth="1"/>
    <col min="66" max="67" width="5.5703125" customWidth="1"/>
    <col min="68" max="69" width="5.85546875" customWidth="1"/>
    <col min="70" max="70" width="5.5703125" customWidth="1"/>
    <col min="71" max="71" width="9.28515625" customWidth="1"/>
    <col min="72" max="72" width="5.5703125" customWidth="1"/>
    <col min="73" max="73" width="5.7109375" customWidth="1"/>
    <col min="74" max="74" width="5.85546875" customWidth="1"/>
    <col min="75" max="76" width="5.5703125" customWidth="1"/>
    <col min="77" max="77" width="7" customWidth="1"/>
    <col min="78" max="78" width="5.5703125" customWidth="1"/>
    <col min="79" max="79" width="5.85546875" customWidth="1"/>
    <col min="80" max="80" width="5.7109375" customWidth="1"/>
    <col min="81" max="82" width="5.5703125" customWidth="1"/>
    <col min="83" max="83" width="6" customWidth="1"/>
    <col min="84" max="84" width="5.85546875" customWidth="1"/>
    <col min="85" max="85" width="5.5703125" customWidth="1"/>
    <col min="86" max="95" width="5.85546875" customWidth="1"/>
    <col min="96" max="97" width="5.5703125" customWidth="1"/>
    <col min="98" max="98" width="5.85546875" customWidth="1"/>
    <col min="99" max="100" width="5.5703125" customWidth="1"/>
    <col min="101" max="101" width="5.85546875" customWidth="1"/>
    <col min="102" max="103" width="5.5703125" customWidth="1"/>
    <col min="104" max="104" width="5.85546875" customWidth="1"/>
    <col min="105" max="106" width="5.5703125" customWidth="1"/>
    <col min="107" max="107" width="13.5703125" customWidth="1"/>
    <col min="108" max="109" width="12.5703125" customWidth="1"/>
  </cols>
  <sheetData>
    <row r="1" spans="1:109" ht="15.75" customHeight="1">
      <c r="A1"/>
      <c r="B1"/>
      <c r="C1"/>
      <c r="D1"/>
    </row>
    <row r="2" spans="1:109" ht="15.75" customHeight="1">
      <c r="A2"/>
      <c r="B2"/>
      <c r="C2"/>
      <c r="D2"/>
      <c r="T2" s="405"/>
      <c r="U2" s="406"/>
      <c r="V2" s="406"/>
      <c r="W2" s="407"/>
      <c r="X2" s="411" t="s">
        <v>0</v>
      </c>
      <c r="Y2" s="412"/>
      <c r="Z2" s="412"/>
      <c r="AA2" s="412"/>
      <c r="AB2" s="412"/>
      <c r="AC2" s="412"/>
      <c r="AD2" s="413"/>
    </row>
    <row r="3" spans="1:109">
      <c r="A3"/>
      <c r="B3"/>
      <c r="C3"/>
      <c r="D3"/>
      <c r="T3" s="408"/>
      <c r="U3" s="409"/>
      <c r="V3" s="409"/>
      <c r="W3" s="410"/>
      <c r="X3" s="414"/>
      <c r="Y3" s="415"/>
      <c r="Z3" s="415"/>
      <c r="AA3" s="415"/>
      <c r="AB3" s="415"/>
      <c r="AC3" s="415"/>
      <c r="AD3" s="416"/>
    </row>
    <row r="4" spans="1:109">
      <c r="A4"/>
      <c r="B4"/>
      <c r="C4"/>
      <c r="D4"/>
    </row>
    <row r="5" spans="1:109">
      <c r="D5" s="359" t="s">
        <v>1</v>
      </c>
    </row>
    <row r="6" spans="1:109">
      <c r="A6" s="403" t="s">
        <v>2</v>
      </c>
      <c r="B6" s="426" t="s">
        <v>3</v>
      </c>
      <c r="C6" s="424"/>
      <c r="D6" s="425"/>
      <c r="E6" s="426" t="s">
        <v>4</v>
      </c>
      <c r="F6" s="424"/>
      <c r="G6" s="427"/>
      <c r="H6" s="423" t="s">
        <v>5</v>
      </c>
      <c r="I6" s="424"/>
      <c r="J6" s="425"/>
      <c r="K6" s="426" t="s">
        <v>6</v>
      </c>
      <c r="L6" s="424"/>
      <c r="M6" s="427"/>
      <c r="N6" s="423" t="s">
        <v>7</v>
      </c>
      <c r="O6" s="424"/>
      <c r="P6" s="425"/>
      <c r="Q6" s="426" t="s">
        <v>8</v>
      </c>
      <c r="R6" s="424"/>
      <c r="S6" s="427"/>
      <c r="T6" s="423" t="s">
        <v>9</v>
      </c>
      <c r="U6" s="424"/>
      <c r="V6" s="425"/>
      <c r="W6" s="426" t="s">
        <v>10</v>
      </c>
      <c r="X6" s="424"/>
      <c r="Y6" s="427"/>
      <c r="Z6" s="423" t="s">
        <v>11</v>
      </c>
      <c r="AA6" s="424"/>
      <c r="AB6" s="425"/>
      <c r="AC6" s="426" t="s">
        <v>12</v>
      </c>
      <c r="AD6" s="424"/>
      <c r="AE6" s="427"/>
      <c r="AF6" s="423" t="s">
        <v>13</v>
      </c>
      <c r="AG6" s="424"/>
      <c r="AH6" s="425"/>
      <c r="AI6" s="426" t="s">
        <v>14</v>
      </c>
      <c r="AJ6" s="424"/>
      <c r="AK6" s="427"/>
      <c r="AL6" s="423" t="s">
        <v>15</v>
      </c>
      <c r="AM6" s="424"/>
      <c r="AN6" s="425"/>
      <c r="AO6" s="426" t="s">
        <v>16</v>
      </c>
      <c r="AP6" s="424"/>
      <c r="AQ6" s="427"/>
      <c r="AR6" s="423" t="s">
        <v>17</v>
      </c>
      <c r="AS6" s="424"/>
      <c r="AT6" s="425"/>
      <c r="AU6" s="403" t="s">
        <v>18</v>
      </c>
      <c r="AV6" s="417"/>
      <c r="AW6" s="418"/>
      <c r="AX6" s="417" t="s">
        <v>19</v>
      </c>
      <c r="AY6" s="417"/>
      <c r="AZ6" s="417"/>
      <c r="BA6" s="403" t="s">
        <v>20</v>
      </c>
      <c r="BB6" s="417"/>
      <c r="BC6" s="418"/>
      <c r="BD6" s="417" t="s">
        <v>21</v>
      </c>
      <c r="BE6" s="417"/>
      <c r="BF6" s="417"/>
      <c r="BG6" s="403" t="s">
        <v>22</v>
      </c>
      <c r="BH6" s="417"/>
      <c r="BI6" s="418"/>
      <c r="BJ6" s="417" t="s">
        <v>23</v>
      </c>
      <c r="BK6" s="417"/>
      <c r="BL6" s="417"/>
      <c r="BM6" s="403" t="s">
        <v>24</v>
      </c>
      <c r="BN6" s="417"/>
      <c r="BO6" s="418"/>
      <c r="BP6" s="417" t="s">
        <v>25</v>
      </c>
      <c r="BQ6" s="417"/>
      <c r="BR6" s="417"/>
      <c r="BS6" s="403" t="s">
        <v>26</v>
      </c>
      <c r="BT6" s="417"/>
      <c r="BU6" s="418"/>
      <c r="BV6" s="417" t="s">
        <v>27</v>
      </c>
      <c r="BW6" s="417"/>
      <c r="BX6" s="417"/>
      <c r="BY6" s="403" t="s">
        <v>28</v>
      </c>
      <c r="BZ6" s="417"/>
      <c r="CA6" s="418"/>
      <c r="CB6" s="417" t="s">
        <v>29</v>
      </c>
      <c r="CC6" s="417"/>
      <c r="CD6" s="417"/>
      <c r="CE6" s="403" t="s">
        <v>30</v>
      </c>
      <c r="CF6" s="417"/>
      <c r="CG6" s="418"/>
      <c r="CH6" s="417" t="s">
        <v>31</v>
      </c>
      <c r="CI6" s="417"/>
      <c r="CJ6" s="417"/>
      <c r="CK6" s="403" t="s">
        <v>32</v>
      </c>
      <c r="CL6" s="417"/>
      <c r="CM6" s="418"/>
      <c r="CN6" s="417" t="s">
        <v>33</v>
      </c>
      <c r="CO6" s="417"/>
      <c r="CP6" s="417"/>
      <c r="CQ6" s="403" t="s">
        <v>34</v>
      </c>
      <c r="CR6" s="417"/>
      <c r="CS6" s="418"/>
      <c r="CT6" s="403" t="s">
        <v>35</v>
      </c>
      <c r="CU6" s="417"/>
      <c r="CV6" s="418"/>
      <c r="CW6" s="403" t="s">
        <v>36</v>
      </c>
      <c r="CX6" s="417"/>
      <c r="CY6" s="418"/>
      <c r="CZ6" s="403" t="s">
        <v>37</v>
      </c>
      <c r="DA6" s="417"/>
      <c r="DB6" s="418"/>
      <c r="DC6" s="429" t="s">
        <v>38</v>
      </c>
      <c r="DD6" s="422"/>
      <c r="DE6" s="428"/>
    </row>
    <row r="7" spans="1:109">
      <c r="A7" s="404"/>
      <c r="B7" s="360" t="s">
        <v>39</v>
      </c>
      <c r="C7" s="361" t="s">
        <v>40</v>
      </c>
      <c r="D7" s="362" t="s">
        <v>41</v>
      </c>
      <c r="E7" s="360" t="s">
        <v>39</v>
      </c>
      <c r="F7" s="361" t="s">
        <v>40</v>
      </c>
      <c r="G7" s="362" t="s">
        <v>41</v>
      </c>
      <c r="H7" s="363" t="s">
        <v>39</v>
      </c>
      <c r="I7" s="361" t="s">
        <v>40</v>
      </c>
      <c r="J7" s="371" t="s">
        <v>41</v>
      </c>
      <c r="K7" s="360" t="s">
        <v>39</v>
      </c>
      <c r="L7" s="361" t="s">
        <v>40</v>
      </c>
      <c r="M7" s="362" t="s">
        <v>41</v>
      </c>
      <c r="N7" s="363" t="s">
        <v>39</v>
      </c>
      <c r="O7" s="361" t="s">
        <v>40</v>
      </c>
      <c r="P7" s="371" t="s">
        <v>41</v>
      </c>
      <c r="Q7" s="360" t="s">
        <v>39</v>
      </c>
      <c r="R7" s="361" t="s">
        <v>40</v>
      </c>
      <c r="S7" s="362" t="s">
        <v>41</v>
      </c>
      <c r="T7" s="363" t="s">
        <v>39</v>
      </c>
      <c r="U7" s="361" t="s">
        <v>40</v>
      </c>
      <c r="V7" s="371" t="s">
        <v>41</v>
      </c>
      <c r="W7" s="360" t="s">
        <v>39</v>
      </c>
      <c r="X7" s="361" t="s">
        <v>40</v>
      </c>
      <c r="Y7" s="362" t="s">
        <v>41</v>
      </c>
      <c r="Z7" s="363" t="s">
        <v>39</v>
      </c>
      <c r="AA7" s="361" t="s">
        <v>40</v>
      </c>
      <c r="AB7" s="371" t="s">
        <v>41</v>
      </c>
      <c r="AC7" s="360" t="s">
        <v>39</v>
      </c>
      <c r="AD7" s="361" t="s">
        <v>40</v>
      </c>
      <c r="AE7" s="362" t="s">
        <v>41</v>
      </c>
      <c r="AF7" s="363" t="s">
        <v>39</v>
      </c>
      <c r="AG7" s="361" t="s">
        <v>40</v>
      </c>
      <c r="AH7" s="371" t="s">
        <v>41</v>
      </c>
      <c r="AI7" s="360" t="s">
        <v>39</v>
      </c>
      <c r="AJ7" s="361" t="s">
        <v>40</v>
      </c>
      <c r="AK7" s="362" t="s">
        <v>41</v>
      </c>
      <c r="AL7" s="363" t="s">
        <v>39</v>
      </c>
      <c r="AM7" s="361" t="s">
        <v>40</v>
      </c>
      <c r="AN7" s="371" t="s">
        <v>41</v>
      </c>
      <c r="AO7" s="360" t="s">
        <v>39</v>
      </c>
      <c r="AP7" s="361" t="s">
        <v>40</v>
      </c>
      <c r="AQ7" s="362" t="s">
        <v>41</v>
      </c>
      <c r="AR7" s="363" t="s">
        <v>39</v>
      </c>
      <c r="AS7" s="361" t="s">
        <v>40</v>
      </c>
      <c r="AT7" s="371" t="s">
        <v>41</v>
      </c>
      <c r="AU7" s="360" t="s">
        <v>39</v>
      </c>
      <c r="AV7" s="361" t="s">
        <v>40</v>
      </c>
      <c r="AW7" s="362" t="s">
        <v>41</v>
      </c>
      <c r="AX7" s="363" t="s">
        <v>39</v>
      </c>
      <c r="AY7" s="361" t="s">
        <v>40</v>
      </c>
      <c r="AZ7" s="371" t="s">
        <v>41</v>
      </c>
      <c r="BA7" s="360" t="s">
        <v>39</v>
      </c>
      <c r="BB7" s="361" t="s">
        <v>40</v>
      </c>
      <c r="BC7" s="362" t="s">
        <v>41</v>
      </c>
      <c r="BD7" s="363" t="s">
        <v>39</v>
      </c>
      <c r="BE7" s="361" t="s">
        <v>40</v>
      </c>
      <c r="BF7" s="371" t="s">
        <v>41</v>
      </c>
      <c r="BG7" s="360" t="s">
        <v>39</v>
      </c>
      <c r="BH7" s="361" t="s">
        <v>40</v>
      </c>
      <c r="BI7" s="362" t="s">
        <v>41</v>
      </c>
      <c r="BJ7" s="363" t="s">
        <v>39</v>
      </c>
      <c r="BK7" s="361" t="s">
        <v>40</v>
      </c>
      <c r="BL7" s="371" t="s">
        <v>41</v>
      </c>
      <c r="BM7" s="360" t="s">
        <v>39</v>
      </c>
      <c r="BN7" s="361" t="s">
        <v>40</v>
      </c>
      <c r="BO7" s="362" t="s">
        <v>41</v>
      </c>
      <c r="BP7" s="363" t="s">
        <v>39</v>
      </c>
      <c r="BQ7" s="361" t="s">
        <v>40</v>
      </c>
      <c r="BR7" s="371" t="s">
        <v>41</v>
      </c>
      <c r="BS7" s="360" t="s">
        <v>39</v>
      </c>
      <c r="BT7" s="361" t="s">
        <v>40</v>
      </c>
      <c r="BU7" s="362" t="s">
        <v>41</v>
      </c>
      <c r="BV7" s="363" t="s">
        <v>39</v>
      </c>
      <c r="BW7" s="361" t="s">
        <v>40</v>
      </c>
      <c r="BX7" s="371" t="s">
        <v>41</v>
      </c>
      <c r="BY7" s="360" t="s">
        <v>39</v>
      </c>
      <c r="BZ7" s="361" t="s">
        <v>40</v>
      </c>
      <c r="CA7" s="362" t="s">
        <v>41</v>
      </c>
      <c r="CB7" s="363" t="s">
        <v>39</v>
      </c>
      <c r="CC7" s="361" t="s">
        <v>40</v>
      </c>
      <c r="CD7" s="371" t="s">
        <v>41</v>
      </c>
      <c r="CE7" s="360" t="s">
        <v>39</v>
      </c>
      <c r="CF7" s="361" t="s">
        <v>40</v>
      </c>
      <c r="CG7" s="362" t="s">
        <v>41</v>
      </c>
      <c r="CH7" s="363" t="s">
        <v>39</v>
      </c>
      <c r="CI7" s="361" t="s">
        <v>40</v>
      </c>
      <c r="CJ7" s="371" t="s">
        <v>41</v>
      </c>
      <c r="CK7" s="375" t="s">
        <v>39</v>
      </c>
      <c r="CL7" s="376" t="s">
        <v>40</v>
      </c>
      <c r="CM7" s="377" t="s">
        <v>41</v>
      </c>
      <c r="CN7" s="363" t="s">
        <v>39</v>
      </c>
      <c r="CO7" s="361" t="s">
        <v>40</v>
      </c>
      <c r="CP7" s="371" t="s">
        <v>41</v>
      </c>
      <c r="CQ7" s="360" t="s">
        <v>39</v>
      </c>
      <c r="CR7" s="361" t="s">
        <v>40</v>
      </c>
      <c r="CS7" s="362" t="s">
        <v>41</v>
      </c>
      <c r="CT7" s="360" t="s">
        <v>39</v>
      </c>
      <c r="CU7" s="361" t="s">
        <v>40</v>
      </c>
      <c r="CV7" s="362" t="s">
        <v>41</v>
      </c>
      <c r="CW7" s="360" t="s">
        <v>39</v>
      </c>
      <c r="CX7" s="361" t="s">
        <v>40</v>
      </c>
      <c r="CY7" s="362" t="s">
        <v>41</v>
      </c>
      <c r="CZ7" s="360" t="s">
        <v>39</v>
      </c>
      <c r="DA7" s="361" t="s">
        <v>40</v>
      </c>
      <c r="DB7" s="362" t="s">
        <v>41</v>
      </c>
      <c r="DC7" s="378" t="s">
        <v>39</v>
      </c>
      <c r="DD7" s="379" t="s">
        <v>40</v>
      </c>
      <c r="DE7" s="379" t="s">
        <v>41</v>
      </c>
    </row>
    <row r="8" spans="1:109">
      <c r="A8" s="240">
        <v>1</v>
      </c>
      <c r="B8" s="241"/>
      <c r="C8" s="43"/>
      <c r="D8" s="289"/>
      <c r="E8" s="302"/>
      <c r="F8" s="294"/>
      <c r="G8" s="301"/>
      <c r="H8" s="293"/>
      <c r="I8" s="294"/>
      <c r="J8" s="295"/>
      <c r="K8" s="302"/>
      <c r="L8" s="294"/>
      <c r="M8" s="301"/>
      <c r="N8" s="293"/>
      <c r="O8" s="294"/>
      <c r="P8" s="295"/>
      <c r="Q8" s="302"/>
      <c r="R8" s="294"/>
      <c r="S8" s="301"/>
      <c r="T8" s="293"/>
      <c r="U8" s="294"/>
      <c r="V8" s="295"/>
      <c r="W8" s="302"/>
      <c r="X8" s="294"/>
      <c r="Y8" s="301"/>
      <c r="Z8" s="293"/>
      <c r="AA8" s="294"/>
      <c r="AB8" s="295"/>
      <c r="AC8" s="302"/>
      <c r="AD8" s="294"/>
      <c r="AE8" s="301"/>
      <c r="AF8" s="293"/>
      <c r="AG8" s="294"/>
      <c r="AH8" s="295"/>
      <c r="AI8" s="302"/>
      <c r="AJ8" s="294"/>
      <c r="AK8" s="301"/>
      <c r="AL8" s="293"/>
      <c r="AM8" s="294"/>
      <c r="AN8" s="295"/>
      <c r="AO8" s="302"/>
      <c r="AP8" s="294"/>
      <c r="AQ8" s="301"/>
      <c r="AR8" s="293"/>
      <c r="AS8" s="294"/>
      <c r="AT8" s="295"/>
      <c r="AU8" s="302"/>
      <c r="AV8" s="294"/>
      <c r="AW8" s="301"/>
      <c r="AX8" s="293"/>
      <c r="AY8" s="294"/>
      <c r="AZ8" s="295"/>
      <c r="BA8" s="302"/>
      <c r="BB8" s="294"/>
      <c r="BC8" s="301"/>
      <c r="BD8" s="293"/>
      <c r="BE8" s="294"/>
      <c r="BF8" s="295"/>
      <c r="BG8" s="302"/>
      <c r="BH8" s="294"/>
      <c r="BI8" s="301"/>
      <c r="BJ8" s="293"/>
      <c r="BK8" s="294"/>
      <c r="BL8" s="295"/>
      <c r="BM8" s="302"/>
      <c r="BN8" s="294"/>
      <c r="BO8" s="301"/>
      <c r="BP8" s="293"/>
      <c r="BQ8" s="294"/>
      <c r="BR8" s="295"/>
      <c r="BS8" s="302"/>
      <c r="BT8" s="294"/>
      <c r="BU8" s="301"/>
      <c r="BV8" s="293"/>
      <c r="BW8" s="294"/>
      <c r="BX8" s="295"/>
      <c r="BY8" s="302"/>
      <c r="BZ8" s="294"/>
      <c r="CA8" s="301"/>
      <c r="CB8" s="293"/>
      <c r="CC8" s="294"/>
      <c r="CD8" s="295"/>
      <c r="CE8" s="302"/>
      <c r="CF8" s="294"/>
      <c r="CG8" s="301"/>
      <c r="CH8" s="293"/>
      <c r="CI8" s="294"/>
      <c r="CJ8" s="295"/>
      <c r="CK8" s="302"/>
      <c r="CL8" s="294"/>
      <c r="CM8" s="301"/>
      <c r="CN8" s="293"/>
      <c r="CO8" s="294"/>
      <c r="CP8" s="295"/>
      <c r="CQ8" s="302"/>
      <c r="CR8" s="294"/>
      <c r="CS8" s="301"/>
      <c r="CT8" s="302"/>
      <c r="CU8" s="294"/>
      <c r="CV8" s="301"/>
      <c r="CW8" s="302"/>
      <c r="CX8" s="294"/>
      <c r="CY8" s="301"/>
      <c r="CZ8" s="302"/>
      <c r="DA8" s="294"/>
      <c r="DB8" s="301"/>
      <c r="DC8" s="380">
        <f>+B8+E8+H8+K8+N8+Q8+T8+W8+Z8+AC8+AF8+AI8+AL8+AO8+AR8+AU8+AX8+BA8+BD8+BG8+BJ8+BM8+BP8+BS8+BV8+BY8+CB8+CE8+CH8+CK8+CN8+CZ8+CQ8+CT8+CW8</f>
        <v>0</v>
      </c>
      <c r="DD8" s="381">
        <f>+C8+F8+I8+L8+O8+R8+U8+X8+AA8+AD8+AG8+AJ8+AM8+AP8+AS8+AV8+AY8+BB8+BE8+BH8+BK8+BN8+BQ8+BT8+BW8+BZ8+CC8+CF8+CI8+CL8+CO8+DA8+CR8+CU8+CX8</f>
        <v>0</v>
      </c>
      <c r="DE8" s="381">
        <f>+D8+G8+J8+M8+P8+S8+V8+Y8+AE8+AH8+AK8+AQ8+AT8+AW8+AZ8+BC8+BF8+BI8+BL8+BO8+BR8+BU8+BX8+CA8+CD8+CG8+CJ8+CM8+CP8+DB8+AB8+AN8+CS8+CV8+CY8</f>
        <v>0</v>
      </c>
    </row>
    <row r="9" spans="1:109">
      <c r="A9" s="240">
        <v>2</v>
      </c>
      <c r="B9" s="241"/>
      <c r="C9" s="43"/>
      <c r="D9" s="289"/>
      <c r="E9" s="302"/>
      <c r="F9" s="294"/>
      <c r="G9" s="301"/>
      <c r="H9" s="293"/>
      <c r="I9" s="294"/>
      <c r="J9" s="295"/>
      <c r="K9" s="302"/>
      <c r="L9" s="294"/>
      <c r="M9" s="301"/>
      <c r="N9" s="293"/>
      <c r="O9" s="294"/>
      <c r="P9" s="295"/>
      <c r="Q9" s="302"/>
      <c r="R9" s="294"/>
      <c r="S9" s="301"/>
      <c r="T9" s="293"/>
      <c r="U9" s="294"/>
      <c r="V9" s="295"/>
      <c r="W9" s="302"/>
      <c r="X9" s="294"/>
      <c r="Y9" s="301"/>
      <c r="Z9" s="293"/>
      <c r="AA9" s="294"/>
      <c r="AB9" s="295"/>
      <c r="AC9" s="302"/>
      <c r="AD9" s="294"/>
      <c r="AE9" s="301"/>
      <c r="AF9" s="293"/>
      <c r="AG9" s="294"/>
      <c r="AH9" s="295"/>
      <c r="AI9" s="302"/>
      <c r="AJ9" s="294"/>
      <c r="AK9" s="301"/>
      <c r="AL9" s="293"/>
      <c r="AM9" s="294"/>
      <c r="AN9" s="295"/>
      <c r="AO9" s="302"/>
      <c r="AP9" s="294"/>
      <c r="AQ9" s="301"/>
      <c r="AR9" s="293"/>
      <c r="AS9" s="294"/>
      <c r="AT9" s="295"/>
      <c r="AU9" s="302"/>
      <c r="AV9" s="294"/>
      <c r="AW9" s="301"/>
      <c r="AX9" s="293"/>
      <c r="AY9" s="294"/>
      <c r="AZ9" s="295"/>
      <c r="BA9" s="302"/>
      <c r="BB9" s="294"/>
      <c r="BC9" s="301"/>
      <c r="BD9" s="293"/>
      <c r="BE9" s="294"/>
      <c r="BF9" s="295"/>
      <c r="BG9" s="302"/>
      <c r="BH9" s="294"/>
      <c r="BI9" s="301"/>
      <c r="BJ9" s="293"/>
      <c r="BK9" s="294"/>
      <c r="BL9" s="295"/>
      <c r="BM9" s="302"/>
      <c r="BN9" s="294"/>
      <c r="BO9" s="301"/>
      <c r="BP9" s="293"/>
      <c r="BQ9" s="294"/>
      <c r="BR9" s="295"/>
      <c r="BS9" s="302"/>
      <c r="BT9" s="294"/>
      <c r="BU9" s="301"/>
      <c r="BV9" s="293"/>
      <c r="BW9" s="294"/>
      <c r="BX9" s="295"/>
      <c r="BY9" s="302"/>
      <c r="BZ9" s="294"/>
      <c r="CA9" s="301"/>
      <c r="CB9" s="293"/>
      <c r="CC9" s="294"/>
      <c r="CD9" s="295"/>
      <c r="CE9" s="302"/>
      <c r="CF9" s="294"/>
      <c r="CG9" s="301"/>
      <c r="CH9" s="293"/>
      <c r="CI9" s="294"/>
      <c r="CJ9" s="295"/>
      <c r="CK9" s="302"/>
      <c r="CL9" s="294"/>
      <c r="CM9" s="301"/>
      <c r="CN9" s="293"/>
      <c r="CO9" s="294"/>
      <c r="CP9" s="295"/>
      <c r="CQ9" s="302"/>
      <c r="CR9" s="294"/>
      <c r="CS9" s="301"/>
      <c r="CT9" s="302"/>
      <c r="CU9" s="294"/>
      <c r="CV9" s="301"/>
      <c r="CW9" s="302"/>
      <c r="CX9" s="294"/>
      <c r="CY9" s="301"/>
      <c r="CZ9" s="302"/>
      <c r="DA9" s="294"/>
      <c r="DB9" s="301"/>
      <c r="DC9" s="380">
        <f t="shared" ref="DC9:DC38" si="0">+B9+E9+H9+K9+N9+Q9+T9+W9+Z9+AC9+AF9+AI9+AL9+AO9+AR9+AU9+AX9+BA9+BD9+BG9+BJ9+BM9+BP9+BS9+BV9+BY9+CB9+CE9+CH9+CK9+CN9+CZ9+CQ9+CT9+CW9</f>
        <v>0</v>
      </c>
      <c r="DD9" s="381">
        <f t="shared" ref="DD9:DD38" si="1">+C9+F9+I9+L9+O9+R9+U9+X9+AA9+AD9+AG9+AJ9+AM9+AP9+AS9+AV9+AY9+BB9+BE9+BH9+BK9+BN9+BQ9+BT9+BW9+BZ9+CC9+CF9+CI9+CL9+CO9+DA9+CR9+CU9+CX9</f>
        <v>0</v>
      </c>
      <c r="DE9" s="381">
        <f t="shared" ref="DE9:DE38" si="2">+D9+G9+J9+M9+P9+S9+V9+Y9+AE9+AH9+AK9+AQ9+AT9+AW9+AZ9+BC9+BF9+BI9+BL9+BO9+BR9+BU9+BX9+CA9+CD9+CG9+CJ9+CM9+CP9+DB9+AB9+AN9+CS9+CV9+CY9</f>
        <v>0</v>
      </c>
    </row>
    <row r="10" spans="1:109">
      <c r="A10" s="240">
        <v>3</v>
      </c>
      <c r="B10" s="241"/>
      <c r="C10" s="43"/>
      <c r="D10" s="289"/>
      <c r="E10" s="302"/>
      <c r="F10" s="294"/>
      <c r="G10" s="301"/>
      <c r="H10" s="293"/>
      <c r="I10" s="294"/>
      <c r="J10" s="295"/>
      <c r="K10" s="302"/>
      <c r="L10" s="294"/>
      <c r="M10" s="301"/>
      <c r="N10" s="293"/>
      <c r="O10" s="294"/>
      <c r="P10" s="295"/>
      <c r="Q10" s="302"/>
      <c r="R10" s="294"/>
      <c r="S10" s="301"/>
      <c r="T10" s="293"/>
      <c r="U10" s="294"/>
      <c r="V10" s="295"/>
      <c r="W10" s="302"/>
      <c r="X10" s="294"/>
      <c r="Y10" s="301"/>
      <c r="Z10" s="293"/>
      <c r="AA10" s="294"/>
      <c r="AB10" s="295"/>
      <c r="AC10" s="302"/>
      <c r="AD10" s="294"/>
      <c r="AE10" s="301"/>
      <c r="AF10" s="293"/>
      <c r="AG10" s="294"/>
      <c r="AH10" s="295"/>
      <c r="AI10" s="302"/>
      <c r="AJ10" s="294"/>
      <c r="AK10" s="301"/>
      <c r="AL10" s="293"/>
      <c r="AM10" s="294"/>
      <c r="AN10" s="295"/>
      <c r="AO10" s="302"/>
      <c r="AP10" s="294"/>
      <c r="AQ10" s="301"/>
      <c r="AR10" s="293"/>
      <c r="AS10" s="294"/>
      <c r="AT10" s="295"/>
      <c r="AU10" s="302"/>
      <c r="AV10" s="294"/>
      <c r="AW10" s="301"/>
      <c r="AX10" s="293"/>
      <c r="AY10" s="294"/>
      <c r="AZ10" s="295"/>
      <c r="BA10" s="302"/>
      <c r="BB10" s="294"/>
      <c r="BC10" s="301"/>
      <c r="BD10" s="293"/>
      <c r="BE10" s="294"/>
      <c r="BF10" s="295"/>
      <c r="BG10" s="302"/>
      <c r="BH10" s="294"/>
      <c r="BI10" s="301"/>
      <c r="BJ10" s="293"/>
      <c r="BK10" s="294"/>
      <c r="BL10" s="295"/>
      <c r="BM10" s="302"/>
      <c r="BN10" s="294"/>
      <c r="BO10" s="301"/>
      <c r="BP10" s="293"/>
      <c r="BQ10" s="294"/>
      <c r="BR10" s="295"/>
      <c r="BS10" s="302"/>
      <c r="BT10" s="294"/>
      <c r="BU10" s="301"/>
      <c r="BV10" s="293"/>
      <c r="BW10" s="294"/>
      <c r="BX10" s="295"/>
      <c r="BY10" s="302"/>
      <c r="BZ10" s="294"/>
      <c r="CA10" s="301"/>
      <c r="CB10" s="293"/>
      <c r="CC10" s="294"/>
      <c r="CD10" s="295"/>
      <c r="CE10" s="302"/>
      <c r="CF10" s="294"/>
      <c r="CG10" s="301"/>
      <c r="CH10" s="293"/>
      <c r="CI10" s="294"/>
      <c r="CJ10" s="295"/>
      <c r="CK10" s="302"/>
      <c r="CL10" s="294"/>
      <c r="CM10" s="301"/>
      <c r="CN10" s="293"/>
      <c r="CO10" s="294"/>
      <c r="CP10" s="295"/>
      <c r="CQ10" s="302"/>
      <c r="CR10" s="294"/>
      <c r="CS10" s="301"/>
      <c r="CT10" s="302"/>
      <c r="CU10" s="294"/>
      <c r="CV10" s="301"/>
      <c r="CW10" s="302"/>
      <c r="CX10" s="294"/>
      <c r="CY10" s="301"/>
      <c r="CZ10" s="302"/>
      <c r="DA10" s="294"/>
      <c r="DB10" s="301"/>
      <c r="DC10" s="380">
        <f t="shared" si="0"/>
        <v>0</v>
      </c>
      <c r="DD10" s="381">
        <f t="shared" si="1"/>
        <v>0</v>
      </c>
      <c r="DE10" s="381">
        <f t="shared" si="2"/>
        <v>0</v>
      </c>
    </row>
    <row r="11" spans="1:109">
      <c r="A11" s="240">
        <v>4</v>
      </c>
      <c r="B11" s="241"/>
      <c r="C11" s="43"/>
      <c r="D11" s="289"/>
      <c r="E11" s="302"/>
      <c r="F11" s="294"/>
      <c r="G11" s="301"/>
      <c r="H11" s="293"/>
      <c r="I11" s="294"/>
      <c r="J11" s="295"/>
      <c r="K11" s="302"/>
      <c r="L11" s="294"/>
      <c r="M11" s="301"/>
      <c r="N11" s="293"/>
      <c r="O11" s="294"/>
      <c r="P11" s="295"/>
      <c r="Q11" s="302"/>
      <c r="R11" s="294"/>
      <c r="S11" s="301"/>
      <c r="T11" s="293"/>
      <c r="U11" s="294"/>
      <c r="V11" s="295"/>
      <c r="W11" s="302"/>
      <c r="X11" s="294"/>
      <c r="Y11" s="301"/>
      <c r="Z11" s="293"/>
      <c r="AA11" s="294"/>
      <c r="AB11" s="295"/>
      <c r="AC11" s="302"/>
      <c r="AD11" s="294"/>
      <c r="AE11" s="301"/>
      <c r="AF11" s="293"/>
      <c r="AG11" s="294"/>
      <c r="AH11" s="295"/>
      <c r="AI11" s="302"/>
      <c r="AJ11" s="294"/>
      <c r="AK11" s="301"/>
      <c r="AL11" s="293"/>
      <c r="AM11" s="294"/>
      <c r="AN11" s="295"/>
      <c r="AO11" s="302"/>
      <c r="AP11" s="294"/>
      <c r="AQ11" s="301"/>
      <c r="AR11" s="293"/>
      <c r="AS11" s="294"/>
      <c r="AT11" s="295"/>
      <c r="AU11" s="302"/>
      <c r="AV11" s="294"/>
      <c r="AW11" s="301"/>
      <c r="AX11" s="293"/>
      <c r="AY11" s="294"/>
      <c r="AZ11" s="295"/>
      <c r="BA11" s="302"/>
      <c r="BB11" s="294"/>
      <c r="BC11" s="301"/>
      <c r="BD11" s="293"/>
      <c r="BE11" s="294"/>
      <c r="BF11" s="295"/>
      <c r="BG11" s="302"/>
      <c r="BH11" s="294"/>
      <c r="BI11" s="301"/>
      <c r="BJ11" s="293"/>
      <c r="BK11" s="294"/>
      <c r="BL11" s="295"/>
      <c r="BM11" s="302"/>
      <c r="BN11" s="294"/>
      <c r="BO11" s="301"/>
      <c r="BP11" s="293"/>
      <c r="BQ11" s="294"/>
      <c r="BR11" s="295"/>
      <c r="BS11" s="302"/>
      <c r="BT11" s="294"/>
      <c r="BU11" s="301"/>
      <c r="BV11" s="293"/>
      <c r="BW11" s="294"/>
      <c r="BX11" s="295"/>
      <c r="BY11" s="302"/>
      <c r="BZ11" s="294"/>
      <c r="CA11" s="301"/>
      <c r="CB11" s="293"/>
      <c r="CC11" s="294"/>
      <c r="CD11" s="295"/>
      <c r="CE11" s="302"/>
      <c r="CF11" s="294"/>
      <c r="CG11" s="301"/>
      <c r="CH11" s="293"/>
      <c r="CI11" s="294"/>
      <c r="CJ11" s="295"/>
      <c r="CK11" s="302"/>
      <c r="CL11" s="294"/>
      <c r="CM11" s="301"/>
      <c r="CN11" s="293"/>
      <c r="CO11" s="294"/>
      <c r="CP11" s="295"/>
      <c r="CQ11" s="302"/>
      <c r="CR11" s="294"/>
      <c r="CS11" s="301"/>
      <c r="CT11" s="302"/>
      <c r="CU11" s="294"/>
      <c r="CV11" s="301"/>
      <c r="CW11" s="302"/>
      <c r="CX11" s="294"/>
      <c r="CY11" s="301"/>
      <c r="CZ11" s="302"/>
      <c r="DA11" s="294"/>
      <c r="DB11" s="301"/>
      <c r="DC11" s="380">
        <f t="shared" si="0"/>
        <v>0</v>
      </c>
      <c r="DD11" s="381">
        <f t="shared" si="1"/>
        <v>0</v>
      </c>
      <c r="DE11" s="381">
        <f t="shared" si="2"/>
        <v>0</v>
      </c>
    </row>
    <row r="12" spans="1:109">
      <c r="A12" s="240">
        <v>5</v>
      </c>
      <c r="B12" s="241"/>
      <c r="C12" s="43"/>
      <c r="D12" s="289"/>
      <c r="E12" s="302"/>
      <c r="F12" s="294"/>
      <c r="G12" s="301"/>
      <c r="H12" s="293"/>
      <c r="I12" s="294"/>
      <c r="J12" s="295"/>
      <c r="K12" s="302"/>
      <c r="L12" s="294"/>
      <c r="M12" s="301"/>
      <c r="N12" s="293"/>
      <c r="O12" s="294"/>
      <c r="P12" s="295"/>
      <c r="Q12" s="302"/>
      <c r="R12" s="294"/>
      <c r="S12" s="301"/>
      <c r="T12" s="293"/>
      <c r="U12" s="294"/>
      <c r="V12" s="295"/>
      <c r="W12" s="302"/>
      <c r="X12" s="294"/>
      <c r="Y12" s="301"/>
      <c r="Z12" s="293"/>
      <c r="AA12" s="294"/>
      <c r="AB12" s="295"/>
      <c r="AC12" s="302"/>
      <c r="AD12" s="294"/>
      <c r="AE12" s="301"/>
      <c r="AF12" s="293"/>
      <c r="AG12" s="294"/>
      <c r="AH12" s="295"/>
      <c r="AI12" s="302"/>
      <c r="AJ12" s="294"/>
      <c r="AK12" s="301"/>
      <c r="AL12" s="293"/>
      <c r="AM12" s="294"/>
      <c r="AN12" s="295"/>
      <c r="AO12" s="302"/>
      <c r="AP12" s="294"/>
      <c r="AQ12" s="301"/>
      <c r="AR12" s="293"/>
      <c r="AS12" s="294"/>
      <c r="AT12" s="295"/>
      <c r="AU12" s="302"/>
      <c r="AV12" s="294"/>
      <c r="AW12" s="301"/>
      <c r="AX12" s="293"/>
      <c r="AY12" s="294"/>
      <c r="AZ12" s="295"/>
      <c r="BA12" s="302"/>
      <c r="BB12" s="294"/>
      <c r="BC12" s="301"/>
      <c r="BD12" s="293"/>
      <c r="BE12" s="294"/>
      <c r="BF12" s="295"/>
      <c r="BG12" s="302"/>
      <c r="BH12" s="294"/>
      <c r="BI12" s="301"/>
      <c r="BJ12" s="293"/>
      <c r="BK12" s="294"/>
      <c r="BL12" s="295"/>
      <c r="BM12" s="302"/>
      <c r="BN12" s="294"/>
      <c r="BO12" s="301"/>
      <c r="BP12" s="293"/>
      <c r="BQ12" s="294"/>
      <c r="BR12" s="295"/>
      <c r="BS12" s="302"/>
      <c r="BT12" s="294"/>
      <c r="BU12" s="301"/>
      <c r="BV12" s="293"/>
      <c r="BW12" s="294"/>
      <c r="BX12" s="295"/>
      <c r="BY12" s="302"/>
      <c r="BZ12" s="294"/>
      <c r="CA12" s="301"/>
      <c r="CB12" s="293"/>
      <c r="CC12" s="294"/>
      <c r="CD12" s="295"/>
      <c r="CE12" s="302"/>
      <c r="CF12" s="294"/>
      <c r="CG12" s="301"/>
      <c r="CH12" s="293"/>
      <c r="CI12" s="294"/>
      <c r="CJ12" s="295"/>
      <c r="CK12" s="302"/>
      <c r="CL12" s="294"/>
      <c r="CM12" s="301"/>
      <c r="CN12" s="293"/>
      <c r="CO12" s="294"/>
      <c r="CP12" s="295"/>
      <c r="CQ12" s="302"/>
      <c r="CR12" s="294"/>
      <c r="CS12" s="301"/>
      <c r="CT12" s="302"/>
      <c r="CU12" s="294"/>
      <c r="CV12" s="301"/>
      <c r="CW12" s="302"/>
      <c r="CX12" s="294"/>
      <c r="CY12" s="301"/>
      <c r="CZ12" s="302"/>
      <c r="DA12" s="294"/>
      <c r="DB12" s="301"/>
      <c r="DC12" s="380">
        <f t="shared" si="0"/>
        <v>0</v>
      </c>
      <c r="DD12" s="381">
        <f t="shared" si="1"/>
        <v>0</v>
      </c>
      <c r="DE12" s="381">
        <f t="shared" si="2"/>
        <v>0</v>
      </c>
    </row>
    <row r="13" spans="1:109">
      <c r="A13" s="240">
        <v>6</v>
      </c>
      <c r="B13" s="241"/>
      <c r="C13" s="43"/>
      <c r="D13" s="289"/>
      <c r="E13" s="302"/>
      <c r="F13" s="294"/>
      <c r="G13" s="301"/>
      <c r="H13" s="281"/>
      <c r="I13" s="43"/>
      <c r="J13" s="295"/>
      <c r="K13" s="302"/>
      <c r="L13" s="294"/>
      <c r="M13" s="301"/>
      <c r="N13" s="293"/>
      <c r="O13" s="294"/>
      <c r="P13" s="295"/>
      <c r="Q13" s="302"/>
      <c r="R13" s="294"/>
      <c r="S13" s="301"/>
      <c r="T13" s="293"/>
      <c r="U13" s="294"/>
      <c r="V13" s="295"/>
      <c r="W13" s="302"/>
      <c r="X13" s="294"/>
      <c r="Y13" s="301"/>
      <c r="Z13" s="293"/>
      <c r="AA13" s="294"/>
      <c r="AB13" s="295"/>
      <c r="AC13" s="302"/>
      <c r="AD13" s="294"/>
      <c r="AE13" s="301"/>
      <c r="AF13" s="293"/>
      <c r="AG13" s="294"/>
      <c r="AH13" s="295"/>
      <c r="AI13" s="302"/>
      <c r="AJ13" s="294"/>
      <c r="AK13" s="301"/>
      <c r="AL13" s="293"/>
      <c r="AM13" s="294"/>
      <c r="AN13" s="295"/>
      <c r="AO13" s="302"/>
      <c r="AP13" s="294"/>
      <c r="AQ13" s="301"/>
      <c r="AR13" s="293"/>
      <c r="AS13" s="294"/>
      <c r="AT13" s="295"/>
      <c r="AU13" s="302"/>
      <c r="AV13" s="294"/>
      <c r="AW13" s="301"/>
      <c r="AX13" s="293"/>
      <c r="AY13" s="294"/>
      <c r="AZ13" s="295"/>
      <c r="BA13" s="302"/>
      <c r="BB13" s="294"/>
      <c r="BC13" s="301"/>
      <c r="BD13" s="293"/>
      <c r="BE13" s="294"/>
      <c r="BF13" s="295"/>
      <c r="BG13" s="302"/>
      <c r="BH13" s="294"/>
      <c r="BI13" s="301"/>
      <c r="BJ13" s="293"/>
      <c r="BK13" s="294"/>
      <c r="BL13" s="295"/>
      <c r="BM13" s="302"/>
      <c r="BN13" s="294"/>
      <c r="BO13" s="301"/>
      <c r="BP13" s="293"/>
      <c r="BQ13" s="294"/>
      <c r="BR13" s="295"/>
      <c r="BS13" s="302"/>
      <c r="BT13" s="294"/>
      <c r="BU13" s="301"/>
      <c r="BV13" s="293"/>
      <c r="BW13" s="294"/>
      <c r="BX13" s="295"/>
      <c r="BY13" s="302"/>
      <c r="BZ13" s="294"/>
      <c r="CA13" s="301"/>
      <c r="CB13" s="293"/>
      <c r="CC13" s="294"/>
      <c r="CD13" s="295"/>
      <c r="CE13" s="302"/>
      <c r="CF13" s="294"/>
      <c r="CG13" s="301"/>
      <c r="CH13" s="293"/>
      <c r="CI13" s="294"/>
      <c r="CJ13" s="295"/>
      <c r="CK13" s="302"/>
      <c r="CL13" s="294"/>
      <c r="CM13" s="301"/>
      <c r="CN13" s="293"/>
      <c r="CO13" s="294"/>
      <c r="CP13" s="295"/>
      <c r="CQ13" s="302"/>
      <c r="CR13" s="294"/>
      <c r="CS13" s="301"/>
      <c r="CT13" s="302"/>
      <c r="CU13" s="294"/>
      <c r="CV13" s="301"/>
      <c r="CW13" s="302"/>
      <c r="CX13" s="294"/>
      <c r="CY13" s="301"/>
      <c r="CZ13" s="302"/>
      <c r="DA13" s="294"/>
      <c r="DB13" s="301"/>
      <c r="DC13" s="380">
        <f t="shared" si="0"/>
        <v>0</v>
      </c>
      <c r="DD13" s="381">
        <f t="shared" si="1"/>
        <v>0</v>
      </c>
      <c r="DE13" s="381">
        <f t="shared" si="2"/>
        <v>0</v>
      </c>
    </row>
    <row r="14" spans="1:109" s="1" customFormat="1">
      <c r="A14" s="245">
        <v>7</v>
      </c>
      <c r="B14" s="241"/>
      <c r="C14" s="43"/>
      <c r="D14" s="289"/>
      <c r="E14" s="302"/>
      <c r="F14" s="294"/>
      <c r="G14" s="301"/>
      <c r="H14" s="293"/>
      <c r="I14" s="294"/>
      <c r="J14" s="295"/>
      <c r="K14" s="302"/>
      <c r="L14" s="294"/>
      <c r="M14" s="301"/>
      <c r="N14" s="293"/>
      <c r="O14" s="294"/>
      <c r="P14" s="295"/>
      <c r="Q14" s="302"/>
      <c r="R14" s="294"/>
      <c r="S14" s="301"/>
      <c r="T14" s="293"/>
      <c r="U14" s="294"/>
      <c r="V14" s="295"/>
      <c r="W14" s="302"/>
      <c r="X14" s="294"/>
      <c r="Y14" s="301"/>
      <c r="Z14" s="293"/>
      <c r="AA14" s="294"/>
      <c r="AB14" s="295"/>
      <c r="AC14" s="302"/>
      <c r="AD14" s="294"/>
      <c r="AE14" s="301"/>
      <c r="AF14" s="293"/>
      <c r="AG14" s="294"/>
      <c r="AH14" s="295"/>
      <c r="AI14" s="302"/>
      <c r="AJ14" s="294"/>
      <c r="AK14" s="301"/>
      <c r="AL14" s="293"/>
      <c r="AM14" s="294"/>
      <c r="AN14" s="295"/>
      <c r="AO14" s="302"/>
      <c r="AP14" s="294"/>
      <c r="AQ14" s="301"/>
      <c r="AR14" s="293"/>
      <c r="AS14" s="294"/>
      <c r="AT14" s="295"/>
      <c r="AU14" s="302"/>
      <c r="AV14" s="294"/>
      <c r="AW14" s="301"/>
      <c r="AX14" s="293"/>
      <c r="AY14" s="294"/>
      <c r="AZ14" s="295"/>
      <c r="BA14" s="302"/>
      <c r="BB14" s="294"/>
      <c r="BC14" s="301"/>
      <c r="BD14" s="293"/>
      <c r="BE14" s="294"/>
      <c r="BF14" s="295"/>
      <c r="BG14" s="302"/>
      <c r="BH14" s="294"/>
      <c r="BI14" s="301"/>
      <c r="BJ14" s="293"/>
      <c r="BK14" s="294"/>
      <c r="BL14" s="295"/>
      <c r="BM14" s="302"/>
      <c r="BN14" s="294"/>
      <c r="BO14" s="301"/>
      <c r="BP14" s="293"/>
      <c r="BQ14" s="294"/>
      <c r="BR14" s="295"/>
      <c r="BS14" s="302"/>
      <c r="BT14" s="294"/>
      <c r="BU14" s="301"/>
      <c r="BV14" s="293"/>
      <c r="BW14" s="294"/>
      <c r="BX14" s="295"/>
      <c r="BY14" s="302"/>
      <c r="BZ14" s="294"/>
      <c r="CA14" s="301"/>
      <c r="CB14" s="293"/>
      <c r="CC14" s="294"/>
      <c r="CD14" s="295"/>
      <c r="CE14" s="302"/>
      <c r="CF14" s="294"/>
      <c r="CG14" s="301"/>
      <c r="CH14" s="293"/>
      <c r="CI14" s="294"/>
      <c r="CJ14" s="295"/>
      <c r="CK14" s="302"/>
      <c r="CL14" s="294"/>
      <c r="CM14" s="301"/>
      <c r="CN14" s="293"/>
      <c r="CO14" s="294"/>
      <c r="CP14" s="295"/>
      <c r="CQ14" s="302"/>
      <c r="CR14" s="294"/>
      <c r="CS14" s="301"/>
      <c r="CT14" s="302"/>
      <c r="CU14" s="294"/>
      <c r="CV14" s="301"/>
      <c r="CW14" s="302"/>
      <c r="CX14" s="294"/>
      <c r="CY14" s="301"/>
      <c r="CZ14" s="302"/>
      <c r="DA14" s="294"/>
      <c r="DB14" s="301"/>
      <c r="DC14" s="380">
        <f t="shared" si="0"/>
        <v>0</v>
      </c>
      <c r="DD14" s="381">
        <f t="shared" si="1"/>
        <v>0</v>
      </c>
      <c r="DE14" s="381">
        <f t="shared" si="2"/>
        <v>0</v>
      </c>
    </row>
    <row r="15" spans="1:109">
      <c r="A15" s="240">
        <v>8</v>
      </c>
      <c r="B15" s="241"/>
      <c r="C15" s="43"/>
      <c r="D15" s="289"/>
      <c r="E15" s="302"/>
      <c r="F15" s="294"/>
      <c r="G15" s="301"/>
      <c r="H15" s="293"/>
      <c r="I15" s="294"/>
      <c r="J15" s="295"/>
      <c r="K15" s="302"/>
      <c r="L15" s="294"/>
      <c r="M15" s="301"/>
      <c r="N15" s="293"/>
      <c r="O15" s="294"/>
      <c r="P15" s="295"/>
      <c r="Q15" s="302"/>
      <c r="R15" s="294"/>
      <c r="S15" s="301"/>
      <c r="T15" s="293"/>
      <c r="U15" s="294"/>
      <c r="V15" s="295"/>
      <c r="W15" s="302"/>
      <c r="X15" s="294"/>
      <c r="Y15" s="301"/>
      <c r="Z15" s="293"/>
      <c r="AA15" s="294"/>
      <c r="AB15" s="295"/>
      <c r="AC15" s="302"/>
      <c r="AD15" s="294"/>
      <c r="AE15" s="301"/>
      <c r="AF15" s="293"/>
      <c r="AG15" s="294"/>
      <c r="AH15" s="295"/>
      <c r="AI15" s="302"/>
      <c r="AJ15" s="294"/>
      <c r="AK15" s="301"/>
      <c r="AL15" s="293"/>
      <c r="AM15" s="294"/>
      <c r="AN15" s="295"/>
      <c r="AO15" s="302"/>
      <c r="AP15" s="294"/>
      <c r="AQ15" s="301"/>
      <c r="AR15" s="293"/>
      <c r="AS15" s="294"/>
      <c r="AT15" s="295"/>
      <c r="AU15" s="302"/>
      <c r="AV15" s="294"/>
      <c r="AW15" s="301"/>
      <c r="AX15" s="293"/>
      <c r="AY15" s="294"/>
      <c r="AZ15" s="295"/>
      <c r="BA15" s="302"/>
      <c r="BB15" s="294"/>
      <c r="BC15" s="301"/>
      <c r="BD15" s="293"/>
      <c r="BE15" s="294"/>
      <c r="BF15" s="295"/>
      <c r="BG15" s="302"/>
      <c r="BH15" s="294"/>
      <c r="BI15" s="301"/>
      <c r="BJ15" s="293"/>
      <c r="BK15" s="294"/>
      <c r="BL15" s="295"/>
      <c r="BM15" s="302"/>
      <c r="BN15" s="294"/>
      <c r="BO15" s="301"/>
      <c r="BP15" s="293"/>
      <c r="BQ15" s="294"/>
      <c r="BR15" s="295"/>
      <c r="BS15" s="302"/>
      <c r="BT15" s="294"/>
      <c r="BU15" s="301"/>
      <c r="BV15" s="293"/>
      <c r="BW15" s="294"/>
      <c r="BX15" s="295"/>
      <c r="BY15" s="302"/>
      <c r="BZ15" s="294"/>
      <c r="CA15" s="301"/>
      <c r="CB15" s="293"/>
      <c r="CC15" s="294"/>
      <c r="CD15" s="295"/>
      <c r="CE15" s="302"/>
      <c r="CF15" s="294"/>
      <c r="CG15" s="301"/>
      <c r="CH15" s="293"/>
      <c r="CI15" s="294"/>
      <c r="CJ15" s="295"/>
      <c r="CK15" s="302"/>
      <c r="CL15" s="294"/>
      <c r="CM15" s="301"/>
      <c r="CN15" s="293"/>
      <c r="CO15" s="294"/>
      <c r="CP15" s="295"/>
      <c r="CQ15" s="302"/>
      <c r="CR15" s="294"/>
      <c r="CS15" s="301"/>
      <c r="CT15" s="302"/>
      <c r="CU15" s="294"/>
      <c r="CV15" s="301"/>
      <c r="CW15" s="302"/>
      <c r="CX15" s="294"/>
      <c r="CY15" s="301"/>
      <c r="CZ15" s="302"/>
      <c r="DA15" s="294"/>
      <c r="DB15" s="301"/>
      <c r="DC15" s="380">
        <f t="shared" si="0"/>
        <v>0</v>
      </c>
      <c r="DD15" s="381">
        <f t="shared" si="1"/>
        <v>0</v>
      </c>
      <c r="DE15" s="381">
        <f t="shared" si="2"/>
        <v>0</v>
      </c>
    </row>
    <row r="16" spans="1:109">
      <c r="A16" s="240">
        <v>9</v>
      </c>
      <c r="B16" s="241"/>
      <c r="C16" s="43"/>
      <c r="D16" s="289"/>
      <c r="E16" s="302"/>
      <c r="F16" s="294"/>
      <c r="G16" s="301"/>
      <c r="H16" s="293"/>
      <c r="I16" s="294"/>
      <c r="J16" s="295"/>
      <c r="K16" s="302"/>
      <c r="L16" s="294"/>
      <c r="M16" s="301"/>
      <c r="N16" s="293"/>
      <c r="O16" s="294"/>
      <c r="P16" s="295"/>
      <c r="Q16" s="302"/>
      <c r="R16" s="294"/>
      <c r="S16" s="301"/>
      <c r="T16" s="293"/>
      <c r="U16" s="294"/>
      <c r="V16" s="295"/>
      <c r="W16" s="302"/>
      <c r="X16" s="294"/>
      <c r="Y16" s="301"/>
      <c r="Z16" s="293"/>
      <c r="AA16" s="294"/>
      <c r="AB16" s="295"/>
      <c r="AC16" s="302"/>
      <c r="AD16" s="294"/>
      <c r="AE16" s="301"/>
      <c r="AF16" s="293"/>
      <c r="AG16" s="294"/>
      <c r="AH16" s="295"/>
      <c r="AI16" s="302"/>
      <c r="AJ16" s="294"/>
      <c r="AK16" s="301"/>
      <c r="AL16" s="293"/>
      <c r="AM16" s="294"/>
      <c r="AN16" s="295"/>
      <c r="AO16" s="302"/>
      <c r="AP16" s="294"/>
      <c r="AQ16" s="301"/>
      <c r="AR16" s="293"/>
      <c r="AS16" s="294"/>
      <c r="AT16" s="295"/>
      <c r="AU16" s="302"/>
      <c r="AV16" s="294"/>
      <c r="AW16" s="301"/>
      <c r="AX16" s="293"/>
      <c r="AY16" s="294"/>
      <c r="AZ16" s="295"/>
      <c r="BA16" s="302"/>
      <c r="BB16" s="294"/>
      <c r="BC16" s="301"/>
      <c r="BD16" s="293"/>
      <c r="BE16" s="294"/>
      <c r="BF16" s="295"/>
      <c r="BG16" s="302"/>
      <c r="BH16" s="294"/>
      <c r="BI16" s="301"/>
      <c r="BJ16" s="293"/>
      <c r="BK16" s="294"/>
      <c r="BL16" s="295"/>
      <c r="BM16" s="302"/>
      <c r="BN16" s="294"/>
      <c r="BO16" s="301"/>
      <c r="BP16" s="293"/>
      <c r="BQ16" s="294"/>
      <c r="BR16" s="295"/>
      <c r="BS16" s="302"/>
      <c r="BT16" s="294"/>
      <c r="BU16" s="301"/>
      <c r="BV16" s="293"/>
      <c r="BW16" s="294"/>
      <c r="BX16" s="295"/>
      <c r="BY16" s="302"/>
      <c r="BZ16" s="294"/>
      <c r="CA16" s="301"/>
      <c r="CB16" s="293"/>
      <c r="CC16" s="294"/>
      <c r="CD16" s="295"/>
      <c r="CE16" s="302"/>
      <c r="CF16" s="294"/>
      <c r="CG16" s="301"/>
      <c r="CH16" s="293"/>
      <c r="CI16" s="294"/>
      <c r="CJ16" s="295"/>
      <c r="CK16" s="302"/>
      <c r="CL16" s="294"/>
      <c r="CM16" s="301"/>
      <c r="CN16" s="293"/>
      <c r="CO16" s="294"/>
      <c r="CP16" s="295"/>
      <c r="CQ16" s="302"/>
      <c r="CR16" s="294"/>
      <c r="CS16" s="301"/>
      <c r="CT16" s="302"/>
      <c r="CU16" s="294"/>
      <c r="CV16" s="301"/>
      <c r="CW16" s="302"/>
      <c r="CX16" s="294"/>
      <c r="CY16" s="301"/>
      <c r="CZ16" s="302"/>
      <c r="DA16" s="294"/>
      <c r="DB16" s="301"/>
      <c r="DC16" s="380">
        <f t="shared" si="0"/>
        <v>0</v>
      </c>
      <c r="DD16" s="381">
        <f t="shared" si="1"/>
        <v>0</v>
      </c>
      <c r="DE16" s="381">
        <f t="shared" si="2"/>
        <v>0</v>
      </c>
    </row>
    <row r="17" spans="1:109">
      <c r="A17" s="240">
        <v>10</v>
      </c>
      <c r="B17" s="241"/>
      <c r="C17" s="43"/>
      <c r="D17" s="289"/>
      <c r="E17" s="302"/>
      <c r="F17" s="294"/>
      <c r="G17" s="301"/>
      <c r="H17" s="293"/>
      <c r="I17" s="294"/>
      <c r="J17" s="295"/>
      <c r="K17" s="302"/>
      <c r="L17" s="294"/>
      <c r="M17" s="301"/>
      <c r="N17" s="293"/>
      <c r="O17" s="294"/>
      <c r="P17" s="295"/>
      <c r="Q17" s="302"/>
      <c r="R17" s="294"/>
      <c r="S17" s="301"/>
      <c r="T17" s="293"/>
      <c r="U17" s="294"/>
      <c r="V17" s="295"/>
      <c r="W17" s="302"/>
      <c r="X17" s="294"/>
      <c r="Y17" s="301"/>
      <c r="Z17" s="293"/>
      <c r="AA17" s="294"/>
      <c r="AB17" s="295"/>
      <c r="AC17" s="302"/>
      <c r="AD17" s="294"/>
      <c r="AE17" s="301"/>
      <c r="AF17" s="293"/>
      <c r="AG17" s="294"/>
      <c r="AH17" s="295"/>
      <c r="AI17" s="302"/>
      <c r="AJ17" s="294"/>
      <c r="AK17" s="301"/>
      <c r="AL17" s="293"/>
      <c r="AM17" s="294"/>
      <c r="AN17" s="295"/>
      <c r="AO17" s="302"/>
      <c r="AP17" s="294"/>
      <c r="AQ17" s="301"/>
      <c r="AR17" s="293"/>
      <c r="AS17" s="294"/>
      <c r="AT17" s="295"/>
      <c r="AU17" s="302"/>
      <c r="AV17" s="294"/>
      <c r="AW17" s="301"/>
      <c r="AX17" s="293"/>
      <c r="AY17" s="294"/>
      <c r="AZ17" s="295"/>
      <c r="BA17" s="302"/>
      <c r="BB17" s="294"/>
      <c r="BC17" s="301"/>
      <c r="BD17" s="293"/>
      <c r="BE17" s="294"/>
      <c r="BF17" s="295"/>
      <c r="BG17" s="302"/>
      <c r="BH17" s="294"/>
      <c r="BI17" s="301"/>
      <c r="BJ17" s="293"/>
      <c r="BK17" s="294"/>
      <c r="BL17" s="295"/>
      <c r="BM17" s="302"/>
      <c r="BN17" s="294"/>
      <c r="BO17" s="301"/>
      <c r="BP17" s="293"/>
      <c r="BQ17" s="294"/>
      <c r="BR17" s="295"/>
      <c r="BS17" s="302"/>
      <c r="BT17" s="294"/>
      <c r="BU17" s="301"/>
      <c r="BV17" s="293"/>
      <c r="BW17" s="294"/>
      <c r="BX17" s="295"/>
      <c r="BY17" s="302"/>
      <c r="BZ17" s="294"/>
      <c r="CA17" s="301"/>
      <c r="CB17" s="293"/>
      <c r="CC17" s="294"/>
      <c r="CD17" s="295"/>
      <c r="CE17" s="302"/>
      <c r="CF17" s="294"/>
      <c r="CG17" s="301"/>
      <c r="CH17" s="293"/>
      <c r="CI17" s="294"/>
      <c r="CJ17" s="295"/>
      <c r="CK17" s="302"/>
      <c r="CL17" s="294"/>
      <c r="CM17" s="301"/>
      <c r="CN17" s="293"/>
      <c r="CO17" s="294"/>
      <c r="CP17" s="295"/>
      <c r="CQ17" s="302"/>
      <c r="CR17" s="294"/>
      <c r="CS17" s="301"/>
      <c r="CT17" s="302"/>
      <c r="CU17" s="294"/>
      <c r="CV17" s="301"/>
      <c r="CW17" s="302"/>
      <c r="CX17" s="294"/>
      <c r="CY17" s="301"/>
      <c r="CZ17" s="302"/>
      <c r="DA17" s="294"/>
      <c r="DB17" s="301"/>
      <c r="DC17" s="380">
        <f t="shared" si="0"/>
        <v>0</v>
      </c>
      <c r="DD17" s="381">
        <f t="shared" si="1"/>
        <v>0</v>
      </c>
      <c r="DE17" s="381">
        <f t="shared" si="2"/>
        <v>0</v>
      </c>
    </row>
    <row r="18" spans="1:109">
      <c r="A18" s="240">
        <v>11</v>
      </c>
      <c r="B18" s="241"/>
      <c r="C18" s="43"/>
      <c r="D18" s="289"/>
      <c r="E18" s="302"/>
      <c r="F18" s="294"/>
      <c r="G18" s="301"/>
      <c r="H18" s="293"/>
      <c r="I18" s="294"/>
      <c r="J18" s="295"/>
      <c r="K18" s="302"/>
      <c r="L18" s="294"/>
      <c r="M18" s="301"/>
      <c r="N18" s="293"/>
      <c r="O18" s="294"/>
      <c r="P18" s="295"/>
      <c r="Q18" s="302"/>
      <c r="R18" s="294"/>
      <c r="S18" s="301"/>
      <c r="T18" s="293"/>
      <c r="U18" s="294"/>
      <c r="V18" s="295"/>
      <c r="W18" s="302"/>
      <c r="X18" s="294"/>
      <c r="Y18" s="301"/>
      <c r="Z18" s="293"/>
      <c r="AA18" s="294"/>
      <c r="AB18" s="295"/>
      <c r="AC18" s="302"/>
      <c r="AD18" s="294"/>
      <c r="AE18" s="301"/>
      <c r="AF18" s="293"/>
      <c r="AG18" s="294"/>
      <c r="AH18" s="295"/>
      <c r="AI18" s="302"/>
      <c r="AJ18" s="294"/>
      <c r="AK18" s="301"/>
      <c r="AL18" s="293"/>
      <c r="AM18" s="294"/>
      <c r="AN18" s="295"/>
      <c r="AO18" s="302"/>
      <c r="AP18" s="294"/>
      <c r="AQ18" s="301"/>
      <c r="AR18" s="293"/>
      <c r="AS18" s="294"/>
      <c r="AT18" s="295"/>
      <c r="AU18" s="302"/>
      <c r="AV18" s="294"/>
      <c r="AW18" s="301"/>
      <c r="AX18" s="293"/>
      <c r="AY18" s="294"/>
      <c r="AZ18" s="295"/>
      <c r="BA18" s="302"/>
      <c r="BB18" s="294"/>
      <c r="BC18" s="301"/>
      <c r="BD18" s="293"/>
      <c r="BE18" s="294"/>
      <c r="BF18" s="295"/>
      <c r="BG18" s="302"/>
      <c r="BH18" s="294"/>
      <c r="BI18" s="301"/>
      <c r="BJ18" s="293"/>
      <c r="BK18" s="294"/>
      <c r="BL18" s="295"/>
      <c r="BM18" s="302"/>
      <c r="BN18" s="294"/>
      <c r="BO18" s="301"/>
      <c r="BP18" s="293"/>
      <c r="BQ18" s="294"/>
      <c r="BR18" s="295"/>
      <c r="BS18" s="302"/>
      <c r="BT18" s="294"/>
      <c r="BU18" s="301"/>
      <c r="BV18" s="293"/>
      <c r="BW18" s="294"/>
      <c r="BX18" s="295"/>
      <c r="BY18" s="302"/>
      <c r="BZ18" s="294"/>
      <c r="CA18" s="301"/>
      <c r="CB18" s="293"/>
      <c r="CC18" s="294"/>
      <c r="CD18" s="295"/>
      <c r="CE18" s="302"/>
      <c r="CF18" s="294"/>
      <c r="CG18" s="301"/>
      <c r="CH18" s="293"/>
      <c r="CI18" s="294"/>
      <c r="CJ18" s="295"/>
      <c r="CK18" s="302"/>
      <c r="CL18" s="294"/>
      <c r="CM18" s="301"/>
      <c r="CN18" s="293"/>
      <c r="CO18" s="294"/>
      <c r="CP18" s="295"/>
      <c r="CQ18" s="302"/>
      <c r="CR18" s="294"/>
      <c r="CS18" s="301"/>
      <c r="CT18" s="302"/>
      <c r="CU18" s="294"/>
      <c r="CV18" s="301"/>
      <c r="CW18" s="302"/>
      <c r="CX18" s="294"/>
      <c r="CY18" s="301"/>
      <c r="CZ18" s="302"/>
      <c r="DA18" s="294"/>
      <c r="DB18" s="301"/>
      <c r="DC18" s="380">
        <f t="shared" si="0"/>
        <v>0</v>
      </c>
      <c r="DD18" s="381">
        <f t="shared" si="1"/>
        <v>0</v>
      </c>
      <c r="DE18" s="381">
        <f t="shared" si="2"/>
        <v>0</v>
      </c>
    </row>
    <row r="19" spans="1:109">
      <c r="A19" s="240">
        <v>12</v>
      </c>
      <c r="B19" s="241"/>
      <c r="C19" s="43"/>
      <c r="D19" s="289"/>
      <c r="E19" s="302"/>
      <c r="F19" s="294"/>
      <c r="G19" s="301"/>
      <c r="H19" s="293"/>
      <c r="I19" s="294"/>
      <c r="J19" s="295"/>
      <c r="K19" s="302"/>
      <c r="L19" s="294"/>
      <c r="M19" s="301"/>
      <c r="N19" s="293"/>
      <c r="O19" s="294"/>
      <c r="P19" s="295"/>
      <c r="Q19" s="302"/>
      <c r="R19" s="294"/>
      <c r="S19" s="301"/>
      <c r="T19" s="293"/>
      <c r="U19" s="294"/>
      <c r="V19" s="295"/>
      <c r="W19" s="302"/>
      <c r="X19" s="294"/>
      <c r="Y19" s="301"/>
      <c r="Z19" s="293"/>
      <c r="AA19" s="294"/>
      <c r="AB19" s="295"/>
      <c r="AC19" s="302"/>
      <c r="AD19" s="294"/>
      <c r="AE19" s="301"/>
      <c r="AF19" s="293"/>
      <c r="AG19" s="294"/>
      <c r="AH19" s="295"/>
      <c r="AI19" s="302"/>
      <c r="AJ19" s="294"/>
      <c r="AK19" s="301"/>
      <c r="AL19" s="293"/>
      <c r="AM19" s="294"/>
      <c r="AN19" s="295"/>
      <c r="AO19" s="302"/>
      <c r="AP19" s="294"/>
      <c r="AQ19" s="301"/>
      <c r="AR19" s="293"/>
      <c r="AS19" s="294"/>
      <c r="AT19" s="295"/>
      <c r="AU19" s="302"/>
      <c r="AV19" s="294"/>
      <c r="AW19" s="301"/>
      <c r="AX19" s="293"/>
      <c r="AY19" s="294"/>
      <c r="AZ19" s="295"/>
      <c r="BA19" s="302"/>
      <c r="BB19" s="294"/>
      <c r="BC19" s="301"/>
      <c r="BD19" s="293"/>
      <c r="BE19" s="294"/>
      <c r="BF19" s="295"/>
      <c r="BG19" s="302"/>
      <c r="BH19" s="294"/>
      <c r="BI19" s="301"/>
      <c r="BJ19" s="293"/>
      <c r="BK19" s="294"/>
      <c r="BL19" s="295"/>
      <c r="BM19" s="302"/>
      <c r="BN19" s="294"/>
      <c r="BO19" s="301"/>
      <c r="BP19" s="293"/>
      <c r="BQ19" s="294"/>
      <c r="BR19" s="295"/>
      <c r="BS19" s="302"/>
      <c r="BT19" s="294"/>
      <c r="BU19" s="301"/>
      <c r="BV19" s="293"/>
      <c r="BW19" s="294"/>
      <c r="BX19" s="295"/>
      <c r="BY19" s="302"/>
      <c r="BZ19" s="294"/>
      <c r="CA19" s="301"/>
      <c r="CB19" s="293"/>
      <c r="CC19" s="294"/>
      <c r="CD19" s="295"/>
      <c r="CE19" s="302"/>
      <c r="CF19" s="294"/>
      <c r="CG19" s="301"/>
      <c r="CH19" s="293"/>
      <c r="CI19" s="294"/>
      <c r="CJ19" s="295"/>
      <c r="CK19" s="302"/>
      <c r="CL19" s="294"/>
      <c r="CM19" s="301"/>
      <c r="CN19" s="293"/>
      <c r="CO19" s="294"/>
      <c r="CP19" s="295"/>
      <c r="CQ19" s="302"/>
      <c r="CR19" s="294"/>
      <c r="CS19" s="301"/>
      <c r="CT19" s="302"/>
      <c r="CU19" s="294"/>
      <c r="CV19" s="301"/>
      <c r="CW19" s="302"/>
      <c r="CX19" s="294"/>
      <c r="CY19" s="301"/>
      <c r="CZ19" s="302"/>
      <c r="DA19" s="294"/>
      <c r="DB19" s="301"/>
      <c r="DC19" s="380">
        <f t="shared" si="0"/>
        <v>0</v>
      </c>
      <c r="DD19" s="381">
        <f t="shared" si="1"/>
        <v>0</v>
      </c>
      <c r="DE19" s="381">
        <f t="shared" si="2"/>
        <v>0</v>
      </c>
    </row>
    <row r="20" spans="1:109">
      <c r="A20" s="240">
        <v>13</v>
      </c>
      <c r="B20" s="241"/>
      <c r="C20" s="43"/>
      <c r="D20" s="289"/>
      <c r="E20" s="302"/>
      <c r="F20" s="294"/>
      <c r="G20" s="301"/>
      <c r="H20" s="293"/>
      <c r="I20" s="294"/>
      <c r="J20" s="295"/>
      <c r="K20" s="302"/>
      <c r="L20" s="294"/>
      <c r="M20" s="301"/>
      <c r="N20" s="293"/>
      <c r="O20" s="294"/>
      <c r="P20" s="295"/>
      <c r="Q20" s="302"/>
      <c r="R20" s="294"/>
      <c r="S20" s="301"/>
      <c r="T20" s="293"/>
      <c r="U20" s="294"/>
      <c r="V20" s="295"/>
      <c r="W20" s="302"/>
      <c r="X20" s="294"/>
      <c r="Y20" s="301"/>
      <c r="Z20" s="293"/>
      <c r="AA20" s="294"/>
      <c r="AB20" s="295"/>
      <c r="AC20" s="302"/>
      <c r="AD20" s="294"/>
      <c r="AE20" s="301"/>
      <c r="AF20" s="293"/>
      <c r="AG20" s="294"/>
      <c r="AH20" s="295"/>
      <c r="AI20" s="302"/>
      <c r="AJ20" s="294"/>
      <c r="AK20" s="301"/>
      <c r="AL20" s="293"/>
      <c r="AM20" s="294"/>
      <c r="AN20" s="295"/>
      <c r="AO20" s="302"/>
      <c r="AP20" s="294"/>
      <c r="AQ20" s="301"/>
      <c r="AR20" s="293"/>
      <c r="AS20" s="294"/>
      <c r="AT20" s="295"/>
      <c r="AU20" s="302"/>
      <c r="AV20" s="294"/>
      <c r="AW20" s="301"/>
      <c r="AX20" s="293"/>
      <c r="AY20" s="294"/>
      <c r="AZ20" s="295"/>
      <c r="BA20" s="302"/>
      <c r="BB20" s="294"/>
      <c r="BC20" s="301"/>
      <c r="BD20" s="293"/>
      <c r="BE20" s="294"/>
      <c r="BF20" s="295"/>
      <c r="BG20" s="302"/>
      <c r="BH20" s="294"/>
      <c r="BI20" s="301"/>
      <c r="BJ20" s="293"/>
      <c r="BK20" s="294"/>
      <c r="BL20" s="295"/>
      <c r="BM20" s="302"/>
      <c r="BN20" s="294"/>
      <c r="BO20" s="301"/>
      <c r="BP20" s="293"/>
      <c r="BQ20" s="294"/>
      <c r="BR20" s="295"/>
      <c r="BS20" s="302"/>
      <c r="BT20" s="294"/>
      <c r="BU20" s="301"/>
      <c r="BV20" s="293"/>
      <c r="BW20" s="294"/>
      <c r="BX20" s="295"/>
      <c r="BY20" s="302"/>
      <c r="BZ20" s="294"/>
      <c r="CA20" s="301"/>
      <c r="CB20" s="293"/>
      <c r="CC20" s="294"/>
      <c r="CD20" s="295"/>
      <c r="CE20" s="302"/>
      <c r="CF20" s="294"/>
      <c r="CG20" s="301"/>
      <c r="CH20" s="293"/>
      <c r="CI20" s="294"/>
      <c r="CJ20" s="295"/>
      <c r="CK20" s="302"/>
      <c r="CL20" s="294"/>
      <c r="CM20" s="301"/>
      <c r="CN20" s="293"/>
      <c r="CO20" s="294"/>
      <c r="CP20" s="295"/>
      <c r="CQ20" s="302"/>
      <c r="CR20" s="294"/>
      <c r="CS20" s="301"/>
      <c r="CT20" s="302"/>
      <c r="CU20" s="294"/>
      <c r="CV20" s="301"/>
      <c r="CW20" s="302"/>
      <c r="CX20" s="294"/>
      <c r="CY20" s="301"/>
      <c r="CZ20" s="302"/>
      <c r="DA20" s="294"/>
      <c r="DB20" s="301"/>
      <c r="DC20" s="380">
        <f t="shared" si="0"/>
        <v>0</v>
      </c>
      <c r="DD20" s="381">
        <f t="shared" si="1"/>
        <v>0</v>
      </c>
      <c r="DE20" s="381">
        <f t="shared" si="2"/>
        <v>0</v>
      </c>
    </row>
    <row r="21" spans="1:109" s="1" customFormat="1">
      <c r="A21" s="245">
        <v>14</v>
      </c>
      <c r="B21" s="241"/>
      <c r="C21" s="43"/>
      <c r="D21" s="289"/>
      <c r="E21" s="302"/>
      <c r="F21" s="294"/>
      <c r="G21" s="301"/>
      <c r="H21" s="293"/>
      <c r="I21" s="294"/>
      <c r="J21" s="295"/>
      <c r="K21" s="302"/>
      <c r="L21" s="294"/>
      <c r="M21" s="301"/>
      <c r="N21" s="293"/>
      <c r="O21" s="294"/>
      <c r="P21" s="295"/>
      <c r="Q21" s="302"/>
      <c r="R21" s="294"/>
      <c r="S21" s="301"/>
      <c r="T21" s="293"/>
      <c r="U21" s="294"/>
      <c r="V21" s="295"/>
      <c r="W21" s="302"/>
      <c r="X21" s="294"/>
      <c r="Y21" s="301"/>
      <c r="Z21" s="293"/>
      <c r="AA21" s="294"/>
      <c r="AB21" s="295"/>
      <c r="AC21" s="302"/>
      <c r="AD21" s="294"/>
      <c r="AE21" s="301"/>
      <c r="AF21" s="293"/>
      <c r="AG21" s="294"/>
      <c r="AH21" s="295"/>
      <c r="AI21" s="302"/>
      <c r="AJ21" s="294"/>
      <c r="AK21" s="301"/>
      <c r="AL21" s="293"/>
      <c r="AM21" s="294"/>
      <c r="AN21" s="295"/>
      <c r="AO21" s="302"/>
      <c r="AP21" s="294"/>
      <c r="AQ21" s="301"/>
      <c r="AR21" s="293"/>
      <c r="AS21" s="294"/>
      <c r="AT21" s="295"/>
      <c r="AU21" s="302"/>
      <c r="AV21" s="294"/>
      <c r="AW21" s="301"/>
      <c r="AX21" s="293"/>
      <c r="AY21" s="294"/>
      <c r="AZ21" s="295"/>
      <c r="BA21" s="302"/>
      <c r="BB21" s="294"/>
      <c r="BC21" s="301"/>
      <c r="BD21" s="293"/>
      <c r="BE21" s="294"/>
      <c r="BF21" s="295"/>
      <c r="BG21" s="302"/>
      <c r="BH21" s="294"/>
      <c r="BI21" s="301"/>
      <c r="BJ21" s="293"/>
      <c r="BK21" s="294"/>
      <c r="BL21" s="295"/>
      <c r="BM21" s="302"/>
      <c r="BN21" s="294"/>
      <c r="BO21" s="301"/>
      <c r="BP21" s="293"/>
      <c r="BQ21" s="294"/>
      <c r="BR21" s="295"/>
      <c r="BS21" s="302"/>
      <c r="BT21" s="294"/>
      <c r="BU21" s="301"/>
      <c r="BV21" s="293"/>
      <c r="BW21" s="294"/>
      <c r="BX21" s="295"/>
      <c r="BY21" s="302"/>
      <c r="BZ21" s="294"/>
      <c r="CA21" s="301"/>
      <c r="CB21" s="293"/>
      <c r="CC21" s="294"/>
      <c r="CD21" s="295"/>
      <c r="CE21" s="302"/>
      <c r="CF21" s="294"/>
      <c r="CG21" s="301"/>
      <c r="CH21" s="293"/>
      <c r="CI21" s="294"/>
      <c r="CJ21" s="295"/>
      <c r="CK21" s="302"/>
      <c r="CL21" s="294"/>
      <c r="CM21" s="301"/>
      <c r="CN21" s="293"/>
      <c r="CO21" s="294"/>
      <c r="CP21" s="295"/>
      <c r="CQ21" s="302"/>
      <c r="CR21" s="294"/>
      <c r="CS21" s="301"/>
      <c r="CT21" s="302"/>
      <c r="CU21" s="294"/>
      <c r="CV21" s="301"/>
      <c r="CW21" s="302"/>
      <c r="CX21" s="294"/>
      <c r="CY21" s="301"/>
      <c r="CZ21" s="302"/>
      <c r="DA21" s="294"/>
      <c r="DB21" s="301"/>
      <c r="DC21" s="380">
        <f t="shared" si="0"/>
        <v>0</v>
      </c>
      <c r="DD21" s="381">
        <f t="shared" si="1"/>
        <v>0</v>
      </c>
      <c r="DE21" s="381">
        <f t="shared" si="2"/>
        <v>0</v>
      </c>
    </row>
    <row r="22" spans="1:109">
      <c r="A22" s="240">
        <v>15</v>
      </c>
      <c r="B22" s="241"/>
      <c r="C22" s="43"/>
      <c r="D22" s="289"/>
      <c r="E22" s="302"/>
      <c r="F22" s="294"/>
      <c r="G22" s="301"/>
      <c r="H22" s="293"/>
      <c r="I22" s="294"/>
      <c r="J22" s="295"/>
      <c r="K22" s="302"/>
      <c r="L22" s="294"/>
      <c r="M22" s="301"/>
      <c r="N22" s="293"/>
      <c r="O22" s="294"/>
      <c r="P22" s="295"/>
      <c r="Q22" s="302"/>
      <c r="R22" s="294"/>
      <c r="S22" s="301"/>
      <c r="T22" s="293"/>
      <c r="U22" s="294"/>
      <c r="V22" s="295"/>
      <c r="W22" s="302"/>
      <c r="X22" s="294"/>
      <c r="Y22" s="301"/>
      <c r="Z22" s="293"/>
      <c r="AA22" s="294"/>
      <c r="AB22" s="295"/>
      <c r="AC22" s="302"/>
      <c r="AD22" s="294"/>
      <c r="AE22" s="301"/>
      <c r="AF22" s="293"/>
      <c r="AG22" s="294"/>
      <c r="AH22" s="295"/>
      <c r="AI22" s="302"/>
      <c r="AJ22" s="294"/>
      <c r="AK22" s="301"/>
      <c r="AL22" s="293"/>
      <c r="AM22" s="294"/>
      <c r="AN22" s="295"/>
      <c r="AO22" s="302"/>
      <c r="AP22" s="294"/>
      <c r="AQ22" s="301"/>
      <c r="AR22" s="293"/>
      <c r="AS22" s="294"/>
      <c r="AT22" s="295"/>
      <c r="AU22" s="302"/>
      <c r="AV22" s="294"/>
      <c r="AW22" s="301"/>
      <c r="AX22" s="293"/>
      <c r="AY22" s="294"/>
      <c r="AZ22" s="295"/>
      <c r="BA22" s="302"/>
      <c r="BB22" s="294"/>
      <c r="BC22" s="301"/>
      <c r="BD22" s="293"/>
      <c r="BE22" s="294"/>
      <c r="BF22" s="295"/>
      <c r="BG22" s="302"/>
      <c r="BH22" s="294"/>
      <c r="BI22" s="301"/>
      <c r="BJ22" s="293"/>
      <c r="BK22" s="294"/>
      <c r="BL22" s="295"/>
      <c r="BM22" s="302"/>
      <c r="BN22" s="294"/>
      <c r="BO22" s="301"/>
      <c r="BP22" s="293"/>
      <c r="BQ22" s="294"/>
      <c r="BR22" s="295"/>
      <c r="BS22" s="302"/>
      <c r="BT22" s="294"/>
      <c r="BU22" s="301"/>
      <c r="BV22" s="293"/>
      <c r="BW22" s="294"/>
      <c r="BX22" s="295"/>
      <c r="BY22" s="302"/>
      <c r="BZ22" s="294"/>
      <c r="CA22" s="301"/>
      <c r="CB22" s="293"/>
      <c r="CC22" s="294"/>
      <c r="CD22" s="295"/>
      <c r="CE22" s="302"/>
      <c r="CF22" s="294"/>
      <c r="CG22" s="301"/>
      <c r="CH22" s="293"/>
      <c r="CI22" s="294"/>
      <c r="CJ22" s="295"/>
      <c r="CK22" s="302"/>
      <c r="CL22" s="294"/>
      <c r="CM22" s="301"/>
      <c r="CN22" s="293"/>
      <c r="CO22" s="294"/>
      <c r="CP22" s="295"/>
      <c r="CQ22" s="302"/>
      <c r="CR22" s="294"/>
      <c r="CS22" s="301"/>
      <c r="CT22" s="302"/>
      <c r="CU22" s="294"/>
      <c r="CV22" s="301"/>
      <c r="CW22" s="302"/>
      <c r="CX22" s="294"/>
      <c r="CY22" s="301"/>
      <c r="CZ22" s="302"/>
      <c r="DA22" s="294"/>
      <c r="DB22" s="301"/>
      <c r="DC22" s="380">
        <f t="shared" si="0"/>
        <v>0</v>
      </c>
      <c r="DD22" s="381">
        <f t="shared" si="1"/>
        <v>0</v>
      </c>
      <c r="DE22" s="381">
        <f t="shared" si="2"/>
        <v>0</v>
      </c>
    </row>
    <row r="23" spans="1:109">
      <c r="A23" s="240">
        <v>16</v>
      </c>
      <c r="B23" s="241"/>
      <c r="C23" s="43"/>
      <c r="D23" s="289"/>
      <c r="E23" s="302"/>
      <c r="F23" s="294"/>
      <c r="G23" s="301"/>
      <c r="H23" s="293"/>
      <c r="I23" s="294"/>
      <c r="J23" s="295"/>
      <c r="K23" s="302"/>
      <c r="L23" s="294"/>
      <c r="M23" s="301"/>
      <c r="N23" s="293"/>
      <c r="O23" s="294"/>
      <c r="P23" s="295"/>
      <c r="Q23" s="302"/>
      <c r="R23" s="294"/>
      <c r="S23" s="301"/>
      <c r="T23" s="293"/>
      <c r="U23" s="294"/>
      <c r="V23" s="295"/>
      <c r="W23" s="302"/>
      <c r="X23" s="294"/>
      <c r="Y23" s="301"/>
      <c r="Z23" s="293"/>
      <c r="AA23" s="294"/>
      <c r="AB23" s="295"/>
      <c r="AC23" s="302"/>
      <c r="AD23" s="294"/>
      <c r="AE23" s="301"/>
      <c r="AF23" s="293"/>
      <c r="AG23" s="294"/>
      <c r="AH23" s="295"/>
      <c r="AI23" s="302"/>
      <c r="AJ23" s="294"/>
      <c r="AK23" s="301"/>
      <c r="AL23" s="293"/>
      <c r="AM23" s="294"/>
      <c r="AN23" s="295"/>
      <c r="AO23" s="302"/>
      <c r="AP23" s="294"/>
      <c r="AQ23" s="301"/>
      <c r="AR23" s="293"/>
      <c r="AS23" s="294"/>
      <c r="AT23" s="295"/>
      <c r="AU23" s="302"/>
      <c r="AV23" s="294"/>
      <c r="AW23" s="301"/>
      <c r="AX23" s="293"/>
      <c r="AY23" s="294"/>
      <c r="AZ23" s="295"/>
      <c r="BA23" s="302"/>
      <c r="BB23" s="294"/>
      <c r="BC23" s="301"/>
      <c r="BD23" s="293"/>
      <c r="BE23" s="294"/>
      <c r="BF23" s="295"/>
      <c r="BG23" s="302"/>
      <c r="BH23" s="294"/>
      <c r="BI23" s="301"/>
      <c r="BJ23" s="293"/>
      <c r="BK23" s="294"/>
      <c r="BL23" s="295"/>
      <c r="BM23" s="302"/>
      <c r="BN23" s="294"/>
      <c r="BO23" s="301"/>
      <c r="BP23" s="293"/>
      <c r="BQ23" s="294"/>
      <c r="BR23" s="295"/>
      <c r="BS23" s="302"/>
      <c r="BT23" s="294"/>
      <c r="BU23" s="301"/>
      <c r="BV23" s="293"/>
      <c r="BW23" s="294"/>
      <c r="BX23" s="295"/>
      <c r="BY23" s="302"/>
      <c r="BZ23" s="294"/>
      <c r="CA23" s="301"/>
      <c r="CB23" s="293"/>
      <c r="CC23" s="294"/>
      <c r="CD23" s="295"/>
      <c r="CE23" s="302"/>
      <c r="CF23" s="294"/>
      <c r="CG23" s="301"/>
      <c r="CH23" s="293"/>
      <c r="CI23" s="294"/>
      <c r="CJ23" s="295"/>
      <c r="CK23" s="302"/>
      <c r="CL23" s="294"/>
      <c r="CM23" s="301"/>
      <c r="CN23" s="293"/>
      <c r="CO23" s="294"/>
      <c r="CP23" s="295"/>
      <c r="CQ23" s="302"/>
      <c r="CR23" s="294"/>
      <c r="CS23" s="301"/>
      <c r="CT23" s="302"/>
      <c r="CU23" s="294"/>
      <c r="CV23" s="301"/>
      <c r="CW23" s="302"/>
      <c r="CX23" s="294"/>
      <c r="CY23" s="301"/>
      <c r="CZ23" s="302"/>
      <c r="DA23" s="294"/>
      <c r="DB23" s="301"/>
      <c r="DC23" s="380">
        <f t="shared" si="0"/>
        <v>0</v>
      </c>
      <c r="DD23" s="381">
        <f t="shared" si="1"/>
        <v>0</v>
      </c>
      <c r="DE23" s="381">
        <f t="shared" si="2"/>
        <v>0</v>
      </c>
    </row>
    <row r="24" spans="1:109">
      <c r="A24" s="240">
        <v>17</v>
      </c>
      <c r="B24" s="241"/>
      <c r="C24" s="43"/>
      <c r="D24" s="289"/>
      <c r="E24" s="302"/>
      <c r="F24" s="294"/>
      <c r="G24" s="301"/>
      <c r="H24" s="293"/>
      <c r="I24" s="294"/>
      <c r="J24" s="295"/>
      <c r="K24" s="302"/>
      <c r="L24" s="294"/>
      <c r="M24" s="301"/>
      <c r="N24" s="293"/>
      <c r="O24" s="294"/>
      <c r="P24" s="295"/>
      <c r="Q24" s="302"/>
      <c r="R24" s="294"/>
      <c r="S24" s="301"/>
      <c r="T24" s="293"/>
      <c r="U24" s="294"/>
      <c r="V24" s="295"/>
      <c r="W24" s="302"/>
      <c r="X24" s="294"/>
      <c r="Y24" s="301"/>
      <c r="Z24" s="293"/>
      <c r="AA24" s="294"/>
      <c r="AB24" s="295"/>
      <c r="AC24" s="302"/>
      <c r="AD24" s="294"/>
      <c r="AE24" s="301"/>
      <c r="AF24" s="293"/>
      <c r="AG24" s="294"/>
      <c r="AH24" s="295"/>
      <c r="AI24" s="302"/>
      <c r="AJ24" s="294"/>
      <c r="AK24" s="301"/>
      <c r="AL24" s="293"/>
      <c r="AM24" s="294"/>
      <c r="AN24" s="295"/>
      <c r="AO24" s="302"/>
      <c r="AP24" s="294"/>
      <c r="AQ24" s="301"/>
      <c r="AR24" s="293"/>
      <c r="AS24" s="294"/>
      <c r="AT24" s="295"/>
      <c r="AU24" s="302"/>
      <c r="AV24" s="294"/>
      <c r="AW24" s="301"/>
      <c r="AX24" s="293"/>
      <c r="AY24" s="294"/>
      <c r="AZ24" s="295"/>
      <c r="BA24" s="302"/>
      <c r="BB24" s="294"/>
      <c r="BC24" s="301"/>
      <c r="BD24" s="293"/>
      <c r="BE24" s="294"/>
      <c r="BF24" s="295"/>
      <c r="BG24" s="302"/>
      <c r="BH24" s="294"/>
      <c r="BI24" s="301"/>
      <c r="BJ24" s="293"/>
      <c r="BK24" s="294"/>
      <c r="BL24" s="295"/>
      <c r="BM24" s="302"/>
      <c r="BN24" s="294"/>
      <c r="BO24" s="301"/>
      <c r="BP24" s="293"/>
      <c r="BQ24" s="294"/>
      <c r="BR24" s="295"/>
      <c r="BS24" s="302"/>
      <c r="BT24" s="294"/>
      <c r="BU24" s="301"/>
      <c r="BV24" s="293"/>
      <c r="BW24" s="294"/>
      <c r="BX24" s="295"/>
      <c r="BY24" s="302"/>
      <c r="BZ24" s="294"/>
      <c r="CA24" s="301"/>
      <c r="CB24" s="293"/>
      <c r="CC24" s="294"/>
      <c r="CD24" s="295"/>
      <c r="CE24" s="302"/>
      <c r="CF24" s="294"/>
      <c r="CG24" s="301"/>
      <c r="CH24" s="293"/>
      <c r="CI24" s="294"/>
      <c r="CJ24" s="295"/>
      <c r="CK24" s="302"/>
      <c r="CL24" s="294"/>
      <c r="CM24" s="301"/>
      <c r="CN24" s="293"/>
      <c r="CO24" s="294"/>
      <c r="CP24" s="295"/>
      <c r="CQ24" s="302"/>
      <c r="CR24" s="294"/>
      <c r="CS24" s="301"/>
      <c r="CT24" s="302"/>
      <c r="CU24" s="294"/>
      <c r="CV24" s="301"/>
      <c r="CW24" s="302"/>
      <c r="CX24" s="294"/>
      <c r="CY24" s="301"/>
      <c r="CZ24" s="302"/>
      <c r="DA24" s="294"/>
      <c r="DB24" s="301"/>
      <c r="DC24" s="380">
        <f t="shared" si="0"/>
        <v>0</v>
      </c>
      <c r="DD24" s="381">
        <f t="shared" si="1"/>
        <v>0</v>
      </c>
      <c r="DE24" s="381">
        <f t="shared" si="2"/>
        <v>0</v>
      </c>
    </row>
    <row r="25" spans="1:109">
      <c r="A25" s="240">
        <v>18</v>
      </c>
      <c r="B25" s="241"/>
      <c r="C25" s="43"/>
      <c r="D25" s="289"/>
      <c r="E25" s="302"/>
      <c r="F25" s="294"/>
      <c r="G25" s="301"/>
      <c r="H25" s="293"/>
      <c r="I25" s="294"/>
      <c r="J25" s="295"/>
      <c r="K25" s="302"/>
      <c r="L25" s="294"/>
      <c r="M25" s="301"/>
      <c r="N25" s="293"/>
      <c r="O25" s="294"/>
      <c r="P25" s="295"/>
      <c r="Q25" s="302"/>
      <c r="R25" s="294"/>
      <c r="S25" s="301"/>
      <c r="T25" s="293"/>
      <c r="U25" s="294"/>
      <c r="V25" s="295"/>
      <c r="W25" s="302"/>
      <c r="X25" s="294"/>
      <c r="Y25" s="301"/>
      <c r="Z25" s="293"/>
      <c r="AA25" s="294"/>
      <c r="AB25" s="295"/>
      <c r="AC25" s="302"/>
      <c r="AD25" s="294"/>
      <c r="AE25" s="301"/>
      <c r="AF25" s="293"/>
      <c r="AG25" s="294"/>
      <c r="AH25" s="295"/>
      <c r="AI25" s="302"/>
      <c r="AJ25" s="294"/>
      <c r="AK25" s="301"/>
      <c r="AL25" s="293"/>
      <c r="AM25" s="294"/>
      <c r="AN25" s="295"/>
      <c r="AO25" s="302"/>
      <c r="AP25" s="294"/>
      <c r="AQ25" s="301"/>
      <c r="AR25" s="293"/>
      <c r="AS25" s="294"/>
      <c r="AT25" s="295"/>
      <c r="AU25" s="302"/>
      <c r="AV25" s="294"/>
      <c r="AW25" s="301"/>
      <c r="AX25" s="293"/>
      <c r="AY25" s="294"/>
      <c r="AZ25" s="295"/>
      <c r="BA25" s="302"/>
      <c r="BB25" s="294"/>
      <c r="BC25" s="301"/>
      <c r="BD25" s="293"/>
      <c r="BE25" s="294"/>
      <c r="BF25" s="295"/>
      <c r="BG25" s="302"/>
      <c r="BH25" s="294"/>
      <c r="BI25" s="301"/>
      <c r="BJ25" s="293"/>
      <c r="BK25" s="294"/>
      <c r="BL25" s="295"/>
      <c r="BM25" s="302"/>
      <c r="BN25" s="294"/>
      <c r="BO25" s="301"/>
      <c r="BP25" s="293"/>
      <c r="BQ25" s="294"/>
      <c r="BR25" s="295"/>
      <c r="BS25" s="302"/>
      <c r="BT25" s="294"/>
      <c r="BU25" s="301"/>
      <c r="BV25" s="293"/>
      <c r="BW25" s="294"/>
      <c r="BX25" s="295"/>
      <c r="BY25" s="302"/>
      <c r="BZ25" s="294"/>
      <c r="CA25" s="301"/>
      <c r="CB25" s="293"/>
      <c r="CC25" s="294"/>
      <c r="CD25" s="295"/>
      <c r="CE25" s="302"/>
      <c r="CF25" s="294"/>
      <c r="CG25" s="301"/>
      <c r="CH25" s="293"/>
      <c r="CI25" s="294"/>
      <c r="CJ25" s="295"/>
      <c r="CK25" s="302"/>
      <c r="CL25" s="294"/>
      <c r="CM25" s="301"/>
      <c r="CN25" s="293"/>
      <c r="CO25" s="294"/>
      <c r="CP25" s="295"/>
      <c r="CQ25" s="302"/>
      <c r="CR25" s="294"/>
      <c r="CS25" s="301"/>
      <c r="CT25" s="302"/>
      <c r="CU25" s="294"/>
      <c r="CV25" s="301"/>
      <c r="CW25" s="302"/>
      <c r="CX25" s="294"/>
      <c r="CY25" s="301"/>
      <c r="CZ25" s="302"/>
      <c r="DA25" s="294"/>
      <c r="DB25" s="301"/>
      <c r="DC25" s="380">
        <f t="shared" si="0"/>
        <v>0</v>
      </c>
      <c r="DD25" s="381">
        <f t="shared" si="1"/>
        <v>0</v>
      </c>
      <c r="DE25" s="381">
        <f t="shared" si="2"/>
        <v>0</v>
      </c>
    </row>
    <row r="26" spans="1:109">
      <c r="A26" s="240">
        <v>19</v>
      </c>
      <c r="B26" s="241"/>
      <c r="C26" s="43"/>
      <c r="D26" s="289"/>
      <c r="E26" s="302"/>
      <c r="F26" s="294"/>
      <c r="G26" s="301"/>
      <c r="H26" s="293"/>
      <c r="I26" s="294"/>
      <c r="J26" s="295"/>
      <c r="K26" s="302"/>
      <c r="L26" s="294"/>
      <c r="M26" s="301"/>
      <c r="N26" s="293"/>
      <c r="O26" s="294"/>
      <c r="P26" s="295"/>
      <c r="Q26" s="302"/>
      <c r="R26" s="294"/>
      <c r="S26" s="301"/>
      <c r="T26" s="293"/>
      <c r="U26" s="294"/>
      <c r="V26" s="295"/>
      <c r="W26" s="302"/>
      <c r="X26" s="294"/>
      <c r="Y26" s="301"/>
      <c r="Z26" s="293"/>
      <c r="AA26" s="294"/>
      <c r="AB26" s="295"/>
      <c r="AC26" s="302"/>
      <c r="AD26" s="294"/>
      <c r="AE26" s="301"/>
      <c r="AF26" s="293"/>
      <c r="AG26" s="294"/>
      <c r="AH26" s="295"/>
      <c r="AI26" s="302"/>
      <c r="AJ26" s="294"/>
      <c r="AK26" s="301"/>
      <c r="AL26" s="293"/>
      <c r="AM26" s="294"/>
      <c r="AN26" s="295"/>
      <c r="AO26" s="302"/>
      <c r="AP26" s="294"/>
      <c r="AQ26" s="301"/>
      <c r="AR26" s="293"/>
      <c r="AS26" s="294"/>
      <c r="AT26" s="295"/>
      <c r="AU26" s="302"/>
      <c r="AV26" s="294"/>
      <c r="AW26" s="301"/>
      <c r="AX26" s="293"/>
      <c r="AY26" s="294"/>
      <c r="AZ26" s="295"/>
      <c r="BA26" s="302"/>
      <c r="BB26" s="294"/>
      <c r="BC26" s="301"/>
      <c r="BD26" s="293"/>
      <c r="BE26" s="294"/>
      <c r="BF26" s="295"/>
      <c r="BG26" s="302"/>
      <c r="BH26" s="294"/>
      <c r="BI26" s="301"/>
      <c r="BJ26" s="293"/>
      <c r="BK26" s="294"/>
      <c r="BL26" s="295"/>
      <c r="BM26" s="302"/>
      <c r="BN26" s="294"/>
      <c r="BO26" s="301"/>
      <c r="BP26" s="293"/>
      <c r="BQ26" s="294"/>
      <c r="BR26" s="295"/>
      <c r="BS26" s="302"/>
      <c r="BT26" s="294"/>
      <c r="BU26" s="301"/>
      <c r="BV26" s="293"/>
      <c r="BW26" s="294"/>
      <c r="BX26" s="295"/>
      <c r="BY26" s="302"/>
      <c r="BZ26" s="294"/>
      <c r="CA26" s="301"/>
      <c r="CB26" s="293"/>
      <c r="CC26" s="294"/>
      <c r="CD26" s="295"/>
      <c r="CE26" s="302"/>
      <c r="CF26" s="294"/>
      <c r="CG26" s="301"/>
      <c r="CH26" s="293"/>
      <c r="CI26" s="294"/>
      <c r="CJ26" s="295"/>
      <c r="CK26" s="302"/>
      <c r="CL26" s="294"/>
      <c r="CM26" s="301"/>
      <c r="CN26" s="293"/>
      <c r="CO26" s="294"/>
      <c r="CP26" s="295"/>
      <c r="CQ26" s="302"/>
      <c r="CR26" s="294"/>
      <c r="CS26" s="301"/>
      <c r="CT26" s="302"/>
      <c r="CU26" s="294"/>
      <c r="CV26" s="301"/>
      <c r="CW26" s="302"/>
      <c r="CX26" s="294"/>
      <c r="CY26" s="301"/>
      <c r="CZ26" s="302"/>
      <c r="DA26" s="294"/>
      <c r="DB26" s="301"/>
      <c r="DC26" s="380">
        <f t="shared" si="0"/>
        <v>0</v>
      </c>
      <c r="DD26" s="381">
        <f t="shared" si="1"/>
        <v>0</v>
      </c>
      <c r="DE26" s="381">
        <f t="shared" si="2"/>
        <v>0</v>
      </c>
    </row>
    <row r="27" spans="1:109">
      <c r="A27" s="240">
        <v>20</v>
      </c>
      <c r="B27" s="241"/>
      <c r="C27" s="43"/>
      <c r="D27" s="289"/>
      <c r="E27" s="302"/>
      <c r="F27" s="294"/>
      <c r="G27" s="301"/>
      <c r="H27" s="293"/>
      <c r="I27" s="294"/>
      <c r="J27" s="295"/>
      <c r="K27" s="302"/>
      <c r="L27" s="294"/>
      <c r="M27" s="301"/>
      <c r="N27" s="293"/>
      <c r="O27" s="294"/>
      <c r="P27" s="295"/>
      <c r="Q27" s="302"/>
      <c r="R27" s="294"/>
      <c r="S27" s="301"/>
      <c r="T27" s="293"/>
      <c r="U27" s="294"/>
      <c r="V27" s="295"/>
      <c r="W27" s="302"/>
      <c r="X27" s="294"/>
      <c r="Y27" s="301"/>
      <c r="Z27" s="293"/>
      <c r="AA27" s="294"/>
      <c r="AB27" s="295"/>
      <c r="AC27" s="302"/>
      <c r="AD27" s="294"/>
      <c r="AE27" s="301"/>
      <c r="AF27" s="293"/>
      <c r="AG27" s="294"/>
      <c r="AH27" s="295"/>
      <c r="AI27" s="302"/>
      <c r="AJ27" s="294"/>
      <c r="AK27" s="301"/>
      <c r="AL27" s="293"/>
      <c r="AM27" s="294"/>
      <c r="AN27" s="295"/>
      <c r="AO27" s="302"/>
      <c r="AP27" s="294"/>
      <c r="AQ27" s="301"/>
      <c r="AR27" s="293"/>
      <c r="AS27" s="294"/>
      <c r="AT27" s="295"/>
      <c r="AU27" s="302"/>
      <c r="AV27" s="294"/>
      <c r="AW27" s="301"/>
      <c r="AX27" s="293"/>
      <c r="AY27" s="294"/>
      <c r="AZ27" s="295"/>
      <c r="BA27" s="302"/>
      <c r="BB27" s="294"/>
      <c r="BC27" s="301"/>
      <c r="BD27" s="293"/>
      <c r="BE27" s="294"/>
      <c r="BF27" s="295"/>
      <c r="BG27" s="302"/>
      <c r="BH27" s="294"/>
      <c r="BI27" s="301"/>
      <c r="BJ27" s="293"/>
      <c r="BK27" s="294"/>
      <c r="BL27" s="295"/>
      <c r="BM27" s="302"/>
      <c r="BN27" s="294"/>
      <c r="BO27" s="301"/>
      <c r="BP27" s="293"/>
      <c r="BQ27" s="294"/>
      <c r="BR27" s="295"/>
      <c r="BS27" s="302"/>
      <c r="BT27" s="294"/>
      <c r="BU27" s="301"/>
      <c r="BV27" s="293"/>
      <c r="BW27" s="294"/>
      <c r="BX27" s="295"/>
      <c r="BY27" s="302"/>
      <c r="BZ27" s="294"/>
      <c r="CA27" s="301"/>
      <c r="CB27" s="293"/>
      <c r="CC27" s="294"/>
      <c r="CD27" s="295"/>
      <c r="CE27" s="302"/>
      <c r="CF27" s="294"/>
      <c r="CG27" s="301"/>
      <c r="CH27" s="293"/>
      <c r="CI27" s="294"/>
      <c r="CJ27" s="295"/>
      <c r="CK27" s="302"/>
      <c r="CL27" s="294"/>
      <c r="CM27" s="301"/>
      <c r="CN27" s="293"/>
      <c r="CO27" s="294"/>
      <c r="CP27" s="295"/>
      <c r="CQ27" s="302"/>
      <c r="CR27" s="294"/>
      <c r="CS27" s="301"/>
      <c r="CT27" s="302"/>
      <c r="CU27" s="294"/>
      <c r="CV27" s="301"/>
      <c r="CW27" s="302"/>
      <c r="CX27" s="294"/>
      <c r="CY27" s="301"/>
      <c r="CZ27" s="302"/>
      <c r="DA27" s="294"/>
      <c r="DB27" s="301"/>
      <c r="DC27" s="380">
        <f t="shared" si="0"/>
        <v>0</v>
      </c>
      <c r="DD27" s="381">
        <f t="shared" si="1"/>
        <v>0</v>
      </c>
      <c r="DE27" s="381">
        <f t="shared" si="2"/>
        <v>0</v>
      </c>
    </row>
    <row r="28" spans="1:109">
      <c r="A28" s="240">
        <v>21</v>
      </c>
      <c r="B28" s="241"/>
      <c r="C28" s="43"/>
      <c r="D28" s="289"/>
      <c r="E28" s="302"/>
      <c r="F28" s="294"/>
      <c r="G28" s="301"/>
      <c r="H28" s="293"/>
      <c r="I28" s="294"/>
      <c r="J28" s="295"/>
      <c r="K28" s="302"/>
      <c r="L28" s="294"/>
      <c r="M28" s="301"/>
      <c r="N28" s="293"/>
      <c r="O28" s="294"/>
      <c r="P28" s="295"/>
      <c r="Q28" s="302"/>
      <c r="R28" s="294"/>
      <c r="S28" s="301"/>
      <c r="T28" s="293"/>
      <c r="U28" s="294"/>
      <c r="V28" s="295"/>
      <c r="W28" s="302"/>
      <c r="X28" s="294"/>
      <c r="Y28" s="301"/>
      <c r="Z28" s="293"/>
      <c r="AA28" s="294"/>
      <c r="AB28" s="295"/>
      <c r="AC28" s="302"/>
      <c r="AD28" s="294"/>
      <c r="AE28" s="301"/>
      <c r="AF28" s="293"/>
      <c r="AG28" s="294"/>
      <c r="AH28" s="295"/>
      <c r="AI28" s="302"/>
      <c r="AJ28" s="294"/>
      <c r="AK28" s="301"/>
      <c r="AL28" s="293"/>
      <c r="AM28" s="294"/>
      <c r="AN28" s="295"/>
      <c r="AO28" s="302"/>
      <c r="AP28" s="294"/>
      <c r="AQ28" s="301"/>
      <c r="AR28" s="293"/>
      <c r="AS28" s="294"/>
      <c r="AT28" s="295"/>
      <c r="AU28" s="302"/>
      <c r="AV28" s="294"/>
      <c r="AW28" s="301"/>
      <c r="AX28" s="293"/>
      <c r="AY28" s="294"/>
      <c r="AZ28" s="295"/>
      <c r="BA28" s="302"/>
      <c r="BB28" s="294"/>
      <c r="BC28" s="301"/>
      <c r="BD28" s="293"/>
      <c r="BE28" s="294"/>
      <c r="BF28" s="295"/>
      <c r="BG28" s="302"/>
      <c r="BH28" s="294"/>
      <c r="BI28" s="301"/>
      <c r="BJ28" s="293"/>
      <c r="BK28" s="294"/>
      <c r="BL28" s="295"/>
      <c r="BM28" s="302"/>
      <c r="BN28" s="294"/>
      <c r="BO28" s="301"/>
      <c r="BP28" s="293"/>
      <c r="BQ28" s="294"/>
      <c r="BR28" s="295"/>
      <c r="BS28" s="302"/>
      <c r="BT28" s="294"/>
      <c r="BU28" s="301"/>
      <c r="BV28" s="293"/>
      <c r="BW28" s="294"/>
      <c r="BX28" s="295"/>
      <c r="BY28" s="302"/>
      <c r="BZ28" s="294"/>
      <c r="CA28" s="301"/>
      <c r="CB28" s="293"/>
      <c r="CC28" s="294"/>
      <c r="CD28" s="295"/>
      <c r="CE28" s="302"/>
      <c r="CF28" s="294"/>
      <c r="CG28" s="301"/>
      <c r="CH28" s="293"/>
      <c r="CI28" s="294"/>
      <c r="CJ28" s="295"/>
      <c r="CK28" s="302"/>
      <c r="CL28" s="294"/>
      <c r="CM28" s="301"/>
      <c r="CN28" s="293"/>
      <c r="CO28" s="294"/>
      <c r="CP28" s="295"/>
      <c r="CQ28" s="302"/>
      <c r="CR28" s="294"/>
      <c r="CS28" s="301"/>
      <c r="CT28" s="302"/>
      <c r="CU28" s="294"/>
      <c r="CV28" s="301"/>
      <c r="CW28" s="302"/>
      <c r="CX28" s="294"/>
      <c r="CY28" s="301"/>
      <c r="CZ28" s="302"/>
      <c r="DA28" s="294"/>
      <c r="DB28" s="301"/>
      <c r="DC28" s="380">
        <f t="shared" si="0"/>
        <v>0</v>
      </c>
      <c r="DD28" s="381">
        <f t="shared" si="1"/>
        <v>0</v>
      </c>
      <c r="DE28" s="381">
        <f t="shared" si="2"/>
        <v>0</v>
      </c>
    </row>
    <row r="29" spans="1:109">
      <c r="A29" s="240">
        <v>22</v>
      </c>
      <c r="B29" s="241"/>
      <c r="C29" s="43"/>
      <c r="D29" s="289"/>
      <c r="E29" s="302"/>
      <c r="F29" s="294"/>
      <c r="G29" s="301"/>
      <c r="H29" s="281"/>
      <c r="I29" s="43"/>
      <c r="J29" s="295"/>
      <c r="K29" s="302"/>
      <c r="L29" s="294"/>
      <c r="M29" s="301"/>
      <c r="N29" s="293"/>
      <c r="O29" s="294"/>
      <c r="P29" s="295"/>
      <c r="Q29" s="302"/>
      <c r="R29" s="294"/>
      <c r="S29" s="301"/>
      <c r="T29" s="293"/>
      <c r="U29" s="294"/>
      <c r="V29" s="295"/>
      <c r="W29" s="302"/>
      <c r="X29" s="294"/>
      <c r="Y29" s="301"/>
      <c r="Z29" s="293"/>
      <c r="AA29" s="294"/>
      <c r="AB29" s="295"/>
      <c r="AC29" s="302"/>
      <c r="AD29" s="294"/>
      <c r="AE29" s="301"/>
      <c r="AF29" s="293"/>
      <c r="AG29" s="294"/>
      <c r="AH29" s="295"/>
      <c r="AI29" s="302"/>
      <c r="AJ29" s="294"/>
      <c r="AK29" s="301"/>
      <c r="AL29" s="293"/>
      <c r="AM29" s="294"/>
      <c r="AN29" s="295"/>
      <c r="AO29" s="302"/>
      <c r="AP29" s="294"/>
      <c r="AQ29" s="301"/>
      <c r="AR29" s="293"/>
      <c r="AS29" s="294"/>
      <c r="AT29" s="295"/>
      <c r="AU29" s="302"/>
      <c r="AV29" s="294"/>
      <c r="AW29" s="301"/>
      <c r="AX29" s="293"/>
      <c r="AY29" s="294"/>
      <c r="AZ29" s="295"/>
      <c r="BA29" s="302"/>
      <c r="BB29" s="294"/>
      <c r="BC29" s="301"/>
      <c r="BD29" s="293"/>
      <c r="BE29" s="294"/>
      <c r="BF29" s="295"/>
      <c r="BG29" s="302"/>
      <c r="BH29" s="294"/>
      <c r="BI29" s="301"/>
      <c r="BJ29" s="293"/>
      <c r="BK29" s="294"/>
      <c r="BL29" s="295"/>
      <c r="BM29" s="302"/>
      <c r="BN29" s="294"/>
      <c r="BO29" s="301"/>
      <c r="BP29" s="293"/>
      <c r="BQ29" s="294"/>
      <c r="BR29" s="295"/>
      <c r="BS29" s="302"/>
      <c r="BT29" s="294"/>
      <c r="BU29" s="301"/>
      <c r="BV29" s="293"/>
      <c r="BW29" s="294"/>
      <c r="BX29" s="295"/>
      <c r="BY29" s="302"/>
      <c r="BZ29" s="294"/>
      <c r="CA29" s="301"/>
      <c r="CB29" s="293"/>
      <c r="CC29" s="294"/>
      <c r="CD29" s="295"/>
      <c r="CE29" s="302"/>
      <c r="CF29" s="294"/>
      <c r="CG29" s="301"/>
      <c r="CH29" s="293"/>
      <c r="CI29" s="294"/>
      <c r="CJ29" s="295"/>
      <c r="CK29" s="302"/>
      <c r="CL29" s="294"/>
      <c r="CM29" s="301"/>
      <c r="CN29" s="293"/>
      <c r="CO29" s="294"/>
      <c r="CP29" s="295"/>
      <c r="CQ29" s="302"/>
      <c r="CR29" s="294"/>
      <c r="CS29" s="301"/>
      <c r="CT29" s="302"/>
      <c r="CU29" s="294"/>
      <c r="CV29" s="301"/>
      <c r="CW29" s="302"/>
      <c r="CX29" s="294"/>
      <c r="CY29" s="301"/>
      <c r="CZ29" s="302"/>
      <c r="DA29" s="294"/>
      <c r="DB29" s="301"/>
      <c r="DC29" s="380">
        <f t="shared" si="0"/>
        <v>0</v>
      </c>
      <c r="DD29" s="381">
        <f t="shared" si="1"/>
        <v>0</v>
      </c>
      <c r="DE29" s="381">
        <f t="shared" si="2"/>
        <v>0</v>
      </c>
    </row>
    <row r="30" spans="1:109">
      <c r="A30" s="240">
        <v>23</v>
      </c>
      <c r="B30" s="241"/>
      <c r="C30" s="43"/>
      <c r="D30" s="289"/>
      <c r="E30" s="302"/>
      <c r="F30" s="294"/>
      <c r="G30" s="301"/>
      <c r="H30" s="281"/>
      <c r="I30" s="43"/>
      <c r="J30" s="295"/>
      <c r="K30" s="302"/>
      <c r="L30" s="294"/>
      <c r="M30" s="301"/>
      <c r="N30" s="293"/>
      <c r="O30" s="294"/>
      <c r="P30" s="295"/>
      <c r="Q30" s="302"/>
      <c r="R30" s="294"/>
      <c r="S30" s="301"/>
      <c r="T30" s="293"/>
      <c r="U30" s="294"/>
      <c r="V30" s="295"/>
      <c r="W30" s="302"/>
      <c r="X30" s="294"/>
      <c r="Y30" s="301"/>
      <c r="Z30" s="293"/>
      <c r="AA30" s="294"/>
      <c r="AB30" s="295"/>
      <c r="AC30" s="302"/>
      <c r="AD30" s="294"/>
      <c r="AE30" s="301"/>
      <c r="AF30" s="293"/>
      <c r="AG30" s="294"/>
      <c r="AH30" s="295"/>
      <c r="AI30" s="302"/>
      <c r="AJ30" s="294"/>
      <c r="AK30" s="301"/>
      <c r="AL30" s="293"/>
      <c r="AM30" s="294"/>
      <c r="AN30" s="295"/>
      <c r="AO30" s="302"/>
      <c r="AP30" s="294"/>
      <c r="AQ30" s="301"/>
      <c r="AR30" s="293"/>
      <c r="AS30" s="294"/>
      <c r="AT30" s="295"/>
      <c r="AU30" s="302"/>
      <c r="AV30" s="294"/>
      <c r="AW30" s="301"/>
      <c r="AX30" s="293"/>
      <c r="AY30" s="294"/>
      <c r="AZ30" s="295"/>
      <c r="BA30" s="302"/>
      <c r="BB30" s="294"/>
      <c r="BC30" s="301"/>
      <c r="BD30" s="293"/>
      <c r="BE30" s="294"/>
      <c r="BF30" s="295"/>
      <c r="BG30" s="302"/>
      <c r="BH30" s="294"/>
      <c r="BI30" s="301"/>
      <c r="BJ30" s="293"/>
      <c r="BK30" s="294"/>
      <c r="BL30" s="295"/>
      <c r="BM30" s="302"/>
      <c r="BN30" s="294"/>
      <c r="BO30" s="301"/>
      <c r="BP30" s="293"/>
      <c r="BQ30" s="294"/>
      <c r="BR30" s="295"/>
      <c r="BS30" s="302"/>
      <c r="BT30" s="294"/>
      <c r="BU30" s="301"/>
      <c r="BV30" s="293"/>
      <c r="BW30" s="294"/>
      <c r="BX30" s="295"/>
      <c r="BY30" s="302"/>
      <c r="BZ30" s="294"/>
      <c r="CA30" s="301"/>
      <c r="CB30" s="293"/>
      <c r="CC30" s="294"/>
      <c r="CD30" s="295"/>
      <c r="CE30" s="302"/>
      <c r="CF30" s="294"/>
      <c r="CG30" s="301"/>
      <c r="CH30" s="293"/>
      <c r="CI30" s="294"/>
      <c r="CJ30" s="295"/>
      <c r="CK30" s="302"/>
      <c r="CL30" s="294"/>
      <c r="CM30" s="301"/>
      <c r="CN30" s="293"/>
      <c r="CO30" s="294"/>
      <c r="CP30" s="295"/>
      <c r="CQ30" s="302"/>
      <c r="CR30" s="294"/>
      <c r="CS30" s="301"/>
      <c r="CT30" s="302"/>
      <c r="CU30" s="294"/>
      <c r="CV30" s="301"/>
      <c r="CW30" s="302"/>
      <c r="CX30" s="294"/>
      <c r="CY30" s="301"/>
      <c r="CZ30" s="302"/>
      <c r="DA30" s="294"/>
      <c r="DB30" s="301"/>
      <c r="DC30" s="380">
        <f t="shared" si="0"/>
        <v>0</v>
      </c>
      <c r="DD30" s="381">
        <f t="shared" si="1"/>
        <v>0</v>
      </c>
      <c r="DE30" s="381">
        <f t="shared" si="2"/>
        <v>0</v>
      </c>
    </row>
    <row r="31" spans="1:109">
      <c r="A31" s="240">
        <v>24</v>
      </c>
      <c r="B31" s="241"/>
      <c r="C31" s="43"/>
      <c r="D31" s="289"/>
      <c r="E31" s="302"/>
      <c r="F31" s="294"/>
      <c r="G31" s="301"/>
      <c r="H31" s="293"/>
      <c r="I31" s="294"/>
      <c r="J31" s="295"/>
      <c r="K31" s="302"/>
      <c r="L31" s="294"/>
      <c r="M31" s="301"/>
      <c r="N31" s="293"/>
      <c r="O31" s="294"/>
      <c r="P31" s="295"/>
      <c r="Q31" s="302"/>
      <c r="R31" s="294"/>
      <c r="S31" s="301"/>
      <c r="T31" s="293"/>
      <c r="U31" s="294"/>
      <c r="V31" s="295"/>
      <c r="W31" s="302"/>
      <c r="X31" s="294"/>
      <c r="Y31" s="301"/>
      <c r="Z31" s="293"/>
      <c r="AA31" s="294"/>
      <c r="AB31" s="295"/>
      <c r="AC31" s="302"/>
      <c r="AD31" s="294"/>
      <c r="AE31" s="301"/>
      <c r="AF31" s="293"/>
      <c r="AG31" s="294"/>
      <c r="AH31" s="295"/>
      <c r="AI31" s="302"/>
      <c r="AJ31" s="294"/>
      <c r="AK31" s="301"/>
      <c r="AL31" s="293"/>
      <c r="AM31" s="294"/>
      <c r="AN31" s="295"/>
      <c r="AO31" s="302"/>
      <c r="AP31" s="294"/>
      <c r="AQ31" s="301"/>
      <c r="AR31" s="293"/>
      <c r="AS31" s="294"/>
      <c r="AT31" s="295"/>
      <c r="AU31" s="302"/>
      <c r="AV31" s="294"/>
      <c r="AW31" s="301"/>
      <c r="AX31" s="293"/>
      <c r="AY31" s="294"/>
      <c r="AZ31" s="295"/>
      <c r="BA31" s="302"/>
      <c r="BB31" s="294"/>
      <c r="BC31" s="301"/>
      <c r="BD31" s="293"/>
      <c r="BE31" s="294"/>
      <c r="BF31" s="295"/>
      <c r="BG31" s="302"/>
      <c r="BH31" s="294"/>
      <c r="BI31" s="301"/>
      <c r="BJ31" s="293"/>
      <c r="BK31" s="294"/>
      <c r="BL31" s="295"/>
      <c r="BM31" s="302"/>
      <c r="BN31" s="294"/>
      <c r="BO31" s="301"/>
      <c r="BP31" s="293"/>
      <c r="BQ31" s="294"/>
      <c r="BR31" s="295"/>
      <c r="BS31" s="302"/>
      <c r="BT31" s="294"/>
      <c r="BU31" s="301"/>
      <c r="BV31" s="293"/>
      <c r="BW31" s="294"/>
      <c r="BX31" s="295"/>
      <c r="BY31" s="302"/>
      <c r="BZ31" s="294"/>
      <c r="CA31" s="301"/>
      <c r="CB31" s="293"/>
      <c r="CC31" s="294"/>
      <c r="CD31" s="295"/>
      <c r="CE31" s="302"/>
      <c r="CF31" s="294"/>
      <c r="CG31" s="301"/>
      <c r="CH31" s="293"/>
      <c r="CI31" s="294"/>
      <c r="CJ31" s="295"/>
      <c r="CK31" s="302"/>
      <c r="CL31" s="294"/>
      <c r="CM31" s="301"/>
      <c r="CN31" s="293"/>
      <c r="CO31" s="294"/>
      <c r="CP31" s="295"/>
      <c r="CQ31" s="302"/>
      <c r="CR31" s="294"/>
      <c r="CS31" s="301"/>
      <c r="CT31" s="302"/>
      <c r="CU31" s="294"/>
      <c r="CV31" s="301"/>
      <c r="CW31" s="302"/>
      <c r="CX31" s="294"/>
      <c r="CY31" s="301"/>
      <c r="CZ31" s="302"/>
      <c r="DA31" s="294"/>
      <c r="DB31" s="301"/>
      <c r="DC31" s="380">
        <f t="shared" si="0"/>
        <v>0</v>
      </c>
      <c r="DD31" s="381">
        <f t="shared" si="1"/>
        <v>0</v>
      </c>
      <c r="DE31" s="381">
        <f t="shared" si="2"/>
        <v>0</v>
      </c>
    </row>
    <row r="32" spans="1:109">
      <c r="A32" s="240">
        <v>25</v>
      </c>
      <c r="B32" s="241"/>
      <c r="C32" s="43"/>
      <c r="D32" s="289"/>
      <c r="E32" s="302"/>
      <c r="F32" s="294"/>
      <c r="G32" s="301"/>
      <c r="H32" s="293"/>
      <c r="I32" s="294"/>
      <c r="J32" s="295"/>
      <c r="K32" s="302"/>
      <c r="L32" s="294"/>
      <c r="M32" s="301"/>
      <c r="N32" s="293"/>
      <c r="O32" s="294"/>
      <c r="P32" s="295"/>
      <c r="Q32" s="302"/>
      <c r="R32" s="294"/>
      <c r="S32" s="301"/>
      <c r="T32" s="293"/>
      <c r="U32" s="294"/>
      <c r="V32" s="295"/>
      <c r="W32" s="302"/>
      <c r="X32" s="294"/>
      <c r="Y32" s="301"/>
      <c r="Z32" s="293"/>
      <c r="AA32" s="294"/>
      <c r="AB32" s="295"/>
      <c r="AC32" s="302"/>
      <c r="AD32" s="294"/>
      <c r="AE32" s="301"/>
      <c r="AF32" s="293"/>
      <c r="AG32" s="294"/>
      <c r="AH32" s="295"/>
      <c r="AI32" s="302"/>
      <c r="AJ32" s="294"/>
      <c r="AK32" s="301"/>
      <c r="AL32" s="293"/>
      <c r="AM32" s="294"/>
      <c r="AN32" s="295"/>
      <c r="AO32" s="302"/>
      <c r="AP32" s="294"/>
      <c r="AQ32" s="301"/>
      <c r="AR32" s="293"/>
      <c r="AS32" s="294"/>
      <c r="AT32" s="295"/>
      <c r="AU32" s="302"/>
      <c r="AV32" s="294"/>
      <c r="AW32" s="301"/>
      <c r="AX32" s="293"/>
      <c r="AY32" s="294"/>
      <c r="AZ32" s="295"/>
      <c r="BA32" s="302"/>
      <c r="BB32" s="294"/>
      <c r="BC32" s="301"/>
      <c r="BD32" s="293"/>
      <c r="BE32" s="294"/>
      <c r="BF32" s="295"/>
      <c r="BG32" s="302"/>
      <c r="BH32" s="294"/>
      <c r="BI32" s="301"/>
      <c r="BJ32" s="293"/>
      <c r="BK32" s="294"/>
      <c r="BL32" s="295"/>
      <c r="BM32" s="302"/>
      <c r="BN32" s="294"/>
      <c r="BO32" s="301"/>
      <c r="BP32" s="293"/>
      <c r="BQ32" s="294"/>
      <c r="BR32" s="295"/>
      <c r="BS32" s="302"/>
      <c r="BT32" s="294"/>
      <c r="BU32" s="301"/>
      <c r="BV32" s="293"/>
      <c r="BW32" s="294"/>
      <c r="BX32" s="295"/>
      <c r="BY32" s="302"/>
      <c r="BZ32" s="294"/>
      <c r="CA32" s="301"/>
      <c r="CB32" s="293"/>
      <c r="CC32" s="294"/>
      <c r="CD32" s="295"/>
      <c r="CE32" s="302"/>
      <c r="CF32" s="294"/>
      <c r="CG32" s="301"/>
      <c r="CH32" s="293"/>
      <c r="CI32" s="294"/>
      <c r="CJ32" s="295"/>
      <c r="CK32" s="302"/>
      <c r="CL32" s="294"/>
      <c r="CM32" s="301"/>
      <c r="CN32" s="293"/>
      <c r="CO32" s="294"/>
      <c r="CP32" s="295"/>
      <c r="CQ32" s="302"/>
      <c r="CR32" s="294"/>
      <c r="CS32" s="301"/>
      <c r="CT32" s="302"/>
      <c r="CU32" s="294"/>
      <c r="CV32" s="301"/>
      <c r="CW32" s="302"/>
      <c r="CX32" s="294"/>
      <c r="CY32" s="301"/>
      <c r="CZ32" s="302"/>
      <c r="DA32" s="294"/>
      <c r="DB32" s="301"/>
      <c r="DC32" s="380">
        <f t="shared" si="0"/>
        <v>0</v>
      </c>
      <c r="DD32" s="381">
        <f t="shared" si="1"/>
        <v>0</v>
      </c>
      <c r="DE32" s="381">
        <f t="shared" si="2"/>
        <v>0</v>
      </c>
    </row>
    <row r="33" spans="1:110">
      <c r="A33" s="240">
        <v>26</v>
      </c>
      <c r="B33" s="241"/>
      <c r="C33" s="43"/>
      <c r="D33" s="289"/>
      <c r="E33" s="302"/>
      <c r="F33" s="294"/>
      <c r="G33" s="301"/>
      <c r="H33" s="281"/>
      <c r="I33" s="294"/>
      <c r="J33" s="295"/>
      <c r="K33" s="302"/>
      <c r="L33" s="294"/>
      <c r="M33" s="301"/>
      <c r="N33" s="293"/>
      <c r="O33" s="294"/>
      <c r="P33" s="295"/>
      <c r="Q33" s="302"/>
      <c r="R33" s="294"/>
      <c r="S33" s="301"/>
      <c r="T33" s="293"/>
      <c r="U33" s="294"/>
      <c r="V33" s="295"/>
      <c r="W33" s="302"/>
      <c r="X33" s="294"/>
      <c r="Y33" s="301"/>
      <c r="Z33" s="293"/>
      <c r="AA33" s="294"/>
      <c r="AB33" s="295"/>
      <c r="AC33" s="302"/>
      <c r="AD33" s="294"/>
      <c r="AE33" s="301"/>
      <c r="AF33" s="293"/>
      <c r="AG33" s="294"/>
      <c r="AH33" s="295"/>
      <c r="AI33" s="302"/>
      <c r="AJ33" s="294"/>
      <c r="AK33" s="301"/>
      <c r="AL33" s="293"/>
      <c r="AM33" s="294"/>
      <c r="AN33" s="295"/>
      <c r="AO33" s="302"/>
      <c r="AP33" s="294"/>
      <c r="AQ33" s="301"/>
      <c r="AR33" s="293"/>
      <c r="AS33" s="294"/>
      <c r="AT33" s="295"/>
      <c r="AU33" s="302"/>
      <c r="AV33" s="294"/>
      <c r="AW33" s="301"/>
      <c r="AX33" s="293"/>
      <c r="AY33" s="294"/>
      <c r="AZ33" s="295"/>
      <c r="BA33" s="302"/>
      <c r="BB33" s="294"/>
      <c r="BC33" s="301"/>
      <c r="BD33" s="293"/>
      <c r="BE33" s="294"/>
      <c r="BF33" s="295"/>
      <c r="BG33" s="302"/>
      <c r="BH33" s="294"/>
      <c r="BI33" s="301"/>
      <c r="BJ33" s="293"/>
      <c r="BK33" s="294"/>
      <c r="BL33" s="295"/>
      <c r="BM33" s="302"/>
      <c r="BN33" s="294"/>
      <c r="BO33" s="301"/>
      <c r="BP33" s="293"/>
      <c r="BQ33" s="294"/>
      <c r="BR33" s="295"/>
      <c r="BS33" s="302"/>
      <c r="BT33" s="294"/>
      <c r="BU33" s="301"/>
      <c r="BV33" s="293"/>
      <c r="BW33" s="294"/>
      <c r="BX33" s="295"/>
      <c r="BY33" s="302"/>
      <c r="BZ33" s="294"/>
      <c r="CA33" s="301"/>
      <c r="CB33" s="293"/>
      <c r="CC33" s="294"/>
      <c r="CD33" s="295"/>
      <c r="CE33" s="302"/>
      <c r="CF33" s="294"/>
      <c r="CG33" s="301"/>
      <c r="CH33" s="293"/>
      <c r="CI33" s="294"/>
      <c r="CJ33" s="295"/>
      <c r="CK33" s="302"/>
      <c r="CL33" s="294"/>
      <c r="CM33" s="301"/>
      <c r="CN33" s="293"/>
      <c r="CO33" s="294"/>
      <c r="CP33" s="295"/>
      <c r="CQ33" s="302"/>
      <c r="CR33" s="294"/>
      <c r="CS33" s="301"/>
      <c r="CT33" s="302"/>
      <c r="CU33" s="294"/>
      <c r="CV33" s="301"/>
      <c r="CW33" s="302"/>
      <c r="CX33" s="294"/>
      <c r="CY33" s="301"/>
      <c r="CZ33" s="302"/>
      <c r="DA33" s="294"/>
      <c r="DB33" s="301"/>
      <c r="DC33" s="380">
        <f t="shared" si="0"/>
        <v>0</v>
      </c>
      <c r="DD33" s="381">
        <f t="shared" si="1"/>
        <v>0</v>
      </c>
      <c r="DE33" s="381">
        <f t="shared" si="2"/>
        <v>0</v>
      </c>
    </row>
    <row r="34" spans="1:110">
      <c r="A34" s="240">
        <v>27</v>
      </c>
      <c r="B34" s="241"/>
      <c r="C34" s="43"/>
      <c r="D34" s="289"/>
      <c r="E34" s="302"/>
      <c r="F34" s="294"/>
      <c r="G34" s="301"/>
      <c r="H34" s="293"/>
      <c r="I34" s="294"/>
      <c r="J34" s="295"/>
      <c r="K34" s="302"/>
      <c r="L34" s="294"/>
      <c r="M34" s="301"/>
      <c r="N34" s="293"/>
      <c r="O34" s="294"/>
      <c r="P34" s="295"/>
      <c r="Q34" s="302"/>
      <c r="R34" s="294"/>
      <c r="S34" s="301"/>
      <c r="T34" s="293"/>
      <c r="U34" s="294"/>
      <c r="V34" s="295"/>
      <c r="W34" s="302"/>
      <c r="X34" s="294"/>
      <c r="Y34" s="301"/>
      <c r="Z34" s="293"/>
      <c r="AA34" s="294"/>
      <c r="AB34" s="295"/>
      <c r="AC34" s="302"/>
      <c r="AD34" s="294"/>
      <c r="AE34" s="301"/>
      <c r="AF34" s="293"/>
      <c r="AG34" s="294"/>
      <c r="AH34" s="295"/>
      <c r="AI34" s="302"/>
      <c r="AJ34" s="294"/>
      <c r="AK34" s="301"/>
      <c r="AL34" s="293"/>
      <c r="AM34" s="294"/>
      <c r="AN34" s="295"/>
      <c r="AO34" s="302"/>
      <c r="AP34" s="294"/>
      <c r="AQ34" s="301"/>
      <c r="AR34" s="293"/>
      <c r="AS34" s="294"/>
      <c r="AT34" s="295"/>
      <c r="AU34" s="302"/>
      <c r="AV34" s="294"/>
      <c r="AW34" s="301"/>
      <c r="AX34" s="293"/>
      <c r="AY34" s="294"/>
      <c r="AZ34" s="295"/>
      <c r="BA34" s="302"/>
      <c r="BB34" s="294"/>
      <c r="BC34" s="301"/>
      <c r="BD34" s="293"/>
      <c r="BE34" s="294"/>
      <c r="BF34" s="295"/>
      <c r="BG34" s="302"/>
      <c r="BH34" s="294"/>
      <c r="BI34" s="301"/>
      <c r="BJ34" s="293"/>
      <c r="BK34" s="294"/>
      <c r="BL34" s="295"/>
      <c r="BM34" s="302"/>
      <c r="BN34" s="294"/>
      <c r="BO34" s="301"/>
      <c r="BP34" s="293"/>
      <c r="BQ34" s="294"/>
      <c r="BR34" s="295"/>
      <c r="BS34" s="302"/>
      <c r="BT34" s="294"/>
      <c r="BU34" s="301"/>
      <c r="BV34" s="293"/>
      <c r="BW34" s="294"/>
      <c r="BX34" s="295"/>
      <c r="BY34" s="302"/>
      <c r="BZ34" s="294"/>
      <c r="CA34" s="301"/>
      <c r="CB34" s="293"/>
      <c r="CC34" s="294"/>
      <c r="CD34" s="295"/>
      <c r="CE34" s="302"/>
      <c r="CF34" s="294"/>
      <c r="CG34" s="301"/>
      <c r="CH34" s="293"/>
      <c r="CI34" s="294"/>
      <c r="CJ34" s="295"/>
      <c r="CK34" s="302"/>
      <c r="CL34" s="294"/>
      <c r="CM34" s="301"/>
      <c r="CN34" s="293"/>
      <c r="CO34" s="294"/>
      <c r="CP34" s="295"/>
      <c r="CQ34" s="302"/>
      <c r="CR34" s="294"/>
      <c r="CS34" s="301"/>
      <c r="CT34" s="302"/>
      <c r="CU34" s="294"/>
      <c r="CV34" s="301"/>
      <c r="CW34" s="302"/>
      <c r="CX34" s="294"/>
      <c r="CY34" s="301"/>
      <c r="CZ34" s="302"/>
      <c r="DA34" s="294"/>
      <c r="DB34" s="301"/>
      <c r="DC34" s="380">
        <f t="shared" si="0"/>
        <v>0</v>
      </c>
      <c r="DD34" s="381">
        <f t="shared" si="1"/>
        <v>0</v>
      </c>
      <c r="DE34" s="381">
        <f t="shared" si="2"/>
        <v>0</v>
      </c>
      <c r="DF34" s="145">
        <f>SUM(B34:DB34)</f>
        <v>0</v>
      </c>
    </row>
    <row r="35" spans="1:110">
      <c r="A35" s="240">
        <v>28</v>
      </c>
      <c r="B35" s="241"/>
      <c r="C35" s="43"/>
      <c r="D35" s="289"/>
      <c r="E35" s="302"/>
      <c r="F35" s="294"/>
      <c r="G35" s="301"/>
      <c r="H35" s="293"/>
      <c r="I35" s="294"/>
      <c r="J35" s="295"/>
      <c r="K35" s="302"/>
      <c r="L35" s="294"/>
      <c r="M35" s="301"/>
      <c r="N35" s="293"/>
      <c r="O35" s="294"/>
      <c r="P35" s="295"/>
      <c r="Q35" s="302"/>
      <c r="R35" s="294"/>
      <c r="S35" s="301"/>
      <c r="T35" s="293"/>
      <c r="U35" s="294"/>
      <c r="V35" s="295"/>
      <c r="W35" s="302"/>
      <c r="X35" s="294"/>
      <c r="Y35" s="301"/>
      <c r="Z35" s="293"/>
      <c r="AA35" s="294"/>
      <c r="AB35" s="295"/>
      <c r="AC35" s="302"/>
      <c r="AD35" s="294"/>
      <c r="AE35" s="301"/>
      <c r="AF35" s="293"/>
      <c r="AG35" s="294"/>
      <c r="AH35" s="295"/>
      <c r="AI35" s="302"/>
      <c r="AJ35" s="294"/>
      <c r="AK35" s="301"/>
      <c r="AL35" s="293"/>
      <c r="AM35" s="294"/>
      <c r="AN35" s="295"/>
      <c r="AO35" s="302"/>
      <c r="AP35" s="294"/>
      <c r="AQ35" s="301"/>
      <c r="AR35" s="293"/>
      <c r="AS35" s="294"/>
      <c r="AT35" s="295"/>
      <c r="AU35" s="302"/>
      <c r="AV35" s="294"/>
      <c r="AW35" s="301"/>
      <c r="AX35" s="293"/>
      <c r="AY35" s="294"/>
      <c r="AZ35" s="295"/>
      <c r="BA35" s="302"/>
      <c r="BB35" s="294"/>
      <c r="BC35" s="301"/>
      <c r="BD35" s="293"/>
      <c r="BE35" s="294"/>
      <c r="BF35" s="295"/>
      <c r="BG35" s="302"/>
      <c r="BH35" s="294"/>
      <c r="BI35" s="301"/>
      <c r="BJ35" s="293"/>
      <c r="BK35" s="294"/>
      <c r="BL35" s="295"/>
      <c r="BM35" s="302"/>
      <c r="BN35" s="294"/>
      <c r="BO35" s="301"/>
      <c r="BP35" s="293"/>
      <c r="BQ35" s="294"/>
      <c r="BR35" s="295"/>
      <c r="BS35" s="302"/>
      <c r="BT35" s="294"/>
      <c r="BU35" s="301"/>
      <c r="BV35" s="293"/>
      <c r="BW35" s="294"/>
      <c r="BX35" s="295"/>
      <c r="BY35" s="302"/>
      <c r="BZ35" s="294"/>
      <c r="CA35" s="301"/>
      <c r="CB35" s="293"/>
      <c r="CC35" s="294"/>
      <c r="CD35" s="295"/>
      <c r="CE35" s="302"/>
      <c r="CF35" s="294"/>
      <c r="CG35" s="301"/>
      <c r="CH35" s="293"/>
      <c r="CI35" s="294"/>
      <c r="CJ35" s="295"/>
      <c r="CK35" s="302"/>
      <c r="CL35" s="294"/>
      <c r="CM35" s="301"/>
      <c r="CN35" s="293"/>
      <c r="CO35" s="294"/>
      <c r="CP35" s="295"/>
      <c r="CQ35" s="302"/>
      <c r="CR35" s="294"/>
      <c r="CS35" s="301"/>
      <c r="CT35" s="302"/>
      <c r="CU35" s="294"/>
      <c r="CV35" s="301"/>
      <c r="CW35" s="302"/>
      <c r="CX35" s="294"/>
      <c r="CY35" s="301"/>
      <c r="CZ35" s="302"/>
      <c r="DA35" s="294"/>
      <c r="DB35" s="301"/>
      <c r="DC35" s="380">
        <f t="shared" si="0"/>
        <v>0</v>
      </c>
      <c r="DD35" s="381">
        <f t="shared" si="1"/>
        <v>0</v>
      </c>
      <c r="DE35" s="381">
        <f t="shared" si="2"/>
        <v>0</v>
      </c>
      <c r="DF35" s="145">
        <f>SUM(B35:DB35)</f>
        <v>0</v>
      </c>
    </row>
    <row r="36" spans="1:110">
      <c r="A36" s="240">
        <v>29</v>
      </c>
      <c r="B36" s="241"/>
      <c r="C36" s="43"/>
      <c r="D36" s="289"/>
      <c r="E36" s="302"/>
      <c r="F36" s="294"/>
      <c r="G36" s="301"/>
      <c r="H36" s="293"/>
      <c r="I36" s="294"/>
      <c r="J36" s="295"/>
      <c r="K36" s="302"/>
      <c r="L36" s="294"/>
      <c r="M36" s="301"/>
      <c r="N36" s="293"/>
      <c r="O36" s="294"/>
      <c r="P36" s="295"/>
      <c r="Q36" s="302"/>
      <c r="R36" s="294"/>
      <c r="S36" s="301"/>
      <c r="T36" s="293"/>
      <c r="U36" s="294"/>
      <c r="V36" s="295"/>
      <c r="W36" s="302"/>
      <c r="X36" s="294"/>
      <c r="Y36" s="301"/>
      <c r="Z36" s="293"/>
      <c r="AA36" s="294"/>
      <c r="AB36" s="295"/>
      <c r="AC36" s="302"/>
      <c r="AD36" s="294"/>
      <c r="AE36" s="301"/>
      <c r="AF36" s="293"/>
      <c r="AG36" s="294"/>
      <c r="AH36" s="295"/>
      <c r="AI36" s="302"/>
      <c r="AJ36" s="294"/>
      <c r="AK36" s="301"/>
      <c r="AL36" s="293"/>
      <c r="AM36" s="294"/>
      <c r="AN36" s="295"/>
      <c r="AO36" s="302"/>
      <c r="AP36" s="294"/>
      <c r="AQ36" s="301"/>
      <c r="AR36" s="293"/>
      <c r="AS36" s="294"/>
      <c r="AT36" s="295"/>
      <c r="AU36" s="302"/>
      <c r="AV36" s="294"/>
      <c r="AW36" s="301"/>
      <c r="AX36" s="293"/>
      <c r="AY36" s="294"/>
      <c r="AZ36" s="295"/>
      <c r="BA36" s="302"/>
      <c r="BB36" s="294"/>
      <c r="BC36" s="301"/>
      <c r="BD36" s="293"/>
      <c r="BE36" s="294"/>
      <c r="BF36" s="295"/>
      <c r="BG36" s="302"/>
      <c r="BH36" s="294"/>
      <c r="BI36" s="301"/>
      <c r="BJ36" s="293"/>
      <c r="BK36" s="294"/>
      <c r="BL36" s="295"/>
      <c r="BM36" s="302"/>
      <c r="BN36" s="294"/>
      <c r="BO36" s="301"/>
      <c r="BP36" s="293"/>
      <c r="BQ36" s="294"/>
      <c r="BR36" s="295"/>
      <c r="BS36" s="302"/>
      <c r="BT36" s="294"/>
      <c r="BU36" s="301"/>
      <c r="BV36" s="293"/>
      <c r="BW36" s="294"/>
      <c r="BX36" s="295"/>
      <c r="BY36" s="302"/>
      <c r="BZ36" s="294"/>
      <c r="CA36" s="301"/>
      <c r="CB36" s="293"/>
      <c r="CC36" s="294"/>
      <c r="CD36" s="295"/>
      <c r="CE36" s="302"/>
      <c r="CF36" s="294"/>
      <c r="CG36" s="301"/>
      <c r="CH36" s="293"/>
      <c r="CI36" s="294"/>
      <c r="CJ36" s="295"/>
      <c r="CK36" s="302"/>
      <c r="CL36" s="294"/>
      <c r="CM36" s="301"/>
      <c r="CN36" s="293"/>
      <c r="CO36" s="294"/>
      <c r="CP36" s="295"/>
      <c r="CQ36" s="302"/>
      <c r="CR36" s="294"/>
      <c r="CS36" s="301"/>
      <c r="CT36" s="302"/>
      <c r="CU36" s="294"/>
      <c r="CV36" s="301"/>
      <c r="CW36" s="302"/>
      <c r="CX36" s="294"/>
      <c r="CY36" s="301"/>
      <c r="CZ36" s="302"/>
      <c r="DA36" s="294"/>
      <c r="DB36" s="301"/>
      <c r="DC36" s="380">
        <f t="shared" si="0"/>
        <v>0</v>
      </c>
      <c r="DD36" s="381">
        <f t="shared" si="1"/>
        <v>0</v>
      </c>
      <c r="DE36" s="381">
        <f t="shared" si="2"/>
        <v>0</v>
      </c>
      <c r="DF36" s="145">
        <f>SUM(B36:DB36)</f>
        <v>0</v>
      </c>
    </row>
    <row r="37" spans="1:110">
      <c r="A37" s="240">
        <v>30</v>
      </c>
      <c r="B37" s="241"/>
      <c r="C37" s="43"/>
      <c r="D37" s="289"/>
      <c r="E37" s="302"/>
      <c r="F37" s="294"/>
      <c r="G37" s="301"/>
      <c r="H37" s="293"/>
      <c r="I37" s="294"/>
      <c r="J37" s="295"/>
      <c r="K37" s="302"/>
      <c r="L37" s="294"/>
      <c r="M37" s="301"/>
      <c r="N37" s="293"/>
      <c r="O37" s="294"/>
      <c r="P37" s="295"/>
      <c r="Q37" s="302"/>
      <c r="R37" s="294"/>
      <c r="S37" s="301"/>
      <c r="T37" s="293"/>
      <c r="U37" s="294"/>
      <c r="V37" s="295"/>
      <c r="W37" s="302"/>
      <c r="X37" s="294"/>
      <c r="Y37" s="301"/>
      <c r="Z37" s="293"/>
      <c r="AA37" s="294"/>
      <c r="AB37" s="295"/>
      <c r="AC37" s="302"/>
      <c r="AD37" s="294"/>
      <c r="AE37" s="301"/>
      <c r="AF37" s="293"/>
      <c r="AG37" s="294"/>
      <c r="AH37" s="295"/>
      <c r="AI37" s="302"/>
      <c r="AJ37" s="294"/>
      <c r="AK37" s="301"/>
      <c r="AL37" s="293"/>
      <c r="AM37" s="294"/>
      <c r="AN37" s="295"/>
      <c r="AO37" s="302"/>
      <c r="AP37" s="294"/>
      <c r="AQ37" s="301"/>
      <c r="AR37" s="293"/>
      <c r="AS37" s="294"/>
      <c r="AT37" s="295"/>
      <c r="AU37" s="302"/>
      <c r="AV37" s="294"/>
      <c r="AW37" s="301"/>
      <c r="AX37" s="293"/>
      <c r="AY37" s="294"/>
      <c r="AZ37" s="295"/>
      <c r="BA37" s="302"/>
      <c r="BB37" s="294"/>
      <c r="BC37" s="301"/>
      <c r="BD37" s="293"/>
      <c r="BE37" s="294"/>
      <c r="BF37" s="295"/>
      <c r="BG37" s="302"/>
      <c r="BH37" s="294"/>
      <c r="BI37" s="301"/>
      <c r="BJ37" s="293"/>
      <c r="BK37" s="294"/>
      <c r="BL37" s="295"/>
      <c r="BM37" s="302"/>
      <c r="BN37" s="294"/>
      <c r="BO37" s="301"/>
      <c r="BP37" s="293"/>
      <c r="BQ37" s="294"/>
      <c r="BR37" s="295"/>
      <c r="BS37" s="302"/>
      <c r="BT37" s="294"/>
      <c r="BU37" s="301"/>
      <c r="BV37" s="293"/>
      <c r="BW37" s="294"/>
      <c r="BX37" s="295"/>
      <c r="BY37" s="302"/>
      <c r="BZ37" s="294"/>
      <c r="CA37" s="301"/>
      <c r="CB37" s="293"/>
      <c r="CC37" s="294"/>
      <c r="CD37" s="295"/>
      <c r="CE37" s="302"/>
      <c r="CF37" s="294"/>
      <c r="CG37" s="301"/>
      <c r="CH37" s="293"/>
      <c r="CI37" s="294"/>
      <c r="CJ37" s="295"/>
      <c r="CK37" s="302"/>
      <c r="CL37" s="294"/>
      <c r="CM37" s="301"/>
      <c r="CN37" s="293"/>
      <c r="CO37" s="294"/>
      <c r="CP37" s="295"/>
      <c r="CQ37" s="302"/>
      <c r="CR37" s="294"/>
      <c r="CS37" s="301"/>
      <c r="CT37" s="302"/>
      <c r="CU37" s="294"/>
      <c r="CV37" s="301"/>
      <c r="CW37" s="302"/>
      <c r="CX37" s="294"/>
      <c r="CY37" s="301"/>
      <c r="CZ37" s="302"/>
      <c r="DA37" s="294"/>
      <c r="DB37" s="301"/>
      <c r="DC37" s="380">
        <f t="shared" si="0"/>
        <v>0</v>
      </c>
      <c r="DD37" s="381">
        <f t="shared" si="1"/>
        <v>0</v>
      </c>
      <c r="DE37" s="381">
        <f t="shared" si="2"/>
        <v>0</v>
      </c>
      <c r="DF37" s="145">
        <f>SUM(B37:DB37)</f>
        <v>0</v>
      </c>
    </row>
    <row r="38" spans="1:110">
      <c r="A38" s="240">
        <v>31</v>
      </c>
      <c r="B38" s="315"/>
      <c r="C38" s="43"/>
      <c r="D38" s="289"/>
      <c r="E38" s="302"/>
      <c r="F38" s="294"/>
      <c r="G38" s="301"/>
      <c r="H38" s="293"/>
      <c r="I38" s="294"/>
      <c r="J38" s="295"/>
      <c r="K38" s="302"/>
      <c r="L38" s="294"/>
      <c r="M38" s="301"/>
      <c r="N38" s="293"/>
      <c r="O38" s="294"/>
      <c r="P38" s="295"/>
      <c r="Q38" s="302"/>
      <c r="R38" s="294"/>
      <c r="S38" s="301"/>
      <c r="T38" s="293"/>
      <c r="U38" s="294"/>
      <c r="V38" s="295"/>
      <c r="W38" s="302"/>
      <c r="X38" s="294"/>
      <c r="Y38" s="301"/>
      <c r="Z38" s="293"/>
      <c r="AA38" s="294"/>
      <c r="AB38" s="295"/>
      <c r="AC38" s="302"/>
      <c r="AD38" s="294"/>
      <c r="AE38" s="301"/>
      <c r="AF38" s="293"/>
      <c r="AG38" s="294"/>
      <c r="AH38" s="295"/>
      <c r="AI38" s="302"/>
      <c r="AJ38" s="294"/>
      <c r="AK38" s="301"/>
      <c r="AL38" s="293"/>
      <c r="AM38" s="294"/>
      <c r="AN38" s="295"/>
      <c r="AO38" s="302"/>
      <c r="AP38" s="294"/>
      <c r="AQ38" s="301"/>
      <c r="AR38" s="293"/>
      <c r="AS38" s="294"/>
      <c r="AT38" s="295"/>
      <c r="AU38" s="302"/>
      <c r="AV38" s="294"/>
      <c r="AW38" s="301"/>
      <c r="AX38" s="293"/>
      <c r="AY38" s="294"/>
      <c r="AZ38" s="295"/>
      <c r="BA38" s="302"/>
      <c r="BB38" s="294"/>
      <c r="BC38" s="301"/>
      <c r="BD38" s="293"/>
      <c r="BE38" s="294"/>
      <c r="BF38" s="295"/>
      <c r="BG38" s="302"/>
      <c r="BH38" s="294"/>
      <c r="BI38" s="301"/>
      <c r="BJ38" s="293"/>
      <c r="BK38" s="294"/>
      <c r="BL38" s="295"/>
      <c r="BM38" s="302"/>
      <c r="BN38" s="294"/>
      <c r="BO38" s="301"/>
      <c r="BP38" s="293"/>
      <c r="BQ38" s="294"/>
      <c r="BR38" s="295"/>
      <c r="BS38" s="302"/>
      <c r="BT38" s="294"/>
      <c r="BU38" s="301"/>
      <c r="BV38" s="293"/>
      <c r="BW38" s="294"/>
      <c r="BX38" s="295"/>
      <c r="BY38" s="302"/>
      <c r="BZ38" s="294"/>
      <c r="CA38" s="301"/>
      <c r="CB38" s="293"/>
      <c r="CC38" s="294"/>
      <c r="CD38" s="295"/>
      <c r="CE38" s="302"/>
      <c r="CF38" s="294"/>
      <c r="CG38" s="301"/>
      <c r="CH38" s="293"/>
      <c r="CI38" s="294"/>
      <c r="CJ38" s="295"/>
      <c r="CK38" s="302"/>
      <c r="CL38" s="294"/>
      <c r="CM38" s="301"/>
      <c r="CN38" s="293"/>
      <c r="CO38" s="294"/>
      <c r="CP38" s="295"/>
      <c r="CQ38" s="302"/>
      <c r="CR38" s="294"/>
      <c r="CS38" s="301"/>
      <c r="CT38" s="302"/>
      <c r="CU38" s="294"/>
      <c r="CV38" s="301"/>
      <c r="CW38" s="302"/>
      <c r="CX38" s="294"/>
      <c r="CY38" s="301"/>
      <c r="CZ38" s="302"/>
      <c r="DA38" s="294"/>
      <c r="DB38" s="301"/>
      <c r="DC38" s="380">
        <f t="shared" si="0"/>
        <v>0</v>
      </c>
      <c r="DD38" s="381">
        <f t="shared" si="1"/>
        <v>0</v>
      </c>
      <c r="DE38" s="381">
        <f t="shared" si="2"/>
        <v>0</v>
      </c>
    </row>
    <row r="39" spans="1:110">
      <c r="A39" s="364"/>
      <c r="B39" s="113">
        <f>SUM(B8:B38)</f>
        <v>0</v>
      </c>
      <c r="C39" s="113">
        <f t="shared" ref="C39:D39" si="3">SUM(C8:C38)</f>
        <v>0</v>
      </c>
      <c r="D39" s="113">
        <f t="shared" si="3"/>
        <v>0</v>
      </c>
      <c r="E39" s="113">
        <f t="shared" ref="E39:BN39" si="4">SUM(E8:E38)</f>
        <v>0</v>
      </c>
      <c r="F39" s="113">
        <f t="shared" si="4"/>
        <v>0</v>
      </c>
      <c r="G39" s="113">
        <f t="shared" si="4"/>
        <v>0</v>
      </c>
      <c r="H39" s="113">
        <f t="shared" si="4"/>
        <v>0</v>
      </c>
      <c r="I39" s="113">
        <f t="shared" si="4"/>
        <v>0</v>
      </c>
      <c r="J39" s="113">
        <f t="shared" si="4"/>
        <v>0</v>
      </c>
      <c r="K39" s="113">
        <f t="shared" si="4"/>
        <v>0</v>
      </c>
      <c r="L39" s="113">
        <f t="shared" si="4"/>
        <v>0</v>
      </c>
      <c r="M39" s="113">
        <f t="shared" si="4"/>
        <v>0</v>
      </c>
      <c r="N39" s="113">
        <f t="shared" si="4"/>
        <v>0</v>
      </c>
      <c r="O39" s="113">
        <f t="shared" si="4"/>
        <v>0</v>
      </c>
      <c r="P39" s="113">
        <f t="shared" si="4"/>
        <v>0</v>
      </c>
      <c r="Q39" s="113">
        <f t="shared" si="4"/>
        <v>0</v>
      </c>
      <c r="R39" s="113">
        <f t="shared" si="4"/>
        <v>0</v>
      </c>
      <c r="S39" s="113">
        <f t="shared" si="4"/>
        <v>0</v>
      </c>
      <c r="T39" s="113">
        <f t="shared" si="4"/>
        <v>0</v>
      </c>
      <c r="U39" s="113">
        <f t="shared" si="4"/>
        <v>0</v>
      </c>
      <c r="V39" s="113">
        <f t="shared" si="4"/>
        <v>0</v>
      </c>
      <c r="W39" s="113">
        <f t="shared" si="4"/>
        <v>0</v>
      </c>
      <c r="X39" s="113">
        <f t="shared" si="4"/>
        <v>0</v>
      </c>
      <c r="Y39" s="113">
        <f t="shared" si="4"/>
        <v>0</v>
      </c>
      <c r="Z39" s="113">
        <f t="shared" si="4"/>
        <v>0</v>
      </c>
      <c r="AA39" s="113">
        <f t="shared" si="4"/>
        <v>0</v>
      </c>
      <c r="AB39" s="113">
        <f t="shared" si="4"/>
        <v>0</v>
      </c>
      <c r="AC39" s="113">
        <f t="shared" si="4"/>
        <v>0</v>
      </c>
      <c r="AD39" s="113">
        <f t="shared" si="4"/>
        <v>0</v>
      </c>
      <c r="AE39" s="113">
        <f t="shared" si="4"/>
        <v>0</v>
      </c>
      <c r="AF39" s="113">
        <f t="shared" si="4"/>
        <v>0</v>
      </c>
      <c r="AG39" s="113">
        <f t="shared" si="4"/>
        <v>0</v>
      </c>
      <c r="AH39" s="113">
        <f t="shared" si="4"/>
        <v>0</v>
      </c>
      <c r="AI39" s="113">
        <f t="shared" si="4"/>
        <v>0</v>
      </c>
      <c r="AJ39" s="113">
        <f t="shared" si="4"/>
        <v>0</v>
      </c>
      <c r="AK39" s="113">
        <f t="shared" si="4"/>
        <v>0</v>
      </c>
      <c r="AL39" s="113">
        <f t="shared" si="4"/>
        <v>0</v>
      </c>
      <c r="AM39" s="113">
        <f t="shared" si="4"/>
        <v>0</v>
      </c>
      <c r="AN39" s="113">
        <f t="shared" si="4"/>
        <v>0</v>
      </c>
      <c r="AO39" s="113">
        <f t="shared" si="4"/>
        <v>0</v>
      </c>
      <c r="AP39" s="113">
        <f t="shared" si="4"/>
        <v>0</v>
      </c>
      <c r="AQ39" s="113">
        <f t="shared" si="4"/>
        <v>0</v>
      </c>
      <c r="AR39" s="113">
        <f t="shared" si="4"/>
        <v>0</v>
      </c>
      <c r="AS39" s="113">
        <f t="shared" si="4"/>
        <v>0</v>
      </c>
      <c r="AT39" s="113">
        <f t="shared" si="4"/>
        <v>0</v>
      </c>
      <c r="AU39" s="113">
        <f t="shared" si="4"/>
        <v>0</v>
      </c>
      <c r="AV39" s="113">
        <f t="shared" si="4"/>
        <v>0</v>
      </c>
      <c r="AW39" s="113">
        <f t="shared" si="4"/>
        <v>0</v>
      </c>
      <c r="AX39" s="113">
        <f t="shared" si="4"/>
        <v>0</v>
      </c>
      <c r="AY39" s="113">
        <f t="shared" si="4"/>
        <v>0</v>
      </c>
      <c r="AZ39" s="113">
        <f t="shared" si="4"/>
        <v>0</v>
      </c>
      <c r="BA39" s="113">
        <f t="shared" si="4"/>
        <v>0</v>
      </c>
      <c r="BB39" s="113">
        <f t="shared" si="4"/>
        <v>0</v>
      </c>
      <c r="BC39" s="113">
        <f t="shared" si="4"/>
        <v>0</v>
      </c>
      <c r="BD39" s="113">
        <f t="shared" si="4"/>
        <v>0</v>
      </c>
      <c r="BE39" s="113">
        <f t="shared" si="4"/>
        <v>0</v>
      </c>
      <c r="BF39" s="113">
        <f t="shared" si="4"/>
        <v>0</v>
      </c>
      <c r="BG39" s="113">
        <f t="shared" si="4"/>
        <v>0</v>
      </c>
      <c r="BH39" s="113">
        <f t="shared" si="4"/>
        <v>0</v>
      </c>
      <c r="BI39" s="113">
        <f t="shared" si="4"/>
        <v>0</v>
      </c>
      <c r="BJ39" s="113">
        <f t="shared" si="4"/>
        <v>0</v>
      </c>
      <c r="BK39" s="113">
        <f t="shared" si="4"/>
        <v>0</v>
      </c>
      <c r="BL39" s="113">
        <f t="shared" si="4"/>
        <v>0</v>
      </c>
      <c r="BM39" s="113">
        <f t="shared" si="4"/>
        <v>0</v>
      </c>
      <c r="BN39" s="113">
        <f t="shared" si="4"/>
        <v>0</v>
      </c>
      <c r="BO39" s="113">
        <f t="shared" ref="BO39:DE39" si="5">SUM(BO8:BO38)</f>
        <v>0</v>
      </c>
      <c r="BP39" s="113">
        <f t="shared" si="5"/>
        <v>0</v>
      </c>
      <c r="BQ39" s="113">
        <f t="shared" si="5"/>
        <v>0</v>
      </c>
      <c r="BR39" s="113">
        <f t="shared" si="5"/>
        <v>0</v>
      </c>
      <c r="BS39" s="113">
        <f t="shared" si="5"/>
        <v>0</v>
      </c>
      <c r="BT39" s="113">
        <f t="shared" si="5"/>
        <v>0</v>
      </c>
      <c r="BU39" s="113">
        <f t="shared" si="5"/>
        <v>0</v>
      </c>
      <c r="BV39" s="113">
        <f t="shared" si="5"/>
        <v>0</v>
      </c>
      <c r="BW39" s="113">
        <f t="shared" si="5"/>
        <v>0</v>
      </c>
      <c r="BX39" s="113">
        <f t="shared" si="5"/>
        <v>0</v>
      </c>
      <c r="BY39" s="113">
        <f t="shared" si="5"/>
        <v>0</v>
      </c>
      <c r="BZ39" s="113">
        <f t="shared" si="5"/>
        <v>0</v>
      </c>
      <c r="CA39" s="113">
        <f t="shared" si="5"/>
        <v>0</v>
      </c>
      <c r="CB39" s="113">
        <f t="shared" si="5"/>
        <v>0</v>
      </c>
      <c r="CC39" s="113">
        <f t="shared" si="5"/>
        <v>0</v>
      </c>
      <c r="CD39" s="113">
        <f t="shared" si="5"/>
        <v>0</v>
      </c>
      <c r="CE39" s="113">
        <f t="shared" si="5"/>
        <v>0</v>
      </c>
      <c r="CF39" s="113">
        <f t="shared" si="5"/>
        <v>0</v>
      </c>
      <c r="CG39" s="113">
        <f t="shared" si="5"/>
        <v>0</v>
      </c>
      <c r="CH39" s="113">
        <f t="shared" si="5"/>
        <v>0</v>
      </c>
      <c r="CI39" s="113">
        <f t="shared" si="5"/>
        <v>0</v>
      </c>
      <c r="CJ39" s="113">
        <f t="shared" si="5"/>
        <v>0</v>
      </c>
      <c r="CK39" s="113">
        <f t="shared" si="5"/>
        <v>0</v>
      </c>
      <c r="CL39" s="113">
        <f t="shared" si="5"/>
        <v>0</v>
      </c>
      <c r="CM39" s="113">
        <f t="shared" si="5"/>
        <v>0</v>
      </c>
      <c r="CN39" s="113">
        <f t="shared" si="5"/>
        <v>0</v>
      </c>
      <c r="CO39" s="113">
        <f t="shared" si="5"/>
        <v>0</v>
      </c>
      <c r="CP39" s="113">
        <f t="shared" si="5"/>
        <v>0</v>
      </c>
      <c r="CQ39" s="113">
        <f t="shared" ref="CQ39:CY39" si="6">SUM(CQ8:CQ38)</f>
        <v>0</v>
      </c>
      <c r="CR39" s="113">
        <f t="shared" si="6"/>
        <v>0</v>
      </c>
      <c r="CS39" s="113">
        <f t="shared" si="6"/>
        <v>0</v>
      </c>
      <c r="CT39" s="113">
        <f t="shared" si="6"/>
        <v>0</v>
      </c>
      <c r="CU39" s="113">
        <f t="shared" si="6"/>
        <v>0</v>
      </c>
      <c r="CV39" s="113">
        <f t="shared" si="6"/>
        <v>0</v>
      </c>
      <c r="CW39" s="113">
        <f t="shared" si="6"/>
        <v>0</v>
      </c>
      <c r="CX39" s="113">
        <f t="shared" si="6"/>
        <v>0</v>
      </c>
      <c r="CY39" s="113">
        <f t="shared" si="6"/>
        <v>0</v>
      </c>
      <c r="CZ39" s="113">
        <f t="shared" si="5"/>
        <v>0</v>
      </c>
      <c r="DA39" s="113">
        <f t="shared" si="5"/>
        <v>0</v>
      </c>
      <c r="DB39" s="113">
        <f t="shared" si="5"/>
        <v>0</v>
      </c>
      <c r="DC39" s="382">
        <f t="shared" si="5"/>
        <v>0</v>
      </c>
      <c r="DD39" s="382">
        <f t="shared" si="5"/>
        <v>0</v>
      </c>
      <c r="DE39" s="382">
        <f t="shared" si="5"/>
        <v>0</v>
      </c>
    </row>
    <row r="41" spans="1:110">
      <c r="D41" s="359" t="s">
        <v>42</v>
      </c>
    </row>
    <row r="42" spans="1:110">
      <c r="A42" s="403" t="s">
        <v>2</v>
      </c>
      <c r="B42" s="426" t="s">
        <v>3</v>
      </c>
      <c r="C42" s="424"/>
      <c r="D42" s="427"/>
      <c r="E42" s="426" t="s">
        <v>4</v>
      </c>
      <c r="F42" s="424"/>
      <c r="G42" s="427"/>
      <c r="H42" s="423" t="s">
        <v>5</v>
      </c>
      <c r="I42" s="424"/>
      <c r="J42" s="425"/>
      <c r="K42" s="426" t="s">
        <v>6</v>
      </c>
      <c r="L42" s="424"/>
      <c r="M42" s="427"/>
      <c r="N42" s="423" t="s">
        <v>7</v>
      </c>
      <c r="O42" s="424"/>
      <c r="P42" s="425"/>
      <c r="Q42" s="426" t="s">
        <v>8</v>
      </c>
      <c r="R42" s="424"/>
      <c r="S42" s="427"/>
      <c r="T42" s="423" t="s">
        <v>9</v>
      </c>
      <c r="U42" s="424"/>
      <c r="V42" s="425"/>
      <c r="W42" s="426" t="s">
        <v>10</v>
      </c>
      <c r="X42" s="424"/>
      <c r="Y42" s="427"/>
      <c r="Z42" s="423" t="s">
        <v>11</v>
      </c>
      <c r="AA42" s="424"/>
      <c r="AB42" s="425"/>
      <c r="AC42" s="426" t="s">
        <v>12</v>
      </c>
      <c r="AD42" s="424"/>
      <c r="AE42" s="427"/>
      <c r="AF42" s="423" t="s">
        <v>13</v>
      </c>
      <c r="AG42" s="424"/>
      <c r="AH42" s="425"/>
      <c r="AI42" s="426" t="s">
        <v>14</v>
      </c>
      <c r="AJ42" s="424"/>
      <c r="AK42" s="427"/>
      <c r="AL42" s="423" t="s">
        <v>15</v>
      </c>
      <c r="AM42" s="424"/>
      <c r="AN42" s="425"/>
      <c r="AO42" s="426" t="s">
        <v>16</v>
      </c>
      <c r="AP42" s="424"/>
      <c r="AQ42" s="427"/>
      <c r="AR42" s="423" t="s">
        <v>17</v>
      </c>
      <c r="AS42" s="424"/>
      <c r="AT42" s="425"/>
      <c r="AU42" s="403" t="s">
        <v>18</v>
      </c>
      <c r="AV42" s="417"/>
      <c r="AW42" s="418"/>
      <c r="AX42" s="417" t="s">
        <v>19</v>
      </c>
      <c r="AY42" s="417"/>
      <c r="AZ42" s="417"/>
      <c r="BA42" s="403" t="s">
        <v>20</v>
      </c>
      <c r="BB42" s="417"/>
      <c r="BC42" s="418"/>
      <c r="BD42" s="417" t="s">
        <v>21</v>
      </c>
      <c r="BE42" s="417"/>
      <c r="BF42" s="417"/>
      <c r="BG42" s="403" t="s">
        <v>22</v>
      </c>
      <c r="BH42" s="417"/>
      <c r="BI42" s="418"/>
      <c r="BJ42" s="417" t="s">
        <v>23</v>
      </c>
      <c r="BK42" s="417"/>
      <c r="BL42" s="417"/>
      <c r="BM42" s="403" t="s">
        <v>24</v>
      </c>
      <c r="BN42" s="417"/>
      <c r="BO42" s="418"/>
      <c r="BP42" s="417" t="s">
        <v>25</v>
      </c>
      <c r="BQ42" s="417"/>
      <c r="BR42" s="417"/>
      <c r="BS42" s="403" t="s">
        <v>26</v>
      </c>
      <c r="BT42" s="417"/>
      <c r="BU42" s="418"/>
      <c r="BV42" s="417" t="s">
        <v>27</v>
      </c>
      <c r="BW42" s="417"/>
      <c r="BX42" s="417"/>
      <c r="BY42" s="403" t="s">
        <v>28</v>
      </c>
      <c r="BZ42" s="417"/>
      <c r="CA42" s="418"/>
      <c r="CB42" s="417" t="s">
        <v>29</v>
      </c>
      <c r="CC42" s="417"/>
      <c r="CD42" s="417"/>
      <c r="CE42" s="403" t="s">
        <v>30</v>
      </c>
      <c r="CF42" s="417"/>
      <c r="CG42" s="418"/>
      <c r="CH42" s="417" t="s">
        <v>31</v>
      </c>
      <c r="CI42" s="417"/>
      <c r="CJ42" s="417"/>
      <c r="CK42" s="403" t="s">
        <v>32</v>
      </c>
      <c r="CL42" s="417"/>
      <c r="CM42" s="418"/>
      <c r="CN42" s="417" t="s">
        <v>33</v>
      </c>
      <c r="CO42" s="417"/>
      <c r="CP42" s="417"/>
      <c r="CQ42" s="403" t="s">
        <v>34</v>
      </c>
      <c r="CR42" s="417"/>
      <c r="CS42" s="418"/>
      <c r="CT42" s="403" t="s">
        <v>35</v>
      </c>
      <c r="CU42" s="417"/>
      <c r="CV42" s="418"/>
      <c r="CW42" s="403" t="s">
        <v>36</v>
      </c>
      <c r="CX42" s="417"/>
      <c r="CY42" s="418"/>
      <c r="CZ42" s="403" t="s">
        <v>37</v>
      </c>
      <c r="DA42" s="417"/>
      <c r="DB42" s="418"/>
      <c r="DC42" s="429" t="s">
        <v>38</v>
      </c>
      <c r="DD42" s="422"/>
      <c r="DE42" s="428"/>
    </row>
    <row r="43" spans="1:110">
      <c r="A43" s="404"/>
      <c r="B43" s="360" t="s">
        <v>39</v>
      </c>
      <c r="C43" s="361" t="s">
        <v>40</v>
      </c>
      <c r="D43" s="362" t="s">
        <v>41</v>
      </c>
      <c r="E43" s="360" t="s">
        <v>39</v>
      </c>
      <c r="F43" s="361" t="s">
        <v>40</v>
      </c>
      <c r="G43" s="362" t="s">
        <v>41</v>
      </c>
      <c r="H43" s="363" t="s">
        <v>39</v>
      </c>
      <c r="I43" s="361" t="s">
        <v>40</v>
      </c>
      <c r="J43" s="371" t="s">
        <v>41</v>
      </c>
      <c r="K43" s="360" t="s">
        <v>39</v>
      </c>
      <c r="L43" s="361" t="s">
        <v>40</v>
      </c>
      <c r="M43" s="362" t="s">
        <v>41</v>
      </c>
      <c r="N43" s="363" t="s">
        <v>39</v>
      </c>
      <c r="O43" s="361" t="s">
        <v>40</v>
      </c>
      <c r="P43" s="371" t="s">
        <v>41</v>
      </c>
      <c r="Q43" s="360" t="s">
        <v>39</v>
      </c>
      <c r="R43" s="361" t="s">
        <v>40</v>
      </c>
      <c r="S43" s="362" t="s">
        <v>41</v>
      </c>
      <c r="T43" s="363" t="s">
        <v>39</v>
      </c>
      <c r="U43" s="361" t="s">
        <v>40</v>
      </c>
      <c r="V43" s="371" t="s">
        <v>41</v>
      </c>
      <c r="W43" s="360" t="s">
        <v>39</v>
      </c>
      <c r="X43" s="361" t="s">
        <v>40</v>
      </c>
      <c r="Y43" s="362" t="s">
        <v>41</v>
      </c>
      <c r="Z43" s="363" t="s">
        <v>39</v>
      </c>
      <c r="AA43" s="361" t="s">
        <v>40</v>
      </c>
      <c r="AB43" s="371" t="s">
        <v>41</v>
      </c>
      <c r="AC43" s="360" t="s">
        <v>39</v>
      </c>
      <c r="AD43" s="361" t="s">
        <v>40</v>
      </c>
      <c r="AE43" s="362" t="s">
        <v>41</v>
      </c>
      <c r="AF43" s="363" t="s">
        <v>39</v>
      </c>
      <c r="AG43" s="361" t="s">
        <v>40</v>
      </c>
      <c r="AH43" s="371" t="s">
        <v>41</v>
      </c>
      <c r="AI43" s="360" t="s">
        <v>39</v>
      </c>
      <c r="AJ43" s="361" t="s">
        <v>40</v>
      </c>
      <c r="AK43" s="362" t="s">
        <v>41</v>
      </c>
      <c r="AL43" s="363" t="s">
        <v>39</v>
      </c>
      <c r="AM43" s="361" t="s">
        <v>40</v>
      </c>
      <c r="AN43" s="371" t="s">
        <v>41</v>
      </c>
      <c r="AO43" s="360" t="s">
        <v>39</v>
      </c>
      <c r="AP43" s="361" t="s">
        <v>40</v>
      </c>
      <c r="AQ43" s="362" t="s">
        <v>41</v>
      </c>
      <c r="AR43" s="363" t="s">
        <v>39</v>
      </c>
      <c r="AS43" s="361" t="s">
        <v>40</v>
      </c>
      <c r="AT43" s="371" t="s">
        <v>41</v>
      </c>
      <c r="AU43" s="360" t="s">
        <v>39</v>
      </c>
      <c r="AV43" s="361" t="s">
        <v>40</v>
      </c>
      <c r="AW43" s="362" t="s">
        <v>41</v>
      </c>
      <c r="AX43" s="363" t="s">
        <v>39</v>
      </c>
      <c r="AY43" s="361" t="s">
        <v>40</v>
      </c>
      <c r="AZ43" s="371" t="s">
        <v>41</v>
      </c>
      <c r="BA43" s="360" t="s">
        <v>39</v>
      </c>
      <c r="BB43" s="361" t="s">
        <v>40</v>
      </c>
      <c r="BC43" s="362" t="s">
        <v>41</v>
      </c>
      <c r="BD43" s="363" t="s">
        <v>39</v>
      </c>
      <c r="BE43" s="361" t="s">
        <v>40</v>
      </c>
      <c r="BF43" s="371" t="s">
        <v>41</v>
      </c>
      <c r="BG43" s="360" t="s">
        <v>39</v>
      </c>
      <c r="BH43" s="361" t="s">
        <v>40</v>
      </c>
      <c r="BI43" s="362" t="s">
        <v>41</v>
      </c>
      <c r="BJ43" s="363" t="s">
        <v>39</v>
      </c>
      <c r="BK43" s="361" t="s">
        <v>40</v>
      </c>
      <c r="BL43" s="371" t="s">
        <v>41</v>
      </c>
      <c r="BM43" s="360" t="s">
        <v>39</v>
      </c>
      <c r="BN43" s="361" t="s">
        <v>40</v>
      </c>
      <c r="BO43" s="362" t="s">
        <v>41</v>
      </c>
      <c r="BP43" s="363" t="s">
        <v>39</v>
      </c>
      <c r="BQ43" s="361" t="s">
        <v>40</v>
      </c>
      <c r="BR43" s="371" t="s">
        <v>41</v>
      </c>
      <c r="BS43" s="360" t="s">
        <v>39</v>
      </c>
      <c r="BT43" s="361" t="s">
        <v>40</v>
      </c>
      <c r="BU43" s="362" t="s">
        <v>41</v>
      </c>
      <c r="BV43" s="363" t="s">
        <v>39</v>
      </c>
      <c r="BW43" s="361" t="s">
        <v>40</v>
      </c>
      <c r="BX43" s="371" t="s">
        <v>41</v>
      </c>
      <c r="BY43" s="360" t="s">
        <v>39</v>
      </c>
      <c r="BZ43" s="361" t="s">
        <v>40</v>
      </c>
      <c r="CA43" s="362" t="s">
        <v>41</v>
      </c>
      <c r="CB43" s="363" t="s">
        <v>39</v>
      </c>
      <c r="CC43" s="361" t="s">
        <v>40</v>
      </c>
      <c r="CD43" s="371" t="s">
        <v>41</v>
      </c>
      <c r="CE43" s="360" t="s">
        <v>39</v>
      </c>
      <c r="CF43" s="361" t="s">
        <v>40</v>
      </c>
      <c r="CG43" s="362" t="s">
        <v>41</v>
      </c>
      <c r="CH43" s="363" t="s">
        <v>39</v>
      </c>
      <c r="CI43" s="361" t="s">
        <v>40</v>
      </c>
      <c r="CJ43" s="371" t="s">
        <v>41</v>
      </c>
      <c r="CK43" s="360" t="s">
        <v>39</v>
      </c>
      <c r="CL43" s="361" t="s">
        <v>40</v>
      </c>
      <c r="CM43" s="362" t="s">
        <v>41</v>
      </c>
      <c r="CN43" s="363" t="s">
        <v>39</v>
      </c>
      <c r="CO43" s="361" t="s">
        <v>40</v>
      </c>
      <c r="CP43" s="371" t="s">
        <v>41</v>
      </c>
      <c r="CQ43" s="375" t="s">
        <v>39</v>
      </c>
      <c r="CR43" s="376" t="s">
        <v>40</v>
      </c>
      <c r="CS43" s="377" t="s">
        <v>41</v>
      </c>
      <c r="CT43" s="375" t="s">
        <v>39</v>
      </c>
      <c r="CU43" s="376" t="s">
        <v>40</v>
      </c>
      <c r="CV43" s="377" t="s">
        <v>41</v>
      </c>
      <c r="CW43" s="375" t="s">
        <v>39</v>
      </c>
      <c r="CX43" s="376" t="s">
        <v>40</v>
      </c>
      <c r="CY43" s="377" t="s">
        <v>41</v>
      </c>
      <c r="CZ43" s="375" t="s">
        <v>39</v>
      </c>
      <c r="DA43" s="376" t="s">
        <v>40</v>
      </c>
      <c r="DB43" s="377" t="s">
        <v>41</v>
      </c>
      <c r="DC43" s="383" t="s">
        <v>39</v>
      </c>
      <c r="DD43" s="193" t="s">
        <v>40</v>
      </c>
      <c r="DE43" s="193" t="s">
        <v>41</v>
      </c>
    </row>
    <row r="44" spans="1:110">
      <c r="A44" s="365">
        <v>1</v>
      </c>
      <c r="B44" s="116"/>
      <c r="C44" s="117"/>
      <c r="D44" s="119"/>
      <c r="E44" s="366"/>
      <c r="F44" s="367"/>
      <c r="G44" s="368"/>
      <c r="H44" s="369"/>
      <c r="I44" s="367"/>
      <c r="J44" s="372"/>
      <c r="K44" s="366"/>
      <c r="L44" s="367"/>
      <c r="M44" s="368"/>
      <c r="N44" s="369"/>
      <c r="O44" s="367"/>
      <c r="P44" s="372"/>
      <c r="Q44" s="366"/>
      <c r="R44" s="367"/>
      <c r="S44" s="368"/>
      <c r="T44" s="369"/>
      <c r="U44" s="367"/>
      <c r="V44" s="372"/>
      <c r="W44" s="366"/>
      <c r="X44" s="367"/>
      <c r="Y44" s="368"/>
      <c r="Z44" s="369"/>
      <c r="AA44" s="367"/>
      <c r="AB44" s="372"/>
      <c r="AC44" s="366"/>
      <c r="AD44" s="367"/>
      <c r="AE44" s="368"/>
      <c r="AF44" s="369"/>
      <c r="AG44" s="367"/>
      <c r="AH44" s="372"/>
      <c r="AI44" s="366"/>
      <c r="AJ44" s="367"/>
      <c r="AK44" s="368"/>
      <c r="AL44" s="369"/>
      <c r="AM44" s="367"/>
      <c r="AN44" s="372"/>
      <c r="AO44" s="366"/>
      <c r="AP44" s="367"/>
      <c r="AQ44" s="368"/>
      <c r="AR44" s="369"/>
      <c r="AS44" s="367"/>
      <c r="AT44" s="372"/>
      <c r="AU44" s="366"/>
      <c r="AV44" s="367"/>
      <c r="AW44" s="368"/>
      <c r="AX44" s="369"/>
      <c r="AY44" s="367"/>
      <c r="AZ44" s="372"/>
      <c r="BA44" s="366"/>
      <c r="BB44" s="367"/>
      <c r="BC44" s="368"/>
      <c r="BD44" s="369"/>
      <c r="BE44" s="367"/>
      <c r="BF44" s="372"/>
      <c r="BG44" s="366"/>
      <c r="BH44" s="367"/>
      <c r="BI44" s="368"/>
      <c r="BJ44" s="369"/>
      <c r="BK44" s="367"/>
      <c r="BL44" s="372"/>
      <c r="BM44" s="366"/>
      <c r="BN44" s="367"/>
      <c r="BO44" s="368"/>
      <c r="BP44" s="369"/>
      <c r="BQ44" s="367"/>
      <c r="BR44" s="372"/>
      <c r="BS44" s="366"/>
      <c r="BT44" s="367"/>
      <c r="BU44" s="368"/>
      <c r="BV44" s="369"/>
      <c r="BW44" s="367"/>
      <c r="BX44" s="372"/>
      <c r="BY44" s="366"/>
      <c r="BZ44" s="367"/>
      <c r="CA44" s="368"/>
      <c r="CB44" s="369"/>
      <c r="CC44" s="367"/>
      <c r="CD44" s="372"/>
      <c r="CE44" s="366"/>
      <c r="CF44" s="367"/>
      <c r="CG44" s="368"/>
      <c r="CH44" s="369"/>
      <c r="CI44" s="367"/>
      <c r="CJ44" s="372"/>
      <c r="CK44" s="366"/>
      <c r="CL44" s="367"/>
      <c r="CM44" s="368"/>
      <c r="CN44" s="369"/>
      <c r="CO44" s="367"/>
      <c r="CP44" s="372"/>
      <c r="CQ44" s="366"/>
      <c r="CR44" s="367"/>
      <c r="CS44" s="368"/>
      <c r="CT44" s="366"/>
      <c r="CU44" s="367"/>
      <c r="CV44" s="368"/>
      <c r="CW44" s="366"/>
      <c r="CX44" s="367"/>
      <c r="CY44" s="368"/>
      <c r="CZ44" s="366"/>
      <c r="DA44" s="367"/>
      <c r="DB44" s="368"/>
      <c r="DC44" s="380">
        <f>+B44+E44+H44+K44+N44+Q44+T44+W44+Z44+AC44+AF44+AI44+AL44+AO44+AR44+AU44+AX44+BA44+BD44+BG44+BJ44+BM44+BP44+BS44+BV44+BY44+CB44+CE44+CH44+CK44+CN44+CZ44+CQ44+CT44+CW44</f>
        <v>0</v>
      </c>
      <c r="DD44" s="381">
        <f>+C44+F44+I44+L44+O44+R44+U44+X44+AA44+AD44+AG44+AJ44+AM44+AP44+AS44+AV44+AY44+BB44+BE44+BH44+BK44+BN44+BQ44+BT44+BW44+BZ44+CC44+CF44+CI44+CL44+CO44+DA44+CR44+CU44+CX44</f>
        <v>0</v>
      </c>
      <c r="DE44" s="381">
        <f>+D44+G44+J44+M44+P44+S44+V44+Y44+AB44+AE44+AH44+AK44+AN44+AQ44+AT44+AW44+AZ44+BC44+BF44+BI44+BL44+BO44+BR44+BU44+BX44+CA44+CD44+CG44+CJ44+CM44+CP44+DB44+CS44+CV44+CY44</f>
        <v>0</v>
      </c>
    </row>
    <row r="45" spans="1:110">
      <c r="A45" s="240">
        <v>2</v>
      </c>
      <c r="B45" s="241"/>
      <c r="C45" s="43"/>
      <c r="D45" s="57"/>
      <c r="E45" s="302"/>
      <c r="F45" s="294"/>
      <c r="G45" s="301"/>
      <c r="H45" s="293"/>
      <c r="I45" s="294"/>
      <c r="J45" s="295"/>
      <c r="K45" s="302"/>
      <c r="L45" s="294"/>
      <c r="M45" s="301"/>
      <c r="N45" s="293"/>
      <c r="O45" s="294"/>
      <c r="P45" s="295"/>
      <c r="Q45" s="302"/>
      <c r="R45" s="294"/>
      <c r="S45" s="301"/>
      <c r="T45" s="293"/>
      <c r="U45" s="294"/>
      <c r="V45" s="295"/>
      <c r="W45" s="302"/>
      <c r="X45" s="294"/>
      <c r="Y45" s="301"/>
      <c r="Z45" s="293"/>
      <c r="AA45" s="294"/>
      <c r="AB45" s="295"/>
      <c r="AC45" s="302"/>
      <c r="AD45" s="294"/>
      <c r="AE45" s="301"/>
      <c r="AF45" s="293"/>
      <c r="AG45" s="294"/>
      <c r="AH45" s="295"/>
      <c r="AI45" s="302"/>
      <c r="AJ45" s="294"/>
      <c r="AK45" s="301"/>
      <c r="AL45" s="293"/>
      <c r="AM45" s="294"/>
      <c r="AN45" s="295"/>
      <c r="AO45" s="302"/>
      <c r="AP45" s="294"/>
      <c r="AQ45" s="301"/>
      <c r="AR45" s="293"/>
      <c r="AS45" s="294"/>
      <c r="AT45" s="295"/>
      <c r="AU45" s="302"/>
      <c r="AV45" s="294"/>
      <c r="AW45" s="301"/>
      <c r="AX45" s="293"/>
      <c r="AY45" s="294"/>
      <c r="AZ45" s="295"/>
      <c r="BA45" s="302"/>
      <c r="BB45" s="294"/>
      <c r="BC45" s="301"/>
      <c r="BD45" s="293"/>
      <c r="BE45" s="294"/>
      <c r="BF45" s="295"/>
      <c r="BG45" s="302"/>
      <c r="BH45" s="294"/>
      <c r="BI45" s="301"/>
      <c r="BJ45" s="293"/>
      <c r="BK45" s="294"/>
      <c r="BL45" s="295"/>
      <c r="BM45" s="302"/>
      <c r="BN45" s="294"/>
      <c r="BO45" s="301"/>
      <c r="BP45" s="293"/>
      <c r="BQ45" s="294"/>
      <c r="BR45" s="295"/>
      <c r="BS45" s="302"/>
      <c r="BT45" s="294"/>
      <c r="BU45" s="301"/>
      <c r="BV45" s="293"/>
      <c r="BW45" s="294"/>
      <c r="BX45" s="295"/>
      <c r="BY45" s="302"/>
      <c r="BZ45" s="294"/>
      <c r="CA45" s="301"/>
      <c r="CB45" s="293"/>
      <c r="CC45" s="294"/>
      <c r="CD45" s="295"/>
      <c r="CE45" s="302"/>
      <c r="CF45" s="294"/>
      <c r="CG45" s="301"/>
      <c r="CH45" s="293"/>
      <c r="CI45" s="294"/>
      <c r="CJ45" s="295"/>
      <c r="CK45" s="302"/>
      <c r="CL45" s="294"/>
      <c r="CM45" s="301"/>
      <c r="CN45" s="293"/>
      <c r="CO45" s="294"/>
      <c r="CP45" s="295"/>
      <c r="CQ45" s="302"/>
      <c r="CR45" s="294"/>
      <c r="CS45" s="301"/>
      <c r="CT45" s="302"/>
      <c r="CU45" s="294"/>
      <c r="CV45" s="301"/>
      <c r="CW45" s="302"/>
      <c r="CX45" s="294"/>
      <c r="CY45" s="301"/>
      <c r="CZ45" s="302"/>
      <c r="DA45" s="294"/>
      <c r="DB45" s="301"/>
      <c r="DC45" s="380">
        <f t="shared" ref="DC45:DC74" si="7">+B45+E45+H45+K45+N45+Q45+T45+W45+Z45+AC45+AF45+AI45+AL45+AO45+AR45+AU45+AX45+BA45+BD45+BG45+BJ45+BM45+BP45+BS45+BV45+BY45+CB45+CE45+CH45+CK45+CN45+CZ45+CQ45+CT45+CW45</f>
        <v>0</v>
      </c>
      <c r="DD45" s="381">
        <f t="shared" ref="DD45:DD74" si="8">+C45+F45+I45+L45+O45+R45+U45+X45+AA45+AD45+AG45+AJ45+AM45+AP45+AS45+AV45+AY45+BB45+BE45+BH45+BK45+BN45+BQ45+BT45+BW45+BZ45+CC45+CF45+CI45+CL45+CO45+DA45+CR45+CU45+CX45</f>
        <v>0</v>
      </c>
      <c r="DE45" s="381">
        <f t="shared" ref="DE45:DE74" si="9">+D45+G45+J45+M45+P45+S45+V45+Y45+AB45+AE45+AH45+AK45+AN45+AQ45+AT45+AW45+AZ45+BC45+BF45+BI45+BL45+BO45+BR45+BU45+BX45+CA45+CD45+CG45+CJ45+CM45+CP45+DB45+CS45+CV45+CY45</f>
        <v>0</v>
      </c>
    </row>
    <row r="46" spans="1:110">
      <c r="A46" s="240">
        <v>3</v>
      </c>
      <c r="B46" s="241"/>
      <c r="C46" s="43"/>
      <c r="D46" s="57"/>
      <c r="E46" s="302"/>
      <c r="F46" s="294"/>
      <c r="G46" s="301"/>
      <c r="H46" s="293"/>
      <c r="I46" s="294"/>
      <c r="J46" s="295"/>
      <c r="K46" s="302"/>
      <c r="L46" s="294"/>
      <c r="M46" s="301"/>
      <c r="N46" s="293"/>
      <c r="O46" s="294"/>
      <c r="P46" s="295"/>
      <c r="Q46" s="302"/>
      <c r="R46" s="294"/>
      <c r="S46" s="301"/>
      <c r="T46" s="293"/>
      <c r="U46" s="294"/>
      <c r="V46" s="295"/>
      <c r="W46" s="302"/>
      <c r="X46" s="294"/>
      <c r="Y46" s="301"/>
      <c r="Z46" s="293"/>
      <c r="AA46" s="294"/>
      <c r="AB46" s="295"/>
      <c r="AC46" s="302"/>
      <c r="AD46" s="294"/>
      <c r="AE46" s="301"/>
      <c r="AF46" s="293"/>
      <c r="AG46" s="294"/>
      <c r="AH46" s="295"/>
      <c r="AI46" s="302"/>
      <c r="AJ46" s="294"/>
      <c r="AK46" s="301"/>
      <c r="AL46" s="293"/>
      <c r="AM46" s="294"/>
      <c r="AN46" s="295"/>
      <c r="AO46" s="302"/>
      <c r="AP46" s="294"/>
      <c r="AQ46" s="301"/>
      <c r="AR46" s="293"/>
      <c r="AS46" s="294"/>
      <c r="AT46" s="295"/>
      <c r="AU46" s="302"/>
      <c r="AV46" s="294"/>
      <c r="AW46" s="301"/>
      <c r="AX46" s="293"/>
      <c r="AY46" s="294"/>
      <c r="AZ46" s="295"/>
      <c r="BA46" s="302"/>
      <c r="BB46" s="294"/>
      <c r="BC46" s="301"/>
      <c r="BD46" s="293"/>
      <c r="BE46" s="294"/>
      <c r="BF46" s="295"/>
      <c r="BG46" s="302"/>
      <c r="BH46" s="294"/>
      <c r="BI46" s="301"/>
      <c r="BJ46" s="293"/>
      <c r="BK46" s="294"/>
      <c r="BL46" s="295"/>
      <c r="BM46" s="302"/>
      <c r="BN46" s="294"/>
      <c r="BO46" s="301"/>
      <c r="BP46" s="373"/>
      <c r="BQ46" s="374"/>
      <c r="BR46" s="295"/>
      <c r="BS46" s="302"/>
      <c r="BT46" s="294"/>
      <c r="BU46" s="301"/>
      <c r="BV46" s="293"/>
      <c r="BW46" s="294"/>
      <c r="BX46" s="295"/>
      <c r="BY46" s="302"/>
      <c r="BZ46" s="294"/>
      <c r="CA46" s="301"/>
      <c r="CB46" s="293"/>
      <c r="CC46" s="294"/>
      <c r="CD46" s="295"/>
      <c r="CE46" s="302"/>
      <c r="CF46" s="294"/>
      <c r="CG46" s="301"/>
      <c r="CH46" s="293"/>
      <c r="CI46" s="294"/>
      <c r="CJ46" s="295"/>
      <c r="CK46" s="302"/>
      <c r="CL46" s="294"/>
      <c r="CM46" s="301"/>
      <c r="CN46" s="293"/>
      <c r="CO46" s="294"/>
      <c r="CP46" s="295"/>
      <c r="CQ46" s="302"/>
      <c r="CR46" s="294"/>
      <c r="CS46" s="301"/>
      <c r="CT46" s="302"/>
      <c r="CU46" s="294"/>
      <c r="CV46" s="301"/>
      <c r="CW46" s="302"/>
      <c r="CX46" s="294"/>
      <c r="CY46" s="301"/>
      <c r="CZ46" s="302"/>
      <c r="DA46" s="294"/>
      <c r="DB46" s="301"/>
      <c r="DC46" s="380">
        <f t="shared" si="7"/>
        <v>0</v>
      </c>
      <c r="DD46" s="381">
        <f t="shared" si="8"/>
        <v>0</v>
      </c>
      <c r="DE46" s="381">
        <f t="shared" si="9"/>
        <v>0</v>
      </c>
    </row>
    <row r="47" spans="1:110">
      <c r="A47" s="365">
        <v>4</v>
      </c>
      <c r="B47" s="241"/>
      <c r="C47" s="43"/>
      <c r="D47" s="57"/>
      <c r="E47" s="302"/>
      <c r="F47" s="294"/>
      <c r="G47" s="301"/>
      <c r="H47" s="293"/>
      <c r="I47" s="294"/>
      <c r="J47" s="295"/>
      <c r="K47" s="302"/>
      <c r="L47" s="294"/>
      <c r="M47" s="301"/>
      <c r="N47" s="293"/>
      <c r="O47" s="294"/>
      <c r="P47" s="295"/>
      <c r="Q47" s="302"/>
      <c r="R47" s="294"/>
      <c r="S47" s="301"/>
      <c r="T47" s="293"/>
      <c r="U47" s="294"/>
      <c r="V47" s="295"/>
      <c r="W47" s="302"/>
      <c r="X47" s="294"/>
      <c r="Y47" s="301"/>
      <c r="Z47" s="293"/>
      <c r="AA47" s="294"/>
      <c r="AB47" s="295"/>
      <c r="AC47" s="302"/>
      <c r="AD47" s="294"/>
      <c r="AE47" s="301"/>
      <c r="AF47" s="293"/>
      <c r="AG47" s="294"/>
      <c r="AH47" s="295"/>
      <c r="AI47" s="302"/>
      <c r="AJ47" s="294"/>
      <c r="AK47" s="301"/>
      <c r="AL47" s="293"/>
      <c r="AM47" s="294"/>
      <c r="AN47" s="295"/>
      <c r="AO47" s="302"/>
      <c r="AP47" s="294"/>
      <c r="AQ47" s="301"/>
      <c r="AR47" s="293"/>
      <c r="AS47" s="294"/>
      <c r="AT47" s="295"/>
      <c r="AU47" s="302"/>
      <c r="AV47" s="294"/>
      <c r="AW47" s="301"/>
      <c r="AX47" s="293"/>
      <c r="AY47" s="294"/>
      <c r="AZ47" s="295"/>
      <c r="BA47" s="302"/>
      <c r="BB47" s="294"/>
      <c r="BC47" s="301"/>
      <c r="BD47" s="293"/>
      <c r="BE47" s="294"/>
      <c r="BF47" s="295"/>
      <c r="BG47" s="302"/>
      <c r="BH47" s="294"/>
      <c r="BI47" s="301"/>
      <c r="BJ47" s="293"/>
      <c r="BK47" s="294"/>
      <c r="BL47" s="295"/>
      <c r="BM47" s="302"/>
      <c r="BN47" s="294"/>
      <c r="BO47" s="301"/>
      <c r="BP47" s="293"/>
      <c r="BQ47" s="294"/>
      <c r="BR47" s="295"/>
      <c r="BS47" s="302"/>
      <c r="BT47" s="294"/>
      <c r="BU47" s="301"/>
      <c r="BV47" s="293"/>
      <c r="BW47" s="294"/>
      <c r="BX47" s="295"/>
      <c r="BY47" s="302"/>
      <c r="BZ47" s="294"/>
      <c r="CA47" s="301"/>
      <c r="CB47" s="293"/>
      <c r="CC47" s="294"/>
      <c r="CD47" s="295"/>
      <c r="CE47" s="302"/>
      <c r="CF47" s="294"/>
      <c r="CG47" s="301"/>
      <c r="CH47" s="293"/>
      <c r="CI47" s="294"/>
      <c r="CJ47" s="295"/>
      <c r="CK47" s="302"/>
      <c r="CL47" s="294"/>
      <c r="CM47" s="301"/>
      <c r="CN47" s="293"/>
      <c r="CO47" s="294"/>
      <c r="CP47" s="295"/>
      <c r="CQ47" s="302"/>
      <c r="CR47" s="294"/>
      <c r="CS47" s="301"/>
      <c r="CT47" s="302"/>
      <c r="CU47" s="294"/>
      <c r="CV47" s="301"/>
      <c r="CW47" s="302"/>
      <c r="CX47" s="294"/>
      <c r="CY47" s="301"/>
      <c r="CZ47" s="302"/>
      <c r="DA47" s="294"/>
      <c r="DB47" s="301"/>
      <c r="DC47" s="380">
        <f t="shared" si="7"/>
        <v>0</v>
      </c>
      <c r="DD47" s="381">
        <f t="shared" si="8"/>
        <v>0</v>
      </c>
      <c r="DE47" s="381">
        <f t="shared" si="9"/>
        <v>0</v>
      </c>
    </row>
    <row r="48" spans="1:110">
      <c r="A48" s="240">
        <v>5</v>
      </c>
      <c r="B48" s="241"/>
      <c r="C48" s="43"/>
      <c r="D48" s="57"/>
      <c r="E48" s="302"/>
      <c r="F48" s="294"/>
      <c r="G48" s="301"/>
      <c r="H48" s="293"/>
      <c r="I48" s="294"/>
      <c r="J48" s="295"/>
      <c r="K48" s="302"/>
      <c r="L48" s="294"/>
      <c r="M48" s="301"/>
      <c r="N48" s="293"/>
      <c r="O48" s="294"/>
      <c r="P48" s="295"/>
      <c r="Q48" s="302"/>
      <c r="R48" s="294"/>
      <c r="S48" s="301"/>
      <c r="T48" s="293"/>
      <c r="U48" s="294"/>
      <c r="V48" s="295"/>
      <c r="W48" s="302"/>
      <c r="X48" s="294"/>
      <c r="Y48" s="301"/>
      <c r="Z48" s="293"/>
      <c r="AA48" s="294"/>
      <c r="AB48" s="295"/>
      <c r="AC48" s="302"/>
      <c r="AD48" s="294"/>
      <c r="AE48" s="301"/>
      <c r="AF48" s="293"/>
      <c r="AG48" s="294"/>
      <c r="AH48" s="295"/>
      <c r="AI48" s="302"/>
      <c r="AJ48" s="294"/>
      <c r="AK48" s="301"/>
      <c r="AL48" s="293"/>
      <c r="AM48" s="294"/>
      <c r="AN48" s="295"/>
      <c r="AO48" s="302"/>
      <c r="AP48" s="294"/>
      <c r="AQ48" s="301"/>
      <c r="AR48" s="293"/>
      <c r="AS48" s="294"/>
      <c r="AT48" s="295"/>
      <c r="AU48" s="302"/>
      <c r="AV48" s="294"/>
      <c r="AW48" s="301"/>
      <c r="AX48" s="293"/>
      <c r="AY48" s="294"/>
      <c r="AZ48" s="295"/>
      <c r="BA48" s="302"/>
      <c r="BB48" s="294"/>
      <c r="BC48" s="301"/>
      <c r="BD48" s="293"/>
      <c r="BE48" s="294"/>
      <c r="BF48" s="295"/>
      <c r="BG48" s="302"/>
      <c r="BH48" s="294"/>
      <c r="BI48" s="301"/>
      <c r="BJ48" s="293"/>
      <c r="BK48" s="294"/>
      <c r="BL48" s="295"/>
      <c r="BM48" s="302"/>
      <c r="BN48" s="294"/>
      <c r="BO48" s="301"/>
      <c r="BP48" s="293"/>
      <c r="BQ48" s="294"/>
      <c r="BR48" s="295"/>
      <c r="BS48" s="302"/>
      <c r="BT48" s="294"/>
      <c r="BU48" s="301"/>
      <c r="BV48" s="293"/>
      <c r="BW48" s="294"/>
      <c r="BX48" s="295"/>
      <c r="BY48" s="302"/>
      <c r="BZ48" s="294"/>
      <c r="CA48" s="301"/>
      <c r="CB48" s="293"/>
      <c r="CC48" s="294"/>
      <c r="CD48" s="295"/>
      <c r="CE48" s="302"/>
      <c r="CF48" s="294"/>
      <c r="CG48" s="301"/>
      <c r="CH48" s="293"/>
      <c r="CI48" s="294"/>
      <c r="CJ48" s="295"/>
      <c r="CK48" s="302"/>
      <c r="CL48" s="294"/>
      <c r="CM48" s="301"/>
      <c r="CN48" s="293"/>
      <c r="CO48" s="294"/>
      <c r="CP48" s="295"/>
      <c r="CQ48" s="302"/>
      <c r="CR48" s="294"/>
      <c r="CS48" s="301"/>
      <c r="CT48" s="302"/>
      <c r="CU48" s="294"/>
      <c r="CV48" s="301"/>
      <c r="CW48" s="302"/>
      <c r="CX48" s="294"/>
      <c r="CY48" s="301"/>
      <c r="CZ48" s="302"/>
      <c r="DA48" s="294"/>
      <c r="DB48" s="301"/>
      <c r="DC48" s="380">
        <f t="shared" si="7"/>
        <v>0</v>
      </c>
      <c r="DD48" s="381">
        <f t="shared" si="8"/>
        <v>0</v>
      </c>
      <c r="DE48" s="381">
        <f t="shared" si="9"/>
        <v>0</v>
      </c>
    </row>
    <row r="49" spans="1:109">
      <c r="A49" s="240">
        <v>6</v>
      </c>
      <c r="B49" s="241"/>
      <c r="C49" s="43"/>
      <c r="D49" s="57"/>
      <c r="E49" s="302"/>
      <c r="F49" s="294"/>
      <c r="G49" s="301"/>
      <c r="H49" s="293"/>
      <c r="I49" s="294"/>
      <c r="J49" s="295"/>
      <c r="K49" s="302"/>
      <c r="L49" s="294"/>
      <c r="M49" s="301"/>
      <c r="N49" s="293"/>
      <c r="O49" s="294"/>
      <c r="P49" s="295"/>
      <c r="Q49" s="302"/>
      <c r="R49" s="294"/>
      <c r="S49" s="301"/>
      <c r="T49" s="293"/>
      <c r="U49" s="294"/>
      <c r="V49" s="295"/>
      <c r="W49" s="302"/>
      <c r="X49" s="294"/>
      <c r="Y49" s="301"/>
      <c r="Z49" s="293"/>
      <c r="AA49" s="294"/>
      <c r="AB49" s="295"/>
      <c r="AC49" s="302"/>
      <c r="AD49" s="294"/>
      <c r="AE49" s="301"/>
      <c r="AF49" s="293"/>
      <c r="AG49" s="294"/>
      <c r="AH49" s="295"/>
      <c r="AI49" s="302"/>
      <c r="AJ49" s="294"/>
      <c r="AK49" s="301"/>
      <c r="AL49" s="293"/>
      <c r="AM49" s="294"/>
      <c r="AN49" s="295"/>
      <c r="AO49" s="302"/>
      <c r="AP49" s="294"/>
      <c r="AQ49" s="301"/>
      <c r="AR49" s="293"/>
      <c r="AS49" s="294"/>
      <c r="AT49" s="295"/>
      <c r="AU49" s="302"/>
      <c r="AV49" s="294"/>
      <c r="AW49" s="301"/>
      <c r="AX49" s="293"/>
      <c r="AY49" s="294"/>
      <c r="AZ49" s="295"/>
      <c r="BA49" s="302"/>
      <c r="BB49" s="294"/>
      <c r="BC49" s="301"/>
      <c r="BD49" s="293"/>
      <c r="BE49" s="294"/>
      <c r="BF49" s="295"/>
      <c r="BG49" s="302"/>
      <c r="BH49" s="294"/>
      <c r="BI49" s="301"/>
      <c r="BJ49" s="293"/>
      <c r="BK49" s="294"/>
      <c r="BL49" s="295"/>
      <c r="BM49" s="302"/>
      <c r="BN49" s="294"/>
      <c r="BO49" s="301"/>
      <c r="BP49" s="293"/>
      <c r="BQ49" s="294"/>
      <c r="BR49" s="295"/>
      <c r="BS49" s="302"/>
      <c r="BT49" s="294"/>
      <c r="BU49" s="301"/>
      <c r="BV49" s="293"/>
      <c r="BW49" s="294"/>
      <c r="BX49" s="295"/>
      <c r="BY49" s="302"/>
      <c r="BZ49" s="294"/>
      <c r="CA49" s="301"/>
      <c r="CB49" s="293"/>
      <c r="CC49" s="294"/>
      <c r="CD49" s="295"/>
      <c r="CE49" s="302"/>
      <c r="CF49" s="294"/>
      <c r="CG49" s="301"/>
      <c r="CH49" s="293"/>
      <c r="CI49" s="294"/>
      <c r="CJ49" s="295"/>
      <c r="CK49" s="302"/>
      <c r="CL49" s="294"/>
      <c r="CM49" s="301"/>
      <c r="CN49" s="293"/>
      <c r="CO49" s="294"/>
      <c r="CP49" s="295"/>
      <c r="CQ49" s="302"/>
      <c r="CR49" s="294"/>
      <c r="CS49" s="301"/>
      <c r="CT49" s="302"/>
      <c r="CU49" s="294"/>
      <c r="CV49" s="301"/>
      <c r="CW49" s="302"/>
      <c r="CX49" s="294"/>
      <c r="CY49" s="301"/>
      <c r="CZ49" s="302"/>
      <c r="DA49" s="294"/>
      <c r="DB49" s="301"/>
      <c r="DC49" s="380">
        <f t="shared" si="7"/>
        <v>0</v>
      </c>
      <c r="DD49" s="381">
        <f t="shared" si="8"/>
        <v>0</v>
      </c>
      <c r="DE49" s="381">
        <f t="shared" si="9"/>
        <v>0</v>
      </c>
    </row>
    <row r="50" spans="1:109" s="1" customFormat="1">
      <c r="A50" s="370">
        <v>7</v>
      </c>
      <c r="B50" s="241"/>
      <c r="C50" s="43"/>
      <c r="D50" s="57"/>
      <c r="E50" s="302"/>
      <c r="F50" s="294"/>
      <c r="G50" s="301"/>
      <c r="H50" s="293"/>
      <c r="I50" s="294"/>
      <c r="J50" s="295"/>
      <c r="K50" s="302"/>
      <c r="L50" s="294"/>
      <c r="M50" s="301"/>
      <c r="N50" s="293"/>
      <c r="O50" s="294"/>
      <c r="P50" s="295"/>
      <c r="Q50" s="302"/>
      <c r="R50" s="294"/>
      <c r="S50" s="301"/>
      <c r="T50" s="293"/>
      <c r="U50" s="294"/>
      <c r="V50" s="295"/>
      <c r="W50" s="302"/>
      <c r="X50" s="294"/>
      <c r="Y50" s="301"/>
      <c r="Z50" s="293"/>
      <c r="AA50" s="294"/>
      <c r="AB50" s="295"/>
      <c r="AC50" s="302"/>
      <c r="AD50" s="294"/>
      <c r="AE50" s="301"/>
      <c r="AF50" s="293"/>
      <c r="AG50" s="294"/>
      <c r="AH50" s="295"/>
      <c r="AI50" s="302"/>
      <c r="AJ50" s="294"/>
      <c r="AK50" s="301"/>
      <c r="AL50" s="293"/>
      <c r="AM50" s="294"/>
      <c r="AN50" s="295"/>
      <c r="AO50" s="302"/>
      <c r="AP50" s="294"/>
      <c r="AQ50" s="301"/>
      <c r="AR50" s="293"/>
      <c r="AS50" s="294"/>
      <c r="AT50" s="295"/>
      <c r="AU50" s="302"/>
      <c r="AV50" s="294"/>
      <c r="AW50" s="301"/>
      <c r="AX50" s="293"/>
      <c r="AY50" s="294"/>
      <c r="AZ50" s="295"/>
      <c r="BA50" s="302"/>
      <c r="BB50" s="294"/>
      <c r="BC50" s="301"/>
      <c r="BD50" s="293"/>
      <c r="BE50" s="294"/>
      <c r="BF50" s="295"/>
      <c r="BG50" s="302"/>
      <c r="BH50" s="294"/>
      <c r="BI50" s="301"/>
      <c r="BJ50" s="293"/>
      <c r="BK50" s="294"/>
      <c r="BL50" s="295"/>
      <c r="BM50" s="302"/>
      <c r="BN50" s="294"/>
      <c r="BO50" s="301"/>
      <c r="BP50" s="293"/>
      <c r="BQ50" s="294"/>
      <c r="BR50" s="295"/>
      <c r="BS50" s="302"/>
      <c r="BT50" s="294"/>
      <c r="BU50" s="301"/>
      <c r="BV50" s="293"/>
      <c r="BW50" s="294"/>
      <c r="BX50" s="295"/>
      <c r="BY50" s="302"/>
      <c r="BZ50" s="294"/>
      <c r="CA50" s="301"/>
      <c r="CB50" s="293"/>
      <c r="CC50" s="294"/>
      <c r="CD50" s="295"/>
      <c r="CE50" s="302"/>
      <c r="CF50" s="294"/>
      <c r="CG50" s="301"/>
      <c r="CH50" s="293"/>
      <c r="CI50" s="294"/>
      <c r="CJ50" s="295"/>
      <c r="CK50" s="302"/>
      <c r="CL50" s="294"/>
      <c r="CM50" s="301"/>
      <c r="CN50" s="293"/>
      <c r="CO50" s="294"/>
      <c r="CP50" s="295"/>
      <c r="CQ50" s="302"/>
      <c r="CR50" s="294"/>
      <c r="CS50" s="301"/>
      <c r="CT50" s="302"/>
      <c r="CU50" s="294"/>
      <c r="CV50" s="301"/>
      <c r="CW50" s="302"/>
      <c r="CX50" s="294"/>
      <c r="CY50" s="301"/>
      <c r="CZ50" s="302"/>
      <c r="DA50" s="294"/>
      <c r="DB50" s="301"/>
      <c r="DC50" s="380">
        <f t="shared" si="7"/>
        <v>0</v>
      </c>
      <c r="DD50" s="381">
        <f t="shared" si="8"/>
        <v>0</v>
      </c>
      <c r="DE50" s="381">
        <f t="shared" si="9"/>
        <v>0</v>
      </c>
    </row>
    <row r="51" spans="1:109">
      <c r="A51" s="240">
        <v>8</v>
      </c>
      <c r="B51" s="241"/>
      <c r="C51" s="43"/>
      <c r="D51" s="57"/>
      <c r="E51" s="302"/>
      <c r="F51" s="294"/>
      <c r="G51" s="301"/>
      <c r="H51" s="281"/>
      <c r="I51" s="43"/>
      <c r="J51" s="295"/>
      <c r="K51" s="302"/>
      <c r="L51" s="294"/>
      <c r="M51" s="301"/>
      <c r="N51" s="293"/>
      <c r="O51" s="294"/>
      <c r="P51" s="295"/>
      <c r="Q51" s="302"/>
      <c r="R51" s="294"/>
      <c r="S51" s="301"/>
      <c r="T51" s="293"/>
      <c r="U51" s="294"/>
      <c r="V51" s="295"/>
      <c r="W51" s="302"/>
      <c r="X51" s="294"/>
      <c r="Y51" s="301"/>
      <c r="Z51" s="293"/>
      <c r="AA51" s="294"/>
      <c r="AB51" s="295"/>
      <c r="AC51" s="302"/>
      <c r="AD51" s="294"/>
      <c r="AE51" s="301"/>
      <c r="AF51" s="293"/>
      <c r="AG51" s="294"/>
      <c r="AH51" s="295"/>
      <c r="AI51" s="302"/>
      <c r="AJ51" s="294"/>
      <c r="AK51" s="301"/>
      <c r="AL51" s="293"/>
      <c r="AM51" s="294"/>
      <c r="AN51" s="295"/>
      <c r="AO51" s="302"/>
      <c r="AP51" s="294"/>
      <c r="AQ51" s="301"/>
      <c r="AR51" s="293"/>
      <c r="AS51" s="294"/>
      <c r="AT51" s="295"/>
      <c r="AU51" s="302"/>
      <c r="AV51" s="294"/>
      <c r="AW51" s="301"/>
      <c r="AX51" s="293"/>
      <c r="AY51" s="294"/>
      <c r="AZ51" s="295"/>
      <c r="BA51" s="302"/>
      <c r="BB51" s="294"/>
      <c r="BC51" s="301"/>
      <c r="BD51" s="293"/>
      <c r="BE51" s="294"/>
      <c r="BF51" s="295"/>
      <c r="BG51" s="302"/>
      <c r="BH51" s="294"/>
      <c r="BI51" s="301"/>
      <c r="BJ51" s="293"/>
      <c r="BK51" s="294"/>
      <c r="BL51" s="295"/>
      <c r="BM51" s="302"/>
      <c r="BN51" s="294"/>
      <c r="BO51" s="301"/>
      <c r="BP51" s="293"/>
      <c r="BQ51" s="294"/>
      <c r="BR51" s="295"/>
      <c r="BS51" s="302"/>
      <c r="BT51" s="294"/>
      <c r="BU51" s="301"/>
      <c r="BV51" s="293"/>
      <c r="BW51" s="294"/>
      <c r="BX51" s="295"/>
      <c r="BY51" s="302"/>
      <c r="BZ51" s="294"/>
      <c r="CA51" s="301"/>
      <c r="CB51" s="293"/>
      <c r="CC51" s="294"/>
      <c r="CD51" s="295"/>
      <c r="CE51" s="302"/>
      <c r="CF51" s="294"/>
      <c r="CG51" s="301"/>
      <c r="CH51" s="293"/>
      <c r="CI51" s="294"/>
      <c r="CJ51" s="295"/>
      <c r="CK51" s="302"/>
      <c r="CL51" s="294"/>
      <c r="CM51" s="301"/>
      <c r="CN51" s="293"/>
      <c r="CO51" s="294"/>
      <c r="CP51" s="295"/>
      <c r="CQ51" s="302"/>
      <c r="CR51" s="294"/>
      <c r="CS51" s="301"/>
      <c r="CT51" s="302"/>
      <c r="CU51" s="294"/>
      <c r="CV51" s="301"/>
      <c r="CW51" s="302"/>
      <c r="CX51" s="294"/>
      <c r="CY51" s="301"/>
      <c r="CZ51" s="302"/>
      <c r="DA51" s="294"/>
      <c r="DB51" s="301"/>
      <c r="DC51" s="380">
        <f t="shared" si="7"/>
        <v>0</v>
      </c>
      <c r="DD51" s="381">
        <f t="shared" si="8"/>
        <v>0</v>
      </c>
      <c r="DE51" s="381">
        <f t="shared" si="9"/>
        <v>0</v>
      </c>
    </row>
    <row r="52" spans="1:109">
      <c r="A52" s="240">
        <v>9</v>
      </c>
      <c r="B52" s="241"/>
      <c r="C52" s="43"/>
      <c r="D52" s="57"/>
      <c r="E52" s="302"/>
      <c r="F52" s="294"/>
      <c r="G52" s="301"/>
      <c r="H52" s="293"/>
      <c r="I52" s="294"/>
      <c r="J52" s="295"/>
      <c r="K52" s="302"/>
      <c r="L52" s="294"/>
      <c r="M52" s="301"/>
      <c r="N52" s="293"/>
      <c r="O52" s="294"/>
      <c r="P52" s="295"/>
      <c r="Q52" s="302"/>
      <c r="R52" s="294"/>
      <c r="S52" s="301"/>
      <c r="T52" s="293"/>
      <c r="U52" s="294"/>
      <c r="V52" s="295"/>
      <c r="W52" s="302"/>
      <c r="X52" s="294"/>
      <c r="Y52" s="301"/>
      <c r="Z52" s="293"/>
      <c r="AA52" s="294"/>
      <c r="AB52" s="295"/>
      <c r="AC52" s="302"/>
      <c r="AD52" s="294"/>
      <c r="AE52" s="301"/>
      <c r="AF52" s="293"/>
      <c r="AG52" s="294"/>
      <c r="AH52" s="295"/>
      <c r="AI52" s="302"/>
      <c r="AJ52" s="294"/>
      <c r="AK52" s="301"/>
      <c r="AL52" s="293"/>
      <c r="AM52" s="294"/>
      <c r="AN52" s="295"/>
      <c r="AO52" s="302"/>
      <c r="AP52" s="294"/>
      <c r="AQ52" s="301"/>
      <c r="AR52" s="293"/>
      <c r="AS52" s="294"/>
      <c r="AT52" s="295"/>
      <c r="AU52" s="302"/>
      <c r="AV52" s="294"/>
      <c r="AW52" s="301"/>
      <c r="AX52" s="293"/>
      <c r="AY52" s="294"/>
      <c r="AZ52" s="295"/>
      <c r="BA52" s="302"/>
      <c r="BB52" s="294"/>
      <c r="BC52" s="301"/>
      <c r="BD52" s="293"/>
      <c r="BE52" s="294"/>
      <c r="BF52" s="295"/>
      <c r="BG52" s="302"/>
      <c r="BH52" s="294"/>
      <c r="BI52" s="301"/>
      <c r="BJ52" s="293"/>
      <c r="BK52" s="294"/>
      <c r="BL52" s="295"/>
      <c r="BM52" s="302"/>
      <c r="BN52" s="294"/>
      <c r="BO52" s="301"/>
      <c r="BP52" s="293"/>
      <c r="BQ52" s="294"/>
      <c r="BR52" s="295"/>
      <c r="BS52" s="302"/>
      <c r="BT52" s="294"/>
      <c r="BU52" s="301"/>
      <c r="BV52" s="293"/>
      <c r="BW52" s="294"/>
      <c r="BX52" s="295"/>
      <c r="BY52" s="302"/>
      <c r="BZ52" s="294"/>
      <c r="CA52" s="301"/>
      <c r="CB52" s="293"/>
      <c r="CC52" s="294"/>
      <c r="CD52" s="295"/>
      <c r="CE52" s="302"/>
      <c r="CF52" s="294"/>
      <c r="CG52" s="301"/>
      <c r="CH52" s="293"/>
      <c r="CI52" s="294"/>
      <c r="CJ52" s="295"/>
      <c r="CK52" s="302"/>
      <c r="CL52" s="294"/>
      <c r="CM52" s="301"/>
      <c r="CN52" s="293"/>
      <c r="CO52" s="294"/>
      <c r="CP52" s="295"/>
      <c r="CQ52" s="302"/>
      <c r="CR52" s="294"/>
      <c r="CS52" s="301"/>
      <c r="CT52" s="302"/>
      <c r="CU52" s="294"/>
      <c r="CV52" s="301"/>
      <c r="CW52" s="302"/>
      <c r="CX52" s="294"/>
      <c r="CY52" s="301"/>
      <c r="CZ52" s="302"/>
      <c r="DA52" s="294"/>
      <c r="DB52" s="301"/>
      <c r="DC52" s="380">
        <f t="shared" si="7"/>
        <v>0</v>
      </c>
      <c r="DD52" s="381">
        <f t="shared" si="8"/>
        <v>0</v>
      </c>
      <c r="DE52" s="381">
        <f t="shared" si="9"/>
        <v>0</v>
      </c>
    </row>
    <row r="53" spans="1:109">
      <c r="A53" s="365">
        <v>10</v>
      </c>
      <c r="B53" s="241"/>
      <c r="C53" s="43"/>
      <c r="D53" s="57"/>
      <c r="E53" s="302"/>
      <c r="F53" s="294"/>
      <c r="G53" s="301"/>
      <c r="H53" s="293"/>
      <c r="I53" s="294"/>
      <c r="J53" s="295"/>
      <c r="K53" s="302"/>
      <c r="L53" s="294"/>
      <c r="M53" s="301"/>
      <c r="N53" s="293"/>
      <c r="O53" s="294"/>
      <c r="P53" s="295"/>
      <c r="Q53" s="302"/>
      <c r="R53" s="294"/>
      <c r="S53" s="301"/>
      <c r="T53" s="293"/>
      <c r="U53" s="294"/>
      <c r="V53" s="295"/>
      <c r="W53" s="302"/>
      <c r="X53" s="294"/>
      <c r="Y53" s="301"/>
      <c r="Z53" s="293"/>
      <c r="AA53" s="294"/>
      <c r="AB53" s="295"/>
      <c r="AC53" s="302"/>
      <c r="AD53" s="294"/>
      <c r="AE53" s="301"/>
      <c r="AF53" s="293"/>
      <c r="AG53" s="294"/>
      <c r="AH53" s="295"/>
      <c r="AI53" s="302"/>
      <c r="AJ53" s="294"/>
      <c r="AK53" s="301"/>
      <c r="AL53" s="293"/>
      <c r="AM53" s="294"/>
      <c r="AN53" s="295"/>
      <c r="AO53" s="302"/>
      <c r="AP53" s="294"/>
      <c r="AQ53" s="301"/>
      <c r="AR53" s="293"/>
      <c r="AS53" s="294"/>
      <c r="AT53" s="295"/>
      <c r="AU53" s="302"/>
      <c r="AV53" s="294"/>
      <c r="AW53" s="301"/>
      <c r="AX53" s="293"/>
      <c r="AY53" s="294"/>
      <c r="AZ53" s="295"/>
      <c r="BA53" s="302"/>
      <c r="BB53" s="294"/>
      <c r="BC53" s="301"/>
      <c r="BD53" s="293"/>
      <c r="BE53" s="294"/>
      <c r="BF53" s="295"/>
      <c r="BG53" s="302"/>
      <c r="BH53" s="294"/>
      <c r="BI53" s="301"/>
      <c r="BJ53" s="293"/>
      <c r="BK53" s="294"/>
      <c r="BL53" s="295"/>
      <c r="BM53" s="302"/>
      <c r="BN53" s="294"/>
      <c r="BO53" s="301"/>
      <c r="BP53" s="293"/>
      <c r="BQ53" s="294"/>
      <c r="BR53" s="295"/>
      <c r="BS53" s="302"/>
      <c r="BT53" s="294"/>
      <c r="BU53" s="301"/>
      <c r="BV53" s="293"/>
      <c r="BW53" s="294"/>
      <c r="BX53" s="295"/>
      <c r="BY53" s="302"/>
      <c r="BZ53" s="294"/>
      <c r="CA53" s="301"/>
      <c r="CB53" s="293"/>
      <c r="CC53" s="294"/>
      <c r="CD53" s="295"/>
      <c r="CE53" s="302"/>
      <c r="CF53" s="294"/>
      <c r="CG53" s="301"/>
      <c r="CH53" s="293"/>
      <c r="CI53" s="294"/>
      <c r="CJ53" s="295"/>
      <c r="CK53" s="302"/>
      <c r="CL53" s="294"/>
      <c r="CM53" s="301"/>
      <c r="CN53" s="293"/>
      <c r="CO53" s="294"/>
      <c r="CP53" s="295"/>
      <c r="CQ53" s="302"/>
      <c r="CR53" s="294"/>
      <c r="CS53" s="301"/>
      <c r="CT53" s="302"/>
      <c r="CU53" s="294"/>
      <c r="CV53" s="301"/>
      <c r="CW53" s="302"/>
      <c r="CX53" s="294"/>
      <c r="CY53" s="301"/>
      <c r="CZ53" s="302"/>
      <c r="DA53" s="294"/>
      <c r="DB53" s="301"/>
      <c r="DC53" s="380">
        <f t="shared" si="7"/>
        <v>0</v>
      </c>
      <c r="DD53" s="381">
        <f t="shared" si="8"/>
        <v>0</v>
      </c>
      <c r="DE53" s="381">
        <f t="shared" si="9"/>
        <v>0</v>
      </c>
    </row>
    <row r="54" spans="1:109">
      <c r="A54" s="240">
        <v>11</v>
      </c>
      <c r="B54" s="241"/>
      <c r="C54" s="43"/>
      <c r="D54" s="57"/>
      <c r="E54" s="302"/>
      <c r="F54" s="294"/>
      <c r="G54" s="301"/>
      <c r="H54" s="293"/>
      <c r="I54" s="294"/>
      <c r="J54" s="295"/>
      <c r="K54" s="302"/>
      <c r="L54" s="294"/>
      <c r="M54" s="301"/>
      <c r="N54" s="293"/>
      <c r="O54" s="294"/>
      <c r="P54" s="295"/>
      <c r="Q54" s="302"/>
      <c r="R54" s="294"/>
      <c r="S54" s="301"/>
      <c r="T54" s="293"/>
      <c r="U54" s="294"/>
      <c r="V54" s="295"/>
      <c r="W54" s="302"/>
      <c r="X54" s="294"/>
      <c r="Y54" s="301"/>
      <c r="Z54" s="293"/>
      <c r="AA54" s="294"/>
      <c r="AB54" s="295"/>
      <c r="AC54" s="302"/>
      <c r="AD54" s="294"/>
      <c r="AE54" s="301"/>
      <c r="AF54" s="293"/>
      <c r="AG54" s="294"/>
      <c r="AH54" s="295"/>
      <c r="AI54" s="302"/>
      <c r="AJ54" s="294"/>
      <c r="AK54" s="301"/>
      <c r="AL54" s="293"/>
      <c r="AM54" s="294"/>
      <c r="AN54" s="295"/>
      <c r="AO54" s="302"/>
      <c r="AP54" s="294"/>
      <c r="AQ54" s="301"/>
      <c r="AR54" s="293"/>
      <c r="AS54" s="294"/>
      <c r="AT54" s="295"/>
      <c r="AU54" s="302"/>
      <c r="AV54" s="294"/>
      <c r="AW54" s="301"/>
      <c r="AX54" s="293"/>
      <c r="AY54" s="294"/>
      <c r="AZ54" s="295"/>
      <c r="BA54" s="302"/>
      <c r="BB54" s="294"/>
      <c r="BC54" s="301"/>
      <c r="BD54" s="293"/>
      <c r="BE54" s="294"/>
      <c r="BF54" s="295"/>
      <c r="BG54" s="302"/>
      <c r="BH54" s="294"/>
      <c r="BI54" s="301"/>
      <c r="BJ54" s="293"/>
      <c r="BK54" s="294"/>
      <c r="BL54" s="295"/>
      <c r="BM54" s="302"/>
      <c r="BN54" s="294"/>
      <c r="BO54" s="301"/>
      <c r="BP54" s="293"/>
      <c r="BQ54" s="294"/>
      <c r="BR54" s="295"/>
      <c r="BS54" s="302"/>
      <c r="BT54" s="294"/>
      <c r="BU54" s="301"/>
      <c r="BV54" s="293"/>
      <c r="BW54" s="294"/>
      <c r="BX54" s="295"/>
      <c r="BY54" s="302"/>
      <c r="BZ54" s="294"/>
      <c r="CA54" s="301"/>
      <c r="CB54" s="293"/>
      <c r="CC54" s="294"/>
      <c r="CD54" s="295"/>
      <c r="CE54" s="302"/>
      <c r="CF54" s="294"/>
      <c r="CG54" s="301"/>
      <c r="CH54" s="293"/>
      <c r="CI54" s="294"/>
      <c r="CJ54" s="295"/>
      <c r="CK54" s="302"/>
      <c r="CL54" s="294"/>
      <c r="CM54" s="301"/>
      <c r="CN54" s="293"/>
      <c r="CO54" s="294"/>
      <c r="CP54" s="295"/>
      <c r="CQ54" s="302"/>
      <c r="CR54" s="294"/>
      <c r="CS54" s="301"/>
      <c r="CT54" s="302"/>
      <c r="CU54" s="294"/>
      <c r="CV54" s="301"/>
      <c r="CW54" s="302"/>
      <c r="CX54" s="294"/>
      <c r="CY54" s="301"/>
      <c r="CZ54" s="302"/>
      <c r="DA54" s="294"/>
      <c r="DB54" s="301"/>
      <c r="DC54" s="380">
        <f t="shared" si="7"/>
        <v>0</v>
      </c>
      <c r="DD54" s="381">
        <f t="shared" si="8"/>
        <v>0</v>
      </c>
      <c r="DE54" s="381">
        <f t="shared" si="9"/>
        <v>0</v>
      </c>
    </row>
    <row r="55" spans="1:109">
      <c r="A55" s="240">
        <v>12</v>
      </c>
      <c r="B55" s="241"/>
      <c r="C55" s="43"/>
      <c r="D55" s="57"/>
      <c r="E55" s="302"/>
      <c r="F55" s="294"/>
      <c r="G55" s="301"/>
      <c r="H55" s="293"/>
      <c r="I55" s="294"/>
      <c r="J55" s="295"/>
      <c r="K55" s="302"/>
      <c r="L55" s="294"/>
      <c r="M55" s="301"/>
      <c r="N55" s="293"/>
      <c r="O55" s="294"/>
      <c r="P55" s="295"/>
      <c r="Q55" s="302"/>
      <c r="R55" s="294"/>
      <c r="S55" s="301"/>
      <c r="T55" s="293"/>
      <c r="U55" s="294"/>
      <c r="V55" s="295"/>
      <c r="W55" s="302"/>
      <c r="X55" s="294"/>
      <c r="Y55" s="301"/>
      <c r="Z55" s="293"/>
      <c r="AA55" s="294"/>
      <c r="AB55" s="295"/>
      <c r="AC55" s="302"/>
      <c r="AD55" s="294"/>
      <c r="AE55" s="301"/>
      <c r="AF55" s="293"/>
      <c r="AG55" s="294"/>
      <c r="AH55" s="295"/>
      <c r="AI55" s="302"/>
      <c r="AJ55" s="294"/>
      <c r="AK55" s="301"/>
      <c r="AL55" s="293"/>
      <c r="AM55" s="294"/>
      <c r="AN55" s="295"/>
      <c r="AO55" s="302"/>
      <c r="AP55" s="294"/>
      <c r="AQ55" s="301"/>
      <c r="AR55" s="293"/>
      <c r="AS55" s="294"/>
      <c r="AT55" s="295"/>
      <c r="AU55" s="302"/>
      <c r="AV55" s="294"/>
      <c r="AW55" s="301"/>
      <c r="AX55" s="293"/>
      <c r="AY55" s="294"/>
      <c r="AZ55" s="295"/>
      <c r="BA55" s="302"/>
      <c r="BB55" s="294"/>
      <c r="BC55" s="301"/>
      <c r="BD55" s="293"/>
      <c r="BE55" s="294"/>
      <c r="BF55" s="295"/>
      <c r="BG55" s="302"/>
      <c r="BH55" s="294"/>
      <c r="BI55" s="301"/>
      <c r="BJ55" s="293"/>
      <c r="BK55" s="294"/>
      <c r="BL55" s="295"/>
      <c r="BM55" s="302"/>
      <c r="BN55" s="294"/>
      <c r="BO55" s="301"/>
      <c r="BP55" s="293"/>
      <c r="BQ55" s="294"/>
      <c r="BR55" s="295"/>
      <c r="BS55" s="302"/>
      <c r="BT55" s="294"/>
      <c r="BU55" s="301"/>
      <c r="BV55" s="293"/>
      <c r="BW55" s="294"/>
      <c r="BX55" s="295"/>
      <c r="BY55" s="302"/>
      <c r="BZ55" s="294"/>
      <c r="CA55" s="301"/>
      <c r="CB55" s="293"/>
      <c r="CC55" s="294"/>
      <c r="CD55" s="295"/>
      <c r="CE55" s="302"/>
      <c r="CF55" s="294"/>
      <c r="CG55" s="301"/>
      <c r="CH55" s="293"/>
      <c r="CI55" s="294"/>
      <c r="CJ55" s="295"/>
      <c r="CK55" s="302"/>
      <c r="CL55" s="294"/>
      <c r="CM55" s="301"/>
      <c r="CN55" s="293"/>
      <c r="CO55" s="294"/>
      <c r="CP55" s="295"/>
      <c r="CQ55" s="302"/>
      <c r="CR55" s="294"/>
      <c r="CS55" s="301"/>
      <c r="CT55" s="302"/>
      <c r="CU55" s="294"/>
      <c r="CV55" s="301"/>
      <c r="CW55" s="302"/>
      <c r="CX55" s="294"/>
      <c r="CY55" s="301"/>
      <c r="CZ55" s="302"/>
      <c r="DA55" s="294"/>
      <c r="DB55" s="301"/>
      <c r="DC55" s="380">
        <f t="shared" si="7"/>
        <v>0</v>
      </c>
      <c r="DD55" s="381">
        <f t="shared" si="8"/>
        <v>0</v>
      </c>
      <c r="DE55" s="381">
        <f t="shared" si="9"/>
        <v>0</v>
      </c>
    </row>
    <row r="56" spans="1:109">
      <c r="A56" s="365">
        <v>13</v>
      </c>
      <c r="B56" s="241"/>
      <c r="C56" s="43"/>
      <c r="D56" s="57"/>
      <c r="E56" s="302"/>
      <c r="F56" s="294"/>
      <c r="G56" s="301"/>
      <c r="H56" s="293"/>
      <c r="I56" s="294"/>
      <c r="J56" s="295"/>
      <c r="K56" s="302"/>
      <c r="L56" s="294"/>
      <c r="M56" s="301"/>
      <c r="N56" s="293"/>
      <c r="O56" s="294"/>
      <c r="P56" s="295"/>
      <c r="Q56" s="302"/>
      <c r="R56" s="294"/>
      <c r="S56" s="301"/>
      <c r="T56" s="293"/>
      <c r="U56" s="294"/>
      <c r="V56" s="295"/>
      <c r="W56" s="302"/>
      <c r="X56" s="294"/>
      <c r="Y56" s="301"/>
      <c r="Z56" s="293"/>
      <c r="AA56" s="294"/>
      <c r="AB56" s="295"/>
      <c r="AC56" s="302"/>
      <c r="AD56" s="294"/>
      <c r="AE56" s="301"/>
      <c r="AF56" s="293"/>
      <c r="AG56" s="294"/>
      <c r="AH56" s="295"/>
      <c r="AI56" s="302"/>
      <c r="AJ56" s="294"/>
      <c r="AK56" s="301"/>
      <c r="AL56" s="293"/>
      <c r="AM56" s="294"/>
      <c r="AN56" s="295"/>
      <c r="AO56" s="302"/>
      <c r="AP56" s="294"/>
      <c r="AQ56" s="301"/>
      <c r="AR56" s="293"/>
      <c r="AS56" s="294"/>
      <c r="AT56" s="295"/>
      <c r="AU56" s="302"/>
      <c r="AV56" s="294"/>
      <c r="AW56" s="301"/>
      <c r="AX56" s="293"/>
      <c r="AY56" s="294"/>
      <c r="AZ56" s="295"/>
      <c r="BA56" s="302"/>
      <c r="BB56" s="294"/>
      <c r="BC56" s="301"/>
      <c r="BD56" s="293"/>
      <c r="BE56" s="294"/>
      <c r="BF56" s="295"/>
      <c r="BG56" s="302"/>
      <c r="BH56" s="294"/>
      <c r="BI56" s="301"/>
      <c r="BJ56" s="293"/>
      <c r="BK56" s="294"/>
      <c r="BL56" s="295"/>
      <c r="BM56" s="302"/>
      <c r="BN56" s="294"/>
      <c r="BO56" s="301"/>
      <c r="BP56" s="293"/>
      <c r="BQ56" s="294"/>
      <c r="BR56" s="295"/>
      <c r="BS56" s="302"/>
      <c r="BT56" s="294"/>
      <c r="BU56" s="301"/>
      <c r="BV56" s="293"/>
      <c r="BW56" s="294"/>
      <c r="BX56" s="295"/>
      <c r="BY56" s="302"/>
      <c r="BZ56" s="294"/>
      <c r="CA56" s="301"/>
      <c r="CB56" s="293"/>
      <c r="CC56" s="294"/>
      <c r="CD56" s="295"/>
      <c r="CE56" s="302"/>
      <c r="CF56" s="294"/>
      <c r="CG56" s="301"/>
      <c r="CH56" s="293"/>
      <c r="CI56" s="294"/>
      <c r="CJ56" s="295"/>
      <c r="CK56" s="302"/>
      <c r="CL56" s="294"/>
      <c r="CM56" s="301"/>
      <c r="CN56" s="293"/>
      <c r="CO56" s="294"/>
      <c r="CP56" s="295"/>
      <c r="CQ56" s="302"/>
      <c r="CR56" s="294"/>
      <c r="CS56" s="301"/>
      <c r="CT56" s="302"/>
      <c r="CU56" s="294"/>
      <c r="CV56" s="301"/>
      <c r="CW56" s="302"/>
      <c r="CX56" s="294"/>
      <c r="CY56" s="301"/>
      <c r="CZ56" s="302"/>
      <c r="DA56" s="294"/>
      <c r="DB56" s="301"/>
      <c r="DC56" s="380">
        <f t="shared" si="7"/>
        <v>0</v>
      </c>
      <c r="DD56" s="381">
        <f t="shared" si="8"/>
        <v>0</v>
      </c>
      <c r="DE56" s="381">
        <f t="shared" si="9"/>
        <v>0</v>
      </c>
    </row>
    <row r="57" spans="1:109" s="1" customFormat="1">
      <c r="A57" s="245">
        <v>14</v>
      </c>
      <c r="B57" s="241"/>
      <c r="C57" s="43"/>
      <c r="D57" s="57"/>
      <c r="E57" s="302"/>
      <c r="F57" s="294"/>
      <c r="G57" s="301"/>
      <c r="H57" s="293"/>
      <c r="I57" s="294"/>
      <c r="J57" s="295"/>
      <c r="K57" s="302"/>
      <c r="L57" s="294"/>
      <c r="M57" s="301"/>
      <c r="N57" s="293"/>
      <c r="O57" s="294"/>
      <c r="P57" s="295"/>
      <c r="Q57" s="302"/>
      <c r="R57" s="294"/>
      <c r="S57" s="301"/>
      <c r="T57" s="293"/>
      <c r="U57" s="294"/>
      <c r="V57" s="295"/>
      <c r="W57" s="302"/>
      <c r="X57" s="294"/>
      <c r="Y57" s="301"/>
      <c r="Z57" s="293"/>
      <c r="AA57" s="294"/>
      <c r="AB57" s="295"/>
      <c r="AC57" s="302"/>
      <c r="AD57" s="294"/>
      <c r="AE57" s="301"/>
      <c r="AF57" s="293"/>
      <c r="AG57" s="294"/>
      <c r="AH57" s="295"/>
      <c r="AI57" s="302"/>
      <c r="AJ57" s="294"/>
      <c r="AK57" s="301"/>
      <c r="AL57" s="293"/>
      <c r="AM57" s="294"/>
      <c r="AN57" s="295"/>
      <c r="AO57" s="302"/>
      <c r="AP57" s="294"/>
      <c r="AQ57" s="301"/>
      <c r="AR57" s="293"/>
      <c r="AS57" s="294"/>
      <c r="AT57" s="295"/>
      <c r="AU57" s="302"/>
      <c r="AV57" s="294"/>
      <c r="AW57" s="301"/>
      <c r="AX57" s="293"/>
      <c r="AY57" s="294"/>
      <c r="AZ57" s="295"/>
      <c r="BA57" s="302"/>
      <c r="BB57" s="294"/>
      <c r="BC57" s="301"/>
      <c r="BD57" s="293"/>
      <c r="BE57" s="294"/>
      <c r="BF57" s="295"/>
      <c r="BG57" s="302"/>
      <c r="BH57" s="294"/>
      <c r="BI57" s="301"/>
      <c r="BJ57" s="293"/>
      <c r="BK57" s="294"/>
      <c r="BL57" s="295"/>
      <c r="BM57" s="302"/>
      <c r="BN57" s="294"/>
      <c r="BO57" s="301"/>
      <c r="BP57" s="293"/>
      <c r="BQ57" s="294"/>
      <c r="BR57" s="295"/>
      <c r="BS57" s="302"/>
      <c r="BT57" s="294"/>
      <c r="BU57" s="301"/>
      <c r="BV57" s="293"/>
      <c r="BW57" s="294"/>
      <c r="BX57" s="295"/>
      <c r="BY57" s="302"/>
      <c r="BZ57" s="294"/>
      <c r="CA57" s="301"/>
      <c r="CB57" s="293"/>
      <c r="CC57" s="294"/>
      <c r="CD57" s="295"/>
      <c r="CE57" s="302"/>
      <c r="CF57" s="294"/>
      <c r="CG57" s="301"/>
      <c r="CH57" s="293"/>
      <c r="CI57" s="294"/>
      <c r="CJ57" s="295"/>
      <c r="CK57" s="302"/>
      <c r="CL57" s="294"/>
      <c r="CM57" s="301"/>
      <c r="CN57" s="293"/>
      <c r="CO57" s="294"/>
      <c r="CP57" s="295"/>
      <c r="CQ57" s="302"/>
      <c r="CR57" s="294"/>
      <c r="CS57" s="301"/>
      <c r="CT57" s="302"/>
      <c r="CU57" s="294"/>
      <c r="CV57" s="301"/>
      <c r="CW57" s="302"/>
      <c r="CX57" s="294"/>
      <c r="CY57" s="301"/>
      <c r="CZ57" s="302"/>
      <c r="DA57" s="294"/>
      <c r="DB57" s="301"/>
      <c r="DC57" s="380">
        <f t="shared" si="7"/>
        <v>0</v>
      </c>
      <c r="DD57" s="381">
        <f t="shared" si="8"/>
        <v>0</v>
      </c>
      <c r="DE57" s="381">
        <f t="shared" si="9"/>
        <v>0</v>
      </c>
    </row>
    <row r="58" spans="1:109">
      <c r="A58" s="240">
        <v>15</v>
      </c>
      <c r="B58" s="241"/>
      <c r="C58" s="43"/>
      <c r="D58" s="57"/>
      <c r="E58" s="302"/>
      <c r="F58" s="294"/>
      <c r="G58" s="301"/>
      <c r="H58" s="293"/>
      <c r="I58" s="294"/>
      <c r="J58" s="295"/>
      <c r="K58" s="302"/>
      <c r="L58" s="294"/>
      <c r="M58" s="301"/>
      <c r="N58" s="293"/>
      <c r="O58" s="294"/>
      <c r="P58" s="295"/>
      <c r="Q58" s="302"/>
      <c r="R58" s="294"/>
      <c r="S58" s="301"/>
      <c r="T58" s="293"/>
      <c r="U58" s="294"/>
      <c r="V58" s="295"/>
      <c r="W58" s="302"/>
      <c r="X58" s="294"/>
      <c r="Y58" s="301"/>
      <c r="Z58" s="293"/>
      <c r="AA58" s="294"/>
      <c r="AB58" s="295"/>
      <c r="AC58" s="302"/>
      <c r="AD58" s="294"/>
      <c r="AE58" s="301"/>
      <c r="AF58" s="293"/>
      <c r="AG58" s="294"/>
      <c r="AH58" s="295"/>
      <c r="AI58" s="302"/>
      <c r="AJ58" s="294"/>
      <c r="AK58" s="301"/>
      <c r="AL58" s="293"/>
      <c r="AM58" s="294"/>
      <c r="AN58" s="295"/>
      <c r="AO58" s="302"/>
      <c r="AP58" s="294"/>
      <c r="AQ58" s="301"/>
      <c r="AR58" s="293"/>
      <c r="AS58" s="294"/>
      <c r="AT58" s="295"/>
      <c r="AU58" s="302"/>
      <c r="AV58" s="294"/>
      <c r="AW58" s="301"/>
      <c r="AX58" s="293"/>
      <c r="AY58" s="294"/>
      <c r="AZ58" s="295"/>
      <c r="BA58" s="302"/>
      <c r="BB58" s="294"/>
      <c r="BC58" s="301"/>
      <c r="BD58" s="293"/>
      <c r="BE58" s="294"/>
      <c r="BF58" s="295"/>
      <c r="BG58" s="302"/>
      <c r="BH58" s="294"/>
      <c r="BI58" s="301"/>
      <c r="BJ58" s="293"/>
      <c r="BK58" s="294"/>
      <c r="BL58" s="295"/>
      <c r="BM58" s="302"/>
      <c r="BN58" s="294"/>
      <c r="BO58" s="301"/>
      <c r="BP58" s="293"/>
      <c r="BQ58" s="294"/>
      <c r="BR58" s="295"/>
      <c r="BS58" s="302"/>
      <c r="BT58" s="294"/>
      <c r="BU58" s="301"/>
      <c r="BV58" s="293"/>
      <c r="BW58" s="294"/>
      <c r="BX58" s="295"/>
      <c r="BY58" s="302"/>
      <c r="BZ58" s="294"/>
      <c r="CA58" s="301"/>
      <c r="CB58" s="293"/>
      <c r="CC58" s="294"/>
      <c r="CD58" s="295"/>
      <c r="CE58" s="302"/>
      <c r="CF58" s="294"/>
      <c r="CG58" s="301"/>
      <c r="CH58" s="293"/>
      <c r="CI58" s="294"/>
      <c r="CJ58" s="295"/>
      <c r="CK58" s="302"/>
      <c r="CL58" s="294"/>
      <c r="CM58" s="301"/>
      <c r="CN58" s="293"/>
      <c r="CO58" s="294"/>
      <c r="CP58" s="295"/>
      <c r="CQ58" s="302"/>
      <c r="CR58" s="294"/>
      <c r="CS58" s="301"/>
      <c r="CT58" s="302"/>
      <c r="CU58" s="294"/>
      <c r="CV58" s="301"/>
      <c r="CW58" s="302"/>
      <c r="CX58" s="294"/>
      <c r="CY58" s="301"/>
      <c r="CZ58" s="302"/>
      <c r="DA58" s="294"/>
      <c r="DB58" s="301"/>
      <c r="DC58" s="380">
        <f t="shared" si="7"/>
        <v>0</v>
      </c>
      <c r="DD58" s="381">
        <f t="shared" si="8"/>
        <v>0</v>
      </c>
      <c r="DE58" s="381">
        <f t="shared" si="9"/>
        <v>0</v>
      </c>
    </row>
    <row r="59" spans="1:109">
      <c r="A59" s="365">
        <v>16</v>
      </c>
      <c r="B59" s="241"/>
      <c r="C59" s="43"/>
      <c r="D59" s="57"/>
      <c r="E59" s="302"/>
      <c r="F59" s="294"/>
      <c r="G59" s="301"/>
      <c r="H59" s="293"/>
      <c r="I59" s="294"/>
      <c r="J59" s="295"/>
      <c r="K59" s="302"/>
      <c r="L59" s="294"/>
      <c r="M59" s="301"/>
      <c r="N59" s="293"/>
      <c r="O59" s="294"/>
      <c r="P59" s="295"/>
      <c r="Q59" s="302"/>
      <c r="R59" s="294"/>
      <c r="S59" s="301"/>
      <c r="T59" s="293"/>
      <c r="U59" s="294"/>
      <c r="V59" s="295"/>
      <c r="W59" s="302"/>
      <c r="X59" s="294"/>
      <c r="Y59" s="301"/>
      <c r="Z59" s="293"/>
      <c r="AA59" s="294"/>
      <c r="AB59" s="295"/>
      <c r="AC59" s="302"/>
      <c r="AD59" s="294"/>
      <c r="AE59" s="301"/>
      <c r="AF59" s="293"/>
      <c r="AG59" s="294"/>
      <c r="AH59" s="295"/>
      <c r="AI59" s="302"/>
      <c r="AJ59" s="294"/>
      <c r="AK59" s="301"/>
      <c r="AL59" s="293"/>
      <c r="AM59" s="294"/>
      <c r="AN59" s="295"/>
      <c r="AO59" s="302"/>
      <c r="AP59" s="294"/>
      <c r="AQ59" s="301"/>
      <c r="AR59" s="293"/>
      <c r="AS59" s="294"/>
      <c r="AT59" s="295"/>
      <c r="AU59" s="302"/>
      <c r="AV59" s="294"/>
      <c r="AW59" s="301"/>
      <c r="AX59" s="293"/>
      <c r="AY59" s="294"/>
      <c r="AZ59" s="295"/>
      <c r="BA59" s="302"/>
      <c r="BB59" s="294"/>
      <c r="BC59" s="301"/>
      <c r="BD59" s="293"/>
      <c r="BE59" s="294"/>
      <c r="BF59" s="295"/>
      <c r="BG59" s="302"/>
      <c r="BH59" s="294"/>
      <c r="BI59" s="301"/>
      <c r="BJ59" s="293"/>
      <c r="BK59" s="294"/>
      <c r="BL59" s="295"/>
      <c r="BM59" s="302"/>
      <c r="BN59" s="294"/>
      <c r="BO59" s="301"/>
      <c r="BP59" s="293"/>
      <c r="BQ59" s="294"/>
      <c r="BR59" s="295"/>
      <c r="BS59" s="302"/>
      <c r="BT59" s="294"/>
      <c r="BU59" s="301"/>
      <c r="BV59" s="293"/>
      <c r="BW59" s="294"/>
      <c r="BX59" s="295"/>
      <c r="BY59" s="302"/>
      <c r="BZ59" s="294"/>
      <c r="CA59" s="301"/>
      <c r="CB59" s="293"/>
      <c r="CC59" s="294"/>
      <c r="CD59" s="295"/>
      <c r="CE59" s="302"/>
      <c r="CF59" s="294"/>
      <c r="CG59" s="301"/>
      <c r="CH59" s="293"/>
      <c r="CI59" s="294"/>
      <c r="CJ59" s="295"/>
      <c r="CK59" s="302"/>
      <c r="CL59" s="294"/>
      <c r="CM59" s="301"/>
      <c r="CN59" s="293"/>
      <c r="CO59" s="294"/>
      <c r="CP59" s="295"/>
      <c r="CQ59" s="302"/>
      <c r="CR59" s="294"/>
      <c r="CS59" s="301"/>
      <c r="CT59" s="302"/>
      <c r="CU59" s="294"/>
      <c r="CV59" s="301"/>
      <c r="CW59" s="302"/>
      <c r="CX59" s="294"/>
      <c r="CY59" s="301"/>
      <c r="CZ59" s="302"/>
      <c r="DA59" s="294"/>
      <c r="DB59" s="301"/>
      <c r="DC59" s="380">
        <f t="shared" si="7"/>
        <v>0</v>
      </c>
      <c r="DD59" s="381">
        <f t="shared" si="8"/>
        <v>0</v>
      </c>
      <c r="DE59" s="381">
        <f t="shared" si="9"/>
        <v>0</v>
      </c>
    </row>
    <row r="60" spans="1:109">
      <c r="A60" s="240">
        <v>17</v>
      </c>
      <c r="B60" s="241"/>
      <c r="C60" s="43"/>
      <c r="D60" s="57"/>
      <c r="E60" s="302"/>
      <c r="F60" s="294"/>
      <c r="G60" s="301"/>
      <c r="H60" s="293"/>
      <c r="I60" s="294"/>
      <c r="J60" s="295"/>
      <c r="K60" s="302"/>
      <c r="L60" s="294"/>
      <c r="M60" s="301"/>
      <c r="N60" s="293"/>
      <c r="O60" s="294"/>
      <c r="P60" s="295"/>
      <c r="Q60" s="302"/>
      <c r="R60" s="294"/>
      <c r="S60" s="301"/>
      <c r="T60" s="293"/>
      <c r="U60" s="294"/>
      <c r="V60" s="295"/>
      <c r="W60" s="302"/>
      <c r="X60" s="294"/>
      <c r="Y60" s="301"/>
      <c r="Z60" s="293"/>
      <c r="AA60" s="294"/>
      <c r="AB60" s="295"/>
      <c r="AC60" s="302"/>
      <c r="AD60" s="294"/>
      <c r="AE60" s="301"/>
      <c r="AF60" s="293"/>
      <c r="AG60" s="294"/>
      <c r="AH60" s="295"/>
      <c r="AI60" s="302"/>
      <c r="AJ60" s="294"/>
      <c r="AK60" s="301"/>
      <c r="AL60" s="293"/>
      <c r="AM60" s="294"/>
      <c r="AN60" s="295"/>
      <c r="AO60" s="302"/>
      <c r="AP60" s="294"/>
      <c r="AQ60" s="301"/>
      <c r="AR60" s="293"/>
      <c r="AS60" s="294"/>
      <c r="AT60" s="295"/>
      <c r="AU60" s="302"/>
      <c r="AV60" s="294"/>
      <c r="AW60" s="301"/>
      <c r="AX60" s="293"/>
      <c r="AY60" s="294"/>
      <c r="AZ60" s="295"/>
      <c r="BA60" s="302"/>
      <c r="BB60" s="294"/>
      <c r="BC60" s="301"/>
      <c r="BD60" s="293"/>
      <c r="BE60" s="294"/>
      <c r="BF60" s="295"/>
      <c r="BG60" s="302"/>
      <c r="BH60" s="294"/>
      <c r="BI60" s="301"/>
      <c r="BJ60" s="293"/>
      <c r="BK60" s="294"/>
      <c r="BL60" s="295"/>
      <c r="BM60" s="302"/>
      <c r="BN60" s="294"/>
      <c r="BO60" s="301"/>
      <c r="BP60" s="293"/>
      <c r="BQ60" s="294"/>
      <c r="BR60" s="295"/>
      <c r="BS60" s="302"/>
      <c r="BT60" s="294"/>
      <c r="BU60" s="301"/>
      <c r="BV60" s="293"/>
      <c r="BW60" s="294"/>
      <c r="BX60" s="295"/>
      <c r="BY60" s="302"/>
      <c r="BZ60" s="294"/>
      <c r="CA60" s="301"/>
      <c r="CB60" s="293"/>
      <c r="CC60" s="294"/>
      <c r="CD60" s="295"/>
      <c r="CE60" s="302"/>
      <c r="CF60" s="294"/>
      <c r="CG60" s="301"/>
      <c r="CH60" s="293"/>
      <c r="CI60" s="294"/>
      <c r="CJ60" s="295"/>
      <c r="CK60" s="302"/>
      <c r="CL60" s="294"/>
      <c r="CM60" s="301"/>
      <c r="CN60" s="293"/>
      <c r="CO60" s="294"/>
      <c r="CP60" s="295"/>
      <c r="CQ60" s="302"/>
      <c r="CR60" s="294"/>
      <c r="CS60" s="301"/>
      <c r="CT60" s="302"/>
      <c r="CU60" s="294"/>
      <c r="CV60" s="301"/>
      <c r="CW60" s="302"/>
      <c r="CX60" s="294"/>
      <c r="CY60" s="301"/>
      <c r="CZ60" s="302"/>
      <c r="DA60" s="294"/>
      <c r="DB60" s="301"/>
      <c r="DC60" s="380">
        <f t="shared" si="7"/>
        <v>0</v>
      </c>
      <c r="DD60" s="381">
        <f t="shared" si="8"/>
        <v>0</v>
      </c>
      <c r="DE60" s="381">
        <f t="shared" si="9"/>
        <v>0</v>
      </c>
    </row>
    <row r="61" spans="1:109">
      <c r="A61" s="240">
        <v>18</v>
      </c>
      <c r="B61" s="241"/>
      <c r="C61" s="43"/>
      <c r="D61" s="57"/>
      <c r="E61" s="302"/>
      <c r="F61" s="294"/>
      <c r="G61" s="301"/>
      <c r="H61" s="293"/>
      <c r="I61" s="294"/>
      <c r="J61" s="295"/>
      <c r="K61" s="302"/>
      <c r="L61" s="294"/>
      <c r="M61" s="301"/>
      <c r="N61" s="293"/>
      <c r="O61" s="294"/>
      <c r="P61" s="295"/>
      <c r="Q61" s="302"/>
      <c r="R61" s="294"/>
      <c r="S61" s="301"/>
      <c r="T61" s="293"/>
      <c r="U61" s="294"/>
      <c r="V61" s="295"/>
      <c r="W61" s="302"/>
      <c r="X61" s="294"/>
      <c r="Y61" s="301"/>
      <c r="Z61" s="293"/>
      <c r="AA61" s="294"/>
      <c r="AB61" s="295"/>
      <c r="AC61" s="302"/>
      <c r="AD61" s="294"/>
      <c r="AE61" s="301"/>
      <c r="AF61" s="293"/>
      <c r="AG61" s="294"/>
      <c r="AH61" s="295"/>
      <c r="AI61" s="302"/>
      <c r="AJ61" s="294"/>
      <c r="AK61" s="301"/>
      <c r="AL61" s="293"/>
      <c r="AM61" s="294"/>
      <c r="AN61" s="295"/>
      <c r="AO61" s="302"/>
      <c r="AP61" s="294"/>
      <c r="AQ61" s="301"/>
      <c r="AR61" s="293"/>
      <c r="AS61" s="294"/>
      <c r="AT61" s="295"/>
      <c r="AU61" s="302"/>
      <c r="AV61" s="294"/>
      <c r="AW61" s="301"/>
      <c r="AX61" s="293"/>
      <c r="AY61" s="294"/>
      <c r="AZ61" s="295"/>
      <c r="BA61" s="302"/>
      <c r="BB61" s="294"/>
      <c r="BC61" s="301"/>
      <c r="BD61" s="293"/>
      <c r="BE61" s="294"/>
      <c r="BF61" s="295"/>
      <c r="BG61" s="302"/>
      <c r="BH61" s="294"/>
      <c r="BI61" s="301"/>
      <c r="BJ61" s="293"/>
      <c r="BK61" s="294"/>
      <c r="BL61" s="295"/>
      <c r="BM61" s="302"/>
      <c r="BN61" s="294"/>
      <c r="BO61" s="301"/>
      <c r="BP61" s="293"/>
      <c r="BQ61" s="294"/>
      <c r="BR61" s="295"/>
      <c r="BS61" s="302"/>
      <c r="BT61" s="294"/>
      <c r="BU61" s="301"/>
      <c r="BV61" s="293"/>
      <c r="BW61" s="294"/>
      <c r="BX61" s="295"/>
      <c r="BY61" s="302"/>
      <c r="BZ61" s="294"/>
      <c r="CA61" s="301"/>
      <c r="CB61" s="293"/>
      <c r="CC61" s="294"/>
      <c r="CD61" s="295"/>
      <c r="CE61" s="302"/>
      <c r="CF61" s="294"/>
      <c r="CG61" s="301"/>
      <c r="CH61" s="293"/>
      <c r="CI61" s="294"/>
      <c r="CJ61" s="295"/>
      <c r="CK61" s="302"/>
      <c r="CL61" s="294"/>
      <c r="CM61" s="301"/>
      <c r="CN61" s="293"/>
      <c r="CO61" s="294"/>
      <c r="CP61" s="295"/>
      <c r="CQ61" s="302"/>
      <c r="CR61" s="294"/>
      <c r="CS61" s="301"/>
      <c r="CT61" s="302"/>
      <c r="CU61" s="294"/>
      <c r="CV61" s="301"/>
      <c r="CW61" s="302"/>
      <c r="CX61" s="294"/>
      <c r="CY61" s="301"/>
      <c r="CZ61" s="302"/>
      <c r="DA61" s="294"/>
      <c r="DB61" s="301"/>
      <c r="DC61" s="380">
        <f t="shared" si="7"/>
        <v>0</v>
      </c>
      <c r="DD61" s="381">
        <f t="shared" si="8"/>
        <v>0</v>
      </c>
      <c r="DE61" s="381">
        <f t="shared" si="9"/>
        <v>0</v>
      </c>
    </row>
    <row r="62" spans="1:109">
      <c r="A62" s="365">
        <v>19</v>
      </c>
      <c r="B62" s="241"/>
      <c r="C62" s="43"/>
      <c r="D62" s="57"/>
      <c r="E62" s="302"/>
      <c r="F62" s="294"/>
      <c r="G62" s="301"/>
      <c r="H62" s="293"/>
      <c r="I62" s="294"/>
      <c r="J62" s="295"/>
      <c r="K62" s="302"/>
      <c r="L62" s="294"/>
      <c r="M62" s="301"/>
      <c r="N62" s="293"/>
      <c r="O62" s="294"/>
      <c r="P62" s="295"/>
      <c r="Q62" s="302"/>
      <c r="R62" s="294"/>
      <c r="S62" s="301"/>
      <c r="T62" s="293"/>
      <c r="U62" s="294"/>
      <c r="V62" s="295"/>
      <c r="W62" s="302"/>
      <c r="X62" s="294"/>
      <c r="Y62" s="301"/>
      <c r="Z62" s="293"/>
      <c r="AA62" s="294"/>
      <c r="AB62" s="295"/>
      <c r="AC62" s="302"/>
      <c r="AD62" s="294"/>
      <c r="AE62" s="301"/>
      <c r="AF62" s="293"/>
      <c r="AG62" s="294"/>
      <c r="AH62" s="295"/>
      <c r="AI62" s="302"/>
      <c r="AJ62" s="294"/>
      <c r="AK62" s="301"/>
      <c r="AL62" s="293"/>
      <c r="AM62" s="294"/>
      <c r="AN62" s="295"/>
      <c r="AO62" s="302"/>
      <c r="AP62" s="294"/>
      <c r="AQ62" s="301"/>
      <c r="AR62" s="293"/>
      <c r="AS62" s="294"/>
      <c r="AT62" s="295"/>
      <c r="AU62" s="302"/>
      <c r="AV62" s="294"/>
      <c r="AW62" s="301"/>
      <c r="AX62" s="293"/>
      <c r="AY62" s="294"/>
      <c r="AZ62" s="295"/>
      <c r="BA62" s="302"/>
      <c r="BB62" s="294"/>
      <c r="BC62" s="301"/>
      <c r="BD62" s="293"/>
      <c r="BE62" s="294"/>
      <c r="BF62" s="295"/>
      <c r="BG62" s="302"/>
      <c r="BH62" s="294"/>
      <c r="BI62" s="301"/>
      <c r="BJ62" s="293"/>
      <c r="BK62" s="294"/>
      <c r="BL62" s="295"/>
      <c r="BM62" s="302"/>
      <c r="BN62" s="294"/>
      <c r="BO62" s="301"/>
      <c r="BP62" s="293"/>
      <c r="BQ62" s="294"/>
      <c r="BR62" s="295"/>
      <c r="BS62" s="302"/>
      <c r="BT62" s="294"/>
      <c r="BU62" s="301"/>
      <c r="BV62" s="293"/>
      <c r="BW62" s="294"/>
      <c r="BX62" s="295"/>
      <c r="BY62" s="302"/>
      <c r="BZ62" s="294"/>
      <c r="CA62" s="301"/>
      <c r="CB62" s="293"/>
      <c r="CC62" s="294"/>
      <c r="CD62" s="295"/>
      <c r="CE62" s="302"/>
      <c r="CF62" s="294"/>
      <c r="CG62" s="301"/>
      <c r="CH62" s="293"/>
      <c r="CI62" s="294"/>
      <c r="CJ62" s="295"/>
      <c r="CK62" s="302"/>
      <c r="CL62" s="294"/>
      <c r="CM62" s="301"/>
      <c r="CN62" s="293"/>
      <c r="CO62" s="294"/>
      <c r="CP62" s="295"/>
      <c r="CQ62" s="302"/>
      <c r="CR62" s="294"/>
      <c r="CS62" s="301"/>
      <c r="CT62" s="302"/>
      <c r="CU62" s="294"/>
      <c r="CV62" s="301"/>
      <c r="CW62" s="302"/>
      <c r="CX62" s="294"/>
      <c r="CY62" s="301"/>
      <c r="CZ62" s="302"/>
      <c r="DA62" s="294"/>
      <c r="DB62" s="301"/>
      <c r="DC62" s="380">
        <f t="shared" si="7"/>
        <v>0</v>
      </c>
      <c r="DD62" s="381">
        <f t="shared" si="8"/>
        <v>0</v>
      </c>
      <c r="DE62" s="381">
        <f t="shared" si="9"/>
        <v>0</v>
      </c>
    </row>
    <row r="63" spans="1:109">
      <c r="A63" s="240">
        <v>20</v>
      </c>
      <c r="B63" s="241"/>
      <c r="C63" s="43"/>
      <c r="D63" s="57"/>
      <c r="E63" s="302"/>
      <c r="F63" s="294"/>
      <c r="G63" s="301"/>
      <c r="H63" s="293"/>
      <c r="I63" s="294"/>
      <c r="J63" s="295"/>
      <c r="K63" s="302"/>
      <c r="L63" s="294"/>
      <c r="M63" s="301"/>
      <c r="N63" s="293"/>
      <c r="O63" s="294"/>
      <c r="P63" s="295"/>
      <c r="Q63" s="302"/>
      <c r="R63" s="294"/>
      <c r="S63" s="301"/>
      <c r="T63" s="293"/>
      <c r="U63" s="294"/>
      <c r="V63" s="295"/>
      <c r="W63" s="302"/>
      <c r="X63" s="294"/>
      <c r="Y63" s="301"/>
      <c r="Z63" s="293"/>
      <c r="AA63" s="294"/>
      <c r="AB63" s="295"/>
      <c r="AC63" s="302"/>
      <c r="AD63" s="294"/>
      <c r="AE63" s="301"/>
      <c r="AF63" s="293"/>
      <c r="AG63" s="294"/>
      <c r="AH63" s="295"/>
      <c r="AI63" s="302"/>
      <c r="AJ63" s="294"/>
      <c r="AK63" s="301"/>
      <c r="AL63" s="293"/>
      <c r="AM63" s="294"/>
      <c r="AN63" s="295"/>
      <c r="AO63" s="302"/>
      <c r="AP63" s="294"/>
      <c r="AQ63" s="301"/>
      <c r="AR63" s="293"/>
      <c r="AS63" s="294"/>
      <c r="AT63" s="295"/>
      <c r="AU63" s="302"/>
      <c r="AV63" s="294"/>
      <c r="AW63" s="301"/>
      <c r="AX63" s="293"/>
      <c r="AY63" s="294"/>
      <c r="AZ63" s="295"/>
      <c r="BA63" s="302"/>
      <c r="BB63" s="294"/>
      <c r="BC63" s="301"/>
      <c r="BD63" s="293"/>
      <c r="BE63" s="294"/>
      <c r="BF63" s="295"/>
      <c r="BG63" s="302"/>
      <c r="BH63" s="294"/>
      <c r="BI63" s="301"/>
      <c r="BJ63" s="293"/>
      <c r="BK63" s="294"/>
      <c r="BL63" s="295"/>
      <c r="BM63" s="302"/>
      <c r="BN63" s="294"/>
      <c r="BO63" s="301"/>
      <c r="BP63" s="293"/>
      <c r="BQ63" s="294"/>
      <c r="BR63" s="295"/>
      <c r="BS63" s="302"/>
      <c r="BT63" s="294"/>
      <c r="BU63" s="301"/>
      <c r="BV63" s="293"/>
      <c r="BW63" s="294"/>
      <c r="BX63" s="295"/>
      <c r="BY63" s="302"/>
      <c r="BZ63" s="294"/>
      <c r="CA63" s="301"/>
      <c r="CB63" s="293"/>
      <c r="CC63" s="294"/>
      <c r="CD63" s="295"/>
      <c r="CE63" s="302"/>
      <c r="CF63" s="294"/>
      <c r="CG63" s="301"/>
      <c r="CH63" s="293"/>
      <c r="CI63" s="294"/>
      <c r="CJ63" s="295"/>
      <c r="CK63" s="302"/>
      <c r="CL63" s="294"/>
      <c r="CM63" s="301"/>
      <c r="CN63" s="293"/>
      <c r="CO63" s="294"/>
      <c r="CP63" s="295"/>
      <c r="CQ63" s="302"/>
      <c r="CR63" s="294"/>
      <c r="CS63" s="301"/>
      <c r="CT63" s="302"/>
      <c r="CU63" s="294"/>
      <c r="CV63" s="301"/>
      <c r="CW63" s="302"/>
      <c r="CX63" s="294"/>
      <c r="CY63" s="301"/>
      <c r="CZ63" s="302"/>
      <c r="DA63" s="294"/>
      <c r="DB63" s="301"/>
      <c r="DC63" s="380">
        <f t="shared" si="7"/>
        <v>0</v>
      </c>
      <c r="DD63" s="381">
        <f t="shared" si="8"/>
        <v>0</v>
      </c>
      <c r="DE63" s="381">
        <f t="shared" si="9"/>
        <v>0</v>
      </c>
    </row>
    <row r="64" spans="1:109">
      <c r="A64" s="240">
        <v>21</v>
      </c>
      <c r="B64" s="241"/>
      <c r="C64" s="43"/>
      <c r="D64" s="57"/>
      <c r="E64" s="302"/>
      <c r="F64" s="294"/>
      <c r="G64" s="301"/>
      <c r="H64" s="293"/>
      <c r="I64" s="294"/>
      <c r="J64" s="295"/>
      <c r="K64" s="302"/>
      <c r="L64" s="294"/>
      <c r="M64" s="301"/>
      <c r="N64" s="293"/>
      <c r="O64" s="294"/>
      <c r="P64" s="295"/>
      <c r="Q64" s="302"/>
      <c r="R64" s="294"/>
      <c r="S64" s="301"/>
      <c r="T64" s="293"/>
      <c r="U64" s="294"/>
      <c r="V64" s="295"/>
      <c r="W64" s="302"/>
      <c r="X64" s="294"/>
      <c r="Y64" s="301"/>
      <c r="Z64" s="293"/>
      <c r="AA64" s="294"/>
      <c r="AB64" s="295"/>
      <c r="AC64" s="302"/>
      <c r="AD64" s="294"/>
      <c r="AE64" s="301"/>
      <c r="AF64" s="293"/>
      <c r="AG64" s="294"/>
      <c r="AH64" s="295"/>
      <c r="AI64" s="302"/>
      <c r="AJ64" s="294"/>
      <c r="AK64" s="301"/>
      <c r="AL64" s="293"/>
      <c r="AM64" s="294"/>
      <c r="AN64" s="295"/>
      <c r="AO64" s="302"/>
      <c r="AP64" s="294"/>
      <c r="AQ64" s="301"/>
      <c r="AR64" s="293"/>
      <c r="AS64" s="294"/>
      <c r="AT64" s="295"/>
      <c r="AU64" s="302"/>
      <c r="AV64" s="294"/>
      <c r="AW64" s="301"/>
      <c r="AX64" s="293"/>
      <c r="AY64" s="294"/>
      <c r="AZ64" s="295"/>
      <c r="BA64" s="302"/>
      <c r="BB64" s="294"/>
      <c r="BC64" s="301"/>
      <c r="BD64" s="293"/>
      <c r="BE64" s="294"/>
      <c r="BF64" s="295"/>
      <c r="BG64" s="302"/>
      <c r="BH64" s="294"/>
      <c r="BI64" s="301"/>
      <c r="BJ64" s="293"/>
      <c r="BK64" s="294"/>
      <c r="BL64" s="295"/>
      <c r="BM64" s="302"/>
      <c r="BN64" s="294"/>
      <c r="BO64" s="301"/>
      <c r="BP64" s="293"/>
      <c r="BQ64" s="294"/>
      <c r="BR64" s="295"/>
      <c r="BS64" s="302"/>
      <c r="BT64" s="294"/>
      <c r="BU64" s="301"/>
      <c r="BV64" s="293"/>
      <c r="BW64" s="294"/>
      <c r="BX64" s="295"/>
      <c r="BY64" s="302"/>
      <c r="BZ64" s="294"/>
      <c r="CA64" s="301"/>
      <c r="CB64" s="293"/>
      <c r="CC64" s="294"/>
      <c r="CD64" s="295"/>
      <c r="CE64" s="302"/>
      <c r="CF64" s="294"/>
      <c r="CG64" s="301"/>
      <c r="CH64" s="293"/>
      <c r="CI64" s="294"/>
      <c r="CJ64" s="295"/>
      <c r="CK64" s="302"/>
      <c r="CL64" s="294"/>
      <c r="CM64" s="301"/>
      <c r="CN64" s="293"/>
      <c r="CO64" s="294"/>
      <c r="CP64" s="295"/>
      <c r="CQ64" s="302"/>
      <c r="CR64" s="294"/>
      <c r="CS64" s="301"/>
      <c r="CT64" s="302"/>
      <c r="CU64" s="294"/>
      <c r="CV64" s="301"/>
      <c r="CW64" s="302"/>
      <c r="CX64" s="294"/>
      <c r="CY64" s="301"/>
      <c r="CZ64" s="302"/>
      <c r="DA64" s="294"/>
      <c r="DB64" s="301"/>
      <c r="DC64" s="380">
        <f t="shared" si="7"/>
        <v>0</v>
      </c>
      <c r="DD64" s="381">
        <f t="shared" si="8"/>
        <v>0</v>
      </c>
      <c r="DE64" s="381">
        <f t="shared" si="9"/>
        <v>0</v>
      </c>
    </row>
    <row r="65" spans="1:110">
      <c r="A65" s="365">
        <v>22</v>
      </c>
      <c r="B65" s="241"/>
      <c r="C65" s="43"/>
      <c r="D65" s="57"/>
      <c r="E65" s="302"/>
      <c r="F65" s="294"/>
      <c r="G65" s="301"/>
      <c r="H65" s="293"/>
      <c r="I65" s="294"/>
      <c r="J65" s="295"/>
      <c r="K65" s="302"/>
      <c r="L65" s="294"/>
      <c r="M65" s="301"/>
      <c r="N65" s="293"/>
      <c r="O65" s="294"/>
      <c r="P65" s="295"/>
      <c r="Q65" s="302"/>
      <c r="R65" s="294"/>
      <c r="S65" s="301"/>
      <c r="T65" s="293"/>
      <c r="U65" s="294"/>
      <c r="V65" s="295"/>
      <c r="W65" s="302"/>
      <c r="X65" s="294"/>
      <c r="Y65" s="301"/>
      <c r="Z65" s="293"/>
      <c r="AA65" s="294"/>
      <c r="AB65" s="295"/>
      <c r="AC65" s="302"/>
      <c r="AD65" s="294"/>
      <c r="AE65" s="301"/>
      <c r="AF65" s="293"/>
      <c r="AG65" s="294"/>
      <c r="AH65" s="295"/>
      <c r="AI65" s="302"/>
      <c r="AJ65" s="294"/>
      <c r="AK65" s="301"/>
      <c r="AL65" s="293"/>
      <c r="AM65" s="294"/>
      <c r="AN65" s="295"/>
      <c r="AO65" s="302"/>
      <c r="AP65" s="294"/>
      <c r="AQ65" s="301"/>
      <c r="AR65" s="293"/>
      <c r="AS65" s="294"/>
      <c r="AT65" s="295"/>
      <c r="AU65" s="302"/>
      <c r="AV65" s="294"/>
      <c r="AW65" s="301"/>
      <c r="AX65" s="293"/>
      <c r="AY65" s="294"/>
      <c r="AZ65" s="295"/>
      <c r="BA65" s="302"/>
      <c r="BB65" s="294"/>
      <c r="BC65" s="301"/>
      <c r="BD65" s="293"/>
      <c r="BE65" s="294"/>
      <c r="BF65" s="295"/>
      <c r="BG65" s="302"/>
      <c r="BH65" s="294"/>
      <c r="BI65" s="301"/>
      <c r="BJ65" s="293"/>
      <c r="BK65" s="294"/>
      <c r="BL65" s="295"/>
      <c r="BM65" s="302"/>
      <c r="BN65" s="294"/>
      <c r="BO65" s="301"/>
      <c r="BP65" s="293"/>
      <c r="BQ65" s="294"/>
      <c r="BR65" s="295"/>
      <c r="BS65" s="302"/>
      <c r="BT65" s="294"/>
      <c r="BU65" s="301"/>
      <c r="BV65" s="293"/>
      <c r="BW65" s="294"/>
      <c r="BX65" s="295"/>
      <c r="BY65" s="302"/>
      <c r="BZ65" s="294"/>
      <c r="CA65" s="301"/>
      <c r="CB65" s="293"/>
      <c r="CC65" s="294"/>
      <c r="CD65" s="295"/>
      <c r="CE65" s="302"/>
      <c r="CF65" s="294"/>
      <c r="CG65" s="301"/>
      <c r="CH65" s="293"/>
      <c r="CI65" s="294"/>
      <c r="CJ65" s="295"/>
      <c r="CK65" s="302"/>
      <c r="CL65" s="294"/>
      <c r="CM65" s="301"/>
      <c r="CN65" s="293"/>
      <c r="CO65" s="294"/>
      <c r="CP65" s="295"/>
      <c r="CQ65" s="302"/>
      <c r="CR65" s="294"/>
      <c r="CS65" s="301"/>
      <c r="CT65" s="302"/>
      <c r="CU65" s="294"/>
      <c r="CV65" s="301"/>
      <c r="CW65" s="302"/>
      <c r="CX65" s="294"/>
      <c r="CY65" s="301"/>
      <c r="CZ65" s="302"/>
      <c r="DA65" s="294"/>
      <c r="DB65" s="301"/>
      <c r="DC65" s="380">
        <f t="shared" si="7"/>
        <v>0</v>
      </c>
      <c r="DD65" s="381">
        <f t="shared" si="8"/>
        <v>0</v>
      </c>
      <c r="DE65" s="381">
        <f t="shared" si="9"/>
        <v>0</v>
      </c>
    </row>
    <row r="66" spans="1:110">
      <c r="A66" s="240">
        <v>23</v>
      </c>
      <c r="B66" s="241"/>
      <c r="C66" s="43"/>
      <c r="D66" s="57"/>
      <c r="E66" s="302"/>
      <c r="F66" s="294"/>
      <c r="G66" s="301"/>
      <c r="H66" s="293"/>
      <c r="I66" s="294"/>
      <c r="J66" s="295"/>
      <c r="K66" s="302"/>
      <c r="L66" s="294"/>
      <c r="M66" s="301"/>
      <c r="N66" s="293"/>
      <c r="O66" s="294"/>
      <c r="P66" s="295"/>
      <c r="Q66" s="302"/>
      <c r="R66" s="294"/>
      <c r="S66" s="301"/>
      <c r="T66" s="293"/>
      <c r="U66" s="294"/>
      <c r="V66" s="295"/>
      <c r="W66" s="302"/>
      <c r="X66" s="294"/>
      <c r="Y66" s="301"/>
      <c r="Z66" s="293"/>
      <c r="AA66" s="294"/>
      <c r="AB66" s="295"/>
      <c r="AC66" s="302"/>
      <c r="AD66" s="294"/>
      <c r="AE66" s="301"/>
      <c r="AF66" s="293"/>
      <c r="AG66" s="294"/>
      <c r="AH66" s="295"/>
      <c r="AI66" s="302"/>
      <c r="AJ66" s="294"/>
      <c r="AK66" s="301"/>
      <c r="AL66" s="293"/>
      <c r="AM66" s="294"/>
      <c r="AN66" s="295"/>
      <c r="AO66" s="302"/>
      <c r="AP66" s="294"/>
      <c r="AQ66" s="301"/>
      <c r="AR66" s="293"/>
      <c r="AS66" s="294"/>
      <c r="AT66" s="295"/>
      <c r="AU66" s="302"/>
      <c r="AV66" s="294"/>
      <c r="AW66" s="301"/>
      <c r="AX66" s="293"/>
      <c r="AY66" s="294"/>
      <c r="AZ66" s="295"/>
      <c r="BA66" s="302"/>
      <c r="BB66" s="294"/>
      <c r="BC66" s="301"/>
      <c r="BD66" s="293"/>
      <c r="BE66" s="294"/>
      <c r="BF66" s="295"/>
      <c r="BG66" s="302"/>
      <c r="BH66" s="294"/>
      <c r="BI66" s="301"/>
      <c r="BJ66" s="293"/>
      <c r="BK66" s="294"/>
      <c r="BL66" s="295"/>
      <c r="BM66" s="302"/>
      <c r="BN66" s="294"/>
      <c r="BO66" s="301"/>
      <c r="BP66" s="293"/>
      <c r="BQ66" s="294"/>
      <c r="BR66" s="295"/>
      <c r="BS66" s="302"/>
      <c r="BT66" s="294"/>
      <c r="BU66" s="301"/>
      <c r="BV66" s="293"/>
      <c r="BW66" s="294"/>
      <c r="BX66" s="295"/>
      <c r="BY66" s="302"/>
      <c r="BZ66" s="294"/>
      <c r="CA66" s="301"/>
      <c r="CB66" s="293"/>
      <c r="CC66" s="294"/>
      <c r="CD66" s="295"/>
      <c r="CE66" s="302"/>
      <c r="CF66" s="294"/>
      <c r="CG66" s="301"/>
      <c r="CH66" s="293"/>
      <c r="CI66" s="294"/>
      <c r="CJ66" s="295"/>
      <c r="CK66" s="302"/>
      <c r="CL66" s="294"/>
      <c r="CM66" s="301"/>
      <c r="CN66" s="293"/>
      <c r="CO66" s="294"/>
      <c r="CP66" s="295"/>
      <c r="CQ66" s="302"/>
      <c r="CR66" s="294"/>
      <c r="CS66" s="301"/>
      <c r="CT66" s="302"/>
      <c r="CU66" s="294"/>
      <c r="CV66" s="301"/>
      <c r="CW66" s="302"/>
      <c r="CX66" s="294"/>
      <c r="CY66" s="301"/>
      <c r="CZ66" s="302"/>
      <c r="DA66" s="294"/>
      <c r="DB66" s="301"/>
      <c r="DC66" s="380">
        <f t="shared" si="7"/>
        <v>0</v>
      </c>
      <c r="DD66" s="381">
        <f t="shared" si="8"/>
        <v>0</v>
      </c>
      <c r="DE66" s="381">
        <f t="shared" si="9"/>
        <v>0</v>
      </c>
    </row>
    <row r="67" spans="1:110">
      <c r="A67" s="240">
        <v>24</v>
      </c>
      <c r="B67" s="241"/>
      <c r="C67" s="43"/>
      <c r="D67" s="57"/>
      <c r="E67" s="302"/>
      <c r="F67" s="294"/>
      <c r="G67" s="301"/>
      <c r="H67" s="293"/>
      <c r="I67" s="294"/>
      <c r="J67" s="295"/>
      <c r="K67" s="302"/>
      <c r="L67" s="294"/>
      <c r="M67" s="301"/>
      <c r="N67" s="293"/>
      <c r="O67" s="294"/>
      <c r="P67" s="295"/>
      <c r="Q67" s="302"/>
      <c r="R67" s="294"/>
      <c r="S67" s="301"/>
      <c r="T67" s="293"/>
      <c r="U67" s="294"/>
      <c r="V67" s="295"/>
      <c r="W67" s="302"/>
      <c r="X67" s="294"/>
      <c r="Y67" s="301"/>
      <c r="Z67" s="293"/>
      <c r="AA67" s="294"/>
      <c r="AB67" s="295"/>
      <c r="AC67" s="302"/>
      <c r="AD67" s="294"/>
      <c r="AE67" s="301"/>
      <c r="AF67" s="293"/>
      <c r="AG67" s="294"/>
      <c r="AH67" s="295"/>
      <c r="AI67" s="302"/>
      <c r="AJ67" s="294"/>
      <c r="AK67" s="301"/>
      <c r="AL67" s="293"/>
      <c r="AM67" s="294"/>
      <c r="AN67" s="295"/>
      <c r="AO67" s="302"/>
      <c r="AP67" s="294"/>
      <c r="AQ67" s="301"/>
      <c r="AR67" s="293"/>
      <c r="AS67" s="294"/>
      <c r="AT67" s="295"/>
      <c r="AU67" s="302"/>
      <c r="AV67" s="294"/>
      <c r="AW67" s="301"/>
      <c r="AX67" s="293"/>
      <c r="AY67" s="294"/>
      <c r="AZ67" s="295"/>
      <c r="BA67" s="302"/>
      <c r="BB67" s="294"/>
      <c r="BC67" s="301"/>
      <c r="BD67" s="293"/>
      <c r="BE67" s="294"/>
      <c r="BF67" s="295"/>
      <c r="BG67" s="302"/>
      <c r="BH67" s="294"/>
      <c r="BI67" s="301"/>
      <c r="BJ67" s="293"/>
      <c r="BK67" s="294"/>
      <c r="BL67" s="295"/>
      <c r="BM67" s="302"/>
      <c r="BN67" s="294"/>
      <c r="BO67" s="301"/>
      <c r="BP67" s="293"/>
      <c r="BQ67" s="294"/>
      <c r="BR67" s="295"/>
      <c r="BS67" s="302"/>
      <c r="BT67" s="294"/>
      <c r="BU67" s="301"/>
      <c r="BV67" s="293"/>
      <c r="BW67" s="294"/>
      <c r="BX67" s="295"/>
      <c r="BY67" s="302"/>
      <c r="BZ67" s="294"/>
      <c r="CA67" s="301"/>
      <c r="CB67" s="293"/>
      <c r="CC67" s="294"/>
      <c r="CD67" s="295"/>
      <c r="CE67" s="302"/>
      <c r="CF67" s="294"/>
      <c r="CG67" s="301"/>
      <c r="CH67" s="293"/>
      <c r="CI67" s="294"/>
      <c r="CJ67" s="295"/>
      <c r="CK67" s="302"/>
      <c r="CL67" s="294"/>
      <c r="CM67" s="301"/>
      <c r="CN67" s="293"/>
      <c r="CO67" s="294"/>
      <c r="CP67" s="295"/>
      <c r="CQ67" s="302"/>
      <c r="CR67" s="294"/>
      <c r="CS67" s="301"/>
      <c r="CT67" s="302"/>
      <c r="CU67" s="294"/>
      <c r="CV67" s="301"/>
      <c r="CW67" s="302"/>
      <c r="CX67" s="294"/>
      <c r="CY67" s="301"/>
      <c r="CZ67" s="302"/>
      <c r="DA67" s="294"/>
      <c r="DB67" s="301"/>
      <c r="DC67" s="380">
        <f t="shared" si="7"/>
        <v>0</v>
      </c>
      <c r="DD67" s="381">
        <f t="shared" si="8"/>
        <v>0</v>
      </c>
      <c r="DE67" s="381">
        <f t="shared" si="9"/>
        <v>0</v>
      </c>
    </row>
    <row r="68" spans="1:110">
      <c r="A68" s="365">
        <v>25</v>
      </c>
      <c r="B68" s="241"/>
      <c r="C68" s="43"/>
      <c r="D68" s="57"/>
      <c r="E68" s="302"/>
      <c r="F68" s="294"/>
      <c r="G68" s="301"/>
      <c r="H68" s="293"/>
      <c r="I68" s="294"/>
      <c r="J68" s="295"/>
      <c r="K68" s="302"/>
      <c r="L68" s="294"/>
      <c r="M68" s="301"/>
      <c r="N68" s="293"/>
      <c r="O68" s="294"/>
      <c r="P68" s="295"/>
      <c r="Q68" s="302"/>
      <c r="R68" s="294"/>
      <c r="S68" s="301"/>
      <c r="T68" s="293"/>
      <c r="U68" s="294"/>
      <c r="V68" s="295"/>
      <c r="W68" s="302"/>
      <c r="X68" s="294"/>
      <c r="Y68" s="301"/>
      <c r="Z68" s="293"/>
      <c r="AA68" s="294"/>
      <c r="AB68" s="295"/>
      <c r="AC68" s="302"/>
      <c r="AD68" s="294"/>
      <c r="AE68" s="301"/>
      <c r="AF68" s="293"/>
      <c r="AG68" s="294"/>
      <c r="AH68" s="295"/>
      <c r="AI68" s="302"/>
      <c r="AJ68" s="294"/>
      <c r="AK68" s="301"/>
      <c r="AL68" s="293"/>
      <c r="AM68" s="294"/>
      <c r="AN68" s="295"/>
      <c r="AO68" s="302"/>
      <c r="AP68" s="294"/>
      <c r="AQ68" s="301"/>
      <c r="AR68" s="293"/>
      <c r="AS68" s="294"/>
      <c r="AT68" s="295"/>
      <c r="AU68" s="302"/>
      <c r="AV68" s="294"/>
      <c r="AW68" s="301"/>
      <c r="AX68" s="293"/>
      <c r="AY68" s="294"/>
      <c r="AZ68" s="295"/>
      <c r="BA68" s="302"/>
      <c r="BB68" s="294"/>
      <c r="BC68" s="301"/>
      <c r="BD68" s="293"/>
      <c r="BE68" s="294"/>
      <c r="BF68" s="295"/>
      <c r="BG68" s="302"/>
      <c r="BH68" s="294"/>
      <c r="BI68" s="301"/>
      <c r="BJ68" s="293"/>
      <c r="BK68" s="294"/>
      <c r="BL68" s="295"/>
      <c r="BM68" s="302"/>
      <c r="BN68" s="294"/>
      <c r="BO68" s="301"/>
      <c r="BP68" s="293"/>
      <c r="BQ68" s="294"/>
      <c r="BR68" s="295"/>
      <c r="BS68" s="302"/>
      <c r="BT68" s="294"/>
      <c r="BU68" s="301"/>
      <c r="BV68" s="293"/>
      <c r="BW68" s="294"/>
      <c r="BX68" s="295"/>
      <c r="BY68" s="302"/>
      <c r="BZ68" s="294"/>
      <c r="CA68" s="301"/>
      <c r="CB68" s="293"/>
      <c r="CC68" s="294"/>
      <c r="CD68" s="295"/>
      <c r="CE68" s="302"/>
      <c r="CF68" s="294"/>
      <c r="CG68" s="301"/>
      <c r="CH68" s="293"/>
      <c r="CI68" s="294"/>
      <c r="CJ68" s="295"/>
      <c r="CK68" s="302"/>
      <c r="CL68" s="294"/>
      <c r="CM68" s="301"/>
      <c r="CN68" s="293"/>
      <c r="CO68" s="294"/>
      <c r="CP68" s="295"/>
      <c r="CQ68" s="302"/>
      <c r="CR68" s="294"/>
      <c r="CS68" s="301"/>
      <c r="CT68" s="302"/>
      <c r="CU68" s="294"/>
      <c r="CV68" s="301"/>
      <c r="CW68" s="302"/>
      <c r="CX68" s="294"/>
      <c r="CY68" s="301"/>
      <c r="CZ68" s="302"/>
      <c r="DA68" s="294"/>
      <c r="DB68" s="301"/>
      <c r="DC68" s="380">
        <f t="shared" si="7"/>
        <v>0</v>
      </c>
      <c r="DD68" s="381">
        <f t="shared" si="8"/>
        <v>0</v>
      </c>
      <c r="DE68" s="381">
        <f t="shared" si="9"/>
        <v>0</v>
      </c>
    </row>
    <row r="69" spans="1:110">
      <c r="A69" s="240">
        <v>26</v>
      </c>
      <c r="B69" s="241"/>
      <c r="C69" s="43"/>
      <c r="D69" s="57"/>
      <c r="E69" s="302"/>
      <c r="F69" s="294"/>
      <c r="G69" s="301"/>
      <c r="H69" s="293"/>
      <c r="I69" s="294"/>
      <c r="J69" s="295"/>
      <c r="K69" s="302"/>
      <c r="L69" s="294"/>
      <c r="M69" s="301"/>
      <c r="N69" s="293"/>
      <c r="O69" s="294"/>
      <c r="P69" s="295"/>
      <c r="Q69" s="302"/>
      <c r="R69" s="294"/>
      <c r="S69" s="301"/>
      <c r="T69" s="293"/>
      <c r="U69" s="294"/>
      <c r="V69" s="295"/>
      <c r="W69" s="302"/>
      <c r="X69" s="294"/>
      <c r="Y69" s="301"/>
      <c r="Z69" s="293"/>
      <c r="AA69" s="294"/>
      <c r="AB69" s="295"/>
      <c r="AC69" s="302"/>
      <c r="AD69" s="294"/>
      <c r="AE69" s="301"/>
      <c r="AF69" s="293"/>
      <c r="AG69" s="294"/>
      <c r="AH69" s="295"/>
      <c r="AI69" s="302"/>
      <c r="AJ69" s="294"/>
      <c r="AK69" s="301"/>
      <c r="AL69" s="293"/>
      <c r="AM69" s="294"/>
      <c r="AN69" s="295"/>
      <c r="AO69" s="302"/>
      <c r="AP69" s="294"/>
      <c r="AQ69" s="301"/>
      <c r="AR69" s="293"/>
      <c r="AS69" s="294"/>
      <c r="AT69" s="295"/>
      <c r="AU69" s="302"/>
      <c r="AV69" s="294"/>
      <c r="AW69" s="301"/>
      <c r="AX69" s="293"/>
      <c r="AY69" s="294"/>
      <c r="AZ69" s="295"/>
      <c r="BA69" s="302"/>
      <c r="BB69" s="294"/>
      <c r="BC69" s="301"/>
      <c r="BD69" s="293"/>
      <c r="BE69" s="294"/>
      <c r="BF69" s="295"/>
      <c r="BG69" s="302"/>
      <c r="BH69" s="294"/>
      <c r="BI69" s="301"/>
      <c r="BJ69" s="293"/>
      <c r="BK69" s="294"/>
      <c r="BL69" s="295"/>
      <c r="BM69" s="302"/>
      <c r="BN69" s="294"/>
      <c r="BO69" s="301"/>
      <c r="BP69" s="293"/>
      <c r="BQ69" s="294"/>
      <c r="BR69" s="295"/>
      <c r="BS69" s="302"/>
      <c r="BT69" s="294"/>
      <c r="BU69" s="301"/>
      <c r="BV69" s="293"/>
      <c r="BW69" s="294"/>
      <c r="BX69" s="295"/>
      <c r="BY69" s="302"/>
      <c r="BZ69" s="294"/>
      <c r="CA69" s="301"/>
      <c r="CB69" s="293"/>
      <c r="CC69" s="294"/>
      <c r="CD69" s="295"/>
      <c r="CE69" s="302"/>
      <c r="CF69" s="294"/>
      <c r="CG69" s="301"/>
      <c r="CH69" s="293"/>
      <c r="CI69" s="294"/>
      <c r="CJ69" s="295"/>
      <c r="CK69" s="302"/>
      <c r="CL69" s="294"/>
      <c r="CM69" s="301"/>
      <c r="CN69" s="293"/>
      <c r="CO69" s="294"/>
      <c r="CP69" s="295"/>
      <c r="CQ69" s="302"/>
      <c r="CR69" s="294"/>
      <c r="CS69" s="301"/>
      <c r="CT69" s="302"/>
      <c r="CU69" s="294"/>
      <c r="CV69" s="301"/>
      <c r="CW69" s="302"/>
      <c r="CX69" s="294"/>
      <c r="CY69" s="301"/>
      <c r="CZ69" s="302"/>
      <c r="DA69" s="294"/>
      <c r="DB69" s="301"/>
      <c r="DC69" s="380">
        <f t="shared" si="7"/>
        <v>0</v>
      </c>
      <c r="DD69" s="381">
        <f t="shared" si="8"/>
        <v>0</v>
      </c>
      <c r="DE69" s="381">
        <f t="shared" si="9"/>
        <v>0</v>
      </c>
    </row>
    <row r="70" spans="1:110">
      <c r="A70" s="240">
        <v>27</v>
      </c>
      <c r="B70" s="241"/>
      <c r="C70" s="43"/>
      <c r="D70" s="57"/>
      <c r="E70" s="302"/>
      <c r="F70" s="294"/>
      <c r="G70" s="301"/>
      <c r="H70" s="293"/>
      <c r="I70" s="294"/>
      <c r="J70" s="295"/>
      <c r="K70" s="302"/>
      <c r="L70" s="294"/>
      <c r="M70" s="301"/>
      <c r="N70" s="293"/>
      <c r="O70" s="294"/>
      <c r="P70" s="295"/>
      <c r="Q70" s="302"/>
      <c r="R70" s="294"/>
      <c r="S70" s="301"/>
      <c r="T70" s="293"/>
      <c r="U70" s="294"/>
      <c r="V70" s="295"/>
      <c r="W70" s="302"/>
      <c r="X70" s="294"/>
      <c r="Y70" s="301"/>
      <c r="Z70" s="293"/>
      <c r="AA70" s="294"/>
      <c r="AB70" s="295"/>
      <c r="AC70" s="302"/>
      <c r="AD70" s="294"/>
      <c r="AE70" s="301"/>
      <c r="AF70" s="293"/>
      <c r="AG70" s="294"/>
      <c r="AH70" s="295"/>
      <c r="AI70" s="302"/>
      <c r="AJ70" s="294"/>
      <c r="AK70" s="301"/>
      <c r="AL70" s="293"/>
      <c r="AM70" s="294"/>
      <c r="AN70" s="295"/>
      <c r="AO70" s="302"/>
      <c r="AP70" s="294"/>
      <c r="AQ70" s="301"/>
      <c r="AR70" s="293"/>
      <c r="AS70" s="294"/>
      <c r="AT70" s="295"/>
      <c r="AU70" s="302"/>
      <c r="AV70" s="294"/>
      <c r="AW70" s="301"/>
      <c r="AX70" s="293"/>
      <c r="AY70" s="294"/>
      <c r="AZ70" s="295"/>
      <c r="BA70" s="302"/>
      <c r="BB70" s="294"/>
      <c r="BC70" s="301"/>
      <c r="BD70" s="293"/>
      <c r="BE70" s="294"/>
      <c r="BF70" s="295"/>
      <c r="BG70" s="302"/>
      <c r="BH70" s="294"/>
      <c r="BI70" s="301"/>
      <c r="BJ70" s="293"/>
      <c r="BK70" s="294"/>
      <c r="BL70" s="295"/>
      <c r="BM70" s="302"/>
      <c r="BN70" s="294"/>
      <c r="BO70" s="301"/>
      <c r="BP70" s="293"/>
      <c r="BQ70" s="294"/>
      <c r="BR70" s="295"/>
      <c r="BS70" s="302"/>
      <c r="BT70" s="294"/>
      <c r="BU70" s="301"/>
      <c r="BV70" s="293"/>
      <c r="BW70" s="294"/>
      <c r="BX70" s="295"/>
      <c r="BY70" s="302"/>
      <c r="BZ70" s="294"/>
      <c r="CA70" s="301"/>
      <c r="CB70" s="293"/>
      <c r="CC70" s="294"/>
      <c r="CD70" s="295"/>
      <c r="CE70" s="302"/>
      <c r="CF70" s="294"/>
      <c r="CG70" s="301"/>
      <c r="CH70" s="293"/>
      <c r="CI70" s="294"/>
      <c r="CJ70" s="295"/>
      <c r="CK70" s="302"/>
      <c r="CL70" s="294"/>
      <c r="CM70" s="301"/>
      <c r="CN70" s="293"/>
      <c r="CO70" s="294"/>
      <c r="CP70" s="295"/>
      <c r="CQ70" s="302"/>
      <c r="CR70" s="294"/>
      <c r="CS70" s="301"/>
      <c r="CT70" s="302"/>
      <c r="CU70" s="294"/>
      <c r="CV70" s="301"/>
      <c r="CW70" s="302"/>
      <c r="CX70" s="294"/>
      <c r="CY70" s="301"/>
      <c r="CZ70" s="302"/>
      <c r="DA70" s="294"/>
      <c r="DB70" s="301"/>
      <c r="DC70" s="380">
        <f t="shared" si="7"/>
        <v>0</v>
      </c>
      <c r="DD70" s="381">
        <f t="shared" si="8"/>
        <v>0</v>
      </c>
      <c r="DE70" s="381">
        <f t="shared" si="9"/>
        <v>0</v>
      </c>
      <c r="DF70" s="145">
        <f t="shared" ref="DF70:DF111" si="10">SUM(B70:DA70)</f>
        <v>0</v>
      </c>
    </row>
    <row r="71" spans="1:110">
      <c r="A71" s="365">
        <v>28</v>
      </c>
      <c r="B71" s="241"/>
      <c r="C71" s="43"/>
      <c r="D71" s="57"/>
      <c r="E71" s="302"/>
      <c r="F71" s="294"/>
      <c r="G71" s="301"/>
      <c r="H71" s="293"/>
      <c r="I71" s="294"/>
      <c r="J71" s="295"/>
      <c r="K71" s="302"/>
      <c r="L71" s="294"/>
      <c r="M71" s="301"/>
      <c r="N71" s="293"/>
      <c r="O71" s="294"/>
      <c r="P71" s="295"/>
      <c r="Q71" s="302"/>
      <c r="R71" s="294"/>
      <c r="S71" s="301"/>
      <c r="T71" s="293"/>
      <c r="U71" s="294"/>
      <c r="V71" s="295"/>
      <c r="W71" s="302"/>
      <c r="X71" s="294"/>
      <c r="Y71" s="301"/>
      <c r="Z71" s="293"/>
      <c r="AA71" s="294"/>
      <c r="AB71" s="295"/>
      <c r="AC71" s="302"/>
      <c r="AD71" s="294"/>
      <c r="AE71" s="301"/>
      <c r="AF71" s="293"/>
      <c r="AG71" s="294"/>
      <c r="AH71" s="295"/>
      <c r="AI71" s="302"/>
      <c r="AJ71" s="294"/>
      <c r="AK71" s="301"/>
      <c r="AL71" s="293"/>
      <c r="AM71" s="294"/>
      <c r="AN71" s="295"/>
      <c r="AO71" s="302"/>
      <c r="AP71" s="294"/>
      <c r="AQ71" s="301"/>
      <c r="AR71" s="293"/>
      <c r="AS71" s="294"/>
      <c r="AT71" s="295"/>
      <c r="AU71" s="302"/>
      <c r="AV71" s="294"/>
      <c r="AW71" s="301"/>
      <c r="AX71" s="293"/>
      <c r="AY71" s="294"/>
      <c r="AZ71" s="295"/>
      <c r="BA71" s="302"/>
      <c r="BB71" s="294"/>
      <c r="BC71" s="301"/>
      <c r="BD71" s="293"/>
      <c r="BE71" s="294"/>
      <c r="BF71" s="295"/>
      <c r="BG71" s="302"/>
      <c r="BH71" s="294"/>
      <c r="BI71" s="301"/>
      <c r="BJ71" s="293"/>
      <c r="BK71" s="294"/>
      <c r="BL71" s="295"/>
      <c r="BM71" s="302"/>
      <c r="BN71" s="294"/>
      <c r="BO71" s="301"/>
      <c r="BP71" s="293"/>
      <c r="BQ71" s="294"/>
      <c r="BR71" s="295"/>
      <c r="BS71" s="302"/>
      <c r="BT71" s="294"/>
      <c r="BU71" s="301"/>
      <c r="BV71" s="293"/>
      <c r="BW71" s="294"/>
      <c r="BX71" s="295"/>
      <c r="BY71" s="302"/>
      <c r="BZ71" s="294"/>
      <c r="CA71" s="301"/>
      <c r="CB71" s="293"/>
      <c r="CC71" s="294"/>
      <c r="CD71" s="295"/>
      <c r="CE71" s="302"/>
      <c r="CF71" s="294"/>
      <c r="CG71" s="301"/>
      <c r="CH71" s="293"/>
      <c r="CI71" s="294"/>
      <c r="CJ71" s="295"/>
      <c r="CK71" s="302"/>
      <c r="CL71" s="294"/>
      <c r="CM71" s="301"/>
      <c r="CN71" s="293"/>
      <c r="CO71" s="294"/>
      <c r="CP71" s="295"/>
      <c r="CQ71" s="302"/>
      <c r="CR71" s="294"/>
      <c r="CS71" s="301"/>
      <c r="CT71" s="302"/>
      <c r="CU71" s="294"/>
      <c r="CV71" s="301"/>
      <c r="CW71" s="302"/>
      <c r="CX71" s="294"/>
      <c r="CY71" s="301"/>
      <c r="CZ71" s="302"/>
      <c r="DA71" s="294"/>
      <c r="DB71" s="301"/>
      <c r="DC71" s="380">
        <f t="shared" si="7"/>
        <v>0</v>
      </c>
      <c r="DD71" s="381">
        <f t="shared" si="8"/>
        <v>0</v>
      </c>
      <c r="DE71" s="381">
        <f t="shared" si="9"/>
        <v>0</v>
      </c>
      <c r="DF71" s="145">
        <f t="shared" si="10"/>
        <v>0</v>
      </c>
    </row>
    <row r="72" spans="1:110">
      <c r="A72" s="240">
        <v>29</v>
      </c>
      <c r="B72" s="241"/>
      <c r="C72" s="43"/>
      <c r="D72" s="57"/>
      <c r="E72" s="302"/>
      <c r="F72" s="294"/>
      <c r="G72" s="301"/>
      <c r="H72" s="293"/>
      <c r="I72" s="294"/>
      <c r="J72" s="295"/>
      <c r="K72" s="302"/>
      <c r="L72" s="294"/>
      <c r="M72" s="301"/>
      <c r="N72" s="293"/>
      <c r="O72" s="294"/>
      <c r="P72" s="295"/>
      <c r="Q72" s="302"/>
      <c r="R72" s="294"/>
      <c r="S72" s="301"/>
      <c r="T72" s="293"/>
      <c r="U72" s="294"/>
      <c r="V72" s="295"/>
      <c r="W72" s="302"/>
      <c r="X72" s="294"/>
      <c r="Y72" s="301"/>
      <c r="Z72" s="293"/>
      <c r="AA72" s="294"/>
      <c r="AB72" s="295"/>
      <c r="AC72" s="302"/>
      <c r="AD72" s="294"/>
      <c r="AE72" s="301"/>
      <c r="AF72" s="293"/>
      <c r="AG72" s="294"/>
      <c r="AH72" s="295"/>
      <c r="AI72" s="302"/>
      <c r="AJ72" s="294"/>
      <c r="AK72" s="301"/>
      <c r="AL72" s="293"/>
      <c r="AM72" s="294"/>
      <c r="AN72" s="295"/>
      <c r="AO72" s="302"/>
      <c r="AP72" s="294"/>
      <c r="AQ72" s="301"/>
      <c r="AR72" s="293"/>
      <c r="AS72" s="294"/>
      <c r="AT72" s="295"/>
      <c r="AU72" s="302"/>
      <c r="AV72" s="294"/>
      <c r="AW72" s="301"/>
      <c r="AX72" s="293"/>
      <c r="AY72" s="294"/>
      <c r="AZ72" s="295"/>
      <c r="BA72" s="302"/>
      <c r="BB72" s="294"/>
      <c r="BC72" s="301"/>
      <c r="BD72" s="293"/>
      <c r="BE72" s="294"/>
      <c r="BF72" s="295"/>
      <c r="BG72" s="302"/>
      <c r="BH72" s="294"/>
      <c r="BI72" s="301"/>
      <c r="BJ72" s="293"/>
      <c r="BK72" s="294"/>
      <c r="BL72" s="295"/>
      <c r="BM72" s="302"/>
      <c r="BN72" s="294"/>
      <c r="BO72" s="301"/>
      <c r="BP72" s="293"/>
      <c r="BQ72" s="294"/>
      <c r="BR72" s="295"/>
      <c r="BS72" s="302"/>
      <c r="BT72" s="294"/>
      <c r="BU72" s="301"/>
      <c r="BV72" s="293"/>
      <c r="BW72" s="294"/>
      <c r="BX72" s="295"/>
      <c r="BY72" s="302"/>
      <c r="BZ72" s="294"/>
      <c r="CA72" s="301"/>
      <c r="CB72" s="293"/>
      <c r="CC72" s="294"/>
      <c r="CD72" s="295"/>
      <c r="CE72" s="302"/>
      <c r="CF72" s="294"/>
      <c r="CG72" s="301"/>
      <c r="CH72" s="293"/>
      <c r="CI72" s="294"/>
      <c r="CJ72" s="295"/>
      <c r="CK72" s="302"/>
      <c r="CL72" s="294"/>
      <c r="CM72" s="301"/>
      <c r="CN72" s="293"/>
      <c r="CO72" s="294"/>
      <c r="CP72" s="295"/>
      <c r="CQ72" s="302"/>
      <c r="CR72" s="294"/>
      <c r="CS72" s="301"/>
      <c r="CT72" s="302"/>
      <c r="CU72" s="294"/>
      <c r="CV72" s="301"/>
      <c r="CW72" s="302"/>
      <c r="CX72" s="294"/>
      <c r="CY72" s="301"/>
      <c r="CZ72" s="302"/>
      <c r="DA72" s="294"/>
      <c r="DB72" s="301"/>
      <c r="DC72" s="380">
        <f t="shared" si="7"/>
        <v>0</v>
      </c>
      <c r="DD72" s="381">
        <f t="shared" si="8"/>
        <v>0</v>
      </c>
      <c r="DE72" s="381">
        <f t="shared" si="9"/>
        <v>0</v>
      </c>
      <c r="DF72" s="145">
        <f t="shared" si="10"/>
        <v>0</v>
      </c>
    </row>
    <row r="73" spans="1:110">
      <c r="A73" s="240">
        <v>30</v>
      </c>
      <c r="B73" s="241"/>
      <c r="C73" s="43"/>
      <c r="D73" s="57"/>
      <c r="E73" s="302"/>
      <c r="F73" s="294"/>
      <c r="G73" s="301"/>
      <c r="H73" s="293"/>
      <c r="I73" s="294"/>
      <c r="J73" s="295"/>
      <c r="K73" s="302"/>
      <c r="L73" s="294"/>
      <c r="M73" s="301"/>
      <c r="N73" s="293"/>
      <c r="O73" s="294"/>
      <c r="P73" s="295"/>
      <c r="Q73" s="302"/>
      <c r="R73" s="294"/>
      <c r="S73" s="301"/>
      <c r="T73" s="293"/>
      <c r="U73" s="294"/>
      <c r="V73" s="295"/>
      <c r="W73" s="302"/>
      <c r="X73" s="294"/>
      <c r="Y73" s="301"/>
      <c r="Z73" s="293"/>
      <c r="AA73" s="294"/>
      <c r="AB73" s="295"/>
      <c r="AC73" s="302"/>
      <c r="AD73" s="294"/>
      <c r="AE73" s="301"/>
      <c r="AF73" s="293"/>
      <c r="AG73" s="294"/>
      <c r="AH73" s="295"/>
      <c r="AI73" s="302"/>
      <c r="AJ73" s="294"/>
      <c r="AK73" s="301"/>
      <c r="AL73" s="293"/>
      <c r="AM73" s="294"/>
      <c r="AN73" s="295"/>
      <c r="AO73" s="302"/>
      <c r="AP73" s="294"/>
      <c r="AQ73" s="301"/>
      <c r="AR73" s="293"/>
      <c r="AS73" s="294"/>
      <c r="AT73" s="295"/>
      <c r="AU73" s="302"/>
      <c r="AV73" s="294"/>
      <c r="AW73" s="301"/>
      <c r="AX73" s="293"/>
      <c r="AY73" s="294"/>
      <c r="AZ73" s="295"/>
      <c r="BA73" s="302"/>
      <c r="BB73" s="294"/>
      <c r="BC73" s="301"/>
      <c r="BD73" s="293"/>
      <c r="BE73" s="294"/>
      <c r="BF73" s="295"/>
      <c r="BG73" s="302"/>
      <c r="BH73" s="294"/>
      <c r="BI73" s="301"/>
      <c r="BJ73" s="293"/>
      <c r="BK73" s="294"/>
      <c r="BL73" s="295"/>
      <c r="BM73" s="302"/>
      <c r="BN73" s="294"/>
      <c r="BO73" s="301"/>
      <c r="BP73" s="293"/>
      <c r="BQ73" s="294"/>
      <c r="BR73" s="295"/>
      <c r="BS73" s="302"/>
      <c r="BT73" s="294"/>
      <c r="BU73" s="301"/>
      <c r="BV73" s="293"/>
      <c r="BW73" s="294"/>
      <c r="BX73" s="295"/>
      <c r="BY73" s="302"/>
      <c r="BZ73" s="294"/>
      <c r="CA73" s="301"/>
      <c r="CB73" s="293"/>
      <c r="CC73" s="294"/>
      <c r="CD73" s="295"/>
      <c r="CE73" s="302"/>
      <c r="CF73" s="294"/>
      <c r="CG73" s="301"/>
      <c r="CH73" s="293"/>
      <c r="CI73" s="294"/>
      <c r="CJ73" s="295"/>
      <c r="CK73" s="302"/>
      <c r="CL73" s="294"/>
      <c r="CM73" s="301"/>
      <c r="CN73" s="293"/>
      <c r="CO73" s="294"/>
      <c r="CP73" s="295"/>
      <c r="CQ73" s="302"/>
      <c r="CR73" s="294"/>
      <c r="CS73" s="301"/>
      <c r="CT73" s="302"/>
      <c r="CU73" s="294"/>
      <c r="CV73" s="301"/>
      <c r="CW73" s="302"/>
      <c r="CX73" s="294"/>
      <c r="CY73" s="301"/>
      <c r="CZ73" s="302"/>
      <c r="DA73" s="294"/>
      <c r="DB73" s="301"/>
      <c r="DC73" s="380">
        <f t="shared" si="7"/>
        <v>0</v>
      </c>
      <c r="DD73" s="381">
        <f t="shared" si="8"/>
        <v>0</v>
      </c>
      <c r="DE73" s="381">
        <f t="shared" si="9"/>
        <v>0</v>
      </c>
      <c r="DF73" s="145">
        <f t="shared" si="10"/>
        <v>0</v>
      </c>
    </row>
    <row r="74" spans="1:110">
      <c r="A74" s="365">
        <v>31</v>
      </c>
      <c r="B74" s="241"/>
      <c r="C74" s="43"/>
      <c r="D74" s="57"/>
      <c r="E74" s="302"/>
      <c r="F74" s="294"/>
      <c r="G74" s="301"/>
      <c r="H74" s="293"/>
      <c r="I74" s="294"/>
      <c r="J74" s="295"/>
      <c r="K74" s="302"/>
      <c r="L74" s="294"/>
      <c r="M74" s="301"/>
      <c r="N74" s="293"/>
      <c r="O74" s="294"/>
      <c r="P74" s="295"/>
      <c r="Q74" s="302"/>
      <c r="R74" s="294"/>
      <c r="S74" s="301"/>
      <c r="T74" s="293"/>
      <c r="U74" s="294"/>
      <c r="V74" s="295"/>
      <c r="W74" s="302"/>
      <c r="X74" s="294"/>
      <c r="Y74" s="301"/>
      <c r="Z74" s="293"/>
      <c r="AA74" s="294"/>
      <c r="AB74" s="295"/>
      <c r="AC74" s="302"/>
      <c r="AD74" s="294"/>
      <c r="AE74" s="301"/>
      <c r="AF74" s="293"/>
      <c r="AG74" s="294"/>
      <c r="AH74" s="295"/>
      <c r="AI74" s="302"/>
      <c r="AJ74" s="294"/>
      <c r="AK74" s="301"/>
      <c r="AL74" s="293"/>
      <c r="AM74" s="294"/>
      <c r="AN74" s="295"/>
      <c r="AO74" s="302"/>
      <c r="AP74" s="294"/>
      <c r="AQ74" s="301"/>
      <c r="AR74" s="293"/>
      <c r="AS74" s="294"/>
      <c r="AT74" s="295"/>
      <c r="AU74" s="302"/>
      <c r="AV74" s="294"/>
      <c r="AW74" s="301"/>
      <c r="AX74" s="293"/>
      <c r="AY74" s="294"/>
      <c r="AZ74" s="295"/>
      <c r="BA74" s="302"/>
      <c r="BB74" s="294"/>
      <c r="BC74" s="301"/>
      <c r="BD74" s="293"/>
      <c r="BE74" s="294"/>
      <c r="BF74" s="295"/>
      <c r="BG74" s="302"/>
      <c r="BH74" s="294"/>
      <c r="BI74" s="301"/>
      <c r="BJ74" s="293"/>
      <c r="BK74" s="294"/>
      <c r="BL74" s="295"/>
      <c r="BM74" s="302"/>
      <c r="BN74" s="294"/>
      <c r="BO74" s="301"/>
      <c r="BP74" s="293"/>
      <c r="BQ74" s="294"/>
      <c r="BR74" s="295"/>
      <c r="BS74" s="302"/>
      <c r="BT74" s="294"/>
      <c r="BU74" s="301"/>
      <c r="BV74" s="293"/>
      <c r="BW74" s="294"/>
      <c r="BX74" s="295"/>
      <c r="BY74" s="302"/>
      <c r="BZ74" s="294"/>
      <c r="CA74" s="301"/>
      <c r="CB74" s="293"/>
      <c r="CC74" s="294"/>
      <c r="CD74" s="295"/>
      <c r="CE74" s="302"/>
      <c r="CF74" s="294"/>
      <c r="CG74" s="301"/>
      <c r="CH74" s="293"/>
      <c r="CI74" s="294"/>
      <c r="CJ74" s="295"/>
      <c r="CK74" s="303"/>
      <c r="CL74" s="304"/>
      <c r="CM74" s="305"/>
      <c r="CN74" s="293"/>
      <c r="CO74" s="294"/>
      <c r="CP74" s="295"/>
      <c r="CQ74" s="302"/>
      <c r="CR74" s="294"/>
      <c r="CS74" s="301"/>
      <c r="CT74" s="302"/>
      <c r="CU74" s="294"/>
      <c r="CV74" s="301"/>
      <c r="CW74" s="302"/>
      <c r="CX74" s="294"/>
      <c r="CY74" s="301"/>
      <c r="CZ74" s="302"/>
      <c r="DA74" s="294"/>
      <c r="DB74" s="301"/>
      <c r="DC74" s="380">
        <f t="shared" si="7"/>
        <v>0</v>
      </c>
      <c r="DD74" s="381">
        <f t="shared" si="8"/>
        <v>0</v>
      </c>
      <c r="DE74" s="381">
        <f t="shared" si="9"/>
        <v>0</v>
      </c>
      <c r="DF74" s="145">
        <f t="shared" si="10"/>
        <v>0</v>
      </c>
    </row>
    <row r="75" spans="1:110">
      <c r="A75" s="364"/>
      <c r="B75" s="113">
        <f>SUM(B44:B74)</f>
        <v>0</v>
      </c>
      <c r="C75" s="113">
        <f t="shared" ref="C75" si="11">SUM(C44:C74)</f>
        <v>0</v>
      </c>
      <c r="D75" s="113">
        <f t="shared" ref="D75" si="12">SUM(D44:D74)</f>
        <v>0</v>
      </c>
      <c r="E75" s="113">
        <f t="shared" ref="E75" si="13">SUM(E44:E74)</f>
        <v>0</v>
      </c>
      <c r="F75" s="113">
        <f t="shared" ref="F75" si="14">SUM(F44:F74)</f>
        <v>0</v>
      </c>
      <c r="G75" s="113">
        <f t="shared" ref="G75" si="15">SUM(G44:G74)</f>
        <v>0</v>
      </c>
      <c r="H75" s="297">
        <f t="shared" ref="H75" si="16">SUM(H44:H74)</f>
        <v>0</v>
      </c>
      <c r="I75" s="113">
        <f t="shared" ref="I75" si="17">SUM(I44:I74)</f>
        <v>0</v>
      </c>
      <c r="J75" s="306">
        <f t="shared" ref="J75" si="18">SUM(J44:J74)</f>
        <v>0</v>
      </c>
      <c r="K75" s="113">
        <f t="shared" ref="K75" si="19">SUM(K44:K74)</f>
        <v>0</v>
      </c>
      <c r="L75" s="113">
        <f t="shared" ref="L75" si="20">SUM(L44:L74)</f>
        <v>0</v>
      </c>
      <c r="M75" s="113">
        <f t="shared" ref="M75" si="21">SUM(M44:M74)</f>
        <v>0</v>
      </c>
      <c r="N75" s="297">
        <f t="shared" ref="N75" si="22">SUM(N44:N74)</f>
        <v>0</v>
      </c>
      <c r="O75" s="113">
        <f t="shared" ref="O75" si="23">SUM(O44:O74)</f>
        <v>0</v>
      </c>
      <c r="P75" s="306">
        <f t="shared" ref="P75" si="24">SUM(P44:P74)</f>
        <v>0</v>
      </c>
      <c r="Q75" s="113">
        <f t="shared" ref="Q75" si="25">SUM(Q44:Q74)</f>
        <v>0</v>
      </c>
      <c r="R75" s="113">
        <f t="shared" ref="R75" si="26">SUM(R44:R74)</f>
        <v>0</v>
      </c>
      <c r="S75" s="113">
        <f t="shared" ref="S75" si="27">SUM(S44:S74)</f>
        <v>0</v>
      </c>
      <c r="T75" s="297">
        <f t="shared" ref="T75" si="28">SUM(T44:T74)</f>
        <v>0</v>
      </c>
      <c r="U75" s="113">
        <f t="shared" ref="U75" si="29">SUM(U44:U74)</f>
        <v>0</v>
      </c>
      <c r="V75" s="306">
        <f t="shared" ref="V75" si="30">SUM(V44:V74)</f>
        <v>0</v>
      </c>
      <c r="W75" s="113">
        <f t="shared" ref="W75" si="31">SUM(W44:W74)</f>
        <v>0</v>
      </c>
      <c r="X75" s="113">
        <f t="shared" ref="X75" si="32">SUM(X44:X74)</f>
        <v>0</v>
      </c>
      <c r="Y75" s="113">
        <f t="shared" ref="Y75" si="33">SUM(Y44:Y74)</f>
        <v>0</v>
      </c>
      <c r="Z75" s="297">
        <f t="shared" ref="Z75" si="34">SUM(Z44:Z74)</f>
        <v>0</v>
      </c>
      <c r="AA75" s="113">
        <f t="shared" ref="AA75" si="35">SUM(AA44:AA74)</f>
        <v>0</v>
      </c>
      <c r="AB75" s="306">
        <f t="shared" ref="AB75" si="36">SUM(AB44:AB74)</f>
        <v>0</v>
      </c>
      <c r="AC75" s="113">
        <f t="shared" ref="AC75" si="37">SUM(AC44:AC74)</f>
        <v>0</v>
      </c>
      <c r="AD75" s="113">
        <f t="shared" ref="AD75" si="38">SUM(AD44:AD74)</f>
        <v>0</v>
      </c>
      <c r="AE75" s="113">
        <f t="shared" ref="AE75" si="39">SUM(AE44:AE74)</f>
        <v>0</v>
      </c>
      <c r="AF75" s="297">
        <f t="shared" ref="AF75" si="40">SUM(AF44:AF74)</f>
        <v>0</v>
      </c>
      <c r="AG75" s="113">
        <f t="shared" ref="AG75" si="41">SUM(AG44:AG74)</f>
        <v>0</v>
      </c>
      <c r="AH75" s="306">
        <f t="shared" ref="AH75" si="42">SUM(AH44:AH74)</f>
        <v>0</v>
      </c>
      <c r="AI75" s="113">
        <f t="shared" ref="AI75" si="43">SUM(AI44:AI74)</f>
        <v>0</v>
      </c>
      <c r="AJ75" s="113">
        <f t="shared" ref="AJ75" si="44">SUM(AJ44:AJ74)</f>
        <v>0</v>
      </c>
      <c r="AK75" s="113">
        <f t="shared" ref="AK75" si="45">SUM(AK44:AK74)</f>
        <v>0</v>
      </c>
      <c r="AL75" s="297">
        <f t="shared" ref="AL75" si="46">SUM(AL44:AL74)</f>
        <v>0</v>
      </c>
      <c r="AM75" s="113">
        <f t="shared" ref="AM75" si="47">SUM(AM44:AM74)</f>
        <v>0</v>
      </c>
      <c r="AN75" s="306">
        <f t="shared" ref="AN75" si="48">SUM(AN44:AN74)</f>
        <v>0</v>
      </c>
      <c r="AO75" s="113">
        <f t="shared" ref="AO75" si="49">SUM(AO44:AO74)</f>
        <v>0</v>
      </c>
      <c r="AP75" s="113">
        <f t="shared" ref="AP75" si="50">SUM(AP44:AP74)</f>
        <v>0</v>
      </c>
      <c r="AQ75" s="113">
        <f t="shared" ref="AQ75" si="51">SUM(AQ44:AQ74)</f>
        <v>0</v>
      </c>
      <c r="AR75" s="297">
        <f t="shared" ref="AR75" si="52">SUM(AR44:AR74)</f>
        <v>0</v>
      </c>
      <c r="AS75" s="113">
        <f t="shared" ref="AS75" si="53">SUM(AS44:AS74)</f>
        <v>0</v>
      </c>
      <c r="AT75" s="306">
        <f t="shared" ref="AT75" si="54">SUM(AT44:AT74)</f>
        <v>0</v>
      </c>
      <c r="AU75" s="113">
        <f t="shared" ref="AU75" si="55">SUM(AU44:AU74)</f>
        <v>0</v>
      </c>
      <c r="AV75" s="113">
        <f t="shared" ref="AV75" si="56">SUM(AV44:AV74)</f>
        <v>0</v>
      </c>
      <c r="AW75" s="113">
        <f t="shared" ref="AW75" si="57">SUM(AW44:AW74)</f>
        <v>0</v>
      </c>
      <c r="AX75" s="297">
        <f t="shared" ref="AX75" si="58">SUM(AX44:AX74)</f>
        <v>0</v>
      </c>
      <c r="AY75" s="113">
        <f t="shared" ref="AY75" si="59">SUM(AY44:AY74)</f>
        <v>0</v>
      </c>
      <c r="AZ75" s="306">
        <f t="shared" ref="AZ75" si="60">SUM(AZ44:AZ74)</f>
        <v>0</v>
      </c>
      <c r="BA75" s="113">
        <f t="shared" ref="BA75" si="61">SUM(BA44:BA74)</f>
        <v>0</v>
      </c>
      <c r="BB75" s="113">
        <f t="shared" ref="BB75" si="62">SUM(BB44:BB74)</f>
        <v>0</v>
      </c>
      <c r="BC75" s="113">
        <f t="shared" ref="BC75" si="63">SUM(BC44:BC74)</f>
        <v>0</v>
      </c>
      <c r="BD75" s="297">
        <f t="shared" ref="BD75" si="64">SUM(BD44:BD74)</f>
        <v>0</v>
      </c>
      <c r="BE75" s="113">
        <f t="shared" ref="BE75" si="65">SUM(BE44:BE74)</f>
        <v>0</v>
      </c>
      <c r="BF75" s="306">
        <f t="shared" ref="BF75" si="66">SUM(BF44:BF74)</f>
        <v>0</v>
      </c>
      <c r="BG75" s="113">
        <f t="shared" ref="BG75" si="67">SUM(BG44:BG74)</f>
        <v>0</v>
      </c>
      <c r="BH75" s="113">
        <f t="shared" ref="BH75" si="68">SUM(BH44:BH74)</f>
        <v>0</v>
      </c>
      <c r="BI75" s="113">
        <f t="shared" ref="BI75" si="69">SUM(BI44:BI74)</f>
        <v>0</v>
      </c>
      <c r="BJ75" s="297">
        <f t="shared" ref="BJ75" si="70">SUM(BJ44:BJ74)</f>
        <v>0</v>
      </c>
      <c r="BK75" s="113">
        <f t="shared" ref="BK75" si="71">SUM(BK44:BK74)</f>
        <v>0</v>
      </c>
      <c r="BL75" s="306">
        <f t="shared" ref="BL75" si="72">SUM(BL44:BL74)</f>
        <v>0</v>
      </c>
      <c r="BM75" s="113">
        <f t="shared" ref="BM75" si="73">SUM(BM44:BM74)</f>
        <v>0</v>
      </c>
      <c r="BN75" s="113">
        <f t="shared" ref="BN75" si="74">SUM(BN44:BN74)</f>
        <v>0</v>
      </c>
      <c r="BO75" s="113">
        <f t="shared" ref="BO75" si="75">SUM(BO44:BO74)</f>
        <v>0</v>
      </c>
      <c r="BP75" s="297">
        <f t="shared" ref="BP75" si="76">SUM(BP44:BP74)</f>
        <v>0</v>
      </c>
      <c r="BQ75" s="113">
        <f t="shared" ref="BQ75" si="77">SUM(BQ44:BQ74)</f>
        <v>0</v>
      </c>
      <c r="BR75" s="306">
        <f t="shared" ref="BR75" si="78">SUM(BR44:BR74)</f>
        <v>0</v>
      </c>
      <c r="BS75" s="113">
        <f t="shared" ref="BS75" si="79">SUM(BS44:BS74)</f>
        <v>0</v>
      </c>
      <c r="BT75" s="113">
        <f t="shared" ref="BT75" si="80">SUM(BT44:BT74)</f>
        <v>0</v>
      </c>
      <c r="BU75" s="113">
        <f t="shared" ref="BU75" si="81">SUM(BU44:BU74)</f>
        <v>0</v>
      </c>
      <c r="BV75" s="297">
        <f t="shared" ref="BV75" si="82">SUM(BV44:BV74)</f>
        <v>0</v>
      </c>
      <c r="BW75" s="113">
        <f t="shared" ref="BW75" si="83">SUM(BW44:BW74)</f>
        <v>0</v>
      </c>
      <c r="BX75" s="306">
        <f t="shared" ref="BX75" si="84">SUM(BX44:BX74)</f>
        <v>0</v>
      </c>
      <c r="BY75" s="113">
        <f t="shared" ref="BY75" si="85">SUM(BY44:BY74)</f>
        <v>0</v>
      </c>
      <c r="BZ75" s="113">
        <f t="shared" ref="BZ75" si="86">SUM(BZ44:BZ74)</f>
        <v>0</v>
      </c>
      <c r="CA75" s="113">
        <f t="shared" ref="CA75" si="87">SUM(CA44:CA74)</f>
        <v>0</v>
      </c>
      <c r="CB75" s="297">
        <f t="shared" ref="CB75" si="88">SUM(CB44:CB74)</f>
        <v>0</v>
      </c>
      <c r="CC75" s="113">
        <f t="shared" ref="CC75" si="89">SUM(CC44:CC74)</f>
        <v>0</v>
      </c>
      <c r="CD75" s="306">
        <f t="shared" ref="CD75" si="90">SUM(CD44:CD74)</f>
        <v>0</v>
      </c>
      <c r="CE75" s="113">
        <f t="shared" ref="CE75" si="91">SUM(CE44:CE74)</f>
        <v>0</v>
      </c>
      <c r="CF75" s="113">
        <f t="shared" ref="CF75" si="92">SUM(CF44:CF74)</f>
        <v>0</v>
      </c>
      <c r="CG75" s="113">
        <f t="shared" ref="CG75" si="93">SUM(CG44:CG74)</f>
        <v>0</v>
      </c>
      <c r="CH75" s="297">
        <f t="shared" ref="CH75" si="94">SUM(CH44:CH74)</f>
        <v>0</v>
      </c>
      <c r="CI75" s="113">
        <f t="shared" ref="CI75" si="95">SUM(CI44:CI74)</f>
        <v>0</v>
      </c>
      <c r="CJ75" s="306">
        <f t="shared" ref="CJ75:DB75" si="96">SUM(CJ44:CJ74)</f>
        <v>0</v>
      </c>
      <c r="CK75" s="306">
        <f t="shared" si="96"/>
        <v>0</v>
      </c>
      <c r="CL75" s="306">
        <f t="shared" si="96"/>
        <v>0</v>
      </c>
      <c r="CM75" s="306">
        <f t="shared" si="96"/>
        <v>0</v>
      </c>
      <c r="CN75" s="306">
        <f t="shared" si="96"/>
        <v>0</v>
      </c>
      <c r="CO75" s="306">
        <f t="shared" si="96"/>
        <v>0</v>
      </c>
      <c r="CP75" s="306">
        <f t="shared" si="96"/>
        <v>0</v>
      </c>
      <c r="CQ75" s="306">
        <f t="shared" ref="CQ75:CY75" si="97">SUM(CQ44:CQ74)</f>
        <v>0</v>
      </c>
      <c r="CR75" s="306">
        <f t="shared" si="97"/>
        <v>0</v>
      </c>
      <c r="CS75" s="306">
        <f t="shared" si="97"/>
        <v>0</v>
      </c>
      <c r="CT75" s="306">
        <f t="shared" si="97"/>
        <v>0</v>
      </c>
      <c r="CU75" s="306">
        <f t="shared" si="97"/>
        <v>0</v>
      </c>
      <c r="CV75" s="306">
        <f t="shared" si="97"/>
        <v>0</v>
      </c>
      <c r="CW75" s="306">
        <f t="shared" si="97"/>
        <v>0</v>
      </c>
      <c r="CX75" s="306">
        <f t="shared" si="97"/>
        <v>0</v>
      </c>
      <c r="CY75" s="306">
        <f t="shared" si="97"/>
        <v>0</v>
      </c>
      <c r="CZ75" s="306">
        <f t="shared" si="96"/>
        <v>0</v>
      </c>
      <c r="DA75" s="306">
        <f t="shared" si="96"/>
        <v>0</v>
      </c>
      <c r="DB75" s="306">
        <f t="shared" si="96"/>
        <v>0</v>
      </c>
      <c r="DC75" s="394">
        <f t="shared" ref="DC75" si="98">SUM(DC44:DC74)</f>
        <v>0</v>
      </c>
      <c r="DD75" s="394">
        <f t="shared" ref="DD75" si="99">SUM(DD44:DD74)</f>
        <v>0</v>
      </c>
      <c r="DE75" s="394">
        <f t="shared" ref="DE75" si="100">SUM(DE44:DE74)</f>
        <v>0</v>
      </c>
      <c r="DF75" s="145">
        <f t="shared" si="10"/>
        <v>0</v>
      </c>
    </row>
    <row r="76" spans="1:110" s="358" customFormat="1">
      <c r="A76" s="384"/>
      <c r="B76" s="384"/>
      <c r="C76" s="384"/>
      <c r="D76" s="384"/>
      <c r="E76" s="384"/>
      <c r="F76" s="384"/>
      <c r="G76" s="384"/>
      <c r="H76" s="384"/>
      <c r="I76" s="384"/>
      <c r="J76" s="384"/>
      <c r="K76" s="386"/>
      <c r="L76" s="387"/>
      <c r="M76" s="388"/>
      <c r="N76" s="384"/>
      <c r="O76" s="384"/>
      <c r="P76" s="384"/>
      <c r="Q76" s="384"/>
      <c r="R76" s="384"/>
      <c r="S76" s="384"/>
      <c r="T76" s="384"/>
      <c r="U76" s="384"/>
      <c r="V76" s="384"/>
      <c r="W76" s="384"/>
      <c r="X76" s="384"/>
      <c r="Y76" s="384"/>
      <c r="Z76" s="384"/>
      <c r="AA76" s="384"/>
      <c r="AB76" s="384"/>
      <c r="AC76" s="384"/>
      <c r="AD76" s="384"/>
      <c r="AE76" s="384"/>
      <c r="AF76" s="384"/>
      <c r="AG76" s="384"/>
      <c r="AH76" s="384"/>
      <c r="AI76" s="384"/>
      <c r="AJ76" s="384"/>
      <c r="AK76" s="384"/>
      <c r="AL76" s="384"/>
      <c r="AM76" s="384"/>
      <c r="AN76" s="384"/>
      <c r="AO76" s="384"/>
      <c r="AP76" s="384"/>
      <c r="AQ76" s="384"/>
      <c r="AR76" s="384"/>
      <c r="AS76" s="384"/>
      <c r="AT76" s="384"/>
      <c r="AU76" s="384"/>
      <c r="AV76" s="384"/>
      <c r="AW76" s="384"/>
      <c r="AX76" s="384"/>
      <c r="AY76" s="384"/>
      <c r="AZ76" s="384"/>
      <c r="BA76" s="384"/>
      <c r="BB76" s="384"/>
      <c r="BC76" s="384"/>
      <c r="BD76" s="384"/>
      <c r="BE76" s="384"/>
      <c r="BF76" s="384"/>
      <c r="BG76" s="384"/>
      <c r="BH76" s="384"/>
      <c r="BI76" s="384"/>
      <c r="BJ76" s="384"/>
      <c r="BK76" s="384"/>
      <c r="BL76" s="384"/>
      <c r="BM76" s="384"/>
      <c r="BN76" s="384"/>
      <c r="BO76" s="384"/>
      <c r="BP76" s="384"/>
      <c r="BQ76" s="384"/>
      <c r="BR76" s="384"/>
      <c r="BS76" s="384"/>
      <c r="BT76" s="384"/>
      <c r="BU76" s="384"/>
      <c r="BV76" s="384"/>
      <c r="BW76" s="384"/>
      <c r="BX76" s="384"/>
      <c r="BY76" s="384"/>
      <c r="BZ76" s="384"/>
      <c r="CA76" s="384"/>
      <c r="CB76" s="384"/>
      <c r="CC76" s="384"/>
      <c r="CD76" s="384"/>
      <c r="CE76" s="384"/>
      <c r="CF76" s="384"/>
      <c r="CG76" s="384"/>
      <c r="CH76" s="384"/>
      <c r="CI76" s="384"/>
      <c r="CJ76" s="384"/>
      <c r="CK76" s="384"/>
      <c r="CL76" s="384"/>
      <c r="CM76" s="384"/>
      <c r="CN76" s="384"/>
      <c r="CO76" s="384"/>
      <c r="CP76" s="384"/>
      <c r="CQ76" s="384"/>
      <c r="CR76" s="384"/>
      <c r="CS76" s="384"/>
      <c r="CT76" s="384"/>
      <c r="CU76" s="384"/>
      <c r="CV76" s="384"/>
      <c r="CW76" s="384"/>
      <c r="CX76" s="384"/>
      <c r="CY76" s="384"/>
      <c r="CZ76" s="384"/>
      <c r="DA76" s="384"/>
      <c r="DB76" s="384"/>
      <c r="DC76" s="395"/>
      <c r="DD76" s="395"/>
      <c r="DE76" s="395"/>
      <c r="DF76" s="145">
        <f t="shared" si="10"/>
        <v>0</v>
      </c>
    </row>
    <row r="77" spans="1:110" s="358" customFormat="1">
      <c r="A77" s="384"/>
      <c r="B77" s="384"/>
      <c r="C77" s="384"/>
      <c r="D77" s="385" t="s">
        <v>43</v>
      </c>
      <c r="E77" s="384"/>
      <c r="F77" s="384"/>
      <c r="G77" s="384"/>
      <c r="H77" s="384"/>
      <c r="I77" s="384"/>
      <c r="J77" s="384"/>
      <c r="K77" s="384"/>
      <c r="L77" s="384"/>
      <c r="M77" s="384"/>
      <c r="N77" s="384"/>
      <c r="O77" s="384"/>
      <c r="P77" s="384"/>
      <c r="Q77" s="384"/>
      <c r="R77" s="384"/>
      <c r="S77" s="384"/>
      <c r="T77" s="384"/>
      <c r="U77" s="384"/>
      <c r="V77" s="384"/>
      <c r="W77" s="384"/>
      <c r="X77" s="384"/>
      <c r="Y77" s="384"/>
      <c r="Z77" s="384"/>
      <c r="AA77" s="384"/>
      <c r="AB77" s="384"/>
      <c r="AC77" s="384"/>
      <c r="AD77" s="384"/>
      <c r="AE77" s="384"/>
      <c r="AF77" s="384"/>
      <c r="AG77" s="384"/>
      <c r="AH77" s="384"/>
      <c r="AI77" s="384"/>
      <c r="AJ77" s="384"/>
      <c r="AK77" s="384"/>
      <c r="AL77" s="384"/>
      <c r="AM77" s="384"/>
      <c r="AN77" s="384"/>
      <c r="AO77" s="384"/>
      <c r="AP77" s="384"/>
      <c r="AQ77" s="384"/>
      <c r="AR77" s="384"/>
      <c r="AS77" s="384"/>
      <c r="AT77" s="384"/>
      <c r="AU77" s="384"/>
      <c r="AV77" s="384"/>
      <c r="AW77" s="384"/>
      <c r="AX77" s="384"/>
      <c r="AY77" s="384"/>
      <c r="AZ77" s="384"/>
      <c r="BA77" s="384"/>
      <c r="BB77" s="384"/>
      <c r="BC77" s="384"/>
      <c r="BD77" s="384"/>
      <c r="BE77" s="384"/>
      <c r="BF77" s="384"/>
      <c r="BG77" s="384"/>
      <c r="BH77" s="384"/>
      <c r="BI77" s="384"/>
      <c r="BJ77" s="384"/>
      <c r="BK77" s="384"/>
      <c r="BL77" s="384"/>
      <c r="BM77" s="384"/>
      <c r="BN77" s="384"/>
      <c r="BO77" s="384"/>
      <c r="BP77" s="384"/>
      <c r="BQ77" s="384"/>
      <c r="BR77" s="384"/>
      <c r="BS77" s="384"/>
      <c r="BT77" s="384"/>
      <c r="BU77" s="384"/>
      <c r="BV77" s="384"/>
      <c r="BW77" s="384"/>
      <c r="BX77" s="384"/>
      <c r="BY77" s="384"/>
      <c r="BZ77" s="384"/>
      <c r="CA77" s="384"/>
      <c r="CB77" s="384"/>
      <c r="CC77" s="384"/>
      <c r="CD77" s="384"/>
      <c r="CE77" s="384"/>
      <c r="CF77" s="384"/>
      <c r="CG77" s="384"/>
      <c r="CH77" s="384"/>
      <c r="CI77" s="384"/>
      <c r="CJ77" s="384"/>
      <c r="CK77" s="384"/>
      <c r="CL77" s="384"/>
      <c r="CM77" s="384"/>
      <c r="CN77" s="384"/>
      <c r="CO77" s="384"/>
      <c r="CP77" s="384"/>
      <c r="CQ77" s="384"/>
      <c r="CR77" s="384"/>
      <c r="CS77" s="384"/>
      <c r="CT77" s="384"/>
      <c r="CU77" s="384"/>
      <c r="CV77" s="384"/>
      <c r="CW77" s="384"/>
      <c r="CX77" s="384"/>
      <c r="CY77" s="384"/>
      <c r="CZ77" s="384"/>
      <c r="DA77" s="384"/>
      <c r="DB77" s="384"/>
      <c r="DC77" s="395"/>
      <c r="DD77" s="395"/>
      <c r="DE77" s="395"/>
      <c r="DF77" s="145">
        <f t="shared" si="10"/>
        <v>0</v>
      </c>
    </row>
    <row r="78" spans="1:110">
      <c r="A78" s="403" t="s">
        <v>2</v>
      </c>
      <c r="B78" s="426" t="s">
        <v>3</v>
      </c>
      <c r="C78" s="424"/>
      <c r="D78" s="427"/>
      <c r="E78" s="423" t="s">
        <v>4</v>
      </c>
      <c r="F78" s="424"/>
      <c r="G78" s="425"/>
      <c r="H78" s="426" t="s">
        <v>5</v>
      </c>
      <c r="I78" s="424"/>
      <c r="J78" s="427"/>
      <c r="K78" s="423" t="s">
        <v>6</v>
      </c>
      <c r="L78" s="424"/>
      <c r="M78" s="425"/>
      <c r="N78" s="426" t="s">
        <v>7</v>
      </c>
      <c r="O78" s="424"/>
      <c r="P78" s="427"/>
      <c r="Q78" s="423" t="s">
        <v>8</v>
      </c>
      <c r="R78" s="424"/>
      <c r="S78" s="425"/>
      <c r="T78" s="426" t="s">
        <v>9</v>
      </c>
      <c r="U78" s="424"/>
      <c r="V78" s="427"/>
      <c r="W78" s="423" t="s">
        <v>10</v>
      </c>
      <c r="X78" s="424"/>
      <c r="Y78" s="425"/>
      <c r="Z78" s="426" t="s">
        <v>11</v>
      </c>
      <c r="AA78" s="424"/>
      <c r="AB78" s="427"/>
      <c r="AC78" s="423" t="s">
        <v>12</v>
      </c>
      <c r="AD78" s="424"/>
      <c r="AE78" s="425"/>
      <c r="AF78" s="426" t="s">
        <v>13</v>
      </c>
      <c r="AG78" s="424"/>
      <c r="AH78" s="427"/>
      <c r="AI78" s="423" t="s">
        <v>14</v>
      </c>
      <c r="AJ78" s="424"/>
      <c r="AK78" s="425"/>
      <c r="AL78" s="426" t="s">
        <v>15</v>
      </c>
      <c r="AM78" s="424"/>
      <c r="AN78" s="427"/>
      <c r="AO78" s="423" t="s">
        <v>16</v>
      </c>
      <c r="AP78" s="424"/>
      <c r="AQ78" s="425"/>
      <c r="AR78" s="426" t="s">
        <v>17</v>
      </c>
      <c r="AS78" s="424"/>
      <c r="AT78" s="427"/>
      <c r="AU78" s="417" t="s">
        <v>18</v>
      </c>
      <c r="AV78" s="417"/>
      <c r="AW78" s="417"/>
      <c r="AX78" s="403" t="s">
        <v>19</v>
      </c>
      <c r="AY78" s="417"/>
      <c r="AZ78" s="418"/>
      <c r="BA78" s="417" t="s">
        <v>20</v>
      </c>
      <c r="BB78" s="417"/>
      <c r="BC78" s="417"/>
      <c r="BD78" s="403" t="s">
        <v>21</v>
      </c>
      <c r="BE78" s="417"/>
      <c r="BF78" s="418"/>
      <c r="BG78" s="417" t="s">
        <v>22</v>
      </c>
      <c r="BH78" s="417"/>
      <c r="BI78" s="417"/>
      <c r="BJ78" s="403" t="s">
        <v>23</v>
      </c>
      <c r="BK78" s="417"/>
      <c r="BL78" s="418"/>
      <c r="BM78" s="417" t="s">
        <v>24</v>
      </c>
      <c r="BN78" s="417"/>
      <c r="BO78" s="417"/>
      <c r="BP78" s="403" t="s">
        <v>25</v>
      </c>
      <c r="BQ78" s="417"/>
      <c r="BR78" s="418"/>
      <c r="BS78" s="417" t="s">
        <v>26</v>
      </c>
      <c r="BT78" s="417"/>
      <c r="BU78" s="417"/>
      <c r="BV78" s="403" t="s">
        <v>27</v>
      </c>
      <c r="BW78" s="417"/>
      <c r="BX78" s="418"/>
      <c r="BY78" s="417" t="s">
        <v>28</v>
      </c>
      <c r="BZ78" s="417"/>
      <c r="CA78" s="417"/>
      <c r="CB78" s="403" t="s">
        <v>29</v>
      </c>
      <c r="CC78" s="417"/>
      <c r="CD78" s="418"/>
      <c r="CE78" s="417" t="s">
        <v>30</v>
      </c>
      <c r="CF78" s="417"/>
      <c r="CG78" s="417"/>
      <c r="CH78" s="403" t="s">
        <v>31</v>
      </c>
      <c r="CI78" s="417"/>
      <c r="CJ78" s="418"/>
      <c r="CK78" s="417" t="s">
        <v>32</v>
      </c>
      <c r="CL78" s="417"/>
      <c r="CM78" s="417"/>
      <c r="CN78" s="403" t="s">
        <v>33</v>
      </c>
      <c r="CO78" s="417"/>
      <c r="CP78" s="418"/>
      <c r="CQ78" s="403" t="s">
        <v>34</v>
      </c>
      <c r="CR78" s="417"/>
      <c r="CS78" s="418"/>
      <c r="CT78" s="403" t="s">
        <v>35</v>
      </c>
      <c r="CU78" s="417"/>
      <c r="CV78" s="418"/>
      <c r="CW78" s="403" t="s">
        <v>36</v>
      </c>
      <c r="CX78" s="417"/>
      <c r="CY78" s="418"/>
      <c r="CZ78" s="403" t="s">
        <v>37</v>
      </c>
      <c r="DA78" s="417"/>
      <c r="DB78" s="418"/>
      <c r="DC78" s="429" t="s">
        <v>38</v>
      </c>
      <c r="DD78" s="422"/>
      <c r="DE78" s="428"/>
      <c r="DF78" s="145">
        <f t="shared" si="10"/>
        <v>0</v>
      </c>
    </row>
    <row r="79" spans="1:110">
      <c r="A79" s="404"/>
      <c r="B79" s="360" t="s">
        <v>39</v>
      </c>
      <c r="C79" s="361" t="s">
        <v>40</v>
      </c>
      <c r="D79" s="362" t="s">
        <v>41</v>
      </c>
      <c r="E79" s="363" t="s">
        <v>39</v>
      </c>
      <c r="F79" s="361" t="s">
        <v>40</v>
      </c>
      <c r="G79" s="371" t="s">
        <v>41</v>
      </c>
      <c r="H79" s="360" t="s">
        <v>39</v>
      </c>
      <c r="I79" s="361" t="s">
        <v>40</v>
      </c>
      <c r="J79" s="362" t="s">
        <v>41</v>
      </c>
      <c r="K79" s="363" t="s">
        <v>39</v>
      </c>
      <c r="L79" s="361" t="s">
        <v>40</v>
      </c>
      <c r="M79" s="371" t="s">
        <v>41</v>
      </c>
      <c r="N79" s="360" t="s">
        <v>39</v>
      </c>
      <c r="O79" s="361" t="s">
        <v>40</v>
      </c>
      <c r="P79" s="362" t="s">
        <v>41</v>
      </c>
      <c r="Q79" s="363" t="s">
        <v>39</v>
      </c>
      <c r="R79" s="361" t="s">
        <v>40</v>
      </c>
      <c r="S79" s="371" t="s">
        <v>41</v>
      </c>
      <c r="T79" s="360" t="s">
        <v>39</v>
      </c>
      <c r="U79" s="361" t="s">
        <v>40</v>
      </c>
      <c r="V79" s="362" t="s">
        <v>41</v>
      </c>
      <c r="W79" s="363" t="s">
        <v>39</v>
      </c>
      <c r="X79" s="361" t="s">
        <v>40</v>
      </c>
      <c r="Y79" s="371" t="s">
        <v>41</v>
      </c>
      <c r="Z79" s="360" t="s">
        <v>39</v>
      </c>
      <c r="AA79" s="361" t="s">
        <v>40</v>
      </c>
      <c r="AB79" s="362" t="s">
        <v>41</v>
      </c>
      <c r="AC79" s="363" t="s">
        <v>39</v>
      </c>
      <c r="AD79" s="361" t="s">
        <v>40</v>
      </c>
      <c r="AE79" s="371" t="s">
        <v>41</v>
      </c>
      <c r="AF79" s="360" t="s">
        <v>39</v>
      </c>
      <c r="AG79" s="361" t="s">
        <v>40</v>
      </c>
      <c r="AH79" s="362" t="s">
        <v>41</v>
      </c>
      <c r="AI79" s="363" t="s">
        <v>39</v>
      </c>
      <c r="AJ79" s="361" t="s">
        <v>40</v>
      </c>
      <c r="AK79" s="371" t="s">
        <v>41</v>
      </c>
      <c r="AL79" s="360" t="s">
        <v>39</v>
      </c>
      <c r="AM79" s="361" t="s">
        <v>40</v>
      </c>
      <c r="AN79" s="362" t="s">
        <v>41</v>
      </c>
      <c r="AO79" s="363" t="s">
        <v>39</v>
      </c>
      <c r="AP79" s="361" t="s">
        <v>40</v>
      </c>
      <c r="AQ79" s="371" t="s">
        <v>41</v>
      </c>
      <c r="AR79" s="360" t="s">
        <v>39</v>
      </c>
      <c r="AS79" s="361" t="s">
        <v>40</v>
      </c>
      <c r="AT79" s="362" t="s">
        <v>41</v>
      </c>
      <c r="AU79" s="363" t="s">
        <v>39</v>
      </c>
      <c r="AV79" s="361" t="s">
        <v>40</v>
      </c>
      <c r="AW79" s="371" t="s">
        <v>41</v>
      </c>
      <c r="AX79" s="360" t="s">
        <v>39</v>
      </c>
      <c r="AY79" s="361" t="s">
        <v>40</v>
      </c>
      <c r="AZ79" s="362" t="s">
        <v>41</v>
      </c>
      <c r="BA79" s="363" t="s">
        <v>39</v>
      </c>
      <c r="BB79" s="361" t="s">
        <v>40</v>
      </c>
      <c r="BC79" s="371" t="s">
        <v>41</v>
      </c>
      <c r="BD79" s="360" t="s">
        <v>39</v>
      </c>
      <c r="BE79" s="361" t="s">
        <v>40</v>
      </c>
      <c r="BF79" s="362" t="s">
        <v>41</v>
      </c>
      <c r="BG79" s="363" t="s">
        <v>39</v>
      </c>
      <c r="BH79" s="361" t="s">
        <v>40</v>
      </c>
      <c r="BI79" s="371" t="s">
        <v>41</v>
      </c>
      <c r="BJ79" s="360" t="s">
        <v>39</v>
      </c>
      <c r="BK79" s="361" t="s">
        <v>40</v>
      </c>
      <c r="BL79" s="362" t="s">
        <v>41</v>
      </c>
      <c r="BM79" s="363" t="s">
        <v>39</v>
      </c>
      <c r="BN79" s="361" t="s">
        <v>40</v>
      </c>
      <c r="BO79" s="371" t="s">
        <v>41</v>
      </c>
      <c r="BP79" s="360" t="s">
        <v>39</v>
      </c>
      <c r="BQ79" s="361" t="s">
        <v>40</v>
      </c>
      <c r="BR79" s="362" t="s">
        <v>41</v>
      </c>
      <c r="BS79" s="363" t="s">
        <v>39</v>
      </c>
      <c r="BT79" s="361" t="s">
        <v>40</v>
      </c>
      <c r="BU79" s="371" t="s">
        <v>41</v>
      </c>
      <c r="BV79" s="360" t="s">
        <v>39</v>
      </c>
      <c r="BW79" s="361" t="s">
        <v>40</v>
      </c>
      <c r="BX79" s="362" t="s">
        <v>41</v>
      </c>
      <c r="BY79" s="363" t="s">
        <v>39</v>
      </c>
      <c r="BZ79" s="361" t="s">
        <v>40</v>
      </c>
      <c r="CA79" s="371" t="s">
        <v>41</v>
      </c>
      <c r="CB79" s="360" t="s">
        <v>39</v>
      </c>
      <c r="CC79" s="361" t="s">
        <v>40</v>
      </c>
      <c r="CD79" s="362" t="s">
        <v>41</v>
      </c>
      <c r="CE79" s="363" t="s">
        <v>39</v>
      </c>
      <c r="CF79" s="361" t="s">
        <v>40</v>
      </c>
      <c r="CG79" s="371" t="s">
        <v>41</v>
      </c>
      <c r="CH79" s="360" t="s">
        <v>39</v>
      </c>
      <c r="CI79" s="361" t="s">
        <v>40</v>
      </c>
      <c r="CJ79" s="362" t="s">
        <v>41</v>
      </c>
      <c r="CK79" s="363" t="s">
        <v>39</v>
      </c>
      <c r="CL79" s="361" t="s">
        <v>40</v>
      </c>
      <c r="CM79" s="371" t="s">
        <v>41</v>
      </c>
      <c r="CN79" s="360" t="s">
        <v>39</v>
      </c>
      <c r="CO79" s="361" t="s">
        <v>40</v>
      </c>
      <c r="CP79" s="362" t="s">
        <v>41</v>
      </c>
      <c r="CQ79" s="375" t="s">
        <v>39</v>
      </c>
      <c r="CR79" s="376" t="s">
        <v>40</v>
      </c>
      <c r="CS79" s="377" t="s">
        <v>41</v>
      </c>
      <c r="CT79" s="375" t="s">
        <v>39</v>
      </c>
      <c r="CU79" s="376" t="s">
        <v>40</v>
      </c>
      <c r="CV79" s="377" t="s">
        <v>41</v>
      </c>
      <c r="CW79" s="375" t="s">
        <v>39</v>
      </c>
      <c r="CX79" s="376" t="s">
        <v>40</v>
      </c>
      <c r="CY79" s="377" t="s">
        <v>41</v>
      </c>
      <c r="CZ79" s="375" t="s">
        <v>39</v>
      </c>
      <c r="DA79" s="376" t="s">
        <v>40</v>
      </c>
      <c r="DB79" s="377" t="s">
        <v>41</v>
      </c>
      <c r="DC79" s="383" t="s">
        <v>39</v>
      </c>
      <c r="DD79" s="193" t="s">
        <v>40</v>
      </c>
      <c r="DE79" s="193" t="s">
        <v>41</v>
      </c>
      <c r="DF79" s="145">
        <f t="shared" si="10"/>
        <v>0</v>
      </c>
    </row>
    <row r="80" spans="1:110">
      <c r="A80" s="365">
        <v>1</v>
      </c>
      <c r="B80" s="116"/>
      <c r="C80" s="117"/>
      <c r="D80" s="119"/>
      <c r="E80" s="369"/>
      <c r="F80" s="367"/>
      <c r="G80" s="372"/>
      <c r="H80" s="366"/>
      <c r="I80" s="367"/>
      <c r="J80" s="368"/>
      <c r="K80" s="369"/>
      <c r="L80" s="367"/>
      <c r="M80" s="372"/>
      <c r="N80" s="366"/>
      <c r="O80" s="367"/>
      <c r="P80" s="368"/>
      <c r="Q80" s="369"/>
      <c r="R80" s="367"/>
      <c r="S80" s="372"/>
      <c r="T80" s="366"/>
      <c r="U80" s="367"/>
      <c r="V80" s="368"/>
      <c r="W80" s="369"/>
      <c r="X80" s="367"/>
      <c r="Y80" s="372"/>
      <c r="Z80" s="366"/>
      <c r="AA80" s="367"/>
      <c r="AB80" s="368"/>
      <c r="AC80" s="369"/>
      <c r="AD80" s="367"/>
      <c r="AE80" s="372"/>
      <c r="AF80" s="366"/>
      <c r="AG80" s="367"/>
      <c r="AH80" s="368"/>
      <c r="AI80" s="369"/>
      <c r="AJ80" s="367"/>
      <c r="AK80" s="372"/>
      <c r="AL80" s="366"/>
      <c r="AM80" s="367"/>
      <c r="AN80" s="368"/>
      <c r="AO80" s="369"/>
      <c r="AP80" s="367"/>
      <c r="AQ80" s="372"/>
      <c r="AR80" s="366"/>
      <c r="AS80" s="367"/>
      <c r="AT80" s="368"/>
      <c r="AU80" s="369"/>
      <c r="AV80" s="367"/>
      <c r="AW80" s="372"/>
      <c r="AX80" s="366"/>
      <c r="AY80" s="367"/>
      <c r="AZ80" s="368"/>
      <c r="BA80" s="369"/>
      <c r="BB80" s="367"/>
      <c r="BC80" s="372"/>
      <c r="BD80" s="366"/>
      <c r="BE80" s="367"/>
      <c r="BF80" s="368"/>
      <c r="BG80" s="369"/>
      <c r="BH80" s="367"/>
      <c r="BI80" s="372"/>
      <c r="BJ80" s="366"/>
      <c r="BK80" s="367"/>
      <c r="BL80" s="368"/>
      <c r="BM80" s="369"/>
      <c r="BN80" s="367"/>
      <c r="BO80" s="372"/>
      <c r="BP80" s="366"/>
      <c r="BQ80" s="367"/>
      <c r="BR80" s="368"/>
      <c r="BS80" s="369"/>
      <c r="BT80" s="367"/>
      <c r="BU80" s="372"/>
      <c r="BV80" s="366"/>
      <c r="BW80" s="367"/>
      <c r="BX80" s="368"/>
      <c r="BY80" s="369"/>
      <c r="BZ80" s="367"/>
      <c r="CA80" s="372"/>
      <c r="CB80" s="366"/>
      <c r="CC80" s="367"/>
      <c r="CD80" s="368"/>
      <c r="CE80" s="369"/>
      <c r="CF80" s="367"/>
      <c r="CG80" s="372"/>
      <c r="CH80" s="366"/>
      <c r="CI80" s="367"/>
      <c r="CJ80" s="368"/>
      <c r="CK80" s="369"/>
      <c r="CL80" s="367"/>
      <c r="CM80" s="372"/>
      <c r="CN80" s="366"/>
      <c r="CO80" s="367"/>
      <c r="CP80" s="368"/>
      <c r="CQ80" s="366"/>
      <c r="CR80" s="367"/>
      <c r="CS80" s="368"/>
      <c r="CT80" s="366"/>
      <c r="CU80" s="367"/>
      <c r="CV80" s="368"/>
      <c r="CW80" s="366"/>
      <c r="CX80" s="367"/>
      <c r="CY80" s="368"/>
      <c r="CZ80" s="366"/>
      <c r="DA80" s="367"/>
      <c r="DB80" s="368"/>
      <c r="DC80" s="380">
        <f>+B80+E80+H80+K80+N80+Q80+T80+W80+Z80+AC80+AF80+AI80+AL80+AO80+AR80+AU80+AX80+BA80+BD80+BG80+BJ80+BM80+BP80+BS80+BV80+BY80+CB80+CE80+CH80+CK80+CN80+CZ80+CQ80+CT80+CW80</f>
        <v>0</v>
      </c>
      <c r="DD80" s="381">
        <f>+C80+F80+I80+L80+O80+R80+U80+X80+AA80+AD80+AG80+AJ80+AM80+AP80+AS80+AV80+AY80+BB80+BE80+BH80+BK80+BN80+BQ80+BT80+BW80+BZ80+CC80+CF80+CI80+CL80+CO80+DA80+CR80+CU80+CX80</f>
        <v>0</v>
      </c>
      <c r="DE80" s="381">
        <f>+D80+G80+J80+M80+P80+S80+V80+Y80+AB80+AE80+AH80+AK80+AN80+AQ80+AT80+AW80+AZ80+BC80+BF80+BI80+BL80+BO80+BR80+BU80+BX80+CA80+CD80+CG80+CJ80+CP80+DB80+CM80+CS80+CV80+CY80</f>
        <v>0</v>
      </c>
      <c r="DF80" s="145">
        <f t="shared" si="10"/>
        <v>0</v>
      </c>
    </row>
    <row r="81" spans="1:110">
      <c r="A81" s="240">
        <v>2</v>
      </c>
      <c r="B81" s="241"/>
      <c r="C81" s="43"/>
      <c r="D81" s="57"/>
      <c r="E81" s="293"/>
      <c r="F81" s="294"/>
      <c r="G81" s="295"/>
      <c r="H81" s="302"/>
      <c r="I81" s="294"/>
      <c r="J81" s="301"/>
      <c r="K81" s="293"/>
      <c r="L81" s="294"/>
      <c r="M81" s="295"/>
      <c r="N81" s="302"/>
      <c r="O81" s="294"/>
      <c r="P81" s="301"/>
      <c r="Q81" s="293"/>
      <c r="R81" s="294"/>
      <c r="S81" s="295"/>
      <c r="T81" s="302"/>
      <c r="U81" s="294"/>
      <c r="V81" s="301"/>
      <c r="W81" s="293"/>
      <c r="X81" s="294"/>
      <c r="Y81" s="295"/>
      <c r="Z81" s="302"/>
      <c r="AA81" s="294"/>
      <c r="AB81" s="301"/>
      <c r="AC81" s="293"/>
      <c r="AD81" s="294"/>
      <c r="AE81" s="295"/>
      <c r="AF81" s="302"/>
      <c r="AG81" s="294"/>
      <c r="AH81" s="301"/>
      <c r="AI81" s="293"/>
      <c r="AJ81" s="294"/>
      <c r="AK81" s="295"/>
      <c r="AL81" s="302"/>
      <c r="AM81" s="294"/>
      <c r="AN81" s="301"/>
      <c r="AO81" s="293"/>
      <c r="AP81" s="294"/>
      <c r="AQ81" s="295"/>
      <c r="AR81" s="302"/>
      <c r="AS81" s="294"/>
      <c r="AT81" s="301"/>
      <c r="AU81" s="293"/>
      <c r="AV81" s="294"/>
      <c r="AW81" s="295"/>
      <c r="AX81" s="302"/>
      <c r="AY81" s="294"/>
      <c r="AZ81" s="301"/>
      <c r="BA81" s="293"/>
      <c r="BB81" s="294"/>
      <c r="BC81" s="295"/>
      <c r="BD81" s="302"/>
      <c r="BE81" s="294"/>
      <c r="BF81" s="301"/>
      <c r="BG81" s="293"/>
      <c r="BH81" s="294"/>
      <c r="BI81" s="295"/>
      <c r="BJ81" s="302"/>
      <c r="BK81" s="294"/>
      <c r="BL81" s="301"/>
      <c r="BM81" s="293"/>
      <c r="BN81" s="294"/>
      <c r="BO81" s="295"/>
      <c r="BP81" s="302"/>
      <c r="BQ81" s="294"/>
      <c r="BR81" s="301"/>
      <c r="BS81" s="293"/>
      <c r="BT81" s="294"/>
      <c r="BU81" s="295"/>
      <c r="BV81" s="302"/>
      <c r="BW81" s="294"/>
      <c r="BX81" s="301"/>
      <c r="BY81" s="293"/>
      <c r="BZ81" s="294"/>
      <c r="CA81" s="295"/>
      <c r="CB81" s="302"/>
      <c r="CC81" s="294"/>
      <c r="CD81" s="301"/>
      <c r="CE81" s="293"/>
      <c r="CF81" s="294"/>
      <c r="CG81" s="295"/>
      <c r="CH81" s="302"/>
      <c r="CI81" s="294"/>
      <c r="CJ81" s="301"/>
      <c r="CK81" s="293"/>
      <c r="CL81" s="294"/>
      <c r="CM81" s="295"/>
      <c r="CN81" s="302"/>
      <c r="CO81" s="294"/>
      <c r="CP81" s="301"/>
      <c r="CQ81" s="302"/>
      <c r="CR81" s="294"/>
      <c r="CS81" s="301"/>
      <c r="CT81" s="302"/>
      <c r="CU81" s="294"/>
      <c r="CV81" s="301"/>
      <c r="CW81" s="302"/>
      <c r="CX81" s="294"/>
      <c r="CY81" s="301"/>
      <c r="CZ81" s="302"/>
      <c r="DA81" s="294"/>
      <c r="DB81" s="301"/>
      <c r="DC81" s="380">
        <f t="shared" ref="DC81:DC110" si="101">+B81+E81+H81+K81+N81+Q81+T81+W81+Z81+AC81+AF81+AI81+AL81+AO81+AR81+AU81+AX81+BA81+BD81+BG81+BJ81+BM81+BP81+BS81+BV81+BY81+CB81+CE81+CH81+CK81+CN81+CZ81+CQ81+CT81+CW81</f>
        <v>0</v>
      </c>
      <c r="DD81" s="381">
        <f>+C81+F81+I81+L81+O81+R81+U81+X81+AA81+AD81+AG81+AJ81+AM81+AP81+AS81+AV81+AY81+BB81+BE81+BH81+BK81+BN81+BQ81+BT81+BW81+BZ81+CC81+CF81+CI81+CL81+CO81+DA81+CR81+CU81+CX81</f>
        <v>0</v>
      </c>
      <c r="DE81" s="381">
        <f t="shared" ref="DE81:DE110" si="102">+D81+G81+J81+M81+P81+S81+V81+Y81+AB81+AE81+AH81+AK81+AN81+AQ81+AT81+AW81+AZ81+BC81+BF81+BI81+BL81+BO81+BR81+BU81+BX81+CA81+CD81+CG81+CJ81+CP81+DB81+CM81+CS81+CV81+CY81</f>
        <v>0</v>
      </c>
      <c r="DF81" s="145">
        <f t="shared" si="10"/>
        <v>0</v>
      </c>
    </row>
    <row r="82" spans="1:110">
      <c r="A82" s="240">
        <v>3</v>
      </c>
      <c r="B82" s="241"/>
      <c r="C82" s="43"/>
      <c r="D82" s="57"/>
      <c r="E82" s="293"/>
      <c r="F82" s="294"/>
      <c r="G82" s="295"/>
      <c r="H82" s="302"/>
      <c r="I82" s="294"/>
      <c r="J82" s="301"/>
      <c r="K82" s="293"/>
      <c r="L82" s="294"/>
      <c r="M82" s="295"/>
      <c r="N82" s="302"/>
      <c r="O82" s="294"/>
      <c r="P82" s="301"/>
      <c r="Q82" s="293"/>
      <c r="R82" s="294"/>
      <c r="S82" s="295"/>
      <c r="T82" s="302"/>
      <c r="U82" s="294"/>
      <c r="V82" s="301"/>
      <c r="W82" s="293"/>
      <c r="X82" s="294"/>
      <c r="Y82" s="295"/>
      <c r="Z82" s="302"/>
      <c r="AA82" s="294"/>
      <c r="AB82" s="301"/>
      <c r="AC82" s="293"/>
      <c r="AD82" s="294"/>
      <c r="AE82" s="295"/>
      <c r="AF82" s="302"/>
      <c r="AG82" s="294"/>
      <c r="AH82" s="301"/>
      <c r="AI82" s="293"/>
      <c r="AJ82" s="294"/>
      <c r="AK82" s="295"/>
      <c r="AL82" s="302"/>
      <c r="AM82" s="294"/>
      <c r="AN82" s="301"/>
      <c r="AO82" s="293"/>
      <c r="AP82" s="294"/>
      <c r="AQ82" s="295"/>
      <c r="AR82" s="302"/>
      <c r="AS82" s="294"/>
      <c r="AT82" s="301"/>
      <c r="AU82" s="293"/>
      <c r="AV82" s="294"/>
      <c r="AW82" s="295"/>
      <c r="AX82" s="302"/>
      <c r="AY82" s="294"/>
      <c r="AZ82" s="301"/>
      <c r="BA82" s="293"/>
      <c r="BB82" s="294"/>
      <c r="BC82" s="295"/>
      <c r="BD82" s="302"/>
      <c r="BE82" s="294"/>
      <c r="BF82" s="301"/>
      <c r="BG82" s="293"/>
      <c r="BH82" s="294"/>
      <c r="BI82" s="295"/>
      <c r="BJ82" s="302"/>
      <c r="BK82" s="294"/>
      <c r="BL82" s="301"/>
      <c r="BM82" s="293"/>
      <c r="BN82" s="294"/>
      <c r="BO82" s="295"/>
      <c r="BP82" s="389"/>
      <c r="BQ82" s="390"/>
      <c r="BR82" s="301"/>
      <c r="BS82" s="293"/>
      <c r="BT82" s="294"/>
      <c r="BU82" s="295"/>
      <c r="BV82" s="302"/>
      <c r="BW82" s="294"/>
      <c r="BX82" s="301"/>
      <c r="BY82" s="293"/>
      <c r="BZ82" s="294"/>
      <c r="CA82" s="295"/>
      <c r="CB82" s="302"/>
      <c r="CC82" s="294"/>
      <c r="CD82" s="301"/>
      <c r="CE82" s="293"/>
      <c r="CF82" s="294"/>
      <c r="CG82" s="295"/>
      <c r="CH82" s="302"/>
      <c r="CI82" s="294"/>
      <c r="CJ82" s="301"/>
      <c r="CK82" s="293"/>
      <c r="CL82" s="294"/>
      <c r="CM82" s="295"/>
      <c r="CN82" s="302"/>
      <c r="CO82" s="294"/>
      <c r="CP82" s="301"/>
      <c r="CQ82" s="302"/>
      <c r="CR82" s="294"/>
      <c r="CS82" s="301"/>
      <c r="CT82" s="302"/>
      <c r="CU82" s="294"/>
      <c r="CV82" s="301"/>
      <c r="CW82" s="302"/>
      <c r="CX82" s="294"/>
      <c r="CY82" s="301"/>
      <c r="CZ82" s="302"/>
      <c r="DA82" s="294"/>
      <c r="DB82" s="301"/>
      <c r="DC82" s="380">
        <f t="shared" si="101"/>
        <v>0</v>
      </c>
      <c r="DD82" s="381">
        <f t="shared" ref="DD82:DD110" si="103">+C82+F82+I82+L82+O82+R82+U82+X82+AA82+AD82+AG82+AJ82+AM82+AP82+AS82+AV82+AY82+BB82+BE82+BH82+BK82+BN82+BQ82+BT82+BW82+BZ82+CC82+CF82+CI82+CL82+CO82+DA82+CR82+CU82+CX82</f>
        <v>0</v>
      </c>
      <c r="DE82" s="381">
        <f t="shared" si="102"/>
        <v>0</v>
      </c>
      <c r="DF82" s="145">
        <f t="shared" si="10"/>
        <v>0</v>
      </c>
    </row>
    <row r="83" spans="1:110">
      <c r="A83" s="365">
        <v>4</v>
      </c>
      <c r="B83" s="241"/>
      <c r="C83" s="43"/>
      <c r="D83" s="57"/>
      <c r="E83" s="293"/>
      <c r="F83" s="294"/>
      <c r="G83" s="295"/>
      <c r="H83" s="302"/>
      <c r="I83" s="294"/>
      <c r="J83" s="301"/>
      <c r="K83" s="293"/>
      <c r="L83" s="294"/>
      <c r="M83" s="295"/>
      <c r="N83" s="302"/>
      <c r="O83" s="294"/>
      <c r="P83" s="301"/>
      <c r="Q83" s="293"/>
      <c r="R83" s="294"/>
      <c r="S83" s="295"/>
      <c r="T83" s="302"/>
      <c r="U83" s="294"/>
      <c r="V83" s="301"/>
      <c r="W83" s="293"/>
      <c r="X83" s="294"/>
      <c r="Y83" s="295"/>
      <c r="Z83" s="302"/>
      <c r="AA83" s="294"/>
      <c r="AB83" s="301"/>
      <c r="AC83" s="293"/>
      <c r="AD83" s="294"/>
      <c r="AE83" s="295"/>
      <c r="AF83" s="302"/>
      <c r="AG83" s="294"/>
      <c r="AH83" s="301"/>
      <c r="AI83" s="293"/>
      <c r="AJ83" s="294"/>
      <c r="AK83" s="295"/>
      <c r="AL83" s="302"/>
      <c r="AM83" s="294"/>
      <c r="AN83" s="301"/>
      <c r="AO83" s="293"/>
      <c r="AP83" s="294"/>
      <c r="AQ83" s="295"/>
      <c r="AR83" s="302"/>
      <c r="AS83" s="294"/>
      <c r="AT83" s="301"/>
      <c r="AU83" s="293"/>
      <c r="AV83" s="294"/>
      <c r="AW83" s="295"/>
      <c r="AX83" s="302"/>
      <c r="AY83" s="294"/>
      <c r="AZ83" s="301"/>
      <c r="BA83" s="293"/>
      <c r="BB83" s="294"/>
      <c r="BC83" s="295"/>
      <c r="BD83" s="302"/>
      <c r="BE83" s="294"/>
      <c r="BF83" s="301"/>
      <c r="BG83" s="293"/>
      <c r="BH83" s="294"/>
      <c r="BI83" s="295"/>
      <c r="BJ83" s="302"/>
      <c r="BK83" s="294"/>
      <c r="BL83" s="301"/>
      <c r="BM83" s="293"/>
      <c r="BN83" s="294"/>
      <c r="BO83" s="295"/>
      <c r="BP83" s="302"/>
      <c r="BQ83" s="294"/>
      <c r="BR83" s="301"/>
      <c r="BS83" s="293"/>
      <c r="BT83" s="294"/>
      <c r="BU83" s="295"/>
      <c r="BV83" s="302"/>
      <c r="BW83" s="294"/>
      <c r="BX83" s="301"/>
      <c r="BY83" s="293"/>
      <c r="BZ83" s="294"/>
      <c r="CA83" s="295"/>
      <c r="CB83" s="302"/>
      <c r="CC83" s="294"/>
      <c r="CD83" s="301"/>
      <c r="CE83" s="293"/>
      <c r="CF83" s="294"/>
      <c r="CG83" s="295"/>
      <c r="CH83" s="302"/>
      <c r="CI83" s="294"/>
      <c r="CJ83" s="301"/>
      <c r="CK83" s="293"/>
      <c r="CL83" s="294"/>
      <c r="CM83" s="295"/>
      <c r="CN83" s="302"/>
      <c r="CO83" s="294"/>
      <c r="CP83" s="301"/>
      <c r="CQ83" s="302"/>
      <c r="CR83" s="294"/>
      <c r="CS83" s="301"/>
      <c r="CT83" s="302"/>
      <c r="CU83" s="294"/>
      <c r="CV83" s="301"/>
      <c r="CW83" s="302"/>
      <c r="CX83" s="294"/>
      <c r="CY83" s="301"/>
      <c r="CZ83" s="302"/>
      <c r="DA83" s="294"/>
      <c r="DB83" s="301"/>
      <c r="DC83" s="380">
        <f t="shared" si="101"/>
        <v>0</v>
      </c>
      <c r="DD83" s="381">
        <f t="shared" si="103"/>
        <v>0</v>
      </c>
      <c r="DE83" s="381">
        <f t="shared" si="102"/>
        <v>0</v>
      </c>
      <c r="DF83" s="145">
        <f t="shared" si="10"/>
        <v>0</v>
      </c>
    </row>
    <row r="84" spans="1:110">
      <c r="A84" s="240">
        <v>5</v>
      </c>
      <c r="B84" s="241"/>
      <c r="C84" s="43"/>
      <c r="D84" s="57"/>
      <c r="E84" s="293"/>
      <c r="F84" s="294"/>
      <c r="G84" s="295"/>
      <c r="H84" s="302"/>
      <c r="I84" s="294"/>
      <c r="J84" s="301"/>
      <c r="K84" s="293"/>
      <c r="L84" s="294"/>
      <c r="M84" s="295"/>
      <c r="N84" s="302"/>
      <c r="O84" s="294"/>
      <c r="P84" s="301"/>
      <c r="Q84" s="293"/>
      <c r="R84" s="294"/>
      <c r="S84" s="295"/>
      <c r="T84" s="302"/>
      <c r="U84" s="294"/>
      <c r="V84" s="301"/>
      <c r="W84" s="293"/>
      <c r="X84" s="294"/>
      <c r="Y84" s="295"/>
      <c r="Z84" s="302"/>
      <c r="AA84" s="294"/>
      <c r="AB84" s="301"/>
      <c r="AC84" s="293"/>
      <c r="AD84" s="294"/>
      <c r="AE84" s="295"/>
      <c r="AF84" s="302"/>
      <c r="AG84" s="294"/>
      <c r="AH84" s="301"/>
      <c r="AI84" s="293"/>
      <c r="AJ84" s="294"/>
      <c r="AK84" s="295"/>
      <c r="AL84" s="302"/>
      <c r="AM84" s="294"/>
      <c r="AN84" s="301"/>
      <c r="AO84" s="293"/>
      <c r="AP84" s="294"/>
      <c r="AQ84" s="295"/>
      <c r="AR84" s="302"/>
      <c r="AS84" s="294"/>
      <c r="AT84" s="301"/>
      <c r="AU84" s="293"/>
      <c r="AV84" s="294"/>
      <c r="AW84" s="295"/>
      <c r="AX84" s="302"/>
      <c r="AY84" s="294"/>
      <c r="AZ84" s="301"/>
      <c r="BA84" s="293"/>
      <c r="BB84" s="294"/>
      <c r="BC84" s="295"/>
      <c r="BD84" s="302"/>
      <c r="BE84" s="294"/>
      <c r="BF84" s="301"/>
      <c r="BG84" s="293"/>
      <c r="BH84" s="294"/>
      <c r="BI84" s="295"/>
      <c r="BJ84" s="302"/>
      <c r="BK84" s="294"/>
      <c r="BL84" s="301"/>
      <c r="BM84" s="293"/>
      <c r="BN84" s="294"/>
      <c r="BO84" s="295"/>
      <c r="BP84" s="302"/>
      <c r="BQ84" s="294"/>
      <c r="BR84" s="301"/>
      <c r="BS84" s="293"/>
      <c r="BT84" s="294"/>
      <c r="BU84" s="295"/>
      <c r="BV84" s="302"/>
      <c r="BW84" s="294"/>
      <c r="BX84" s="301"/>
      <c r="BY84" s="293"/>
      <c r="BZ84" s="294"/>
      <c r="CA84" s="295"/>
      <c r="CB84" s="302"/>
      <c r="CC84" s="294"/>
      <c r="CD84" s="301"/>
      <c r="CE84" s="293"/>
      <c r="CF84" s="294"/>
      <c r="CG84" s="295"/>
      <c r="CH84" s="302"/>
      <c r="CI84" s="294"/>
      <c r="CJ84" s="301"/>
      <c r="CK84" s="293"/>
      <c r="CL84" s="294"/>
      <c r="CM84" s="295"/>
      <c r="CN84" s="302"/>
      <c r="CO84" s="294"/>
      <c r="CP84" s="301"/>
      <c r="CQ84" s="302"/>
      <c r="CR84" s="294"/>
      <c r="CS84" s="301"/>
      <c r="CT84" s="302"/>
      <c r="CU84" s="294"/>
      <c r="CV84" s="301"/>
      <c r="CW84" s="302"/>
      <c r="CX84" s="294"/>
      <c r="CY84" s="301"/>
      <c r="CZ84" s="302"/>
      <c r="DA84" s="294"/>
      <c r="DB84" s="301"/>
      <c r="DC84" s="380">
        <f t="shared" si="101"/>
        <v>0</v>
      </c>
      <c r="DD84" s="381">
        <f t="shared" si="103"/>
        <v>0</v>
      </c>
      <c r="DE84" s="381">
        <f t="shared" si="102"/>
        <v>0</v>
      </c>
      <c r="DF84" s="145">
        <f t="shared" si="10"/>
        <v>0</v>
      </c>
    </row>
    <row r="85" spans="1:110">
      <c r="A85" s="240">
        <v>6</v>
      </c>
      <c r="B85" s="241"/>
      <c r="C85" s="43"/>
      <c r="D85" s="57"/>
      <c r="E85" s="293"/>
      <c r="F85" s="294"/>
      <c r="G85" s="295"/>
      <c r="H85" s="302"/>
      <c r="I85" s="294"/>
      <c r="J85" s="301"/>
      <c r="K85" s="293"/>
      <c r="L85" s="294"/>
      <c r="M85" s="295"/>
      <c r="N85" s="302"/>
      <c r="O85" s="294"/>
      <c r="P85" s="301"/>
      <c r="Q85" s="293"/>
      <c r="R85" s="294"/>
      <c r="S85" s="295"/>
      <c r="T85" s="302"/>
      <c r="U85" s="294"/>
      <c r="V85" s="301"/>
      <c r="W85" s="293"/>
      <c r="X85" s="294"/>
      <c r="Y85" s="295"/>
      <c r="Z85" s="302"/>
      <c r="AA85" s="294"/>
      <c r="AB85" s="301"/>
      <c r="AC85" s="293"/>
      <c r="AD85" s="294"/>
      <c r="AE85" s="295"/>
      <c r="AF85" s="302"/>
      <c r="AG85" s="294"/>
      <c r="AH85" s="301"/>
      <c r="AI85" s="293"/>
      <c r="AJ85" s="294"/>
      <c r="AK85" s="295"/>
      <c r="AL85" s="302"/>
      <c r="AM85" s="294"/>
      <c r="AN85" s="301"/>
      <c r="AO85" s="293"/>
      <c r="AP85" s="294"/>
      <c r="AQ85" s="295"/>
      <c r="AR85" s="302"/>
      <c r="AS85" s="294"/>
      <c r="AT85" s="301"/>
      <c r="AU85" s="293"/>
      <c r="AV85" s="294"/>
      <c r="AW85" s="295"/>
      <c r="AX85" s="302"/>
      <c r="AY85" s="294"/>
      <c r="AZ85" s="301"/>
      <c r="BA85" s="293"/>
      <c r="BB85" s="294"/>
      <c r="BC85" s="295"/>
      <c r="BD85" s="302"/>
      <c r="BE85" s="294"/>
      <c r="BF85" s="301"/>
      <c r="BG85" s="293"/>
      <c r="BH85" s="294"/>
      <c r="BI85" s="295"/>
      <c r="BJ85" s="302"/>
      <c r="BK85" s="294"/>
      <c r="BL85" s="301"/>
      <c r="BM85" s="293"/>
      <c r="BN85" s="294"/>
      <c r="BO85" s="295"/>
      <c r="BP85" s="302"/>
      <c r="BQ85" s="294"/>
      <c r="BR85" s="301"/>
      <c r="BS85" s="293"/>
      <c r="BT85" s="294"/>
      <c r="BU85" s="295"/>
      <c r="BV85" s="302"/>
      <c r="BW85" s="294"/>
      <c r="BX85" s="301"/>
      <c r="BY85" s="293"/>
      <c r="BZ85" s="294"/>
      <c r="CA85" s="295"/>
      <c r="CB85" s="302"/>
      <c r="CC85" s="294"/>
      <c r="CD85" s="301"/>
      <c r="CE85" s="293"/>
      <c r="CF85" s="294"/>
      <c r="CG85" s="295"/>
      <c r="CH85" s="302"/>
      <c r="CI85" s="294"/>
      <c r="CJ85" s="301"/>
      <c r="CK85" s="293"/>
      <c r="CL85" s="294"/>
      <c r="CM85" s="295"/>
      <c r="CN85" s="302"/>
      <c r="CO85" s="294"/>
      <c r="CP85" s="301"/>
      <c r="CQ85" s="302"/>
      <c r="CR85" s="294"/>
      <c r="CS85" s="301"/>
      <c r="CT85" s="302"/>
      <c r="CU85" s="294"/>
      <c r="CV85" s="301"/>
      <c r="CW85" s="302"/>
      <c r="CX85" s="294"/>
      <c r="CY85" s="301"/>
      <c r="CZ85" s="302"/>
      <c r="DA85" s="294"/>
      <c r="DB85" s="301"/>
      <c r="DC85" s="380">
        <f t="shared" si="101"/>
        <v>0</v>
      </c>
      <c r="DD85" s="381">
        <f t="shared" si="103"/>
        <v>0</v>
      </c>
      <c r="DE85" s="381">
        <f t="shared" si="102"/>
        <v>0</v>
      </c>
      <c r="DF85" s="145">
        <f t="shared" si="10"/>
        <v>0</v>
      </c>
    </row>
    <row r="86" spans="1:110">
      <c r="A86" s="365">
        <v>7</v>
      </c>
      <c r="B86" s="241"/>
      <c r="C86" s="43"/>
      <c r="D86" s="57"/>
      <c r="E86" s="293"/>
      <c r="F86" s="294"/>
      <c r="G86" s="295"/>
      <c r="H86" s="302"/>
      <c r="I86" s="294"/>
      <c r="J86" s="301"/>
      <c r="K86" s="293"/>
      <c r="L86" s="294"/>
      <c r="M86" s="295"/>
      <c r="N86" s="302"/>
      <c r="O86" s="294"/>
      <c r="P86" s="301"/>
      <c r="Q86" s="293"/>
      <c r="R86" s="294"/>
      <c r="S86" s="295"/>
      <c r="T86" s="302"/>
      <c r="U86" s="294"/>
      <c r="V86" s="301"/>
      <c r="W86" s="293"/>
      <c r="X86" s="294"/>
      <c r="Y86" s="295"/>
      <c r="Z86" s="302"/>
      <c r="AA86" s="294"/>
      <c r="AB86" s="301"/>
      <c r="AC86" s="293"/>
      <c r="AD86" s="294"/>
      <c r="AE86" s="295"/>
      <c r="AF86" s="302"/>
      <c r="AG86" s="294"/>
      <c r="AH86" s="301"/>
      <c r="AI86" s="293"/>
      <c r="AJ86" s="294"/>
      <c r="AK86" s="295"/>
      <c r="AL86" s="302"/>
      <c r="AM86" s="294"/>
      <c r="AN86" s="301"/>
      <c r="AO86" s="293"/>
      <c r="AP86" s="294"/>
      <c r="AQ86" s="295"/>
      <c r="AR86" s="302"/>
      <c r="AS86" s="294"/>
      <c r="AT86" s="301"/>
      <c r="AU86" s="293"/>
      <c r="AV86" s="294"/>
      <c r="AW86" s="295"/>
      <c r="AX86" s="302"/>
      <c r="AY86" s="294"/>
      <c r="AZ86" s="301"/>
      <c r="BA86" s="293"/>
      <c r="BB86" s="294"/>
      <c r="BC86" s="295"/>
      <c r="BD86" s="302"/>
      <c r="BE86" s="294"/>
      <c r="BF86" s="301"/>
      <c r="BG86" s="293"/>
      <c r="BH86" s="294"/>
      <c r="BI86" s="295"/>
      <c r="BJ86" s="302"/>
      <c r="BK86" s="294"/>
      <c r="BL86" s="301"/>
      <c r="BM86" s="293"/>
      <c r="BN86" s="294"/>
      <c r="BO86" s="295"/>
      <c r="BP86" s="302"/>
      <c r="BQ86" s="294"/>
      <c r="BR86" s="301"/>
      <c r="BS86" s="293"/>
      <c r="BT86" s="294"/>
      <c r="BU86" s="295"/>
      <c r="BV86" s="302"/>
      <c r="BW86" s="294"/>
      <c r="BX86" s="301"/>
      <c r="BY86" s="293"/>
      <c r="BZ86" s="294"/>
      <c r="CA86" s="295"/>
      <c r="CB86" s="302"/>
      <c r="CC86" s="294"/>
      <c r="CD86" s="301"/>
      <c r="CE86" s="293"/>
      <c r="CF86" s="294"/>
      <c r="CG86" s="295"/>
      <c r="CH86" s="302"/>
      <c r="CI86" s="294"/>
      <c r="CJ86" s="301"/>
      <c r="CK86" s="293"/>
      <c r="CL86" s="294"/>
      <c r="CM86" s="295"/>
      <c r="CN86" s="302"/>
      <c r="CO86" s="294"/>
      <c r="CP86" s="301"/>
      <c r="CQ86" s="302"/>
      <c r="CR86" s="294"/>
      <c r="CS86" s="301"/>
      <c r="CT86" s="302"/>
      <c r="CU86" s="294"/>
      <c r="CV86" s="301"/>
      <c r="CW86" s="302"/>
      <c r="CX86" s="294"/>
      <c r="CY86" s="301"/>
      <c r="CZ86" s="302"/>
      <c r="DA86" s="294"/>
      <c r="DB86" s="301"/>
      <c r="DC86" s="380">
        <f t="shared" si="101"/>
        <v>0</v>
      </c>
      <c r="DD86" s="381">
        <f t="shared" si="103"/>
        <v>0</v>
      </c>
      <c r="DE86" s="381">
        <f t="shared" si="102"/>
        <v>0</v>
      </c>
      <c r="DF86" s="145">
        <f t="shared" si="10"/>
        <v>0</v>
      </c>
    </row>
    <row r="87" spans="1:110">
      <c r="A87" s="240">
        <v>8</v>
      </c>
      <c r="B87" s="241"/>
      <c r="C87" s="43"/>
      <c r="D87" s="57"/>
      <c r="E87" s="293"/>
      <c r="F87" s="294"/>
      <c r="G87" s="295"/>
      <c r="H87" s="241"/>
      <c r="I87" s="43"/>
      <c r="J87" s="301"/>
      <c r="K87" s="293"/>
      <c r="L87" s="294"/>
      <c r="M87" s="295"/>
      <c r="N87" s="302"/>
      <c r="O87" s="294"/>
      <c r="P87" s="301"/>
      <c r="Q87" s="293"/>
      <c r="R87" s="294"/>
      <c r="S87" s="295"/>
      <c r="T87" s="302"/>
      <c r="U87" s="294"/>
      <c r="V87" s="301"/>
      <c r="W87" s="293"/>
      <c r="X87" s="294"/>
      <c r="Y87" s="295"/>
      <c r="Z87" s="302"/>
      <c r="AA87" s="294"/>
      <c r="AB87" s="301"/>
      <c r="AC87" s="293"/>
      <c r="AD87" s="294"/>
      <c r="AE87" s="295"/>
      <c r="AF87" s="302"/>
      <c r="AG87" s="294"/>
      <c r="AH87" s="301"/>
      <c r="AI87" s="293"/>
      <c r="AJ87" s="294"/>
      <c r="AK87" s="295"/>
      <c r="AL87" s="302"/>
      <c r="AM87" s="294"/>
      <c r="AN87" s="301"/>
      <c r="AO87" s="293"/>
      <c r="AP87" s="294"/>
      <c r="AQ87" s="295"/>
      <c r="AR87" s="302"/>
      <c r="AS87" s="294"/>
      <c r="AT87" s="301"/>
      <c r="AU87" s="293"/>
      <c r="AV87" s="294"/>
      <c r="AW87" s="295"/>
      <c r="AX87" s="302"/>
      <c r="AY87" s="294"/>
      <c r="AZ87" s="301"/>
      <c r="BA87" s="293"/>
      <c r="BB87" s="294"/>
      <c r="BC87" s="295"/>
      <c r="BD87" s="302"/>
      <c r="BE87" s="294"/>
      <c r="BF87" s="301"/>
      <c r="BG87" s="293"/>
      <c r="BH87" s="294"/>
      <c r="BI87" s="295"/>
      <c r="BJ87" s="302"/>
      <c r="BK87" s="294"/>
      <c r="BL87" s="301"/>
      <c r="BM87" s="293"/>
      <c r="BN87" s="294"/>
      <c r="BO87" s="295"/>
      <c r="BP87" s="302"/>
      <c r="BQ87" s="294"/>
      <c r="BR87" s="301"/>
      <c r="BS87" s="293"/>
      <c r="BT87" s="294"/>
      <c r="BU87" s="295"/>
      <c r="BV87" s="302"/>
      <c r="BW87" s="294"/>
      <c r="BX87" s="301"/>
      <c r="BY87" s="293"/>
      <c r="BZ87" s="294"/>
      <c r="CA87" s="295"/>
      <c r="CB87" s="302"/>
      <c r="CC87" s="294"/>
      <c r="CD87" s="301"/>
      <c r="CE87" s="293"/>
      <c r="CF87" s="294"/>
      <c r="CG87" s="295"/>
      <c r="CH87" s="302"/>
      <c r="CI87" s="294"/>
      <c r="CJ87" s="301"/>
      <c r="CK87" s="293"/>
      <c r="CL87" s="294"/>
      <c r="CM87" s="295"/>
      <c r="CN87" s="302"/>
      <c r="CO87" s="294"/>
      <c r="CP87" s="301"/>
      <c r="CQ87" s="302"/>
      <c r="CR87" s="294"/>
      <c r="CS87" s="301"/>
      <c r="CT87" s="302"/>
      <c r="CU87" s="294"/>
      <c r="CV87" s="301"/>
      <c r="CW87" s="302"/>
      <c r="CX87" s="294"/>
      <c r="CY87" s="301"/>
      <c r="CZ87" s="302"/>
      <c r="DA87" s="294"/>
      <c r="DB87" s="301"/>
      <c r="DC87" s="380">
        <f t="shared" si="101"/>
        <v>0</v>
      </c>
      <c r="DD87" s="381">
        <f t="shared" si="103"/>
        <v>0</v>
      </c>
      <c r="DE87" s="381">
        <f t="shared" si="102"/>
        <v>0</v>
      </c>
      <c r="DF87" s="145">
        <f t="shared" si="10"/>
        <v>0</v>
      </c>
    </row>
    <row r="88" spans="1:110">
      <c r="A88" s="240">
        <v>9</v>
      </c>
      <c r="B88" s="241"/>
      <c r="C88" s="43"/>
      <c r="D88" s="57"/>
      <c r="E88" s="293"/>
      <c r="F88" s="294"/>
      <c r="G88" s="295"/>
      <c r="H88" s="302"/>
      <c r="I88" s="294"/>
      <c r="J88" s="301"/>
      <c r="K88" s="293"/>
      <c r="L88" s="294"/>
      <c r="M88" s="295"/>
      <c r="N88" s="302"/>
      <c r="O88" s="294"/>
      <c r="P88" s="301"/>
      <c r="Q88" s="293"/>
      <c r="R88" s="294"/>
      <c r="S88" s="295"/>
      <c r="T88" s="302"/>
      <c r="U88" s="294"/>
      <c r="V88" s="301"/>
      <c r="W88" s="293"/>
      <c r="X88" s="294"/>
      <c r="Y88" s="295"/>
      <c r="Z88" s="302"/>
      <c r="AA88" s="294"/>
      <c r="AB88" s="301"/>
      <c r="AC88" s="293"/>
      <c r="AD88" s="294"/>
      <c r="AE88" s="295"/>
      <c r="AF88" s="302"/>
      <c r="AG88" s="294"/>
      <c r="AH88" s="301"/>
      <c r="AI88" s="293"/>
      <c r="AJ88" s="294"/>
      <c r="AK88" s="295"/>
      <c r="AL88" s="302"/>
      <c r="AM88" s="294"/>
      <c r="AN88" s="301"/>
      <c r="AO88" s="293"/>
      <c r="AP88" s="294"/>
      <c r="AQ88" s="295"/>
      <c r="AR88" s="302"/>
      <c r="AS88" s="294"/>
      <c r="AT88" s="301"/>
      <c r="AU88" s="293"/>
      <c r="AV88" s="294"/>
      <c r="AW88" s="295"/>
      <c r="AX88" s="302"/>
      <c r="AY88" s="294"/>
      <c r="AZ88" s="301"/>
      <c r="BA88" s="293"/>
      <c r="BB88" s="294"/>
      <c r="BC88" s="295"/>
      <c r="BD88" s="302"/>
      <c r="BE88" s="294"/>
      <c r="BF88" s="301"/>
      <c r="BG88" s="293"/>
      <c r="BH88" s="294"/>
      <c r="BI88" s="295"/>
      <c r="BJ88" s="302"/>
      <c r="BK88" s="294"/>
      <c r="BL88" s="301"/>
      <c r="BM88" s="293"/>
      <c r="BN88" s="294"/>
      <c r="BO88" s="295"/>
      <c r="BP88" s="302"/>
      <c r="BQ88" s="294"/>
      <c r="BR88" s="301"/>
      <c r="BS88" s="293"/>
      <c r="BT88" s="294"/>
      <c r="BU88" s="295"/>
      <c r="BV88" s="302"/>
      <c r="BW88" s="294"/>
      <c r="BX88" s="301"/>
      <c r="BY88" s="293"/>
      <c r="BZ88" s="294"/>
      <c r="CA88" s="295"/>
      <c r="CB88" s="302"/>
      <c r="CC88" s="294"/>
      <c r="CD88" s="301"/>
      <c r="CE88" s="293"/>
      <c r="CF88" s="294"/>
      <c r="CG88" s="295"/>
      <c r="CH88" s="302"/>
      <c r="CI88" s="294"/>
      <c r="CJ88" s="301"/>
      <c r="CK88" s="293"/>
      <c r="CL88" s="294"/>
      <c r="CM88" s="295"/>
      <c r="CN88" s="302"/>
      <c r="CO88" s="294"/>
      <c r="CP88" s="301"/>
      <c r="CQ88" s="302"/>
      <c r="CR88" s="294"/>
      <c r="CS88" s="301"/>
      <c r="CT88" s="302"/>
      <c r="CU88" s="294"/>
      <c r="CV88" s="301"/>
      <c r="CW88" s="302"/>
      <c r="CX88" s="294"/>
      <c r="CY88" s="301"/>
      <c r="CZ88" s="302"/>
      <c r="DA88" s="294"/>
      <c r="DB88" s="301"/>
      <c r="DC88" s="380">
        <f t="shared" si="101"/>
        <v>0</v>
      </c>
      <c r="DD88" s="381">
        <f t="shared" si="103"/>
        <v>0</v>
      </c>
      <c r="DE88" s="381">
        <f t="shared" si="102"/>
        <v>0</v>
      </c>
      <c r="DF88" s="145">
        <f t="shared" si="10"/>
        <v>0</v>
      </c>
    </row>
    <row r="89" spans="1:110">
      <c r="A89" s="365">
        <v>10</v>
      </c>
      <c r="B89" s="241"/>
      <c r="C89" s="43"/>
      <c r="D89" s="57"/>
      <c r="E89" s="293"/>
      <c r="F89" s="294"/>
      <c r="G89" s="295"/>
      <c r="H89" s="302"/>
      <c r="I89" s="294"/>
      <c r="J89" s="301"/>
      <c r="K89" s="293"/>
      <c r="L89" s="294"/>
      <c r="M89" s="295"/>
      <c r="N89" s="302"/>
      <c r="O89" s="294"/>
      <c r="P89" s="301"/>
      <c r="Q89" s="293"/>
      <c r="R89" s="294"/>
      <c r="S89" s="295"/>
      <c r="T89" s="302"/>
      <c r="U89" s="294"/>
      <c r="V89" s="301"/>
      <c r="W89" s="293"/>
      <c r="X89" s="294"/>
      <c r="Y89" s="295"/>
      <c r="Z89" s="302"/>
      <c r="AA89" s="294"/>
      <c r="AB89" s="301"/>
      <c r="AC89" s="293"/>
      <c r="AD89" s="294"/>
      <c r="AE89" s="295"/>
      <c r="AF89" s="302"/>
      <c r="AG89" s="294"/>
      <c r="AH89" s="301"/>
      <c r="AI89" s="293"/>
      <c r="AJ89" s="294"/>
      <c r="AK89" s="295"/>
      <c r="AL89" s="302"/>
      <c r="AM89" s="294"/>
      <c r="AN89" s="301"/>
      <c r="AO89" s="293"/>
      <c r="AP89" s="294"/>
      <c r="AQ89" s="295"/>
      <c r="AR89" s="302"/>
      <c r="AS89" s="294"/>
      <c r="AT89" s="301"/>
      <c r="AU89" s="293"/>
      <c r="AV89" s="294"/>
      <c r="AW89" s="295"/>
      <c r="AX89" s="302"/>
      <c r="AY89" s="294"/>
      <c r="AZ89" s="301"/>
      <c r="BA89" s="293"/>
      <c r="BB89" s="294"/>
      <c r="BC89" s="295"/>
      <c r="BD89" s="302"/>
      <c r="BE89" s="294"/>
      <c r="BF89" s="301"/>
      <c r="BG89" s="293"/>
      <c r="BH89" s="294"/>
      <c r="BI89" s="295"/>
      <c r="BJ89" s="302"/>
      <c r="BK89" s="294"/>
      <c r="BL89" s="301"/>
      <c r="BM89" s="293"/>
      <c r="BN89" s="294"/>
      <c r="BO89" s="295"/>
      <c r="BP89" s="302"/>
      <c r="BQ89" s="294"/>
      <c r="BR89" s="301"/>
      <c r="BS89" s="293"/>
      <c r="BT89" s="294"/>
      <c r="BU89" s="295"/>
      <c r="BV89" s="302"/>
      <c r="BW89" s="294"/>
      <c r="BX89" s="301"/>
      <c r="BY89" s="293"/>
      <c r="BZ89" s="294"/>
      <c r="CA89" s="295"/>
      <c r="CB89" s="302"/>
      <c r="CC89" s="294"/>
      <c r="CD89" s="301"/>
      <c r="CE89" s="293"/>
      <c r="CF89" s="294"/>
      <c r="CG89" s="295"/>
      <c r="CH89" s="302"/>
      <c r="CI89" s="294"/>
      <c r="CJ89" s="301"/>
      <c r="CK89" s="293"/>
      <c r="CL89" s="294"/>
      <c r="CM89" s="295"/>
      <c r="CN89" s="302"/>
      <c r="CO89" s="294"/>
      <c r="CP89" s="301"/>
      <c r="CQ89" s="302"/>
      <c r="CR89" s="294"/>
      <c r="CS89" s="301"/>
      <c r="CT89" s="302"/>
      <c r="CU89" s="294"/>
      <c r="CV89" s="301"/>
      <c r="CW89" s="302"/>
      <c r="CX89" s="294"/>
      <c r="CY89" s="301"/>
      <c r="CZ89" s="302"/>
      <c r="DA89" s="294"/>
      <c r="DB89" s="301"/>
      <c r="DC89" s="380">
        <f t="shared" si="101"/>
        <v>0</v>
      </c>
      <c r="DD89" s="381">
        <f t="shared" si="103"/>
        <v>0</v>
      </c>
      <c r="DE89" s="381">
        <f t="shared" si="102"/>
        <v>0</v>
      </c>
      <c r="DF89" s="145">
        <f t="shared" si="10"/>
        <v>0</v>
      </c>
    </row>
    <row r="90" spans="1:110">
      <c r="A90" s="240">
        <v>11</v>
      </c>
      <c r="B90" s="241"/>
      <c r="C90" s="43"/>
      <c r="D90" s="57"/>
      <c r="E90" s="293"/>
      <c r="F90" s="294"/>
      <c r="G90" s="295"/>
      <c r="H90" s="302"/>
      <c r="I90" s="294"/>
      <c r="J90" s="301"/>
      <c r="K90" s="293"/>
      <c r="L90" s="294"/>
      <c r="M90" s="295"/>
      <c r="N90" s="302"/>
      <c r="O90" s="294"/>
      <c r="P90" s="301"/>
      <c r="Q90" s="293"/>
      <c r="R90" s="294"/>
      <c r="S90" s="295"/>
      <c r="T90" s="302"/>
      <c r="U90" s="294"/>
      <c r="V90" s="301"/>
      <c r="W90" s="293"/>
      <c r="X90" s="294"/>
      <c r="Y90" s="295"/>
      <c r="Z90" s="302"/>
      <c r="AA90" s="294"/>
      <c r="AB90" s="301"/>
      <c r="AC90" s="293"/>
      <c r="AD90" s="294"/>
      <c r="AE90" s="295"/>
      <c r="AF90" s="302"/>
      <c r="AG90" s="294"/>
      <c r="AH90" s="301"/>
      <c r="AI90" s="293"/>
      <c r="AJ90" s="294"/>
      <c r="AK90" s="295"/>
      <c r="AL90" s="302"/>
      <c r="AM90" s="294"/>
      <c r="AN90" s="301"/>
      <c r="AO90" s="293"/>
      <c r="AP90" s="294"/>
      <c r="AQ90" s="295"/>
      <c r="AR90" s="302"/>
      <c r="AS90" s="294"/>
      <c r="AT90" s="301"/>
      <c r="AU90" s="293"/>
      <c r="AV90" s="294"/>
      <c r="AW90" s="295"/>
      <c r="AX90" s="302"/>
      <c r="AY90" s="294"/>
      <c r="AZ90" s="301"/>
      <c r="BA90" s="293"/>
      <c r="BB90" s="294"/>
      <c r="BC90" s="295"/>
      <c r="BD90" s="302"/>
      <c r="BE90" s="294"/>
      <c r="BF90" s="301"/>
      <c r="BG90" s="293"/>
      <c r="BH90" s="294"/>
      <c r="BI90" s="295"/>
      <c r="BJ90" s="302"/>
      <c r="BK90" s="294"/>
      <c r="BL90" s="301"/>
      <c r="BM90" s="293"/>
      <c r="BN90" s="294"/>
      <c r="BO90" s="295"/>
      <c r="BP90" s="302"/>
      <c r="BQ90" s="294"/>
      <c r="BR90" s="301"/>
      <c r="BS90" s="293"/>
      <c r="BT90" s="294"/>
      <c r="BU90" s="295"/>
      <c r="BV90" s="302"/>
      <c r="BW90" s="294"/>
      <c r="BX90" s="301"/>
      <c r="BY90" s="293"/>
      <c r="BZ90" s="294"/>
      <c r="CA90" s="295"/>
      <c r="CB90" s="302"/>
      <c r="CC90" s="294"/>
      <c r="CD90" s="301"/>
      <c r="CE90" s="293"/>
      <c r="CF90" s="294"/>
      <c r="CG90" s="295"/>
      <c r="CH90" s="302"/>
      <c r="CI90" s="294"/>
      <c r="CJ90" s="301"/>
      <c r="CK90" s="293"/>
      <c r="CL90" s="294"/>
      <c r="CM90" s="295"/>
      <c r="CN90" s="302"/>
      <c r="CO90" s="294"/>
      <c r="CP90" s="301"/>
      <c r="CQ90" s="302"/>
      <c r="CR90" s="294"/>
      <c r="CS90" s="301"/>
      <c r="CT90" s="302"/>
      <c r="CU90" s="294"/>
      <c r="CV90" s="301"/>
      <c r="CW90" s="302"/>
      <c r="CX90" s="294"/>
      <c r="CY90" s="301"/>
      <c r="CZ90" s="302"/>
      <c r="DA90" s="294"/>
      <c r="DB90" s="301"/>
      <c r="DC90" s="380">
        <f t="shared" si="101"/>
        <v>0</v>
      </c>
      <c r="DD90" s="381">
        <f t="shared" si="103"/>
        <v>0</v>
      </c>
      <c r="DE90" s="381">
        <f t="shared" si="102"/>
        <v>0</v>
      </c>
      <c r="DF90" s="145">
        <f t="shared" si="10"/>
        <v>0</v>
      </c>
    </row>
    <row r="91" spans="1:110">
      <c r="A91" s="240">
        <v>12</v>
      </c>
      <c r="B91" s="241"/>
      <c r="C91" s="43"/>
      <c r="D91" s="57"/>
      <c r="E91" s="293"/>
      <c r="F91" s="294"/>
      <c r="G91" s="295"/>
      <c r="H91" s="302"/>
      <c r="I91" s="294"/>
      <c r="J91" s="301"/>
      <c r="K91" s="293"/>
      <c r="L91" s="294"/>
      <c r="M91" s="295"/>
      <c r="N91" s="302"/>
      <c r="O91" s="294"/>
      <c r="P91" s="301"/>
      <c r="Q91" s="293"/>
      <c r="R91" s="294"/>
      <c r="S91" s="295"/>
      <c r="T91" s="302"/>
      <c r="U91" s="294"/>
      <c r="V91" s="301"/>
      <c r="W91" s="293"/>
      <c r="X91" s="294"/>
      <c r="Y91" s="295"/>
      <c r="Z91" s="302"/>
      <c r="AA91" s="294"/>
      <c r="AB91" s="301"/>
      <c r="AC91" s="293"/>
      <c r="AD91" s="294"/>
      <c r="AE91" s="295"/>
      <c r="AF91" s="302"/>
      <c r="AG91" s="294"/>
      <c r="AH91" s="301"/>
      <c r="AI91" s="293"/>
      <c r="AJ91" s="294"/>
      <c r="AK91" s="295"/>
      <c r="AL91" s="302"/>
      <c r="AM91" s="294"/>
      <c r="AN91" s="301"/>
      <c r="AO91" s="293"/>
      <c r="AP91" s="294"/>
      <c r="AQ91" s="295"/>
      <c r="AR91" s="302"/>
      <c r="AS91" s="294"/>
      <c r="AT91" s="301"/>
      <c r="AU91" s="293"/>
      <c r="AV91" s="294"/>
      <c r="AW91" s="295"/>
      <c r="AX91" s="302"/>
      <c r="AY91" s="294"/>
      <c r="AZ91" s="301"/>
      <c r="BA91" s="293"/>
      <c r="BB91" s="294"/>
      <c r="BC91" s="295"/>
      <c r="BD91" s="302"/>
      <c r="BE91" s="294"/>
      <c r="BF91" s="301"/>
      <c r="BG91" s="293"/>
      <c r="BH91" s="294"/>
      <c r="BI91" s="295"/>
      <c r="BJ91" s="302"/>
      <c r="BK91" s="294"/>
      <c r="BL91" s="301"/>
      <c r="BM91" s="293"/>
      <c r="BN91" s="294"/>
      <c r="BO91" s="295"/>
      <c r="BP91" s="302"/>
      <c r="BQ91" s="294"/>
      <c r="BR91" s="301"/>
      <c r="BS91" s="293"/>
      <c r="BT91" s="294"/>
      <c r="BU91" s="295"/>
      <c r="BV91" s="302"/>
      <c r="BW91" s="294"/>
      <c r="BX91" s="301"/>
      <c r="BY91" s="293"/>
      <c r="BZ91" s="294"/>
      <c r="CA91" s="295"/>
      <c r="CB91" s="302"/>
      <c r="CC91" s="294"/>
      <c r="CD91" s="301"/>
      <c r="CE91" s="293"/>
      <c r="CF91" s="294"/>
      <c r="CG91" s="295"/>
      <c r="CH91" s="302"/>
      <c r="CI91" s="294"/>
      <c r="CJ91" s="301"/>
      <c r="CK91" s="293"/>
      <c r="CL91" s="294"/>
      <c r="CM91" s="295"/>
      <c r="CN91" s="302"/>
      <c r="CO91" s="294"/>
      <c r="CP91" s="301"/>
      <c r="CQ91" s="302"/>
      <c r="CR91" s="294"/>
      <c r="CS91" s="301"/>
      <c r="CT91" s="302"/>
      <c r="CU91" s="294"/>
      <c r="CV91" s="301"/>
      <c r="CW91" s="302"/>
      <c r="CX91" s="294"/>
      <c r="CY91" s="301"/>
      <c r="CZ91" s="302"/>
      <c r="DA91" s="294"/>
      <c r="DB91" s="301"/>
      <c r="DC91" s="380">
        <f t="shared" si="101"/>
        <v>0</v>
      </c>
      <c r="DD91" s="381">
        <f t="shared" si="103"/>
        <v>0</v>
      </c>
      <c r="DE91" s="381">
        <f t="shared" si="102"/>
        <v>0</v>
      </c>
      <c r="DF91" s="145">
        <f t="shared" si="10"/>
        <v>0</v>
      </c>
    </row>
    <row r="92" spans="1:110">
      <c r="A92" s="365">
        <v>13</v>
      </c>
      <c r="B92" s="241"/>
      <c r="C92" s="43"/>
      <c r="D92" s="57"/>
      <c r="E92" s="293"/>
      <c r="F92" s="294"/>
      <c r="G92" s="295"/>
      <c r="H92" s="302"/>
      <c r="I92" s="294"/>
      <c r="J92" s="301"/>
      <c r="K92" s="293"/>
      <c r="L92" s="294"/>
      <c r="M92" s="295"/>
      <c r="N92" s="302"/>
      <c r="O92" s="294"/>
      <c r="P92" s="301"/>
      <c r="Q92" s="293"/>
      <c r="R92" s="294"/>
      <c r="S92" s="295"/>
      <c r="T92" s="302"/>
      <c r="U92" s="294"/>
      <c r="V92" s="301"/>
      <c r="W92" s="293"/>
      <c r="X92" s="294"/>
      <c r="Y92" s="295"/>
      <c r="Z92" s="302"/>
      <c r="AA92" s="294"/>
      <c r="AB92" s="301"/>
      <c r="AC92" s="293"/>
      <c r="AD92" s="294"/>
      <c r="AE92" s="295"/>
      <c r="AF92" s="302"/>
      <c r="AG92" s="294"/>
      <c r="AH92" s="301"/>
      <c r="AI92" s="293"/>
      <c r="AJ92" s="294"/>
      <c r="AK92" s="295"/>
      <c r="AL92" s="302"/>
      <c r="AM92" s="294"/>
      <c r="AN92" s="301"/>
      <c r="AO92" s="293"/>
      <c r="AP92" s="294"/>
      <c r="AQ92" s="295"/>
      <c r="AR92" s="302"/>
      <c r="AS92" s="294"/>
      <c r="AT92" s="301"/>
      <c r="AU92" s="293"/>
      <c r="AV92" s="294"/>
      <c r="AW92" s="295"/>
      <c r="AX92" s="302"/>
      <c r="AY92" s="294"/>
      <c r="AZ92" s="301"/>
      <c r="BA92" s="293"/>
      <c r="BB92" s="294"/>
      <c r="BC92" s="295"/>
      <c r="BD92" s="302"/>
      <c r="BE92" s="294"/>
      <c r="BF92" s="301"/>
      <c r="BG92" s="293"/>
      <c r="BH92" s="294"/>
      <c r="BI92" s="295"/>
      <c r="BJ92" s="302"/>
      <c r="BK92" s="294"/>
      <c r="BL92" s="301"/>
      <c r="BM92" s="293"/>
      <c r="BN92" s="294"/>
      <c r="BO92" s="295"/>
      <c r="BP92" s="302"/>
      <c r="BQ92" s="294"/>
      <c r="BR92" s="301"/>
      <c r="BS92" s="293"/>
      <c r="BT92" s="294"/>
      <c r="BU92" s="295"/>
      <c r="BV92" s="302"/>
      <c r="BW92" s="294"/>
      <c r="BX92" s="301"/>
      <c r="BY92" s="293"/>
      <c r="BZ92" s="294"/>
      <c r="CA92" s="295"/>
      <c r="CB92" s="302"/>
      <c r="CC92" s="294"/>
      <c r="CD92" s="301"/>
      <c r="CE92" s="293"/>
      <c r="CF92" s="294"/>
      <c r="CG92" s="295"/>
      <c r="CH92" s="302"/>
      <c r="CI92" s="294"/>
      <c r="CJ92" s="301"/>
      <c r="CK92" s="293"/>
      <c r="CL92" s="294"/>
      <c r="CM92" s="295"/>
      <c r="CN92" s="302"/>
      <c r="CO92" s="294"/>
      <c r="CP92" s="301"/>
      <c r="CQ92" s="302"/>
      <c r="CR92" s="294"/>
      <c r="CS92" s="301"/>
      <c r="CT92" s="302"/>
      <c r="CU92" s="294"/>
      <c r="CV92" s="301"/>
      <c r="CW92" s="302"/>
      <c r="CX92" s="294"/>
      <c r="CY92" s="301"/>
      <c r="CZ92" s="302"/>
      <c r="DA92" s="294"/>
      <c r="DB92" s="301"/>
      <c r="DC92" s="380">
        <f t="shared" si="101"/>
        <v>0</v>
      </c>
      <c r="DD92" s="381">
        <f t="shared" si="103"/>
        <v>0</v>
      </c>
      <c r="DE92" s="381">
        <f t="shared" si="102"/>
        <v>0</v>
      </c>
      <c r="DF92" s="145">
        <f t="shared" si="10"/>
        <v>0</v>
      </c>
    </row>
    <row r="93" spans="1:110">
      <c r="A93" s="240">
        <v>14</v>
      </c>
      <c r="B93" s="241"/>
      <c r="C93" s="43"/>
      <c r="D93" s="57"/>
      <c r="E93" s="293"/>
      <c r="F93" s="294"/>
      <c r="G93" s="295"/>
      <c r="H93" s="302"/>
      <c r="I93" s="294"/>
      <c r="J93" s="301"/>
      <c r="K93" s="293"/>
      <c r="L93" s="294"/>
      <c r="M93" s="295"/>
      <c r="N93" s="302"/>
      <c r="O93" s="294"/>
      <c r="P93" s="301"/>
      <c r="Q93" s="293"/>
      <c r="R93" s="294"/>
      <c r="S93" s="295"/>
      <c r="T93" s="302"/>
      <c r="U93" s="294"/>
      <c r="V93" s="301"/>
      <c r="W93" s="293"/>
      <c r="X93" s="294"/>
      <c r="Y93" s="295"/>
      <c r="Z93" s="302"/>
      <c r="AA93" s="294"/>
      <c r="AB93" s="301"/>
      <c r="AC93" s="293"/>
      <c r="AD93" s="294"/>
      <c r="AE93" s="295"/>
      <c r="AF93" s="302"/>
      <c r="AG93" s="294"/>
      <c r="AH93" s="301"/>
      <c r="AI93" s="293"/>
      <c r="AJ93" s="294"/>
      <c r="AK93" s="295"/>
      <c r="AL93" s="302"/>
      <c r="AM93" s="294"/>
      <c r="AN93" s="301"/>
      <c r="AO93" s="293"/>
      <c r="AP93" s="294"/>
      <c r="AQ93" s="295"/>
      <c r="AR93" s="302"/>
      <c r="AS93" s="294"/>
      <c r="AT93" s="301"/>
      <c r="AU93" s="293"/>
      <c r="AV93" s="294"/>
      <c r="AW93" s="295"/>
      <c r="AX93" s="302"/>
      <c r="AY93" s="294"/>
      <c r="AZ93" s="301"/>
      <c r="BA93" s="293"/>
      <c r="BB93" s="294"/>
      <c r="BC93" s="295"/>
      <c r="BD93" s="302"/>
      <c r="BE93" s="294"/>
      <c r="BF93" s="301"/>
      <c r="BG93" s="293"/>
      <c r="BH93" s="294"/>
      <c r="BI93" s="295"/>
      <c r="BJ93" s="302"/>
      <c r="BK93" s="294"/>
      <c r="BL93" s="301"/>
      <c r="BM93" s="293"/>
      <c r="BN93" s="294"/>
      <c r="BO93" s="295"/>
      <c r="BP93" s="302"/>
      <c r="BQ93" s="294"/>
      <c r="BR93" s="301"/>
      <c r="BS93" s="293"/>
      <c r="BT93" s="294"/>
      <c r="BU93" s="295"/>
      <c r="BV93" s="302"/>
      <c r="BW93" s="294"/>
      <c r="BX93" s="301"/>
      <c r="BY93" s="293"/>
      <c r="BZ93" s="294"/>
      <c r="CA93" s="295"/>
      <c r="CB93" s="302"/>
      <c r="CC93" s="294"/>
      <c r="CD93" s="301"/>
      <c r="CE93" s="293"/>
      <c r="CF93" s="294"/>
      <c r="CG93" s="295"/>
      <c r="CH93" s="302"/>
      <c r="CI93" s="294"/>
      <c r="CJ93" s="301"/>
      <c r="CK93" s="293"/>
      <c r="CL93" s="294"/>
      <c r="CM93" s="295"/>
      <c r="CN93" s="302"/>
      <c r="CO93" s="294"/>
      <c r="CP93" s="301"/>
      <c r="CQ93" s="302"/>
      <c r="CR93" s="294"/>
      <c r="CS93" s="301"/>
      <c r="CT93" s="302"/>
      <c r="CU93" s="294"/>
      <c r="CV93" s="301"/>
      <c r="CW93" s="302"/>
      <c r="CX93" s="294"/>
      <c r="CY93" s="301"/>
      <c r="CZ93" s="302"/>
      <c r="DA93" s="294"/>
      <c r="DB93" s="301"/>
      <c r="DC93" s="380">
        <f t="shared" si="101"/>
        <v>0</v>
      </c>
      <c r="DD93" s="381">
        <f t="shared" si="103"/>
        <v>0</v>
      </c>
      <c r="DE93" s="381">
        <f t="shared" si="102"/>
        <v>0</v>
      </c>
      <c r="DF93" s="145">
        <f t="shared" si="10"/>
        <v>0</v>
      </c>
    </row>
    <row r="94" spans="1:110">
      <c r="A94" s="240">
        <v>15</v>
      </c>
      <c r="B94" s="241"/>
      <c r="C94" s="43"/>
      <c r="D94" s="57"/>
      <c r="E94" s="293"/>
      <c r="F94" s="294"/>
      <c r="G94" s="295"/>
      <c r="H94" s="302"/>
      <c r="I94" s="294"/>
      <c r="J94" s="301"/>
      <c r="K94" s="293"/>
      <c r="L94" s="294"/>
      <c r="M94" s="295"/>
      <c r="N94" s="302"/>
      <c r="O94" s="294"/>
      <c r="P94" s="301"/>
      <c r="Q94" s="293"/>
      <c r="R94" s="294"/>
      <c r="S94" s="295"/>
      <c r="T94" s="302"/>
      <c r="U94" s="294"/>
      <c r="V94" s="301"/>
      <c r="W94" s="293"/>
      <c r="X94" s="294"/>
      <c r="Y94" s="295"/>
      <c r="Z94" s="302"/>
      <c r="AA94" s="294"/>
      <c r="AB94" s="301"/>
      <c r="AC94" s="293"/>
      <c r="AD94" s="294"/>
      <c r="AE94" s="295"/>
      <c r="AF94" s="302"/>
      <c r="AG94" s="294"/>
      <c r="AH94" s="301"/>
      <c r="AI94" s="293"/>
      <c r="AJ94" s="294"/>
      <c r="AK94" s="295"/>
      <c r="AL94" s="302"/>
      <c r="AM94" s="294"/>
      <c r="AN94" s="301"/>
      <c r="AO94" s="293"/>
      <c r="AP94" s="294"/>
      <c r="AQ94" s="295"/>
      <c r="AR94" s="302"/>
      <c r="AS94" s="294"/>
      <c r="AT94" s="301"/>
      <c r="AU94" s="293"/>
      <c r="AV94" s="294"/>
      <c r="AW94" s="295"/>
      <c r="AX94" s="302"/>
      <c r="AY94" s="294"/>
      <c r="AZ94" s="301"/>
      <c r="BA94" s="293"/>
      <c r="BB94" s="294"/>
      <c r="BC94" s="295"/>
      <c r="BD94" s="302"/>
      <c r="BE94" s="294"/>
      <c r="BF94" s="301"/>
      <c r="BG94" s="293"/>
      <c r="BH94" s="294"/>
      <c r="BI94" s="295"/>
      <c r="BJ94" s="302"/>
      <c r="BK94" s="294"/>
      <c r="BL94" s="301"/>
      <c r="BM94" s="293"/>
      <c r="BN94" s="294"/>
      <c r="BO94" s="295"/>
      <c r="BP94" s="302"/>
      <c r="BQ94" s="294"/>
      <c r="BR94" s="301"/>
      <c r="BS94" s="293"/>
      <c r="BT94" s="294"/>
      <c r="BU94" s="295"/>
      <c r="BV94" s="302"/>
      <c r="BW94" s="294"/>
      <c r="BX94" s="301"/>
      <c r="BY94" s="293"/>
      <c r="BZ94" s="294"/>
      <c r="CA94" s="295"/>
      <c r="CB94" s="302"/>
      <c r="CC94" s="294"/>
      <c r="CD94" s="301"/>
      <c r="CE94" s="293"/>
      <c r="CF94" s="294"/>
      <c r="CG94" s="295"/>
      <c r="CH94" s="302"/>
      <c r="CI94" s="294"/>
      <c r="CJ94" s="301"/>
      <c r="CK94" s="293"/>
      <c r="CL94" s="294"/>
      <c r="CM94" s="295"/>
      <c r="CN94" s="302"/>
      <c r="CO94" s="294"/>
      <c r="CP94" s="301"/>
      <c r="CQ94" s="302"/>
      <c r="CR94" s="294"/>
      <c r="CS94" s="301"/>
      <c r="CT94" s="302"/>
      <c r="CU94" s="294"/>
      <c r="CV94" s="301"/>
      <c r="CW94" s="302"/>
      <c r="CX94" s="294"/>
      <c r="CY94" s="301"/>
      <c r="CZ94" s="302"/>
      <c r="DA94" s="294"/>
      <c r="DB94" s="301"/>
      <c r="DC94" s="380">
        <f t="shared" si="101"/>
        <v>0</v>
      </c>
      <c r="DD94" s="381">
        <f t="shared" si="103"/>
        <v>0</v>
      </c>
      <c r="DE94" s="381">
        <f t="shared" si="102"/>
        <v>0</v>
      </c>
      <c r="DF94" s="145">
        <f t="shared" si="10"/>
        <v>0</v>
      </c>
    </row>
    <row r="95" spans="1:110">
      <c r="A95" s="365">
        <v>16</v>
      </c>
      <c r="B95" s="241"/>
      <c r="C95" s="43"/>
      <c r="D95" s="57"/>
      <c r="E95" s="293"/>
      <c r="F95" s="294"/>
      <c r="G95" s="295"/>
      <c r="H95" s="302"/>
      <c r="I95" s="294"/>
      <c r="J95" s="301"/>
      <c r="K95" s="293"/>
      <c r="L95" s="294"/>
      <c r="M95" s="295"/>
      <c r="N95" s="302"/>
      <c r="O95" s="294"/>
      <c r="P95" s="301"/>
      <c r="Q95" s="293"/>
      <c r="R95" s="294"/>
      <c r="S95" s="295"/>
      <c r="T95" s="302"/>
      <c r="U95" s="294"/>
      <c r="V95" s="301"/>
      <c r="W95" s="293"/>
      <c r="X95" s="294"/>
      <c r="Y95" s="295"/>
      <c r="Z95" s="302"/>
      <c r="AA95" s="294"/>
      <c r="AB95" s="301"/>
      <c r="AC95" s="293"/>
      <c r="AD95" s="294"/>
      <c r="AE95" s="295"/>
      <c r="AF95" s="302"/>
      <c r="AG95" s="294"/>
      <c r="AH95" s="301"/>
      <c r="AI95" s="293"/>
      <c r="AJ95" s="294"/>
      <c r="AK95" s="295"/>
      <c r="AL95" s="302"/>
      <c r="AM95" s="294"/>
      <c r="AN95" s="301"/>
      <c r="AO95" s="293"/>
      <c r="AP95" s="294"/>
      <c r="AQ95" s="295"/>
      <c r="AR95" s="302"/>
      <c r="AS95" s="294"/>
      <c r="AT95" s="301"/>
      <c r="AU95" s="293"/>
      <c r="AV95" s="294"/>
      <c r="AW95" s="295"/>
      <c r="AX95" s="302"/>
      <c r="AY95" s="294"/>
      <c r="AZ95" s="301"/>
      <c r="BA95" s="293"/>
      <c r="BB95" s="294"/>
      <c r="BC95" s="295"/>
      <c r="BD95" s="302"/>
      <c r="BE95" s="294"/>
      <c r="BF95" s="301"/>
      <c r="BG95" s="293"/>
      <c r="BH95" s="294"/>
      <c r="BI95" s="295"/>
      <c r="BJ95" s="302"/>
      <c r="BK95" s="294"/>
      <c r="BL95" s="301"/>
      <c r="BM95" s="293"/>
      <c r="BN95" s="294"/>
      <c r="BO95" s="295"/>
      <c r="BP95" s="302"/>
      <c r="BQ95" s="294"/>
      <c r="BR95" s="301"/>
      <c r="BS95" s="293"/>
      <c r="BT95" s="294"/>
      <c r="BU95" s="295"/>
      <c r="BV95" s="302"/>
      <c r="BW95" s="294"/>
      <c r="BX95" s="301"/>
      <c r="BY95" s="293"/>
      <c r="BZ95" s="294"/>
      <c r="CA95" s="295"/>
      <c r="CB95" s="302"/>
      <c r="CC95" s="294"/>
      <c r="CD95" s="301"/>
      <c r="CE95" s="293"/>
      <c r="CF95" s="294"/>
      <c r="CG95" s="295"/>
      <c r="CH95" s="302"/>
      <c r="CI95" s="294"/>
      <c r="CJ95" s="301"/>
      <c r="CK95" s="293"/>
      <c r="CL95" s="294"/>
      <c r="CM95" s="295"/>
      <c r="CN95" s="302"/>
      <c r="CO95" s="294"/>
      <c r="CP95" s="301"/>
      <c r="CQ95" s="302"/>
      <c r="CR95" s="294"/>
      <c r="CS95" s="301"/>
      <c r="CT95" s="302"/>
      <c r="CU95" s="294"/>
      <c r="CV95" s="301"/>
      <c r="CW95" s="302"/>
      <c r="CX95" s="294"/>
      <c r="CY95" s="301"/>
      <c r="CZ95" s="302"/>
      <c r="DA95" s="294"/>
      <c r="DB95" s="301"/>
      <c r="DC95" s="380">
        <f t="shared" si="101"/>
        <v>0</v>
      </c>
      <c r="DD95" s="381">
        <f t="shared" si="103"/>
        <v>0</v>
      </c>
      <c r="DE95" s="381">
        <f t="shared" si="102"/>
        <v>0</v>
      </c>
      <c r="DF95" s="145">
        <f t="shared" si="10"/>
        <v>0</v>
      </c>
    </row>
    <row r="96" spans="1:110">
      <c r="A96" s="240">
        <v>17</v>
      </c>
      <c r="B96" s="241"/>
      <c r="C96" s="43"/>
      <c r="D96" s="57"/>
      <c r="E96" s="293"/>
      <c r="F96" s="294"/>
      <c r="G96" s="295"/>
      <c r="H96" s="302"/>
      <c r="I96" s="294"/>
      <c r="J96" s="301"/>
      <c r="K96" s="293"/>
      <c r="L96" s="294"/>
      <c r="M96" s="295"/>
      <c r="N96" s="302"/>
      <c r="O96" s="294"/>
      <c r="P96" s="301"/>
      <c r="Q96" s="293"/>
      <c r="R96" s="294"/>
      <c r="S96" s="295"/>
      <c r="T96" s="302"/>
      <c r="U96" s="294"/>
      <c r="V96" s="301"/>
      <c r="W96" s="293"/>
      <c r="X96" s="294"/>
      <c r="Y96" s="295"/>
      <c r="Z96" s="302"/>
      <c r="AA96" s="294"/>
      <c r="AB96" s="301"/>
      <c r="AC96" s="293"/>
      <c r="AD96" s="294"/>
      <c r="AE96" s="295"/>
      <c r="AF96" s="302"/>
      <c r="AG96" s="294"/>
      <c r="AH96" s="301"/>
      <c r="AI96" s="293"/>
      <c r="AJ96" s="294"/>
      <c r="AK96" s="295"/>
      <c r="AL96" s="302"/>
      <c r="AM96" s="294"/>
      <c r="AN96" s="301"/>
      <c r="AO96" s="293"/>
      <c r="AP96" s="294"/>
      <c r="AQ96" s="295"/>
      <c r="AR96" s="302"/>
      <c r="AS96" s="294"/>
      <c r="AT96" s="301"/>
      <c r="AU96" s="293"/>
      <c r="AV96" s="294"/>
      <c r="AW96" s="295"/>
      <c r="AX96" s="302"/>
      <c r="AY96" s="294"/>
      <c r="AZ96" s="301"/>
      <c r="BA96" s="293"/>
      <c r="BB96" s="294"/>
      <c r="BC96" s="295"/>
      <c r="BD96" s="302"/>
      <c r="BE96" s="294"/>
      <c r="BF96" s="301"/>
      <c r="BG96" s="293"/>
      <c r="BH96" s="294"/>
      <c r="BI96" s="295"/>
      <c r="BJ96" s="302"/>
      <c r="BK96" s="294"/>
      <c r="BL96" s="301"/>
      <c r="BM96" s="293"/>
      <c r="BN96" s="294"/>
      <c r="BO96" s="295"/>
      <c r="BP96" s="302"/>
      <c r="BQ96" s="294"/>
      <c r="BR96" s="301"/>
      <c r="BS96" s="293"/>
      <c r="BT96" s="294"/>
      <c r="BU96" s="295"/>
      <c r="BV96" s="302"/>
      <c r="BW96" s="294"/>
      <c r="BX96" s="301"/>
      <c r="BY96" s="293"/>
      <c r="BZ96" s="294"/>
      <c r="CA96" s="295"/>
      <c r="CB96" s="302"/>
      <c r="CC96" s="294"/>
      <c r="CD96" s="301"/>
      <c r="CE96" s="293"/>
      <c r="CF96" s="294"/>
      <c r="CG96" s="295"/>
      <c r="CH96" s="302"/>
      <c r="CI96" s="294"/>
      <c r="CJ96" s="301"/>
      <c r="CK96" s="293"/>
      <c r="CL96" s="294"/>
      <c r="CM96" s="295"/>
      <c r="CN96" s="302"/>
      <c r="CO96" s="294"/>
      <c r="CP96" s="301"/>
      <c r="CQ96" s="302"/>
      <c r="CR96" s="294"/>
      <c r="CS96" s="301"/>
      <c r="CT96" s="302"/>
      <c r="CU96" s="294"/>
      <c r="CV96" s="301"/>
      <c r="CW96" s="302"/>
      <c r="CX96" s="294"/>
      <c r="CY96" s="301"/>
      <c r="CZ96" s="302"/>
      <c r="DA96" s="294"/>
      <c r="DB96" s="301"/>
      <c r="DC96" s="380">
        <f t="shared" si="101"/>
        <v>0</v>
      </c>
      <c r="DD96" s="381">
        <f t="shared" si="103"/>
        <v>0</v>
      </c>
      <c r="DE96" s="381">
        <f t="shared" si="102"/>
        <v>0</v>
      </c>
      <c r="DF96" s="145">
        <f t="shared" si="10"/>
        <v>0</v>
      </c>
    </row>
    <row r="97" spans="1:110">
      <c r="A97" s="240">
        <v>18</v>
      </c>
      <c r="B97" s="241"/>
      <c r="C97" s="43"/>
      <c r="D97" s="57"/>
      <c r="E97" s="293"/>
      <c r="F97" s="294"/>
      <c r="G97" s="295"/>
      <c r="H97" s="302"/>
      <c r="I97" s="294"/>
      <c r="J97" s="301"/>
      <c r="K97" s="293"/>
      <c r="L97" s="294"/>
      <c r="M97" s="295"/>
      <c r="N97" s="302"/>
      <c r="O97" s="294"/>
      <c r="P97" s="301"/>
      <c r="Q97" s="293"/>
      <c r="R97" s="294"/>
      <c r="S97" s="295"/>
      <c r="T97" s="302"/>
      <c r="U97" s="294"/>
      <c r="V97" s="301"/>
      <c r="W97" s="293"/>
      <c r="X97" s="294"/>
      <c r="Y97" s="295"/>
      <c r="Z97" s="302"/>
      <c r="AA97" s="294"/>
      <c r="AB97" s="301"/>
      <c r="AC97" s="293"/>
      <c r="AD97" s="294"/>
      <c r="AE97" s="295"/>
      <c r="AF97" s="302"/>
      <c r="AG97" s="294"/>
      <c r="AH97" s="301"/>
      <c r="AI97" s="293"/>
      <c r="AJ97" s="294"/>
      <c r="AK97" s="295"/>
      <c r="AL97" s="302"/>
      <c r="AM97" s="294"/>
      <c r="AN97" s="301"/>
      <c r="AO97" s="293"/>
      <c r="AP97" s="294"/>
      <c r="AQ97" s="295"/>
      <c r="AR97" s="302"/>
      <c r="AS97" s="294"/>
      <c r="AT97" s="301"/>
      <c r="AU97" s="293"/>
      <c r="AV97" s="294"/>
      <c r="AW97" s="295"/>
      <c r="AX97" s="302"/>
      <c r="AY97" s="294"/>
      <c r="AZ97" s="301"/>
      <c r="BA97" s="293"/>
      <c r="BB97" s="294"/>
      <c r="BC97" s="295"/>
      <c r="BD97" s="302"/>
      <c r="BE97" s="294"/>
      <c r="BF97" s="301"/>
      <c r="BG97" s="293"/>
      <c r="BH97" s="294"/>
      <c r="BI97" s="295"/>
      <c r="BJ97" s="302"/>
      <c r="BK97" s="294"/>
      <c r="BL97" s="301"/>
      <c r="BM97" s="293"/>
      <c r="BN97" s="294"/>
      <c r="BO97" s="295"/>
      <c r="BP97" s="302"/>
      <c r="BQ97" s="294"/>
      <c r="BR97" s="301"/>
      <c r="BS97" s="293"/>
      <c r="BT97" s="294"/>
      <c r="BU97" s="295"/>
      <c r="BV97" s="302"/>
      <c r="BW97" s="294"/>
      <c r="BX97" s="301"/>
      <c r="BY97" s="293"/>
      <c r="BZ97" s="294"/>
      <c r="CA97" s="295"/>
      <c r="CB97" s="302"/>
      <c r="CC97" s="294"/>
      <c r="CD97" s="301"/>
      <c r="CE97" s="293"/>
      <c r="CF97" s="294"/>
      <c r="CG97" s="295"/>
      <c r="CH97" s="302"/>
      <c r="CI97" s="294"/>
      <c r="CJ97" s="301"/>
      <c r="CK97" s="293"/>
      <c r="CL97" s="294"/>
      <c r="CM97" s="295"/>
      <c r="CN97" s="302"/>
      <c r="CO97" s="294"/>
      <c r="CP97" s="301"/>
      <c r="CQ97" s="302"/>
      <c r="CR97" s="294"/>
      <c r="CS97" s="301"/>
      <c r="CT97" s="302"/>
      <c r="CU97" s="294"/>
      <c r="CV97" s="301"/>
      <c r="CW97" s="302"/>
      <c r="CX97" s="294"/>
      <c r="CY97" s="301"/>
      <c r="CZ97" s="302"/>
      <c r="DA97" s="294"/>
      <c r="DB97" s="301"/>
      <c r="DC97" s="380">
        <f t="shared" si="101"/>
        <v>0</v>
      </c>
      <c r="DD97" s="381">
        <f t="shared" si="103"/>
        <v>0</v>
      </c>
      <c r="DE97" s="381">
        <f t="shared" si="102"/>
        <v>0</v>
      </c>
      <c r="DF97" s="145">
        <f t="shared" si="10"/>
        <v>0</v>
      </c>
    </row>
    <row r="98" spans="1:110">
      <c r="A98" s="365">
        <v>19</v>
      </c>
      <c r="B98" s="241"/>
      <c r="C98" s="43"/>
      <c r="D98" s="57"/>
      <c r="E98" s="293"/>
      <c r="F98" s="294"/>
      <c r="G98" s="295"/>
      <c r="H98" s="302"/>
      <c r="I98" s="294"/>
      <c r="J98" s="301"/>
      <c r="K98" s="293"/>
      <c r="L98" s="294"/>
      <c r="M98" s="295"/>
      <c r="N98" s="302"/>
      <c r="O98" s="294"/>
      <c r="P98" s="301"/>
      <c r="Q98" s="293"/>
      <c r="R98" s="294"/>
      <c r="S98" s="295"/>
      <c r="T98" s="302"/>
      <c r="U98" s="294"/>
      <c r="V98" s="301"/>
      <c r="W98" s="293"/>
      <c r="X98" s="294"/>
      <c r="Y98" s="295"/>
      <c r="Z98" s="302"/>
      <c r="AA98" s="294"/>
      <c r="AB98" s="301"/>
      <c r="AC98" s="293"/>
      <c r="AD98" s="294"/>
      <c r="AE98" s="295"/>
      <c r="AF98" s="302"/>
      <c r="AG98" s="294"/>
      <c r="AH98" s="301"/>
      <c r="AI98" s="293"/>
      <c r="AJ98" s="294"/>
      <c r="AK98" s="295"/>
      <c r="AL98" s="302"/>
      <c r="AM98" s="294"/>
      <c r="AN98" s="301"/>
      <c r="AO98" s="293"/>
      <c r="AP98" s="294"/>
      <c r="AQ98" s="295"/>
      <c r="AR98" s="302"/>
      <c r="AS98" s="294"/>
      <c r="AT98" s="301"/>
      <c r="AU98" s="293"/>
      <c r="AV98" s="294"/>
      <c r="AW98" s="295"/>
      <c r="AX98" s="302"/>
      <c r="AY98" s="294"/>
      <c r="AZ98" s="301"/>
      <c r="BA98" s="293"/>
      <c r="BB98" s="294"/>
      <c r="BC98" s="295"/>
      <c r="BD98" s="302"/>
      <c r="BE98" s="294"/>
      <c r="BF98" s="301"/>
      <c r="BG98" s="293"/>
      <c r="BH98" s="294"/>
      <c r="BI98" s="295"/>
      <c r="BJ98" s="302"/>
      <c r="BK98" s="294"/>
      <c r="BL98" s="301"/>
      <c r="BM98" s="293"/>
      <c r="BN98" s="294"/>
      <c r="BO98" s="295"/>
      <c r="BP98" s="302"/>
      <c r="BQ98" s="294"/>
      <c r="BR98" s="301"/>
      <c r="BS98" s="293"/>
      <c r="BT98" s="294"/>
      <c r="BU98" s="295"/>
      <c r="BV98" s="302"/>
      <c r="BW98" s="294"/>
      <c r="BX98" s="301"/>
      <c r="BY98" s="293"/>
      <c r="BZ98" s="294"/>
      <c r="CA98" s="295"/>
      <c r="CB98" s="302"/>
      <c r="CC98" s="294"/>
      <c r="CD98" s="301"/>
      <c r="CE98" s="293"/>
      <c r="CF98" s="294"/>
      <c r="CG98" s="295"/>
      <c r="CH98" s="302"/>
      <c r="CI98" s="294"/>
      <c r="CJ98" s="301"/>
      <c r="CK98" s="293"/>
      <c r="CL98" s="294"/>
      <c r="CM98" s="295"/>
      <c r="CN98" s="302"/>
      <c r="CO98" s="294"/>
      <c r="CP98" s="301"/>
      <c r="CQ98" s="302"/>
      <c r="CR98" s="294"/>
      <c r="CS98" s="301"/>
      <c r="CT98" s="302"/>
      <c r="CU98" s="294"/>
      <c r="CV98" s="301"/>
      <c r="CW98" s="302"/>
      <c r="CX98" s="294"/>
      <c r="CY98" s="301"/>
      <c r="CZ98" s="302"/>
      <c r="DA98" s="294"/>
      <c r="DB98" s="301"/>
      <c r="DC98" s="380">
        <f t="shared" si="101"/>
        <v>0</v>
      </c>
      <c r="DD98" s="381">
        <f t="shared" si="103"/>
        <v>0</v>
      </c>
      <c r="DE98" s="381">
        <f t="shared" si="102"/>
        <v>0</v>
      </c>
      <c r="DF98" s="145">
        <f t="shared" si="10"/>
        <v>0</v>
      </c>
    </row>
    <row r="99" spans="1:110">
      <c r="A99" s="240">
        <v>20</v>
      </c>
      <c r="B99" s="241"/>
      <c r="C99" s="43"/>
      <c r="D99" s="57"/>
      <c r="E99" s="293"/>
      <c r="F99" s="294"/>
      <c r="G99" s="295"/>
      <c r="H99" s="302"/>
      <c r="I99" s="294"/>
      <c r="J99" s="301"/>
      <c r="K99" s="293"/>
      <c r="L99" s="294"/>
      <c r="M99" s="295"/>
      <c r="N99" s="302"/>
      <c r="O99" s="294"/>
      <c r="P99" s="301"/>
      <c r="Q99" s="293"/>
      <c r="R99" s="294"/>
      <c r="S99" s="295"/>
      <c r="T99" s="302"/>
      <c r="U99" s="294"/>
      <c r="V99" s="301"/>
      <c r="W99" s="293"/>
      <c r="X99" s="294"/>
      <c r="Y99" s="295"/>
      <c r="Z99" s="302"/>
      <c r="AA99" s="294"/>
      <c r="AB99" s="301"/>
      <c r="AC99" s="293"/>
      <c r="AD99" s="294"/>
      <c r="AE99" s="295"/>
      <c r="AF99" s="302"/>
      <c r="AG99" s="294"/>
      <c r="AH99" s="301"/>
      <c r="AI99" s="293"/>
      <c r="AJ99" s="294"/>
      <c r="AK99" s="295"/>
      <c r="AL99" s="302"/>
      <c r="AM99" s="294"/>
      <c r="AN99" s="301"/>
      <c r="AO99" s="293"/>
      <c r="AP99" s="294"/>
      <c r="AQ99" s="295"/>
      <c r="AR99" s="302"/>
      <c r="AS99" s="294"/>
      <c r="AT99" s="301"/>
      <c r="AU99" s="293"/>
      <c r="AV99" s="294"/>
      <c r="AW99" s="295"/>
      <c r="AX99" s="302"/>
      <c r="AY99" s="294"/>
      <c r="AZ99" s="301"/>
      <c r="BA99" s="293"/>
      <c r="BB99" s="294"/>
      <c r="BC99" s="295"/>
      <c r="BD99" s="302"/>
      <c r="BE99" s="294"/>
      <c r="BF99" s="301"/>
      <c r="BG99" s="293"/>
      <c r="BH99" s="294"/>
      <c r="BI99" s="295"/>
      <c r="BJ99" s="302"/>
      <c r="BK99" s="294"/>
      <c r="BL99" s="301"/>
      <c r="BM99" s="293"/>
      <c r="BN99" s="294"/>
      <c r="BO99" s="295"/>
      <c r="BP99" s="302"/>
      <c r="BQ99" s="294"/>
      <c r="BR99" s="301"/>
      <c r="BS99" s="293"/>
      <c r="BT99" s="294"/>
      <c r="BU99" s="295"/>
      <c r="BV99" s="302"/>
      <c r="BW99" s="294"/>
      <c r="BX99" s="301"/>
      <c r="BY99" s="293"/>
      <c r="BZ99" s="294"/>
      <c r="CA99" s="295"/>
      <c r="CB99" s="302"/>
      <c r="CC99" s="294"/>
      <c r="CD99" s="301"/>
      <c r="CE99" s="293"/>
      <c r="CF99" s="294"/>
      <c r="CG99" s="295"/>
      <c r="CH99" s="302"/>
      <c r="CI99" s="294"/>
      <c r="CJ99" s="301"/>
      <c r="CK99" s="293"/>
      <c r="CL99" s="294"/>
      <c r="CM99" s="295"/>
      <c r="CN99" s="302"/>
      <c r="CO99" s="294"/>
      <c r="CP99" s="301"/>
      <c r="CQ99" s="302"/>
      <c r="CR99" s="294"/>
      <c r="CS99" s="301"/>
      <c r="CT99" s="302"/>
      <c r="CU99" s="294"/>
      <c r="CV99" s="301"/>
      <c r="CW99" s="302"/>
      <c r="CX99" s="294"/>
      <c r="CY99" s="301"/>
      <c r="CZ99" s="302"/>
      <c r="DA99" s="294"/>
      <c r="DB99" s="301"/>
      <c r="DC99" s="380">
        <f t="shared" si="101"/>
        <v>0</v>
      </c>
      <c r="DD99" s="381">
        <f t="shared" si="103"/>
        <v>0</v>
      </c>
      <c r="DE99" s="381">
        <f t="shared" si="102"/>
        <v>0</v>
      </c>
      <c r="DF99" s="145">
        <f t="shared" si="10"/>
        <v>0</v>
      </c>
    </row>
    <row r="100" spans="1:110">
      <c r="A100" s="240">
        <v>21</v>
      </c>
      <c r="B100" s="241"/>
      <c r="C100" s="43"/>
      <c r="D100" s="57"/>
      <c r="E100" s="293"/>
      <c r="F100" s="294"/>
      <c r="G100" s="295"/>
      <c r="H100" s="302"/>
      <c r="I100" s="294"/>
      <c r="J100" s="301"/>
      <c r="K100" s="293"/>
      <c r="L100" s="294"/>
      <c r="M100" s="295"/>
      <c r="N100" s="302"/>
      <c r="O100" s="294"/>
      <c r="P100" s="301"/>
      <c r="Q100" s="293"/>
      <c r="R100" s="294"/>
      <c r="S100" s="295"/>
      <c r="T100" s="302"/>
      <c r="U100" s="294"/>
      <c r="V100" s="301"/>
      <c r="W100" s="293"/>
      <c r="X100" s="294"/>
      <c r="Y100" s="295"/>
      <c r="Z100" s="302"/>
      <c r="AA100" s="294"/>
      <c r="AB100" s="301"/>
      <c r="AC100" s="293"/>
      <c r="AD100" s="294"/>
      <c r="AE100" s="295"/>
      <c r="AF100" s="302"/>
      <c r="AG100" s="294"/>
      <c r="AH100" s="301"/>
      <c r="AI100" s="293"/>
      <c r="AJ100" s="294"/>
      <c r="AK100" s="295"/>
      <c r="AL100" s="302"/>
      <c r="AM100" s="294"/>
      <c r="AN100" s="301"/>
      <c r="AO100" s="293"/>
      <c r="AP100" s="294"/>
      <c r="AQ100" s="295"/>
      <c r="AR100" s="302"/>
      <c r="AS100" s="294"/>
      <c r="AT100" s="301"/>
      <c r="AU100" s="293"/>
      <c r="AV100" s="294"/>
      <c r="AW100" s="295"/>
      <c r="AX100" s="302"/>
      <c r="AY100" s="294"/>
      <c r="AZ100" s="301"/>
      <c r="BA100" s="293"/>
      <c r="BB100" s="294"/>
      <c r="BC100" s="295"/>
      <c r="BD100" s="302"/>
      <c r="BE100" s="294"/>
      <c r="BF100" s="301"/>
      <c r="BG100" s="293"/>
      <c r="BH100" s="294"/>
      <c r="BI100" s="295"/>
      <c r="BJ100" s="302"/>
      <c r="BK100" s="294"/>
      <c r="BL100" s="301"/>
      <c r="BM100" s="293"/>
      <c r="BN100" s="294"/>
      <c r="BO100" s="295"/>
      <c r="BP100" s="302"/>
      <c r="BQ100" s="294"/>
      <c r="BR100" s="301"/>
      <c r="BS100" s="293"/>
      <c r="BT100" s="294"/>
      <c r="BU100" s="295"/>
      <c r="BV100" s="302"/>
      <c r="BW100" s="294"/>
      <c r="BX100" s="301"/>
      <c r="BY100" s="293"/>
      <c r="BZ100" s="294"/>
      <c r="CA100" s="295"/>
      <c r="CB100" s="302"/>
      <c r="CC100" s="294"/>
      <c r="CD100" s="301"/>
      <c r="CE100" s="293"/>
      <c r="CF100" s="294"/>
      <c r="CG100" s="295"/>
      <c r="CH100" s="302"/>
      <c r="CI100" s="294"/>
      <c r="CJ100" s="301"/>
      <c r="CK100" s="293"/>
      <c r="CL100" s="294"/>
      <c r="CM100" s="295"/>
      <c r="CN100" s="302"/>
      <c r="CO100" s="294"/>
      <c r="CP100" s="301"/>
      <c r="CQ100" s="302"/>
      <c r="CR100" s="294"/>
      <c r="CS100" s="301"/>
      <c r="CT100" s="302"/>
      <c r="CU100" s="294"/>
      <c r="CV100" s="301"/>
      <c r="CW100" s="302"/>
      <c r="CX100" s="294"/>
      <c r="CY100" s="301"/>
      <c r="CZ100" s="302"/>
      <c r="DA100" s="294"/>
      <c r="DB100" s="301"/>
      <c r="DC100" s="380">
        <f t="shared" si="101"/>
        <v>0</v>
      </c>
      <c r="DD100" s="381">
        <f t="shared" si="103"/>
        <v>0</v>
      </c>
      <c r="DE100" s="381">
        <f t="shared" si="102"/>
        <v>0</v>
      </c>
      <c r="DF100" s="145">
        <f t="shared" si="10"/>
        <v>0</v>
      </c>
    </row>
    <row r="101" spans="1:110">
      <c r="A101" s="365">
        <v>22</v>
      </c>
      <c r="B101" s="241"/>
      <c r="C101" s="43"/>
      <c r="D101" s="57"/>
      <c r="E101" s="293"/>
      <c r="F101" s="294"/>
      <c r="G101" s="295"/>
      <c r="H101" s="302"/>
      <c r="I101" s="294"/>
      <c r="J101" s="301"/>
      <c r="K101" s="293"/>
      <c r="L101" s="294"/>
      <c r="M101" s="295"/>
      <c r="N101" s="302"/>
      <c r="O101" s="294"/>
      <c r="P101" s="301"/>
      <c r="Q101" s="293"/>
      <c r="R101" s="294"/>
      <c r="S101" s="295"/>
      <c r="T101" s="302"/>
      <c r="U101" s="294"/>
      <c r="V101" s="301"/>
      <c r="W101" s="293"/>
      <c r="X101" s="294"/>
      <c r="Y101" s="295"/>
      <c r="Z101" s="302"/>
      <c r="AA101" s="294"/>
      <c r="AB101" s="301"/>
      <c r="AC101" s="281"/>
      <c r="AD101" s="294"/>
      <c r="AE101" s="295"/>
      <c r="AF101" s="302"/>
      <c r="AG101" s="294"/>
      <c r="AH101" s="301"/>
      <c r="AI101" s="293"/>
      <c r="AJ101" s="294"/>
      <c r="AK101" s="295"/>
      <c r="AL101" s="302"/>
      <c r="AM101" s="294"/>
      <c r="AN101" s="301"/>
      <c r="AO101" s="293"/>
      <c r="AP101" s="294"/>
      <c r="AQ101" s="295"/>
      <c r="AR101" s="302"/>
      <c r="AS101" s="294"/>
      <c r="AT101" s="301"/>
      <c r="AU101" s="293"/>
      <c r="AV101" s="294"/>
      <c r="AW101" s="295"/>
      <c r="AX101" s="302"/>
      <c r="AY101" s="294"/>
      <c r="AZ101" s="301"/>
      <c r="BA101" s="293"/>
      <c r="BB101" s="294"/>
      <c r="BC101" s="295"/>
      <c r="BD101" s="302"/>
      <c r="BE101" s="294"/>
      <c r="BF101" s="301"/>
      <c r="BG101" s="293"/>
      <c r="BH101" s="294"/>
      <c r="BI101" s="295"/>
      <c r="BJ101" s="302"/>
      <c r="BK101" s="294"/>
      <c r="BL101" s="301"/>
      <c r="BM101" s="293"/>
      <c r="BN101" s="294"/>
      <c r="BO101" s="295"/>
      <c r="BP101" s="302"/>
      <c r="BQ101" s="294"/>
      <c r="BR101" s="301"/>
      <c r="BS101" s="293"/>
      <c r="BT101" s="294"/>
      <c r="BU101" s="295"/>
      <c r="BV101" s="302"/>
      <c r="BW101" s="294"/>
      <c r="BX101" s="301"/>
      <c r="BY101" s="293"/>
      <c r="BZ101" s="294"/>
      <c r="CA101" s="295"/>
      <c r="CB101" s="302"/>
      <c r="CC101" s="294"/>
      <c r="CD101" s="301"/>
      <c r="CE101" s="293"/>
      <c r="CF101" s="294"/>
      <c r="CG101" s="295"/>
      <c r="CH101" s="302"/>
      <c r="CI101" s="294"/>
      <c r="CJ101" s="301"/>
      <c r="CK101" s="293"/>
      <c r="CL101" s="294"/>
      <c r="CM101" s="295"/>
      <c r="CN101" s="302"/>
      <c r="CO101" s="294"/>
      <c r="CP101" s="301"/>
      <c r="CQ101" s="302"/>
      <c r="CR101" s="294"/>
      <c r="CS101" s="301"/>
      <c r="CT101" s="302"/>
      <c r="CU101" s="294"/>
      <c r="CV101" s="301"/>
      <c r="CW101" s="302"/>
      <c r="CX101" s="294"/>
      <c r="CY101" s="301"/>
      <c r="CZ101" s="302"/>
      <c r="DA101" s="294"/>
      <c r="DB101" s="301"/>
      <c r="DC101" s="380">
        <f t="shared" si="101"/>
        <v>0</v>
      </c>
      <c r="DD101" s="381">
        <f t="shared" si="103"/>
        <v>0</v>
      </c>
      <c r="DE101" s="381">
        <f t="shared" si="102"/>
        <v>0</v>
      </c>
      <c r="DF101" s="145">
        <f t="shared" si="10"/>
        <v>0</v>
      </c>
    </row>
    <row r="102" spans="1:110">
      <c r="A102" s="240">
        <v>23</v>
      </c>
      <c r="B102" s="241"/>
      <c r="C102" s="43"/>
      <c r="D102" s="57"/>
      <c r="E102" s="293"/>
      <c r="F102" s="294"/>
      <c r="G102" s="295"/>
      <c r="H102" s="302"/>
      <c r="I102" s="294"/>
      <c r="J102" s="301"/>
      <c r="K102" s="293"/>
      <c r="L102" s="294"/>
      <c r="M102" s="295"/>
      <c r="N102" s="302"/>
      <c r="O102" s="294"/>
      <c r="P102" s="301"/>
      <c r="Q102" s="293"/>
      <c r="R102" s="294"/>
      <c r="S102" s="295"/>
      <c r="T102" s="302"/>
      <c r="U102" s="294"/>
      <c r="V102" s="301"/>
      <c r="W102" s="293"/>
      <c r="X102" s="294"/>
      <c r="Y102" s="295"/>
      <c r="Z102" s="302"/>
      <c r="AA102" s="294"/>
      <c r="AB102" s="301"/>
      <c r="AC102" s="293"/>
      <c r="AD102" s="294"/>
      <c r="AE102" s="295"/>
      <c r="AF102" s="302"/>
      <c r="AG102" s="294"/>
      <c r="AH102" s="301"/>
      <c r="AI102" s="293"/>
      <c r="AJ102" s="294"/>
      <c r="AK102" s="295"/>
      <c r="AL102" s="302"/>
      <c r="AM102" s="294"/>
      <c r="AN102" s="301"/>
      <c r="AO102" s="293"/>
      <c r="AP102" s="294"/>
      <c r="AQ102" s="295"/>
      <c r="AR102" s="302"/>
      <c r="AS102" s="294"/>
      <c r="AT102" s="301"/>
      <c r="AU102" s="293"/>
      <c r="AV102" s="294"/>
      <c r="AW102" s="295"/>
      <c r="AX102" s="302"/>
      <c r="AY102" s="294"/>
      <c r="AZ102" s="301"/>
      <c r="BA102" s="293"/>
      <c r="BB102" s="294"/>
      <c r="BC102" s="295"/>
      <c r="BD102" s="302"/>
      <c r="BE102" s="294"/>
      <c r="BF102" s="301"/>
      <c r="BG102" s="293"/>
      <c r="BH102" s="294"/>
      <c r="BI102" s="295"/>
      <c r="BJ102" s="302"/>
      <c r="BK102" s="294"/>
      <c r="BL102" s="301"/>
      <c r="BM102" s="293"/>
      <c r="BN102" s="294"/>
      <c r="BO102" s="295"/>
      <c r="BP102" s="302"/>
      <c r="BQ102" s="294"/>
      <c r="BR102" s="301"/>
      <c r="BS102" s="293"/>
      <c r="BT102" s="294"/>
      <c r="BU102" s="295"/>
      <c r="BV102" s="302"/>
      <c r="BW102" s="294"/>
      <c r="BX102" s="301"/>
      <c r="BY102" s="293"/>
      <c r="BZ102" s="294"/>
      <c r="CA102" s="295"/>
      <c r="CB102" s="302"/>
      <c r="CC102" s="294"/>
      <c r="CD102" s="301"/>
      <c r="CE102" s="293"/>
      <c r="CF102" s="294"/>
      <c r="CG102" s="295"/>
      <c r="CH102" s="302"/>
      <c r="CI102" s="294"/>
      <c r="CJ102" s="301"/>
      <c r="CK102" s="293"/>
      <c r="CL102" s="294"/>
      <c r="CM102" s="295"/>
      <c r="CN102" s="302"/>
      <c r="CO102" s="294"/>
      <c r="CP102" s="301"/>
      <c r="CQ102" s="302"/>
      <c r="CR102" s="294"/>
      <c r="CS102" s="301"/>
      <c r="CT102" s="302"/>
      <c r="CU102" s="294"/>
      <c r="CV102" s="301"/>
      <c r="CW102" s="302"/>
      <c r="CX102" s="294"/>
      <c r="CY102" s="301"/>
      <c r="CZ102" s="302"/>
      <c r="DA102" s="294"/>
      <c r="DB102" s="301"/>
      <c r="DC102" s="380">
        <f t="shared" si="101"/>
        <v>0</v>
      </c>
      <c r="DD102" s="381">
        <f t="shared" si="103"/>
        <v>0</v>
      </c>
      <c r="DE102" s="381">
        <f t="shared" si="102"/>
        <v>0</v>
      </c>
      <c r="DF102" s="145">
        <f t="shared" si="10"/>
        <v>0</v>
      </c>
    </row>
    <row r="103" spans="1:110">
      <c r="A103" s="240">
        <v>24</v>
      </c>
      <c r="B103" s="241"/>
      <c r="C103" s="43"/>
      <c r="D103" s="57"/>
      <c r="E103" s="293"/>
      <c r="F103" s="294"/>
      <c r="G103" s="295"/>
      <c r="H103" s="302"/>
      <c r="I103" s="294"/>
      <c r="J103" s="301"/>
      <c r="K103" s="293"/>
      <c r="L103" s="294"/>
      <c r="M103" s="295"/>
      <c r="N103" s="302"/>
      <c r="O103" s="294"/>
      <c r="P103" s="301"/>
      <c r="Q103" s="293"/>
      <c r="R103" s="294"/>
      <c r="S103" s="295"/>
      <c r="T103" s="302"/>
      <c r="U103" s="294"/>
      <c r="V103" s="301"/>
      <c r="W103" s="293"/>
      <c r="X103" s="294"/>
      <c r="Y103" s="295"/>
      <c r="Z103" s="302"/>
      <c r="AA103" s="294"/>
      <c r="AB103" s="301"/>
      <c r="AC103" s="293"/>
      <c r="AD103" s="294"/>
      <c r="AE103" s="295"/>
      <c r="AF103" s="302"/>
      <c r="AG103" s="294"/>
      <c r="AH103" s="301"/>
      <c r="AI103" s="293"/>
      <c r="AJ103" s="294"/>
      <c r="AK103" s="295"/>
      <c r="AL103" s="302"/>
      <c r="AM103" s="294"/>
      <c r="AN103" s="301"/>
      <c r="AO103" s="293"/>
      <c r="AP103" s="294"/>
      <c r="AQ103" s="295"/>
      <c r="AR103" s="302"/>
      <c r="AS103" s="294"/>
      <c r="AT103" s="301"/>
      <c r="AU103" s="293"/>
      <c r="AV103" s="294"/>
      <c r="AW103" s="295"/>
      <c r="AX103" s="302"/>
      <c r="AY103" s="294"/>
      <c r="AZ103" s="301"/>
      <c r="BA103" s="293"/>
      <c r="BB103" s="294"/>
      <c r="BC103" s="295"/>
      <c r="BD103" s="302"/>
      <c r="BE103" s="294"/>
      <c r="BF103" s="301"/>
      <c r="BG103" s="293"/>
      <c r="BH103" s="294"/>
      <c r="BI103" s="295"/>
      <c r="BJ103" s="302"/>
      <c r="BK103" s="294"/>
      <c r="BL103" s="301"/>
      <c r="BM103" s="293"/>
      <c r="BN103" s="294"/>
      <c r="BO103" s="295"/>
      <c r="BP103" s="302"/>
      <c r="BQ103" s="294"/>
      <c r="BR103" s="301"/>
      <c r="BS103" s="293"/>
      <c r="BT103" s="294"/>
      <c r="BU103" s="295"/>
      <c r="BV103" s="302"/>
      <c r="BW103" s="294"/>
      <c r="BX103" s="301"/>
      <c r="BY103" s="293"/>
      <c r="BZ103" s="294"/>
      <c r="CA103" s="295"/>
      <c r="CB103" s="302"/>
      <c r="CC103" s="294"/>
      <c r="CD103" s="301"/>
      <c r="CE103" s="293"/>
      <c r="CF103" s="294"/>
      <c r="CG103" s="295"/>
      <c r="CH103" s="302"/>
      <c r="CI103" s="294"/>
      <c r="CJ103" s="301"/>
      <c r="CK103" s="293"/>
      <c r="CL103" s="294"/>
      <c r="CM103" s="295"/>
      <c r="CN103" s="302"/>
      <c r="CO103" s="294"/>
      <c r="CP103" s="301"/>
      <c r="CQ103" s="302"/>
      <c r="CR103" s="294"/>
      <c r="CS103" s="301"/>
      <c r="CT103" s="302"/>
      <c r="CU103" s="294"/>
      <c r="CV103" s="301"/>
      <c r="CW103" s="302"/>
      <c r="CX103" s="294"/>
      <c r="CY103" s="301"/>
      <c r="CZ103" s="302"/>
      <c r="DA103" s="294"/>
      <c r="DB103" s="301"/>
      <c r="DC103" s="380">
        <f t="shared" si="101"/>
        <v>0</v>
      </c>
      <c r="DD103" s="381">
        <f t="shared" si="103"/>
        <v>0</v>
      </c>
      <c r="DE103" s="381">
        <f t="shared" si="102"/>
        <v>0</v>
      </c>
      <c r="DF103" s="145">
        <f t="shared" si="10"/>
        <v>0</v>
      </c>
    </row>
    <row r="104" spans="1:110">
      <c r="A104" s="365">
        <v>25</v>
      </c>
      <c r="B104" s="241"/>
      <c r="C104" s="43"/>
      <c r="D104" s="57"/>
      <c r="E104" s="293"/>
      <c r="F104" s="294"/>
      <c r="G104" s="295"/>
      <c r="H104" s="302"/>
      <c r="I104" s="294"/>
      <c r="J104" s="301"/>
      <c r="K104" s="293"/>
      <c r="L104" s="294"/>
      <c r="M104" s="295"/>
      <c r="N104" s="302"/>
      <c r="O104" s="294"/>
      <c r="P104" s="301"/>
      <c r="Q104" s="293"/>
      <c r="R104" s="294"/>
      <c r="S104" s="295"/>
      <c r="T104" s="302"/>
      <c r="U104" s="294"/>
      <c r="V104" s="301"/>
      <c r="W104" s="293"/>
      <c r="X104" s="294"/>
      <c r="Y104" s="295"/>
      <c r="Z104" s="302"/>
      <c r="AA104" s="294"/>
      <c r="AB104" s="301"/>
      <c r="AC104" s="293"/>
      <c r="AD104" s="294"/>
      <c r="AE104" s="295"/>
      <c r="AF104" s="302"/>
      <c r="AG104" s="294"/>
      <c r="AH104" s="301"/>
      <c r="AI104" s="293"/>
      <c r="AJ104" s="294"/>
      <c r="AK104" s="295"/>
      <c r="AL104" s="302"/>
      <c r="AM104" s="294"/>
      <c r="AN104" s="301"/>
      <c r="AO104" s="293"/>
      <c r="AP104" s="294"/>
      <c r="AQ104" s="295"/>
      <c r="AR104" s="302"/>
      <c r="AS104" s="294"/>
      <c r="AT104" s="301"/>
      <c r="AU104" s="293"/>
      <c r="AV104" s="294"/>
      <c r="AW104" s="295"/>
      <c r="AX104" s="302"/>
      <c r="AY104" s="294"/>
      <c r="AZ104" s="301"/>
      <c r="BA104" s="293"/>
      <c r="BB104" s="294"/>
      <c r="BC104" s="295"/>
      <c r="BD104" s="302"/>
      <c r="BE104" s="294"/>
      <c r="BF104" s="301"/>
      <c r="BG104" s="293"/>
      <c r="BH104" s="294"/>
      <c r="BI104" s="295"/>
      <c r="BJ104" s="302"/>
      <c r="BK104" s="294"/>
      <c r="BL104" s="301"/>
      <c r="BM104" s="293"/>
      <c r="BN104" s="294"/>
      <c r="BO104" s="295"/>
      <c r="BP104" s="302"/>
      <c r="BQ104" s="294"/>
      <c r="BR104" s="301"/>
      <c r="BS104" s="293"/>
      <c r="BT104" s="294"/>
      <c r="BU104" s="295"/>
      <c r="BV104" s="302"/>
      <c r="BW104" s="294"/>
      <c r="BX104" s="301"/>
      <c r="BY104" s="293"/>
      <c r="BZ104" s="294"/>
      <c r="CA104" s="295"/>
      <c r="CB104" s="302"/>
      <c r="CC104" s="294"/>
      <c r="CD104" s="301"/>
      <c r="CE104" s="293"/>
      <c r="CF104" s="294"/>
      <c r="CG104" s="295"/>
      <c r="CH104" s="302"/>
      <c r="CI104" s="294"/>
      <c r="CJ104" s="301"/>
      <c r="CK104" s="293"/>
      <c r="CL104" s="294"/>
      <c r="CM104" s="295"/>
      <c r="CN104" s="302"/>
      <c r="CO104" s="294"/>
      <c r="CP104" s="301"/>
      <c r="CQ104" s="302"/>
      <c r="CR104" s="294"/>
      <c r="CS104" s="301"/>
      <c r="CT104" s="302"/>
      <c r="CU104" s="294"/>
      <c r="CV104" s="301"/>
      <c r="CW104" s="302"/>
      <c r="CX104" s="294"/>
      <c r="CY104" s="301"/>
      <c r="CZ104" s="302"/>
      <c r="DA104" s="294"/>
      <c r="DB104" s="301"/>
      <c r="DC104" s="380">
        <f t="shared" si="101"/>
        <v>0</v>
      </c>
      <c r="DD104" s="381">
        <f t="shared" si="103"/>
        <v>0</v>
      </c>
      <c r="DE104" s="381">
        <f t="shared" si="102"/>
        <v>0</v>
      </c>
      <c r="DF104" s="145">
        <f t="shared" si="10"/>
        <v>0</v>
      </c>
    </row>
    <row r="105" spans="1:110">
      <c r="A105" s="240">
        <v>26</v>
      </c>
      <c r="B105" s="241"/>
      <c r="C105" s="43"/>
      <c r="D105" s="57"/>
      <c r="E105" s="293"/>
      <c r="F105" s="294"/>
      <c r="G105" s="295"/>
      <c r="H105" s="302"/>
      <c r="I105" s="294"/>
      <c r="J105" s="301"/>
      <c r="K105" s="293"/>
      <c r="L105" s="294"/>
      <c r="M105" s="295"/>
      <c r="N105" s="302"/>
      <c r="O105" s="294"/>
      <c r="P105" s="301"/>
      <c r="Q105" s="293"/>
      <c r="R105" s="294"/>
      <c r="S105" s="295"/>
      <c r="T105" s="302"/>
      <c r="U105" s="294"/>
      <c r="V105" s="301"/>
      <c r="W105" s="293"/>
      <c r="X105" s="294"/>
      <c r="Y105" s="295"/>
      <c r="Z105" s="302"/>
      <c r="AA105" s="294"/>
      <c r="AB105" s="301"/>
      <c r="AC105" s="293"/>
      <c r="AD105" s="294"/>
      <c r="AE105" s="295"/>
      <c r="AF105" s="302"/>
      <c r="AG105" s="294"/>
      <c r="AH105" s="301"/>
      <c r="AI105" s="293"/>
      <c r="AJ105" s="294"/>
      <c r="AK105" s="295"/>
      <c r="AL105" s="302"/>
      <c r="AM105" s="294"/>
      <c r="AN105" s="301"/>
      <c r="AO105" s="293"/>
      <c r="AP105" s="294"/>
      <c r="AQ105" s="295"/>
      <c r="AR105" s="302"/>
      <c r="AS105" s="294"/>
      <c r="AT105" s="301"/>
      <c r="AU105" s="293"/>
      <c r="AV105" s="294"/>
      <c r="AW105" s="295"/>
      <c r="AX105" s="302"/>
      <c r="AY105" s="294"/>
      <c r="AZ105" s="301"/>
      <c r="BA105" s="293"/>
      <c r="BB105" s="294"/>
      <c r="BC105" s="295"/>
      <c r="BD105" s="302"/>
      <c r="BE105" s="294"/>
      <c r="BF105" s="301"/>
      <c r="BG105" s="293"/>
      <c r="BH105" s="294"/>
      <c r="BI105" s="295"/>
      <c r="BJ105" s="302"/>
      <c r="BK105" s="294"/>
      <c r="BL105" s="301"/>
      <c r="BM105" s="293"/>
      <c r="BN105" s="294"/>
      <c r="BO105" s="295"/>
      <c r="BP105" s="302"/>
      <c r="BQ105" s="294"/>
      <c r="BR105" s="301"/>
      <c r="BS105" s="293"/>
      <c r="BT105" s="294"/>
      <c r="BU105" s="295"/>
      <c r="BV105" s="302"/>
      <c r="BW105" s="294"/>
      <c r="BX105" s="301"/>
      <c r="BY105" s="293"/>
      <c r="BZ105" s="294"/>
      <c r="CA105" s="295"/>
      <c r="CB105" s="302"/>
      <c r="CC105" s="294"/>
      <c r="CD105" s="301"/>
      <c r="CE105" s="293"/>
      <c r="CF105" s="294"/>
      <c r="CG105" s="295"/>
      <c r="CH105" s="302"/>
      <c r="CI105" s="294"/>
      <c r="CJ105" s="301"/>
      <c r="CK105" s="293"/>
      <c r="CL105" s="294"/>
      <c r="CM105" s="295"/>
      <c r="CN105" s="302"/>
      <c r="CO105" s="294"/>
      <c r="CP105" s="301"/>
      <c r="CQ105" s="302"/>
      <c r="CR105" s="294"/>
      <c r="CS105" s="301"/>
      <c r="CT105" s="302"/>
      <c r="CU105" s="294"/>
      <c r="CV105" s="301"/>
      <c r="CW105" s="302"/>
      <c r="CX105" s="294"/>
      <c r="CY105" s="301"/>
      <c r="CZ105" s="302"/>
      <c r="DA105" s="294"/>
      <c r="DB105" s="301"/>
      <c r="DC105" s="380">
        <f t="shared" si="101"/>
        <v>0</v>
      </c>
      <c r="DD105" s="381">
        <f t="shared" si="103"/>
        <v>0</v>
      </c>
      <c r="DE105" s="381">
        <f t="shared" si="102"/>
        <v>0</v>
      </c>
      <c r="DF105" s="145">
        <f t="shared" si="10"/>
        <v>0</v>
      </c>
    </row>
    <row r="106" spans="1:110">
      <c r="A106" s="240">
        <v>27</v>
      </c>
      <c r="B106" s="241"/>
      <c r="C106" s="43"/>
      <c r="D106" s="57"/>
      <c r="E106" s="293"/>
      <c r="F106" s="294"/>
      <c r="G106" s="295"/>
      <c r="H106" s="302"/>
      <c r="I106" s="294"/>
      <c r="J106" s="301"/>
      <c r="K106" s="293"/>
      <c r="L106" s="294"/>
      <c r="M106" s="295"/>
      <c r="N106" s="302"/>
      <c r="O106" s="294"/>
      <c r="P106" s="301"/>
      <c r="Q106" s="293"/>
      <c r="R106" s="294"/>
      <c r="S106" s="295"/>
      <c r="T106" s="302"/>
      <c r="U106" s="294"/>
      <c r="V106" s="301"/>
      <c r="W106" s="293"/>
      <c r="X106" s="294"/>
      <c r="Y106" s="295"/>
      <c r="Z106" s="302"/>
      <c r="AA106" s="294"/>
      <c r="AB106" s="301"/>
      <c r="AC106" s="293"/>
      <c r="AD106" s="294"/>
      <c r="AE106" s="295"/>
      <c r="AF106" s="302"/>
      <c r="AG106" s="294"/>
      <c r="AH106" s="301"/>
      <c r="AI106" s="293"/>
      <c r="AJ106" s="294"/>
      <c r="AK106" s="295"/>
      <c r="AL106" s="302"/>
      <c r="AM106" s="294"/>
      <c r="AN106" s="301"/>
      <c r="AO106" s="293"/>
      <c r="AP106" s="294"/>
      <c r="AQ106" s="295"/>
      <c r="AR106" s="302"/>
      <c r="AS106" s="294"/>
      <c r="AT106" s="301"/>
      <c r="AU106" s="293"/>
      <c r="AV106" s="294"/>
      <c r="AW106" s="295"/>
      <c r="AX106" s="302"/>
      <c r="AY106" s="294"/>
      <c r="AZ106" s="301"/>
      <c r="BA106" s="293"/>
      <c r="BB106" s="294"/>
      <c r="BC106" s="295"/>
      <c r="BD106" s="302"/>
      <c r="BE106" s="294"/>
      <c r="BF106" s="301"/>
      <c r="BG106" s="293"/>
      <c r="BH106" s="294"/>
      <c r="BI106" s="295"/>
      <c r="BJ106" s="302"/>
      <c r="BK106" s="294"/>
      <c r="BL106" s="301"/>
      <c r="BM106" s="293"/>
      <c r="BN106" s="294"/>
      <c r="BO106" s="295"/>
      <c r="BP106" s="302"/>
      <c r="BQ106" s="294"/>
      <c r="BR106" s="301"/>
      <c r="BS106" s="293"/>
      <c r="BT106" s="294"/>
      <c r="BU106" s="295"/>
      <c r="BV106" s="302"/>
      <c r="BW106" s="294"/>
      <c r="BX106" s="301"/>
      <c r="BY106" s="293"/>
      <c r="BZ106" s="294"/>
      <c r="CA106" s="295"/>
      <c r="CB106" s="302"/>
      <c r="CC106" s="294"/>
      <c r="CD106" s="301"/>
      <c r="CE106" s="293"/>
      <c r="CF106" s="294"/>
      <c r="CG106" s="295"/>
      <c r="CH106" s="302"/>
      <c r="CI106" s="294"/>
      <c r="CJ106" s="301"/>
      <c r="CK106" s="293"/>
      <c r="CL106" s="294"/>
      <c r="CM106" s="295"/>
      <c r="CN106" s="302"/>
      <c r="CO106" s="294"/>
      <c r="CP106" s="301"/>
      <c r="CQ106" s="302"/>
      <c r="CR106" s="294"/>
      <c r="CS106" s="301"/>
      <c r="CT106" s="302"/>
      <c r="CU106" s="294"/>
      <c r="CV106" s="301"/>
      <c r="CW106" s="302"/>
      <c r="CX106" s="294"/>
      <c r="CY106" s="301"/>
      <c r="CZ106" s="302"/>
      <c r="DA106" s="294"/>
      <c r="DB106" s="301"/>
      <c r="DC106" s="380">
        <f t="shared" si="101"/>
        <v>0</v>
      </c>
      <c r="DD106" s="381">
        <f t="shared" si="103"/>
        <v>0</v>
      </c>
      <c r="DE106" s="381">
        <f t="shared" si="102"/>
        <v>0</v>
      </c>
      <c r="DF106" s="145">
        <f t="shared" si="10"/>
        <v>0</v>
      </c>
    </row>
    <row r="107" spans="1:110">
      <c r="A107" s="365">
        <v>28</v>
      </c>
      <c r="B107" s="241"/>
      <c r="C107" s="43"/>
      <c r="D107" s="57"/>
      <c r="E107" s="293"/>
      <c r="F107" s="294"/>
      <c r="G107" s="295"/>
      <c r="H107" s="302"/>
      <c r="I107" s="294"/>
      <c r="J107" s="301"/>
      <c r="K107" s="293"/>
      <c r="L107" s="294"/>
      <c r="M107" s="295"/>
      <c r="N107" s="302"/>
      <c r="O107" s="294"/>
      <c r="P107" s="301"/>
      <c r="Q107" s="293"/>
      <c r="R107" s="294"/>
      <c r="S107" s="295"/>
      <c r="T107" s="302"/>
      <c r="U107" s="294"/>
      <c r="V107" s="301"/>
      <c r="W107" s="293"/>
      <c r="X107" s="294"/>
      <c r="Y107" s="295"/>
      <c r="Z107" s="302"/>
      <c r="AA107" s="294"/>
      <c r="AB107" s="301"/>
      <c r="AC107" s="293"/>
      <c r="AD107" s="294"/>
      <c r="AE107" s="295"/>
      <c r="AF107" s="302"/>
      <c r="AG107" s="294"/>
      <c r="AH107" s="301"/>
      <c r="AI107" s="293"/>
      <c r="AJ107" s="294"/>
      <c r="AK107" s="295"/>
      <c r="AL107" s="302"/>
      <c r="AM107" s="294"/>
      <c r="AN107" s="301"/>
      <c r="AO107" s="293"/>
      <c r="AP107" s="294"/>
      <c r="AQ107" s="295"/>
      <c r="AR107" s="302"/>
      <c r="AS107" s="294"/>
      <c r="AT107" s="301"/>
      <c r="AU107" s="293"/>
      <c r="AV107" s="294"/>
      <c r="AW107" s="295"/>
      <c r="AX107" s="302"/>
      <c r="AY107" s="294"/>
      <c r="AZ107" s="301"/>
      <c r="BA107" s="293"/>
      <c r="BB107" s="294"/>
      <c r="BC107" s="295"/>
      <c r="BD107" s="302"/>
      <c r="BE107" s="294"/>
      <c r="BF107" s="301"/>
      <c r="BG107" s="293"/>
      <c r="BH107" s="294"/>
      <c r="BI107" s="295"/>
      <c r="BJ107" s="302"/>
      <c r="BK107" s="294"/>
      <c r="BL107" s="301"/>
      <c r="BM107" s="293"/>
      <c r="BN107" s="294"/>
      <c r="BO107" s="295"/>
      <c r="BP107" s="302"/>
      <c r="BQ107" s="294"/>
      <c r="BR107" s="301"/>
      <c r="BS107" s="293"/>
      <c r="BT107" s="294"/>
      <c r="BU107" s="295"/>
      <c r="BV107" s="302"/>
      <c r="BW107" s="294"/>
      <c r="BX107" s="301"/>
      <c r="BY107" s="293"/>
      <c r="BZ107" s="294"/>
      <c r="CA107" s="295"/>
      <c r="CB107" s="302"/>
      <c r="CC107" s="294"/>
      <c r="CD107" s="301"/>
      <c r="CE107" s="293"/>
      <c r="CF107" s="294"/>
      <c r="CG107" s="295"/>
      <c r="CH107" s="302"/>
      <c r="CI107" s="294"/>
      <c r="CJ107" s="301"/>
      <c r="CK107" s="293"/>
      <c r="CL107" s="294"/>
      <c r="CM107" s="295"/>
      <c r="CN107" s="302"/>
      <c r="CO107" s="294"/>
      <c r="CP107" s="301"/>
      <c r="CQ107" s="302"/>
      <c r="CR107" s="294"/>
      <c r="CS107" s="301"/>
      <c r="CT107" s="302"/>
      <c r="CU107" s="294"/>
      <c r="CV107" s="301"/>
      <c r="CW107" s="302"/>
      <c r="CX107" s="294"/>
      <c r="CY107" s="301"/>
      <c r="CZ107" s="302"/>
      <c r="DA107" s="294"/>
      <c r="DB107" s="301"/>
      <c r="DC107" s="380">
        <f t="shared" si="101"/>
        <v>0</v>
      </c>
      <c r="DD107" s="381">
        <f t="shared" si="103"/>
        <v>0</v>
      </c>
      <c r="DE107" s="381">
        <f t="shared" si="102"/>
        <v>0</v>
      </c>
      <c r="DF107" s="145">
        <f t="shared" si="10"/>
        <v>0</v>
      </c>
    </row>
    <row r="108" spans="1:110">
      <c r="A108" s="240">
        <v>29</v>
      </c>
      <c r="B108" s="241"/>
      <c r="C108" s="43"/>
      <c r="D108" s="57"/>
      <c r="E108" s="293"/>
      <c r="F108" s="294"/>
      <c r="G108" s="295"/>
      <c r="H108" s="302"/>
      <c r="I108" s="294"/>
      <c r="J108" s="301"/>
      <c r="K108" s="293"/>
      <c r="L108" s="294"/>
      <c r="M108" s="295"/>
      <c r="N108" s="302"/>
      <c r="O108" s="294"/>
      <c r="P108" s="301"/>
      <c r="Q108" s="293"/>
      <c r="R108" s="294"/>
      <c r="S108" s="295"/>
      <c r="T108" s="302"/>
      <c r="U108" s="294"/>
      <c r="V108" s="301"/>
      <c r="W108" s="293"/>
      <c r="X108" s="294"/>
      <c r="Y108" s="295"/>
      <c r="Z108" s="302"/>
      <c r="AA108" s="294"/>
      <c r="AB108" s="301"/>
      <c r="AC108" s="293"/>
      <c r="AD108" s="294"/>
      <c r="AE108" s="295"/>
      <c r="AF108" s="302"/>
      <c r="AG108" s="294"/>
      <c r="AH108" s="301"/>
      <c r="AI108" s="293"/>
      <c r="AJ108" s="294"/>
      <c r="AK108" s="295"/>
      <c r="AL108" s="302"/>
      <c r="AM108" s="294"/>
      <c r="AN108" s="301"/>
      <c r="AO108" s="293"/>
      <c r="AP108" s="294"/>
      <c r="AQ108" s="295"/>
      <c r="AR108" s="302"/>
      <c r="AS108" s="294"/>
      <c r="AT108" s="301"/>
      <c r="AU108" s="293"/>
      <c r="AV108" s="294"/>
      <c r="AW108" s="295"/>
      <c r="AX108" s="302"/>
      <c r="AY108" s="294"/>
      <c r="AZ108" s="301"/>
      <c r="BA108" s="293"/>
      <c r="BB108" s="294"/>
      <c r="BC108" s="295"/>
      <c r="BD108" s="302"/>
      <c r="BE108" s="294"/>
      <c r="BF108" s="301"/>
      <c r="BG108" s="293"/>
      <c r="BH108" s="294"/>
      <c r="BI108" s="295"/>
      <c r="BJ108" s="302"/>
      <c r="BK108" s="294"/>
      <c r="BL108" s="301"/>
      <c r="BM108" s="293"/>
      <c r="BN108" s="294"/>
      <c r="BO108" s="295"/>
      <c r="BP108" s="302"/>
      <c r="BQ108" s="294"/>
      <c r="BR108" s="301"/>
      <c r="BS108" s="293"/>
      <c r="BT108" s="294"/>
      <c r="BU108" s="295"/>
      <c r="BV108" s="302"/>
      <c r="BW108" s="294"/>
      <c r="BX108" s="301"/>
      <c r="BY108" s="293"/>
      <c r="BZ108" s="294"/>
      <c r="CA108" s="295"/>
      <c r="CB108" s="302"/>
      <c r="CC108" s="294"/>
      <c r="CD108" s="301"/>
      <c r="CE108" s="293"/>
      <c r="CF108" s="294"/>
      <c r="CG108" s="295"/>
      <c r="CH108" s="302"/>
      <c r="CI108" s="294"/>
      <c r="CJ108" s="301"/>
      <c r="CK108" s="293"/>
      <c r="CL108" s="294"/>
      <c r="CM108" s="295"/>
      <c r="CN108" s="302"/>
      <c r="CO108" s="294"/>
      <c r="CP108" s="301"/>
      <c r="CQ108" s="302"/>
      <c r="CR108" s="294"/>
      <c r="CS108" s="301"/>
      <c r="CT108" s="302"/>
      <c r="CU108" s="294"/>
      <c r="CV108" s="301"/>
      <c r="CW108" s="302"/>
      <c r="CX108" s="294"/>
      <c r="CY108" s="301"/>
      <c r="CZ108" s="302"/>
      <c r="DA108" s="294"/>
      <c r="DB108" s="301"/>
      <c r="DC108" s="380">
        <f t="shared" si="101"/>
        <v>0</v>
      </c>
      <c r="DD108" s="381">
        <f t="shared" si="103"/>
        <v>0</v>
      </c>
      <c r="DE108" s="381">
        <f t="shared" si="102"/>
        <v>0</v>
      </c>
      <c r="DF108" s="145">
        <f t="shared" si="10"/>
        <v>0</v>
      </c>
    </row>
    <row r="109" spans="1:110">
      <c r="A109" s="240">
        <v>30</v>
      </c>
      <c r="B109" s="241"/>
      <c r="C109" s="43"/>
      <c r="D109" s="57"/>
      <c r="E109" s="293"/>
      <c r="F109" s="294"/>
      <c r="G109" s="295"/>
      <c r="H109" s="302"/>
      <c r="I109" s="294"/>
      <c r="J109" s="301"/>
      <c r="K109" s="293"/>
      <c r="L109" s="294"/>
      <c r="M109" s="295"/>
      <c r="N109" s="302"/>
      <c r="O109" s="294"/>
      <c r="P109" s="301"/>
      <c r="Q109" s="293"/>
      <c r="R109" s="294"/>
      <c r="S109" s="295"/>
      <c r="T109" s="302"/>
      <c r="U109" s="294"/>
      <c r="V109" s="301"/>
      <c r="W109" s="293"/>
      <c r="X109" s="294"/>
      <c r="Y109" s="295"/>
      <c r="Z109" s="302"/>
      <c r="AA109" s="294"/>
      <c r="AB109" s="301"/>
      <c r="AC109" s="293"/>
      <c r="AD109" s="294"/>
      <c r="AE109" s="295"/>
      <c r="AF109" s="302"/>
      <c r="AG109" s="294"/>
      <c r="AH109" s="301"/>
      <c r="AI109" s="293"/>
      <c r="AJ109" s="294"/>
      <c r="AK109" s="295"/>
      <c r="AL109" s="302"/>
      <c r="AM109" s="294"/>
      <c r="AN109" s="301"/>
      <c r="AO109" s="293"/>
      <c r="AP109" s="294"/>
      <c r="AQ109" s="295"/>
      <c r="AR109" s="302"/>
      <c r="AS109" s="294"/>
      <c r="AT109" s="301"/>
      <c r="AU109" s="293"/>
      <c r="AV109" s="294"/>
      <c r="AW109" s="295"/>
      <c r="AX109" s="302"/>
      <c r="AY109" s="294"/>
      <c r="AZ109" s="301"/>
      <c r="BA109" s="293"/>
      <c r="BB109" s="294"/>
      <c r="BC109" s="295"/>
      <c r="BD109" s="302"/>
      <c r="BE109" s="294"/>
      <c r="BF109" s="301"/>
      <c r="BG109" s="293"/>
      <c r="BH109" s="294"/>
      <c r="BI109" s="295"/>
      <c r="BJ109" s="302"/>
      <c r="BK109" s="294"/>
      <c r="BL109" s="301"/>
      <c r="BM109" s="293"/>
      <c r="BN109" s="294"/>
      <c r="BO109" s="295"/>
      <c r="BP109" s="302"/>
      <c r="BQ109" s="294"/>
      <c r="BR109" s="301"/>
      <c r="BS109" s="293"/>
      <c r="BT109" s="294"/>
      <c r="BU109" s="295"/>
      <c r="BV109" s="302"/>
      <c r="BW109" s="294"/>
      <c r="BX109" s="301"/>
      <c r="BY109" s="293"/>
      <c r="BZ109" s="294"/>
      <c r="CA109" s="295"/>
      <c r="CB109" s="302"/>
      <c r="CC109" s="294"/>
      <c r="CD109" s="301"/>
      <c r="CE109" s="293"/>
      <c r="CF109" s="294"/>
      <c r="CG109" s="295"/>
      <c r="CH109" s="302"/>
      <c r="CI109" s="294"/>
      <c r="CJ109" s="301"/>
      <c r="CK109" s="293"/>
      <c r="CL109" s="294"/>
      <c r="CM109" s="295"/>
      <c r="CN109" s="302"/>
      <c r="CO109" s="294"/>
      <c r="CP109" s="301"/>
      <c r="CQ109" s="302"/>
      <c r="CR109" s="294"/>
      <c r="CS109" s="301"/>
      <c r="CT109" s="302"/>
      <c r="CU109" s="294"/>
      <c r="CV109" s="301"/>
      <c r="CW109" s="302"/>
      <c r="CX109" s="294"/>
      <c r="CY109" s="301"/>
      <c r="CZ109" s="302"/>
      <c r="DA109" s="294"/>
      <c r="DB109" s="301"/>
      <c r="DC109" s="380">
        <f t="shared" si="101"/>
        <v>0</v>
      </c>
      <c r="DD109" s="381">
        <f t="shared" si="103"/>
        <v>0</v>
      </c>
      <c r="DE109" s="381">
        <f t="shared" si="102"/>
        <v>0</v>
      </c>
      <c r="DF109" s="145">
        <f t="shared" si="10"/>
        <v>0</v>
      </c>
    </row>
    <row r="110" spans="1:110">
      <c r="A110" s="365">
        <v>31</v>
      </c>
      <c r="B110" s="241"/>
      <c r="C110" s="43"/>
      <c r="D110" s="57"/>
      <c r="E110" s="293"/>
      <c r="F110" s="294"/>
      <c r="G110" s="295"/>
      <c r="H110" s="302"/>
      <c r="I110" s="294"/>
      <c r="J110" s="301"/>
      <c r="K110" s="293"/>
      <c r="L110" s="294"/>
      <c r="M110" s="295"/>
      <c r="N110" s="302"/>
      <c r="O110" s="294"/>
      <c r="P110" s="301"/>
      <c r="Q110" s="293"/>
      <c r="R110" s="294"/>
      <c r="S110" s="295"/>
      <c r="T110" s="302"/>
      <c r="U110" s="294"/>
      <c r="V110" s="301"/>
      <c r="W110" s="293"/>
      <c r="X110" s="294"/>
      <c r="Y110" s="295"/>
      <c r="Z110" s="303"/>
      <c r="AA110" s="304"/>
      <c r="AB110" s="305"/>
      <c r="AC110" s="293"/>
      <c r="AD110" s="294"/>
      <c r="AE110" s="295"/>
      <c r="AF110" s="302"/>
      <c r="AG110" s="294"/>
      <c r="AH110" s="301"/>
      <c r="AI110" s="293"/>
      <c r="AJ110" s="294"/>
      <c r="AK110" s="295"/>
      <c r="AL110" s="302"/>
      <c r="AM110" s="294"/>
      <c r="AN110" s="301"/>
      <c r="AO110" s="293"/>
      <c r="AP110" s="294"/>
      <c r="AQ110" s="295"/>
      <c r="AR110" s="302"/>
      <c r="AS110" s="294"/>
      <c r="AT110" s="301"/>
      <c r="AU110" s="293"/>
      <c r="AV110" s="294"/>
      <c r="AW110" s="295"/>
      <c r="AX110" s="302"/>
      <c r="AY110" s="294"/>
      <c r="AZ110" s="301"/>
      <c r="BA110" s="293"/>
      <c r="BB110" s="294"/>
      <c r="BC110" s="295"/>
      <c r="BD110" s="302"/>
      <c r="BE110" s="294"/>
      <c r="BF110" s="301"/>
      <c r="BG110" s="293"/>
      <c r="BH110" s="294"/>
      <c r="BI110" s="295"/>
      <c r="BJ110" s="302"/>
      <c r="BK110" s="294"/>
      <c r="BL110" s="301"/>
      <c r="BM110" s="293"/>
      <c r="BN110" s="294"/>
      <c r="BO110" s="295"/>
      <c r="BP110" s="302"/>
      <c r="BQ110" s="294"/>
      <c r="BR110" s="301"/>
      <c r="BS110" s="293"/>
      <c r="BT110" s="294"/>
      <c r="BU110" s="295"/>
      <c r="BV110" s="302"/>
      <c r="BW110" s="294"/>
      <c r="BX110" s="301"/>
      <c r="BY110" s="293"/>
      <c r="BZ110" s="294"/>
      <c r="CA110" s="295"/>
      <c r="CB110" s="302"/>
      <c r="CC110" s="294"/>
      <c r="CD110" s="301"/>
      <c r="CE110" s="293"/>
      <c r="CF110" s="294"/>
      <c r="CG110" s="295"/>
      <c r="CH110" s="302"/>
      <c r="CI110" s="294"/>
      <c r="CJ110" s="301"/>
      <c r="CK110" s="293"/>
      <c r="CL110" s="294"/>
      <c r="CM110" s="295"/>
      <c r="CN110" s="302"/>
      <c r="CO110" s="294"/>
      <c r="CP110" s="301"/>
      <c r="CQ110" s="302"/>
      <c r="CR110" s="294"/>
      <c r="CS110" s="301"/>
      <c r="CT110" s="302"/>
      <c r="CU110" s="294"/>
      <c r="CV110" s="301"/>
      <c r="CW110" s="302"/>
      <c r="CX110" s="294"/>
      <c r="CY110" s="301"/>
      <c r="CZ110" s="302"/>
      <c r="DA110" s="294"/>
      <c r="DB110" s="301"/>
      <c r="DC110" s="380">
        <f t="shared" si="101"/>
        <v>0</v>
      </c>
      <c r="DD110" s="381">
        <f t="shared" si="103"/>
        <v>0</v>
      </c>
      <c r="DE110" s="381">
        <f t="shared" si="102"/>
        <v>0</v>
      </c>
      <c r="DF110" s="145">
        <f t="shared" si="10"/>
        <v>0</v>
      </c>
    </row>
    <row r="111" spans="1:110">
      <c r="A111" s="364"/>
      <c r="B111" s="113">
        <f>SUM(B80:B110)</f>
        <v>0</v>
      </c>
      <c r="C111" s="113">
        <f t="shared" ref="C111:AN111" si="104">SUM(C80:C110)</f>
        <v>0</v>
      </c>
      <c r="D111" s="113">
        <f t="shared" si="104"/>
        <v>0</v>
      </c>
      <c r="E111" s="297">
        <f t="shared" si="104"/>
        <v>0</v>
      </c>
      <c r="F111" s="113">
        <f t="shared" si="104"/>
        <v>0</v>
      </c>
      <c r="G111" s="306">
        <f t="shared" si="104"/>
        <v>0</v>
      </c>
      <c r="H111" s="113">
        <f t="shared" si="104"/>
        <v>0</v>
      </c>
      <c r="I111" s="113">
        <f t="shared" si="104"/>
        <v>0</v>
      </c>
      <c r="J111" s="113">
        <f t="shared" si="104"/>
        <v>0</v>
      </c>
      <c r="K111" s="297">
        <f t="shared" si="104"/>
        <v>0</v>
      </c>
      <c r="L111" s="113">
        <f t="shared" si="104"/>
        <v>0</v>
      </c>
      <c r="M111" s="306">
        <f t="shared" si="104"/>
        <v>0</v>
      </c>
      <c r="N111" s="113">
        <f t="shared" si="104"/>
        <v>0</v>
      </c>
      <c r="O111" s="113">
        <f t="shared" si="104"/>
        <v>0</v>
      </c>
      <c r="P111" s="113">
        <f t="shared" si="104"/>
        <v>0</v>
      </c>
      <c r="Q111" s="297">
        <f t="shared" si="104"/>
        <v>0</v>
      </c>
      <c r="R111" s="113">
        <f t="shared" si="104"/>
        <v>0</v>
      </c>
      <c r="S111" s="306">
        <f t="shared" si="104"/>
        <v>0</v>
      </c>
      <c r="T111" s="113">
        <f t="shared" si="104"/>
        <v>0</v>
      </c>
      <c r="U111" s="113">
        <f t="shared" si="104"/>
        <v>0</v>
      </c>
      <c r="V111" s="113">
        <f t="shared" si="104"/>
        <v>0</v>
      </c>
      <c r="W111" s="297">
        <f t="shared" si="104"/>
        <v>0</v>
      </c>
      <c r="X111" s="113">
        <f t="shared" si="104"/>
        <v>0</v>
      </c>
      <c r="Y111" s="113">
        <f t="shared" si="104"/>
        <v>0</v>
      </c>
      <c r="Z111" s="113">
        <f t="shared" si="104"/>
        <v>0</v>
      </c>
      <c r="AA111" s="113">
        <f t="shared" si="104"/>
        <v>0</v>
      </c>
      <c r="AB111" s="113">
        <f t="shared" si="104"/>
        <v>0</v>
      </c>
      <c r="AC111" s="113">
        <f t="shared" si="104"/>
        <v>0</v>
      </c>
      <c r="AD111" s="113">
        <f t="shared" si="104"/>
        <v>0</v>
      </c>
      <c r="AE111" s="306">
        <f t="shared" si="104"/>
        <v>0</v>
      </c>
      <c r="AF111" s="113">
        <f t="shared" si="104"/>
        <v>0</v>
      </c>
      <c r="AG111" s="113">
        <f t="shared" si="104"/>
        <v>0</v>
      </c>
      <c r="AH111" s="113">
        <f t="shared" si="104"/>
        <v>0</v>
      </c>
      <c r="AI111" s="297">
        <f t="shared" si="104"/>
        <v>0</v>
      </c>
      <c r="AJ111" s="113">
        <f t="shared" si="104"/>
        <v>0</v>
      </c>
      <c r="AK111" s="306">
        <f t="shared" si="104"/>
        <v>0</v>
      </c>
      <c r="AL111" s="113">
        <f t="shared" si="104"/>
        <v>0</v>
      </c>
      <c r="AM111" s="113">
        <f t="shared" si="104"/>
        <v>0</v>
      </c>
      <c r="AN111" s="113">
        <f t="shared" si="104"/>
        <v>0</v>
      </c>
      <c r="AO111" s="297">
        <f t="shared" ref="AO111:CA111" si="105">SUM(AO80:AO110)</f>
        <v>0</v>
      </c>
      <c r="AP111" s="113">
        <f t="shared" si="105"/>
        <v>0</v>
      </c>
      <c r="AQ111" s="306">
        <f t="shared" si="105"/>
        <v>0</v>
      </c>
      <c r="AR111" s="113">
        <f t="shared" si="105"/>
        <v>0</v>
      </c>
      <c r="AS111" s="113">
        <f t="shared" si="105"/>
        <v>0</v>
      </c>
      <c r="AT111" s="113">
        <f t="shared" si="105"/>
        <v>0</v>
      </c>
      <c r="AU111" s="297">
        <f t="shared" si="105"/>
        <v>0</v>
      </c>
      <c r="AV111" s="113">
        <f t="shared" si="105"/>
        <v>0</v>
      </c>
      <c r="AW111" s="306">
        <f t="shared" si="105"/>
        <v>0</v>
      </c>
      <c r="AX111" s="113">
        <f t="shared" si="105"/>
        <v>0</v>
      </c>
      <c r="AY111" s="113">
        <f t="shared" si="105"/>
        <v>0</v>
      </c>
      <c r="AZ111" s="113">
        <f t="shared" si="105"/>
        <v>0</v>
      </c>
      <c r="BA111" s="297">
        <f t="shared" si="105"/>
        <v>0</v>
      </c>
      <c r="BB111" s="113">
        <f t="shared" si="105"/>
        <v>0</v>
      </c>
      <c r="BC111" s="306">
        <f t="shared" si="105"/>
        <v>0</v>
      </c>
      <c r="BD111" s="113">
        <f t="shared" si="105"/>
        <v>0</v>
      </c>
      <c r="BE111" s="113">
        <f t="shared" si="105"/>
        <v>0</v>
      </c>
      <c r="BF111" s="113">
        <f t="shared" si="105"/>
        <v>0</v>
      </c>
      <c r="BG111" s="297">
        <f t="shared" si="105"/>
        <v>0</v>
      </c>
      <c r="BH111" s="113">
        <f t="shared" si="105"/>
        <v>0</v>
      </c>
      <c r="BI111" s="306">
        <f t="shared" si="105"/>
        <v>0</v>
      </c>
      <c r="BJ111" s="113">
        <f t="shared" si="105"/>
        <v>0</v>
      </c>
      <c r="BK111" s="113">
        <f t="shared" si="105"/>
        <v>0</v>
      </c>
      <c r="BL111" s="113">
        <f t="shared" si="105"/>
        <v>0</v>
      </c>
      <c r="BM111" s="297">
        <f t="shared" si="105"/>
        <v>0</v>
      </c>
      <c r="BN111" s="113">
        <f t="shared" si="105"/>
        <v>0</v>
      </c>
      <c r="BO111" s="306">
        <f t="shared" si="105"/>
        <v>0</v>
      </c>
      <c r="BP111" s="113">
        <f t="shared" si="105"/>
        <v>0</v>
      </c>
      <c r="BQ111" s="113">
        <f t="shared" si="105"/>
        <v>0</v>
      </c>
      <c r="BR111" s="113">
        <f t="shared" si="105"/>
        <v>0</v>
      </c>
      <c r="BS111" s="297">
        <f t="shared" si="105"/>
        <v>0</v>
      </c>
      <c r="BT111" s="113">
        <f t="shared" si="105"/>
        <v>0</v>
      </c>
      <c r="BU111" s="306">
        <f t="shared" si="105"/>
        <v>0</v>
      </c>
      <c r="BV111" s="113">
        <f t="shared" si="105"/>
        <v>0</v>
      </c>
      <c r="BW111" s="113">
        <f t="shared" si="105"/>
        <v>0</v>
      </c>
      <c r="BX111" s="113">
        <f t="shared" si="105"/>
        <v>0</v>
      </c>
      <c r="BY111" s="297">
        <f t="shared" si="105"/>
        <v>0</v>
      </c>
      <c r="BZ111" s="113">
        <f t="shared" si="105"/>
        <v>0</v>
      </c>
      <c r="CA111" s="306">
        <f t="shared" si="105"/>
        <v>0</v>
      </c>
      <c r="CB111" s="113">
        <f t="shared" ref="CB111:DB111" si="106">SUM(CB80:CB110)</f>
        <v>0</v>
      </c>
      <c r="CC111" s="113">
        <f t="shared" si="106"/>
        <v>0</v>
      </c>
      <c r="CD111" s="113">
        <f t="shared" si="106"/>
        <v>0</v>
      </c>
      <c r="CE111" s="297">
        <f t="shared" si="106"/>
        <v>0</v>
      </c>
      <c r="CF111" s="113">
        <f t="shared" si="106"/>
        <v>0</v>
      </c>
      <c r="CG111" s="306">
        <f t="shared" si="106"/>
        <v>0</v>
      </c>
      <c r="CH111" s="306">
        <f t="shared" si="106"/>
        <v>0</v>
      </c>
      <c r="CI111" s="306">
        <f t="shared" si="106"/>
        <v>0</v>
      </c>
      <c r="CJ111" s="306">
        <f t="shared" si="106"/>
        <v>0</v>
      </c>
      <c r="CK111" s="306">
        <f t="shared" si="106"/>
        <v>0</v>
      </c>
      <c r="CL111" s="306">
        <f t="shared" si="106"/>
        <v>0</v>
      </c>
      <c r="CM111" s="306">
        <f t="shared" si="106"/>
        <v>0</v>
      </c>
      <c r="CN111" s="306">
        <f t="shared" si="106"/>
        <v>0</v>
      </c>
      <c r="CO111" s="306">
        <f t="shared" si="106"/>
        <v>0</v>
      </c>
      <c r="CP111" s="306">
        <f t="shared" si="106"/>
        <v>0</v>
      </c>
      <c r="CQ111" s="306">
        <f t="shared" ref="CQ111:CY111" si="107">SUM(CQ80:CQ110)</f>
        <v>0</v>
      </c>
      <c r="CR111" s="306">
        <f t="shared" si="107"/>
        <v>0</v>
      </c>
      <c r="CS111" s="306">
        <f t="shared" si="107"/>
        <v>0</v>
      </c>
      <c r="CT111" s="306">
        <f t="shared" si="107"/>
        <v>0</v>
      </c>
      <c r="CU111" s="306">
        <f t="shared" si="107"/>
        <v>0</v>
      </c>
      <c r="CV111" s="306">
        <f t="shared" si="107"/>
        <v>0</v>
      </c>
      <c r="CW111" s="306">
        <f t="shared" si="107"/>
        <v>0</v>
      </c>
      <c r="CX111" s="306">
        <f t="shared" si="107"/>
        <v>0</v>
      </c>
      <c r="CY111" s="306">
        <f t="shared" si="107"/>
        <v>0</v>
      </c>
      <c r="CZ111" s="306">
        <f t="shared" si="106"/>
        <v>0</v>
      </c>
      <c r="DA111" s="306">
        <f t="shared" si="106"/>
        <v>0</v>
      </c>
      <c r="DB111" s="306">
        <f t="shared" si="106"/>
        <v>0</v>
      </c>
      <c r="DC111" s="394">
        <f t="shared" ref="DC111:DE111" si="108">SUM(DC80:DC110)</f>
        <v>0</v>
      </c>
      <c r="DD111" s="394">
        <f t="shared" si="108"/>
        <v>0</v>
      </c>
      <c r="DE111" s="394">
        <f t="shared" si="108"/>
        <v>0</v>
      </c>
      <c r="DF111" s="145">
        <f t="shared" si="10"/>
        <v>0</v>
      </c>
    </row>
    <row r="113" spans="1:110">
      <c r="A113" s="403" t="s">
        <v>2</v>
      </c>
      <c r="B113" s="426" t="s">
        <v>3</v>
      </c>
      <c r="C113" s="424"/>
      <c r="D113" s="427"/>
      <c r="E113" s="423" t="s">
        <v>4</v>
      </c>
      <c r="F113" s="424"/>
      <c r="G113" s="425"/>
      <c r="H113" s="426" t="s">
        <v>5</v>
      </c>
      <c r="I113" s="424"/>
      <c r="J113" s="427"/>
      <c r="K113" s="423" t="s">
        <v>6</v>
      </c>
      <c r="L113" s="424"/>
      <c r="M113" s="425"/>
      <c r="N113" s="426" t="s">
        <v>7</v>
      </c>
      <c r="O113" s="424"/>
      <c r="P113" s="427"/>
      <c r="Q113" s="423" t="s">
        <v>8</v>
      </c>
      <c r="R113" s="424"/>
      <c r="S113" s="425"/>
      <c r="T113" s="426" t="s">
        <v>9</v>
      </c>
      <c r="U113" s="424"/>
      <c r="V113" s="427"/>
      <c r="W113" s="423" t="s">
        <v>10</v>
      </c>
      <c r="X113" s="424"/>
      <c r="Y113" s="425"/>
      <c r="Z113" s="426" t="s">
        <v>11</v>
      </c>
      <c r="AA113" s="424"/>
      <c r="AB113" s="427"/>
      <c r="AC113" s="423" t="s">
        <v>12</v>
      </c>
      <c r="AD113" s="424"/>
      <c r="AE113" s="425"/>
      <c r="AF113" s="426" t="s">
        <v>13</v>
      </c>
      <c r="AG113" s="424"/>
      <c r="AH113" s="427"/>
      <c r="AI113" s="423" t="s">
        <v>14</v>
      </c>
      <c r="AJ113" s="424"/>
      <c r="AK113" s="425"/>
      <c r="AL113" s="426" t="s">
        <v>15</v>
      </c>
      <c r="AM113" s="424"/>
      <c r="AN113" s="427"/>
      <c r="AO113" s="423" t="s">
        <v>16</v>
      </c>
      <c r="AP113" s="424"/>
      <c r="AQ113" s="425"/>
      <c r="AR113" s="426" t="s">
        <v>17</v>
      </c>
      <c r="AS113" s="424"/>
      <c r="AT113" s="427"/>
      <c r="AU113" s="417" t="s">
        <v>18</v>
      </c>
      <c r="AV113" s="417"/>
      <c r="AW113" s="417"/>
      <c r="AX113" s="403" t="s">
        <v>19</v>
      </c>
      <c r="AY113" s="417"/>
      <c r="AZ113" s="418"/>
      <c r="BA113" s="417" t="s">
        <v>20</v>
      </c>
      <c r="BB113" s="417"/>
      <c r="BC113" s="417"/>
      <c r="BD113" s="403" t="s">
        <v>21</v>
      </c>
      <c r="BE113" s="417"/>
      <c r="BF113" s="418"/>
      <c r="BG113" s="417" t="s">
        <v>22</v>
      </c>
      <c r="BH113" s="417"/>
      <c r="BI113" s="417"/>
      <c r="BJ113" s="403" t="s">
        <v>23</v>
      </c>
      <c r="BK113" s="417"/>
      <c r="BL113" s="418"/>
      <c r="BM113" s="417" t="s">
        <v>24</v>
      </c>
      <c r="BN113" s="417"/>
      <c r="BO113" s="417"/>
      <c r="BP113" s="403" t="s">
        <v>25</v>
      </c>
      <c r="BQ113" s="417"/>
      <c r="BR113" s="418"/>
      <c r="BS113" s="417" t="s">
        <v>26</v>
      </c>
      <c r="BT113" s="417"/>
      <c r="BU113" s="417"/>
      <c r="BV113" s="403" t="s">
        <v>27</v>
      </c>
      <c r="BW113" s="417"/>
      <c r="BX113" s="418"/>
      <c r="BY113" s="417" t="s">
        <v>28</v>
      </c>
      <c r="BZ113" s="417"/>
      <c r="CA113" s="417"/>
      <c r="CB113" s="403" t="s">
        <v>29</v>
      </c>
      <c r="CC113" s="417"/>
      <c r="CD113" s="418"/>
      <c r="CE113" s="417" t="s">
        <v>30</v>
      </c>
      <c r="CF113" s="417"/>
      <c r="CG113" s="417"/>
      <c r="CH113" s="403" t="s">
        <v>31</v>
      </c>
      <c r="CI113" s="417"/>
      <c r="CJ113" s="418"/>
      <c r="CK113" s="417" t="s">
        <v>32</v>
      </c>
      <c r="CL113" s="417"/>
      <c r="CM113" s="417"/>
      <c r="CN113" s="403" t="s">
        <v>33</v>
      </c>
      <c r="CO113" s="417"/>
      <c r="CP113" s="418"/>
      <c r="CQ113" s="403" t="s">
        <v>34</v>
      </c>
      <c r="CR113" s="417"/>
      <c r="CS113" s="418"/>
      <c r="CT113" s="403" t="s">
        <v>35</v>
      </c>
      <c r="CU113" s="417"/>
      <c r="CV113" s="418"/>
      <c r="CW113" s="403" t="s">
        <v>36</v>
      </c>
      <c r="CX113" s="417"/>
      <c r="CY113" s="418"/>
      <c r="CZ113" s="403" t="s">
        <v>37</v>
      </c>
      <c r="DA113" s="417"/>
      <c r="DB113" s="418"/>
      <c r="DC113" s="422" t="s">
        <v>38</v>
      </c>
      <c r="DD113" s="422"/>
      <c r="DE113" s="428"/>
    </row>
    <row r="114" spans="1:110">
      <c r="A114" s="404"/>
      <c r="B114" s="360" t="s">
        <v>39</v>
      </c>
      <c r="C114" s="361" t="s">
        <v>40</v>
      </c>
      <c r="D114" s="362" t="s">
        <v>41</v>
      </c>
      <c r="E114" s="363" t="s">
        <v>39</v>
      </c>
      <c r="F114" s="361" t="s">
        <v>40</v>
      </c>
      <c r="G114" s="371" t="s">
        <v>41</v>
      </c>
      <c r="H114" s="360" t="s">
        <v>39</v>
      </c>
      <c r="I114" s="361" t="s">
        <v>40</v>
      </c>
      <c r="J114" s="362" t="s">
        <v>41</v>
      </c>
      <c r="K114" s="363" t="s">
        <v>39</v>
      </c>
      <c r="L114" s="361" t="s">
        <v>40</v>
      </c>
      <c r="M114" s="371" t="s">
        <v>41</v>
      </c>
      <c r="N114" s="360" t="s">
        <v>39</v>
      </c>
      <c r="O114" s="361" t="s">
        <v>40</v>
      </c>
      <c r="P114" s="362" t="s">
        <v>41</v>
      </c>
      <c r="Q114" s="363" t="s">
        <v>39</v>
      </c>
      <c r="R114" s="361" t="s">
        <v>40</v>
      </c>
      <c r="S114" s="371" t="s">
        <v>41</v>
      </c>
      <c r="T114" s="360" t="s">
        <v>39</v>
      </c>
      <c r="U114" s="361" t="s">
        <v>40</v>
      </c>
      <c r="V114" s="362" t="s">
        <v>41</v>
      </c>
      <c r="W114" s="363" t="s">
        <v>39</v>
      </c>
      <c r="X114" s="361" t="s">
        <v>40</v>
      </c>
      <c r="Y114" s="371" t="s">
        <v>41</v>
      </c>
      <c r="Z114" s="360" t="s">
        <v>39</v>
      </c>
      <c r="AA114" s="361" t="s">
        <v>40</v>
      </c>
      <c r="AB114" s="362" t="s">
        <v>41</v>
      </c>
      <c r="AC114" s="363" t="s">
        <v>39</v>
      </c>
      <c r="AD114" s="361" t="s">
        <v>40</v>
      </c>
      <c r="AE114" s="371" t="s">
        <v>41</v>
      </c>
      <c r="AF114" s="360" t="s">
        <v>39</v>
      </c>
      <c r="AG114" s="361" t="s">
        <v>40</v>
      </c>
      <c r="AH114" s="362" t="s">
        <v>41</v>
      </c>
      <c r="AI114" s="363" t="s">
        <v>39</v>
      </c>
      <c r="AJ114" s="361" t="s">
        <v>40</v>
      </c>
      <c r="AK114" s="371" t="s">
        <v>41</v>
      </c>
      <c r="AL114" s="360" t="s">
        <v>39</v>
      </c>
      <c r="AM114" s="361" t="s">
        <v>40</v>
      </c>
      <c r="AN114" s="362" t="s">
        <v>41</v>
      </c>
      <c r="AO114" s="363" t="s">
        <v>39</v>
      </c>
      <c r="AP114" s="361" t="s">
        <v>40</v>
      </c>
      <c r="AQ114" s="371" t="s">
        <v>41</v>
      </c>
      <c r="AR114" s="360" t="s">
        <v>39</v>
      </c>
      <c r="AS114" s="361" t="s">
        <v>40</v>
      </c>
      <c r="AT114" s="362" t="s">
        <v>41</v>
      </c>
      <c r="AU114" s="363" t="s">
        <v>39</v>
      </c>
      <c r="AV114" s="361" t="s">
        <v>40</v>
      </c>
      <c r="AW114" s="371" t="s">
        <v>41</v>
      </c>
      <c r="AX114" s="360" t="s">
        <v>39</v>
      </c>
      <c r="AY114" s="361" t="s">
        <v>40</v>
      </c>
      <c r="AZ114" s="362" t="s">
        <v>41</v>
      </c>
      <c r="BA114" s="363" t="s">
        <v>39</v>
      </c>
      <c r="BB114" s="361" t="s">
        <v>40</v>
      </c>
      <c r="BC114" s="371" t="s">
        <v>41</v>
      </c>
      <c r="BD114" s="360" t="s">
        <v>39</v>
      </c>
      <c r="BE114" s="361" t="s">
        <v>40</v>
      </c>
      <c r="BF114" s="362" t="s">
        <v>41</v>
      </c>
      <c r="BG114" s="363" t="s">
        <v>39</v>
      </c>
      <c r="BH114" s="361" t="s">
        <v>40</v>
      </c>
      <c r="BI114" s="371" t="s">
        <v>41</v>
      </c>
      <c r="BJ114" s="360" t="s">
        <v>39</v>
      </c>
      <c r="BK114" s="361" t="s">
        <v>40</v>
      </c>
      <c r="BL114" s="362" t="s">
        <v>41</v>
      </c>
      <c r="BM114" s="363" t="s">
        <v>39</v>
      </c>
      <c r="BN114" s="361" t="s">
        <v>40</v>
      </c>
      <c r="BO114" s="371" t="s">
        <v>41</v>
      </c>
      <c r="BP114" s="360" t="s">
        <v>39</v>
      </c>
      <c r="BQ114" s="361" t="s">
        <v>40</v>
      </c>
      <c r="BR114" s="362" t="s">
        <v>41</v>
      </c>
      <c r="BS114" s="363" t="s">
        <v>39</v>
      </c>
      <c r="BT114" s="361" t="s">
        <v>40</v>
      </c>
      <c r="BU114" s="371" t="s">
        <v>41</v>
      </c>
      <c r="BV114" s="360" t="s">
        <v>39</v>
      </c>
      <c r="BW114" s="361" t="s">
        <v>40</v>
      </c>
      <c r="BX114" s="362" t="s">
        <v>41</v>
      </c>
      <c r="BY114" s="363" t="s">
        <v>39</v>
      </c>
      <c r="BZ114" s="361" t="s">
        <v>40</v>
      </c>
      <c r="CA114" s="371" t="s">
        <v>41</v>
      </c>
      <c r="CB114" s="360" t="s">
        <v>39</v>
      </c>
      <c r="CC114" s="361" t="s">
        <v>40</v>
      </c>
      <c r="CD114" s="362" t="s">
        <v>41</v>
      </c>
      <c r="CE114" s="363" t="s">
        <v>39</v>
      </c>
      <c r="CF114" s="361" t="s">
        <v>40</v>
      </c>
      <c r="CG114" s="371" t="s">
        <v>41</v>
      </c>
      <c r="CH114" s="360" t="s">
        <v>39</v>
      </c>
      <c r="CI114" s="361" t="s">
        <v>40</v>
      </c>
      <c r="CJ114" s="362" t="s">
        <v>41</v>
      </c>
      <c r="CK114" s="378" t="s">
        <v>39</v>
      </c>
      <c r="CL114" s="379" t="s">
        <v>40</v>
      </c>
      <c r="CM114" s="391" t="s">
        <v>41</v>
      </c>
      <c r="CN114" s="392" t="s">
        <v>39</v>
      </c>
      <c r="CO114" s="379" t="s">
        <v>40</v>
      </c>
      <c r="CP114" s="393" t="s">
        <v>41</v>
      </c>
      <c r="CQ114" s="375" t="s">
        <v>39</v>
      </c>
      <c r="CR114" s="376" t="s">
        <v>40</v>
      </c>
      <c r="CS114" s="377" t="s">
        <v>41</v>
      </c>
      <c r="CT114" s="375" t="s">
        <v>39</v>
      </c>
      <c r="CU114" s="376" t="s">
        <v>40</v>
      </c>
      <c r="CV114" s="377" t="s">
        <v>41</v>
      </c>
      <c r="CW114" s="375" t="s">
        <v>39</v>
      </c>
      <c r="CX114" s="376" t="s">
        <v>40</v>
      </c>
      <c r="CY114" s="377" t="s">
        <v>41</v>
      </c>
      <c r="CZ114" s="375" t="s">
        <v>39</v>
      </c>
      <c r="DA114" s="376" t="s">
        <v>40</v>
      </c>
      <c r="DB114" s="377" t="s">
        <v>41</v>
      </c>
      <c r="DC114" s="383" t="s">
        <v>39</v>
      </c>
      <c r="DD114" s="193" t="s">
        <v>40</v>
      </c>
      <c r="DE114" s="193" t="s">
        <v>41</v>
      </c>
    </row>
    <row r="115" spans="1:110">
      <c r="A115" s="365">
        <v>1</v>
      </c>
      <c r="B115" s="116">
        <f>+B8+B44+B80</f>
        <v>0</v>
      </c>
      <c r="C115" s="117">
        <f t="shared" ref="C115:AN115" si="109">+C8+C44+C80</f>
        <v>0</v>
      </c>
      <c r="D115" s="119">
        <f t="shared" si="109"/>
        <v>0</v>
      </c>
      <c r="E115" s="194">
        <f t="shared" si="109"/>
        <v>0</v>
      </c>
      <c r="F115" s="117">
        <f t="shared" si="109"/>
        <v>0</v>
      </c>
      <c r="G115" s="118">
        <f t="shared" si="109"/>
        <v>0</v>
      </c>
      <c r="H115" s="116">
        <f t="shared" si="109"/>
        <v>0</v>
      </c>
      <c r="I115" s="117">
        <f t="shared" si="109"/>
        <v>0</v>
      </c>
      <c r="J115" s="119">
        <f t="shared" si="109"/>
        <v>0</v>
      </c>
      <c r="K115" s="194">
        <f t="shared" si="109"/>
        <v>0</v>
      </c>
      <c r="L115" s="117">
        <f t="shared" si="109"/>
        <v>0</v>
      </c>
      <c r="M115" s="118">
        <f t="shared" si="109"/>
        <v>0</v>
      </c>
      <c r="N115" s="116">
        <f t="shared" si="109"/>
        <v>0</v>
      </c>
      <c r="O115" s="117">
        <f t="shared" si="109"/>
        <v>0</v>
      </c>
      <c r="P115" s="119">
        <f t="shared" si="109"/>
        <v>0</v>
      </c>
      <c r="Q115" s="194">
        <f t="shared" si="109"/>
        <v>0</v>
      </c>
      <c r="R115" s="117">
        <f t="shared" si="109"/>
        <v>0</v>
      </c>
      <c r="S115" s="118">
        <f t="shared" si="109"/>
        <v>0</v>
      </c>
      <c r="T115" s="116">
        <f t="shared" si="109"/>
        <v>0</v>
      </c>
      <c r="U115" s="117">
        <f t="shared" si="109"/>
        <v>0</v>
      </c>
      <c r="V115" s="119">
        <f t="shared" si="109"/>
        <v>0</v>
      </c>
      <c r="W115" s="194">
        <f t="shared" si="109"/>
        <v>0</v>
      </c>
      <c r="X115" s="117">
        <f t="shared" si="109"/>
        <v>0</v>
      </c>
      <c r="Y115" s="118">
        <f t="shared" si="109"/>
        <v>0</v>
      </c>
      <c r="Z115" s="116">
        <f t="shared" si="109"/>
        <v>0</v>
      </c>
      <c r="AA115" s="117">
        <f t="shared" si="109"/>
        <v>0</v>
      </c>
      <c r="AB115" s="119">
        <f t="shared" si="109"/>
        <v>0</v>
      </c>
      <c r="AC115" s="194">
        <f t="shared" si="109"/>
        <v>0</v>
      </c>
      <c r="AD115" s="117">
        <f t="shared" si="109"/>
        <v>0</v>
      </c>
      <c r="AE115" s="118">
        <f t="shared" si="109"/>
        <v>0</v>
      </c>
      <c r="AF115" s="116">
        <f t="shared" si="109"/>
        <v>0</v>
      </c>
      <c r="AG115" s="117">
        <f t="shared" si="109"/>
        <v>0</v>
      </c>
      <c r="AH115" s="119">
        <f t="shared" si="109"/>
        <v>0</v>
      </c>
      <c r="AI115" s="194">
        <f t="shared" si="109"/>
        <v>0</v>
      </c>
      <c r="AJ115" s="117">
        <f t="shared" si="109"/>
        <v>0</v>
      </c>
      <c r="AK115" s="118">
        <f t="shared" si="109"/>
        <v>0</v>
      </c>
      <c r="AL115" s="116">
        <f t="shared" si="109"/>
        <v>0</v>
      </c>
      <c r="AM115" s="117">
        <f t="shared" si="109"/>
        <v>0</v>
      </c>
      <c r="AN115" s="119">
        <f t="shared" si="109"/>
        <v>0</v>
      </c>
      <c r="AO115" s="194">
        <f t="shared" ref="AO115:CA115" si="110">+AO8+AO44+AO80</f>
        <v>0</v>
      </c>
      <c r="AP115" s="117">
        <f t="shared" si="110"/>
        <v>0</v>
      </c>
      <c r="AQ115" s="118">
        <f t="shared" si="110"/>
        <v>0</v>
      </c>
      <c r="AR115" s="116">
        <f t="shared" si="110"/>
        <v>0</v>
      </c>
      <c r="AS115" s="117">
        <f t="shared" si="110"/>
        <v>0</v>
      </c>
      <c r="AT115" s="119">
        <f t="shared" si="110"/>
        <v>0</v>
      </c>
      <c r="AU115" s="194">
        <f t="shared" si="110"/>
        <v>0</v>
      </c>
      <c r="AV115" s="117">
        <f t="shared" si="110"/>
        <v>0</v>
      </c>
      <c r="AW115" s="118">
        <f t="shared" si="110"/>
        <v>0</v>
      </c>
      <c r="AX115" s="116">
        <f t="shared" si="110"/>
        <v>0</v>
      </c>
      <c r="AY115" s="117">
        <f t="shared" si="110"/>
        <v>0</v>
      </c>
      <c r="AZ115" s="119">
        <f t="shared" si="110"/>
        <v>0</v>
      </c>
      <c r="BA115" s="194">
        <f t="shared" si="110"/>
        <v>0</v>
      </c>
      <c r="BB115" s="117">
        <f t="shared" si="110"/>
        <v>0</v>
      </c>
      <c r="BC115" s="118">
        <f t="shared" si="110"/>
        <v>0</v>
      </c>
      <c r="BD115" s="116">
        <f t="shared" si="110"/>
        <v>0</v>
      </c>
      <c r="BE115" s="117">
        <f t="shared" si="110"/>
        <v>0</v>
      </c>
      <c r="BF115" s="119">
        <f t="shared" si="110"/>
        <v>0</v>
      </c>
      <c r="BG115" s="194">
        <f t="shared" si="110"/>
        <v>0</v>
      </c>
      <c r="BH115" s="117">
        <f t="shared" si="110"/>
        <v>0</v>
      </c>
      <c r="BI115" s="118">
        <f t="shared" si="110"/>
        <v>0</v>
      </c>
      <c r="BJ115" s="116">
        <f t="shared" si="110"/>
        <v>0</v>
      </c>
      <c r="BK115" s="117">
        <f t="shared" si="110"/>
        <v>0</v>
      </c>
      <c r="BL115" s="119">
        <f t="shared" si="110"/>
        <v>0</v>
      </c>
      <c r="BM115" s="194">
        <f t="shared" si="110"/>
        <v>0</v>
      </c>
      <c r="BN115" s="117">
        <f t="shared" si="110"/>
        <v>0</v>
      </c>
      <c r="BO115" s="118">
        <f t="shared" si="110"/>
        <v>0</v>
      </c>
      <c r="BP115" s="116">
        <f t="shared" si="110"/>
        <v>0</v>
      </c>
      <c r="BQ115" s="117">
        <f t="shared" si="110"/>
        <v>0</v>
      </c>
      <c r="BR115" s="119">
        <f t="shared" si="110"/>
        <v>0</v>
      </c>
      <c r="BS115" s="194">
        <f t="shared" si="110"/>
        <v>0</v>
      </c>
      <c r="BT115" s="117">
        <f t="shared" si="110"/>
        <v>0</v>
      </c>
      <c r="BU115" s="118">
        <f t="shared" si="110"/>
        <v>0</v>
      </c>
      <c r="BV115" s="116">
        <f t="shared" si="110"/>
        <v>0</v>
      </c>
      <c r="BW115" s="117">
        <f t="shared" si="110"/>
        <v>0</v>
      </c>
      <c r="BX115" s="119">
        <f t="shared" si="110"/>
        <v>0</v>
      </c>
      <c r="BY115" s="194">
        <f t="shared" si="110"/>
        <v>0</v>
      </c>
      <c r="BZ115" s="117">
        <f t="shared" si="110"/>
        <v>0</v>
      </c>
      <c r="CA115" s="118">
        <f t="shared" si="110"/>
        <v>0</v>
      </c>
      <c r="CB115" s="116">
        <f t="shared" ref="CB115:DB115" si="111">+CB8+CB44+CB80</f>
        <v>0</v>
      </c>
      <c r="CC115" s="117">
        <f t="shared" si="111"/>
        <v>0</v>
      </c>
      <c r="CD115" s="119">
        <f t="shared" si="111"/>
        <v>0</v>
      </c>
      <c r="CE115" s="194">
        <f t="shared" si="111"/>
        <v>0</v>
      </c>
      <c r="CF115" s="117">
        <f t="shared" si="111"/>
        <v>0</v>
      </c>
      <c r="CG115" s="118">
        <f t="shared" si="111"/>
        <v>0</v>
      </c>
      <c r="CH115" s="116">
        <f t="shared" si="111"/>
        <v>0</v>
      </c>
      <c r="CI115" s="117">
        <f t="shared" si="111"/>
        <v>0</v>
      </c>
      <c r="CJ115" s="118">
        <f t="shared" si="111"/>
        <v>0</v>
      </c>
      <c r="CK115" s="120">
        <f t="shared" si="111"/>
        <v>0</v>
      </c>
      <c r="CL115" s="41">
        <f t="shared" si="111"/>
        <v>0</v>
      </c>
      <c r="CM115" s="121">
        <f t="shared" si="111"/>
        <v>0</v>
      </c>
      <c r="CN115" s="120">
        <f t="shared" si="111"/>
        <v>0</v>
      </c>
      <c r="CO115" s="41">
        <f t="shared" si="111"/>
        <v>0</v>
      </c>
      <c r="CP115" s="122">
        <f t="shared" si="111"/>
        <v>0</v>
      </c>
      <c r="CQ115" s="194">
        <f t="shared" si="111"/>
        <v>0</v>
      </c>
      <c r="CR115" s="117">
        <f t="shared" ref="CR115:CT115" si="112">+CR8+CR44+CR80</f>
        <v>0</v>
      </c>
      <c r="CS115" s="119">
        <f t="shared" si="112"/>
        <v>0</v>
      </c>
      <c r="CT115" s="194">
        <f t="shared" si="112"/>
        <v>0</v>
      </c>
      <c r="CU115" s="117">
        <f t="shared" ref="CU115:CW115" si="113">+CU8+CU44+CU80</f>
        <v>0</v>
      </c>
      <c r="CV115" s="119">
        <f t="shared" si="113"/>
        <v>0</v>
      </c>
      <c r="CW115" s="194">
        <f t="shared" si="113"/>
        <v>0</v>
      </c>
      <c r="CX115" s="117">
        <f t="shared" ref="CX115:CZ115" si="114">+CX8+CX44+CX80</f>
        <v>0</v>
      </c>
      <c r="CY115" s="119">
        <f t="shared" si="114"/>
        <v>0</v>
      </c>
      <c r="CZ115" s="194">
        <f t="shared" si="114"/>
        <v>0</v>
      </c>
      <c r="DA115" s="117">
        <f t="shared" si="111"/>
        <v>0</v>
      </c>
      <c r="DB115" s="119">
        <f t="shared" si="111"/>
        <v>0</v>
      </c>
      <c r="DC115" s="380">
        <f>+B115+E115+H115+K115+N115+Q115+T115+W115+Z115+AC115+AF115+AI115+AL115+AO115+AR115+AU115+AX115+BD115+BG115+BJ115+BM115+BP115+BS115+BV115+BY115+CE115+CH115+CK115+CN115+CZ115+BA115+CB115+CQ115+CT115+CW115</f>
        <v>0</v>
      </c>
      <c r="DD115" s="381">
        <f>+C115+F115+I115+L115+O115+R115+U115+X115+AA115+AD115+AG115+AJ115+AM115+AP115+AS115+AV115+AY115+BB115+BE115+BH115+BK115+BN115+BQ115+BT115+BW115+BZ115+CC115+CF115+CI115+DA115+CL115+CO115+CR115+CU115+CX115</f>
        <v>0</v>
      </c>
      <c r="DE115" s="381">
        <f>+D115+G115+J115+M115+P115+S115+V115+Y115+AB115+AE115+AH115+AK115+AN115+AQ115+AT115+AW115+AZ115+BC115+BF115+BI115+BL115+BO115+BR115+BU115+BX115+CA115+CD115+CG115+CJ115+CM115+CP115+DB115+CS115+CV115+CY115</f>
        <v>0</v>
      </c>
      <c r="DF115" s="145">
        <f t="shared" ref="DF115:DF146" si="115">SUM(DC115:DE115)</f>
        <v>0</v>
      </c>
    </row>
    <row r="116" spans="1:110">
      <c r="A116" s="240">
        <v>2</v>
      </c>
      <c r="B116" s="116">
        <f t="shared" ref="B116:AN116" si="116">+B9+B45+B81</f>
        <v>0</v>
      </c>
      <c r="C116" s="117">
        <f t="shared" si="116"/>
        <v>0</v>
      </c>
      <c r="D116" s="119">
        <f t="shared" si="116"/>
        <v>0</v>
      </c>
      <c r="E116" s="194">
        <f t="shared" si="116"/>
        <v>0</v>
      </c>
      <c r="F116" s="117">
        <f t="shared" si="116"/>
        <v>0</v>
      </c>
      <c r="G116" s="118">
        <f t="shared" si="116"/>
        <v>0</v>
      </c>
      <c r="H116" s="116">
        <f t="shared" si="116"/>
        <v>0</v>
      </c>
      <c r="I116" s="117">
        <f t="shared" si="116"/>
        <v>0</v>
      </c>
      <c r="J116" s="119">
        <f t="shared" si="116"/>
        <v>0</v>
      </c>
      <c r="K116" s="194">
        <f t="shared" si="116"/>
        <v>0</v>
      </c>
      <c r="L116" s="117">
        <f t="shared" si="116"/>
        <v>0</v>
      </c>
      <c r="M116" s="118">
        <f t="shared" si="116"/>
        <v>0</v>
      </c>
      <c r="N116" s="116">
        <f t="shared" si="116"/>
        <v>0</v>
      </c>
      <c r="O116" s="117">
        <f t="shared" si="116"/>
        <v>0</v>
      </c>
      <c r="P116" s="119">
        <f t="shared" si="116"/>
        <v>0</v>
      </c>
      <c r="Q116" s="194">
        <f t="shared" si="116"/>
        <v>0</v>
      </c>
      <c r="R116" s="117">
        <f t="shared" si="116"/>
        <v>0</v>
      </c>
      <c r="S116" s="118">
        <f t="shared" si="116"/>
        <v>0</v>
      </c>
      <c r="T116" s="116">
        <f t="shared" si="116"/>
        <v>0</v>
      </c>
      <c r="U116" s="117">
        <f t="shared" si="116"/>
        <v>0</v>
      </c>
      <c r="V116" s="119">
        <f t="shared" si="116"/>
        <v>0</v>
      </c>
      <c r="W116" s="194">
        <f t="shared" si="116"/>
        <v>0</v>
      </c>
      <c r="X116" s="117">
        <f t="shared" si="116"/>
        <v>0</v>
      </c>
      <c r="Y116" s="118">
        <f t="shared" si="116"/>
        <v>0</v>
      </c>
      <c r="Z116" s="116">
        <f t="shared" si="116"/>
        <v>0</v>
      </c>
      <c r="AA116" s="117">
        <f t="shared" si="116"/>
        <v>0</v>
      </c>
      <c r="AB116" s="119">
        <f t="shared" si="116"/>
        <v>0</v>
      </c>
      <c r="AC116" s="194">
        <f t="shared" si="116"/>
        <v>0</v>
      </c>
      <c r="AD116" s="117">
        <f t="shared" si="116"/>
        <v>0</v>
      </c>
      <c r="AE116" s="118">
        <f t="shared" si="116"/>
        <v>0</v>
      </c>
      <c r="AF116" s="116">
        <f t="shared" si="116"/>
        <v>0</v>
      </c>
      <c r="AG116" s="117">
        <f t="shared" si="116"/>
        <v>0</v>
      </c>
      <c r="AH116" s="119">
        <f t="shared" si="116"/>
        <v>0</v>
      </c>
      <c r="AI116" s="194">
        <f t="shared" si="116"/>
        <v>0</v>
      </c>
      <c r="AJ116" s="117">
        <f t="shared" si="116"/>
        <v>0</v>
      </c>
      <c r="AK116" s="118">
        <f t="shared" si="116"/>
        <v>0</v>
      </c>
      <c r="AL116" s="116">
        <f t="shared" si="116"/>
        <v>0</v>
      </c>
      <c r="AM116" s="117">
        <f t="shared" si="116"/>
        <v>0</v>
      </c>
      <c r="AN116" s="119">
        <f t="shared" si="116"/>
        <v>0</v>
      </c>
      <c r="AO116" s="194">
        <f t="shared" ref="AO116:BZ116" si="117">+AO9+AO45+AO81</f>
        <v>0</v>
      </c>
      <c r="AP116" s="117">
        <f t="shared" si="117"/>
        <v>0</v>
      </c>
      <c r="AQ116" s="118">
        <f t="shared" si="117"/>
        <v>0</v>
      </c>
      <c r="AR116" s="116">
        <f t="shared" si="117"/>
        <v>0</v>
      </c>
      <c r="AS116" s="117">
        <f t="shared" si="117"/>
        <v>0</v>
      </c>
      <c r="AT116" s="119">
        <f t="shared" si="117"/>
        <v>0</v>
      </c>
      <c r="AU116" s="194">
        <f t="shared" si="117"/>
        <v>0</v>
      </c>
      <c r="AV116" s="117">
        <f t="shared" si="117"/>
        <v>0</v>
      </c>
      <c r="AW116" s="118">
        <f t="shared" si="117"/>
        <v>0</v>
      </c>
      <c r="AX116" s="116">
        <f t="shared" si="117"/>
        <v>0</v>
      </c>
      <c r="AY116" s="117">
        <f t="shared" si="117"/>
        <v>0</v>
      </c>
      <c r="AZ116" s="119">
        <f t="shared" si="117"/>
        <v>0</v>
      </c>
      <c r="BA116" s="194">
        <f t="shared" si="117"/>
        <v>0</v>
      </c>
      <c r="BB116" s="117">
        <f t="shared" si="117"/>
        <v>0</v>
      </c>
      <c r="BC116" s="118">
        <f t="shared" si="117"/>
        <v>0</v>
      </c>
      <c r="BD116" s="116">
        <f t="shared" si="117"/>
        <v>0</v>
      </c>
      <c r="BE116" s="117">
        <f t="shared" si="117"/>
        <v>0</v>
      </c>
      <c r="BF116" s="119">
        <f t="shared" si="117"/>
        <v>0</v>
      </c>
      <c r="BG116" s="194">
        <f t="shared" si="117"/>
        <v>0</v>
      </c>
      <c r="BH116" s="117">
        <f t="shared" si="117"/>
        <v>0</v>
      </c>
      <c r="BI116" s="118">
        <f t="shared" si="117"/>
        <v>0</v>
      </c>
      <c r="BJ116" s="116">
        <f t="shared" si="117"/>
        <v>0</v>
      </c>
      <c r="BK116" s="117">
        <f t="shared" si="117"/>
        <v>0</v>
      </c>
      <c r="BL116" s="119">
        <f t="shared" si="117"/>
        <v>0</v>
      </c>
      <c r="BM116" s="194">
        <f t="shared" si="117"/>
        <v>0</v>
      </c>
      <c r="BN116" s="117">
        <f t="shared" si="117"/>
        <v>0</v>
      </c>
      <c r="BO116" s="118">
        <f t="shared" si="117"/>
        <v>0</v>
      </c>
      <c r="BP116" s="116">
        <f t="shared" si="117"/>
        <v>0</v>
      </c>
      <c r="BQ116" s="117">
        <f t="shared" si="117"/>
        <v>0</v>
      </c>
      <c r="BR116" s="119">
        <f t="shared" si="117"/>
        <v>0</v>
      </c>
      <c r="BS116" s="194">
        <f t="shared" si="117"/>
        <v>0</v>
      </c>
      <c r="BT116" s="117">
        <f t="shared" si="117"/>
        <v>0</v>
      </c>
      <c r="BU116" s="118">
        <f t="shared" si="117"/>
        <v>0</v>
      </c>
      <c r="BV116" s="116">
        <f t="shared" si="117"/>
        <v>0</v>
      </c>
      <c r="BW116" s="117">
        <f t="shared" si="117"/>
        <v>0</v>
      </c>
      <c r="BX116" s="119">
        <f t="shared" si="117"/>
        <v>0</v>
      </c>
      <c r="BY116" s="194">
        <f t="shared" si="117"/>
        <v>0</v>
      </c>
      <c r="BZ116" s="117">
        <f t="shared" si="117"/>
        <v>0</v>
      </c>
      <c r="CA116" s="118">
        <f t="shared" ref="CA116:DB116" si="118">+CA9+CA45+CA81</f>
        <v>0</v>
      </c>
      <c r="CB116" s="116">
        <f t="shared" si="118"/>
        <v>0</v>
      </c>
      <c r="CC116" s="117">
        <f t="shared" si="118"/>
        <v>0</v>
      </c>
      <c r="CD116" s="119">
        <f t="shared" si="118"/>
        <v>0</v>
      </c>
      <c r="CE116" s="194">
        <f t="shared" si="118"/>
        <v>0</v>
      </c>
      <c r="CF116" s="117">
        <f t="shared" si="118"/>
        <v>0</v>
      </c>
      <c r="CG116" s="118">
        <f t="shared" si="118"/>
        <v>0</v>
      </c>
      <c r="CH116" s="116">
        <f t="shared" si="118"/>
        <v>0</v>
      </c>
      <c r="CI116" s="117">
        <f t="shared" si="118"/>
        <v>0</v>
      </c>
      <c r="CJ116" s="118">
        <f t="shared" si="118"/>
        <v>0</v>
      </c>
      <c r="CK116" s="241">
        <f t="shared" si="118"/>
        <v>0</v>
      </c>
      <c r="CL116" s="43">
        <f t="shared" si="118"/>
        <v>0</v>
      </c>
      <c r="CM116" s="289">
        <f t="shared" si="118"/>
        <v>0</v>
      </c>
      <c r="CN116" s="241">
        <f t="shared" si="118"/>
        <v>0</v>
      </c>
      <c r="CO116" s="43">
        <f t="shared" si="118"/>
        <v>0</v>
      </c>
      <c r="CP116" s="57">
        <f t="shared" si="118"/>
        <v>0</v>
      </c>
      <c r="CQ116" s="194">
        <f t="shared" ref="CQ116:CZ116" si="119">+CQ9+CQ45+CQ81</f>
        <v>0</v>
      </c>
      <c r="CR116" s="117">
        <f t="shared" si="119"/>
        <v>0</v>
      </c>
      <c r="CS116" s="119">
        <f t="shared" si="119"/>
        <v>0</v>
      </c>
      <c r="CT116" s="194">
        <f t="shared" si="119"/>
        <v>0</v>
      </c>
      <c r="CU116" s="117">
        <f t="shared" si="119"/>
        <v>0</v>
      </c>
      <c r="CV116" s="119">
        <f t="shared" si="119"/>
        <v>0</v>
      </c>
      <c r="CW116" s="194">
        <f t="shared" si="119"/>
        <v>0</v>
      </c>
      <c r="CX116" s="117">
        <f t="shared" si="119"/>
        <v>0</v>
      </c>
      <c r="CY116" s="119">
        <f t="shared" si="119"/>
        <v>0</v>
      </c>
      <c r="CZ116" s="194">
        <f t="shared" si="119"/>
        <v>0</v>
      </c>
      <c r="DA116" s="117">
        <f t="shared" si="118"/>
        <v>0</v>
      </c>
      <c r="DB116" s="119">
        <f t="shared" si="118"/>
        <v>0</v>
      </c>
      <c r="DC116" s="380">
        <f t="shared" ref="DC116:DC145" si="120">+B116+E116+H116+K116+N116+Q116+T116+W116+Z116+AC116+AF116+AI116+AL116+AO116+AR116+AU116+AX116+BD116+BG116+BJ116+BM116+BP116+BS116+BV116+BY116+CE116+CH116+CK116+CN116+CZ116+BA116+CB116+CQ116+CT116+CW116</f>
        <v>0</v>
      </c>
      <c r="DD116" s="381">
        <f t="shared" ref="DD116:DD145" si="121">+C116+F116+I116+L116+O116+R116+U116+X116+AA116+AD116+AG116+AJ116+AM116+AP116+AS116+AV116+AY116+BB116+BE116+BH116+BK116+BN116+BQ116+BT116+BW116+BZ116+CC116+CF116+CI116+DA116+CL116+CO116+CR116+CU116+CX116</f>
        <v>0</v>
      </c>
      <c r="DE116" s="381">
        <f t="shared" ref="DE116:DE145" si="122">+D116+G116+J116+M116+P116+S116+V116+Y116+AB116+AE116+AH116+AK116+AN116+AQ116+AT116+AW116+AZ116+BC116+BF116+BI116+BL116+BO116+BR116+BU116+BX116+CA116+CD116+CG116+CJ116+CM116+CP116+DB116+CS116+CV116+CY116</f>
        <v>0</v>
      </c>
      <c r="DF116" s="145">
        <f t="shared" si="115"/>
        <v>0</v>
      </c>
    </row>
    <row r="117" spans="1:110">
      <c r="A117" s="240">
        <v>3</v>
      </c>
      <c r="B117" s="116">
        <f t="shared" ref="B117:AN117" si="123">+B10+B46+B82</f>
        <v>0</v>
      </c>
      <c r="C117" s="117">
        <f t="shared" si="123"/>
        <v>0</v>
      </c>
      <c r="D117" s="119">
        <f t="shared" si="123"/>
        <v>0</v>
      </c>
      <c r="E117" s="194">
        <f t="shared" si="123"/>
        <v>0</v>
      </c>
      <c r="F117" s="117">
        <f t="shared" si="123"/>
        <v>0</v>
      </c>
      <c r="G117" s="118">
        <f t="shared" si="123"/>
        <v>0</v>
      </c>
      <c r="H117" s="116">
        <f t="shared" si="123"/>
        <v>0</v>
      </c>
      <c r="I117" s="117">
        <f t="shared" si="123"/>
        <v>0</v>
      </c>
      <c r="J117" s="119">
        <f t="shared" si="123"/>
        <v>0</v>
      </c>
      <c r="K117" s="194">
        <f t="shared" si="123"/>
        <v>0</v>
      </c>
      <c r="L117" s="117">
        <f t="shared" si="123"/>
        <v>0</v>
      </c>
      <c r="M117" s="118">
        <f t="shared" si="123"/>
        <v>0</v>
      </c>
      <c r="N117" s="116">
        <f t="shared" si="123"/>
        <v>0</v>
      </c>
      <c r="O117" s="117">
        <f t="shared" si="123"/>
        <v>0</v>
      </c>
      <c r="P117" s="119">
        <f t="shared" si="123"/>
        <v>0</v>
      </c>
      <c r="Q117" s="194">
        <f t="shared" si="123"/>
        <v>0</v>
      </c>
      <c r="R117" s="117">
        <f t="shared" si="123"/>
        <v>0</v>
      </c>
      <c r="S117" s="118">
        <f t="shared" si="123"/>
        <v>0</v>
      </c>
      <c r="T117" s="116">
        <f t="shared" si="123"/>
        <v>0</v>
      </c>
      <c r="U117" s="117">
        <f t="shared" si="123"/>
        <v>0</v>
      </c>
      <c r="V117" s="119">
        <f t="shared" si="123"/>
        <v>0</v>
      </c>
      <c r="W117" s="194">
        <f t="shared" si="123"/>
        <v>0</v>
      </c>
      <c r="X117" s="117">
        <f t="shared" si="123"/>
        <v>0</v>
      </c>
      <c r="Y117" s="118">
        <f t="shared" si="123"/>
        <v>0</v>
      </c>
      <c r="Z117" s="116">
        <f t="shared" si="123"/>
        <v>0</v>
      </c>
      <c r="AA117" s="117">
        <f t="shared" si="123"/>
        <v>0</v>
      </c>
      <c r="AB117" s="119">
        <f t="shared" si="123"/>
        <v>0</v>
      </c>
      <c r="AC117" s="194">
        <f t="shared" si="123"/>
        <v>0</v>
      </c>
      <c r="AD117" s="117">
        <f t="shared" si="123"/>
        <v>0</v>
      </c>
      <c r="AE117" s="118">
        <f t="shared" si="123"/>
        <v>0</v>
      </c>
      <c r="AF117" s="116">
        <f t="shared" si="123"/>
        <v>0</v>
      </c>
      <c r="AG117" s="117">
        <f t="shared" si="123"/>
        <v>0</v>
      </c>
      <c r="AH117" s="119">
        <f t="shared" si="123"/>
        <v>0</v>
      </c>
      <c r="AI117" s="194">
        <f t="shared" si="123"/>
        <v>0</v>
      </c>
      <c r="AJ117" s="117">
        <f t="shared" si="123"/>
        <v>0</v>
      </c>
      <c r="AK117" s="118">
        <f t="shared" si="123"/>
        <v>0</v>
      </c>
      <c r="AL117" s="116">
        <f t="shared" si="123"/>
        <v>0</v>
      </c>
      <c r="AM117" s="117">
        <f t="shared" si="123"/>
        <v>0</v>
      </c>
      <c r="AN117" s="119">
        <f t="shared" si="123"/>
        <v>0</v>
      </c>
      <c r="AO117" s="194">
        <f t="shared" ref="AO117:BZ117" si="124">+AO10+AO46+AO82</f>
        <v>0</v>
      </c>
      <c r="AP117" s="117">
        <f t="shared" si="124"/>
        <v>0</v>
      </c>
      <c r="AQ117" s="118">
        <f t="shared" si="124"/>
        <v>0</v>
      </c>
      <c r="AR117" s="116">
        <f t="shared" si="124"/>
        <v>0</v>
      </c>
      <c r="AS117" s="117">
        <f t="shared" si="124"/>
        <v>0</v>
      </c>
      <c r="AT117" s="119">
        <f t="shared" si="124"/>
        <v>0</v>
      </c>
      <c r="AU117" s="194">
        <f t="shared" si="124"/>
        <v>0</v>
      </c>
      <c r="AV117" s="117">
        <f t="shared" si="124"/>
        <v>0</v>
      </c>
      <c r="AW117" s="118">
        <f t="shared" si="124"/>
        <v>0</v>
      </c>
      <c r="AX117" s="116">
        <f t="shared" si="124"/>
        <v>0</v>
      </c>
      <c r="AY117" s="117">
        <f t="shared" si="124"/>
        <v>0</v>
      </c>
      <c r="AZ117" s="119">
        <f t="shared" si="124"/>
        <v>0</v>
      </c>
      <c r="BA117" s="194">
        <f t="shared" si="124"/>
        <v>0</v>
      </c>
      <c r="BB117" s="117">
        <f t="shared" si="124"/>
        <v>0</v>
      </c>
      <c r="BC117" s="118">
        <f t="shared" si="124"/>
        <v>0</v>
      </c>
      <c r="BD117" s="116">
        <f t="shared" si="124"/>
        <v>0</v>
      </c>
      <c r="BE117" s="117">
        <f t="shared" si="124"/>
        <v>0</v>
      </c>
      <c r="BF117" s="119">
        <f t="shared" si="124"/>
        <v>0</v>
      </c>
      <c r="BG117" s="194">
        <f t="shared" si="124"/>
        <v>0</v>
      </c>
      <c r="BH117" s="117">
        <f t="shared" si="124"/>
        <v>0</v>
      </c>
      <c r="BI117" s="118">
        <f t="shared" si="124"/>
        <v>0</v>
      </c>
      <c r="BJ117" s="116">
        <f t="shared" si="124"/>
        <v>0</v>
      </c>
      <c r="BK117" s="117">
        <f t="shared" si="124"/>
        <v>0</v>
      </c>
      <c r="BL117" s="119">
        <f t="shared" si="124"/>
        <v>0</v>
      </c>
      <c r="BM117" s="194">
        <f t="shared" si="124"/>
        <v>0</v>
      </c>
      <c r="BN117" s="117">
        <f t="shared" si="124"/>
        <v>0</v>
      </c>
      <c r="BO117" s="118">
        <f t="shared" si="124"/>
        <v>0</v>
      </c>
      <c r="BP117" s="116">
        <f t="shared" si="124"/>
        <v>0</v>
      </c>
      <c r="BQ117" s="117">
        <f t="shared" si="124"/>
        <v>0</v>
      </c>
      <c r="BR117" s="119">
        <f t="shared" si="124"/>
        <v>0</v>
      </c>
      <c r="BS117" s="194">
        <f t="shared" si="124"/>
        <v>0</v>
      </c>
      <c r="BT117" s="117">
        <f t="shared" si="124"/>
        <v>0</v>
      </c>
      <c r="BU117" s="118">
        <f t="shared" si="124"/>
        <v>0</v>
      </c>
      <c r="BV117" s="116">
        <f t="shared" si="124"/>
        <v>0</v>
      </c>
      <c r="BW117" s="117">
        <f t="shared" si="124"/>
        <v>0</v>
      </c>
      <c r="BX117" s="119">
        <f t="shared" si="124"/>
        <v>0</v>
      </c>
      <c r="BY117" s="194">
        <f t="shared" si="124"/>
        <v>0</v>
      </c>
      <c r="BZ117" s="117">
        <f t="shared" si="124"/>
        <v>0</v>
      </c>
      <c r="CA117" s="118">
        <f t="shared" ref="CA117:DB117" si="125">+CA10+CA46+CA82</f>
        <v>0</v>
      </c>
      <c r="CB117" s="116">
        <f t="shared" si="125"/>
        <v>0</v>
      </c>
      <c r="CC117" s="117">
        <f t="shared" si="125"/>
        <v>0</v>
      </c>
      <c r="CD117" s="119">
        <f t="shared" si="125"/>
        <v>0</v>
      </c>
      <c r="CE117" s="194">
        <f t="shared" si="125"/>
        <v>0</v>
      </c>
      <c r="CF117" s="117">
        <f t="shared" si="125"/>
        <v>0</v>
      </c>
      <c r="CG117" s="118">
        <f t="shared" si="125"/>
        <v>0</v>
      </c>
      <c r="CH117" s="116">
        <f t="shared" si="125"/>
        <v>0</v>
      </c>
      <c r="CI117" s="117">
        <f t="shared" si="125"/>
        <v>0</v>
      </c>
      <c r="CJ117" s="118">
        <f t="shared" si="125"/>
        <v>0</v>
      </c>
      <c r="CK117" s="241">
        <f t="shared" si="125"/>
        <v>0</v>
      </c>
      <c r="CL117" s="43">
        <f t="shared" si="125"/>
        <v>0</v>
      </c>
      <c r="CM117" s="289">
        <f t="shared" si="125"/>
        <v>0</v>
      </c>
      <c r="CN117" s="241">
        <f t="shared" si="125"/>
        <v>0</v>
      </c>
      <c r="CO117" s="43">
        <f t="shared" si="125"/>
        <v>0</v>
      </c>
      <c r="CP117" s="57">
        <f t="shared" si="125"/>
        <v>0</v>
      </c>
      <c r="CQ117" s="194">
        <f t="shared" ref="CQ117:CY117" si="126">+CQ10+CQ46+CQ82</f>
        <v>0</v>
      </c>
      <c r="CR117" s="117">
        <f t="shared" si="126"/>
        <v>0</v>
      </c>
      <c r="CS117" s="119">
        <f t="shared" si="126"/>
        <v>0</v>
      </c>
      <c r="CT117" s="194">
        <f t="shared" si="126"/>
        <v>0</v>
      </c>
      <c r="CU117" s="117">
        <f t="shared" si="126"/>
        <v>0</v>
      </c>
      <c r="CV117" s="119">
        <f t="shared" si="126"/>
        <v>0</v>
      </c>
      <c r="CW117" s="194">
        <f t="shared" si="126"/>
        <v>0</v>
      </c>
      <c r="CX117" s="117">
        <f t="shared" si="126"/>
        <v>0</v>
      </c>
      <c r="CY117" s="119">
        <f t="shared" si="126"/>
        <v>0</v>
      </c>
      <c r="CZ117" s="194">
        <f t="shared" si="125"/>
        <v>0</v>
      </c>
      <c r="DA117" s="117">
        <f t="shared" si="125"/>
        <v>0</v>
      </c>
      <c r="DB117" s="119">
        <f t="shared" si="125"/>
        <v>0</v>
      </c>
      <c r="DC117" s="380">
        <f t="shared" si="120"/>
        <v>0</v>
      </c>
      <c r="DD117" s="381">
        <f t="shared" si="121"/>
        <v>0</v>
      </c>
      <c r="DE117" s="381">
        <f t="shared" si="122"/>
        <v>0</v>
      </c>
      <c r="DF117" s="145">
        <f t="shared" si="115"/>
        <v>0</v>
      </c>
    </row>
    <row r="118" spans="1:110">
      <c r="A118" s="365">
        <v>4</v>
      </c>
      <c r="B118" s="116">
        <f t="shared" ref="B118:AN118" si="127">+B11+B47+B83</f>
        <v>0</v>
      </c>
      <c r="C118" s="117">
        <f t="shared" si="127"/>
        <v>0</v>
      </c>
      <c r="D118" s="119">
        <f t="shared" si="127"/>
        <v>0</v>
      </c>
      <c r="E118" s="194">
        <f t="shared" si="127"/>
        <v>0</v>
      </c>
      <c r="F118" s="117">
        <f t="shared" si="127"/>
        <v>0</v>
      </c>
      <c r="G118" s="118">
        <f t="shared" si="127"/>
        <v>0</v>
      </c>
      <c r="H118" s="116">
        <f t="shared" si="127"/>
        <v>0</v>
      </c>
      <c r="I118" s="117">
        <f t="shared" si="127"/>
        <v>0</v>
      </c>
      <c r="J118" s="119">
        <f t="shared" si="127"/>
        <v>0</v>
      </c>
      <c r="K118" s="194">
        <f t="shared" si="127"/>
        <v>0</v>
      </c>
      <c r="L118" s="117">
        <f t="shared" si="127"/>
        <v>0</v>
      </c>
      <c r="M118" s="118">
        <f t="shared" si="127"/>
        <v>0</v>
      </c>
      <c r="N118" s="116">
        <f t="shared" si="127"/>
        <v>0</v>
      </c>
      <c r="O118" s="117">
        <f t="shared" si="127"/>
        <v>0</v>
      </c>
      <c r="P118" s="119">
        <f t="shared" si="127"/>
        <v>0</v>
      </c>
      <c r="Q118" s="194">
        <f t="shared" si="127"/>
        <v>0</v>
      </c>
      <c r="R118" s="117">
        <f t="shared" si="127"/>
        <v>0</v>
      </c>
      <c r="S118" s="118">
        <f t="shared" si="127"/>
        <v>0</v>
      </c>
      <c r="T118" s="116">
        <f t="shared" si="127"/>
        <v>0</v>
      </c>
      <c r="U118" s="117">
        <f t="shared" si="127"/>
        <v>0</v>
      </c>
      <c r="V118" s="119">
        <f t="shared" si="127"/>
        <v>0</v>
      </c>
      <c r="W118" s="194">
        <f t="shared" si="127"/>
        <v>0</v>
      </c>
      <c r="X118" s="117">
        <f t="shared" si="127"/>
        <v>0</v>
      </c>
      <c r="Y118" s="118">
        <f t="shared" si="127"/>
        <v>0</v>
      </c>
      <c r="Z118" s="116">
        <f t="shared" si="127"/>
        <v>0</v>
      </c>
      <c r="AA118" s="117">
        <f t="shared" si="127"/>
        <v>0</v>
      </c>
      <c r="AB118" s="119">
        <f t="shared" si="127"/>
        <v>0</v>
      </c>
      <c r="AC118" s="194">
        <f t="shared" si="127"/>
        <v>0</v>
      </c>
      <c r="AD118" s="117">
        <f t="shared" si="127"/>
        <v>0</v>
      </c>
      <c r="AE118" s="118">
        <f t="shared" si="127"/>
        <v>0</v>
      </c>
      <c r="AF118" s="116">
        <f t="shared" si="127"/>
        <v>0</v>
      </c>
      <c r="AG118" s="117">
        <f t="shared" si="127"/>
        <v>0</v>
      </c>
      <c r="AH118" s="119">
        <f t="shared" si="127"/>
        <v>0</v>
      </c>
      <c r="AI118" s="194">
        <f t="shared" si="127"/>
        <v>0</v>
      </c>
      <c r="AJ118" s="117">
        <f t="shared" si="127"/>
        <v>0</v>
      </c>
      <c r="AK118" s="118">
        <f t="shared" si="127"/>
        <v>0</v>
      </c>
      <c r="AL118" s="116">
        <f t="shared" si="127"/>
        <v>0</v>
      </c>
      <c r="AM118" s="117">
        <f t="shared" si="127"/>
        <v>0</v>
      </c>
      <c r="AN118" s="119">
        <f t="shared" si="127"/>
        <v>0</v>
      </c>
      <c r="AO118" s="194">
        <f t="shared" ref="AO118:BZ118" si="128">+AO11+AO47+AO83</f>
        <v>0</v>
      </c>
      <c r="AP118" s="117">
        <f t="shared" si="128"/>
        <v>0</v>
      </c>
      <c r="AQ118" s="118">
        <f t="shared" si="128"/>
        <v>0</v>
      </c>
      <c r="AR118" s="116">
        <f t="shared" si="128"/>
        <v>0</v>
      </c>
      <c r="AS118" s="117">
        <f t="shared" si="128"/>
        <v>0</v>
      </c>
      <c r="AT118" s="119">
        <f t="shared" si="128"/>
        <v>0</v>
      </c>
      <c r="AU118" s="194">
        <f t="shared" si="128"/>
        <v>0</v>
      </c>
      <c r="AV118" s="117">
        <f t="shared" si="128"/>
        <v>0</v>
      </c>
      <c r="AW118" s="118">
        <f t="shared" si="128"/>
        <v>0</v>
      </c>
      <c r="AX118" s="116">
        <f t="shared" si="128"/>
        <v>0</v>
      </c>
      <c r="AY118" s="117">
        <f t="shared" si="128"/>
        <v>0</v>
      </c>
      <c r="AZ118" s="119">
        <f t="shared" si="128"/>
        <v>0</v>
      </c>
      <c r="BA118" s="194">
        <f t="shared" si="128"/>
        <v>0</v>
      </c>
      <c r="BB118" s="117">
        <f t="shared" si="128"/>
        <v>0</v>
      </c>
      <c r="BC118" s="118">
        <f t="shared" si="128"/>
        <v>0</v>
      </c>
      <c r="BD118" s="116">
        <f t="shared" si="128"/>
        <v>0</v>
      </c>
      <c r="BE118" s="117">
        <f t="shared" si="128"/>
        <v>0</v>
      </c>
      <c r="BF118" s="119">
        <f t="shared" si="128"/>
        <v>0</v>
      </c>
      <c r="BG118" s="194">
        <f t="shared" si="128"/>
        <v>0</v>
      </c>
      <c r="BH118" s="117">
        <f t="shared" si="128"/>
        <v>0</v>
      </c>
      <c r="BI118" s="118">
        <f t="shared" si="128"/>
        <v>0</v>
      </c>
      <c r="BJ118" s="116">
        <f t="shared" si="128"/>
        <v>0</v>
      </c>
      <c r="BK118" s="117">
        <f t="shared" si="128"/>
        <v>0</v>
      </c>
      <c r="BL118" s="119">
        <f t="shared" si="128"/>
        <v>0</v>
      </c>
      <c r="BM118" s="194">
        <f t="shared" si="128"/>
        <v>0</v>
      </c>
      <c r="BN118" s="117">
        <f t="shared" si="128"/>
        <v>0</v>
      </c>
      <c r="BO118" s="118">
        <f t="shared" si="128"/>
        <v>0</v>
      </c>
      <c r="BP118" s="116">
        <f t="shared" si="128"/>
        <v>0</v>
      </c>
      <c r="BQ118" s="117">
        <f t="shared" si="128"/>
        <v>0</v>
      </c>
      <c r="BR118" s="119">
        <f t="shared" si="128"/>
        <v>0</v>
      </c>
      <c r="BS118" s="194">
        <f t="shared" si="128"/>
        <v>0</v>
      </c>
      <c r="BT118" s="117">
        <f t="shared" si="128"/>
        <v>0</v>
      </c>
      <c r="BU118" s="118">
        <f t="shared" si="128"/>
        <v>0</v>
      </c>
      <c r="BV118" s="116">
        <f t="shared" si="128"/>
        <v>0</v>
      </c>
      <c r="BW118" s="117">
        <f t="shared" si="128"/>
        <v>0</v>
      </c>
      <c r="BX118" s="119">
        <f t="shared" si="128"/>
        <v>0</v>
      </c>
      <c r="BY118" s="194">
        <f t="shared" si="128"/>
        <v>0</v>
      </c>
      <c r="BZ118" s="117">
        <f t="shared" si="128"/>
        <v>0</v>
      </c>
      <c r="CA118" s="118">
        <f t="shared" ref="CA118:DB118" si="129">+CA11+CA47+CA83</f>
        <v>0</v>
      </c>
      <c r="CB118" s="116">
        <f t="shared" si="129"/>
        <v>0</v>
      </c>
      <c r="CC118" s="117">
        <f t="shared" si="129"/>
        <v>0</v>
      </c>
      <c r="CD118" s="119">
        <f t="shared" si="129"/>
        <v>0</v>
      </c>
      <c r="CE118" s="194">
        <f t="shared" si="129"/>
        <v>0</v>
      </c>
      <c r="CF118" s="117">
        <f t="shared" si="129"/>
        <v>0</v>
      </c>
      <c r="CG118" s="118">
        <f t="shared" si="129"/>
        <v>0</v>
      </c>
      <c r="CH118" s="116">
        <f t="shared" si="129"/>
        <v>0</v>
      </c>
      <c r="CI118" s="117">
        <f t="shared" si="129"/>
        <v>0</v>
      </c>
      <c r="CJ118" s="118">
        <f t="shared" si="129"/>
        <v>0</v>
      </c>
      <c r="CK118" s="241">
        <f t="shared" si="129"/>
        <v>0</v>
      </c>
      <c r="CL118" s="43">
        <f t="shared" si="129"/>
        <v>0</v>
      </c>
      <c r="CM118" s="289">
        <f t="shared" si="129"/>
        <v>0</v>
      </c>
      <c r="CN118" s="241">
        <f t="shared" si="129"/>
        <v>0</v>
      </c>
      <c r="CO118" s="43">
        <f t="shared" si="129"/>
        <v>0</v>
      </c>
      <c r="CP118" s="57">
        <f t="shared" si="129"/>
        <v>0</v>
      </c>
      <c r="CQ118" s="194">
        <f t="shared" ref="CQ118:CY118" si="130">+CQ11+CQ47+CQ83</f>
        <v>0</v>
      </c>
      <c r="CR118" s="117">
        <f t="shared" si="130"/>
        <v>0</v>
      </c>
      <c r="CS118" s="119">
        <f t="shared" si="130"/>
        <v>0</v>
      </c>
      <c r="CT118" s="194">
        <f t="shared" si="130"/>
        <v>0</v>
      </c>
      <c r="CU118" s="117">
        <f t="shared" si="130"/>
        <v>0</v>
      </c>
      <c r="CV118" s="119">
        <f t="shared" si="130"/>
        <v>0</v>
      </c>
      <c r="CW118" s="194">
        <f t="shared" si="130"/>
        <v>0</v>
      </c>
      <c r="CX118" s="117">
        <f t="shared" si="130"/>
        <v>0</v>
      </c>
      <c r="CY118" s="119">
        <f t="shared" si="130"/>
        <v>0</v>
      </c>
      <c r="CZ118" s="194">
        <f t="shared" si="129"/>
        <v>0</v>
      </c>
      <c r="DA118" s="117">
        <f t="shared" si="129"/>
        <v>0</v>
      </c>
      <c r="DB118" s="119">
        <f t="shared" si="129"/>
        <v>0</v>
      </c>
      <c r="DC118" s="380">
        <f t="shared" si="120"/>
        <v>0</v>
      </c>
      <c r="DD118" s="381">
        <f t="shared" si="121"/>
        <v>0</v>
      </c>
      <c r="DE118" s="381">
        <f t="shared" si="122"/>
        <v>0</v>
      </c>
      <c r="DF118" s="145">
        <f t="shared" si="115"/>
        <v>0</v>
      </c>
    </row>
    <row r="119" spans="1:110">
      <c r="A119" s="240">
        <v>5</v>
      </c>
      <c r="B119" s="116">
        <f t="shared" ref="B119:AN119" si="131">+B12+B48+B84</f>
        <v>0</v>
      </c>
      <c r="C119" s="117">
        <f t="shared" si="131"/>
        <v>0</v>
      </c>
      <c r="D119" s="119">
        <f t="shared" si="131"/>
        <v>0</v>
      </c>
      <c r="E119" s="194">
        <f t="shared" si="131"/>
        <v>0</v>
      </c>
      <c r="F119" s="117">
        <f t="shared" si="131"/>
        <v>0</v>
      </c>
      <c r="G119" s="118">
        <f t="shared" si="131"/>
        <v>0</v>
      </c>
      <c r="H119" s="116">
        <f t="shared" si="131"/>
        <v>0</v>
      </c>
      <c r="I119" s="117">
        <f t="shared" si="131"/>
        <v>0</v>
      </c>
      <c r="J119" s="119">
        <f t="shared" si="131"/>
        <v>0</v>
      </c>
      <c r="K119" s="194">
        <f t="shared" si="131"/>
        <v>0</v>
      </c>
      <c r="L119" s="117">
        <f t="shared" si="131"/>
        <v>0</v>
      </c>
      <c r="M119" s="118">
        <f t="shared" si="131"/>
        <v>0</v>
      </c>
      <c r="N119" s="116">
        <f t="shared" si="131"/>
        <v>0</v>
      </c>
      <c r="O119" s="117">
        <f t="shared" si="131"/>
        <v>0</v>
      </c>
      <c r="P119" s="119">
        <f t="shared" si="131"/>
        <v>0</v>
      </c>
      <c r="Q119" s="194">
        <f t="shared" si="131"/>
        <v>0</v>
      </c>
      <c r="R119" s="117">
        <f t="shared" si="131"/>
        <v>0</v>
      </c>
      <c r="S119" s="118">
        <f t="shared" si="131"/>
        <v>0</v>
      </c>
      <c r="T119" s="116">
        <f t="shared" si="131"/>
        <v>0</v>
      </c>
      <c r="U119" s="117">
        <f t="shared" si="131"/>
        <v>0</v>
      </c>
      <c r="V119" s="119">
        <f t="shared" si="131"/>
        <v>0</v>
      </c>
      <c r="W119" s="194">
        <f t="shared" si="131"/>
        <v>0</v>
      </c>
      <c r="X119" s="117">
        <f t="shared" si="131"/>
        <v>0</v>
      </c>
      <c r="Y119" s="118">
        <f t="shared" si="131"/>
        <v>0</v>
      </c>
      <c r="Z119" s="116">
        <f t="shared" si="131"/>
        <v>0</v>
      </c>
      <c r="AA119" s="117">
        <f t="shared" si="131"/>
        <v>0</v>
      </c>
      <c r="AB119" s="119">
        <f t="shared" si="131"/>
        <v>0</v>
      </c>
      <c r="AC119" s="194">
        <f t="shared" si="131"/>
        <v>0</v>
      </c>
      <c r="AD119" s="117">
        <f t="shared" si="131"/>
        <v>0</v>
      </c>
      <c r="AE119" s="118">
        <f t="shared" si="131"/>
        <v>0</v>
      </c>
      <c r="AF119" s="116">
        <f t="shared" si="131"/>
        <v>0</v>
      </c>
      <c r="AG119" s="117">
        <f t="shared" si="131"/>
        <v>0</v>
      </c>
      <c r="AH119" s="119">
        <f t="shared" si="131"/>
        <v>0</v>
      </c>
      <c r="AI119" s="194">
        <f t="shared" si="131"/>
        <v>0</v>
      </c>
      <c r="AJ119" s="117">
        <f t="shared" si="131"/>
        <v>0</v>
      </c>
      <c r="AK119" s="118">
        <f t="shared" si="131"/>
        <v>0</v>
      </c>
      <c r="AL119" s="116">
        <f t="shared" si="131"/>
        <v>0</v>
      </c>
      <c r="AM119" s="117">
        <f t="shared" si="131"/>
        <v>0</v>
      </c>
      <c r="AN119" s="119">
        <f t="shared" si="131"/>
        <v>0</v>
      </c>
      <c r="AO119" s="194">
        <f t="shared" ref="AO119:BZ119" si="132">+AO12+AO48+AO84</f>
        <v>0</v>
      </c>
      <c r="AP119" s="117">
        <f t="shared" si="132"/>
        <v>0</v>
      </c>
      <c r="AQ119" s="118">
        <f t="shared" si="132"/>
        <v>0</v>
      </c>
      <c r="AR119" s="116">
        <f t="shared" si="132"/>
        <v>0</v>
      </c>
      <c r="AS119" s="117">
        <f t="shared" si="132"/>
        <v>0</v>
      </c>
      <c r="AT119" s="119">
        <f t="shared" si="132"/>
        <v>0</v>
      </c>
      <c r="AU119" s="194">
        <f t="shared" si="132"/>
        <v>0</v>
      </c>
      <c r="AV119" s="117">
        <f t="shared" si="132"/>
        <v>0</v>
      </c>
      <c r="AW119" s="118">
        <f t="shared" si="132"/>
        <v>0</v>
      </c>
      <c r="AX119" s="116">
        <f t="shared" si="132"/>
        <v>0</v>
      </c>
      <c r="AY119" s="117">
        <f t="shared" si="132"/>
        <v>0</v>
      </c>
      <c r="AZ119" s="119">
        <f t="shared" si="132"/>
        <v>0</v>
      </c>
      <c r="BA119" s="194">
        <f t="shared" si="132"/>
        <v>0</v>
      </c>
      <c r="BB119" s="117">
        <f t="shared" si="132"/>
        <v>0</v>
      </c>
      <c r="BC119" s="118">
        <f t="shared" si="132"/>
        <v>0</v>
      </c>
      <c r="BD119" s="116">
        <f t="shared" si="132"/>
        <v>0</v>
      </c>
      <c r="BE119" s="117">
        <f t="shared" si="132"/>
        <v>0</v>
      </c>
      <c r="BF119" s="119">
        <f t="shared" si="132"/>
        <v>0</v>
      </c>
      <c r="BG119" s="194">
        <f t="shared" si="132"/>
        <v>0</v>
      </c>
      <c r="BH119" s="117">
        <f t="shared" si="132"/>
        <v>0</v>
      </c>
      <c r="BI119" s="118">
        <f t="shared" si="132"/>
        <v>0</v>
      </c>
      <c r="BJ119" s="116">
        <f t="shared" si="132"/>
        <v>0</v>
      </c>
      <c r="BK119" s="117">
        <f t="shared" si="132"/>
        <v>0</v>
      </c>
      <c r="BL119" s="119">
        <f t="shared" si="132"/>
        <v>0</v>
      </c>
      <c r="BM119" s="194">
        <f t="shared" si="132"/>
        <v>0</v>
      </c>
      <c r="BN119" s="117">
        <f t="shared" si="132"/>
        <v>0</v>
      </c>
      <c r="BO119" s="118">
        <f t="shared" si="132"/>
        <v>0</v>
      </c>
      <c r="BP119" s="116">
        <f t="shared" si="132"/>
        <v>0</v>
      </c>
      <c r="BQ119" s="117">
        <f t="shared" si="132"/>
        <v>0</v>
      </c>
      <c r="BR119" s="119">
        <f t="shared" si="132"/>
        <v>0</v>
      </c>
      <c r="BS119" s="194">
        <f t="shared" si="132"/>
        <v>0</v>
      </c>
      <c r="BT119" s="117">
        <f t="shared" si="132"/>
        <v>0</v>
      </c>
      <c r="BU119" s="118">
        <f t="shared" si="132"/>
        <v>0</v>
      </c>
      <c r="BV119" s="116">
        <f t="shared" si="132"/>
        <v>0</v>
      </c>
      <c r="BW119" s="117">
        <f t="shared" si="132"/>
        <v>0</v>
      </c>
      <c r="BX119" s="119">
        <f t="shared" si="132"/>
        <v>0</v>
      </c>
      <c r="BY119" s="194">
        <f t="shared" si="132"/>
        <v>0</v>
      </c>
      <c r="BZ119" s="117">
        <f t="shared" si="132"/>
        <v>0</v>
      </c>
      <c r="CA119" s="118">
        <f t="shared" ref="CA119:DB119" si="133">+CA12+CA48+CA84</f>
        <v>0</v>
      </c>
      <c r="CB119" s="116">
        <f t="shared" si="133"/>
        <v>0</v>
      </c>
      <c r="CC119" s="117">
        <f t="shared" si="133"/>
        <v>0</v>
      </c>
      <c r="CD119" s="119">
        <f t="shared" si="133"/>
        <v>0</v>
      </c>
      <c r="CE119" s="194">
        <f t="shared" si="133"/>
        <v>0</v>
      </c>
      <c r="CF119" s="117">
        <f t="shared" si="133"/>
        <v>0</v>
      </c>
      <c r="CG119" s="118">
        <f t="shared" si="133"/>
        <v>0</v>
      </c>
      <c r="CH119" s="116">
        <f t="shared" si="133"/>
        <v>0</v>
      </c>
      <c r="CI119" s="117">
        <f t="shared" si="133"/>
        <v>0</v>
      </c>
      <c r="CJ119" s="118">
        <f t="shared" si="133"/>
        <v>0</v>
      </c>
      <c r="CK119" s="241">
        <f t="shared" si="133"/>
        <v>0</v>
      </c>
      <c r="CL119" s="43">
        <f t="shared" si="133"/>
        <v>0</v>
      </c>
      <c r="CM119" s="289">
        <f t="shared" si="133"/>
        <v>0</v>
      </c>
      <c r="CN119" s="241">
        <f t="shared" si="133"/>
        <v>0</v>
      </c>
      <c r="CO119" s="43">
        <f t="shared" si="133"/>
        <v>0</v>
      </c>
      <c r="CP119" s="57">
        <f t="shared" si="133"/>
        <v>0</v>
      </c>
      <c r="CQ119" s="194">
        <f t="shared" ref="CQ119:CY119" si="134">+CQ12+CQ48+CQ84</f>
        <v>0</v>
      </c>
      <c r="CR119" s="117">
        <f t="shared" si="134"/>
        <v>0</v>
      </c>
      <c r="CS119" s="119">
        <f t="shared" si="134"/>
        <v>0</v>
      </c>
      <c r="CT119" s="194">
        <f t="shared" si="134"/>
        <v>0</v>
      </c>
      <c r="CU119" s="117">
        <f t="shared" si="134"/>
        <v>0</v>
      </c>
      <c r="CV119" s="119">
        <f t="shared" si="134"/>
        <v>0</v>
      </c>
      <c r="CW119" s="194">
        <f t="shared" si="134"/>
        <v>0</v>
      </c>
      <c r="CX119" s="117">
        <f t="shared" si="134"/>
        <v>0</v>
      </c>
      <c r="CY119" s="119">
        <f t="shared" si="134"/>
        <v>0</v>
      </c>
      <c r="CZ119" s="194">
        <f t="shared" si="133"/>
        <v>0</v>
      </c>
      <c r="DA119" s="117">
        <f t="shared" si="133"/>
        <v>0</v>
      </c>
      <c r="DB119" s="119">
        <f t="shared" si="133"/>
        <v>0</v>
      </c>
      <c r="DC119" s="380">
        <f t="shared" si="120"/>
        <v>0</v>
      </c>
      <c r="DD119" s="381">
        <f t="shared" si="121"/>
        <v>0</v>
      </c>
      <c r="DE119" s="381">
        <f t="shared" si="122"/>
        <v>0</v>
      </c>
      <c r="DF119" s="145">
        <f t="shared" si="115"/>
        <v>0</v>
      </c>
    </row>
    <row r="120" spans="1:110">
      <c r="A120" s="240">
        <v>6</v>
      </c>
      <c r="B120" s="116">
        <f t="shared" ref="B120:AN120" si="135">+B13+B49+B85</f>
        <v>0</v>
      </c>
      <c r="C120" s="117">
        <f t="shared" si="135"/>
        <v>0</v>
      </c>
      <c r="D120" s="119">
        <f t="shared" si="135"/>
        <v>0</v>
      </c>
      <c r="E120" s="194">
        <f t="shared" si="135"/>
        <v>0</v>
      </c>
      <c r="F120" s="117">
        <f t="shared" si="135"/>
        <v>0</v>
      </c>
      <c r="G120" s="118">
        <f t="shared" si="135"/>
        <v>0</v>
      </c>
      <c r="H120" s="116">
        <f t="shared" si="135"/>
        <v>0</v>
      </c>
      <c r="I120" s="117">
        <f t="shared" si="135"/>
        <v>0</v>
      </c>
      <c r="J120" s="119">
        <f t="shared" si="135"/>
        <v>0</v>
      </c>
      <c r="K120" s="194">
        <f t="shared" si="135"/>
        <v>0</v>
      </c>
      <c r="L120" s="117">
        <f t="shared" si="135"/>
        <v>0</v>
      </c>
      <c r="M120" s="118">
        <f t="shared" si="135"/>
        <v>0</v>
      </c>
      <c r="N120" s="116">
        <f t="shared" si="135"/>
        <v>0</v>
      </c>
      <c r="O120" s="117">
        <f t="shared" si="135"/>
        <v>0</v>
      </c>
      <c r="P120" s="119">
        <f t="shared" si="135"/>
        <v>0</v>
      </c>
      <c r="Q120" s="194">
        <f t="shared" si="135"/>
        <v>0</v>
      </c>
      <c r="R120" s="117">
        <f t="shared" si="135"/>
        <v>0</v>
      </c>
      <c r="S120" s="118">
        <f t="shared" si="135"/>
        <v>0</v>
      </c>
      <c r="T120" s="116">
        <f t="shared" si="135"/>
        <v>0</v>
      </c>
      <c r="U120" s="117">
        <f t="shared" si="135"/>
        <v>0</v>
      </c>
      <c r="V120" s="119">
        <f t="shared" si="135"/>
        <v>0</v>
      </c>
      <c r="W120" s="194">
        <f t="shared" si="135"/>
        <v>0</v>
      </c>
      <c r="X120" s="117">
        <f t="shared" si="135"/>
        <v>0</v>
      </c>
      <c r="Y120" s="118">
        <f t="shared" si="135"/>
        <v>0</v>
      </c>
      <c r="Z120" s="116">
        <f t="shared" si="135"/>
        <v>0</v>
      </c>
      <c r="AA120" s="117">
        <f t="shared" si="135"/>
        <v>0</v>
      </c>
      <c r="AB120" s="119">
        <f t="shared" si="135"/>
        <v>0</v>
      </c>
      <c r="AC120" s="194">
        <f t="shared" si="135"/>
        <v>0</v>
      </c>
      <c r="AD120" s="117">
        <f t="shared" si="135"/>
        <v>0</v>
      </c>
      <c r="AE120" s="118">
        <f t="shared" si="135"/>
        <v>0</v>
      </c>
      <c r="AF120" s="116">
        <f t="shared" si="135"/>
        <v>0</v>
      </c>
      <c r="AG120" s="117">
        <f t="shared" si="135"/>
        <v>0</v>
      </c>
      <c r="AH120" s="119">
        <f t="shared" si="135"/>
        <v>0</v>
      </c>
      <c r="AI120" s="194">
        <f t="shared" si="135"/>
        <v>0</v>
      </c>
      <c r="AJ120" s="117">
        <f t="shared" si="135"/>
        <v>0</v>
      </c>
      <c r="AK120" s="118">
        <f t="shared" si="135"/>
        <v>0</v>
      </c>
      <c r="AL120" s="116">
        <f t="shared" si="135"/>
        <v>0</v>
      </c>
      <c r="AM120" s="117">
        <f t="shared" si="135"/>
        <v>0</v>
      </c>
      <c r="AN120" s="119">
        <f t="shared" si="135"/>
        <v>0</v>
      </c>
      <c r="AO120" s="194">
        <f t="shared" ref="AO120:BZ120" si="136">+AO13+AO49+AO85</f>
        <v>0</v>
      </c>
      <c r="AP120" s="117">
        <f t="shared" si="136"/>
        <v>0</v>
      </c>
      <c r="AQ120" s="118">
        <f t="shared" si="136"/>
        <v>0</v>
      </c>
      <c r="AR120" s="116">
        <f t="shared" si="136"/>
        <v>0</v>
      </c>
      <c r="AS120" s="117">
        <f t="shared" si="136"/>
        <v>0</v>
      </c>
      <c r="AT120" s="119">
        <f t="shared" si="136"/>
        <v>0</v>
      </c>
      <c r="AU120" s="194">
        <f t="shared" si="136"/>
        <v>0</v>
      </c>
      <c r="AV120" s="117">
        <f t="shared" si="136"/>
        <v>0</v>
      </c>
      <c r="AW120" s="118">
        <f t="shared" si="136"/>
        <v>0</v>
      </c>
      <c r="AX120" s="116">
        <f t="shared" si="136"/>
        <v>0</v>
      </c>
      <c r="AY120" s="117">
        <f t="shared" si="136"/>
        <v>0</v>
      </c>
      <c r="AZ120" s="119">
        <f t="shared" si="136"/>
        <v>0</v>
      </c>
      <c r="BA120" s="194">
        <f t="shared" si="136"/>
        <v>0</v>
      </c>
      <c r="BB120" s="117">
        <f t="shared" si="136"/>
        <v>0</v>
      </c>
      <c r="BC120" s="118">
        <f t="shared" si="136"/>
        <v>0</v>
      </c>
      <c r="BD120" s="116">
        <f t="shared" si="136"/>
        <v>0</v>
      </c>
      <c r="BE120" s="117">
        <f t="shared" si="136"/>
        <v>0</v>
      </c>
      <c r="BF120" s="119">
        <f t="shared" si="136"/>
        <v>0</v>
      </c>
      <c r="BG120" s="194">
        <f t="shared" si="136"/>
        <v>0</v>
      </c>
      <c r="BH120" s="117">
        <f t="shared" si="136"/>
        <v>0</v>
      </c>
      <c r="BI120" s="118">
        <f t="shared" si="136"/>
        <v>0</v>
      </c>
      <c r="BJ120" s="116">
        <f t="shared" si="136"/>
        <v>0</v>
      </c>
      <c r="BK120" s="117">
        <f t="shared" si="136"/>
        <v>0</v>
      </c>
      <c r="BL120" s="119">
        <f t="shared" si="136"/>
        <v>0</v>
      </c>
      <c r="BM120" s="194">
        <f t="shared" si="136"/>
        <v>0</v>
      </c>
      <c r="BN120" s="117">
        <f t="shared" si="136"/>
        <v>0</v>
      </c>
      <c r="BO120" s="118">
        <f t="shared" si="136"/>
        <v>0</v>
      </c>
      <c r="BP120" s="116">
        <f t="shared" si="136"/>
        <v>0</v>
      </c>
      <c r="BQ120" s="117">
        <f t="shared" si="136"/>
        <v>0</v>
      </c>
      <c r="BR120" s="119">
        <f t="shared" si="136"/>
        <v>0</v>
      </c>
      <c r="BS120" s="194">
        <f t="shared" si="136"/>
        <v>0</v>
      </c>
      <c r="BT120" s="117">
        <f t="shared" si="136"/>
        <v>0</v>
      </c>
      <c r="BU120" s="118">
        <f t="shared" si="136"/>
        <v>0</v>
      </c>
      <c r="BV120" s="116">
        <f t="shared" si="136"/>
        <v>0</v>
      </c>
      <c r="BW120" s="117">
        <f t="shared" si="136"/>
        <v>0</v>
      </c>
      <c r="BX120" s="119">
        <f t="shared" si="136"/>
        <v>0</v>
      </c>
      <c r="BY120" s="194">
        <f t="shared" si="136"/>
        <v>0</v>
      </c>
      <c r="BZ120" s="117">
        <f t="shared" si="136"/>
        <v>0</v>
      </c>
      <c r="CA120" s="118">
        <f t="shared" ref="CA120:DB120" si="137">+CA13+CA49+CA85</f>
        <v>0</v>
      </c>
      <c r="CB120" s="116">
        <f t="shared" si="137"/>
        <v>0</v>
      </c>
      <c r="CC120" s="117">
        <f t="shared" si="137"/>
        <v>0</v>
      </c>
      <c r="CD120" s="119">
        <f t="shared" si="137"/>
        <v>0</v>
      </c>
      <c r="CE120" s="194">
        <f t="shared" si="137"/>
        <v>0</v>
      </c>
      <c r="CF120" s="117">
        <f t="shared" si="137"/>
        <v>0</v>
      </c>
      <c r="CG120" s="118">
        <f t="shared" si="137"/>
        <v>0</v>
      </c>
      <c r="CH120" s="116">
        <f t="shared" si="137"/>
        <v>0</v>
      </c>
      <c r="CI120" s="117">
        <f t="shared" si="137"/>
        <v>0</v>
      </c>
      <c r="CJ120" s="118">
        <f t="shared" si="137"/>
        <v>0</v>
      </c>
      <c r="CK120" s="241">
        <f t="shared" si="137"/>
        <v>0</v>
      </c>
      <c r="CL120" s="43">
        <f t="shared" si="137"/>
        <v>0</v>
      </c>
      <c r="CM120" s="289">
        <f t="shared" si="137"/>
        <v>0</v>
      </c>
      <c r="CN120" s="241">
        <f t="shared" si="137"/>
        <v>0</v>
      </c>
      <c r="CO120" s="43">
        <f t="shared" si="137"/>
        <v>0</v>
      </c>
      <c r="CP120" s="57">
        <f t="shared" si="137"/>
        <v>0</v>
      </c>
      <c r="CQ120" s="194">
        <f t="shared" ref="CQ120:CY120" si="138">+CQ13+CQ49+CQ85</f>
        <v>0</v>
      </c>
      <c r="CR120" s="117">
        <f t="shared" si="138"/>
        <v>0</v>
      </c>
      <c r="CS120" s="119">
        <f t="shared" si="138"/>
        <v>0</v>
      </c>
      <c r="CT120" s="194">
        <f t="shared" si="138"/>
        <v>0</v>
      </c>
      <c r="CU120" s="117">
        <f t="shared" si="138"/>
        <v>0</v>
      </c>
      <c r="CV120" s="119">
        <f t="shared" si="138"/>
        <v>0</v>
      </c>
      <c r="CW120" s="194">
        <f t="shared" si="138"/>
        <v>0</v>
      </c>
      <c r="CX120" s="117">
        <f t="shared" si="138"/>
        <v>0</v>
      </c>
      <c r="CY120" s="119">
        <f t="shared" si="138"/>
        <v>0</v>
      </c>
      <c r="CZ120" s="194">
        <f t="shared" si="137"/>
        <v>0</v>
      </c>
      <c r="DA120" s="117">
        <f t="shared" si="137"/>
        <v>0</v>
      </c>
      <c r="DB120" s="119">
        <f t="shared" si="137"/>
        <v>0</v>
      </c>
      <c r="DC120" s="380">
        <f t="shared" si="120"/>
        <v>0</v>
      </c>
      <c r="DD120" s="381">
        <f t="shared" si="121"/>
        <v>0</v>
      </c>
      <c r="DE120" s="381">
        <f t="shared" si="122"/>
        <v>0</v>
      </c>
      <c r="DF120" s="145">
        <f t="shared" si="115"/>
        <v>0</v>
      </c>
    </row>
    <row r="121" spans="1:110">
      <c r="A121" s="365">
        <v>7</v>
      </c>
      <c r="B121" s="116">
        <f t="shared" ref="B121:AN121" si="139">+B14+B50+B86</f>
        <v>0</v>
      </c>
      <c r="C121" s="117">
        <f t="shared" si="139"/>
        <v>0</v>
      </c>
      <c r="D121" s="119">
        <f t="shared" si="139"/>
        <v>0</v>
      </c>
      <c r="E121" s="194">
        <f t="shared" si="139"/>
        <v>0</v>
      </c>
      <c r="F121" s="117">
        <f t="shared" si="139"/>
        <v>0</v>
      </c>
      <c r="G121" s="118">
        <f t="shared" si="139"/>
        <v>0</v>
      </c>
      <c r="H121" s="116">
        <f t="shared" si="139"/>
        <v>0</v>
      </c>
      <c r="I121" s="117">
        <f t="shared" si="139"/>
        <v>0</v>
      </c>
      <c r="J121" s="119">
        <f t="shared" si="139"/>
        <v>0</v>
      </c>
      <c r="K121" s="194">
        <f t="shared" si="139"/>
        <v>0</v>
      </c>
      <c r="L121" s="117">
        <f t="shared" si="139"/>
        <v>0</v>
      </c>
      <c r="M121" s="118">
        <f t="shared" si="139"/>
        <v>0</v>
      </c>
      <c r="N121" s="116">
        <f t="shared" si="139"/>
        <v>0</v>
      </c>
      <c r="O121" s="117">
        <f t="shared" si="139"/>
        <v>0</v>
      </c>
      <c r="P121" s="119">
        <f t="shared" si="139"/>
        <v>0</v>
      </c>
      <c r="Q121" s="194">
        <f t="shared" si="139"/>
        <v>0</v>
      </c>
      <c r="R121" s="117">
        <f t="shared" si="139"/>
        <v>0</v>
      </c>
      <c r="S121" s="118">
        <f t="shared" si="139"/>
        <v>0</v>
      </c>
      <c r="T121" s="116">
        <f t="shared" si="139"/>
        <v>0</v>
      </c>
      <c r="U121" s="117">
        <f t="shared" si="139"/>
        <v>0</v>
      </c>
      <c r="V121" s="119">
        <f t="shared" si="139"/>
        <v>0</v>
      </c>
      <c r="W121" s="194">
        <f t="shared" si="139"/>
        <v>0</v>
      </c>
      <c r="X121" s="117">
        <f t="shared" si="139"/>
        <v>0</v>
      </c>
      <c r="Y121" s="118">
        <f t="shared" si="139"/>
        <v>0</v>
      </c>
      <c r="Z121" s="116">
        <f t="shared" si="139"/>
        <v>0</v>
      </c>
      <c r="AA121" s="117">
        <f t="shared" si="139"/>
        <v>0</v>
      </c>
      <c r="AB121" s="119">
        <f t="shared" si="139"/>
        <v>0</v>
      </c>
      <c r="AC121" s="194">
        <f t="shared" si="139"/>
        <v>0</v>
      </c>
      <c r="AD121" s="117">
        <f t="shared" si="139"/>
        <v>0</v>
      </c>
      <c r="AE121" s="118">
        <f t="shared" si="139"/>
        <v>0</v>
      </c>
      <c r="AF121" s="116">
        <f t="shared" si="139"/>
        <v>0</v>
      </c>
      <c r="AG121" s="117">
        <f t="shared" si="139"/>
        <v>0</v>
      </c>
      <c r="AH121" s="119">
        <f t="shared" si="139"/>
        <v>0</v>
      </c>
      <c r="AI121" s="194">
        <f t="shared" si="139"/>
        <v>0</v>
      </c>
      <c r="AJ121" s="117">
        <f t="shared" si="139"/>
        <v>0</v>
      </c>
      <c r="AK121" s="118">
        <f t="shared" si="139"/>
        <v>0</v>
      </c>
      <c r="AL121" s="116">
        <f t="shared" si="139"/>
        <v>0</v>
      </c>
      <c r="AM121" s="117">
        <f t="shared" si="139"/>
        <v>0</v>
      </c>
      <c r="AN121" s="119">
        <f t="shared" si="139"/>
        <v>0</v>
      </c>
      <c r="AO121" s="194">
        <f t="shared" ref="AO121:BZ121" si="140">+AO14+AO50+AO86</f>
        <v>0</v>
      </c>
      <c r="AP121" s="117">
        <f t="shared" si="140"/>
        <v>0</v>
      </c>
      <c r="AQ121" s="118">
        <f t="shared" si="140"/>
        <v>0</v>
      </c>
      <c r="AR121" s="116">
        <f t="shared" si="140"/>
        <v>0</v>
      </c>
      <c r="AS121" s="117">
        <f t="shared" si="140"/>
        <v>0</v>
      </c>
      <c r="AT121" s="119">
        <f t="shared" si="140"/>
        <v>0</v>
      </c>
      <c r="AU121" s="194">
        <f t="shared" si="140"/>
        <v>0</v>
      </c>
      <c r="AV121" s="117">
        <f t="shared" si="140"/>
        <v>0</v>
      </c>
      <c r="AW121" s="118">
        <f t="shared" si="140"/>
        <v>0</v>
      </c>
      <c r="AX121" s="116">
        <f t="shared" si="140"/>
        <v>0</v>
      </c>
      <c r="AY121" s="117">
        <f t="shared" si="140"/>
        <v>0</v>
      </c>
      <c r="AZ121" s="119">
        <f t="shared" si="140"/>
        <v>0</v>
      </c>
      <c r="BA121" s="194">
        <f t="shared" si="140"/>
        <v>0</v>
      </c>
      <c r="BB121" s="117">
        <f t="shared" si="140"/>
        <v>0</v>
      </c>
      <c r="BC121" s="118">
        <f t="shared" si="140"/>
        <v>0</v>
      </c>
      <c r="BD121" s="116">
        <f t="shared" si="140"/>
        <v>0</v>
      </c>
      <c r="BE121" s="117">
        <f t="shared" si="140"/>
        <v>0</v>
      </c>
      <c r="BF121" s="119">
        <f t="shared" si="140"/>
        <v>0</v>
      </c>
      <c r="BG121" s="194">
        <f t="shared" si="140"/>
        <v>0</v>
      </c>
      <c r="BH121" s="117">
        <f t="shared" si="140"/>
        <v>0</v>
      </c>
      <c r="BI121" s="118">
        <f t="shared" si="140"/>
        <v>0</v>
      </c>
      <c r="BJ121" s="116">
        <f t="shared" si="140"/>
        <v>0</v>
      </c>
      <c r="BK121" s="117">
        <f t="shared" si="140"/>
        <v>0</v>
      </c>
      <c r="BL121" s="119">
        <f t="shared" si="140"/>
        <v>0</v>
      </c>
      <c r="BM121" s="194">
        <f t="shared" si="140"/>
        <v>0</v>
      </c>
      <c r="BN121" s="117">
        <f t="shared" si="140"/>
        <v>0</v>
      </c>
      <c r="BO121" s="118">
        <f t="shared" si="140"/>
        <v>0</v>
      </c>
      <c r="BP121" s="116">
        <f t="shared" si="140"/>
        <v>0</v>
      </c>
      <c r="BQ121" s="117">
        <f t="shared" si="140"/>
        <v>0</v>
      </c>
      <c r="BR121" s="119">
        <f t="shared" si="140"/>
        <v>0</v>
      </c>
      <c r="BS121" s="194">
        <f t="shared" si="140"/>
        <v>0</v>
      </c>
      <c r="BT121" s="117">
        <f t="shared" si="140"/>
        <v>0</v>
      </c>
      <c r="BU121" s="118">
        <f t="shared" si="140"/>
        <v>0</v>
      </c>
      <c r="BV121" s="116">
        <f t="shared" si="140"/>
        <v>0</v>
      </c>
      <c r="BW121" s="117">
        <f t="shared" si="140"/>
        <v>0</v>
      </c>
      <c r="BX121" s="119">
        <f t="shared" si="140"/>
        <v>0</v>
      </c>
      <c r="BY121" s="194">
        <f t="shared" si="140"/>
        <v>0</v>
      </c>
      <c r="BZ121" s="117">
        <f t="shared" si="140"/>
        <v>0</v>
      </c>
      <c r="CA121" s="118">
        <f t="shared" ref="CA121:DB121" si="141">+CA14+CA50+CA86</f>
        <v>0</v>
      </c>
      <c r="CB121" s="116">
        <f t="shared" si="141"/>
        <v>0</v>
      </c>
      <c r="CC121" s="117">
        <f t="shared" si="141"/>
        <v>0</v>
      </c>
      <c r="CD121" s="119">
        <f t="shared" si="141"/>
        <v>0</v>
      </c>
      <c r="CE121" s="194">
        <f t="shared" si="141"/>
        <v>0</v>
      </c>
      <c r="CF121" s="117">
        <f t="shared" si="141"/>
        <v>0</v>
      </c>
      <c r="CG121" s="118">
        <f t="shared" si="141"/>
        <v>0</v>
      </c>
      <c r="CH121" s="116">
        <f t="shared" si="141"/>
        <v>0</v>
      </c>
      <c r="CI121" s="117">
        <f t="shared" si="141"/>
        <v>0</v>
      </c>
      <c r="CJ121" s="118">
        <f t="shared" si="141"/>
        <v>0</v>
      </c>
      <c r="CK121" s="241">
        <f t="shared" si="141"/>
        <v>0</v>
      </c>
      <c r="CL121" s="43">
        <f t="shared" si="141"/>
        <v>0</v>
      </c>
      <c r="CM121" s="289">
        <f t="shared" si="141"/>
        <v>0</v>
      </c>
      <c r="CN121" s="241">
        <f t="shared" si="141"/>
        <v>0</v>
      </c>
      <c r="CO121" s="43">
        <f t="shared" si="141"/>
        <v>0</v>
      </c>
      <c r="CP121" s="57">
        <f t="shared" si="141"/>
        <v>0</v>
      </c>
      <c r="CQ121" s="194">
        <f t="shared" ref="CQ121:CY121" si="142">+CQ14+CQ50+CQ86</f>
        <v>0</v>
      </c>
      <c r="CR121" s="117">
        <f t="shared" si="142"/>
        <v>0</v>
      </c>
      <c r="CS121" s="119">
        <f t="shared" si="142"/>
        <v>0</v>
      </c>
      <c r="CT121" s="194">
        <f t="shared" si="142"/>
        <v>0</v>
      </c>
      <c r="CU121" s="117">
        <f t="shared" si="142"/>
        <v>0</v>
      </c>
      <c r="CV121" s="119">
        <f t="shared" si="142"/>
        <v>0</v>
      </c>
      <c r="CW121" s="194">
        <f t="shared" si="142"/>
        <v>0</v>
      </c>
      <c r="CX121" s="117">
        <f t="shared" si="142"/>
        <v>0</v>
      </c>
      <c r="CY121" s="119">
        <f t="shared" si="142"/>
        <v>0</v>
      </c>
      <c r="CZ121" s="194">
        <f t="shared" si="141"/>
        <v>0</v>
      </c>
      <c r="DA121" s="117">
        <f t="shared" si="141"/>
        <v>0</v>
      </c>
      <c r="DB121" s="119">
        <f t="shared" si="141"/>
        <v>0</v>
      </c>
      <c r="DC121" s="380">
        <f t="shared" si="120"/>
        <v>0</v>
      </c>
      <c r="DD121" s="381">
        <f t="shared" si="121"/>
        <v>0</v>
      </c>
      <c r="DE121" s="381">
        <f t="shared" si="122"/>
        <v>0</v>
      </c>
      <c r="DF121" s="145">
        <f t="shared" si="115"/>
        <v>0</v>
      </c>
    </row>
    <row r="122" spans="1:110">
      <c r="A122" s="240">
        <v>8</v>
      </c>
      <c r="B122" s="116">
        <f t="shared" ref="B122:AN122" si="143">+B15+B51+B87</f>
        <v>0</v>
      </c>
      <c r="C122" s="117">
        <f t="shared" si="143"/>
        <v>0</v>
      </c>
      <c r="D122" s="119">
        <f t="shared" si="143"/>
        <v>0</v>
      </c>
      <c r="E122" s="194">
        <f t="shared" si="143"/>
        <v>0</v>
      </c>
      <c r="F122" s="117">
        <f t="shared" si="143"/>
        <v>0</v>
      </c>
      <c r="G122" s="118">
        <f t="shared" si="143"/>
        <v>0</v>
      </c>
      <c r="H122" s="116">
        <f t="shared" si="143"/>
        <v>0</v>
      </c>
      <c r="I122" s="117">
        <f t="shared" si="143"/>
        <v>0</v>
      </c>
      <c r="J122" s="119">
        <f t="shared" si="143"/>
        <v>0</v>
      </c>
      <c r="K122" s="194">
        <f t="shared" si="143"/>
        <v>0</v>
      </c>
      <c r="L122" s="117">
        <f t="shared" si="143"/>
        <v>0</v>
      </c>
      <c r="M122" s="118">
        <f t="shared" si="143"/>
        <v>0</v>
      </c>
      <c r="N122" s="116">
        <f t="shared" si="143"/>
        <v>0</v>
      </c>
      <c r="O122" s="117">
        <f t="shared" si="143"/>
        <v>0</v>
      </c>
      <c r="P122" s="119">
        <f t="shared" si="143"/>
        <v>0</v>
      </c>
      <c r="Q122" s="194">
        <f t="shared" si="143"/>
        <v>0</v>
      </c>
      <c r="R122" s="117">
        <f t="shared" si="143"/>
        <v>0</v>
      </c>
      <c r="S122" s="118">
        <f t="shared" si="143"/>
        <v>0</v>
      </c>
      <c r="T122" s="116">
        <f t="shared" si="143"/>
        <v>0</v>
      </c>
      <c r="U122" s="117">
        <f t="shared" si="143"/>
        <v>0</v>
      </c>
      <c r="V122" s="119">
        <f t="shared" si="143"/>
        <v>0</v>
      </c>
      <c r="W122" s="194">
        <f t="shared" si="143"/>
        <v>0</v>
      </c>
      <c r="X122" s="117">
        <f t="shared" si="143"/>
        <v>0</v>
      </c>
      <c r="Y122" s="118">
        <f t="shared" si="143"/>
        <v>0</v>
      </c>
      <c r="Z122" s="116">
        <f t="shared" si="143"/>
        <v>0</v>
      </c>
      <c r="AA122" s="117">
        <f t="shared" si="143"/>
        <v>0</v>
      </c>
      <c r="AB122" s="119">
        <f t="shared" si="143"/>
        <v>0</v>
      </c>
      <c r="AC122" s="194">
        <f t="shared" si="143"/>
        <v>0</v>
      </c>
      <c r="AD122" s="117">
        <f t="shared" si="143"/>
        <v>0</v>
      </c>
      <c r="AE122" s="118">
        <f t="shared" si="143"/>
        <v>0</v>
      </c>
      <c r="AF122" s="116">
        <f t="shared" si="143"/>
        <v>0</v>
      </c>
      <c r="AG122" s="117">
        <f t="shared" si="143"/>
        <v>0</v>
      </c>
      <c r="AH122" s="119">
        <f t="shared" si="143"/>
        <v>0</v>
      </c>
      <c r="AI122" s="194">
        <f t="shared" si="143"/>
        <v>0</v>
      </c>
      <c r="AJ122" s="117">
        <f t="shared" si="143"/>
        <v>0</v>
      </c>
      <c r="AK122" s="118">
        <f t="shared" si="143"/>
        <v>0</v>
      </c>
      <c r="AL122" s="116">
        <f t="shared" si="143"/>
        <v>0</v>
      </c>
      <c r="AM122" s="117">
        <f t="shared" si="143"/>
        <v>0</v>
      </c>
      <c r="AN122" s="119">
        <f t="shared" si="143"/>
        <v>0</v>
      </c>
      <c r="AO122" s="194">
        <f t="shared" ref="AO122:BZ122" si="144">+AO15+AO51+AO87</f>
        <v>0</v>
      </c>
      <c r="AP122" s="117">
        <f t="shared" si="144"/>
        <v>0</v>
      </c>
      <c r="AQ122" s="118">
        <f t="shared" si="144"/>
        <v>0</v>
      </c>
      <c r="AR122" s="116">
        <f t="shared" si="144"/>
        <v>0</v>
      </c>
      <c r="AS122" s="117">
        <f t="shared" si="144"/>
        <v>0</v>
      </c>
      <c r="AT122" s="119">
        <f t="shared" si="144"/>
        <v>0</v>
      </c>
      <c r="AU122" s="194">
        <f t="shared" si="144"/>
        <v>0</v>
      </c>
      <c r="AV122" s="117">
        <f t="shared" si="144"/>
        <v>0</v>
      </c>
      <c r="AW122" s="118">
        <f t="shared" si="144"/>
        <v>0</v>
      </c>
      <c r="AX122" s="116">
        <f t="shared" si="144"/>
        <v>0</v>
      </c>
      <c r="AY122" s="117">
        <f t="shared" si="144"/>
        <v>0</v>
      </c>
      <c r="AZ122" s="119">
        <f t="shared" si="144"/>
        <v>0</v>
      </c>
      <c r="BA122" s="194">
        <f t="shared" si="144"/>
        <v>0</v>
      </c>
      <c r="BB122" s="117">
        <f t="shared" si="144"/>
        <v>0</v>
      </c>
      <c r="BC122" s="118">
        <f t="shared" si="144"/>
        <v>0</v>
      </c>
      <c r="BD122" s="116">
        <f t="shared" si="144"/>
        <v>0</v>
      </c>
      <c r="BE122" s="117">
        <f t="shared" si="144"/>
        <v>0</v>
      </c>
      <c r="BF122" s="119">
        <f t="shared" si="144"/>
        <v>0</v>
      </c>
      <c r="BG122" s="194">
        <f t="shared" si="144"/>
        <v>0</v>
      </c>
      <c r="BH122" s="117">
        <f t="shared" si="144"/>
        <v>0</v>
      </c>
      <c r="BI122" s="118">
        <f t="shared" si="144"/>
        <v>0</v>
      </c>
      <c r="BJ122" s="116">
        <f t="shared" si="144"/>
        <v>0</v>
      </c>
      <c r="BK122" s="117">
        <f t="shared" si="144"/>
        <v>0</v>
      </c>
      <c r="BL122" s="119">
        <f t="shared" si="144"/>
        <v>0</v>
      </c>
      <c r="BM122" s="194">
        <f t="shared" si="144"/>
        <v>0</v>
      </c>
      <c r="BN122" s="117">
        <f t="shared" si="144"/>
        <v>0</v>
      </c>
      <c r="BO122" s="118">
        <f t="shared" si="144"/>
        <v>0</v>
      </c>
      <c r="BP122" s="116">
        <f t="shared" si="144"/>
        <v>0</v>
      </c>
      <c r="BQ122" s="117">
        <f t="shared" si="144"/>
        <v>0</v>
      </c>
      <c r="BR122" s="119">
        <f t="shared" si="144"/>
        <v>0</v>
      </c>
      <c r="BS122" s="194">
        <f t="shared" si="144"/>
        <v>0</v>
      </c>
      <c r="BT122" s="117">
        <f t="shared" si="144"/>
        <v>0</v>
      </c>
      <c r="BU122" s="118">
        <f t="shared" si="144"/>
        <v>0</v>
      </c>
      <c r="BV122" s="116">
        <f t="shared" si="144"/>
        <v>0</v>
      </c>
      <c r="BW122" s="117">
        <f t="shared" si="144"/>
        <v>0</v>
      </c>
      <c r="BX122" s="119">
        <f t="shared" si="144"/>
        <v>0</v>
      </c>
      <c r="BY122" s="194">
        <f t="shared" si="144"/>
        <v>0</v>
      </c>
      <c r="BZ122" s="117">
        <f t="shared" si="144"/>
        <v>0</v>
      </c>
      <c r="CA122" s="118">
        <f t="shared" ref="CA122:DB122" si="145">+CA15+CA51+CA87</f>
        <v>0</v>
      </c>
      <c r="CB122" s="116">
        <f t="shared" si="145"/>
        <v>0</v>
      </c>
      <c r="CC122" s="117">
        <f t="shared" si="145"/>
        <v>0</v>
      </c>
      <c r="CD122" s="119">
        <f t="shared" si="145"/>
        <v>0</v>
      </c>
      <c r="CE122" s="194">
        <f t="shared" si="145"/>
        <v>0</v>
      </c>
      <c r="CF122" s="117">
        <f t="shared" si="145"/>
        <v>0</v>
      </c>
      <c r="CG122" s="118">
        <f t="shared" si="145"/>
        <v>0</v>
      </c>
      <c r="CH122" s="116">
        <f t="shared" si="145"/>
        <v>0</v>
      </c>
      <c r="CI122" s="117">
        <f t="shared" si="145"/>
        <v>0</v>
      </c>
      <c r="CJ122" s="118">
        <f t="shared" si="145"/>
        <v>0</v>
      </c>
      <c r="CK122" s="241">
        <f t="shared" si="145"/>
        <v>0</v>
      </c>
      <c r="CL122" s="43">
        <f t="shared" si="145"/>
        <v>0</v>
      </c>
      <c r="CM122" s="289">
        <f t="shared" si="145"/>
        <v>0</v>
      </c>
      <c r="CN122" s="241">
        <f t="shared" si="145"/>
        <v>0</v>
      </c>
      <c r="CO122" s="43">
        <f t="shared" si="145"/>
        <v>0</v>
      </c>
      <c r="CP122" s="57">
        <f t="shared" si="145"/>
        <v>0</v>
      </c>
      <c r="CQ122" s="194">
        <f t="shared" ref="CQ122:CY122" si="146">+CQ15+CQ51+CQ87</f>
        <v>0</v>
      </c>
      <c r="CR122" s="117">
        <f t="shared" si="146"/>
        <v>0</v>
      </c>
      <c r="CS122" s="119">
        <f t="shared" si="146"/>
        <v>0</v>
      </c>
      <c r="CT122" s="194">
        <f t="shared" si="146"/>
        <v>0</v>
      </c>
      <c r="CU122" s="117">
        <f t="shared" si="146"/>
        <v>0</v>
      </c>
      <c r="CV122" s="119">
        <f t="shared" si="146"/>
        <v>0</v>
      </c>
      <c r="CW122" s="194">
        <f t="shared" si="146"/>
        <v>0</v>
      </c>
      <c r="CX122" s="117">
        <f t="shared" si="146"/>
        <v>0</v>
      </c>
      <c r="CY122" s="119">
        <f t="shared" si="146"/>
        <v>0</v>
      </c>
      <c r="CZ122" s="194">
        <f t="shared" si="145"/>
        <v>0</v>
      </c>
      <c r="DA122" s="117">
        <f t="shared" si="145"/>
        <v>0</v>
      </c>
      <c r="DB122" s="119">
        <f t="shared" si="145"/>
        <v>0</v>
      </c>
      <c r="DC122" s="380">
        <f t="shared" si="120"/>
        <v>0</v>
      </c>
      <c r="DD122" s="381">
        <f t="shared" si="121"/>
        <v>0</v>
      </c>
      <c r="DE122" s="381">
        <f t="shared" si="122"/>
        <v>0</v>
      </c>
      <c r="DF122" s="145">
        <f t="shared" si="115"/>
        <v>0</v>
      </c>
    </row>
    <row r="123" spans="1:110">
      <c r="A123" s="240">
        <v>9</v>
      </c>
      <c r="B123" s="116">
        <f t="shared" ref="B123:AN123" si="147">+B16+B52+B88</f>
        <v>0</v>
      </c>
      <c r="C123" s="117">
        <f t="shared" si="147"/>
        <v>0</v>
      </c>
      <c r="D123" s="119">
        <f t="shared" si="147"/>
        <v>0</v>
      </c>
      <c r="E123" s="194">
        <f t="shared" si="147"/>
        <v>0</v>
      </c>
      <c r="F123" s="117">
        <f t="shared" si="147"/>
        <v>0</v>
      </c>
      <c r="G123" s="118">
        <f t="shared" si="147"/>
        <v>0</v>
      </c>
      <c r="H123" s="116">
        <f t="shared" si="147"/>
        <v>0</v>
      </c>
      <c r="I123" s="117">
        <f t="shared" si="147"/>
        <v>0</v>
      </c>
      <c r="J123" s="119">
        <f t="shared" si="147"/>
        <v>0</v>
      </c>
      <c r="K123" s="194">
        <f t="shared" si="147"/>
        <v>0</v>
      </c>
      <c r="L123" s="117">
        <f t="shared" si="147"/>
        <v>0</v>
      </c>
      <c r="M123" s="118">
        <f t="shared" si="147"/>
        <v>0</v>
      </c>
      <c r="N123" s="116">
        <f t="shared" si="147"/>
        <v>0</v>
      </c>
      <c r="O123" s="117">
        <f t="shared" si="147"/>
        <v>0</v>
      </c>
      <c r="P123" s="119">
        <f t="shared" si="147"/>
        <v>0</v>
      </c>
      <c r="Q123" s="194">
        <f t="shared" si="147"/>
        <v>0</v>
      </c>
      <c r="R123" s="117">
        <f t="shared" si="147"/>
        <v>0</v>
      </c>
      <c r="S123" s="118">
        <f t="shared" si="147"/>
        <v>0</v>
      </c>
      <c r="T123" s="116">
        <f t="shared" si="147"/>
        <v>0</v>
      </c>
      <c r="U123" s="117">
        <f t="shared" si="147"/>
        <v>0</v>
      </c>
      <c r="V123" s="119">
        <f t="shared" si="147"/>
        <v>0</v>
      </c>
      <c r="W123" s="194">
        <f t="shared" si="147"/>
        <v>0</v>
      </c>
      <c r="X123" s="117">
        <f t="shared" si="147"/>
        <v>0</v>
      </c>
      <c r="Y123" s="118">
        <f t="shared" si="147"/>
        <v>0</v>
      </c>
      <c r="Z123" s="116">
        <f t="shared" si="147"/>
        <v>0</v>
      </c>
      <c r="AA123" s="117">
        <f t="shared" si="147"/>
        <v>0</v>
      </c>
      <c r="AB123" s="119">
        <f t="shared" si="147"/>
        <v>0</v>
      </c>
      <c r="AC123" s="194">
        <f t="shared" si="147"/>
        <v>0</v>
      </c>
      <c r="AD123" s="117">
        <f t="shared" si="147"/>
        <v>0</v>
      </c>
      <c r="AE123" s="118">
        <f t="shared" si="147"/>
        <v>0</v>
      </c>
      <c r="AF123" s="116">
        <f t="shared" si="147"/>
        <v>0</v>
      </c>
      <c r="AG123" s="117">
        <f t="shared" si="147"/>
        <v>0</v>
      </c>
      <c r="AH123" s="119">
        <f t="shared" si="147"/>
        <v>0</v>
      </c>
      <c r="AI123" s="194">
        <f t="shared" si="147"/>
        <v>0</v>
      </c>
      <c r="AJ123" s="117">
        <f t="shared" si="147"/>
        <v>0</v>
      </c>
      <c r="AK123" s="118">
        <f t="shared" si="147"/>
        <v>0</v>
      </c>
      <c r="AL123" s="116">
        <f t="shared" si="147"/>
        <v>0</v>
      </c>
      <c r="AM123" s="117">
        <f t="shared" si="147"/>
        <v>0</v>
      </c>
      <c r="AN123" s="119">
        <f t="shared" si="147"/>
        <v>0</v>
      </c>
      <c r="AO123" s="194">
        <f t="shared" ref="AO123:BZ123" si="148">+AO16+AO52+AO88</f>
        <v>0</v>
      </c>
      <c r="AP123" s="117">
        <f t="shared" si="148"/>
        <v>0</v>
      </c>
      <c r="AQ123" s="118">
        <f t="shared" si="148"/>
        <v>0</v>
      </c>
      <c r="AR123" s="116">
        <f t="shared" si="148"/>
        <v>0</v>
      </c>
      <c r="AS123" s="117">
        <f t="shared" si="148"/>
        <v>0</v>
      </c>
      <c r="AT123" s="119">
        <f t="shared" si="148"/>
        <v>0</v>
      </c>
      <c r="AU123" s="194">
        <f t="shared" si="148"/>
        <v>0</v>
      </c>
      <c r="AV123" s="117">
        <f t="shared" si="148"/>
        <v>0</v>
      </c>
      <c r="AW123" s="118">
        <f t="shared" si="148"/>
        <v>0</v>
      </c>
      <c r="AX123" s="116">
        <f t="shared" si="148"/>
        <v>0</v>
      </c>
      <c r="AY123" s="117">
        <f t="shared" si="148"/>
        <v>0</v>
      </c>
      <c r="AZ123" s="119">
        <f t="shared" si="148"/>
        <v>0</v>
      </c>
      <c r="BA123" s="194">
        <f t="shared" si="148"/>
        <v>0</v>
      </c>
      <c r="BB123" s="117">
        <f t="shared" si="148"/>
        <v>0</v>
      </c>
      <c r="BC123" s="118">
        <f t="shared" si="148"/>
        <v>0</v>
      </c>
      <c r="BD123" s="116">
        <f t="shared" si="148"/>
        <v>0</v>
      </c>
      <c r="BE123" s="117">
        <f t="shared" si="148"/>
        <v>0</v>
      </c>
      <c r="BF123" s="119">
        <f t="shared" si="148"/>
        <v>0</v>
      </c>
      <c r="BG123" s="194">
        <f t="shared" si="148"/>
        <v>0</v>
      </c>
      <c r="BH123" s="117">
        <f t="shared" si="148"/>
        <v>0</v>
      </c>
      <c r="BI123" s="118">
        <f t="shared" si="148"/>
        <v>0</v>
      </c>
      <c r="BJ123" s="116">
        <f t="shared" si="148"/>
        <v>0</v>
      </c>
      <c r="BK123" s="117">
        <f t="shared" si="148"/>
        <v>0</v>
      </c>
      <c r="BL123" s="119">
        <f t="shared" si="148"/>
        <v>0</v>
      </c>
      <c r="BM123" s="194">
        <f t="shared" si="148"/>
        <v>0</v>
      </c>
      <c r="BN123" s="117">
        <f t="shared" si="148"/>
        <v>0</v>
      </c>
      <c r="BO123" s="118">
        <f t="shared" si="148"/>
        <v>0</v>
      </c>
      <c r="BP123" s="116">
        <f t="shared" si="148"/>
        <v>0</v>
      </c>
      <c r="BQ123" s="117">
        <f t="shared" si="148"/>
        <v>0</v>
      </c>
      <c r="BR123" s="119">
        <f t="shared" si="148"/>
        <v>0</v>
      </c>
      <c r="BS123" s="194">
        <f t="shared" si="148"/>
        <v>0</v>
      </c>
      <c r="BT123" s="117">
        <f t="shared" si="148"/>
        <v>0</v>
      </c>
      <c r="BU123" s="118">
        <f t="shared" si="148"/>
        <v>0</v>
      </c>
      <c r="BV123" s="116">
        <f t="shared" si="148"/>
        <v>0</v>
      </c>
      <c r="BW123" s="117">
        <f t="shared" si="148"/>
        <v>0</v>
      </c>
      <c r="BX123" s="119">
        <f t="shared" si="148"/>
        <v>0</v>
      </c>
      <c r="BY123" s="194">
        <f t="shared" si="148"/>
        <v>0</v>
      </c>
      <c r="BZ123" s="117">
        <f t="shared" si="148"/>
        <v>0</v>
      </c>
      <c r="CA123" s="118">
        <f t="shared" ref="CA123:DB123" si="149">+CA16+CA52+CA88</f>
        <v>0</v>
      </c>
      <c r="CB123" s="116">
        <f t="shared" si="149"/>
        <v>0</v>
      </c>
      <c r="CC123" s="117">
        <f t="shared" si="149"/>
        <v>0</v>
      </c>
      <c r="CD123" s="119">
        <f t="shared" si="149"/>
        <v>0</v>
      </c>
      <c r="CE123" s="194">
        <f t="shared" si="149"/>
        <v>0</v>
      </c>
      <c r="CF123" s="117">
        <f t="shared" si="149"/>
        <v>0</v>
      </c>
      <c r="CG123" s="118">
        <f t="shared" si="149"/>
        <v>0</v>
      </c>
      <c r="CH123" s="116">
        <f t="shared" si="149"/>
        <v>0</v>
      </c>
      <c r="CI123" s="117">
        <f t="shared" si="149"/>
        <v>0</v>
      </c>
      <c r="CJ123" s="118">
        <f t="shared" si="149"/>
        <v>0</v>
      </c>
      <c r="CK123" s="241">
        <f t="shared" si="149"/>
        <v>0</v>
      </c>
      <c r="CL123" s="43">
        <f t="shared" si="149"/>
        <v>0</v>
      </c>
      <c r="CM123" s="289">
        <f t="shared" si="149"/>
        <v>0</v>
      </c>
      <c r="CN123" s="241">
        <f t="shared" si="149"/>
        <v>0</v>
      </c>
      <c r="CO123" s="43">
        <f t="shared" si="149"/>
        <v>0</v>
      </c>
      <c r="CP123" s="57">
        <f t="shared" si="149"/>
        <v>0</v>
      </c>
      <c r="CQ123" s="194">
        <f t="shared" ref="CQ123:CY123" si="150">+CQ16+CQ52+CQ88</f>
        <v>0</v>
      </c>
      <c r="CR123" s="117">
        <f t="shared" si="150"/>
        <v>0</v>
      </c>
      <c r="CS123" s="119">
        <f t="shared" si="150"/>
        <v>0</v>
      </c>
      <c r="CT123" s="194">
        <f t="shared" si="150"/>
        <v>0</v>
      </c>
      <c r="CU123" s="117">
        <f t="shared" si="150"/>
        <v>0</v>
      </c>
      <c r="CV123" s="119">
        <f t="shared" si="150"/>
        <v>0</v>
      </c>
      <c r="CW123" s="194">
        <f t="shared" si="150"/>
        <v>0</v>
      </c>
      <c r="CX123" s="117">
        <f t="shared" si="150"/>
        <v>0</v>
      </c>
      <c r="CY123" s="119">
        <f t="shared" si="150"/>
        <v>0</v>
      </c>
      <c r="CZ123" s="194">
        <f t="shared" si="149"/>
        <v>0</v>
      </c>
      <c r="DA123" s="117">
        <f t="shared" si="149"/>
        <v>0</v>
      </c>
      <c r="DB123" s="119">
        <f t="shared" si="149"/>
        <v>0</v>
      </c>
      <c r="DC123" s="380">
        <f t="shared" si="120"/>
        <v>0</v>
      </c>
      <c r="DD123" s="381">
        <f t="shared" si="121"/>
        <v>0</v>
      </c>
      <c r="DE123" s="381">
        <f t="shared" si="122"/>
        <v>0</v>
      </c>
      <c r="DF123" s="145">
        <f t="shared" si="115"/>
        <v>0</v>
      </c>
    </row>
    <row r="124" spans="1:110">
      <c r="A124" s="365">
        <v>10</v>
      </c>
      <c r="B124" s="116">
        <f t="shared" ref="B124:AN124" si="151">+B17+B53+B89</f>
        <v>0</v>
      </c>
      <c r="C124" s="117">
        <f t="shared" si="151"/>
        <v>0</v>
      </c>
      <c r="D124" s="119">
        <f t="shared" si="151"/>
        <v>0</v>
      </c>
      <c r="E124" s="194">
        <f t="shared" si="151"/>
        <v>0</v>
      </c>
      <c r="F124" s="117">
        <f t="shared" si="151"/>
        <v>0</v>
      </c>
      <c r="G124" s="118">
        <f t="shared" si="151"/>
        <v>0</v>
      </c>
      <c r="H124" s="116">
        <f t="shared" si="151"/>
        <v>0</v>
      </c>
      <c r="I124" s="117">
        <f t="shared" si="151"/>
        <v>0</v>
      </c>
      <c r="J124" s="119">
        <f t="shared" si="151"/>
        <v>0</v>
      </c>
      <c r="K124" s="194">
        <f t="shared" si="151"/>
        <v>0</v>
      </c>
      <c r="L124" s="117">
        <f t="shared" si="151"/>
        <v>0</v>
      </c>
      <c r="M124" s="118">
        <f t="shared" si="151"/>
        <v>0</v>
      </c>
      <c r="N124" s="116">
        <f t="shared" si="151"/>
        <v>0</v>
      </c>
      <c r="O124" s="117">
        <f t="shared" si="151"/>
        <v>0</v>
      </c>
      <c r="P124" s="119">
        <f t="shared" si="151"/>
        <v>0</v>
      </c>
      <c r="Q124" s="194">
        <f t="shared" si="151"/>
        <v>0</v>
      </c>
      <c r="R124" s="117">
        <f t="shared" si="151"/>
        <v>0</v>
      </c>
      <c r="S124" s="118">
        <f t="shared" si="151"/>
        <v>0</v>
      </c>
      <c r="T124" s="116">
        <f t="shared" si="151"/>
        <v>0</v>
      </c>
      <c r="U124" s="117">
        <f t="shared" si="151"/>
        <v>0</v>
      </c>
      <c r="V124" s="119">
        <f t="shared" si="151"/>
        <v>0</v>
      </c>
      <c r="W124" s="194">
        <f t="shared" si="151"/>
        <v>0</v>
      </c>
      <c r="X124" s="117">
        <f t="shared" si="151"/>
        <v>0</v>
      </c>
      <c r="Y124" s="118">
        <f t="shared" si="151"/>
        <v>0</v>
      </c>
      <c r="Z124" s="116">
        <f t="shared" si="151"/>
        <v>0</v>
      </c>
      <c r="AA124" s="117">
        <f t="shared" si="151"/>
        <v>0</v>
      </c>
      <c r="AB124" s="119">
        <f t="shared" si="151"/>
        <v>0</v>
      </c>
      <c r="AC124" s="194">
        <f t="shared" si="151"/>
        <v>0</v>
      </c>
      <c r="AD124" s="117">
        <f t="shared" si="151"/>
        <v>0</v>
      </c>
      <c r="AE124" s="118">
        <f t="shared" si="151"/>
        <v>0</v>
      </c>
      <c r="AF124" s="116">
        <f t="shared" si="151"/>
        <v>0</v>
      </c>
      <c r="AG124" s="117">
        <f t="shared" si="151"/>
        <v>0</v>
      </c>
      <c r="AH124" s="119">
        <f t="shared" si="151"/>
        <v>0</v>
      </c>
      <c r="AI124" s="194">
        <f t="shared" si="151"/>
        <v>0</v>
      </c>
      <c r="AJ124" s="117">
        <f t="shared" si="151"/>
        <v>0</v>
      </c>
      <c r="AK124" s="118">
        <f t="shared" si="151"/>
        <v>0</v>
      </c>
      <c r="AL124" s="116">
        <f t="shared" si="151"/>
        <v>0</v>
      </c>
      <c r="AM124" s="117">
        <f t="shared" si="151"/>
        <v>0</v>
      </c>
      <c r="AN124" s="119">
        <f t="shared" si="151"/>
        <v>0</v>
      </c>
      <c r="AO124" s="194">
        <f t="shared" ref="AO124:BZ124" si="152">+AO17+AO53+AO89</f>
        <v>0</v>
      </c>
      <c r="AP124" s="117">
        <f t="shared" si="152"/>
        <v>0</v>
      </c>
      <c r="AQ124" s="118">
        <f t="shared" si="152"/>
        <v>0</v>
      </c>
      <c r="AR124" s="116">
        <f t="shared" si="152"/>
        <v>0</v>
      </c>
      <c r="AS124" s="117">
        <f t="shared" si="152"/>
        <v>0</v>
      </c>
      <c r="AT124" s="119">
        <f t="shared" si="152"/>
        <v>0</v>
      </c>
      <c r="AU124" s="194">
        <f t="shared" si="152"/>
        <v>0</v>
      </c>
      <c r="AV124" s="117">
        <f t="shared" si="152"/>
        <v>0</v>
      </c>
      <c r="AW124" s="118">
        <f t="shared" si="152"/>
        <v>0</v>
      </c>
      <c r="AX124" s="116">
        <f t="shared" si="152"/>
        <v>0</v>
      </c>
      <c r="AY124" s="117">
        <f t="shared" si="152"/>
        <v>0</v>
      </c>
      <c r="AZ124" s="119">
        <f t="shared" si="152"/>
        <v>0</v>
      </c>
      <c r="BA124" s="194">
        <f t="shared" si="152"/>
        <v>0</v>
      </c>
      <c r="BB124" s="117">
        <f t="shared" si="152"/>
        <v>0</v>
      </c>
      <c r="BC124" s="118">
        <f t="shared" si="152"/>
        <v>0</v>
      </c>
      <c r="BD124" s="116">
        <f t="shared" si="152"/>
        <v>0</v>
      </c>
      <c r="BE124" s="117">
        <f t="shared" si="152"/>
        <v>0</v>
      </c>
      <c r="BF124" s="119">
        <f t="shared" si="152"/>
        <v>0</v>
      </c>
      <c r="BG124" s="194">
        <f t="shared" si="152"/>
        <v>0</v>
      </c>
      <c r="BH124" s="117">
        <f t="shared" si="152"/>
        <v>0</v>
      </c>
      <c r="BI124" s="118">
        <f t="shared" si="152"/>
        <v>0</v>
      </c>
      <c r="BJ124" s="116">
        <f t="shared" si="152"/>
        <v>0</v>
      </c>
      <c r="BK124" s="117">
        <f t="shared" si="152"/>
        <v>0</v>
      </c>
      <c r="BL124" s="119">
        <f t="shared" si="152"/>
        <v>0</v>
      </c>
      <c r="BM124" s="194">
        <f t="shared" si="152"/>
        <v>0</v>
      </c>
      <c r="BN124" s="117">
        <f t="shared" si="152"/>
        <v>0</v>
      </c>
      <c r="BO124" s="118">
        <f t="shared" si="152"/>
        <v>0</v>
      </c>
      <c r="BP124" s="116">
        <f t="shared" si="152"/>
        <v>0</v>
      </c>
      <c r="BQ124" s="117">
        <f t="shared" si="152"/>
        <v>0</v>
      </c>
      <c r="BR124" s="119">
        <f t="shared" si="152"/>
        <v>0</v>
      </c>
      <c r="BS124" s="194">
        <f t="shared" si="152"/>
        <v>0</v>
      </c>
      <c r="BT124" s="117">
        <f t="shared" si="152"/>
        <v>0</v>
      </c>
      <c r="BU124" s="118">
        <f t="shared" si="152"/>
        <v>0</v>
      </c>
      <c r="BV124" s="116">
        <f t="shared" si="152"/>
        <v>0</v>
      </c>
      <c r="BW124" s="117">
        <f t="shared" si="152"/>
        <v>0</v>
      </c>
      <c r="BX124" s="119">
        <f t="shared" si="152"/>
        <v>0</v>
      </c>
      <c r="BY124" s="194">
        <f t="shared" si="152"/>
        <v>0</v>
      </c>
      <c r="BZ124" s="117">
        <f t="shared" si="152"/>
        <v>0</v>
      </c>
      <c r="CA124" s="118">
        <f t="shared" ref="CA124:DB124" si="153">+CA17+CA53+CA89</f>
        <v>0</v>
      </c>
      <c r="CB124" s="116">
        <f t="shared" si="153"/>
        <v>0</v>
      </c>
      <c r="CC124" s="117">
        <f t="shared" si="153"/>
        <v>0</v>
      </c>
      <c r="CD124" s="119">
        <f t="shared" si="153"/>
        <v>0</v>
      </c>
      <c r="CE124" s="194">
        <f t="shared" si="153"/>
        <v>0</v>
      </c>
      <c r="CF124" s="117">
        <f t="shared" si="153"/>
        <v>0</v>
      </c>
      <c r="CG124" s="118">
        <f t="shared" si="153"/>
        <v>0</v>
      </c>
      <c r="CH124" s="116">
        <f t="shared" si="153"/>
        <v>0</v>
      </c>
      <c r="CI124" s="117">
        <f t="shared" si="153"/>
        <v>0</v>
      </c>
      <c r="CJ124" s="118">
        <f t="shared" si="153"/>
        <v>0</v>
      </c>
      <c r="CK124" s="241">
        <f t="shared" si="153"/>
        <v>0</v>
      </c>
      <c r="CL124" s="43">
        <f t="shared" si="153"/>
        <v>0</v>
      </c>
      <c r="CM124" s="289">
        <f t="shared" si="153"/>
        <v>0</v>
      </c>
      <c r="CN124" s="241">
        <f t="shared" si="153"/>
        <v>0</v>
      </c>
      <c r="CO124" s="43">
        <f t="shared" si="153"/>
        <v>0</v>
      </c>
      <c r="CP124" s="57">
        <f t="shared" si="153"/>
        <v>0</v>
      </c>
      <c r="CQ124" s="194">
        <f t="shared" ref="CQ124:CY124" si="154">+CQ17+CQ53+CQ89</f>
        <v>0</v>
      </c>
      <c r="CR124" s="117">
        <f t="shared" si="154"/>
        <v>0</v>
      </c>
      <c r="CS124" s="119">
        <f t="shared" si="154"/>
        <v>0</v>
      </c>
      <c r="CT124" s="194">
        <f t="shared" si="154"/>
        <v>0</v>
      </c>
      <c r="CU124" s="117">
        <f t="shared" si="154"/>
        <v>0</v>
      </c>
      <c r="CV124" s="119">
        <f t="shared" si="154"/>
        <v>0</v>
      </c>
      <c r="CW124" s="194">
        <f t="shared" si="154"/>
        <v>0</v>
      </c>
      <c r="CX124" s="117">
        <f t="shared" si="154"/>
        <v>0</v>
      </c>
      <c r="CY124" s="119">
        <f t="shared" si="154"/>
        <v>0</v>
      </c>
      <c r="CZ124" s="194">
        <f t="shared" si="153"/>
        <v>0</v>
      </c>
      <c r="DA124" s="117">
        <f t="shared" si="153"/>
        <v>0</v>
      </c>
      <c r="DB124" s="119">
        <f t="shared" si="153"/>
        <v>0</v>
      </c>
      <c r="DC124" s="380">
        <f t="shared" si="120"/>
        <v>0</v>
      </c>
      <c r="DD124" s="381">
        <f t="shared" si="121"/>
        <v>0</v>
      </c>
      <c r="DE124" s="381">
        <f t="shared" si="122"/>
        <v>0</v>
      </c>
      <c r="DF124" s="145">
        <f t="shared" si="115"/>
        <v>0</v>
      </c>
    </row>
    <row r="125" spans="1:110">
      <c r="A125" s="240">
        <v>11</v>
      </c>
      <c r="B125" s="116">
        <f t="shared" ref="B125:T125" si="155">+B18+B54+B90</f>
        <v>0</v>
      </c>
      <c r="C125" s="117">
        <f t="shared" si="155"/>
        <v>0</v>
      </c>
      <c r="D125" s="119">
        <f t="shared" si="155"/>
        <v>0</v>
      </c>
      <c r="E125" s="194">
        <f t="shared" si="155"/>
        <v>0</v>
      </c>
      <c r="F125" s="117">
        <f t="shared" si="155"/>
        <v>0</v>
      </c>
      <c r="G125" s="118">
        <f t="shared" si="155"/>
        <v>0</v>
      </c>
      <c r="H125" s="116">
        <f t="shared" si="155"/>
        <v>0</v>
      </c>
      <c r="I125" s="117">
        <f t="shared" si="155"/>
        <v>0</v>
      </c>
      <c r="J125" s="119">
        <f t="shared" si="155"/>
        <v>0</v>
      </c>
      <c r="K125" s="194">
        <f t="shared" si="155"/>
        <v>0</v>
      </c>
      <c r="L125" s="117">
        <f t="shared" si="155"/>
        <v>0</v>
      </c>
      <c r="M125" s="118">
        <f t="shared" si="155"/>
        <v>0</v>
      </c>
      <c r="N125" s="116">
        <f t="shared" si="155"/>
        <v>0</v>
      </c>
      <c r="O125" s="117">
        <f t="shared" si="155"/>
        <v>0</v>
      </c>
      <c r="P125" s="119">
        <f t="shared" si="155"/>
        <v>0</v>
      </c>
      <c r="Q125" s="194">
        <f t="shared" si="155"/>
        <v>0</v>
      </c>
      <c r="R125" s="117">
        <f t="shared" si="155"/>
        <v>0</v>
      </c>
      <c r="S125" s="118">
        <f t="shared" si="155"/>
        <v>0</v>
      </c>
      <c r="T125" s="116">
        <f t="shared" si="155"/>
        <v>0</v>
      </c>
      <c r="U125" s="117">
        <f t="shared" ref="U125:AN125" si="156">+U18+U54+U90</f>
        <v>0</v>
      </c>
      <c r="V125" s="119">
        <f t="shared" si="156"/>
        <v>0</v>
      </c>
      <c r="W125" s="194">
        <f t="shared" si="156"/>
        <v>0</v>
      </c>
      <c r="X125" s="117">
        <f t="shared" si="156"/>
        <v>0</v>
      </c>
      <c r="Y125" s="118">
        <f t="shared" si="156"/>
        <v>0</v>
      </c>
      <c r="Z125" s="116">
        <f t="shared" si="156"/>
        <v>0</v>
      </c>
      <c r="AA125" s="117">
        <f t="shared" si="156"/>
        <v>0</v>
      </c>
      <c r="AB125" s="119">
        <f t="shared" si="156"/>
        <v>0</v>
      </c>
      <c r="AC125" s="194">
        <f t="shared" si="156"/>
        <v>0</v>
      </c>
      <c r="AD125" s="117">
        <f t="shared" si="156"/>
        <v>0</v>
      </c>
      <c r="AE125" s="118">
        <f t="shared" si="156"/>
        <v>0</v>
      </c>
      <c r="AF125" s="116">
        <f t="shared" si="156"/>
        <v>0</v>
      </c>
      <c r="AG125" s="117">
        <f t="shared" si="156"/>
        <v>0</v>
      </c>
      <c r="AH125" s="119">
        <f t="shared" si="156"/>
        <v>0</v>
      </c>
      <c r="AI125" s="194">
        <f t="shared" si="156"/>
        <v>0</v>
      </c>
      <c r="AJ125" s="117">
        <f t="shared" si="156"/>
        <v>0</v>
      </c>
      <c r="AK125" s="118">
        <f t="shared" si="156"/>
        <v>0</v>
      </c>
      <c r="AL125" s="116">
        <f t="shared" si="156"/>
        <v>0</v>
      </c>
      <c r="AM125" s="117">
        <f t="shared" si="156"/>
        <v>0</v>
      </c>
      <c r="AN125" s="119">
        <f t="shared" si="156"/>
        <v>0</v>
      </c>
      <c r="AO125" s="194">
        <f t="shared" ref="AO125:BF125" si="157">+AO18+AO54+AO90</f>
        <v>0</v>
      </c>
      <c r="AP125" s="117">
        <f t="shared" si="157"/>
        <v>0</v>
      </c>
      <c r="AQ125" s="118">
        <f t="shared" si="157"/>
        <v>0</v>
      </c>
      <c r="AR125" s="116">
        <f t="shared" si="157"/>
        <v>0</v>
      </c>
      <c r="AS125" s="117">
        <f t="shared" si="157"/>
        <v>0</v>
      </c>
      <c r="AT125" s="119">
        <f t="shared" si="157"/>
        <v>0</v>
      </c>
      <c r="AU125" s="194">
        <f t="shared" si="157"/>
        <v>0</v>
      </c>
      <c r="AV125" s="117">
        <f t="shared" si="157"/>
        <v>0</v>
      </c>
      <c r="AW125" s="118">
        <f t="shared" si="157"/>
        <v>0</v>
      </c>
      <c r="AX125" s="116">
        <f t="shared" si="157"/>
        <v>0</v>
      </c>
      <c r="AY125" s="117">
        <f t="shared" si="157"/>
        <v>0</v>
      </c>
      <c r="AZ125" s="119">
        <f t="shared" si="157"/>
        <v>0</v>
      </c>
      <c r="BA125" s="194">
        <f t="shared" si="157"/>
        <v>0</v>
      </c>
      <c r="BB125" s="117">
        <f t="shared" si="157"/>
        <v>0</v>
      </c>
      <c r="BC125" s="118">
        <f t="shared" si="157"/>
        <v>0</v>
      </c>
      <c r="BD125" s="116">
        <f t="shared" si="157"/>
        <v>0</v>
      </c>
      <c r="BE125" s="117">
        <f t="shared" si="157"/>
        <v>0</v>
      </c>
      <c r="BF125" s="119">
        <f t="shared" si="157"/>
        <v>0</v>
      </c>
      <c r="BG125" s="194">
        <f t="shared" ref="BG125:BZ125" si="158">+BG18+BG54+BG90</f>
        <v>0</v>
      </c>
      <c r="BH125" s="117">
        <f t="shared" si="158"/>
        <v>0</v>
      </c>
      <c r="BI125" s="118">
        <f t="shared" si="158"/>
        <v>0</v>
      </c>
      <c r="BJ125" s="116">
        <f t="shared" si="158"/>
        <v>0</v>
      </c>
      <c r="BK125" s="117">
        <f t="shared" si="158"/>
        <v>0</v>
      </c>
      <c r="BL125" s="119">
        <f t="shared" si="158"/>
        <v>0</v>
      </c>
      <c r="BM125" s="194">
        <f t="shared" si="158"/>
        <v>0</v>
      </c>
      <c r="BN125" s="117">
        <f t="shared" si="158"/>
        <v>0</v>
      </c>
      <c r="BO125" s="118">
        <f t="shared" si="158"/>
        <v>0</v>
      </c>
      <c r="BP125" s="116">
        <f t="shared" si="158"/>
        <v>0</v>
      </c>
      <c r="BQ125" s="117">
        <f t="shared" si="158"/>
        <v>0</v>
      </c>
      <c r="BR125" s="119">
        <f t="shared" si="158"/>
        <v>0</v>
      </c>
      <c r="BS125" s="194">
        <f t="shared" si="158"/>
        <v>0</v>
      </c>
      <c r="BT125" s="117">
        <f t="shared" si="158"/>
        <v>0</v>
      </c>
      <c r="BU125" s="118">
        <f t="shared" si="158"/>
        <v>0</v>
      </c>
      <c r="BV125" s="116">
        <f t="shared" si="158"/>
        <v>0</v>
      </c>
      <c r="BW125" s="117">
        <f t="shared" si="158"/>
        <v>0</v>
      </c>
      <c r="BX125" s="119">
        <f t="shared" si="158"/>
        <v>0</v>
      </c>
      <c r="BY125" s="194">
        <f t="shared" si="158"/>
        <v>0</v>
      </c>
      <c r="BZ125" s="117">
        <f t="shared" si="158"/>
        <v>0</v>
      </c>
      <c r="CA125" s="118">
        <f t="shared" ref="CA125:DB125" si="159">+CA18+CA54+CA90</f>
        <v>0</v>
      </c>
      <c r="CB125" s="116">
        <f t="shared" si="159"/>
        <v>0</v>
      </c>
      <c r="CC125" s="117">
        <f t="shared" si="159"/>
        <v>0</v>
      </c>
      <c r="CD125" s="119">
        <f t="shared" si="159"/>
        <v>0</v>
      </c>
      <c r="CE125" s="194">
        <f t="shared" si="159"/>
        <v>0</v>
      </c>
      <c r="CF125" s="117">
        <f t="shared" si="159"/>
        <v>0</v>
      </c>
      <c r="CG125" s="118">
        <f t="shared" si="159"/>
        <v>0</v>
      </c>
      <c r="CH125" s="116">
        <f t="shared" si="159"/>
        <v>0</v>
      </c>
      <c r="CI125" s="117">
        <f t="shared" si="159"/>
        <v>0</v>
      </c>
      <c r="CJ125" s="118">
        <f t="shared" si="159"/>
        <v>0</v>
      </c>
      <c r="CK125" s="241">
        <f t="shared" si="159"/>
        <v>0</v>
      </c>
      <c r="CL125" s="43">
        <f t="shared" si="159"/>
        <v>0</v>
      </c>
      <c r="CM125" s="289">
        <f t="shared" si="159"/>
        <v>0</v>
      </c>
      <c r="CN125" s="241">
        <f t="shared" si="159"/>
        <v>0</v>
      </c>
      <c r="CO125" s="43">
        <f t="shared" si="159"/>
        <v>0</v>
      </c>
      <c r="CP125" s="57">
        <f t="shared" si="159"/>
        <v>0</v>
      </c>
      <c r="CQ125" s="194">
        <f t="shared" ref="CQ125:CY125" si="160">+CQ18+CQ54+CQ90</f>
        <v>0</v>
      </c>
      <c r="CR125" s="117">
        <f t="shared" si="160"/>
        <v>0</v>
      </c>
      <c r="CS125" s="119">
        <f t="shared" si="160"/>
        <v>0</v>
      </c>
      <c r="CT125" s="194">
        <f t="shared" si="160"/>
        <v>0</v>
      </c>
      <c r="CU125" s="117">
        <f t="shared" si="160"/>
        <v>0</v>
      </c>
      <c r="CV125" s="119">
        <f t="shared" si="160"/>
        <v>0</v>
      </c>
      <c r="CW125" s="194">
        <f t="shared" si="160"/>
        <v>0</v>
      </c>
      <c r="CX125" s="117">
        <f t="shared" si="160"/>
        <v>0</v>
      </c>
      <c r="CY125" s="119">
        <f t="shared" si="160"/>
        <v>0</v>
      </c>
      <c r="CZ125" s="194">
        <f t="shared" si="159"/>
        <v>0</v>
      </c>
      <c r="DA125" s="117">
        <f t="shared" si="159"/>
        <v>0</v>
      </c>
      <c r="DB125" s="119">
        <f t="shared" si="159"/>
        <v>0</v>
      </c>
      <c r="DC125" s="380">
        <f t="shared" si="120"/>
        <v>0</v>
      </c>
      <c r="DD125" s="381">
        <f t="shared" si="121"/>
        <v>0</v>
      </c>
      <c r="DE125" s="381">
        <f t="shared" si="122"/>
        <v>0</v>
      </c>
      <c r="DF125" s="145">
        <f t="shared" si="115"/>
        <v>0</v>
      </c>
    </row>
    <row r="126" spans="1:110">
      <c r="A126" s="240">
        <v>12</v>
      </c>
      <c r="B126" s="116">
        <f t="shared" ref="B126:AN126" si="161">+B19+B55+B91</f>
        <v>0</v>
      </c>
      <c r="C126" s="117">
        <f t="shared" si="161"/>
        <v>0</v>
      </c>
      <c r="D126" s="119">
        <f t="shared" si="161"/>
        <v>0</v>
      </c>
      <c r="E126" s="194">
        <f t="shared" si="161"/>
        <v>0</v>
      </c>
      <c r="F126" s="117">
        <f t="shared" si="161"/>
        <v>0</v>
      </c>
      <c r="G126" s="118">
        <f t="shared" si="161"/>
        <v>0</v>
      </c>
      <c r="H126" s="116">
        <f t="shared" si="161"/>
        <v>0</v>
      </c>
      <c r="I126" s="117">
        <f t="shared" si="161"/>
        <v>0</v>
      </c>
      <c r="J126" s="119">
        <f t="shared" si="161"/>
        <v>0</v>
      </c>
      <c r="K126" s="194">
        <f t="shared" si="161"/>
        <v>0</v>
      </c>
      <c r="L126" s="117">
        <f t="shared" si="161"/>
        <v>0</v>
      </c>
      <c r="M126" s="118">
        <f t="shared" si="161"/>
        <v>0</v>
      </c>
      <c r="N126" s="116">
        <f t="shared" si="161"/>
        <v>0</v>
      </c>
      <c r="O126" s="117">
        <f t="shared" si="161"/>
        <v>0</v>
      </c>
      <c r="P126" s="119">
        <f t="shared" si="161"/>
        <v>0</v>
      </c>
      <c r="Q126" s="194">
        <f t="shared" si="161"/>
        <v>0</v>
      </c>
      <c r="R126" s="117">
        <f t="shared" si="161"/>
        <v>0</v>
      </c>
      <c r="S126" s="118">
        <f t="shared" si="161"/>
        <v>0</v>
      </c>
      <c r="T126" s="116">
        <f t="shared" si="161"/>
        <v>0</v>
      </c>
      <c r="U126" s="117">
        <f t="shared" si="161"/>
        <v>0</v>
      </c>
      <c r="V126" s="119">
        <f t="shared" si="161"/>
        <v>0</v>
      </c>
      <c r="W126" s="194">
        <f t="shared" si="161"/>
        <v>0</v>
      </c>
      <c r="X126" s="117">
        <f t="shared" si="161"/>
        <v>0</v>
      </c>
      <c r="Y126" s="118">
        <f t="shared" si="161"/>
        <v>0</v>
      </c>
      <c r="Z126" s="116">
        <f t="shared" si="161"/>
        <v>0</v>
      </c>
      <c r="AA126" s="117">
        <f t="shared" si="161"/>
        <v>0</v>
      </c>
      <c r="AB126" s="119">
        <f t="shared" si="161"/>
        <v>0</v>
      </c>
      <c r="AC126" s="194">
        <f t="shared" si="161"/>
        <v>0</v>
      </c>
      <c r="AD126" s="117">
        <f t="shared" si="161"/>
        <v>0</v>
      </c>
      <c r="AE126" s="118">
        <f t="shared" si="161"/>
        <v>0</v>
      </c>
      <c r="AF126" s="116">
        <f t="shared" si="161"/>
        <v>0</v>
      </c>
      <c r="AG126" s="117">
        <f t="shared" si="161"/>
        <v>0</v>
      </c>
      <c r="AH126" s="119">
        <f t="shared" si="161"/>
        <v>0</v>
      </c>
      <c r="AI126" s="194">
        <f t="shared" si="161"/>
        <v>0</v>
      </c>
      <c r="AJ126" s="117">
        <f t="shared" si="161"/>
        <v>0</v>
      </c>
      <c r="AK126" s="118">
        <f t="shared" si="161"/>
        <v>0</v>
      </c>
      <c r="AL126" s="116">
        <f t="shared" si="161"/>
        <v>0</v>
      </c>
      <c r="AM126" s="117">
        <f t="shared" si="161"/>
        <v>0</v>
      </c>
      <c r="AN126" s="119">
        <f t="shared" si="161"/>
        <v>0</v>
      </c>
      <c r="AO126" s="194">
        <f t="shared" ref="AO126:BZ126" si="162">+AO19+AO55+AO91</f>
        <v>0</v>
      </c>
      <c r="AP126" s="117">
        <f t="shared" si="162"/>
        <v>0</v>
      </c>
      <c r="AQ126" s="118">
        <f t="shared" si="162"/>
        <v>0</v>
      </c>
      <c r="AR126" s="116">
        <f t="shared" si="162"/>
        <v>0</v>
      </c>
      <c r="AS126" s="117">
        <f t="shared" si="162"/>
        <v>0</v>
      </c>
      <c r="AT126" s="119">
        <f t="shared" si="162"/>
        <v>0</v>
      </c>
      <c r="AU126" s="194">
        <f t="shared" si="162"/>
        <v>0</v>
      </c>
      <c r="AV126" s="117">
        <f t="shared" si="162"/>
        <v>0</v>
      </c>
      <c r="AW126" s="118">
        <f t="shared" si="162"/>
        <v>0</v>
      </c>
      <c r="AX126" s="116">
        <f t="shared" si="162"/>
        <v>0</v>
      </c>
      <c r="AY126" s="117">
        <f t="shared" si="162"/>
        <v>0</v>
      </c>
      <c r="AZ126" s="119">
        <f t="shared" si="162"/>
        <v>0</v>
      </c>
      <c r="BA126" s="194">
        <f t="shared" si="162"/>
        <v>0</v>
      </c>
      <c r="BB126" s="117">
        <f t="shared" si="162"/>
        <v>0</v>
      </c>
      <c r="BC126" s="118">
        <f t="shared" si="162"/>
        <v>0</v>
      </c>
      <c r="BD126" s="116">
        <f t="shared" si="162"/>
        <v>0</v>
      </c>
      <c r="BE126" s="117">
        <f t="shared" si="162"/>
        <v>0</v>
      </c>
      <c r="BF126" s="119">
        <f t="shared" si="162"/>
        <v>0</v>
      </c>
      <c r="BG126" s="194">
        <f t="shared" si="162"/>
        <v>0</v>
      </c>
      <c r="BH126" s="117">
        <f t="shared" si="162"/>
        <v>0</v>
      </c>
      <c r="BI126" s="118">
        <f t="shared" si="162"/>
        <v>0</v>
      </c>
      <c r="BJ126" s="116">
        <f t="shared" si="162"/>
        <v>0</v>
      </c>
      <c r="BK126" s="117">
        <f t="shared" si="162"/>
        <v>0</v>
      </c>
      <c r="BL126" s="119">
        <f t="shared" si="162"/>
        <v>0</v>
      </c>
      <c r="BM126" s="194">
        <f t="shared" si="162"/>
        <v>0</v>
      </c>
      <c r="BN126" s="117">
        <f t="shared" si="162"/>
        <v>0</v>
      </c>
      <c r="BO126" s="118">
        <f t="shared" si="162"/>
        <v>0</v>
      </c>
      <c r="BP126" s="116">
        <f t="shared" si="162"/>
        <v>0</v>
      </c>
      <c r="BQ126" s="117">
        <f t="shared" si="162"/>
        <v>0</v>
      </c>
      <c r="BR126" s="119">
        <f t="shared" si="162"/>
        <v>0</v>
      </c>
      <c r="BS126" s="194">
        <f t="shared" si="162"/>
        <v>0</v>
      </c>
      <c r="BT126" s="117">
        <f t="shared" si="162"/>
        <v>0</v>
      </c>
      <c r="BU126" s="118">
        <f t="shared" si="162"/>
        <v>0</v>
      </c>
      <c r="BV126" s="116">
        <f t="shared" si="162"/>
        <v>0</v>
      </c>
      <c r="BW126" s="117">
        <f t="shared" si="162"/>
        <v>0</v>
      </c>
      <c r="BX126" s="119">
        <f t="shared" si="162"/>
        <v>0</v>
      </c>
      <c r="BY126" s="194">
        <f t="shared" si="162"/>
        <v>0</v>
      </c>
      <c r="BZ126" s="117">
        <f t="shared" si="162"/>
        <v>0</v>
      </c>
      <c r="CA126" s="118">
        <f t="shared" ref="CA126:DB126" si="163">+CA19+CA55+CA91</f>
        <v>0</v>
      </c>
      <c r="CB126" s="116">
        <f t="shared" si="163"/>
        <v>0</v>
      </c>
      <c r="CC126" s="117">
        <f t="shared" si="163"/>
        <v>0</v>
      </c>
      <c r="CD126" s="119">
        <f t="shared" si="163"/>
        <v>0</v>
      </c>
      <c r="CE126" s="194">
        <f t="shared" si="163"/>
        <v>0</v>
      </c>
      <c r="CF126" s="117">
        <f t="shared" si="163"/>
        <v>0</v>
      </c>
      <c r="CG126" s="118">
        <f t="shared" si="163"/>
        <v>0</v>
      </c>
      <c r="CH126" s="116">
        <f t="shared" si="163"/>
        <v>0</v>
      </c>
      <c r="CI126" s="117">
        <f t="shared" si="163"/>
        <v>0</v>
      </c>
      <c r="CJ126" s="118">
        <f t="shared" si="163"/>
        <v>0</v>
      </c>
      <c r="CK126" s="241">
        <f t="shared" si="163"/>
        <v>0</v>
      </c>
      <c r="CL126" s="43">
        <f t="shared" si="163"/>
        <v>0</v>
      </c>
      <c r="CM126" s="289">
        <f t="shared" si="163"/>
        <v>0</v>
      </c>
      <c r="CN126" s="241">
        <f t="shared" si="163"/>
        <v>0</v>
      </c>
      <c r="CO126" s="43">
        <f t="shared" si="163"/>
        <v>0</v>
      </c>
      <c r="CP126" s="57">
        <f t="shared" si="163"/>
        <v>0</v>
      </c>
      <c r="CQ126" s="194">
        <f t="shared" ref="CQ126:CY126" si="164">+CQ19+CQ55+CQ91</f>
        <v>0</v>
      </c>
      <c r="CR126" s="117">
        <f t="shared" si="164"/>
        <v>0</v>
      </c>
      <c r="CS126" s="119">
        <f t="shared" si="164"/>
        <v>0</v>
      </c>
      <c r="CT126" s="194">
        <f t="shared" si="164"/>
        <v>0</v>
      </c>
      <c r="CU126" s="117">
        <f t="shared" si="164"/>
        <v>0</v>
      </c>
      <c r="CV126" s="119">
        <f t="shared" si="164"/>
        <v>0</v>
      </c>
      <c r="CW126" s="194">
        <f t="shared" si="164"/>
        <v>0</v>
      </c>
      <c r="CX126" s="117">
        <f t="shared" si="164"/>
        <v>0</v>
      </c>
      <c r="CY126" s="119">
        <f t="shared" si="164"/>
        <v>0</v>
      </c>
      <c r="CZ126" s="194">
        <f t="shared" si="163"/>
        <v>0</v>
      </c>
      <c r="DA126" s="117">
        <f t="shared" si="163"/>
        <v>0</v>
      </c>
      <c r="DB126" s="119">
        <f t="shared" si="163"/>
        <v>0</v>
      </c>
      <c r="DC126" s="380">
        <f t="shared" si="120"/>
        <v>0</v>
      </c>
      <c r="DD126" s="381">
        <f t="shared" si="121"/>
        <v>0</v>
      </c>
      <c r="DE126" s="381">
        <f t="shared" si="122"/>
        <v>0</v>
      </c>
      <c r="DF126" s="145">
        <f t="shared" si="115"/>
        <v>0</v>
      </c>
    </row>
    <row r="127" spans="1:110">
      <c r="A127" s="365">
        <v>13</v>
      </c>
      <c r="B127" s="116">
        <f t="shared" ref="B127:AN127" si="165">+B20+B56+B92</f>
        <v>0</v>
      </c>
      <c r="C127" s="117">
        <f t="shared" si="165"/>
        <v>0</v>
      </c>
      <c r="D127" s="119">
        <f t="shared" si="165"/>
        <v>0</v>
      </c>
      <c r="E127" s="194">
        <f t="shared" si="165"/>
        <v>0</v>
      </c>
      <c r="F127" s="117">
        <f t="shared" si="165"/>
        <v>0</v>
      </c>
      <c r="G127" s="118">
        <f t="shared" si="165"/>
        <v>0</v>
      </c>
      <c r="H127" s="116">
        <f t="shared" si="165"/>
        <v>0</v>
      </c>
      <c r="I127" s="117">
        <f t="shared" si="165"/>
        <v>0</v>
      </c>
      <c r="J127" s="119">
        <f t="shared" si="165"/>
        <v>0</v>
      </c>
      <c r="K127" s="194">
        <f t="shared" si="165"/>
        <v>0</v>
      </c>
      <c r="L127" s="117">
        <f t="shared" si="165"/>
        <v>0</v>
      </c>
      <c r="M127" s="118">
        <f t="shared" si="165"/>
        <v>0</v>
      </c>
      <c r="N127" s="116">
        <f t="shared" si="165"/>
        <v>0</v>
      </c>
      <c r="O127" s="117">
        <f t="shared" si="165"/>
        <v>0</v>
      </c>
      <c r="P127" s="119">
        <f t="shared" si="165"/>
        <v>0</v>
      </c>
      <c r="Q127" s="194">
        <f t="shared" si="165"/>
        <v>0</v>
      </c>
      <c r="R127" s="117">
        <f t="shared" si="165"/>
        <v>0</v>
      </c>
      <c r="S127" s="118">
        <f t="shared" si="165"/>
        <v>0</v>
      </c>
      <c r="T127" s="116">
        <f t="shared" si="165"/>
        <v>0</v>
      </c>
      <c r="U127" s="117">
        <f t="shared" si="165"/>
        <v>0</v>
      </c>
      <c r="V127" s="119">
        <f t="shared" si="165"/>
        <v>0</v>
      </c>
      <c r="W127" s="194">
        <f t="shared" si="165"/>
        <v>0</v>
      </c>
      <c r="X127" s="117">
        <f t="shared" si="165"/>
        <v>0</v>
      </c>
      <c r="Y127" s="118">
        <f t="shared" si="165"/>
        <v>0</v>
      </c>
      <c r="Z127" s="116">
        <f t="shared" si="165"/>
        <v>0</v>
      </c>
      <c r="AA127" s="117">
        <f t="shared" si="165"/>
        <v>0</v>
      </c>
      <c r="AB127" s="119">
        <f t="shared" si="165"/>
        <v>0</v>
      </c>
      <c r="AC127" s="194">
        <f t="shared" si="165"/>
        <v>0</v>
      </c>
      <c r="AD127" s="117">
        <f t="shared" si="165"/>
        <v>0</v>
      </c>
      <c r="AE127" s="118">
        <f t="shared" si="165"/>
        <v>0</v>
      </c>
      <c r="AF127" s="116">
        <f t="shared" si="165"/>
        <v>0</v>
      </c>
      <c r="AG127" s="117">
        <f t="shared" si="165"/>
        <v>0</v>
      </c>
      <c r="AH127" s="119">
        <f t="shared" si="165"/>
        <v>0</v>
      </c>
      <c r="AI127" s="194">
        <f t="shared" si="165"/>
        <v>0</v>
      </c>
      <c r="AJ127" s="117">
        <f t="shared" si="165"/>
        <v>0</v>
      </c>
      <c r="AK127" s="118">
        <f t="shared" si="165"/>
        <v>0</v>
      </c>
      <c r="AL127" s="116">
        <f t="shared" si="165"/>
        <v>0</v>
      </c>
      <c r="AM127" s="117">
        <f t="shared" si="165"/>
        <v>0</v>
      </c>
      <c r="AN127" s="119">
        <f t="shared" si="165"/>
        <v>0</v>
      </c>
      <c r="AO127" s="194">
        <f t="shared" ref="AO127:BZ127" si="166">+AO20+AO56+AO92</f>
        <v>0</v>
      </c>
      <c r="AP127" s="117">
        <f t="shared" si="166"/>
        <v>0</v>
      </c>
      <c r="AQ127" s="118">
        <f t="shared" si="166"/>
        <v>0</v>
      </c>
      <c r="AR127" s="116">
        <f t="shared" si="166"/>
        <v>0</v>
      </c>
      <c r="AS127" s="117">
        <f t="shared" si="166"/>
        <v>0</v>
      </c>
      <c r="AT127" s="119">
        <f t="shared" si="166"/>
        <v>0</v>
      </c>
      <c r="AU127" s="194">
        <f t="shared" si="166"/>
        <v>0</v>
      </c>
      <c r="AV127" s="117">
        <f t="shared" si="166"/>
        <v>0</v>
      </c>
      <c r="AW127" s="118">
        <f t="shared" si="166"/>
        <v>0</v>
      </c>
      <c r="AX127" s="116">
        <f t="shared" si="166"/>
        <v>0</v>
      </c>
      <c r="AY127" s="117">
        <f t="shared" si="166"/>
        <v>0</v>
      </c>
      <c r="AZ127" s="119">
        <f t="shared" si="166"/>
        <v>0</v>
      </c>
      <c r="BA127" s="194">
        <f t="shared" si="166"/>
        <v>0</v>
      </c>
      <c r="BB127" s="117">
        <f t="shared" si="166"/>
        <v>0</v>
      </c>
      <c r="BC127" s="118">
        <f t="shared" si="166"/>
        <v>0</v>
      </c>
      <c r="BD127" s="116">
        <f t="shared" si="166"/>
        <v>0</v>
      </c>
      <c r="BE127" s="117">
        <f t="shared" si="166"/>
        <v>0</v>
      </c>
      <c r="BF127" s="119">
        <f t="shared" si="166"/>
        <v>0</v>
      </c>
      <c r="BG127" s="194">
        <f t="shared" si="166"/>
        <v>0</v>
      </c>
      <c r="BH127" s="117">
        <f t="shared" si="166"/>
        <v>0</v>
      </c>
      <c r="BI127" s="118">
        <f t="shared" si="166"/>
        <v>0</v>
      </c>
      <c r="BJ127" s="116">
        <f t="shared" si="166"/>
        <v>0</v>
      </c>
      <c r="BK127" s="117">
        <f t="shared" si="166"/>
        <v>0</v>
      </c>
      <c r="BL127" s="119">
        <f t="shared" si="166"/>
        <v>0</v>
      </c>
      <c r="BM127" s="194">
        <f t="shared" si="166"/>
        <v>0</v>
      </c>
      <c r="BN127" s="117">
        <f t="shared" si="166"/>
        <v>0</v>
      </c>
      <c r="BO127" s="118">
        <f t="shared" si="166"/>
        <v>0</v>
      </c>
      <c r="BP127" s="116">
        <f t="shared" si="166"/>
        <v>0</v>
      </c>
      <c r="BQ127" s="117">
        <f t="shared" si="166"/>
        <v>0</v>
      </c>
      <c r="BR127" s="119">
        <f t="shared" si="166"/>
        <v>0</v>
      </c>
      <c r="BS127" s="194">
        <f t="shared" si="166"/>
        <v>0</v>
      </c>
      <c r="BT127" s="117">
        <f t="shared" si="166"/>
        <v>0</v>
      </c>
      <c r="BU127" s="118">
        <f t="shared" si="166"/>
        <v>0</v>
      </c>
      <c r="BV127" s="116">
        <f t="shared" si="166"/>
        <v>0</v>
      </c>
      <c r="BW127" s="117">
        <f t="shared" si="166"/>
        <v>0</v>
      </c>
      <c r="BX127" s="119">
        <f t="shared" si="166"/>
        <v>0</v>
      </c>
      <c r="BY127" s="194">
        <f t="shared" si="166"/>
        <v>0</v>
      </c>
      <c r="BZ127" s="117">
        <f t="shared" si="166"/>
        <v>0</v>
      </c>
      <c r="CA127" s="118">
        <f t="shared" ref="CA127:DB127" si="167">+CA20+CA56+CA92</f>
        <v>0</v>
      </c>
      <c r="CB127" s="116">
        <f t="shared" si="167"/>
        <v>0</v>
      </c>
      <c r="CC127" s="117">
        <f t="shared" si="167"/>
        <v>0</v>
      </c>
      <c r="CD127" s="119">
        <f t="shared" si="167"/>
        <v>0</v>
      </c>
      <c r="CE127" s="194">
        <f t="shared" si="167"/>
        <v>0</v>
      </c>
      <c r="CF127" s="117">
        <f t="shared" si="167"/>
        <v>0</v>
      </c>
      <c r="CG127" s="118">
        <f t="shared" si="167"/>
        <v>0</v>
      </c>
      <c r="CH127" s="116">
        <f t="shared" si="167"/>
        <v>0</v>
      </c>
      <c r="CI127" s="117">
        <f t="shared" si="167"/>
        <v>0</v>
      </c>
      <c r="CJ127" s="118">
        <f t="shared" si="167"/>
        <v>0</v>
      </c>
      <c r="CK127" s="241">
        <f t="shared" si="167"/>
        <v>0</v>
      </c>
      <c r="CL127" s="43">
        <f t="shared" si="167"/>
        <v>0</v>
      </c>
      <c r="CM127" s="289">
        <f t="shared" si="167"/>
        <v>0</v>
      </c>
      <c r="CN127" s="241">
        <f t="shared" si="167"/>
        <v>0</v>
      </c>
      <c r="CO127" s="43">
        <f t="shared" si="167"/>
        <v>0</v>
      </c>
      <c r="CP127" s="57">
        <f t="shared" si="167"/>
        <v>0</v>
      </c>
      <c r="CQ127" s="194">
        <f t="shared" ref="CQ127:CY127" si="168">+CQ20+CQ56+CQ92</f>
        <v>0</v>
      </c>
      <c r="CR127" s="117">
        <f t="shared" si="168"/>
        <v>0</v>
      </c>
      <c r="CS127" s="119">
        <f t="shared" si="168"/>
        <v>0</v>
      </c>
      <c r="CT127" s="194">
        <f t="shared" si="168"/>
        <v>0</v>
      </c>
      <c r="CU127" s="117">
        <f t="shared" si="168"/>
        <v>0</v>
      </c>
      <c r="CV127" s="119">
        <f t="shared" si="168"/>
        <v>0</v>
      </c>
      <c r="CW127" s="194">
        <f t="shared" si="168"/>
        <v>0</v>
      </c>
      <c r="CX127" s="117">
        <f t="shared" si="168"/>
        <v>0</v>
      </c>
      <c r="CY127" s="119">
        <f t="shared" si="168"/>
        <v>0</v>
      </c>
      <c r="CZ127" s="194">
        <f t="shared" si="167"/>
        <v>0</v>
      </c>
      <c r="DA127" s="117">
        <f t="shared" si="167"/>
        <v>0</v>
      </c>
      <c r="DB127" s="119">
        <f t="shared" si="167"/>
        <v>0</v>
      </c>
      <c r="DC127" s="380">
        <f t="shared" si="120"/>
        <v>0</v>
      </c>
      <c r="DD127" s="381">
        <f t="shared" si="121"/>
        <v>0</v>
      </c>
      <c r="DE127" s="381">
        <f t="shared" si="122"/>
        <v>0</v>
      </c>
      <c r="DF127" s="145">
        <f t="shared" si="115"/>
        <v>0</v>
      </c>
    </row>
    <row r="128" spans="1:110">
      <c r="A128" s="240">
        <v>14</v>
      </c>
      <c r="B128" s="116">
        <f t="shared" ref="B128:AN128" si="169">+B21+B57+B93</f>
        <v>0</v>
      </c>
      <c r="C128" s="117">
        <f t="shared" si="169"/>
        <v>0</v>
      </c>
      <c r="D128" s="119">
        <f t="shared" si="169"/>
        <v>0</v>
      </c>
      <c r="E128" s="194">
        <f t="shared" si="169"/>
        <v>0</v>
      </c>
      <c r="F128" s="117">
        <f t="shared" si="169"/>
        <v>0</v>
      </c>
      <c r="G128" s="118">
        <f t="shared" si="169"/>
        <v>0</v>
      </c>
      <c r="H128" s="116">
        <f t="shared" si="169"/>
        <v>0</v>
      </c>
      <c r="I128" s="117">
        <f t="shared" si="169"/>
        <v>0</v>
      </c>
      <c r="J128" s="119">
        <f t="shared" si="169"/>
        <v>0</v>
      </c>
      <c r="K128" s="194">
        <f t="shared" si="169"/>
        <v>0</v>
      </c>
      <c r="L128" s="117">
        <f t="shared" si="169"/>
        <v>0</v>
      </c>
      <c r="M128" s="118">
        <f t="shared" si="169"/>
        <v>0</v>
      </c>
      <c r="N128" s="116">
        <f t="shared" si="169"/>
        <v>0</v>
      </c>
      <c r="O128" s="117">
        <f t="shared" si="169"/>
        <v>0</v>
      </c>
      <c r="P128" s="119">
        <f t="shared" si="169"/>
        <v>0</v>
      </c>
      <c r="Q128" s="194">
        <f t="shared" si="169"/>
        <v>0</v>
      </c>
      <c r="R128" s="117">
        <f t="shared" si="169"/>
        <v>0</v>
      </c>
      <c r="S128" s="118">
        <f t="shared" si="169"/>
        <v>0</v>
      </c>
      <c r="T128" s="116">
        <f t="shared" si="169"/>
        <v>0</v>
      </c>
      <c r="U128" s="117">
        <f t="shared" si="169"/>
        <v>0</v>
      </c>
      <c r="V128" s="119">
        <f t="shared" si="169"/>
        <v>0</v>
      </c>
      <c r="W128" s="194">
        <f t="shared" si="169"/>
        <v>0</v>
      </c>
      <c r="X128" s="117">
        <f t="shared" si="169"/>
        <v>0</v>
      </c>
      <c r="Y128" s="118">
        <f t="shared" si="169"/>
        <v>0</v>
      </c>
      <c r="Z128" s="116">
        <f t="shared" si="169"/>
        <v>0</v>
      </c>
      <c r="AA128" s="117">
        <f t="shared" si="169"/>
        <v>0</v>
      </c>
      <c r="AB128" s="119">
        <f t="shared" si="169"/>
        <v>0</v>
      </c>
      <c r="AC128" s="194">
        <f t="shared" si="169"/>
        <v>0</v>
      </c>
      <c r="AD128" s="117">
        <f t="shared" si="169"/>
        <v>0</v>
      </c>
      <c r="AE128" s="118">
        <f t="shared" si="169"/>
        <v>0</v>
      </c>
      <c r="AF128" s="116">
        <f t="shared" si="169"/>
        <v>0</v>
      </c>
      <c r="AG128" s="117">
        <f t="shared" si="169"/>
        <v>0</v>
      </c>
      <c r="AH128" s="119">
        <f t="shared" si="169"/>
        <v>0</v>
      </c>
      <c r="AI128" s="194">
        <f t="shared" si="169"/>
        <v>0</v>
      </c>
      <c r="AJ128" s="117">
        <f t="shared" si="169"/>
        <v>0</v>
      </c>
      <c r="AK128" s="118">
        <f t="shared" si="169"/>
        <v>0</v>
      </c>
      <c r="AL128" s="116">
        <f t="shared" si="169"/>
        <v>0</v>
      </c>
      <c r="AM128" s="117">
        <f t="shared" si="169"/>
        <v>0</v>
      </c>
      <c r="AN128" s="119">
        <f t="shared" si="169"/>
        <v>0</v>
      </c>
      <c r="AO128" s="194">
        <f t="shared" ref="AO128:BZ128" si="170">+AO21+AO57+AO93</f>
        <v>0</v>
      </c>
      <c r="AP128" s="117">
        <f t="shared" si="170"/>
        <v>0</v>
      </c>
      <c r="AQ128" s="118">
        <f t="shared" si="170"/>
        <v>0</v>
      </c>
      <c r="AR128" s="116">
        <f t="shared" si="170"/>
        <v>0</v>
      </c>
      <c r="AS128" s="117">
        <f t="shared" si="170"/>
        <v>0</v>
      </c>
      <c r="AT128" s="119">
        <f t="shared" si="170"/>
        <v>0</v>
      </c>
      <c r="AU128" s="194">
        <f t="shared" si="170"/>
        <v>0</v>
      </c>
      <c r="AV128" s="117">
        <f t="shared" si="170"/>
        <v>0</v>
      </c>
      <c r="AW128" s="118">
        <f t="shared" si="170"/>
        <v>0</v>
      </c>
      <c r="AX128" s="116">
        <f t="shared" si="170"/>
        <v>0</v>
      </c>
      <c r="AY128" s="117">
        <f t="shared" si="170"/>
        <v>0</v>
      </c>
      <c r="AZ128" s="119">
        <f t="shared" si="170"/>
        <v>0</v>
      </c>
      <c r="BA128" s="194">
        <f t="shared" si="170"/>
        <v>0</v>
      </c>
      <c r="BB128" s="117">
        <f t="shared" si="170"/>
        <v>0</v>
      </c>
      <c r="BC128" s="118">
        <f t="shared" si="170"/>
        <v>0</v>
      </c>
      <c r="BD128" s="116">
        <f t="shared" si="170"/>
        <v>0</v>
      </c>
      <c r="BE128" s="117">
        <f t="shared" si="170"/>
        <v>0</v>
      </c>
      <c r="BF128" s="119">
        <f t="shared" si="170"/>
        <v>0</v>
      </c>
      <c r="BG128" s="194">
        <f t="shared" si="170"/>
        <v>0</v>
      </c>
      <c r="BH128" s="117">
        <f t="shared" si="170"/>
        <v>0</v>
      </c>
      <c r="BI128" s="118">
        <f t="shared" si="170"/>
        <v>0</v>
      </c>
      <c r="BJ128" s="116">
        <f t="shared" si="170"/>
        <v>0</v>
      </c>
      <c r="BK128" s="117">
        <f t="shared" si="170"/>
        <v>0</v>
      </c>
      <c r="BL128" s="119">
        <f t="shared" si="170"/>
        <v>0</v>
      </c>
      <c r="BM128" s="194">
        <f t="shared" si="170"/>
        <v>0</v>
      </c>
      <c r="BN128" s="117">
        <f t="shared" si="170"/>
        <v>0</v>
      </c>
      <c r="BO128" s="118">
        <f t="shared" si="170"/>
        <v>0</v>
      </c>
      <c r="BP128" s="116">
        <f t="shared" si="170"/>
        <v>0</v>
      </c>
      <c r="BQ128" s="117">
        <f t="shared" si="170"/>
        <v>0</v>
      </c>
      <c r="BR128" s="119">
        <f t="shared" si="170"/>
        <v>0</v>
      </c>
      <c r="BS128" s="194">
        <f t="shared" si="170"/>
        <v>0</v>
      </c>
      <c r="BT128" s="117">
        <f t="shared" si="170"/>
        <v>0</v>
      </c>
      <c r="BU128" s="118">
        <f t="shared" si="170"/>
        <v>0</v>
      </c>
      <c r="BV128" s="116">
        <f t="shared" si="170"/>
        <v>0</v>
      </c>
      <c r="BW128" s="117">
        <f t="shared" si="170"/>
        <v>0</v>
      </c>
      <c r="BX128" s="119">
        <f t="shared" si="170"/>
        <v>0</v>
      </c>
      <c r="BY128" s="194">
        <f t="shared" si="170"/>
        <v>0</v>
      </c>
      <c r="BZ128" s="117">
        <f t="shared" si="170"/>
        <v>0</v>
      </c>
      <c r="CA128" s="118">
        <f t="shared" ref="CA128:DB128" si="171">+CA21+CA57+CA93</f>
        <v>0</v>
      </c>
      <c r="CB128" s="116">
        <f t="shared" si="171"/>
        <v>0</v>
      </c>
      <c r="CC128" s="117">
        <f t="shared" si="171"/>
        <v>0</v>
      </c>
      <c r="CD128" s="119">
        <f t="shared" si="171"/>
        <v>0</v>
      </c>
      <c r="CE128" s="194">
        <f t="shared" si="171"/>
        <v>0</v>
      </c>
      <c r="CF128" s="117">
        <f t="shared" si="171"/>
        <v>0</v>
      </c>
      <c r="CG128" s="118">
        <f t="shared" si="171"/>
        <v>0</v>
      </c>
      <c r="CH128" s="116">
        <f t="shared" si="171"/>
        <v>0</v>
      </c>
      <c r="CI128" s="117">
        <f t="shared" si="171"/>
        <v>0</v>
      </c>
      <c r="CJ128" s="118">
        <f t="shared" si="171"/>
        <v>0</v>
      </c>
      <c r="CK128" s="241">
        <f t="shared" si="171"/>
        <v>0</v>
      </c>
      <c r="CL128" s="43">
        <f t="shared" si="171"/>
        <v>0</v>
      </c>
      <c r="CM128" s="289">
        <f t="shared" si="171"/>
        <v>0</v>
      </c>
      <c r="CN128" s="241">
        <f t="shared" si="171"/>
        <v>0</v>
      </c>
      <c r="CO128" s="43">
        <f t="shared" si="171"/>
        <v>0</v>
      </c>
      <c r="CP128" s="57">
        <f t="shared" si="171"/>
        <v>0</v>
      </c>
      <c r="CQ128" s="194">
        <f t="shared" ref="CQ128:CY128" si="172">+CQ21+CQ57+CQ93</f>
        <v>0</v>
      </c>
      <c r="CR128" s="117">
        <f t="shared" si="172"/>
        <v>0</v>
      </c>
      <c r="CS128" s="119">
        <f t="shared" si="172"/>
        <v>0</v>
      </c>
      <c r="CT128" s="194">
        <f t="shared" si="172"/>
        <v>0</v>
      </c>
      <c r="CU128" s="117">
        <f t="shared" si="172"/>
        <v>0</v>
      </c>
      <c r="CV128" s="119">
        <f t="shared" si="172"/>
        <v>0</v>
      </c>
      <c r="CW128" s="194">
        <f t="shared" si="172"/>
        <v>0</v>
      </c>
      <c r="CX128" s="117">
        <f t="shared" si="172"/>
        <v>0</v>
      </c>
      <c r="CY128" s="119">
        <f t="shared" si="172"/>
        <v>0</v>
      </c>
      <c r="CZ128" s="194">
        <f t="shared" si="171"/>
        <v>0</v>
      </c>
      <c r="DA128" s="117">
        <f t="shared" si="171"/>
        <v>0</v>
      </c>
      <c r="DB128" s="119">
        <f t="shared" si="171"/>
        <v>0</v>
      </c>
      <c r="DC128" s="380">
        <f t="shared" si="120"/>
        <v>0</v>
      </c>
      <c r="DD128" s="381">
        <f t="shared" si="121"/>
        <v>0</v>
      </c>
      <c r="DE128" s="381">
        <f t="shared" si="122"/>
        <v>0</v>
      </c>
      <c r="DF128" s="145">
        <f t="shared" si="115"/>
        <v>0</v>
      </c>
    </row>
    <row r="129" spans="1:110">
      <c r="A129" s="240">
        <v>15</v>
      </c>
      <c r="B129" s="116">
        <f t="shared" ref="B129:AN129" si="173">+B22+B58+B94</f>
        <v>0</v>
      </c>
      <c r="C129" s="117">
        <f t="shared" si="173"/>
        <v>0</v>
      </c>
      <c r="D129" s="119">
        <f t="shared" si="173"/>
        <v>0</v>
      </c>
      <c r="E129" s="194">
        <f t="shared" si="173"/>
        <v>0</v>
      </c>
      <c r="F129" s="117">
        <f t="shared" si="173"/>
        <v>0</v>
      </c>
      <c r="G129" s="118">
        <f t="shared" si="173"/>
        <v>0</v>
      </c>
      <c r="H129" s="116">
        <f t="shared" si="173"/>
        <v>0</v>
      </c>
      <c r="I129" s="117">
        <f t="shared" si="173"/>
        <v>0</v>
      </c>
      <c r="J129" s="119">
        <f t="shared" si="173"/>
        <v>0</v>
      </c>
      <c r="K129" s="194">
        <f t="shared" si="173"/>
        <v>0</v>
      </c>
      <c r="L129" s="117">
        <f t="shared" si="173"/>
        <v>0</v>
      </c>
      <c r="M129" s="118">
        <f t="shared" si="173"/>
        <v>0</v>
      </c>
      <c r="N129" s="116">
        <f t="shared" si="173"/>
        <v>0</v>
      </c>
      <c r="O129" s="117">
        <f t="shared" si="173"/>
        <v>0</v>
      </c>
      <c r="P129" s="119">
        <f t="shared" si="173"/>
        <v>0</v>
      </c>
      <c r="Q129" s="194">
        <f t="shared" si="173"/>
        <v>0</v>
      </c>
      <c r="R129" s="117">
        <f t="shared" si="173"/>
        <v>0</v>
      </c>
      <c r="S129" s="118">
        <f t="shared" si="173"/>
        <v>0</v>
      </c>
      <c r="T129" s="116">
        <f t="shared" si="173"/>
        <v>0</v>
      </c>
      <c r="U129" s="117">
        <f t="shared" si="173"/>
        <v>0</v>
      </c>
      <c r="V129" s="119">
        <f t="shared" si="173"/>
        <v>0</v>
      </c>
      <c r="W129" s="194">
        <f t="shared" si="173"/>
        <v>0</v>
      </c>
      <c r="X129" s="117">
        <f t="shared" si="173"/>
        <v>0</v>
      </c>
      <c r="Y129" s="118">
        <f t="shared" si="173"/>
        <v>0</v>
      </c>
      <c r="Z129" s="116">
        <f t="shared" si="173"/>
        <v>0</v>
      </c>
      <c r="AA129" s="117">
        <f t="shared" si="173"/>
        <v>0</v>
      </c>
      <c r="AB129" s="119">
        <f t="shared" si="173"/>
        <v>0</v>
      </c>
      <c r="AC129" s="194">
        <f t="shared" si="173"/>
        <v>0</v>
      </c>
      <c r="AD129" s="117">
        <f t="shared" si="173"/>
        <v>0</v>
      </c>
      <c r="AE129" s="118">
        <f t="shared" si="173"/>
        <v>0</v>
      </c>
      <c r="AF129" s="116">
        <f t="shared" si="173"/>
        <v>0</v>
      </c>
      <c r="AG129" s="117">
        <f t="shared" si="173"/>
        <v>0</v>
      </c>
      <c r="AH129" s="119">
        <f t="shared" si="173"/>
        <v>0</v>
      </c>
      <c r="AI129" s="194">
        <f t="shared" si="173"/>
        <v>0</v>
      </c>
      <c r="AJ129" s="117">
        <f t="shared" si="173"/>
        <v>0</v>
      </c>
      <c r="AK129" s="118">
        <f t="shared" si="173"/>
        <v>0</v>
      </c>
      <c r="AL129" s="116">
        <f t="shared" si="173"/>
        <v>0</v>
      </c>
      <c r="AM129" s="117">
        <f t="shared" si="173"/>
        <v>0</v>
      </c>
      <c r="AN129" s="119">
        <f t="shared" si="173"/>
        <v>0</v>
      </c>
      <c r="AO129" s="194">
        <f t="shared" ref="AO129:BZ129" si="174">+AO22+AO58+AO94</f>
        <v>0</v>
      </c>
      <c r="AP129" s="117">
        <f t="shared" si="174"/>
        <v>0</v>
      </c>
      <c r="AQ129" s="118">
        <f t="shared" si="174"/>
        <v>0</v>
      </c>
      <c r="AR129" s="116">
        <f t="shared" si="174"/>
        <v>0</v>
      </c>
      <c r="AS129" s="117">
        <f t="shared" si="174"/>
        <v>0</v>
      </c>
      <c r="AT129" s="119">
        <f t="shared" si="174"/>
        <v>0</v>
      </c>
      <c r="AU129" s="194">
        <f t="shared" si="174"/>
        <v>0</v>
      </c>
      <c r="AV129" s="117">
        <f t="shared" si="174"/>
        <v>0</v>
      </c>
      <c r="AW129" s="118">
        <f t="shared" si="174"/>
        <v>0</v>
      </c>
      <c r="AX129" s="116">
        <f t="shared" si="174"/>
        <v>0</v>
      </c>
      <c r="AY129" s="117">
        <f t="shared" si="174"/>
        <v>0</v>
      </c>
      <c r="AZ129" s="119">
        <f t="shared" si="174"/>
        <v>0</v>
      </c>
      <c r="BA129" s="194">
        <f t="shared" si="174"/>
        <v>0</v>
      </c>
      <c r="BB129" s="117">
        <f t="shared" si="174"/>
        <v>0</v>
      </c>
      <c r="BC129" s="118">
        <f t="shared" si="174"/>
        <v>0</v>
      </c>
      <c r="BD129" s="116">
        <f t="shared" si="174"/>
        <v>0</v>
      </c>
      <c r="BE129" s="117">
        <f t="shared" si="174"/>
        <v>0</v>
      </c>
      <c r="BF129" s="119">
        <f t="shared" si="174"/>
        <v>0</v>
      </c>
      <c r="BG129" s="194">
        <f t="shared" si="174"/>
        <v>0</v>
      </c>
      <c r="BH129" s="117">
        <f t="shared" si="174"/>
        <v>0</v>
      </c>
      <c r="BI129" s="118">
        <f t="shared" si="174"/>
        <v>0</v>
      </c>
      <c r="BJ129" s="116">
        <f t="shared" si="174"/>
        <v>0</v>
      </c>
      <c r="BK129" s="117">
        <f t="shared" si="174"/>
        <v>0</v>
      </c>
      <c r="BL129" s="119">
        <f t="shared" si="174"/>
        <v>0</v>
      </c>
      <c r="BM129" s="194">
        <f t="shared" si="174"/>
        <v>0</v>
      </c>
      <c r="BN129" s="117">
        <f t="shared" si="174"/>
        <v>0</v>
      </c>
      <c r="BO129" s="118">
        <f t="shared" si="174"/>
        <v>0</v>
      </c>
      <c r="BP129" s="116">
        <f t="shared" si="174"/>
        <v>0</v>
      </c>
      <c r="BQ129" s="117">
        <f t="shared" si="174"/>
        <v>0</v>
      </c>
      <c r="BR129" s="119">
        <f t="shared" si="174"/>
        <v>0</v>
      </c>
      <c r="BS129" s="194">
        <f t="shared" si="174"/>
        <v>0</v>
      </c>
      <c r="BT129" s="117">
        <f t="shared" si="174"/>
        <v>0</v>
      </c>
      <c r="BU129" s="118">
        <f t="shared" si="174"/>
        <v>0</v>
      </c>
      <c r="BV129" s="116">
        <f t="shared" si="174"/>
        <v>0</v>
      </c>
      <c r="BW129" s="117">
        <f t="shared" si="174"/>
        <v>0</v>
      </c>
      <c r="BX129" s="119">
        <f t="shared" si="174"/>
        <v>0</v>
      </c>
      <c r="BY129" s="194">
        <f t="shared" si="174"/>
        <v>0</v>
      </c>
      <c r="BZ129" s="117">
        <f t="shared" si="174"/>
        <v>0</v>
      </c>
      <c r="CA129" s="118">
        <f t="shared" ref="CA129:DB129" si="175">+CA22+CA58+CA94</f>
        <v>0</v>
      </c>
      <c r="CB129" s="116">
        <f t="shared" si="175"/>
        <v>0</v>
      </c>
      <c r="CC129" s="117">
        <f t="shared" si="175"/>
        <v>0</v>
      </c>
      <c r="CD129" s="119">
        <f t="shared" si="175"/>
        <v>0</v>
      </c>
      <c r="CE129" s="194">
        <f t="shared" si="175"/>
        <v>0</v>
      </c>
      <c r="CF129" s="117">
        <f t="shared" si="175"/>
        <v>0</v>
      </c>
      <c r="CG129" s="118">
        <f t="shared" si="175"/>
        <v>0</v>
      </c>
      <c r="CH129" s="116">
        <f t="shared" si="175"/>
        <v>0</v>
      </c>
      <c r="CI129" s="117">
        <f t="shared" si="175"/>
        <v>0</v>
      </c>
      <c r="CJ129" s="118">
        <f t="shared" si="175"/>
        <v>0</v>
      </c>
      <c r="CK129" s="241">
        <f t="shared" si="175"/>
        <v>0</v>
      </c>
      <c r="CL129" s="43">
        <f t="shared" si="175"/>
        <v>0</v>
      </c>
      <c r="CM129" s="289">
        <f t="shared" si="175"/>
        <v>0</v>
      </c>
      <c r="CN129" s="241">
        <f t="shared" si="175"/>
        <v>0</v>
      </c>
      <c r="CO129" s="43">
        <f t="shared" si="175"/>
        <v>0</v>
      </c>
      <c r="CP129" s="57">
        <f t="shared" si="175"/>
        <v>0</v>
      </c>
      <c r="CQ129" s="194">
        <f t="shared" ref="CQ129:CY129" si="176">+CQ22+CQ58+CQ94</f>
        <v>0</v>
      </c>
      <c r="CR129" s="117">
        <f t="shared" si="176"/>
        <v>0</v>
      </c>
      <c r="CS129" s="119">
        <f t="shared" si="176"/>
        <v>0</v>
      </c>
      <c r="CT129" s="194">
        <f t="shared" si="176"/>
        <v>0</v>
      </c>
      <c r="CU129" s="117">
        <f t="shared" si="176"/>
        <v>0</v>
      </c>
      <c r="CV129" s="119">
        <f t="shared" si="176"/>
        <v>0</v>
      </c>
      <c r="CW129" s="194">
        <f t="shared" si="176"/>
        <v>0</v>
      </c>
      <c r="CX129" s="117">
        <f t="shared" si="176"/>
        <v>0</v>
      </c>
      <c r="CY129" s="119">
        <f t="shared" si="176"/>
        <v>0</v>
      </c>
      <c r="CZ129" s="194">
        <f t="shared" si="175"/>
        <v>0</v>
      </c>
      <c r="DA129" s="117">
        <f t="shared" si="175"/>
        <v>0</v>
      </c>
      <c r="DB129" s="119">
        <f t="shared" si="175"/>
        <v>0</v>
      </c>
      <c r="DC129" s="380">
        <f t="shared" si="120"/>
        <v>0</v>
      </c>
      <c r="DD129" s="381">
        <f t="shared" si="121"/>
        <v>0</v>
      </c>
      <c r="DE129" s="381">
        <f t="shared" si="122"/>
        <v>0</v>
      </c>
      <c r="DF129" s="145">
        <f t="shared" si="115"/>
        <v>0</v>
      </c>
    </row>
    <row r="130" spans="1:110">
      <c r="A130" s="365">
        <v>16</v>
      </c>
      <c r="B130" s="116">
        <f t="shared" ref="B130:AN130" si="177">+B23+B59+B95</f>
        <v>0</v>
      </c>
      <c r="C130" s="117">
        <f t="shared" si="177"/>
        <v>0</v>
      </c>
      <c r="D130" s="119">
        <f t="shared" si="177"/>
        <v>0</v>
      </c>
      <c r="E130" s="194">
        <f t="shared" si="177"/>
        <v>0</v>
      </c>
      <c r="F130" s="117">
        <f t="shared" si="177"/>
        <v>0</v>
      </c>
      <c r="G130" s="118">
        <f t="shared" si="177"/>
        <v>0</v>
      </c>
      <c r="H130" s="116">
        <f t="shared" si="177"/>
        <v>0</v>
      </c>
      <c r="I130" s="117">
        <f t="shared" si="177"/>
        <v>0</v>
      </c>
      <c r="J130" s="119">
        <f t="shared" si="177"/>
        <v>0</v>
      </c>
      <c r="K130" s="194">
        <f t="shared" si="177"/>
        <v>0</v>
      </c>
      <c r="L130" s="117">
        <f t="shared" si="177"/>
        <v>0</v>
      </c>
      <c r="M130" s="118">
        <f t="shared" si="177"/>
        <v>0</v>
      </c>
      <c r="N130" s="116">
        <f t="shared" si="177"/>
        <v>0</v>
      </c>
      <c r="O130" s="117">
        <f t="shared" si="177"/>
        <v>0</v>
      </c>
      <c r="P130" s="119">
        <f t="shared" si="177"/>
        <v>0</v>
      </c>
      <c r="Q130" s="194">
        <f t="shared" si="177"/>
        <v>0</v>
      </c>
      <c r="R130" s="117">
        <f t="shared" si="177"/>
        <v>0</v>
      </c>
      <c r="S130" s="118">
        <f t="shared" si="177"/>
        <v>0</v>
      </c>
      <c r="T130" s="116">
        <f t="shared" si="177"/>
        <v>0</v>
      </c>
      <c r="U130" s="117">
        <f t="shared" si="177"/>
        <v>0</v>
      </c>
      <c r="V130" s="119">
        <f t="shared" si="177"/>
        <v>0</v>
      </c>
      <c r="W130" s="194">
        <f t="shared" si="177"/>
        <v>0</v>
      </c>
      <c r="X130" s="117">
        <f t="shared" si="177"/>
        <v>0</v>
      </c>
      <c r="Y130" s="118">
        <f t="shared" si="177"/>
        <v>0</v>
      </c>
      <c r="Z130" s="116">
        <f t="shared" si="177"/>
        <v>0</v>
      </c>
      <c r="AA130" s="117">
        <f t="shared" si="177"/>
        <v>0</v>
      </c>
      <c r="AB130" s="119">
        <f t="shared" si="177"/>
        <v>0</v>
      </c>
      <c r="AC130" s="194">
        <f t="shared" si="177"/>
        <v>0</v>
      </c>
      <c r="AD130" s="117">
        <f t="shared" si="177"/>
        <v>0</v>
      </c>
      <c r="AE130" s="118">
        <f t="shared" si="177"/>
        <v>0</v>
      </c>
      <c r="AF130" s="116">
        <f t="shared" si="177"/>
        <v>0</v>
      </c>
      <c r="AG130" s="117">
        <f t="shared" si="177"/>
        <v>0</v>
      </c>
      <c r="AH130" s="119">
        <f t="shared" si="177"/>
        <v>0</v>
      </c>
      <c r="AI130" s="194">
        <f t="shared" si="177"/>
        <v>0</v>
      </c>
      <c r="AJ130" s="117">
        <f t="shared" si="177"/>
        <v>0</v>
      </c>
      <c r="AK130" s="118">
        <f t="shared" si="177"/>
        <v>0</v>
      </c>
      <c r="AL130" s="116">
        <f t="shared" si="177"/>
        <v>0</v>
      </c>
      <c r="AM130" s="117">
        <f t="shared" si="177"/>
        <v>0</v>
      </c>
      <c r="AN130" s="119">
        <f t="shared" si="177"/>
        <v>0</v>
      </c>
      <c r="AO130" s="194">
        <f t="shared" ref="AO130:BZ130" si="178">+AO23+AO59+AO95</f>
        <v>0</v>
      </c>
      <c r="AP130" s="117">
        <f t="shared" si="178"/>
        <v>0</v>
      </c>
      <c r="AQ130" s="118">
        <f t="shared" si="178"/>
        <v>0</v>
      </c>
      <c r="AR130" s="116">
        <f t="shared" si="178"/>
        <v>0</v>
      </c>
      <c r="AS130" s="117">
        <f t="shared" si="178"/>
        <v>0</v>
      </c>
      <c r="AT130" s="119">
        <f t="shared" si="178"/>
        <v>0</v>
      </c>
      <c r="AU130" s="194">
        <f t="shared" si="178"/>
        <v>0</v>
      </c>
      <c r="AV130" s="117">
        <f t="shared" si="178"/>
        <v>0</v>
      </c>
      <c r="AW130" s="118">
        <f t="shared" si="178"/>
        <v>0</v>
      </c>
      <c r="AX130" s="116">
        <f t="shared" si="178"/>
        <v>0</v>
      </c>
      <c r="AY130" s="117">
        <f t="shared" si="178"/>
        <v>0</v>
      </c>
      <c r="AZ130" s="119">
        <f t="shared" si="178"/>
        <v>0</v>
      </c>
      <c r="BA130" s="194">
        <f t="shared" si="178"/>
        <v>0</v>
      </c>
      <c r="BB130" s="117">
        <f t="shared" si="178"/>
        <v>0</v>
      </c>
      <c r="BC130" s="118">
        <f t="shared" si="178"/>
        <v>0</v>
      </c>
      <c r="BD130" s="116">
        <f t="shared" si="178"/>
        <v>0</v>
      </c>
      <c r="BE130" s="117">
        <f t="shared" si="178"/>
        <v>0</v>
      </c>
      <c r="BF130" s="119">
        <f t="shared" si="178"/>
        <v>0</v>
      </c>
      <c r="BG130" s="194">
        <f t="shared" si="178"/>
        <v>0</v>
      </c>
      <c r="BH130" s="117">
        <f t="shared" si="178"/>
        <v>0</v>
      </c>
      <c r="BI130" s="118">
        <f t="shared" si="178"/>
        <v>0</v>
      </c>
      <c r="BJ130" s="116">
        <f t="shared" si="178"/>
        <v>0</v>
      </c>
      <c r="BK130" s="117">
        <f t="shared" si="178"/>
        <v>0</v>
      </c>
      <c r="BL130" s="119">
        <f t="shared" si="178"/>
        <v>0</v>
      </c>
      <c r="BM130" s="194">
        <f t="shared" si="178"/>
        <v>0</v>
      </c>
      <c r="BN130" s="117">
        <f t="shared" si="178"/>
        <v>0</v>
      </c>
      <c r="BO130" s="118">
        <f t="shared" si="178"/>
        <v>0</v>
      </c>
      <c r="BP130" s="116">
        <f t="shared" si="178"/>
        <v>0</v>
      </c>
      <c r="BQ130" s="117">
        <f t="shared" si="178"/>
        <v>0</v>
      </c>
      <c r="BR130" s="119">
        <f t="shared" si="178"/>
        <v>0</v>
      </c>
      <c r="BS130" s="194">
        <f t="shared" si="178"/>
        <v>0</v>
      </c>
      <c r="BT130" s="117">
        <f t="shared" si="178"/>
        <v>0</v>
      </c>
      <c r="BU130" s="118">
        <f t="shared" si="178"/>
        <v>0</v>
      </c>
      <c r="BV130" s="116">
        <f t="shared" si="178"/>
        <v>0</v>
      </c>
      <c r="BW130" s="117">
        <f t="shared" si="178"/>
        <v>0</v>
      </c>
      <c r="BX130" s="119">
        <f t="shared" si="178"/>
        <v>0</v>
      </c>
      <c r="BY130" s="194">
        <f t="shared" si="178"/>
        <v>0</v>
      </c>
      <c r="BZ130" s="117">
        <f t="shared" si="178"/>
        <v>0</v>
      </c>
      <c r="CA130" s="118">
        <f t="shared" ref="CA130:DB130" si="179">+CA23+CA59+CA95</f>
        <v>0</v>
      </c>
      <c r="CB130" s="116">
        <f t="shared" si="179"/>
        <v>0</v>
      </c>
      <c r="CC130" s="117">
        <f t="shared" si="179"/>
        <v>0</v>
      </c>
      <c r="CD130" s="119">
        <f t="shared" si="179"/>
        <v>0</v>
      </c>
      <c r="CE130" s="194">
        <f t="shared" si="179"/>
        <v>0</v>
      </c>
      <c r="CF130" s="117">
        <f t="shared" si="179"/>
        <v>0</v>
      </c>
      <c r="CG130" s="118">
        <f t="shared" si="179"/>
        <v>0</v>
      </c>
      <c r="CH130" s="116">
        <f t="shared" si="179"/>
        <v>0</v>
      </c>
      <c r="CI130" s="117">
        <f t="shared" si="179"/>
        <v>0</v>
      </c>
      <c r="CJ130" s="118">
        <f t="shared" si="179"/>
        <v>0</v>
      </c>
      <c r="CK130" s="241">
        <f t="shared" si="179"/>
        <v>0</v>
      </c>
      <c r="CL130" s="43">
        <f t="shared" si="179"/>
        <v>0</v>
      </c>
      <c r="CM130" s="289">
        <f t="shared" si="179"/>
        <v>0</v>
      </c>
      <c r="CN130" s="241">
        <f t="shared" si="179"/>
        <v>0</v>
      </c>
      <c r="CO130" s="43">
        <f t="shared" si="179"/>
        <v>0</v>
      </c>
      <c r="CP130" s="57">
        <f t="shared" si="179"/>
        <v>0</v>
      </c>
      <c r="CQ130" s="194">
        <f t="shared" ref="CQ130:CY130" si="180">+CQ23+CQ59+CQ95</f>
        <v>0</v>
      </c>
      <c r="CR130" s="117">
        <f t="shared" si="180"/>
        <v>0</v>
      </c>
      <c r="CS130" s="119">
        <f t="shared" si="180"/>
        <v>0</v>
      </c>
      <c r="CT130" s="194">
        <f t="shared" si="180"/>
        <v>0</v>
      </c>
      <c r="CU130" s="117">
        <f t="shared" si="180"/>
        <v>0</v>
      </c>
      <c r="CV130" s="119">
        <f t="shared" si="180"/>
        <v>0</v>
      </c>
      <c r="CW130" s="194">
        <f t="shared" si="180"/>
        <v>0</v>
      </c>
      <c r="CX130" s="117">
        <f t="shared" si="180"/>
        <v>0</v>
      </c>
      <c r="CY130" s="119">
        <f t="shared" si="180"/>
        <v>0</v>
      </c>
      <c r="CZ130" s="194">
        <f t="shared" si="179"/>
        <v>0</v>
      </c>
      <c r="DA130" s="117">
        <f t="shared" si="179"/>
        <v>0</v>
      </c>
      <c r="DB130" s="119">
        <f t="shared" si="179"/>
        <v>0</v>
      </c>
      <c r="DC130" s="380">
        <f t="shared" si="120"/>
        <v>0</v>
      </c>
      <c r="DD130" s="381">
        <f t="shared" si="121"/>
        <v>0</v>
      </c>
      <c r="DE130" s="381">
        <f t="shared" si="122"/>
        <v>0</v>
      </c>
      <c r="DF130" s="145">
        <f t="shared" si="115"/>
        <v>0</v>
      </c>
    </row>
    <row r="131" spans="1:110">
      <c r="A131" s="240">
        <v>17</v>
      </c>
      <c r="B131" s="116">
        <f t="shared" ref="B131:AN131" si="181">+B24+B60+B96</f>
        <v>0</v>
      </c>
      <c r="C131" s="117">
        <f t="shared" si="181"/>
        <v>0</v>
      </c>
      <c r="D131" s="119">
        <f t="shared" si="181"/>
        <v>0</v>
      </c>
      <c r="E131" s="194">
        <f t="shared" si="181"/>
        <v>0</v>
      </c>
      <c r="F131" s="117">
        <f t="shared" si="181"/>
        <v>0</v>
      </c>
      <c r="G131" s="118">
        <f t="shared" si="181"/>
        <v>0</v>
      </c>
      <c r="H131" s="116">
        <f t="shared" si="181"/>
        <v>0</v>
      </c>
      <c r="I131" s="117">
        <f t="shared" si="181"/>
        <v>0</v>
      </c>
      <c r="J131" s="119">
        <f t="shared" si="181"/>
        <v>0</v>
      </c>
      <c r="K131" s="194">
        <f t="shared" si="181"/>
        <v>0</v>
      </c>
      <c r="L131" s="117">
        <f t="shared" si="181"/>
        <v>0</v>
      </c>
      <c r="M131" s="118">
        <f t="shared" si="181"/>
        <v>0</v>
      </c>
      <c r="N131" s="116">
        <f t="shared" si="181"/>
        <v>0</v>
      </c>
      <c r="O131" s="117">
        <f t="shared" si="181"/>
        <v>0</v>
      </c>
      <c r="P131" s="119">
        <f t="shared" si="181"/>
        <v>0</v>
      </c>
      <c r="Q131" s="194">
        <f t="shared" si="181"/>
        <v>0</v>
      </c>
      <c r="R131" s="117">
        <f t="shared" si="181"/>
        <v>0</v>
      </c>
      <c r="S131" s="118">
        <f t="shared" si="181"/>
        <v>0</v>
      </c>
      <c r="T131" s="116">
        <f t="shared" si="181"/>
        <v>0</v>
      </c>
      <c r="U131" s="117">
        <f t="shared" si="181"/>
        <v>0</v>
      </c>
      <c r="V131" s="119">
        <f t="shared" si="181"/>
        <v>0</v>
      </c>
      <c r="W131" s="194">
        <f t="shared" si="181"/>
        <v>0</v>
      </c>
      <c r="X131" s="117">
        <f t="shared" si="181"/>
        <v>0</v>
      </c>
      <c r="Y131" s="118">
        <f t="shared" si="181"/>
        <v>0</v>
      </c>
      <c r="Z131" s="116">
        <f t="shared" si="181"/>
        <v>0</v>
      </c>
      <c r="AA131" s="117">
        <f t="shared" si="181"/>
        <v>0</v>
      </c>
      <c r="AB131" s="119">
        <f t="shared" si="181"/>
        <v>0</v>
      </c>
      <c r="AC131" s="194">
        <f t="shared" si="181"/>
        <v>0</v>
      </c>
      <c r="AD131" s="117">
        <f t="shared" si="181"/>
        <v>0</v>
      </c>
      <c r="AE131" s="118">
        <f t="shared" si="181"/>
        <v>0</v>
      </c>
      <c r="AF131" s="116">
        <f t="shared" si="181"/>
        <v>0</v>
      </c>
      <c r="AG131" s="117">
        <f t="shared" si="181"/>
        <v>0</v>
      </c>
      <c r="AH131" s="119">
        <f t="shared" si="181"/>
        <v>0</v>
      </c>
      <c r="AI131" s="194">
        <f t="shared" si="181"/>
        <v>0</v>
      </c>
      <c r="AJ131" s="117">
        <f t="shared" si="181"/>
        <v>0</v>
      </c>
      <c r="AK131" s="118">
        <f t="shared" si="181"/>
        <v>0</v>
      </c>
      <c r="AL131" s="116">
        <f t="shared" si="181"/>
        <v>0</v>
      </c>
      <c r="AM131" s="117">
        <f t="shared" si="181"/>
        <v>0</v>
      </c>
      <c r="AN131" s="119">
        <f t="shared" si="181"/>
        <v>0</v>
      </c>
      <c r="AO131" s="194">
        <f t="shared" ref="AO131:BZ131" si="182">+AO24+AO60+AO96</f>
        <v>0</v>
      </c>
      <c r="AP131" s="117">
        <f t="shared" si="182"/>
        <v>0</v>
      </c>
      <c r="AQ131" s="118">
        <f t="shared" si="182"/>
        <v>0</v>
      </c>
      <c r="AR131" s="116">
        <f t="shared" si="182"/>
        <v>0</v>
      </c>
      <c r="AS131" s="117">
        <f t="shared" si="182"/>
        <v>0</v>
      </c>
      <c r="AT131" s="119">
        <f t="shared" si="182"/>
        <v>0</v>
      </c>
      <c r="AU131" s="194">
        <f t="shared" si="182"/>
        <v>0</v>
      </c>
      <c r="AV131" s="117">
        <f t="shared" si="182"/>
        <v>0</v>
      </c>
      <c r="AW131" s="118">
        <f t="shared" si="182"/>
        <v>0</v>
      </c>
      <c r="AX131" s="116">
        <f t="shared" si="182"/>
        <v>0</v>
      </c>
      <c r="AY131" s="117">
        <f t="shared" si="182"/>
        <v>0</v>
      </c>
      <c r="AZ131" s="119">
        <f t="shared" si="182"/>
        <v>0</v>
      </c>
      <c r="BA131" s="194">
        <f t="shared" si="182"/>
        <v>0</v>
      </c>
      <c r="BB131" s="117">
        <f t="shared" si="182"/>
        <v>0</v>
      </c>
      <c r="BC131" s="118">
        <f t="shared" si="182"/>
        <v>0</v>
      </c>
      <c r="BD131" s="116">
        <f t="shared" si="182"/>
        <v>0</v>
      </c>
      <c r="BE131" s="117">
        <f t="shared" si="182"/>
        <v>0</v>
      </c>
      <c r="BF131" s="119">
        <f t="shared" si="182"/>
        <v>0</v>
      </c>
      <c r="BG131" s="194">
        <f t="shared" si="182"/>
        <v>0</v>
      </c>
      <c r="BH131" s="117">
        <f t="shared" si="182"/>
        <v>0</v>
      </c>
      <c r="BI131" s="118">
        <f t="shared" si="182"/>
        <v>0</v>
      </c>
      <c r="BJ131" s="116">
        <f t="shared" si="182"/>
        <v>0</v>
      </c>
      <c r="BK131" s="117">
        <f t="shared" si="182"/>
        <v>0</v>
      </c>
      <c r="BL131" s="119">
        <f t="shared" si="182"/>
        <v>0</v>
      </c>
      <c r="BM131" s="194">
        <f t="shared" si="182"/>
        <v>0</v>
      </c>
      <c r="BN131" s="117">
        <f t="shared" si="182"/>
        <v>0</v>
      </c>
      <c r="BO131" s="118">
        <f t="shared" si="182"/>
        <v>0</v>
      </c>
      <c r="BP131" s="116">
        <f t="shared" si="182"/>
        <v>0</v>
      </c>
      <c r="BQ131" s="117">
        <f t="shared" si="182"/>
        <v>0</v>
      </c>
      <c r="BR131" s="119">
        <f t="shared" si="182"/>
        <v>0</v>
      </c>
      <c r="BS131" s="194">
        <f t="shared" si="182"/>
        <v>0</v>
      </c>
      <c r="BT131" s="117">
        <f t="shared" si="182"/>
        <v>0</v>
      </c>
      <c r="BU131" s="118">
        <f t="shared" si="182"/>
        <v>0</v>
      </c>
      <c r="BV131" s="116">
        <f t="shared" si="182"/>
        <v>0</v>
      </c>
      <c r="BW131" s="117">
        <f t="shared" si="182"/>
        <v>0</v>
      </c>
      <c r="BX131" s="119">
        <f t="shared" si="182"/>
        <v>0</v>
      </c>
      <c r="BY131" s="194">
        <f t="shared" si="182"/>
        <v>0</v>
      </c>
      <c r="BZ131" s="117">
        <f t="shared" si="182"/>
        <v>0</v>
      </c>
      <c r="CA131" s="118">
        <f t="shared" ref="CA131:DB131" si="183">+CA24+CA60+CA96</f>
        <v>0</v>
      </c>
      <c r="CB131" s="116">
        <f t="shared" si="183"/>
        <v>0</v>
      </c>
      <c r="CC131" s="117">
        <f t="shared" si="183"/>
        <v>0</v>
      </c>
      <c r="CD131" s="119">
        <f t="shared" si="183"/>
        <v>0</v>
      </c>
      <c r="CE131" s="194">
        <f t="shared" si="183"/>
        <v>0</v>
      </c>
      <c r="CF131" s="117">
        <f t="shared" si="183"/>
        <v>0</v>
      </c>
      <c r="CG131" s="118">
        <f t="shared" si="183"/>
        <v>0</v>
      </c>
      <c r="CH131" s="116">
        <f t="shared" si="183"/>
        <v>0</v>
      </c>
      <c r="CI131" s="117">
        <f t="shared" si="183"/>
        <v>0</v>
      </c>
      <c r="CJ131" s="118">
        <f t="shared" si="183"/>
        <v>0</v>
      </c>
      <c r="CK131" s="241">
        <f t="shared" si="183"/>
        <v>0</v>
      </c>
      <c r="CL131" s="43">
        <f t="shared" si="183"/>
        <v>0</v>
      </c>
      <c r="CM131" s="289">
        <f t="shared" si="183"/>
        <v>0</v>
      </c>
      <c r="CN131" s="241">
        <f t="shared" si="183"/>
        <v>0</v>
      </c>
      <c r="CO131" s="43">
        <f t="shared" si="183"/>
        <v>0</v>
      </c>
      <c r="CP131" s="57">
        <f t="shared" si="183"/>
        <v>0</v>
      </c>
      <c r="CQ131" s="194">
        <f t="shared" ref="CQ131:CY131" si="184">+CQ24+CQ60+CQ96</f>
        <v>0</v>
      </c>
      <c r="CR131" s="117">
        <f t="shared" si="184"/>
        <v>0</v>
      </c>
      <c r="CS131" s="119">
        <f t="shared" si="184"/>
        <v>0</v>
      </c>
      <c r="CT131" s="194">
        <f t="shared" si="184"/>
        <v>0</v>
      </c>
      <c r="CU131" s="117">
        <f t="shared" si="184"/>
        <v>0</v>
      </c>
      <c r="CV131" s="119">
        <f t="shared" si="184"/>
        <v>0</v>
      </c>
      <c r="CW131" s="194">
        <f t="shared" si="184"/>
        <v>0</v>
      </c>
      <c r="CX131" s="117">
        <f t="shared" si="184"/>
        <v>0</v>
      </c>
      <c r="CY131" s="119">
        <f t="shared" si="184"/>
        <v>0</v>
      </c>
      <c r="CZ131" s="194">
        <f t="shared" si="183"/>
        <v>0</v>
      </c>
      <c r="DA131" s="117">
        <f t="shared" si="183"/>
        <v>0</v>
      </c>
      <c r="DB131" s="119">
        <f t="shared" si="183"/>
        <v>0</v>
      </c>
      <c r="DC131" s="380">
        <f t="shared" si="120"/>
        <v>0</v>
      </c>
      <c r="DD131" s="381">
        <f t="shared" si="121"/>
        <v>0</v>
      </c>
      <c r="DE131" s="381">
        <f t="shared" si="122"/>
        <v>0</v>
      </c>
      <c r="DF131" s="145">
        <f t="shared" si="115"/>
        <v>0</v>
      </c>
    </row>
    <row r="132" spans="1:110">
      <c r="A132" s="240">
        <v>18</v>
      </c>
      <c r="B132" s="116">
        <f t="shared" ref="B132:AN132" si="185">+B25+B61+B97</f>
        <v>0</v>
      </c>
      <c r="C132" s="117">
        <f t="shared" si="185"/>
        <v>0</v>
      </c>
      <c r="D132" s="119">
        <f t="shared" si="185"/>
        <v>0</v>
      </c>
      <c r="E132" s="194">
        <f t="shared" si="185"/>
        <v>0</v>
      </c>
      <c r="F132" s="117">
        <f t="shared" si="185"/>
        <v>0</v>
      </c>
      <c r="G132" s="118">
        <f t="shared" si="185"/>
        <v>0</v>
      </c>
      <c r="H132" s="116">
        <f t="shared" si="185"/>
        <v>0</v>
      </c>
      <c r="I132" s="117">
        <f t="shared" si="185"/>
        <v>0</v>
      </c>
      <c r="J132" s="119">
        <f t="shared" si="185"/>
        <v>0</v>
      </c>
      <c r="K132" s="194">
        <f t="shared" si="185"/>
        <v>0</v>
      </c>
      <c r="L132" s="117">
        <f t="shared" si="185"/>
        <v>0</v>
      </c>
      <c r="M132" s="118">
        <f t="shared" si="185"/>
        <v>0</v>
      </c>
      <c r="N132" s="116">
        <f t="shared" si="185"/>
        <v>0</v>
      </c>
      <c r="O132" s="117">
        <f t="shared" si="185"/>
        <v>0</v>
      </c>
      <c r="P132" s="119">
        <f t="shared" si="185"/>
        <v>0</v>
      </c>
      <c r="Q132" s="194">
        <f t="shared" si="185"/>
        <v>0</v>
      </c>
      <c r="R132" s="117">
        <f t="shared" si="185"/>
        <v>0</v>
      </c>
      <c r="S132" s="118">
        <f t="shared" si="185"/>
        <v>0</v>
      </c>
      <c r="T132" s="116">
        <f t="shared" si="185"/>
        <v>0</v>
      </c>
      <c r="U132" s="117">
        <f t="shared" si="185"/>
        <v>0</v>
      </c>
      <c r="V132" s="119">
        <f t="shared" si="185"/>
        <v>0</v>
      </c>
      <c r="W132" s="194">
        <f t="shared" si="185"/>
        <v>0</v>
      </c>
      <c r="X132" s="117">
        <f t="shared" si="185"/>
        <v>0</v>
      </c>
      <c r="Y132" s="118">
        <f t="shared" si="185"/>
        <v>0</v>
      </c>
      <c r="Z132" s="116">
        <f t="shared" si="185"/>
        <v>0</v>
      </c>
      <c r="AA132" s="117">
        <f t="shared" si="185"/>
        <v>0</v>
      </c>
      <c r="AB132" s="119">
        <f t="shared" si="185"/>
        <v>0</v>
      </c>
      <c r="AC132" s="194">
        <f t="shared" si="185"/>
        <v>0</v>
      </c>
      <c r="AD132" s="117">
        <f t="shared" si="185"/>
        <v>0</v>
      </c>
      <c r="AE132" s="118">
        <f t="shared" si="185"/>
        <v>0</v>
      </c>
      <c r="AF132" s="116">
        <f t="shared" si="185"/>
        <v>0</v>
      </c>
      <c r="AG132" s="117">
        <f t="shared" si="185"/>
        <v>0</v>
      </c>
      <c r="AH132" s="119">
        <f t="shared" si="185"/>
        <v>0</v>
      </c>
      <c r="AI132" s="194">
        <f t="shared" si="185"/>
        <v>0</v>
      </c>
      <c r="AJ132" s="117">
        <f t="shared" si="185"/>
        <v>0</v>
      </c>
      <c r="AK132" s="118">
        <f t="shared" si="185"/>
        <v>0</v>
      </c>
      <c r="AL132" s="116">
        <f t="shared" si="185"/>
        <v>0</v>
      </c>
      <c r="AM132" s="117">
        <f t="shared" si="185"/>
        <v>0</v>
      </c>
      <c r="AN132" s="119">
        <f t="shared" si="185"/>
        <v>0</v>
      </c>
      <c r="AO132" s="194">
        <f t="shared" ref="AO132:BZ132" si="186">+AO25+AO61+AO97</f>
        <v>0</v>
      </c>
      <c r="AP132" s="117">
        <f t="shared" si="186"/>
        <v>0</v>
      </c>
      <c r="AQ132" s="118">
        <f t="shared" si="186"/>
        <v>0</v>
      </c>
      <c r="AR132" s="116">
        <f t="shared" si="186"/>
        <v>0</v>
      </c>
      <c r="AS132" s="117">
        <f t="shared" si="186"/>
        <v>0</v>
      </c>
      <c r="AT132" s="119">
        <f t="shared" si="186"/>
        <v>0</v>
      </c>
      <c r="AU132" s="194">
        <f t="shared" si="186"/>
        <v>0</v>
      </c>
      <c r="AV132" s="117">
        <f t="shared" si="186"/>
        <v>0</v>
      </c>
      <c r="AW132" s="118">
        <f t="shared" si="186"/>
        <v>0</v>
      </c>
      <c r="AX132" s="116">
        <f t="shared" si="186"/>
        <v>0</v>
      </c>
      <c r="AY132" s="117">
        <f t="shared" si="186"/>
        <v>0</v>
      </c>
      <c r="AZ132" s="119">
        <f t="shared" si="186"/>
        <v>0</v>
      </c>
      <c r="BA132" s="194">
        <f t="shared" si="186"/>
        <v>0</v>
      </c>
      <c r="BB132" s="117">
        <f t="shared" si="186"/>
        <v>0</v>
      </c>
      <c r="BC132" s="118">
        <f t="shared" si="186"/>
        <v>0</v>
      </c>
      <c r="BD132" s="116">
        <f t="shared" si="186"/>
        <v>0</v>
      </c>
      <c r="BE132" s="117">
        <f t="shared" si="186"/>
        <v>0</v>
      </c>
      <c r="BF132" s="119">
        <f t="shared" si="186"/>
        <v>0</v>
      </c>
      <c r="BG132" s="194">
        <f t="shared" si="186"/>
        <v>0</v>
      </c>
      <c r="BH132" s="117">
        <f t="shared" si="186"/>
        <v>0</v>
      </c>
      <c r="BI132" s="118">
        <f t="shared" si="186"/>
        <v>0</v>
      </c>
      <c r="BJ132" s="116">
        <f t="shared" si="186"/>
        <v>0</v>
      </c>
      <c r="BK132" s="117">
        <f t="shared" si="186"/>
        <v>0</v>
      </c>
      <c r="BL132" s="119">
        <f t="shared" si="186"/>
        <v>0</v>
      </c>
      <c r="BM132" s="194">
        <f t="shared" si="186"/>
        <v>0</v>
      </c>
      <c r="BN132" s="117">
        <f t="shared" si="186"/>
        <v>0</v>
      </c>
      <c r="BO132" s="118">
        <f t="shared" si="186"/>
        <v>0</v>
      </c>
      <c r="BP132" s="116">
        <f t="shared" si="186"/>
        <v>0</v>
      </c>
      <c r="BQ132" s="117">
        <f t="shared" si="186"/>
        <v>0</v>
      </c>
      <c r="BR132" s="119">
        <f t="shared" si="186"/>
        <v>0</v>
      </c>
      <c r="BS132" s="194">
        <f t="shared" si="186"/>
        <v>0</v>
      </c>
      <c r="BT132" s="117">
        <f t="shared" si="186"/>
        <v>0</v>
      </c>
      <c r="BU132" s="118">
        <f t="shared" si="186"/>
        <v>0</v>
      </c>
      <c r="BV132" s="116">
        <f t="shared" si="186"/>
        <v>0</v>
      </c>
      <c r="BW132" s="117">
        <f t="shared" si="186"/>
        <v>0</v>
      </c>
      <c r="BX132" s="119">
        <f t="shared" si="186"/>
        <v>0</v>
      </c>
      <c r="BY132" s="194">
        <f t="shared" si="186"/>
        <v>0</v>
      </c>
      <c r="BZ132" s="117">
        <f t="shared" si="186"/>
        <v>0</v>
      </c>
      <c r="CA132" s="118">
        <f t="shared" ref="CA132:DB132" si="187">+CA25+CA61+CA97</f>
        <v>0</v>
      </c>
      <c r="CB132" s="116">
        <f t="shared" si="187"/>
        <v>0</v>
      </c>
      <c r="CC132" s="117">
        <f t="shared" si="187"/>
        <v>0</v>
      </c>
      <c r="CD132" s="119">
        <f t="shared" si="187"/>
        <v>0</v>
      </c>
      <c r="CE132" s="194">
        <f t="shared" si="187"/>
        <v>0</v>
      </c>
      <c r="CF132" s="117">
        <f t="shared" si="187"/>
        <v>0</v>
      </c>
      <c r="CG132" s="118">
        <f t="shared" si="187"/>
        <v>0</v>
      </c>
      <c r="CH132" s="116">
        <f t="shared" si="187"/>
        <v>0</v>
      </c>
      <c r="CI132" s="117">
        <f t="shared" si="187"/>
        <v>0</v>
      </c>
      <c r="CJ132" s="118">
        <f t="shared" si="187"/>
        <v>0</v>
      </c>
      <c r="CK132" s="241">
        <f t="shared" si="187"/>
        <v>0</v>
      </c>
      <c r="CL132" s="43">
        <f t="shared" si="187"/>
        <v>0</v>
      </c>
      <c r="CM132" s="289">
        <f t="shared" si="187"/>
        <v>0</v>
      </c>
      <c r="CN132" s="241">
        <f t="shared" si="187"/>
        <v>0</v>
      </c>
      <c r="CO132" s="43">
        <f t="shared" si="187"/>
        <v>0</v>
      </c>
      <c r="CP132" s="57">
        <f t="shared" si="187"/>
        <v>0</v>
      </c>
      <c r="CQ132" s="194">
        <f t="shared" ref="CQ132:CY132" si="188">+CQ25+CQ61+CQ97</f>
        <v>0</v>
      </c>
      <c r="CR132" s="117">
        <f t="shared" si="188"/>
        <v>0</v>
      </c>
      <c r="CS132" s="119">
        <f t="shared" si="188"/>
        <v>0</v>
      </c>
      <c r="CT132" s="194">
        <f t="shared" si="188"/>
        <v>0</v>
      </c>
      <c r="CU132" s="117">
        <f t="shared" si="188"/>
        <v>0</v>
      </c>
      <c r="CV132" s="119">
        <f t="shared" si="188"/>
        <v>0</v>
      </c>
      <c r="CW132" s="194">
        <f t="shared" si="188"/>
        <v>0</v>
      </c>
      <c r="CX132" s="117">
        <f t="shared" si="188"/>
        <v>0</v>
      </c>
      <c r="CY132" s="119">
        <f t="shared" si="188"/>
        <v>0</v>
      </c>
      <c r="CZ132" s="194">
        <f t="shared" si="187"/>
        <v>0</v>
      </c>
      <c r="DA132" s="117">
        <f t="shared" si="187"/>
        <v>0</v>
      </c>
      <c r="DB132" s="119">
        <f t="shared" si="187"/>
        <v>0</v>
      </c>
      <c r="DC132" s="380">
        <f t="shared" si="120"/>
        <v>0</v>
      </c>
      <c r="DD132" s="381">
        <f t="shared" si="121"/>
        <v>0</v>
      </c>
      <c r="DE132" s="381">
        <f t="shared" si="122"/>
        <v>0</v>
      </c>
      <c r="DF132" s="145">
        <f t="shared" si="115"/>
        <v>0</v>
      </c>
    </row>
    <row r="133" spans="1:110">
      <c r="A133" s="365">
        <v>19</v>
      </c>
      <c r="B133" s="116">
        <f t="shared" ref="B133:AN133" si="189">+B26+B62+B98</f>
        <v>0</v>
      </c>
      <c r="C133" s="117">
        <f t="shared" si="189"/>
        <v>0</v>
      </c>
      <c r="D133" s="119">
        <f t="shared" si="189"/>
        <v>0</v>
      </c>
      <c r="E133" s="194">
        <f t="shared" si="189"/>
        <v>0</v>
      </c>
      <c r="F133" s="117">
        <f t="shared" si="189"/>
        <v>0</v>
      </c>
      <c r="G133" s="118">
        <f t="shared" si="189"/>
        <v>0</v>
      </c>
      <c r="H133" s="116">
        <f t="shared" si="189"/>
        <v>0</v>
      </c>
      <c r="I133" s="117">
        <f t="shared" si="189"/>
        <v>0</v>
      </c>
      <c r="J133" s="119">
        <f t="shared" si="189"/>
        <v>0</v>
      </c>
      <c r="K133" s="194">
        <f t="shared" si="189"/>
        <v>0</v>
      </c>
      <c r="L133" s="117">
        <f t="shared" si="189"/>
        <v>0</v>
      </c>
      <c r="M133" s="118">
        <f t="shared" si="189"/>
        <v>0</v>
      </c>
      <c r="N133" s="116">
        <f t="shared" si="189"/>
        <v>0</v>
      </c>
      <c r="O133" s="117">
        <f t="shared" si="189"/>
        <v>0</v>
      </c>
      <c r="P133" s="119">
        <f t="shared" si="189"/>
        <v>0</v>
      </c>
      <c r="Q133" s="194">
        <f t="shared" si="189"/>
        <v>0</v>
      </c>
      <c r="R133" s="117">
        <f t="shared" si="189"/>
        <v>0</v>
      </c>
      <c r="S133" s="118">
        <f t="shared" si="189"/>
        <v>0</v>
      </c>
      <c r="T133" s="116">
        <f t="shared" si="189"/>
        <v>0</v>
      </c>
      <c r="U133" s="117">
        <f t="shared" si="189"/>
        <v>0</v>
      </c>
      <c r="V133" s="119">
        <f t="shared" si="189"/>
        <v>0</v>
      </c>
      <c r="W133" s="194">
        <f t="shared" si="189"/>
        <v>0</v>
      </c>
      <c r="X133" s="117">
        <f t="shared" si="189"/>
        <v>0</v>
      </c>
      <c r="Y133" s="118">
        <f t="shared" si="189"/>
        <v>0</v>
      </c>
      <c r="Z133" s="116">
        <f t="shared" si="189"/>
        <v>0</v>
      </c>
      <c r="AA133" s="117">
        <f t="shared" si="189"/>
        <v>0</v>
      </c>
      <c r="AB133" s="119">
        <f t="shared" si="189"/>
        <v>0</v>
      </c>
      <c r="AC133" s="194">
        <f t="shared" si="189"/>
        <v>0</v>
      </c>
      <c r="AD133" s="117">
        <f t="shared" si="189"/>
        <v>0</v>
      </c>
      <c r="AE133" s="118">
        <f t="shared" si="189"/>
        <v>0</v>
      </c>
      <c r="AF133" s="116">
        <f t="shared" si="189"/>
        <v>0</v>
      </c>
      <c r="AG133" s="117">
        <f t="shared" si="189"/>
        <v>0</v>
      </c>
      <c r="AH133" s="119">
        <f t="shared" si="189"/>
        <v>0</v>
      </c>
      <c r="AI133" s="194">
        <f t="shared" si="189"/>
        <v>0</v>
      </c>
      <c r="AJ133" s="117">
        <f t="shared" si="189"/>
        <v>0</v>
      </c>
      <c r="AK133" s="118">
        <f t="shared" si="189"/>
        <v>0</v>
      </c>
      <c r="AL133" s="116">
        <f t="shared" si="189"/>
        <v>0</v>
      </c>
      <c r="AM133" s="117">
        <f t="shared" si="189"/>
        <v>0</v>
      </c>
      <c r="AN133" s="119">
        <f t="shared" si="189"/>
        <v>0</v>
      </c>
      <c r="AO133" s="194">
        <f t="shared" ref="AO133:BZ133" si="190">+AO26+AO62+AO98</f>
        <v>0</v>
      </c>
      <c r="AP133" s="117">
        <f t="shared" si="190"/>
        <v>0</v>
      </c>
      <c r="AQ133" s="118">
        <f t="shared" si="190"/>
        <v>0</v>
      </c>
      <c r="AR133" s="116">
        <f t="shared" si="190"/>
        <v>0</v>
      </c>
      <c r="AS133" s="117">
        <f t="shared" si="190"/>
        <v>0</v>
      </c>
      <c r="AT133" s="119">
        <f t="shared" si="190"/>
        <v>0</v>
      </c>
      <c r="AU133" s="194">
        <f t="shared" si="190"/>
        <v>0</v>
      </c>
      <c r="AV133" s="117">
        <f t="shared" si="190"/>
        <v>0</v>
      </c>
      <c r="AW133" s="118">
        <f t="shared" si="190"/>
        <v>0</v>
      </c>
      <c r="AX133" s="116">
        <f t="shared" si="190"/>
        <v>0</v>
      </c>
      <c r="AY133" s="117">
        <f t="shared" si="190"/>
        <v>0</v>
      </c>
      <c r="AZ133" s="119">
        <f t="shared" si="190"/>
        <v>0</v>
      </c>
      <c r="BA133" s="194">
        <f t="shared" si="190"/>
        <v>0</v>
      </c>
      <c r="BB133" s="117">
        <f t="shared" si="190"/>
        <v>0</v>
      </c>
      <c r="BC133" s="118">
        <f t="shared" si="190"/>
        <v>0</v>
      </c>
      <c r="BD133" s="116">
        <f t="shared" si="190"/>
        <v>0</v>
      </c>
      <c r="BE133" s="117">
        <f t="shared" si="190"/>
        <v>0</v>
      </c>
      <c r="BF133" s="119">
        <f t="shared" si="190"/>
        <v>0</v>
      </c>
      <c r="BG133" s="194">
        <f t="shared" si="190"/>
        <v>0</v>
      </c>
      <c r="BH133" s="117">
        <f t="shared" si="190"/>
        <v>0</v>
      </c>
      <c r="BI133" s="118">
        <f t="shared" si="190"/>
        <v>0</v>
      </c>
      <c r="BJ133" s="116">
        <f t="shared" si="190"/>
        <v>0</v>
      </c>
      <c r="BK133" s="117">
        <f t="shared" si="190"/>
        <v>0</v>
      </c>
      <c r="BL133" s="119">
        <f t="shared" si="190"/>
        <v>0</v>
      </c>
      <c r="BM133" s="194">
        <f t="shared" si="190"/>
        <v>0</v>
      </c>
      <c r="BN133" s="117">
        <f t="shared" si="190"/>
        <v>0</v>
      </c>
      <c r="BO133" s="118">
        <f t="shared" si="190"/>
        <v>0</v>
      </c>
      <c r="BP133" s="116">
        <f t="shared" si="190"/>
        <v>0</v>
      </c>
      <c r="BQ133" s="117">
        <f t="shared" si="190"/>
        <v>0</v>
      </c>
      <c r="BR133" s="119">
        <f t="shared" si="190"/>
        <v>0</v>
      </c>
      <c r="BS133" s="194">
        <f t="shared" si="190"/>
        <v>0</v>
      </c>
      <c r="BT133" s="117">
        <f t="shared" si="190"/>
        <v>0</v>
      </c>
      <c r="BU133" s="118">
        <f t="shared" si="190"/>
        <v>0</v>
      </c>
      <c r="BV133" s="116">
        <f t="shared" si="190"/>
        <v>0</v>
      </c>
      <c r="BW133" s="117">
        <f t="shared" si="190"/>
        <v>0</v>
      </c>
      <c r="BX133" s="119">
        <f t="shared" si="190"/>
        <v>0</v>
      </c>
      <c r="BY133" s="194">
        <f t="shared" si="190"/>
        <v>0</v>
      </c>
      <c r="BZ133" s="117">
        <f t="shared" si="190"/>
        <v>0</v>
      </c>
      <c r="CA133" s="118">
        <f t="shared" ref="CA133:DB133" si="191">+CA26+CA62+CA98</f>
        <v>0</v>
      </c>
      <c r="CB133" s="116">
        <f t="shared" si="191"/>
        <v>0</v>
      </c>
      <c r="CC133" s="117">
        <f t="shared" si="191"/>
        <v>0</v>
      </c>
      <c r="CD133" s="119">
        <f t="shared" si="191"/>
        <v>0</v>
      </c>
      <c r="CE133" s="194">
        <f t="shared" si="191"/>
        <v>0</v>
      </c>
      <c r="CF133" s="117">
        <f t="shared" si="191"/>
        <v>0</v>
      </c>
      <c r="CG133" s="118">
        <f t="shared" si="191"/>
        <v>0</v>
      </c>
      <c r="CH133" s="116">
        <f t="shared" si="191"/>
        <v>0</v>
      </c>
      <c r="CI133" s="117">
        <f t="shared" si="191"/>
        <v>0</v>
      </c>
      <c r="CJ133" s="118">
        <f t="shared" si="191"/>
        <v>0</v>
      </c>
      <c r="CK133" s="241">
        <f t="shared" si="191"/>
        <v>0</v>
      </c>
      <c r="CL133" s="43">
        <f t="shared" si="191"/>
        <v>0</v>
      </c>
      <c r="CM133" s="289">
        <f t="shared" si="191"/>
        <v>0</v>
      </c>
      <c r="CN133" s="241">
        <f t="shared" si="191"/>
        <v>0</v>
      </c>
      <c r="CO133" s="43">
        <f t="shared" si="191"/>
        <v>0</v>
      </c>
      <c r="CP133" s="57">
        <f t="shared" si="191"/>
        <v>0</v>
      </c>
      <c r="CQ133" s="194">
        <f t="shared" ref="CQ133:CY133" si="192">+CQ26+CQ62+CQ98</f>
        <v>0</v>
      </c>
      <c r="CR133" s="117">
        <f t="shared" si="192"/>
        <v>0</v>
      </c>
      <c r="CS133" s="119">
        <f t="shared" si="192"/>
        <v>0</v>
      </c>
      <c r="CT133" s="194">
        <f t="shared" si="192"/>
        <v>0</v>
      </c>
      <c r="CU133" s="117">
        <f t="shared" si="192"/>
        <v>0</v>
      </c>
      <c r="CV133" s="119">
        <f t="shared" si="192"/>
        <v>0</v>
      </c>
      <c r="CW133" s="194">
        <f t="shared" si="192"/>
        <v>0</v>
      </c>
      <c r="CX133" s="117">
        <f t="shared" si="192"/>
        <v>0</v>
      </c>
      <c r="CY133" s="119">
        <f t="shared" si="192"/>
        <v>0</v>
      </c>
      <c r="CZ133" s="194">
        <f t="shared" si="191"/>
        <v>0</v>
      </c>
      <c r="DA133" s="117">
        <f t="shared" si="191"/>
        <v>0</v>
      </c>
      <c r="DB133" s="119">
        <f t="shared" si="191"/>
        <v>0</v>
      </c>
      <c r="DC133" s="380">
        <f t="shared" si="120"/>
        <v>0</v>
      </c>
      <c r="DD133" s="381">
        <f t="shared" si="121"/>
        <v>0</v>
      </c>
      <c r="DE133" s="381">
        <f t="shared" si="122"/>
        <v>0</v>
      </c>
      <c r="DF133" s="145">
        <f t="shared" si="115"/>
        <v>0</v>
      </c>
    </row>
    <row r="134" spans="1:110">
      <c r="A134" s="240">
        <v>20</v>
      </c>
      <c r="B134" s="116">
        <f t="shared" ref="B134:AN134" si="193">+B27+B63+B99</f>
        <v>0</v>
      </c>
      <c r="C134" s="117">
        <f t="shared" si="193"/>
        <v>0</v>
      </c>
      <c r="D134" s="119">
        <f t="shared" si="193"/>
        <v>0</v>
      </c>
      <c r="E134" s="194">
        <f t="shared" si="193"/>
        <v>0</v>
      </c>
      <c r="F134" s="117">
        <f t="shared" si="193"/>
        <v>0</v>
      </c>
      <c r="G134" s="118">
        <f t="shared" si="193"/>
        <v>0</v>
      </c>
      <c r="H134" s="116">
        <f t="shared" si="193"/>
        <v>0</v>
      </c>
      <c r="I134" s="117">
        <f t="shared" si="193"/>
        <v>0</v>
      </c>
      <c r="J134" s="119">
        <f t="shared" si="193"/>
        <v>0</v>
      </c>
      <c r="K134" s="194">
        <f t="shared" si="193"/>
        <v>0</v>
      </c>
      <c r="L134" s="117">
        <f t="shared" si="193"/>
        <v>0</v>
      </c>
      <c r="M134" s="118">
        <f t="shared" si="193"/>
        <v>0</v>
      </c>
      <c r="N134" s="116">
        <f t="shared" si="193"/>
        <v>0</v>
      </c>
      <c r="O134" s="117">
        <f t="shared" si="193"/>
        <v>0</v>
      </c>
      <c r="P134" s="119">
        <f t="shared" si="193"/>
        <v>0</v>
      </c>
      <c r="Q134" s="194">
        <f t="shared" si="193"/>
        <v>0</v>
      </c>
      <c r="R134" s="117">
        <f t="shared" si="193"/>
        <v>0</v>
      </c>
      <c r="S134" s="118">
        <f t="shared" si="193"/>
        <v>0</v>
      </c>
      <c r="T134" s="116">
        <f t="shared" si="193"/>
        <v>0</v>
      </c>
      <c r="U134" s="117">
        <f t="shared" si="193"/>
        <v>0</v>
      </c>
      <c r="V134" s="119">
        <f t="shared" si="193"/>
        <v>0</v>
      </c>
      <c r="W134" s="194">
        <f t="shared" si="193"/>
        <v>0</v>
      </c>
      <c r="X134" s="117">
        <f t="shared" si="193"/>
        <v>0</v>
      </c>
      <c r="Y134" s="118">
        <f t="shared" si="193"/>
        <v>0</v>
      </c>
      <c r="Z134" s="116">
        <f t="shared" si="193"/>
        <v>0</v>
      </c>
      <c r="AA134" s="117">
        <f t="shared" si="193"/>
        <v>0</v>
      </c>
      <c r="AB134" s="119">
        <f t="shared" si="193"/>
        <v>0</v>
      </c>
      <c r="AC134" s="194">
        <f t="shared" si="193"/>
        <v>0</v>
      </c>
      <c r="AD134" s="117">
        <f t="shared" si="193"/>
        <v>0</v>
      </c>
      <c r="AE134" s="118">
        <f t="shared" si="193"/>
        <v>0</v>
      </c>
      <c r="AF134" s="116">
        <f t="shared" si="193"/>
        <v>0</v>
      </c>
      <c r="AG134" s="117">
        <f t="shared" si="193"/>
        <v>0</v>
      </c>
      <c r="AH134" s="119">
        <f t="shared" si="193"/>
        <v>0</v>
      </c>
      <c r="AI134" s="194">
        <f t="shared" si="193"/>
        <v>0</v>
      </c>
      <c r="AJ134" s="117">
        <f t="shared" si="193"/>
        <v>0</v>
      </c>
      <c r="AK134" s="118">
        <f t="shared" si="193"/>
        <v>0</v>
      </c>
      <c r="AL134" s="116">
        <f t="shared" si="193"/>
        <v>0</v>
      </c>
      <c r="AM134" s="117">
        <f t="shared" si="193"/>
        <v>0</v>
      </c>
      <c r="AN134" s="119">
        <f t="shared" si="193"/>
        <v>0</v>
      </c>
      <c r="AO134" s="194">
        <f t="shared" ref="AO134:BZ134" si="194">+AO27+AO63+AO99</f>
        <v>0</v>
      </c>
      <c r="AP134" s="117">
        <f t="shared" si="194"/>
        <v>0</v>
      </c>
      <c r="AQ134" s="118">
        <f t="shared" si="194"/>
        <v>0</v>
      </c>
      <c r="AR134" s="116">
        <f t="shared" si="194"/>
        <v>0</v>
      </c>
      <c r="AS134" s="117">
        <f t="shared" si="194"/>
        <v>0</v>
      </c>
      <c r="AT134" s="119">
        <f t="shared" si="194"/>
        <v>0</v>
      </c>
      <c r="AU134" s="194">
        <f t="shared" si="194"/>
        <v>0</v>
      </c>
      <c r="AV134" s="117">
        <f t="shared" si="194"/>
        <v>0</v>
      </c>
      <c r="AW134" s="118">
        <f t="shared" si="194"/>
        <v>0</v>
      </c>
      <c r="AX134" s="116">
        <f t="shared" si="194"/>
        <v>0</v>
      </c>
      <c r="AY134" s="117">
        <f t="shared" si="194"/>
        <v>0</v>
      </c>
      <c r="AZ134" s="119">
        <f t="shared" si="194"/>
        <v>0</v>
      </c>
      <c r="BA134" s="194">
        <f t="shared" si="194"/>
        <v>0</v>
      </c>
      <c r="BB134" s="117">
        <f t="shared" si="194"/>
        <v>0</v>
      </c>
      <c r="BC134" s="118">
        <f t="shared" si="194"/>
        <v>0</v>
      </c>
      <c r="BD134" s="116">
        <f t="shared" si="194"/>
        <v>0</v>
      </c>
      <c r="BE134" s="117">
        <f t="shared" si="194"/>
        <v>0</v>
      </c>
      <c r="BF134" s="119">
        <f t="shared" si="194"/>
        <v>0</v>
      </c>
      <c r="BG134" s="194">
        <f t="shared" si="194"/>
        <v>0</v>
      </c>
      <c r="BH134" s="117">
        <f t="shared" si="194"/>
        <v>0</v>
      </c>
      <c r="BI134" s="118">
        <f t="shared" si="194"/>
        <v>0</v>
      </c>
      <c r="BJ134" s="116">
        <f t="shared" si="194"/>
        <v>0</v>
      </c>
      <c r="BK134" s="117">
        <f t="shared" si="194"/>
        <v>0</v>
      </c>
      <c r="BL134" s="119">
        <f t="shared" si="194"/>
        <v>0</v>
      </c>
      <c r="BM134" s="194">
        <f t="shared" si="194"/>
        <v>0</v>
      </c>
      <c r="BN134" s="117">
        <f t="shared" si="194"/>
        <v>0</v>
      </c>
      <c r="BO134" s="118">
        <f t="shared" si="194"/>
        <v>0</v>
      </c>
      <c r="BP134" s="116">
        <f t="shared" si="194"/>
        <v>0</v>
      </c>
      <c r="BQ134" s="117">
        <f t="shared" si="194"/>
        <v>0</v>
      </c>
      <c r="BR134" s="119">
        <f t="shared" si="194"/>
        <v>0</v>
      </c>
      <c r="BS134" s="194">
        <f t="shared" si="194"/>
        <v>0</v>
      </c>
      <c r="BT134" s="117">
        <f t="shared" si="194"/>
        <v>0</v>
      </c>
      <c r="BU134" s="118">
        <f t="shared" si="194"/>
        <v>0</v>
      </c>
      <c r="BV134" s="116">
        <f t="shared" si="194"/>
        <v>0</v>
      </c>
      <c r="BW134" s="117">
        <f t="shared" si="194"/>
        <v>0</v>
      </c>
      <c r="BX134" s="119">
        <f t="shared" si="194"/>
        <v>0</v>
      </c>
      <c r="BY134" s="194">
        <f t="shared" si="194"/>
        <v>0</v>
      </c>
      <c r="BZ134" s="117">
        <f t="shared" si="194"/>
        <v>0</v>
      </c>
      <c r="CA134" s="118">
        <f t="shared" ref="CA134:DB134" si="195">+CA27+CA63+CA99</f>
        <v>0</v>
      </c>
      <c r="CB134" s="116">
        <f t="shared" si="195"/>
        <v>0</v>
      </c>
      <c r="CC134" s="117">
        <f t="shared" si="195"/>
        <v>0</v>
      </c>
      <c r="CD134" s="119">
        <f t="shared" si="195"/>
        <v>0</v>
      </c>
      <c r="CE134" s="194">
        <f t="shared" si="195"/>
        <v>0</v>
      </c>
      <c r="CF134" s="117">
        <f t="shared" si="195"/>
        <v>0</v>
      </c>
      <c r="CG134" s="118">
        <f t="shared" si="195"/>
        <v>0</v>
      </c>
      <c r="CH134" s="116">
        <f t="shared" si="195"/>
        <v>0</v>
      </c>
      <c r="CI134" s="117">
        <f t="shared" si="195"/>
        <v>0</v>
      </c>
      <c r="CJ134" s="118">
        <f t="shared" si="195"/>
        <v>0</v>
      </c>
      <c r="CK134" s="241">
        <f t="shared" si="195"/>
        <v>0</v>
      </c>
      <c r="CL134" s="43">
        <f t="shared" si="195"/>
        <v>0</v>
      </c>
      <c r="CM134" s="289">
        <f t="shared" si="195"/>
        <v>0</v>
      </c>
      <c r="CN134" s="241">
        <f t="shared" si="195"/>
        <v>0</v>
      </c>
      <c r="CO134" s="43">
        <f t="shared" si="195"/>
        <v>0</v>
      </c>
      <c r="CP134" s="57">
        <f t="shared" si="195"/>
        <v>0</v>
      </c>
      <c r="CQ134" s="194">
        <f t="shared" ref="CQ134:CY134" si="196">+CQ27+CQ63+CQ99</f>
        <v>0</v>
      </c>
      <c r="CR134" s="117">
        <f t="shared" si="196"/>
        <v>0</v>
      </c>
      <c r="CS134" s="119">
        <f t="shared" si="196"/>
        <v>0</v>
      </c>
      <c r="CT134" s="194">
        <f t="shared" si="196"/>
        <v>0</v>
      </c>
      <c r="CU134" s="117">
        <f t="shared" si="196"/>
        <v>0</v>
      </c>
      <c r="CV134" s="119">
        <f t="shared" si="196"/>
        <v>0</v>
      </c>
      <c r="CW134" s="194">
        <f t="shared" si="196"/>
        <v>0</v>
      </c>
      <c r="CX134" s="117">
        <f t="shared" si="196"/>
        <v>0</v>
      </c>
      <c r="CY134" s="119">
        <f t="shared" si="196"/>
        <v>0</v>
      </c>
      <c r="CZ134" s="194">
        <f t="shared" si="195"/>
        <v>0</v>
      </c>
      <c r="DA134" s="117">
        <f t="shared" si="195"/>
        <v>0</v>
      </c>
      <c r="DB134" s="119">
        <f t="shared" si="195"/>
        <v>0</v>
      </c>
      <c r="DC134" s="380">
        <f t="shared" si="120"/>
        <v>0</v>
      </c>
      <c r="DD134" s="381">
        <f t="shared" si="121"/>
        <v>0</v>
      </c>
      <c r="DE134" s="381">
        <f t="shared" si="122"/>
        <v>0</v>
      </c>
      <c r="DF134" s="145">
        <f t="shared" si="115"/>
        <v>0</v>
      </c>
    </row>
    <row r="135" spans="1:110">
      <c r="A135" s="240">
        <v>21</v>
      </c>
      <c r="B135" s="116">
        <f t="shared" ref="B135:AN135" si="197">+B28+B64+B100</f>
        <v>0</v>
      </c>
      <c r="C135" s="117">
        <f t="shared" si="197"/>
        <v>0</v>
      </c>
      <c r="D135" s="119">
        <f t="shared" si="197"/>
        <v>0</v>
      </c>
      <c r="E135" s="194">
        <f t="shared" si="197"/>
        <v>0</v>
      </c>
      <c r="F135" s="117">
        <f t="shared" si="197"/>
        <v>0</v>
      </c>
      <c r="G135" s="118">
        <f t="shared" si="197"/>
        <v>0</v>
      </c>
      <c r="H135" s="116">
        <f t="shared" si="197"/>
        <v>0</v>
      </c>
      <c r="I135" s="117">
        <f t="shared" si="197"/>
        <v>0</v>
      </c>
      <c r="J135" s="119">
        <f t="shared" si="197"/>
        <v>0</v>
      </c>
      <c r="K135" s="194">
        <f t="shared" si="197"/>
        <v>0</v>
      </c>
      <c r="L135" s="117">
        <f t="shared" si="197"/>
        <v>0</v>
      </c>
      <c r="M135" s="118">
        <f t="shared" si="197"/>
        <v>0</v>
      </c>
      <c r="N135" s="116">
        <f t="shared" si="197"/>
        <v>0</v>
      </c>
      <c r="O135" s="117">
        <f t="shared" si="197"/>
        <v>0</v>
      </c>
      <c r="P135" s="119">
        <f t="shared" si="197"/>
        <v>0</v>
      </c>
      <c r="Q135" s="194">
        <f t="shared" si="197"/>
        <v>0</v>
      </c>
      <c r="R135" s="117">
        <f t="shared" si="197"/>
        <v>0</v>
      </c>
      <c r="S135" s="118">
        <f t="shared" si="197"/>
        <v>0</v>
      </c>
      <c r="T135" s="116">
        <f t="shared" si="197"/>
        <v>0</v>
      </c>
      <c r="U135" s="117">
        <f t="shared" si="197"/>
        <v>0</v>
      </c>
      <c r="V135" s="119">
        <f t="shared" si="197"/>
        <v>0</v>
      </c>
      <c r="W135" s="194">
        <f t="shared" si="197"/>
        <v>0</v>
      </c>
      <c r="X135" s="117">
        <f t="shared" si="197"/>
        <v>0</v>
      </c>
      <c r="Y135" s="118">
        <f t="shared" si="197"/>
        <v>0</v>
      </c>
      <c r="Z135" s="116">
        <f t="shared" si="197"/>
        <v>0</v>
      </c>
      <c r="AA135" s="117">
        <f t="shared" si="197"/>
        <v>0</v>
      </c>
      <c r="AB135" s="119">
        <f t="shared" si="197"/>
        <v>0</v>
      </c>
      <c r="AC135" s="194">
        <f t="shared" si="197"/>
        <v>0</v>
      </c>
      <c r="AD135" s="117">
        <f t="shared" si="197"/>
        <v>0</v>
      </c>
      <c r="AE135" s="118">
        <f t="shared" si="197"/>
        <v>0</v>
      </c>
      <c r="AF135" s="116">
        <f t="shared" si="197"/>
        <v>0</v>
      </c>
      <c r="AG135" s="117">
        <f t="shared" si="197"/>
        <v>0</v>
      </c>
      <c r="AH135" s="119">
        <f t="shared" si="197"/>
        <v>0</v>
      </c>
      <c r="AI135" s="194">
        <f t="shared" si="197"/>
        <v>0</v>
      </c>
      <c r="AJ135" s="117">
        <f t="shared" si="197"/>
        <v>0</v>
      </c>
      <c r="AK135" s="118">
        <f t="shared" si="197"/>
        <v>0</v>
      </c>
      <c r="AL135" s="116">
        <f t="shared" si="197"/>
        <v>0</v>
      </c>
      <c r="AM135" s="117">
        <f t="shared" si="197"/>
        <v>0</v>
      </c>
      <c r="AN135" s="119">
        <f t="shared" si="197"/>
        <v>0</v>
      </c>
      <c r="AO135" s="194">
        <f t="shared" ref="AO135:BZ135" si="198">+AO28+AO64+AO100</f>
        <v>0</v>
      </c>
      <c r="AP135" s="117">
        <f t="shared" si="198"/>
        <v>0</v>
      </c>
      <c r="AQ135" s="118">
        <f t="shared" si="198"/>
        <v>0</v>
      </c>
      <c r="AR135" s="116">
        <f t="shared" si="198"/>
        <v>0</v>
      </c>
      <c r="AS135" s="117">
        <f t="shared" si="198"/>
        <v>0</v>
      </c>
      <c r="AT135" s="119">
        <f t="shared" si="198"/>
        <v>0</v>
      </c>
      <c r="AU135" s="194">
        <f t="shared" si="198"/>
        <v>0</v>
      </c>
      <c r="AV135" s="117">
        <f t="shared" si="198"/>
        <v>0</v>
      </c>
      <c r="AW135" s="118">
        <f t="shared" si="198"/>
        <v>0</v>
      </c>
      <c r="AX135" s="116">
        <f t="shared" si="198"/>
        <v>0</v>
      </c>
      <c r="AY135" s="117">
        <f t="shared" si="198"/>
        <v>0</v>
      </c>
      <c r="AZ135" s="119">
        <f t="shared" si="198"/>
        <v>0</v>
      </c>
      <c r="BA135" s="194">
        <f t="shared" si="198"/>
        <v>0</v>
      </c>
      <c r="BB135" s="117">
        <f t="shared" si="198"/>
        <v>0</v>
      </c>
      <c r="BC135" s="118">
        <f t="shared" si="198"/>
        <v>0</v>
      </c>
      <c r="BD135" s="116">
        <f t="shared" si="198"/>
        <v>0</v>
      </c>
      <c r="BE135" s="117">
        <f t="shared" si="198"/>
        <v>0</v>
      </c>
      <c r="BF135" s="119">
        <f t="shared" si="198"/>
        <v>0</v>
      </c>
      <c r="BG135" s="194">
        <f t="shared" si="198"/>
        <v>0</v>
      </c>
      <c r="BH135" s="117">
        <f t="shared" si="198"/>
        <v>0</v>
      </c>
      <c r="BI135" s="118">
        <f t="shared" si="198"/>
        <v>0</v>
      </c>
      <c r="BJ135" s="116">
        <f t="shared" si="198"/>
        <v>0</v>
      </c>
      <c r="BK135" s="117">
        <f t="shared" si="198"/>
        <v>0</v>
      </c>
      <c r="BL135" s="119">
        <f t="shared" si="198"/>
        <v>0</v>
      </c>
      <c r="BM135" s="194">
        <f t="shared" si="198"/>
        <v>0</v>
      </c>
      <c r="BN135" s="117">
        <f t="shared" si="198"/>
        <v>0</v>
      </c>
      <c r="BO135" s="118">
        <f t="shared" si="198"/>
        <v>0</v>
      </c>
      <c r="BP135" s="116">
        <f t="shared" si="198"/>
        <v>0</v>
      </c>
      <c r="BQ135" s="117">
        <f t="shared" si="198"/>
        <v>0</v>
      </c>
      <c r="BR135" s="119">
        <f t="shared" si="198"/>
        <v>0</v>
      </c>
      <c r="BS135" s="194">
        <f t="shared" si="198"/>
        <v>0</v>
      </c>
      <c r="BT135" s="117">
        <f t="shared" si="198"/>
        <v>0</v>
      </c>
      <c r="BU135" s="118">
        <f t="shared" si="198"/>
        <v>0</v>
      </c>
      <c r="BV135" s="116">
        <f t="shared" si="198"/>
        <v>0</v>
      </c>
      <c r="BW135" s="117">
        <f t="shared" si="198"/>
        <v>0</v>
      </c>
      <c r="BX135" s="119">
        <f t="shared" si="198"/>
        <v>0</v>
      </c>
      <c r="BY135" s="194">
        <f t="shared" si="198"/>
        <v>0</v>
      </c>
      <c r="BZ135" s="117">
        <f t="shared" si="198"/>
        <v>0</v>
      </c>
      <c r="CA135" s="118">
        <f t="shared" ref="CA135:DB135" si="199">+CA28+CA64+CA100</f>
        <v>0</v>
      </c>
      <c r="CB135" s="116">
        <f t="shared" si="199"/>
        <v>0</v>
      </c>
      <c r="CC135" s="117">
        <f t="shared" si="199"/>
        <v>0</v>
      </c>
      <c r="CD135" s="119">
        <f t="shared" si="199"/>
        <v>0</v>
      </c>
      <c r="CE135" s="194">
        <f t="shared" si="199"/>
        <v>0</v>
      </c>
      <c r="CF135" s="117">
        <f t="shared" si="199"/>
        <v>0</v>
      </c>
      <c r="CG135" s="118">
        <f t="shared" si="199"/>
        <v>0</v>
      </c>
      <c r="CH135" s="116">
        <f t="shared" si="199"/>
        <v>0</v>
      </c>
      <c r="CI135" s="117">
        <f t="shared" si="199"/>
        <v>0</v>
      </c>
      <c r="CJ135" s="118">
        <f t="shared" si="199"/>
        <v>0</v>
      </c>
      <c r="CK135" s="241">
        <f t="shared" si="199"/>
        <v>0</v>
      </c>
      <c r="CL135" s="43">
        <f t="shared" si="199"/>
        <v>0</v>
      </c>
      <c r="CM135" s="289">
        <f t="shared" si="199"/>
        <v>0</v>
      </c>
      <c r="CN135" s="241">
        <f t="shared" si="199"/>
        <v>0</v>
      </c>
      <c r="CO135" s="43">
        <f t="shared" si="199"/>
        <v>0</v>
      </c>
      <c r="CP135" s="57">
        <f t="shared" si="199"/>
        <v>0</v>
      </c>
      <c r="CQ135" s="194">
        <f t="shared" ref="CQ135:CY135" si="200">+CQ28+CQ64+CQ100</f>
        <v>0</v>
      </c>
      <c r="CR135" s="117">
        <f t="shared" si="200"/>
        <v>0</v>
      </c>
      <c r="CS135" s="119">
        <f t="shared" si="200"/>
        <v>0</v>
      </c>
      <c r="CT135" s="194">
        <f t="shared" si="200"/>
        <v>0</v>
      </c>
      <c r="CU135" s="117">
        <f t="shared" si="200"/>
        <v>0</v>
      </c>
      <c r="CV135" s="119">
        <f t="shared" si="200"/>
        <v>0</v>
      </c>
      <c r="CW135" s="194">
        <f t="shared" si="200"/>
        <v>0</v>
      </c>
      <c r="CX135" s="117">
        <f t="shared" si="200"/>
        <v>0</v>
      </c>
      <c r="CY135" s="119">
        <f t="shared" si="200"/>
        <v>0</v>
      </c>
      <c r="CZ135" s="194">
        <f t="shared" si="199"/>
        <v>0</v>
      </c>
      <c r="DA135" s="117">
        <f t="shared" si="199"/>
        <v>0</v>
      </c>
      <c r="DB135" s="119">
        <f t="shared" si="199"/>
        <v>0</v>
      </c>
      <c r="DC135" s="380">
        <f t="shared" si="120"/>
        <v>0</v>
      </c>
      <c r="DD135" s="381">
        <f t="shared" si="121"/>
        <v>0</v>
      </c>
      <c r="DE135" s="381">
        <f t="shared" si="122"/>
        <v>0</v>
      </c>
      <c r="DF135" s="145">
        <f t="shared" si="115"/>
        <v>0</v>
      </c>
    </row>
    <row r="136" spans="1:110">
      <c r="A136" s="365">
        <v>22</v>
      </c>
      <c r="B136" s="116">
        <f t="shared" ref="B136:AN136" si="201">+B29+B65+B101</f>
        <v>0</v>
      </c>
      <c r="C136" s="117">
        <f t="shared" si="201"/>
        <v>0</v>
      </c>
      <c r="D136" s="119">
        <f t="shared" si="201"/>
        <v>0</v>
      </c>
      <c r="E136" s="194">
        <f t="shared" si="201"/>
        <v>0</v>
      </c>
      <c r="F136" s="117">
        <f t="shared" si="201"/>
        <v>0</v>
      </c>
      <c r="G136" s="118">
        <f t="shared" si="201"/>
        <v>0</v>
      </c>
      <c r="H136" s="116">
        <f t="shared" si="201"/>
        <v>0</v>
      </c>
      <c r="I136" s="117">
        <f t="shared" si="201"/>
        <v>0</v>
      </c>
      <c r="J136" s="119">
        <f t="shared" si="201"/>
        <v>0</v>
      </c>
      <c r="K136" s="194">
        <f t="shared" si="201"/>
        <v>0</v>
      </c>
      <c r="L136" s="117">
        <f t="shared" si="201"/>
        <v>0</v>
      </c>
      <c r="M136" s="118">
        <f t="shared" si="201"/>
        <v>0</v>
      </c>
      <c r="N136" s="116">
        <f t="shared" si="201"/>
        <v>0</v>
      </c>
      <c r="O136" s="117">
        <f t="shared" si="201"/>
        <v>0</v>
      </c>
      <c r="P136" s="119">
        <f t="shared" si="201"/>
        <v>0</v>
      </c>
      <c r="Q136" s="194">
        <f t="shared" si="201"/>
        <v>0</v>
      </c>
      <c r="R136" s="117">
        <f t="shared" si="201"/>
        <v>0</v>
      </c>
      <c r="S136" s="118">
        <f t="shared" si="201"/>
        <v>0</v>
      </c>
      <c r="T136" s="116">
        <f t="shared" si="201"/>
        <v>0</v>
      </c>
      <c r="U136" s="117">
        <f t="shared" si="201"/>
        <v>0</v>
      </c>
      <c r="V136" s="119">
        <f t="shared" si="201"/>
        <v>0</v>
      </c>
      <c r="W136" s="194">
        <f t="shared" si="201"/>
        <v>0</v>
      </c>
      <c r="X136" s="117">
        <f t="shared" si="201"/>
        <v>0</v>
      </c>
      <c r="Y136" s="118">
        <f t="shared" si="201"/>
        <v>0</v>
      </c>
      <c r="Z136" s="116">
        <f t="shared" si="201"/>
        <v>0</v>
      </c>
      <c r="AA136" s="117">
        <f t="shared" si="201"/>
        <v>0</v>
      </c>
      <c r="AB136" s="119">
        <f t="shared" si="201"/>
        <v>0</v>
      </c>
      <c r="AC136" s="194">
        <f t="shared" si="201"/>
        <v>0</v>
      </c>
      <c r="AD136" s="117">
        <f t="shared" si="201"/>
        <v>0</v>
      </c>
      <c r="AE136" s="118">
        <f t="shared" si="201"/>
        <v>0</v>
      </c>
      <c r="AF136" s="116">
        <f t="shared" si="201"/>
        <v>0</v>
      </c>
      <c r="AG136" s="117">
        <f t="shared" si="201"/>
        <v>0</v>
      </c>
      <c r="AH136" s="119">
        <f t="shared" si="201"/>
        <v>0</v>
      </c>
      <c r="AI136" s="194">
        <f t="shared" si="201"/>
        <v>0</v>
      </c>
      <c r="AJ136" s="117">
        <f t="shared" si="201"/>
        <v>0</v>
      </c>
      <c r="AK136" s="118">
        <f t="shared" si="201"/>
        <v>0</v>
      </c>
      <c r="AL136" s="116">
        <f t="shared" si="201"/>
        <v>0</v>
      </c>
      <c r="AM136" s="117">
        <f t="shared" si="201"/>
        <v>0</v>
      </c>
      <c r="AN136" s="119">
        <f t="shared" si="201"/>
        <v>0</v>
      </c>
      <c r="AO136" s="194">
        <f t="shared" ref="AO136:BZ136" si="202">+AO29+AO65+AO101</f>
        <v>0</v>
      </c>
      <c r="AP136" s="117">
        <f t="shared" si="202"/>
        <v>0</v>
      </c>
      <c r="AQ136" s="118">
        <f t="shared" si="202"/>
        <v>0</v>
      </c>
      <c r="AR136" s="116">
        <f t="shared" si="202"/>
        <v>0</v>
      </c>
      <c r="AS136" s="117">
        <f t="shared" si="202"/>
        <v>0</v>
      </c>
      <c r="AT136" s="119">
        <f t="shared" si="202"/>
        <v>0</v>
      </c>
      <c r="AU136" s="194">
        <f t="shared" si="202"/>
        <v>0</v>
      </c>
      <c r="AV136" s="117">
        <f t="shared" si="202"/>
        <v>0</v>
      </c>
      <c r="AW136" s="118">
        <f t="shared" si="202"/>
        <v>0</v>
      </c>
      <c r="AX136" s="116">
        <f t="shared" si="202"/>
        <v>0</v>
      </c>
      <c r="AY136" s="117">
        <f t="shared" si="202"/>
        <v>0</v>
      </c>
      <c r="AZ136" s="119">
        <f t="shared" si="202"/>
        <v>0</v>
      </c>
      <c r="BA136" s="194">
        <f t="shared" si="202"/>
        <v>0</v>
      </c>
      <c r="BB136" s="117">
        <f t="shared" si="202"/>
        <v>0</v>
      </c>
      <c r="BC136" s="118">
        <f t="shared" si="202"/>
        <v>0</v>
      </c>
      <c r="BD136" s="116">
        <f t="shared" si="202"/>
        <v>0</v>
      </c>
      <c r="BE136" s="117">
        <f t="shared" si="202"/>
        <v>0</v>
      </c>
      <c r="BF136" s="119">
        <f t="shared" si="202"/>
        <v>0</v>
      </c>
      <c r="BG136" s="194">
        <f t="shared" si="202"/>
        <v>0</v>
      </c>
      <c r="BH136" s="117">
        <f t="shared" si="202"/>
        <v>0</v>
      </c>
      <c r="BI136" s="118">
        <f t="shared" si="202"/>
        <v>0</v>
      </c>
      <c r="BJ136" s="116">
        <f t="shared" si="202"/>
        <v>0</v>
      </c>
      <c r="BK136" s="117">
        <f t="shared" si="202"/>
        <v>0</v>
      </c>
      <c r="BL136" s="119">
        <f t="shared" si="202"/>
        <v>0</v>
      </c>
      <c r="BM136" s="194">
        <f t="shared" si="202"/>
        <v>0</v>
      </c>
      <c r="BN136" s="117">
        <f t="shared" si="202"/>
        <v>0</v>
      </c>
      <c r="BO136" s="118">
        <f t="shared" si="202"/>
        <v>0</v>
      </c>
      <c r="BP136" s="116">
        <f t="shared" si="202"/>
        <v>0</v>
      </c>
      <c r="BQ136" s="117">
        <f t="shared" si="202"/>
        <v>0</v>
      </c>
      <c r="BR136" s="119">
        <f t="shared" si="202"/>
        <v>0</v>
      </c>
      <c r="BS136" s="194">
        <f t="shared" si="202"/>
        <v>0</v>
      </c>
      <c r="BT136" s="117">
        <f t="shared" si="202"/>
        <v>0</v>
      </c>
      <c r="BU136" s="118">
        <f t="shared" si="202"/>
        <v>0</v>
      </c>
      <c r="BV136" s="116">
        <f t="shared" si="202"/>
        <v>0</v>
      </c>
      <c r="BW136" s="117">
        <f t="shared" si="202"/>
        <v>0</v>
      </c>
      <c r="BX136" s="119">
        <f t="shared" si="202"/>
        <v>0</v>
      </c>
      <c r="BY136" s="194">
        <f t="shared" si="202"/>
        <v>0</v>
      </c>
      <c r="BZ136" s="117">
        <f t="shared" si="202"/>
        <v>0</v>
      </c>
      <c r="CA136" s="118">
        <f t="shared" ref="CA136:DB136" si="203">+CA29+CA65+CA101</f>
        <v>0</v>
      </c>
      <c r="CB136" s="116">
        <f t="shared" si="203"/>
        <v>0</v>
      </c>
      <c r="CC136" s="117">
        <f t="shared" si="203"/>
        <v>0</v>
      </c>
      <c r="CD136" s="119">
        <f t="shared" si="203"/>
        <v>0</v>
      </c>
      <c r="CE136" s="194">
        <f t="shared" si="203"/>
        <v>0</v>
      </c>
      <c r="CF136" s="117">
        <f t="shared" si="203"/>
        <v>0</v>
      </c>
      <c r="CG136" s="118">
        <f t="shared" si="203"/>
        <v>0</v>
      </c>
      <c r="CH136" s="116">
        <f t="shared" si="203"/>
        <v>0</v>
      </c>
      <c r="CI136" s="117">
        <f t="shared" si="203"/>
        <v>0</v>
      </c>
      <c r="CJ136" s="118">
        <f t="shared" si="203"/>
        <v>0</v>
      </c>
      <c r="CK136" s="241">
        <f t="shared" si="203"/>
        <v>0</v>
      </c>
      <c r="CL136" s="43">
        <f t="shared" si="203"/>
        <v>0</v>
      </c>
      <c r="CM136" s="289">
        <f t="shared" si="203"/>
        <v>0</v>
      </c>
      <c r="CN136" s="241">
        <f t="shared" si="203"/>
        <v>0</v>
      </c>
      <c r="CO136" s="43">
        <f t="shared" si="203"/>
        <v>0</v>
      </c>
      <c r="CP136" s="57">
        <f t="shared" si="203"/>
        <v>0</v>
      </c>
      <c r="CQ136" s="194">
        <f t="shared" ref="CQ136:CY136" si="204">+CQ29+CQ65+CQ101</f>
        <v>0</v>
      </c>
      <c r="CR136" s="117">
        <f t="shared" si="204"/>
        <v>0</v>
      </c>
      <c r="CS136" s="119">
        <f t="shared" si="204"/>
        <v>0</v>
      </c>
      <c r="CT136" s="194">
        <f t="shared" si="204"/>
        <v>0</v>
      </c>
      <c r="CU136" s="117">
        <f t="shared" si="204"/>
        <v>0</v>
      </c>
      <c r="CV136" s="119">
        <f t="shared" si="204"/>
        <v>0</v>
      </c>
      <c r="CW136" s="194">
        <f t="shared" si="204"/>
        <v>0</v>
      </c>
      <c r="CX136" s="117">
        <f t="shared" si="204"/>
        <v>0</v>
      </c>
      <c r="CY136" s="119">
        <f t="shared" si="204"/>
        <v>0</v>
      </c>
      <c r="CZ136" s="194">
        <f t="shared" si="203"/>
        <v>0</v>
      </c>
      <c r="DA136" s="117">
        <f t="shared" si="203"/>
        <v>0</v>
      </c>
      <c r="DB136" s="119">
        <f t="shared" si="203"/>
        <v>0</v>
      </c>
      <c r="DC136" s="380">
        <f t="shared" si="120"/>
        <v>0</v>
      </c>
      <c r="DD136" s="381">
        <f t="shared" si="121"/>
        <v>0</v>
      </c>
      <c r="DE136" s="381">
        <f t="shared" si="122"/>
        <v>0</v>
      </c>
      <c r="DF136" s="145">
        <f t="shared" si="115"/>
        <v>0</v>
      </c>
    </row>
    <row r="137" spans="1:110">
      <c r="A137" s="240">
        <v>23</v>
      </c>
      <c r="B137" s="116">
        <f t="shared" ref="B137:AN137" si="205">+B30+B66+B102</f>
        <v>0</v>
      </c>
      <c r="C137" s="117">
        <f t="shared" si="205"/>
        <v>0</v>
      </c>
      <c r="D137" s="119">
        <f t="shared" si="205"/>
        <v>0</v>
      </c>
      <c r="E137" s="194">
        <f t="shared" si="205"/>
        <v>0</v>
      </c>
      <c r="F137" s="117">
        <f t="shared" si="205"/>
        <v>0</v>
      </c>
      <c r="G137" s="118">
        <f t="shared" si="205"/>
        <v>0</v>
      </c>
      <c r="H137" s="116">
        <f t="shared" si="205"/>
        <v>0</v>
      </c>
      <c r="I137" s="117">
        <f t="shared" si="205"/>
        <v>0</v>
      </c>
      <c r="J137" s="119">
        <f t="shared" si="205"/>
        <v>0</v>
      </c>
      <c r="K137" s="194">
        <f t="shared" si="205"/>
        <v>0</v>
      </c>
      <c r="L137" s="117">
        <f t="shared" si="205"/>
        <v>0</v>
      </c>
      <c r="M137" s="118">
        <f t="shared" si="205"/>
        <v>0</v>
      </c>
      <c r="N137" s="116">
        <f t="shared" si="205"/>
        <v>0</v>
      </c>
      <c r="O137" s="117">
        <f t="shared" si="205"/>
        <v>0</v>
      </c>
      <c r="P137" s="119">
        <f t="shared" si="205"/>
        <v>0</v>
      </c>
      <c r="Q137" s="194">
        <f t="shared" si="205"/>
        <v>0</v>
      </c>
      <c r="R137" s="117">
        <f t="shared" si="205"/>
        <v>0</v>
      </c>
      <c r="S137" s="118">
        <f t="shared" si="205"/>
        <v>0</v>
      </c>
      <c r="T137" s="116">
        <f t="shared" si="205"/>
        <v>0</v>
      </c>
      <c r="U137" s="117">
        <f t="shared" si="205"/>
        <v>0</v>
      </c>
      <c r="V137" s="119">
        <f t="shared" si="205"/>
        <v>0</v>
      </c>
      <c r="W137" s="194">
        <f t="shared" si="205"/>
        <v>0</v>
      </c>
      <c r="X137" s="117">
        <f t="shared" si="205"/>
        <v>0</v>
      </c>
      <c r="Y137" s="118">
        <f t="shared" si="205"/>
        <v>0</v>
      </c>
      <c r="Z137" s="116">
        <f t="shared" si="205"/>
        <v>0</v>
      </c>
      <c r="AA137" s="117">
        <f t="shared" si="205"/>
        <v>0</v>
      </c>
      <c r="AB137" s="119">
        <f t="shared" si="205"/>
        <v>0</v>
      </c>
      <c r="AC137" s="194">
        <f t="shared" si="205"/>
        <v>0</v>
      </c>
      <c r="AD137" s="117">
        <f t="shared" si="205"/>
        <v>0</v>
      </c>
      <c r="AE137" s="118">
        <f t="shared" si="205"/>
        <v>0</v>
      </c>
      <c r="AF137" s="116">
        <f t="shared" si="205"/>
        <v>0</v>
      </c>
      <c r="AG137" s="117">
        <f t="shared" si="205"/>
        <v>0</v>
      </c>
      <c r="AH137" s="119">
        <f t="shared" si="205"/>
        <v>0</v>
      </c>
      <c r="AI137" s="194">
        <f t="shared" si="205"/>
        <v>0</v>
      </c>
      <c r="AJ137" s="117">
        <f t="shared" si="205"/>
        <v>0</v>
      </c>
      <c r="AK137" s="118">
        <f t="shared" si="205"/>
        <v>0</v>
      </c>
      <c r="AL137" s="116">
        <f t="shared" si="205"/>
        <v>0</v>
      </c>
      <c r="AM137" s="117">
        <f t="shared" si="205"/>
        <v>0</v>
      </c>
      <c r="AN137" s="119">
        <f t="shared" si="205"/>
        <v>0</v>
      </c>
      <c r="AO137" s="194">
        <f t="shared" ref="AO137:BZ137" si="206">+AO30+AO66+AO102</f>
        <v>0</v>
      </c>
      <c r="AP137" s="117">
        <f t="shared" si="206"/>
        <v>0</v>
      </c>
      <c r="AQ137" s="118">
        <f t="shared" si="206"/>
        <v>0</v>
      </c>
      <c r="AR137" s="116">
        <f t="shared" si="206"/>
        <v>0</v>
      </c>
      <c r="AS137" s="117">
        <f t="shared" si="206"/>
        <v>0</v>
      </c>
      <c r="AT137" s="119">
        <f t="shared" si="206"/>
        <v>0</v>
      </c>
      <c r="AU137" s="194">
        <f t="shared" si="206"/>
        <v>0</v>
      </c>
      <c r="AV137" s="117">
        <f t="shared" si="206"/>
        <v>0</v>
      </c>
      <c r="AW137" s="118">
        <f t="shared" si="206"/>
        <v>0</v>
      </c>
      <c r="AX137" s="116">
        <f t="shared" si="206"/>
        <v>0</v>
      </c>
      <c r="AY137" s="117">
        <f t="shared" si="206"/>
        <v>0</v>
      </c>
      <c r="AZ137" s="119">
        <f t="shared" si="206"/>
        <v>0</v>
      </c>
      <c r="BA137" s="194">
        <f t="shared" si="206"/>
        <v>0</v>
      </c>
      <c r="BB137" s="117">
        <f t="shared" si="206"/>
        <v>0</v>
      </c>
      <c r="BC137" s="118">
        <f t="shared" si="206"/>
        <v>0</v>
      </c>
      <c r="BD137" s="116">
        <f t="shared" si="206"/>
        <v>0</v>
      </c>
      <c r="BE137" s="117">
        <f t="shared" si="206"/>
        <v>0</v>
      </c>
      <c r="BF137" s="119">
        <f t="shared" si="206"/>
        <v>0</v>
      </c>
      <c r="BG137" s="194">
        <f t="shared" si="206"/>
        <v>0</v>
      </c>
      <c r="BH137" s="117">
        <f t="shared" si="206"/>
        <v>0</v>
      </c>
      <c r="BI137" s="118">
        <f t="shared" si="206"/>
        <v>0</v>
      </c>
      <c r="BJ137" s="116">
        <f t="shared" si="206"/>
        <v>0</v>
      </c>
      <c r="BK137" s="117">
        <f t="shared" si="206"/>
        <v>0</v>
      </c>
      <c r="BL137" s="119">
        <f t="shared" si="206"/>
        <v>0</v>
      </c>
      <c r="BM137" s="194">
        <f t="shared" si="206"/>
        <v>0</v>
      </c>
      <c r="BN137" s="117">
        <f t="shared" si="206"/>
        <v>0</v>
      </c>
      <c r="BO137" s="118">
        <f t="shared" si="206"/>
        <v>0</v>
      </c>
      <c r="BP137" s="116">
        <f t="shared" si="206"/>
        <v>0</v>
      </c>
      <c r="BQ137" s="117">
        <f t="shared" si="206"/>
        <v>0</v>
      </c>
      <c r="BR137" s="119">
        <f t="shared" si="206"/>
        <v>0</v>
      </c>
      <c r="BS137" s="194">
        <f t="shared" si="206"/>
        <v>0</v>
      </c>
      <c r="BT137" s="117">
        <f t="shared" si="206"/>
        <v>0</v>
      </c>
      <c r="BU137" s="118">
        <f t="shared" si="206"/>
        <v>0</v>
      </c>
      <c r="BV137" s="116">
        <f t="shared" si="206"/>
        <v>0</v>
      </c>
      <c r="BW137" s="117">
        <f t="shared" si="206"/>
        <v>0</v>
      </c>
      <c r="BX137" s="119">
        <f t="shared" si="206"/>
        <v>0</v>
      </c>
      <c r="BY137" s="194">
        <f t="shared" si="206"/>
        <v>0</v>
      </c>
      <c r="BZ137" s="117">
        <f t="shared" si="206"/>
        <v>0</v>
      </c>
      <c r="CA137" s="118">
        <f t="shared" ref="CA137:DB137" si="207">+CA30+CA66+CA102</f>
        <v>0</v>
      </c>
      <c r="CB137" s="116">
        <f t="shared" si="207"/>
        <v>0</v>
      </c>
      <c r="CC137" s="117">
        <f t="shared" si="207"/>
        <v>0</v>
      </c>
      <c r="CD137" s="119">
        <f t="shared" si="207"/>
        <v>0</v>
      </c>
      <c r="CE137" s="194">
        <f t="shared" si="207"/>
        <v>0</v>
      </c>
      <c r="CF137" s="117">
        <f t="shared" si="207"/>
        <v>0</v>
      </c>
      <c r="CG137" s="118">
        <f t="shared" si="207"/>
        <v>0</v>
      </c>
      <c r="CH137" s="116">
        <f t="shared" si="207"/>
        <v>0</v>
      </c>
      <c r="CI137" s="117">
        <f t="shared" si="207"/>
        <v>0</v>
      </c>
      <c r="CJ137" s="118">
        <f t="shared" si="207"/>
        <v>0</v>
      </c>
      <c r="CK137" s="241">
        <f t="shared" si="207"/>
        <v>0</v>
      </c>
      <c r="CL137" s="43">
        <f t="shared" si="207"/>
        <v>0</v>
      </c>
      <c r="CM137" s="289">
        <f t="shared" si="207"/>
        <v>0</v>
      </c>
      <c r="CN137" s="241">
        <f t="shared" si="207"/>
        <v>0</v>
      </c>
      <c r="CO137" s="43">
        <f t="shared" si="207"/>
        <v>0</v>
      </c>
      <c r="CP137" s="57">
        <f t="shared" si="207"/>
        <v>0</v>
      </c>
      <c r="CQ137" s="194">
        <f t="shared" ref="CQ137:CY137" si="208">+CQ30+CQ66+CQ102</f>
        <v>0</v>
      </c>
      <c r="CR137" s="117">
        <f t="shared" si="208"/>
        <v>0</v>
      </c>
      <c r="CS137" s="119">
        <f t="shared" si="208"/>
        <v>0</v>
      </c>
      <c r="CT137" s="194">
        <f t="shared" si="208"/>
        <v>0</v>
      </c>
      <c r="CU137" s="117">
        <f t="shared" si="208"/>
        <v>0</v>
      </c>
      <c r="CV137" s="119">
        <f t="shared" si="208"/>
        <v>0</v>
      </c>
      <c r="CW137" s="194">
        <f t="shared" si="208"/>
        <v>0</v>
      </c>
      <c r="CX137" s="117">
        <f t="shared" si="208"/>
        <v>0</v>
      </c>
      <c r="CY137" s="119">
        <f t="shared" si="208"/>
        <v>0</v>
      </c>
      <c r="CZ137" s="194">
        <f t="shared" si="207"/>
        <v>0</v>
      </c>
      <c r="DA137" s="117">
        <f t="shared" si="207"/>
        <v>0</v>
      </c>
      <c r="DB137" s="119">
        <f t="shared" si="207"/>
        <v>0</v>
      </c>
      <c r="DC137" s="380">
        <f t="shared" si="120"/>
        <v>0</v>
      </c>
      <c r="DD137" s="381">
        <f t="shared" si="121"/>
        <v>0</v>
      </c>
      <c r="DE137" s="381">
        <f t="shared" si="122"/>
        <v>0</v>
      </c>
      <c r="DF137" s="145">
        <f t="shared" si="115"/>
        <v>0</v>
      </c>
    </row>
    <row r="138" spans="1:110">
      <c r="A138" s="240">
        <v>24</v>
      </c>
      <c r="B138" s="116">
        <f t="shared" ref="B138:AN138" si="209">+B31+B67+B103</f>
        <v>0</v>
      </c>
      <c r="C138" s="117">
        <f t="shared" si="209"/>
        <v>0</v>
      </c>
      <c r="D138" s="119">
        <f t="shared" si="209"/>
        <v>0</v>
      </c>
      <c r="E138" s="194">
        <f t="shared" si="209"/>
        <v>0</v>
      </c>
      <c r="F138" s="117">
        <f t="shared" si="209"/>
        <v>0</v>
      </c>
      <c r="G138" s="118">
        <f t="shared" si="209"/>
        <v>0</v>
      </c>
      <c r="H138" s="116">
        <f t="shared" si="209"/>
        <v>0</v>
      </c>
      <c r="I138" s="117">
        <f t="shared" si="209"/>
        <v>0</v>
      </c>
      <c r="J138" s="119">
        <f t="shared" si="209"/>
        <v>0</v>
      </c>
      <c r="K138" s="194">
        <f t="shared" si="209"/>
        <v>0</v>
      </c>
      <c r="L138" s="117">
        <f t="shared" si="209"/>
        <v>0</v>
      </c>
      <c r="M138" s="118">
        <f t="shared" si="209"/>
        <v>0</v>
      </c>
      <c r="N138" s="116">
        <f t="shared" si="209"/>
        <v>0</v>
      </c>
      <c r="O138" s="117">
        <f t="shared" si="209"/>
        <v>0</v>
      </c>
      <c r="P138" s="119">
        <f t="shared" si="209"/>
        <v>0</v>
      </c>
      <c r="Q138" s="194">
        <f t="shared" si="209"/>
        <v>0</v>
      </c>
      <c r="R138" s="117">
        <f t="shared" si="209"/>
        <v>0</v>
      </c>
      <c r="S138" s="118">
        <f t="shared" si="209"/>
        <v>0</v>
      </c>
      <c r="T138" s="116">
        <f t="shared" si="209"/>
        <v>0</v>
      </c>
      <c r="U138" s="117">
        <f t="shared" si="209"/>
        <v>0</v>
      </c>
      <c r="V138" s="119">
        <f t="shared" si="209"/>
        <v>0</v>
      </c>
      <c r="W138" s="194">
        <f t="shared" si="209"/>
        <v>0</v>
      </c>
      <c r="X138" s="117">
        <f t="shared" si="209"/>
        <v>0</v>
      </c>
      <c r="Y138" s="118">
        <f t="shared" si="209"/>
        <v>0</v>
      </c>
      <c r="Z138" s="116">
        <f t="shared" si="209"/>
        <v>0</v>
      </c>
      <c r="AA138" s="117">
        <f t="shared" si="209"/>
        <v>0</v>
      </c>
      <c r="AB138" s="119">
        <f t="shared" si="209"/>
        <v>0</v>
      </c>
      <c r="AC138" s="194">
        <f t="shared" si="209"/>
        <v>0</v>
      </c>
      <c r="AD138" s="117">
        <f t="shared" si="209"/>
        <v>0</v>
      </c>
      <c r="AE138" s="118">
        <f t="shared" si="209"/>
        <v>0</v>
      </c>
      <c r="AF138" s="116">
        <f t="shared" si="209"/>
        <v>0</v>
      </c>
      <c r="AG138" s="117">
        <f t="shared" si="209"/>
        <v>0</v>
      </c>
      <c r="AH138" s="119">
        <f t="shared" si="209"/>
        <v>0</v>
      </c>
      <c r="AI138" s="194">
        <f t="shared" si="209"/>
        <v>0</v>
      </c>
      <c r="AJ138" s="117">
        <f t="shared" si="209"/>
        <v>0</v>
      </c>
      <c r="AK138" s="118">
        <f t="shared" si="209"/>
        <v>0</v>
      </c>
      <c r="AL138" s="116">
        <f t="shared" si="209"/>
        <v>0</v>
      </c>
      <c r="AM138" s="117">
        <f t="shared" si="209"/>
        <v>0</v>
      </c>
      <c r="AN138" s="119">
        <f t="shared" si="209"/>
        <v>0</v>
      </c>
      <c r="AO138" s="194">
        <f t="shared" ref="AO138:BZ138" si="210">+AO31+AO67+AO103</f>
        <v>0</v>
      </c>
      <c r="AP138" s="117">
        <f t="shared" si="210"/>
        <v>0</v>
      </c>
      <c r="AQ138" s="118">
        <f t="shared" si="210"/>
        <v>0</v>
      </c>
      <c r="AR138" s="116">
        <f t="shared" si="210"/>
        <v>0</v>
      </c>
      <c r="AS138" s="117">
        <f t="shared" si="210"/>
        <v>0</v>
      </c>
      <c r="AT138" s="119">
        <f t="shared" si="210"/>
        <v>0</v>
      </c>
      <c r="AU138" s="194">
        <f t="shared" si="210"/>
        <v>0</v>
      </c>
      <c r="AV138" s="117">
        <f t="shared" si="210"/>
        <v>0</v>
      </c>
      <c r="AW138" s="118">
        <f t="shared" si="210"/>
        <v>0</v>
      </c>
      <c r="AX138" s="116">
        <f t="shared" si="210"/>
        <v>0</v>
      </c>
      <c r="AY138" s="117">
        <f t="shared" si="210"/>
        <v>0</v>
      </c>
      <c r="AZ138" s="119">
        <f t="shared" si="210"/>
        <v>0</v>
      </c>
      <c r="BA138" s="194">
        <f t="shared" si="210"/>
        <v>0</v>
      </c>
      <c r="BB138" s="117">
        <f t="shared" si="210"/>
        <v>0</v>
      </c>
      <c r="BC138" s="118">
        <f t="shared" si="210"/>
        <v>0</v>
      </c>
      <c r="BD138" s="116">
        <f t="shared" si="210"/>
        <v>0</v>
      </c>
      <c r="BE138" s="117">
        <f t="shared" si="210"/>
        <v>0</v>
      </c>
      <c r="BF138" s="119">
        <f t="shared" si="210"/>
        <v>0</v>
      </c>
      <c r="BG138" s="194">
        <f t="shared" si="210"/>
        <v>0</v>
      </c>
      <c r="BH138" s="117">
        <f t="shared" si="210"/>
        <v>0</v>
      </c>
      <c r="BI138" s="118">
        <f t="shared" si="210"/>
        <v>0</v>
      </c>
      <c r="BJ138" s="116">
        <f t="shared" si="210"/>
        <v>0</v>
      </c>
      <c r="BK138" s="117">
        <f t="shared" si="210"/>
        <v>0</v>
      </c>
      <c r="BL138" s="119">
        <f t="shared" si="210"/>
        <v>0</v>
      </c>
      <c r="BM138" s="194">
        <f t="shared" si="210"/>
        <v>0</v>
      </c>
      <c r="BN138" s="117">
        <f t="shared" si="210"/>
        <v>0</v>
      </c>
      <c r="BO138" s="118">
        <f t="shared" si="210"/>
        <v>0</v>
      </c>
      <c r="BP138" s="116">
        <f t="shared" si="210"/>
        <v>0</v>
      </c>
      <c r="BQ138" s="117">
        <f t="shared" si="210"/>
        <v>0</v>
      </c>
      <c r="BR138" s="119">
        <f t="shared" si="210"/>
        <v>0</v>
      </c>
      <c r="BS138" s="194">
        <f t="shared" si="210"/>
        <v>0</v>
      </c>
      <c r="BT138" s="117">
        <f t="shared" si="210"/>
        <v>0</v>
      </c>
      <c r="BU138" s="118">
        <f t="shared" si="210"/>
        <v>0</v>
      </c>
      <c r="BV138" s="116">
        <f t="shared" si="210"/>
        <v>0</v>
      </c>
      <c r="BW138" s="117">
        <f t="shared" si="210"/>
        <v>0</v>
      </c>
      <c r="BX138" s="119">
        <f t="shared" si="210"/>
        <v>0</v>
      </c>
      <c r="BY138" s="194">
        <f t="shared" si="210"/>
        <v>0</v>
      </c>
      <c r="BZ138" s="117">
        <f t="shared" si="210"/>
        <v>0</v>
      </c>
      <c r="CA138" s="118">
        <f t="shared" ref="CA138:DB138" si="211">+CA31+CA67+CA103</f>
        <v>0</v>
      </c>
      <c r="CB138" s="116">
        <f t="shared" si="211"/>
        <v>0</v>
      </c>
      <c r="CC138" s="117">
        <f t="shared" si="211"/>
        <v>0</v>
      </c>
      <c r="CD138" s="119">
        <f t="shared" si="211"/>
        <v>0</v>
      </c>
      <c r="CE138" s="194">
        <f t="shared" si="211"/>
        <v>0</v>
      </c>
      <c r="CF138" s="117">
        <f t="shared" si="211"/>
        <v>0</v>
      </c>
      <c r="CG138" s="118">
        <f t="shared" si="211"/>
        <v>0</v>
      </c>
      <c r="CH138" s="116">
        <f t="shared" si="211"/>
        <v>0</v>
      </c>
      <c r="CI138" s="117">
        <f t="shared" si="211"/>
        <v>0</v>
      </c>
      <c r="CJ138" s="118">
        <f t="shared" si="211"/>
        <v>0</v>
      </c>
      <c r="CK138" s="241">
        <f t="shared" si="211"/>
        <v>0</v>
      </c>
      <c r="CL138" s="43">
        <f t="shared" si="211"/>
        <v>0</v>
      </c>
      <c r="CM138" s="289">
        <f t="shared" si="211"/>
        <v>0</v>
      </c>
      <c r="CN138" s="241">
        <f t="shared" si="211"/>
        <v>0</v>
      </c>
      <c r="CO138" s="43">
        <f t="shared" si="211"/>
        <v>0</v>
      </c>
      <c r="CP138" s="57">
        <f t="shared" si="211"/>
        <v>0</v>
      </c>
      <c r="CQ138" s="194">
        <f t="shared" ref="CQ138:CY138" si="212">+CQ31+CQ67+CQ103</f>
        <v>0</v>
      </c>
      <c r="CR138" s="117">
        <f t="shared" si="212"/>
        <v>0</v>
      </c>
      <c r="CS138" s="119">
        <f t="shared" si="212"/>
        <v>0</v>
      </c>
      <c r="CT138" s="194">
        <f t="shared" si="212"/>
        <v>0</v>
      </c>
      <c r="CU138" s="117">
        <f t="shared" si="212"/>
        <v>0</v>
      </c>
      <c r="CV138" s="119">
        <f t="shared" si="212"/>
        <v>0</v>
      </c>
      <c r="CW138" s="194">
        <f t="shared" si="212"/>
        <v>0</v>
      </c>
      <c r="CX138" s="117">
        <f t="shared" si="212"/>
        <v>0</v>
      </c>
      <c r="CY138" s="119">
        <f t="shared" si="212"/>
        <v>0</v>
      </c>
      <c r="CZ138" s="194">
        <f t="shared" si="211"/>
        <v>0</v>
      </c>
      <c r="DA138" s="117">
        <f t="shared" si="211"/>
        <v>0</v>
      </c>
      <c r="DB138" s="119">
        <f t="shared" si="211"/>
        <v>0</v>
      </c>
      <c r="DC138" s="380">
        <f t="shared" si="120"/>
        <v>0</v>
      </c>
      <c r="DD138" s="381">
        <f t="shared" si="121"/>
        <v>0</v>
      </c>
      <c r="DE138" s="381">
        <f t="shared" si="122"/>
        <v>0</v>
      </c>
      <c r="DF138" s="145">
        <f t="shared" si="115"/>
        <v>0</v>
      </c>
    </row>
    <row r="139" spans="1:110">
      <c r="A139" s="365">
        <v>25</v>
      </c>
      <c r="B139" s="116">
        <f t="shared" ref="B139:AN139" si="213">+B32+B68+B104</f>
        <v>0</v>
      </c>
      <c r="C139" s="117">
        <f t="shared" si="213"/>
        <v>0</v>
      </c>
      <c r="D139" s="119">
        <f t="shared" si="213"/>
        <v>0</v>
      </c>
      <c r="E139" s="194">
        <f t="shared" si="213"/>
        <v>0</v>
      </c>
      <c r="F139" s="117">
        <f t="shared" si="213"/>
        <v>0</v>
      </c>
      <c r="G139" s="118">
        <f t="shared" si="213"/>
        <v>0</v>
      </c>
      <c r="H139" s="116">
        <f t="shared" si="213"/>
        <v>0</v>
      </c>
      <c r="I139" s="117">
        <f t="shared" si="213"/>
        <v>0</v>
      </c>
      <c r="J139" s="119">
        <f t="shared" si="213"/>
        <v>0</v>
      </c>
      <c r="K139" s="194">
        <f t="shared" si="213"/>
        <v>0</v>
      </c>
      <c r="L139" s="117">
        <f t="shared" si="213"/>
        <v>0</v>
      </c>
      <c r="M139" s="118">
        <f t="shared" si="213"/>
        <v>0</v>
      </c>
      <c r="N139" s="116">
        <f t="shared" si="213"/>
        <v>0</v>
      </c>
      <c r="O139" s="117">
        <f t="shared" si="213"/>
        <v>0</v>
      </c>
      <c r="P139" s="119">
        <f t="shared" si="213"/>
        <v>0</v>
      </c>
      <c r="Q139" s="194">
        <f t="shared" si="213"/>
        <v>0</v>
      </c>
      <c r="R139" s="117">
        <f t="shared" si="213"/>
        <v>0</v>
      </c>
      <c r="S139" s="118">
        <f t="shared" si="213"/>
        <v>0</v>
      </c>
      <c r="T139" s="116">
        <f t="shared" si="213"/>
        <v>0</v>
      </c>
      <c r="U139" s="117">
        <f t="shared" si="213"/>
        <v>0</v>
      </c>
      <c r="V139" s="119">
        <f t="shared" si="213"/>
        <v>0</v>
      </c>
      <c r="W139" s="194">
        <f t="shared" si="213"/>
        <v>0</v>
      </c>
      <c r="X139" s="117">
        <f t="shared" si="213"/>
        <v>0</v>
      </c>
      <c r="Y139" s="118">
        <f t="shared" si="213"/>
        <v>0</v>
      </c>
      <c r="Z139" s="116">
        <f t="shared" si="213"/>
        <v>0</v>
      </c>
      <c r="AA139" s="117">
        <f t="shared" si="213"/>
        <v>0</v>
      </c>
      <c r="AB139" s="119">
        <f t="shared" si="213"/>
        <v>0</v>
      </c>
      <c r="AC139" s="194">
        <f t="shared" si="213"/>
        <v>0</v>
      </c>
      <c r="AD139" s="117">
        <f t="shared" si="213"/>
        <v>0</v>
      </c>
      <c r="AE139" s="118">
        <f t="shared" si="213"/>
        <v>0</v>
      </c>
      <c r="AF139" s="116">
        <f t="shared" si="213"/>
        <v>0</v>
      </c>
      <c r="AG139" s="117">
        <f t="shared" si="213"/>
        <v>0</v>
      </c>
      <c r="AH139" s="119">
        <f t="shared" si="213"/>
        <v>0</v>
      </c>
      <c r="AI139" s="194">
        <f t="shared" si="213"/>
        <v>0</v>
      </c>
      <c r="AJ139" s="117">
        <f t="shared" si="213"/>
        <v>0</v>
      </c>
      <c r="AK139" s="118">
        <f t="shared" si="213"/>
        <v>0</v>
      </c>
      <c r="AL139" s="116">
        <f t="shared" si="213"/>
        <v>0</v>
      </c>
      <c r="AM139" s="117">
        <f t="shared" si="213"/>
        <v>0</v>
      </c>
      <c r="AN139" s="119">
        <f t="shared" si="213"/>
        <v>0</v>
      </c>
      <c r="AO139" s="194">
        <f t="shared" ref="AO139:BZ139" si="214">+AO32+AO68+AO104</f>
        <v>0</v>
      </c>
      <c r="AP139" s="117">
        <f t="shared" si="214"/>
        <v>0</v>
      </c>
      <c r="AQ139" s="118">
        <f t="shared" si="214"/>
        <v>0</v>
      </c>
      <c r="AR139" s="116">
        <f t="shared" si="214"/>
        <v>0</v>
      </c>
      <c r="AS139" s="117">
        <f t="shared" si="214"/>
        <v>0</v>
      </c>
      <c r="AT139" s="119">
        <f t="shared" si="214"/>
        <v>0</v>
      </c>
      <c r="AU139" s="194">
        <f t="shared" si="214"/>
        <v>0</v>
      </c>
      <c r="AV139" s="117">
        <f t="shared" si="214"/>
        <v>0</v>
      </c>
      <c r="AW139" s="118">
        <f t="shared" si="214"/>
        <v>0</v>
      </c>
      <c r="AX139" s="116">
        <f t="shared" si="214"/>
        <v>0</v>
      </c>
      <c r="AY139" s="117">
        <f t="shared" si="214"/>
        <v>0</v>
      </c>
      <c r="AZ139" s="119">
        <f t="shared" si="214"/>
        <v>0</v>
      </c>
      <c r="BA139" s="194">
        <f t="shared" si="214"/>
        <v>0</v>
      </c>
      <c r="BB139" s="117">
        <f t="shared" si="214"/>
        <v>0</v>
      </c>
      <c r="BC139" s="118">
        <f t="shared" si="214"/>
        <v>0</v>
      </c>
      <c r="BD139" s="116">
        <f t="shared" si="214"/>
        <v>0</v>
      </c>
      <c r="BE139" s="117">
        <f t="shared" si="214"/>
        <v>0</v>
      </c>
      <c r="BF139" s="119">
        <f t="shared" si="214"/>
        <v>0</v>
      </c>
      <c r="BG139" s="194">
        <f t="shared" si="214"/>
        <v>0</v>
      </c>
      <c r="BH139" s="117">
        <f t="shared" si="214"/>
        <v>0</v>
      </c>
      <c r="BI139" s="118">
        <f t="shared" si="214"/>
        <v>0</v>
      </c>
      <c r="BJ139" s="116">
        <f t="shared" si="214"/>
        <v>0</v>
      </c>
      <c r="BK139" s="117">
        <f t="shared" si="214"/>
        <v>0</v>
      </c>
      <c r="BL139" s="119">
        <f t="shared" si="214"/>
        <v>0</v>
      </c>
      <c r="BM139" s="194">
        <f t="shared" si="214"/>
        <v>0</v>
      </c>
      <c r="BN139" s="117">
        <f t="shared" si="214"/>
        <v>0</v>
      </c>
      <c r="BO139" s="118">
        <f t="shared" si="214"/>
        <v>0</v>
      </c>
      <c r="BP139" s="116">
        <f t="shared" si="214"/>
        <v>0</v>
      </c>
      <c r="BQ139" s="117">
        <f t="shared" si="214"/>
        <v>0</v>
      </c>
      <c r="BR139" s="119">
        <f t="shared" si="214"/>
        <v>0</v>
      </c>
      <c r="BS139" s="194">
        <f t="shared" si="214"/>
        <v>0</v>
      </c>
      <c r="BT139" s="117">
        <f t="shared" si="214"/>
        <v>0</v>
      </c>
      <c r="BU139" s="118">
        <f t="shared" si="214"/>
        <v>0</v>
      </c>
      <c r="BV139" s="116">
        <f t="shared" si="214"/>
        <v>0</v>
      </c>
      <c r="BW139" s="117">
        <f t="shared" si="214"/>
        <v>0</v>
      </c>
      <c r="BX139" s="119">
        <f t="shared" si="214"/>
        <v>0</v>
      </c>
      <c r="BY139" s="194">
        <f t="shared" si="214"/>
        <v>0</v>
      </c>
      <c r="BZ139" s="117">
        <f t="shared" si="214"/>
        <v>0</v>
      </c>
      <c r="CA139" s="118">
        <f t="shared" ref="CA139:DB139" si="215">+CA32+CA68+CA104</f>
        <v>0</v>
      </c>
      <c r="CB139" s="116">
        <f t="shared" si="215"/>
        <v>0</v>
      </c>
      <c r="CC139" s="117">
        <f t="shared" si="215"/>
        <v>0</v>
      </c>
      <c r="CD139" s="119">
        <f t="shared" si="215"/>
        <v>0</v>
      </c>
      <c r="CE139" s="194">
        <f t="shared" si="215"/>
        <v>0</v>
      </c>
      <c r="CF139" s="117">
        <f t="shared" si="215"/>
        <v>0</v>
      </c>
      <c r="CG139" s="118">
        <f t="shared" si="215"/>
        <v>0</v>
      </c>
      <c r="CH139" s="116">
        <f t="shared" si="215"/>
        <v>0</v>
      </c>
      <c r="CI139" s="117">
        <f t="shared" si="215"/>
        <v>0</v>
      </c>
      <c r="CJ139" s="118">
        <f t="shared" si="215"/>
        <v>0</v>
      </c>
      <c r="CK139" s="241">
        <f t="shared" si="215"/>
        <v>0</v>
      </c>
      <c r="CL139" s="43">
        <f t="shared" si="215"/>
        <v>0</v>
      </c>
      <c r="CM139" s="289">
        <f t="shared" si="215"/>
        <v>0</v>
      </c>
      <c r="CN139" s="241">
        <f t="shared" si="215"/>
        <v>0</v>
      </c>
      <c r="CO139" s="43">
        <f t="shared" si="215"/>
        <v>0</v>
      </c>
      <c r="CP139" s="57">
        <f t="shared" si="215"/>
        <v>0</v>
      </c>
      <c r="CQ139" s="194">
        <f t="shared" ref="CQ139:CY139" si="216">+CQ32+CQ68+CQ104</f>
        <v>0</v>
      </c>
      <c r="CR139" s="117">
        <f t="shared" si="216"/>
        <v>0</v>
      </c>
      <c r="CS139" s="119">
        <f t="shared" si="216"/>
        <v>0</v>
      </c>
      <c r="CT139" s="194">
        <f t="shared" si="216"/>
        <v>0</v>
      </c>
      <c r="CU139" s="117">
        <f t="shared" si="216"/>
        <v>0</v>
      </c>
      <c r="CV139" s="119">
        <f t="shared" si="216"/>
        <v>0</v>
      </c>
      <c r="CW139" s="194">
        <f t="shared" si="216"/>
        <v>0</v>
      </c>
      <c r="CX139" s="117">
        <f t="shared" si="216"/>
        <v>0</v>
      </c>
      <c r="CY139" s="119">
        <f t="shared" si="216"/>
        <v>0</v>
      </c>
      <c r="CZ139" s="194">
        <f t="shared" si="215"/>
        <v>0</v>
      </c>
      <c r="DA139" s="117">
        <f t="shared" si="215"/>
        <v>0</v>
      </c>
      <c r="DB139" s="119">
        <f t="shared" si="215"/>
        <v>0</v>
      </c>
      <c r="DC139" s="380">
        <f t="shared" si="120"/>
        <v>0</v>
      </c>
      <c r="DD139" s="381">
        <f t="shared" si="121"/>
        <v>0</v>
      </c>
      <c r="DE139" s="381">
        <f t="shared" si="122"/>
        <v>0</v>
      </c>
      <c r="DF139" s="145">
        <f t="shared" si="115"/>
        <v>0</v>
      </c>
    </row>
    <row r="140" spans="1:110">
      <c r="A140" s="240">
        <v>26</v>
      </c>
      <c r="B140" s="116">
        <f t="shared" ref="B140:AN140" si="217">+B33+B69+B105</f>
        <v>0</v>
      </c>
      <c r="C140" s="117">
        <f t="shared" si="217"/>
        <v>0</v>
      </c>
      <c r="D140" s="119">
        <f t="shared" si="217"/>
        <v>0</v>
      </c>
      <c r="E140" s="194">
        <f t="shared" si="217"/>
        <v>0</v>
      </c>
      <c r="F140" s="117">
        <f t="shared" si="217"/>
        <v>0</v>
      </c>
      <c r="G140" s="118">
        <f t="shared" si="217"/>
        <v>0</v>
      </c>
      <c r="H140" s="116">
        <f t="shared" si="217"/>
        <v>0</v>
      </c>
      <c r="I140" s="117">
        <f t="shared" si="217"/>
        <v>0</v>
      </c>
      <c r="J140" s="119">
        <f t="shared" si="217"/>
        <v>0</v>
      </c>
      <c r="K140" s="194">
        <f t="shared" si="217"/>
        <v>0</v>
      </c>
      <c r="L140" s="117">
        <f t="shared" si="217"/>
        <v>0</v>
      </c>
      <c r="M140" s="118">
        <f t="shared" si="217"/>
        <v>0</v>
      </c>
      <c r="N140" s="116">
        <f t="shared" si="217"/>
        <v>0</v>
      </c>
      <c r="O140" s="117">
        <f t="shared" si="217"/>
        <v>0</v>
      </c>
      <c r="P140" s="119">
        <f t="shared" si="217"/>
        <v>0</v>
      </c>
      <c r="Q140" s="194">
        <f t="shared" si="217"/>
        <v>0</v>
      </c>
      <c r="R140" s="117">
        <f t="shared" si="217"/>
        <v>0</v>
      </c>
      <c r="S140" s="118">
        <f t="shared" si="217"/>
        <v>0</v>
      </c>
      <c r="T140" s="116">
        <f t="shared" si="217"/>
        <v>0</v>
      </c>
      <c r="U140" s="117">
        <f t="shared" si="217"/>
        <v>0</v>
      </c>
      <c r="V140" s="119">
        <f t="shared" si="217"/>
        <v>0</v>
      </c>
      <c r="W140" s="194">
        <f t="shared" si="217"/>
        <v>0</v>
      </c>
      <c r="X140" s="117">
        <f t="shared" si="217"/>
        <v>0</v>
      </c>
      <c r="Y140" s="118">
        <f t="shared" si="217"/>
        <v>0</v>
      </c>
      <c r="Z140" s="116">
        <f t="shared" si="217"/>
        <v>0</v>
      </c>
      <c r="AA140" s="117">
        <f t="shared" si="217"/>
        <v>0</v>
      </c>
      <c r="AB140" s="119">
        <f t="shared" si="217"/>
        <v>0</v>
      </c>
      <c r="AC140" s="194">
        <f t="shared" si="217"/>
        <v>0</v>
      </c>
      <c r="AD140" s="117">
        <f t="shared" si="217"/>
        <v>0</v>
      </c>
      <c r="AE140" s="118">
        <f t="shared" si="217"/>
        <v>0</v>
      </c>
      <c r="AF140" s="116">
        <f t="shared" si="217"/>
        <v>0</v>
      </c>
      <c r="AG140" s="117">
        <f t="shared" si="217"/>
        <v>0</v>
      </c>
      <c r="AH140" s="119">
        <f t="shared" si="217"/>
        <v>0</v>
      </c>
      <c r="AI140" s="194">
        <f t="shared" si="217"/>
        <v>0</v>
      </c>
      <c r="AJ140" s="117">
        <f t="shared" si="217"/>
        <v>0</v>
      </c>
      <c r="AK140" s="118">
        <f t="shared" si="217"/>
        <v>0</v>
      </c>
      <c r="AL140" s="116">
        <f t="shared" si="217"/>
        <v>0</v>
      </c>
      <c r="AM140" s="117">
        <f t="shared" si="217"/>
        <v>0</v>
      </c>
      <c r="AN140" s="119">
        <f t="shared" si="217"/>
        <v>0</v>
      </c>
      <c r="AO140" s="194">
        <f t="shared" ref="AO140:BZ140" si="218">+AO33+AO69+AO105</f>
        <v>0</v>
      </c>
      <c r="AP140" s="117">
        <f t="shared" si="218"/>
        <v>0</v>
      </c>
      <c r="AQ140" s="118">
        <f t="shared" si="218"/>
        <v>0</v>
      </c>
      <c r="AR140" s="116">
        <f t="shared" si="218"/>
        <v>0</v>
      </c>
      <c r="AS140" s="117">
        <f t="shared" si="218"/>
        <v>0</v>
      </c>
      <c r="AT140" s="119">
        <f t="shared" si="218"/>
        <v>0</v>
      </c>
      <c r="AU140" s="194">
        <f t="shared" si="218"/>
        <v>0</v>
      </c>
      <c r="AV140" s="117">
        <f t="shared" si="218"/>
        <v>0</v>
      </c>
      <c r="AW140" s="118">
        <f t="shared" si="218"/>
        <v>0</v>
      </c>
      <c r="AX140" s="116">
        <f t="shared" si="218"/>
        <v>0</v>
      </c>
      <c r="AY140" s="117">
        <f t="shared" si="218"/>
        <v>0</v>
      </c>
      <c r="AZ140" s="119">
        <f t="shared" si="218"/>
        <v>0</v>
      </c>
      <c r="BA140" s="194">
        <f t="shared" si="218"/>
        <v>0</v>
      </c>
      <c r="BB140" s="117">
        <f t="shared" si="218"/>
        <v>0</v>
      </c>
      <c r="BC140" s="118">
        <f t="shared" si="218"/>
        <v>0</v>
      </c>
      <c r="BD140" s="116">
        <f t="shared" si="218"/>
        <v>0</v>
      </c>
      <c r="BE140" s="117">
        <f t="shared" si="218"/>
        <v>0</v>
      </c>
      <c r="BF140" s="119">
        <f t="shared" si="218"/>
        <v>0</v>
      </c>
      <c r="BG140" s="194">
        <f t="shared" si="218"/>
        <v>0</v>
      </c>
      <c r="BH140" s="117">
        <f t="shared" si="218"/>
        <v>0</v>
      </c>
      <c r="BI140" s="118">
        <f t="shared" si="218"/>
        <v>0</v>
      </c>
      <c r="BJ140" s="116">
        <f t="shared" si="218"/>
        <v>0</v>
      </c>
      <c r="BK140" s="117">
        <f t="shared" si="218"/>
        <v>0</v>
      </c>
      <c r="BL140" s="119">
        <f t="shared" si="218"/>
        <v>0</v>
      </c>
      <c r="BM140" s="194">
        <f t="shared" si="218"/>
        <v>0</v>
      </c>
      <c r="BN140" s="117">
        <f t="shared" si="218"/>
        <v>0</v>
      </c>
      <c r="BO140" s="118">
        <f t="shared" si="218"/>
        <v>0</v>
      </c>
      <c r="BP140" s="116">
        <f t="shared" si="218"/>
        <v>0</v>
      </c>
      <c r="BQ140" s="117">
        <f t="shared" si="218"/>
        <v>0</v>
      </c>
      <c r="BR140" s="119">
        <f t="shared" si="218"/>
        <v>0</v>
      </c>
      <c r="BS140" s="194">
        <f t="shared" si="218"/>
        <v>0</v>
      </c>
      <c r="BT140" s="117">
        <f t="shared" si="218"/>
        <v>0</v>
      </c>
      <c r="BU140" s="118">
        <f t="shared" si="218"/>
        <v>0</v>
      </c>
      <c r="BV140" s="116">
        <f t="shared" si="218"/>
        <v>0</v>
      </c>
      <c r="BW140" s="117">
        <f t="shared" si="218"/>
        <v>0</v>
      </c>
      <c r="BX140" s="119">
        <f t="shared" si="218"/>
        <v>0</v>
      </c>
      <c r="BY140" s="194">
        <f t="shared" si="218"/>
        <v>0</v>
      </c>
      <c r="BZ140" s="117">
        <f t="shared" si="218"/>
        <v>0</v>
      </c>
      <c r="CA140" s="118">
        <f t="shared" ref="CA140:DB140" si="219">+CA33+CA69+CA105</f>
        <v>0</v>
      </c>
      <c r="CB140" s="116">
        <f t="shared" si="219"/>
        <v>0</v>
      </c>
      <c r="CC140" s="117">
        <f t="shared" si="219"/>
        <v>0</v>
      </c>
      <c r="CD140" s="119">
        <f t="shared" si="219"/>
        <v>0</v>
      </c>
      <c r="CE140" s="194">
        <f t="shared" si="219"/>
        <v>0</v>
      </c>
      <c r="CF140" s="117">
        <f t="shared" si="219"/>
        <v>0</v>
      </c>
      <c r="CG140" s="118">
        <f t="shared" si="219"/>
        <v>0</v>
      </c>
      <c r="CH140" s="116">
        <f t="shared" si="219"/>
        <v>0</v>
      </c>
      <c r="CI140" s="117">
        <f t="shared" si="219"/>
        <v>0</v>
      </c>
      <c r="CJ140" s="118">
        <f t="shared" si="219"/>
        <v>0</v>
      </c>
      <c r="CK140" s="241">
        <f t="shared" si="219"/>
        <v>0</v>
      </c>
      <c r="CL140" s="43">
        <f t="shared" si="219"/>
        <v>0</v>
      </c>
      <c r="CM140" s="289">
        <f t="shared" si="219"/>
        <v>0</v>
      </c>
      <c r="CN140" s="241">
        <f t="shared" si="219"/>
        <v>0</v>
      </c>
      <c r="CO140" s="43">
        <f t="shared" si="219"/>
        <v>0</v>
      </c>
      <c r="CP140" s="57">
        <f t="shared" si="219"/>
        <v>0</v>
      </c>
      <c r="CQ140" s="194">
        <f t="shared" ref="CQ140:CY140" si="220">+CQ33+CQ69+CQ105</f>
        <v>0</v>
      </c>
      <c r="CR140" s="117">
        <f t="shared" si="220"/>
        <v>0</v>
      </c>
      <c r="CS140" s="119">
        <f t="shared" si="220"/>
        <v>0</v>
      </c>
      <c r="CT140" s="194">
        <f t="shared" si="220"/>
        <v>0</v>
      </c>
      <c r="CU140" s="117">
        <f t="shared" si="220"/>
        <v>0</v>
      </c>
      <c r="CV140" s="119">
        <f t="shared" si="220"/>
        <v>0</v>
      </c>
      <c r="CW140" s="194">
        <f t="shared" si="220"/>
        <v>0</v>
      </c>
      <c r="CX140" s="117">
        <f t="shared" si="220"/>
        <v>0</v>
      </c>
      <c r="CY140" s="119">
        <f t="shared" si="220"/>
        <v>0</v>
      </c>
      <c r="CZ140" s="194">
        <f t="shared" si="219"/>
        <v>0</v>
      </c>
      <c r="DA140" s="117">
        <f t="shared" si="219"/>
        <v>0</v>
      </c>
      <c r="DB140" s="119">
        <f t="shared" si="219"/>
        <v>0</v>
      </c>
      <c r="DC140" s="380">
        <f t="shared" si="120"/>
        <v>0</v>
      </c>
      <c r="DD140" s="381">
        <f t="shared" si="121"/>
        <v>0</v>
      </c>
      <c r="DE140" s="381">
        <f t="shared" si="122"/>
        <v>0</v>
      </c>
      <c r="DF140" s="145">
        <f t="shared" si="115"/>
        <v>0</v>
      </c>
    </row>
    <row r="141" spans="1:110">
      <c r="A141" s="240">
        <v>27</v>
      </c>
      <c r="B141" s="116">
        <f t="shared" ref="B141:AN141" si="221">+B34+B70+B106</f>
        <v>0</v>
      </c>
      <c r="C141" s="117">
        <f t="shared" si="221"/>
        <v>0</v>
      </c>
      <c r="D141" s="119">
        <f t="shared" si="221"/>
        <v>0</v>
      </c>
      <c r="E141" s="194">
        <f t="shared" si="221"/>
        <v>0</v>
      </c>
      <c r="F141" s="117">
        <f t="shared" si="221"/>
        <v>0</v>
      </c>
      <c r="G141" s="118">
        <f t="shared" si="221"/>
        <v>0</v>
      </c>
      <c r="H141" s="116">
        <f t="shared" si="221"/>
        <v>0</v>
      </c>
      <c r="I141" s="117">
        <f t="shared" si="221"/>
        <v>0</v>
      </c>
      <c r="J141" s="119">
        <f t="shared" si="221"/>
        <v>0</v>
      </c>
      <c r="K141" s="194">
        <f t="shared" si="221"/>
        <v>0</v>
      </c>
      <c r="L141" s="117">
        <f t="shared" si="221"/>
        <v>0</v>
      </c>
      <c r="M141" s="118">
        <f t="shared" si="221"/>
        <v>0</v>
      </c>
      <c r="N141" s="116">
        <f t="shared" si="221"/>
        <v>0</v>
      </c>
      <c r="O141" s="117">
        <f t="shared" si="221"/>
        <v>0</v>
      </c>
      <c r="P141" s="119">
        <f t="shared" si="221"/>
        <v>0</v>
      </c>
      <c r="Q141" s="194">
        <f t="shared" si="221"/>
        <v>0</v>
      </c>
      <c r="R141" s="117">
        <f t="shared" si="221"/>
        <v>0</v>
      </c>
      <c r="S141" s="118">
        <f t="shared" si="221"/>
        <v>0</v>
      </c>
      <c r="T141" s="116">
        <f t="shared" si="221"/>
        <v>0</v>
      </c>
      <c r="U141" s="117">
        <f t="shared" si="221"/>
        <v>0</v>
      </c>
      <c r="V141" s="119">
        <f t="shared" si="221"/>
        <v>0</v>
      </c>
      <c r="W141" s="194">
        <f t="shared" si="221"/>
        <v>0</v>
      </c>
      <c r="X141" s="117">
        <f t="shared" si="221"/>
        <v>0</v>
      </c>
      <c r="Y141" s="118">
        <f t="shared" si="221"/>
        <v>0</v>
      </c>
      <c r="Z141" s="116">
        <f t="shared" si="221"/>
        <v>0</v>
      </c>
      <c r="AA141" s="117">
        <f t="shared" si="221"/>
        <v>0</v>
      </c>
      <c r="AB141" s="119">
        <f t="shared" si="221"/>
        <v>0</v>
      </c>
      <c r="AC141" s="194">
        <f t="shared" si="221"/>
        <v>0</v>
      </c>
      <c r="AD141" s="117">
        <f t="shared" si="221"/>
        <v>0</v>
      </c>
      <c r="AE141" s="118">
        <f t="shared" si="221"/>
        <v>0</v>
      </c>
      <c r="AF141" s="116">
        <f t="shared" si="221"/>
        <v>0</v>
      </c>
      <c r="AG141" s="117">
        <f t="shared" si="221"/>
        <v>0</v>
      </c>
      <c r="AH141" s="119">
        <f t="shared" si="221"/>
        <v>0</v>
      </c>
      <c r="AI141" s="194">
        <f t="shared" si="221"/>
        <v>0</v>
      </c>
      <c r="AJ141" s="117">
        <f t="shared" si="221"/>
        <v>0</v>
      </c>
      <c r="AK141" s="118">
        <f t="shared" si="221"/>
        <v>0</v>
      </c>
      <c r="AL141" s="116">
        <f t="shared" si="221"/>
        <v>0</v>
      </c>
      <c r="AM141" s="117">
        <f t="shared" si="221"/>
        <v>0</v>
      </c>
      <c r="AN141" s="119">
        <f t="shared" si="221"/>
        <v>0</v>
      </c>
      <c r="AO141" s="194">
        <f t="shared" ref="AO141:BZ141" si="222">+AO34+AO70+AO106</f>
        <v>0</v>
      </c>
      <c r="AP141" s="117">
        <f t="shared" si="222"/>
        <v>0</v>
      </c>
      <c r="AQ141" s="118">
        <f t="shared" si="222"/>
        <v>0</v>
      </c>
      <c r="AR141" s="116">
        <f t="shared" si="222"/>
        <v>0</v>
      </c>
      <c r="AS141" s="117">
        <f t="shared" si="222"/>
        <v>0</v>
      </c>
      <c r="AT141" s="119">
        <f t="shared" si="222"/>
        <v>0</v>
      </c>
      <c r="AU141" s="194">
        <f t="shared" si="222"/>
        <v>0</v>
      </c>
      <c r="AV141" s="117">
        <f t="shared" si="222"/>
        <v>0</v>
      </c>
      <c r="AW141" s="118">
        <f t="shared" si="222"/>
        <v>0</v>
      </c>
      <c r="AX141" s="116">
        <f t="shared" si="222"/>
        <v>0</v>
      </c>
      <c r="AY141" s="117">
        <f t="shared" si="222"/>
        <v>0</v>
      </c>
      <c r="AZ141" s="119">
        <f t="shared" si="222"/>
        <v>0</v>
      </c>
      <c r="BA141" s="194">
        <f t="shared" si="222"/>
        <v>0</v>
      </c>
      <c r="BB141" s="117">
        <f t="shared" si="222"/>
        <v>0</v>
      </c>
      <c r="BC141" s="118">
        <f t="shared" si="222"/>
        <v>0</v>
      </c>
      <c r="BD141" s="116">
        <f t="shared" si="222"/>
        <v>0</v>
      </c>
      <c r="BE141" s="117">
        <f t="shared" si="222"/>
        <v>0</v>
      </c>
      <c r="BF141" s="119">
        <f t="shared" si="222"/>
        <v>0</v>
      </c>
      <c r="BG141" s="194">
        <f t="shared" si="222"/>
        <v>0</v>
      </c>
      <c r="BH141" s="117">
        <f t="shared" si="222"/>
        <v>0</v>
      </c>
      <c r="BI141" s="118">
        <f t="shared" si="222"/>
        <v>0</v>
      </c>
      <c r="BJ141" s="116">
        <f t="shared" si="222"/>
        <v>0</v>
      </c>
      <c r="BK141" s="117">
        <f t="shared" si="222"/>
        <v>0</v>
      </c>
      <c r="BL141" s="119">
        <f t="shared" si="222"/>
        <v>0</v>
      </c>
      <c r="BM141" s="194">
        <f t="shared" si="222"/>
        <v>0</v>
      </c>
      <c r="BN141" s="117">
        <f t="shared" si="222"/>
        <v>0</v>
      </c>
      <c r="BO141" s="118">
        <f t="shared" si="222"/>
        <v>0</v>
      </c>
      <c r="BP141" s="116">
        <f t="shared" si="222"/>
        <v>0</v>
      </c>
      <c r="BQ141" s="117">
        <f t="shared" si="222"/>
        <v>0</v>
      </c>
      <c r="BR141" s="119">
        <f t="shared" si="222"/>
        <v>0</v>
      </c>
      <c r="BS141" s="194">
        <f t="shared" si="222"/>
        <v>0</v>
      </c>
      <c r="BT141" s="117">
        <f t="shared" si="222"/>
        <v>0</v>
      </c>
      <c r="BU141" s="118">
        <f t="shared" si="222"/>
        <v>0</v>
      </c>
      <c r="BV141" s="116">
        <f t="shared" si="222"/>
        <v>0</v>
      </c>
      <c r="BW141" s="117">
        <f t="shared" si="222"/>
        <v>0</v>
      </c>
      <c r="BX141" s="119">
        <f t="shared" si="222"/>
        <v>0</v>
      </c>
      <c r="BY141" s="194">
        <f t="shared" si="222"/>
        <v>0</v>
      </c>
      <c r="BZ141" s="117">
        <f t="shared" si="222"/>
        <v>0</v>
      </c>
      <c r="CA141" s="118">
        <f t="shared" ref="CA141:DB141" si="223">+CA34+CA70+CA106</f>
        <v>0</v>
      </c>
      <c r="CB141" s="116">
        <f t="shared" si="223"/>
        <v>0</v>
      </c>
      <c r="CC141" s="117">
        <f t="shared" si="223"/>
        <v>0</v>
      </c>
      <c r="CD141" s="119">
        <f t="shared" si="223"/>
        <v>0</v>
      </c>
      <c r="CE141" s="194">
        <f t="shared" si="223"/>
        <v>0</v>
      </c>
      <c r="CF141" s="117">
        <f t="shared" si="223"/>
        <v>0</v>
      </c>
      <c r="CG141" s="118">
        <f t="shared" si="223"/>
        <v>0</v>
      </c>
      <c r="CH141" s="116">
        <f t="shared" si="223"/>
        <v>0</v>
      </c>
      <c r="CI141" s="117">
        <f t="shared" si="223"/>
        <v>0</v>
      </c>
      <c r="CJ141" s="118">
        <f t="shared" si="223"/>
        <v>0</v>
      </c>
      <c r="CK141" s="241">
        <f t="shared" si="223"/>
        <v>0</v>
      </c>
      <c r="CL141" s="43">
        <f t="shared" si="223"/>
        <v>0</v>
      </c>
      <c r="CM141" s="289">
        <f t="shared" si="223"/>
        <v>0</v>
      </c>
      <c r="CN141" s="241">
        <f t="shared" si="223"/>
        <v>0</v>
      </c>
      <c r="CO141" s="43">
        <f t="shared" si="223"/>
        <v>0</v>
      </c>
      <c r="CP141" s="57">
        <f t="shared" si="223"/>
        <v>0</v>
      </c>
      <c r="CQ141" s="194">
        <f t="shared" ref="CQ141:CY141" si="224">+CQ34+CQ70+CQ106</f>
        <v>0</v>
      </c>
      <c r="CR141" s="117">
        <f t="shared" si="224"/>
        <v>0</v>
      </c>
      <c r="CS141" s="119">
        <f t="shared" si="224"/>
        <v>0</v>
      </c>
      <c r="CT141" s="194">
        <f t="shared" si="224"/>
        <v>0</v>
      </c>
      <c r="CU141" s="117">
        <f t="shared" si="224"/>
        <v>0</v>
      </c>
      <c r="CV141" s="119">
        <f t="shared" si="224"/>
        <v>0</v>
      </c>
      <c r="CW141" s="194">
        <f t="shared" si="224"/>
        <v>0</v>
      </c>
      <c r="CX141" s="117">
        <f t="shared" si="224"/>
        <v>0</v>
      </c>
      <c r="CY141" s="119">
        <f t="shared" si="224"/>
        <v>0</v>
      </c>
      <c r="CZ141" s="194">
        <f t="shared" si="223"/>
        <v>0</v>
      </c>
      <c r="DA141" s="117">
        <f t="shared" si="223"/>
        <v>0</v>
      </c>
      <c r="DB141" s="119">
        <f t="shared" si="223"/>
        <v>0</v>
      </c>
      <c r="DC141" s="380">
        <f t="shared" si="120"/>
        <v>0</v>
      </c>
      <c r="DD141" s="381">
        <f t="shared" si="121"/>
        <v>0</v>
      </c>
      <c r="DE141" s="381">
        <f t="shared" si="122"/>
        <v>0</v>
      </c>
      <c r="DF141" s="145">
        <f t="shared" si="115"/>
        <v>0</v>
      </c>
    </row>
    <row r="142" spans="1:110">
      <c r="A142" s="365">
        <v>28</v>
      </c>
      <c r="B142" s="116">
        <f t="shared" ref="B142:AN142" si="225">+B35+B71+B107</f>
        <v>0</v>
      </c>
      <c r="C142" s="117">
        <f t="shared" si="225"/>
        <v>0</v>
      </c>
      <c r="D142" s="119">
        <f t="shared" si="225"/>
        <v>0</v>
      </c>
      <c r="E142" s="194">
        <f t="shared" si="225"/>
        <v>0</v>
      </c>
      <c r="F142" s="117">
        <f t="shared" si="225"/>
        <v>0</v>
      </c>
      <c r="G142" s="118">
        <f t="shared" si="225"/>
        <v>0</v>
      </c>
      <c r="H142" s="116">
        <f t="shared" si="225"/>
        <v>0</v>
      </c>
      <c r="I142" s="117">
        <f t="shared" si="225"/>
        <v>0</v>
      </c>
      <c r="J142" s="119">
        <f t="shared" si="225"/>
        <v>0</v>
      </c>
      <c r="K142" s="194">
        <f t="shared" si="225"/>
        <v>0</v>
      </c>
      <c r="L142" s="117">
        <f t="shared" si="225"/>
        <v>0</v>
      </c>
      <c r="M142" s="118">
        <f t="shared" si="225"/>
        <v>0</v>
      </c>
      <c r="N142" s="116">
        <f t="shared" si="225"/>
        <v>0</v>
      </c>
      <c r="O142" s="117">
        <f t="shared" si="225"/>
        <v>0</v>
      </c>
      <c r="P142" s="119">
        <f t="shared" si="225"/>
        <v>0</v>
      </c>
      <c r="Q142" s="194">
        <f t="shared" si="225"/>
        <v>0</v>
      </c>
      <c r="R142" s="117">
        <f t="shared" si="225"/>
        <v>0</v>
      </c>
      <c r="S142" s="118">
        <f t="shared" si="225"/>
        <v>0</v>
      </c>
      <c r="T142" s="116">
        <f t="shared" si="225"/>
        <v>0</v>
      </c>
      <c r="U142" s="117">
        <f t="shared" si="225"/>
        <v>0</v>
      </c>
      <c r="V142" s="119">
        <f t="shared" si="225"/>
        <v>0</v>
      </c>
      <c r="W142" s="194">
        <f t="shared" si="225"/>
        <v>0</v>
      </c>
      <c r="X142" s="117">
        <f t="shared" si="225"/>
        <v>0</v>
      </c>
      <c r="Y142" s="118">
        <f t="shared" si="225"/>
        <v>0</v>
      </c>
      <c r="Z142" s="116">
        <f t="shared" si="225"/>
        <v>0</v>
      </c>
      <c r="AA142" s="117">
        <f t="shared" si="225"/>
        <v>0</v>
      </c>
      <c r="AB142" s="119">
        <f t="shared" si="225"/>
        <v>0</v>
      </c>
      <c r="AC142" s="194">
        <f t="shared" si="225"/>
        <v>0</v>
      </c>
      <c r="AD142" s="117">
        <f t="shared" si="225"/>
        <v>0</v>
      </c>
      <c r="AE142" s="118">
        <f t="shared" si="225"/>
        <v>0</v>
      </c>
      <c r="AF142" s="116">
        <f t="shared" si="225"/>
        <v>0</v>
      </c>
      <c r="AG142" s="117">
        <f t="shared" si="225"/>
        <v>0</v>
      </c>
      <c r="AH142" s="119">
        <f t="shared" si="225"/>
        <v>0</v>
      </c>
      <c r="AI142" s="194">
        <f t="shared" si="225"/>
        <v>0</v>
      </c>
      <c r="AJ142" s="117">
        <f t="shared" si="225"/>
        <v>0</v>
      </c>
      <c r="AK142" s="118">
        <f t="shared" si="225"/>
        <v>0</v>
      </c>
      <c r="AL142" s="116">
        <f t="shared" si="225"/>
        <v>0</v>
      </c>
      <c r="AM142" s="117">
        <f t="shared" si="225"/>
        <v>0</v>
      </c>
      <c r="AN142" s="119">
        <f t="shared" si="225"/>
        <v>0</v>
      </c>
      <c r="AO142" s="194">
        <f t="shared" ref="AO142:BZ142" si="226">+AO35+AO71+AO107</f>
        <v>0</v>
      </c>
      <c r="AP142" s="117">
        <f t="shared" si="226"/>
        <v>0</v>
      </c>
      <c r="AQ142" s="118">
        <f t="shared" si="226"/>
        <v>0</v>
      </c>
      <c r="AR142" s="116">
        <f t="shared" si="226"/>
        <v>0</v>
      </c>
      <c r="AS142" s="117">
        <f t="shared" si="226"/>
        <v>0</v>
      </c>
      <c r="AT142" s="119">
        <f t="shared" si="226"/>
        <v>0</v>
      </c>
      <c r="AU142" s="194">
        <f t="shared" si="226"/>
        <v>0</v>
      </c>
      <c r="AV142" s="117">
        <f t="shared" si="226"/>
        <v>0</v>
      </c>
      <c r="AW142" s="118">
        <f t="shared" si="226"/>
        <v>0</v>
      </c>
      <c r="AX142" s="116">
        <f t="shared" si="226"/>
        <v>0</v>
      </c>
      <c r="AY142" s="117">
        <f t="shared" si="226"/>
        <v>0</v>
      </c>
      <c r="AZ142" s="119">
        <f t="shared" si="226"/>
        <v>0</v>
      </c>
      <c r="BA142" s="194">
        <f t="shared" si="226"/>
        <v>0</v>
      </c>
      <c r="BB142" s="117">
        <f t="shared" si="226"/>
        <v>0</v>
      </c>
      <c r="BC142" s="118">
        <f t="shared" si="226"/>
        <v>0</v>
      </c>
      <c r="BD142" s="116">
        <f t="shared" si="226"/>
        <v>0</v>
      </c>
      <c r="BE142" s="117">
        <f t="shared" si="226"/>
        <v>0</v>
      </c>
      <c r="BF142" s="119">
        <f t="shared" si="226"/>
        <v>0</v>
      </c>
      <c r="BG142" s="194">
        <f t="shared" si="226"/>
        <v>0</v>
      </c>
      <c r="BH142" s="117">
        <f t="shared" si="226"/>
        <v>0</v>
      </c>
      <c r="BI142" s="118">
        <f t="shared" si="226"/>
        <v>0</v>
      </c>
      <c r="BJ142" s="116">
        <f t="shared" si="226"/>
        <v>0</v>
      </c>
      <c r="BK142" s="117">
        <f t="shared" si="226"/>
        <v>0</v>
      </c>
      <c r="BL142" s="119">
        <f t="shared" si="226"/>
        <v>0</v>
      </c>
      <c r="BM142" s="194">
        <f t="shared" si="226"/>
        <v>0</v>
      </c>
      <c r="BN142" s="117">
        <f t="shared" si="226"/>
        <v>0</v>
      </c>
      <c r="BO142" s="118">
        <f t="shared" si="226"/>
        <v>0</v>
      </c>
      <c r="BP142" s="116">
        <f t="shared" si="226"/>
        <v>0</v>
      </c>
      <c r="BQ142" s="117">
        <f t="shared" si="226"/>
        <v>0</v>
      </c>
      <c r="BR142" s="119">
        <f t="shared" si="226"/>
        <v>0</v>
      </c>
      <c r="BS142" s="194">
        <f t="shared" si="226"/>
        <v>0</v>
      </c>
      <c r="BT142" s="117">
        <f t="shared" si="226"/>
        <v>0</v>
      </c>
      <c r="BU142" s="118">
        <f t="shared" si="226"/>
        <v>0</v>
      </c>
      <c r="BV142" s="116">
        <f t="shared" si="226"/>
        <v>0</v>
      </c>
      <c r="BW142" s="117">
        <f t="shared" si="226"/>
        <v>0</v>
      </c>
      <c r="BX142" s="119">
        <f t="shared" si="226"/>
        <v>0</v>
      </c>
      <c r="BY142" s="194">
        <f t="shared" si="226"/>
        <v>0</v>
      </c>
      <c r="BZ142" s="117">
        <f t="shared" si="226"/>
        <v>0</v>
      </c>
      <c r="CA142" s="118">
        <f t="shared" ref="CA142:DB142" si="227">+CA35+CA71+CA107</f>
        <v>0</v>
      </c>
      <c r="CB142" s="116">
        <f t="shared" si="227"/>
        <v>0</v>
      </c>
      <c r="CC142" s="117">
        <f t="shared" si="227"/>
        <v>0</v>
      </c>
      <c r="CD142" s="119">
        <f t="shared" si="227"/>
        <v>0</v>
      </c>
      <c r="CE142" s="194">
        <f t="shared" si="227"/>
        <v>0</v>
      </c>
      <c r="CF142" s="117">
        <f t="shared" si="227"/>
        <v>0</v>
      </c>
      <c r="CG142" s="118">
        <f t="shared" si="227"/>
        <v>0</v>
      </c>
      <c r="CH142" s="116">
        <f t="shared" si="227"/>
        <v>0</v>
      </c>
      <c r="CI142" s="117">
        <f t="shared" si="227"/>
        <v>0</v>
      </c>
      <c r="CJ142" s="118">
        <f t="shared" si="227"/>
        <v>0</v>
      </c>
      <c r="CK142" s="241">
        <f t="shared" si="227"/>
        <v>0</v>
      </c>
      <c r="CL142" s="43">
        <f t="shared" si="227"/>
        <v>0</v>
      </c>
      <c r="CM142" s="289">
        <f t="shared" si="227"/>
        <v>0</v>
      </c>
      <c r="CN142" s="241">
        <f t="shared" si="227"/>
        <v>0</v>
      </c>
      <c r="CO142" s="43">
        <f t="shared" si="227"/>
        <v>0</v>
      </c>
      <c r="CP142" s="57">
        <f t="shared" si="227"/>
        <v>0</v>
      </c>
      <c r="CQ142" s="194">
        <f t="shared" ref="CQ142:CY142" si="228">+CQ35+CQ71+CQ107</f>
        <v>0</v>
      </c>
      <c r="CR142" s="117">
        <f t="shared" si="228"/>
        <v>0</v>
      </c>
      <c r="CS142" s="119">
        <f t="shared" si="228"/>
        <v>0</v>
      </c>
      <c r="CT142" s="194">
        <f t="shared" si="228"/>
        <v>0</v>
      </c>
      <c r="CU142" s="117">
        <f t="shared" si="228"/>
        <v>0</v>
      </c>
      <c r="CV142" s="119">
        <f t="shared" si="228"/>
        <v>0</v>
      </c>
      <c r="CW142" s="194">
        <f t="shared" si="228"/>
        <v>0</v>
      </c>
      <c r="CX142" s="117">
        <f t="shared" si="228"/>
        <v>0</v>
      </c>
      <c r="CY142" s="119">
        <f t="shared" si="228"/>
        <v>0</v>
      </c>
      <c r="CZ142" s="194">
        <f t="shared" si="227"/>
        <v>0</v>
      </c>
      <c r="DA142" s="117">
        <f t="shared" si="227"/>
        <v>0</v>
      </c>
      <c r="DB142" s="119">
        <f t="shared" si="227"/>
        <v>0</v>
      </c>
      <c r="DC142" s="380">
        <f t="shared" si="120"/>
        <v>0</v>
      </c>
      <c r="DD142" s="381">
        <f t="shared" si="121"/>
        <v>0</v>
      </c>
      <c r="DE142" s="381">
        <f t="shared" si="122"/>
        <v>0</v>
      </c>
      <c r="DF142" s="145">
        <f t="shared" si="115"/>
        <v>0</v>
      </c>
    </row>
    <row r="143" spans="1:110">
      <c r="A143" s="240">
        <v>29</v>
      </c>
      <c r="B143" s="116">
        <f t="shared" ref="B143:AN143" si="229">+B36+B72+B108</f>
        <v>0</v>
      </c>
      <c r="C143" s="117">
        <f t="shared" si="229"/>
        <v>0</v>
      </c>
      <c r="D143" s="119">
        <f t="shared" si="229"/>
        <v>0</v>
      </c>
      <c r="E143" s="194">
        <f t="shared" si="229"/>
        <v>0</v>
      </c>
      <c r="F143" s="117">
        <f t="shared" si="229"/>
        <v>0</v>
      </c>
      <c r="G143" s="118">
        <f t="shared" si="229"/>
        <v>0</v>
      </c>
      <c r="H143" s="116">
        <f t="shared" si="229"/>
        <v>0</v>
      </c>
      <c r="I143" s="117">
        <f t="shared" si="229"/>
        <v>0</v>
      </c>
      <c r="J143" s="119">
        <f t="shared" si="229"/>
        <v>0</v>
      </c>
      <c r="K143" s="194">
        <f t="shared" si="229"/>
        <v>0</v>
      </c>
      <c r="L143" s="117">
        <f t="shared" si="229"/>
        <v>0</v>
      </c>
      <c r="M143" s="118">
        <f t="shared" si="229"/>
        <v>0</v>
      </c>
      <c r="N143" s="116">
        <f t="shared" si="229"/>
        <v>0</v>
      </c>
      <c r="O143" s="117">
        <f t="shared" si="229"/>
        <v>0</v>
      </c>
      <c r="P143" s="119">
        <f t="shared" si="229"/>
        <v>0</v>
      </c>
      <c r="Q143" s="194">
        <f t="shared" si="229"/>
        <v>0</v>
      </c>
      <c r="R143" s="117">
        <f t="shared" si="229"/>
        <v>0</v>
      </c>
      <c r="S143" s="118">
        <f t="shared" si="229"/>
        <v>0</v>
      </c>
      <c r="T143" s="116">
        <f t="shared" si="229"/>
        <v>0</v>
      </c>
      <c r="U143" s="117">
        <f t="shared" si="229"/>
        <v>0</v>
      </c>
      <c r="V143" s="119">
        <f t="shared" si="229"/>
        <v>0</v>
      </c>
      <c r="W143" s="194">
        <f t="shared" si="229"/>
        <v>0</v>
      </c>
      <c r="X143" s="117">
        <f t="shared" si="229"/>
        <v>0</v>
      </c>
      <c r="Y143" s="118">
        <f t="shared" si="229"/>
        <v>0</v>
      </c>
      <c r="Z143" s="116">
        <f t="shared" si="229"/>
        <v>0</v>
      </c>
      <c r="AA143" s="117">
        <f t="shared" si="229"/>
        <v>0</v>
      </c>
      <c r="AB143" s="119">
        <f t="shared" si="229"/>
        <v>0</v>
      </c>
      <c r="AC143" s="194">
        <f t="shared" si="229"/>
        <v>0</v>
      </c>
      <c r="AD143" s="117">
        <f t="shared" si="229"/>
        <v>0</v>
      </c>
      <c r="AE143" s="118">
        <f t="shared" si="229"/>
        <v>0</v>
      </c>
      <c r="AF143" s="116">
        <f t="shared" si="229"/>
        <v>0</v>
      </c>
      <c r="AG143" s="117">
        <f t="shared" si="229"/>
        <v>0</v>
      </c>
      <c r="AH143" s="119">
        <f t="shared" si="229"/>
        <v>0</v>
      </c>
      <c r="AI143" s="194">
        <f t="shared" si="229"/>
        <v>0</v>
      </c>
      <c r="AJ143" s="117">
        <f t="shared" si="229"/>
        <v>0</v>
      </c>
      <c r="AK143" s="118">
        <f t="shared" si="229"/>
        <v>0</v>
      </c>
      <c r="AL143" s="116">
        <f t="shared" si="229"/>
        <v>0</v>
      </c>
      <c r="AM143" s="117">
        <f t="shared" si="229"/>
        <v>0</v>
      </c>
      <c r="AN143" s="119">
        <f t="shared" si="229"/>
        <v>0</v>
      </c>
      <c r="AO143" s="194">
        <f t="shared" ref="AO143:BZ143" si="230">+AO36+AO72+AO108</f>
        <v>0</v>
      </c>
      <c r="AP143" s="117">
        <f t="shared" si="230"/>
        <v>0</v>
      </c>
      <c r="AQ143" s="118">
        <f t="shared" si="230"/>
        <v>0</v>
      </c>
      <c r="AR143" s="116">
        <f t="shared" si="230"/>
        <v>0</v>
      </c>
      <c r="AS143" s="117">
        <f t="shared" si="230"/>
        <v>0</v>
      </c>
      <c r="AT143" s="119">
        <f t="shared" si="230"/>
        <v>0</v>
      </c>
      <c r="AU143" s="194">
        <f t="shared" si="230"/>
        <v>0</v>
      </c>
      <c r="AV143" s="117">
        <f t="shared" si="230"/>
        <v>0</v>
      </c>
      <c r="AW143" s="118">
        <f t="shared" si="230"/>
        <v>0</v>
      </c>
      <c r="AX143" s="116">
        <f t="shared" si="230"/>
        <v>0</v>
      </c>
      <c r="AY143" s="117">
        <f t="shared" si="230"/>
        <v>0</v>
      </c>
      <c r="AZ143" s="119">
        <f t="shared" si="230"/>
        <v>0</v>
      </c>
      <c r="BA143" s="194">
        <f t="shared" si="230"/>
        <v>0</v>
      </c>
      <c r="BB143" s="117">
        <f t="shared" si="230"/>
        <v>0</v>
      </c>
      <c r="BC143" s="118">
        <f t="shared" si="230"/>
        <v>0</v>
      </c>
      <c r="BD143" s="116">
        <f t="shared" si="230"/>
        <v>0</v>
      </c>
      <c r="BE143" s="117">
        <f t="shared" si="230"/>
        <v>0</v>
      </c>
      <c r="BF143" s="119">
        <f t="shared" si="230"/>
        <v>0</v>
      </c>
      <c r="BG143" s="194">
        <f t="shared" si="230"/>
        <v>0</v>
      </c>
      <c r="BH143" s="117">
        <f t="shared" si="230"/>
        <v>0</v>
      </c>
      <c r="BI143" s="118">
        <f t="shared" si="230"/>
        <v>0</v>
      </c>
      <c r="BJ143" s="116">
        <f t="shared" si="230"/>
        <v>0</v>
      </c>
      <c r="BK143" s="117">
        <f t="shared" si="230"/>
        <v>0</v>
      </c>
      <c r="BL143" s="119">
        <f t="shared" si="230"/>
        <v>0</v>
      </c>
      <c r="BM143" s="194">
        <f t="shared" si="230"/>
        <v>0</v>
      </c>
      <c r="BN143" s="117">
        <f t="shared" si="230"/>
        <v>0</v>
      </c>
      <c r="BO143" s="118">
        <f t="shared" si="230"/>
        <v>0</v>
      </c>
      <c r="BP143" s="116">
        <f t="shared" si="230"/>
        <v>0</v>
      </c>
      <c r="BQ143" s="117">
        <f t="shared" si="230"/>
        <v>0</v>
      </c>
      <c r="BR143" s="119">
        <f t="shared" si="230"/>
        <v>0</v>
      </c>
      <c r="BS143" s="194">
        <f t="shared" si="230"/>
        <v>0</v>
      </c>
      <c r="BT143" s="117">
        <f t="shared" si="230"/>
        <v>0</v>
      </c>
      <c r="BU143" s="118">
        <f t="shared" si="230"/>
        <v>0</v>
      </c>
      <c r="BV143" s="116">
        <f t="shared" si="230"/>
        <v>0</v>
      </c>
      <c r="BW143" s="117">
        <f t="shared" si="230"/>
        <v>0</v>
      </c>
      <c r="BX143" s="119">
        <f t="shared" si="230"/>
        <v>0</v>
      </c>
      <c r="BY143" s="194">
        <f t="shared" si="230"/>
        <v>0</v>
      </c>
      <c r="BZ143" s="117">
        <f t="shared" si="230"/>
        <v>0</v>
      </c>
      <c r="CA143" s="118">
        <f t="shared" ref="CA143:DB143" si="231">+CA36+CA72+CA108</f>
        <v>0</v>
      </c>
      <c r="CB143" s="116">
        <f t="shared" si="231"/>
        <v>0</v>
      </c>
      <c r="CC143" s="117">
        <f t="shared" si="231"/>
        <v>0</v>
      </c>
      <c r="CD143" s="119">
        <f t="shared" si="231"/>
        <v>0</v>
      </c>
      <c r="CE143" s="194">
        <f t="shared" si="231"/>
        <v>0</v>
      </c>
      <c r="CF143" s="117">
        <f t="shared" si="231"/>
        <v>0</v>
      </c>
      <c r="CG143" s="118">
        <f t="shared" si="231"/>
        <v>0</v>
      </c>
      <c r="CH143" s="116">
        <f t="shared" si="231"/>
        <v>0</v>
      </c>
      <c r="CI143" s="117">
        <f t="shared" si="231"/>
        <v>0</v>
      </c>
      <c r="CJ143" s="118">
        <f t="shared" si="231"/>
        <v>0</v>
      </c>
      <c r="CK143" s="241">
        <f t="shared" si="231"/>
        <v>0</v>
      </c>
      <c r="CL143" s="43">
        <f t="shared" si="231"/>
        <v>0</v>
      </c>
      <c r="CM143" s="289">
        <f t="shared" si="231"/>
        <v>0</v>
      </c>
      <c r="CN143" s="241">
        <f t="shared" si="231"/>
        <v>0</v>
      </c>
      <c r="CO143" s="43">
        <f t="shared" si="231"/>
        <v>0</v>
      </c>
      <c r="CP143" s="57">
        <f t="shared" si="231"/>
        <v>0</v>
      </c>
      <c r="CQ143" s="194">
        <f t="shared" ref="CQ143:CY143" si="232">+CQ36+CQ72+CQ108</f>
        <v>0</v>
      </c>
      <c r="CR143" s="117">
        <f t="shared" si="232"/>
        <v>0</v>
      </c>
      <c r="CS143" s="119">
        <f t="shared" si="232"/>
        <v>0</v>
      </c>
      <c r="CT143" s="194">
        <f t="shared" si="232"/>
        <v>0</v>
      </c>
      <c r="CU143" s="117">
        <f t="shared" si="232"/>
        <v>0</v>
      </c>
      <c r="CV143" s="119">
        <f t="shared" si="232"/>
        <v>0</v>
      </c>
      <c r="CW143" s="194">
        <f t="shared" si="232"/>
        <v>0</v>
      </c>
      <c r="CX143" s="117">
        <f t="shared" si="232"/>
        <v>0</v>
      </c>
      <c r="CY143" s="119">
        <f t="shared" si="232"/>
        <v>0</v>
      </c>
      <c r="CZ143" s="194">
        <f t="shared" si="231"/>
        <v>0</v>
      </c>
      <c r="DA143" s="117">
        <f t="shared" si="231"/>
        <v>0</v>
      </c>
      <c r="DB143" s="119">
        <f t="shared" si="231"/>
        <v>0</v>
      </c>
      <c r="DC143" s="380">
        <f t="shared" si="120"/>
        <v>0</v>
      </c>
      <c r="DD143" s="381">
        <f t="shared" si="121"/>
        <v>0</v>
      </c>
      <c r="DE143" s="381">
        <f t="shared" si="122"/>
        <v>0</v>
      </c>
      <c r="DF143" s="145">
        <f t="shared" si="115"/>
        <v>0</v>
      </c>
    </row>
    <row r="144" spans="1:110">
      <c r="A144" s="240">
        <v>30</v>
      </c>
      <c r="B144" s="116">
        <f t="shared" ref="B144:AN144" si="233">+B37+B73+B109</f>
        <v>0</v>
      </c>
      <c r="C144" s="117">
        <f t="shared" si="233"/>
        <v>0</v>
      </c>
      <c r="D144" s="119">
        <f t="shared" si="233"/>
        <v>0</v>
      </c>
      <c r="E144" s="194">
        <f t="shared" si="233"/>
        <v>0</v>
      </c>
      <c r="F144" s="117">
        <f t="shared" si="233"/>
        <v>0</v>
      </c>
      <c r="G144" s="118">
        <f t="shared" si="233"/>
        <v>0</v>
      </c>
      <c r="H144" s="116">
        <f t="shared" si="233"/>
        <v>0</v>
      </c>
      <c r="I144" s="117">
        <f t="shared" si="233"/>
        <v>0</v>
      </c>
      <c r="J144" s="119">
        <f t="shared" si="233"/>
        <v>0</v>
      </c>
      <c r="K144" s="194">
        <f t="shared" si="233"/>
        <v>0</v>
      </c>
      <c r="L144" s="117">
        <f t="shared" si="233"/>
        <v>0</v>
      </c>
      <c r="M144" s="118">
        <f t="shared" si="233"/>
        <v>0</v>
      </c>
      <c r="N144" s="116">
        <f t="shared" si="233"/>
        <v>0</v>
      </c>
      <c r="O144" s="117">
        <f t="shared" si="233"/>
        <v>0</v>
      </c>
      <c r="P144" s="119">
        <f t="shared" si="233"/>
        <v>0</v>
      </c>
      <c r="Q144" s="194">
        <f t="shared" si="233"/>
        <v>0</v>
      </c>
      <c r="R144" s="117">
        <f t="shared" si="233"/>
        <v>0</v>
      </c>
      <c r="S144" s="118">
        <f t="shared" si="233"/>
        <v>0</v>
      </c>
      <c r="T144" s="116">
        <f t="shared" si="233"/>
        <v>0</v>
      </c>
      <c r="U144" s="117">
        <f t="shared" si="233"/>
        <v>0</v>
      </c>
      <c r="V144" s="119">
        <f t="shared" si="233"/>
        <v>0</v>
      </c>
      <c r="W144" s="194">
        <f t="shared" si="233"/>
        <v>0</v>
      </c>
      <c r="X144" s="117">
        <f t="shared" si="233"/>
        <v>0</v>
      </c>
      <c r="Y144" s="118">
        <f t="shared" si="233"/>
        <v>0</v>
      </c>
      <c r="Z144" s="116">
        <f t="shared" si="233"/>
        <v>0</v>
      </c>
      <c r="AA144" s="117">
        <f t="shared" si="233"/>
        <v>0</v>
      </c>
      <c r="AB144" s="119">
        <f t="shared" si="233"/>
        <v>0</v>
      </c>
      <c r="AC144" s="194">
        <f t="shared" si="233"/>
        <v>0</v>
      </c>
      <c r="AD144" s="117">
        <f t="shared" si="233"/>
        <v>0</v>
      </c>
      <c r="AE144" s="118">
        <f t="shared" si="233"/>
        <v>0</v>
      </c>
      <c r="AF144" s="116">
        <f t="shared" si="233"/>
        <v>0</v>
      </c>
      <c r="AG144" s="117">
        <f t="shared" si="233"/>
        <v>0</v>
      </c>
      <c r="AH144" s="119">
        <f t="shared" si="233"/>
        <v>0</v>
      </c>
      <c r="AI144" s="194">
        <f t="shared" si="233"/>
        <v>0</v>
      </c>
      <c r="AJ144" s="117">
        <f t="shared" si="233"/>
        <v>0</v>
      </c>
      <c r="AK144" s="118">
        <f t="shared" si="233"/>
        <v>0</v>
      </c>
      <c r="AL144" s="116">
        <f t="shared" si="233"/>
        <v>0</v>
      </c>
      <c r="AM144" s="117">
        <f t="shared" si="233"/>
        <v>0</v>
      </c>
      <c r="AN144" s="119">
        <f t="shared" si="233"/>
        <v>0</v>
      </c>
      <c r="AO144" s="194">
        <f t="shared" ref="AO144:BZ144" si="234">+AO37+AO73+AO109</f>
        <v>0</v>
      </c>
      <c r="AP144" s="117">
        <f t="shared" si="234"/>
        <v>0</v>
      </c>
      <c r="AQ144" s="118">
        <f t="shared" si="234"/>
        <v>0</v>
      </c>
      <c r="AR144" s="116">
        <f t="shared" si="234"/>
        <v>0</v>
      </c>
      <c r="AS144" s="117">
        <f t="shared" si="234"/>
        <v>0</v>
      </c>
      <c r="AT144" s="119">
        <f t="shared" si="234"/>
        <v>0</v>
      </c>
      <c r="AU144" s="194">
        <f t="shared" si="234"/>
        <v>0</v>
      </c>
      <c r="AV144" s="117">
        <f t="shared" si="234"/>
        <v>0</v>
      </c>
      <c r="AW144" s="118">
        <f t="shared" si="234"/>
        <v>0</v>
      </c>
      <c r="AX144" s="116">
        <f t="shared" si="234"/>
        <v>0</v>
      </c>
      <c r="AY144" s="117">
        <f t="shared" si="234"/>
        <v>0</v>
      </c>
      <c r="AZ144" s="119">
        <f t="shared" si="234"/>
        <v>0</v>
      </c>
      <c r="BA144" s="194">
        <f t="shared" si="234"/>
        <v>0</v>
      </c>
      <c r="BB144" s="117">
        <f t="shared" si="234"/>
        <v>0</v>
      </c>
      <c r="BC144" s="118">
        <f t="shared" si="234"/>
        <v>0</v>
      </c>
      <c r="BD144" s="116">
        <f t="shared" si="234"/>
        <v>0</v>
      </c>
      <c r="BE144" s="117">
        <f t="shared" si="234"/>
        <v>0</v>
      </c>
      <c r="BF144" s="119">
        <f t="shared" si="234"/>
        <v>0</v>
      </c>
      <c r="BG144" s="194">
        <f t="shared" si="234"/>
        <v>0</v>
      </c>
      <c r="BH144" s="117">
        <f t="shared" si="234"/>
        <v>0</v>
      </c>
      <c r="BI144" s="118">
        <f t="shared" si="234"/>
        <v>0</v>
      </c>
      <c r="BJ144" s="116">
        <f t="shared" si="234"/>
        <v>0</v>
      </c>
      <c r="BK144" s="117">
        <f t="shared" si="234"/>
        <v>0</v>
      </c>
      <c r="BL144" s="119">
        <f t="shared" si="234"/>
        <v>0</v>
      </c>
      <c r="BM144" s="194">
        <f t="shared" si="234"/>
        <v>0</v>
      </c>
      <c r="BN144" s="117">
        <f t="shared" si="234"/>
        <v>0</v>
      </c>
      <c r="BO144" s="118">
        <f t="shared" si="234"/>
        <v>0</v>
      </c>
      <c r="BP144" s="116">
        <f t="shared" si="234"/>
        <v>0</v>
      </c>
      <c r="BQ144" s="117">
        <f t="shared" si="234"/>
        <v>0</v>
      </c>
      <c r="BR144" s="119">
        <f t="shared" si="234"/>
        <v>0</v>
      </c>
      <c r="BS144" s="194">
        <f t="shared" si="234"/>
        <v>0</v>
      </c>
      <c r="BT144" s="117">
        <f t="shared" si="234"/>
        <v>0</v>
      </c>
      <c r="BU144" s="118">
        <f t="shared" si="234"/>
        <v>0</v>
      </c>
      <c r="BV144" s="116">
        <f t="shared" si="234"/>
        <v>0</v>
      </c>
      <c r="BW144" s="117">
        <f t="shared" si="234"/>
        <v>0</v>
      </c>
      <c r="BX144" s="119">
        <f t="shared" si="234"/>
        <v>0</v>
      </c>
      <c r="BY144" s="194">
        <f t="shared" si="234"/>
        <v>0</v>
      </c>
      <c r="BZ144" s="117">
        <f t="shared" si="234"/>
        <v>0</v>
      </c>
      <c r="CA144" s="118">
        <f t="shared" ref="CA144:DB144" si="235">+CA37+CA73+CA109</f>
        <v>0</v>
      </c>
      <c r="CB144" s="116">
        <f t="shared" si="235"/>
        <v>0</v>
      </c>
      <c r="CC144" s="117">
        <f t="shared" si="235"/>
        <v>0</v>
      </c>
      <c r="CD144" s="119">
        <f t="shared" si="235"/>
        <v>0</v>
      </c>
      <c r="CE144" s="194">
        <f t="shared" si="235"/>
        <v>0</v>
      </c>
      <c r="CF144" s="117">
        <f t="shared" si="235"/>
        <v>0</v>
      </c>
      <c r="CG144" s="118">
        <f t="shared" si="235"/>
        <v>0</v>
      </c>
      <c r="CH144" s="116">
        <f t="shared" si="235"/>
        <v>0</v>
      </c>
      <c r="CI144" s="117">
        <f t="shared" si="235"/>
        <v>0</v>
      </c>
      <c r="CJ144" s="118">
        <f t="shared" si="235"/>
        <v>0</v>
      </c>
      <c r="CK144" s="241">
        <f t="shared" si="235"/>
        <v>0</v>
      </c>
      <c r="CL144" s="43">
        <f t="shared" si="235"/>
        <v>0</v>
      </c>
      <c r="CM144" s="289">
        <f t="shared" si="235"/>
        <v>0</v>
      </c>
      <c r="CN144" s="241">
        <f t="shared" si="235"/>
        <v>0</v>
      </c>
      <c r="CO144" s="43">
        <f t="shared" si="235"/>
        <v>0</v>
      </c>
      <c r="CP144" s="57">
        <f t="shared" si="235"/>
        <v>0</v>
      </c>
      <c r="CQ144" s="194">
        <f t="shared" ref="CQ144:CY144" si="236">+CQ37+CQ73+CQ109</f>
        <v>0</v>
      </c>
      <c r="CR144" s="117">
        <f t="shared" si="236"/>
        <v>0</v>
      </c>
      <c r="CS144" s="119">
        <f t="shared" si="236"/>
        <v>0</v>
      </c>
      <c r="CT144" s="194">
        <f t="shared" si="236"/>
        <v>0</v>
      </c>
      <c r="CU144" s="117">
        <f t="shared" si="236"/>
        <v>0</v>
      </c>
      <c r="CV144" s="119">
        <f t="shared" si="236"/>
        <v>0</v>
      </c>
      <c r="CW144" s="194">
        <f t="shared" si="236"/>
        <v>0</v>
      </c>
      <c r="CX144" s="117">
        <f t="shared" si="236"/>
        <v>0</v>
      </c>
      <c r="CY144" s="119">
        <f t="shared" si="236"/>
        <v>0</v>
      </c>
      <c r="CZ144" s="194">
        <f t="shared" si="235"/>
        <v>0</v>
      </c>
      <c r="DA144" s="117">
        <f t="shared" si="235"/>
        <v>0</v>
      </c>
      <c r="DB144" s="119">
        <f t="shared" si="235"/>
        <v>0</v>
      </c>
      <c r="DC144" s="380">
        <f t="shared" si="120"/>
        <v>0</v>
      </c>
      <c r="DD144" s="381">
        <f t="shared" si="121"/>
        <v>0</v>
      </c>
      <c r="DE144" s="381">
        <f t="shared" si="122"/>
        <v>0</v>
      </c>
      <c r="DF144" s="145">
        <f t="shared" si="115"/>
        <v>0</v>
      </c>
    </row>
    <row r="145" spans="1:110">
      <c r="A145" s="365">
        <v>31</v>
      </c>
      <c r="B145" s="116">
        <f t="shared" ref="B145:AN145" si="237">+B38+B74+B110</f>
        <v>0</v>
      </c>
      <c r="C145" s="117">
        <f t="shared" si="237"/>
        <v>0</v>
      </c>
      <c r="D145" s="119">
        <f t="shared" si="237"/>
        <v>0</v>
      </c>
      <c r="E145" s="194">
        <f t="shared" si="237"/>
        <v>0</v>
      </c>
      <c r="F145" s="117">
        <f t="shared" si="237"/>
        <v>0</v>
      </c>
      <c r="G145" s="118">
        <f t="shared" si="237"/>
        <v>0</v>
      </c>
      <c r="H145" s="116">
        <f t="shared" si="237"/>
        <v>0</v>
      </c>
      <c r="I145" s="117">
        <f t="shared" si="237"/>
        <v>0</v>
      </c>
      <c r="J145" s="119">
        <f t="shared" si="237"/>
        <v>0</v>
      </c>
      <c r="K145" s="194">
        <f t="shared" si="237"/>
        <v>0</v>
      </c>
      <c r="L145" s="117">
        <f t="shared" si="237"/>
        <v>0</v>
      </c>
      <c r="M145" s="118">
        <f t="shared" si="237"/>
        <v>0</v>
      </c>
      <c r="N145" s="116">
        <f t="shared" si="237"/>
        <v>0</v>
      </c>
      <c r="O145" s="117">
        <f t="shared" si="237"/>
        <v>0</v>
      </c>
      <c r="P145" s="119">
        <f t="shared" si="237"/>
        <v>0</v>
      </c>
      <c r="Q145" s="194">
        <f t="shared" si="237"/>
        <v>0</v>
      </c>
      <c r="R145" s="117">
        <f t="shared" si="237"/>
        <v>0</v>
      </c>
      <c r="S145" s="118">
        <f t="shared" si="237"/>
        <v>0</v>
      </c>
      <c r="T145" s="116">
        <f t="shared" si="237"/>
        <v>0</v>
      </c>
      <c r="U145" s="117">
        <f t="shared" si="237"/>
        <v>0</v>
      </c>
      <c r="V145" s="119">
        <f t="shared" si="237"/>
        <v>0</v>
      </c>
      <c r="W145" s="194">
        <f t="shared" si="237"/>
        <v>0</v>
      </c>
      <c r="X145" s="117">
        <f t="shared" si="237"/>
        <v>0</v>
      </c>
      <c r="Y145" s="118">
        <f t="shared" si="237"/>
        <v>0</v>
      </c>
      <c r="Z145" s="116">
        <f t="shared" si="237"/>
        <v>0</v>
      </c>
      <c r="AA145" s="117">
        <f t="shared" si="237"/>
        <v>0</v>
      </c>
      <c r="AB145" s="119">
        <f t="shared" si="237"/>
        <v>0</v>
      </c>
      <c r="AC145" s="194">
        <f t="shared" si="237"/>
        <v>0</v>
      </c>
      <c r="AD145" s="117">
        <f t="shared" si="237"/>
        <v>0</v>
      </c>
      <c r="AE145" s="118">
        <f t="shared" si="237"/>
        <v>0</v>
      </c>
      <c r="AF145" s="116">
        <f t="shared" si="237"/>
        <v>0</v>
      </c>
      <c r="AG145" s="117">
        <f t="shared" si="237"/>
        <v>0</v>
      </c>
      <c r="AH145" s="119">
        <f t="shared" si="237"/>
        <v>0</v>
      </c>
      <c r="AI145" s="194">
        <f t="shared" si="237"/>
        <v>0</v>
      </c>
      <c r="AJ145" s="117">
        <f t="shared" si="237"/>
        <v>0</v>
      </c>
      <c r="AK145" s="118">
        <f t="shared" si="237"/>
        <v>0</v>
      </c>
      <c r="AL145" s="116">
        <f t="shared" si="237"/>
        <v>0</v>
      </c>
      <c r="AM145" s="117">
        <f t="shared" si="237"/>
        <v>0</v>
      </c>
      <c r="AN145" s="119">
        <f t="shared" si="237"/>
        <v>0</v>
      </c>
      <c r="AO145" s="194">
        <f t="shared" ref="AO145:BZ145" si="238">+AO38+AO74+AO110</f>
        <v>0</v>
      </c>
      <c r="AP145" s="117">
        <f t="shared" si="238"/>
        <v>0</v>
      </c>
      <c r="AQ145" s="118">
        <f t="shared" si="238"/>
        <v>0</v>
      </c>
      <c r="AR145" s="116">
        <f t="shared" si="238"/>
        <v>0</v>
      </c>
      <c r="AS145" s="117">
        <f t="shared" si="238"/>
        <v>0</v>
      </c>
      <c r="AT145" s="119">
        <f t="shared" si="238"/>
        <v>0</v>
      </c>
      <c r="AU145" s="194">
        <f t="shared" si="238"/>
        <v>0</v>
      </c>
      <c r="AV145" s="117">
        <f t="shared" si="238"/>
        <v>0</v>
      </c>
      <c r="AW145" s="118">
        <f t="shared" si="238"/>
        <v>0</v>
      </c>
      <c r="AX145" s="116">
        <f t="shared" si="238"/>
        <v>0</v>
      </c>
      <c r="AY145" s="117">
        <f t="shared" si="238"/>
        <v>0</v>
      </c>
      <c r="AZ145" s="119">
        <f t="shared" si="238"/>
        <v>0</v>
      </c>
      <c r="BA145" s="194">
        <f t="shared" si="238"/>
        <v>0</v>
      </c>
      <c r="BB145" s="117">
        <f t="shared" si="238"/>
        <v>0</v>
      </c>
      <c r="BC145" s="118">
        <f t="shared" si="238"/>
        <v>0</v>
      </c>
      <c r="BD145" s="116">
        <f t="shared" si="238"/>
        <v>0</v>
      </c>
      <c r="BE145" s="117">
        <f t="shared" si="238"/>
        <v>0</v>
      </c>
      <c r="BF145" s="119">
        <f t="shared" si="238"/>
        <v>0</v>
      </c>
      <c r="BG145" s="194">
        <f t="shared" si="238"/>
        <v>0</v>
      </c>
      <c r="BH145" s="117">
        <f t="shared" si="238"/>
        <v>0</v>
      </c>
      <c r="BI145" s="118">
        <f t="shared" si="238"/>
        <v>0</v>
      </c>
      <c r="BJ145" s="116">
        <f t="shared" si="238"/>
        <v>0</v>
      </c>
      <c r="BK145" s="117">
        <f t="shared" si="238"/>
        <v>0</v>
      </c>
      <c r="BL145" s="119">
        <f t="shared" si="238"/>
        <v>0</v>
      </c>
      <c r="BM145" s="194">
        <f t="shared" si="238"/>
        <v>0</v>
      </c>
      <c r="BN145" s="117">
        <f t="shared" si="238"/>
        <v>0</v>
      </c>
      <c r="BO145" s="118">
        <f t="shared" si="238"/>
        <v>0</v>
      </c>
      <c r="BP145" s="116">
        <f t="shared" si="238"/>
        <v>0</v>
      </c>
      <c r="BQ145" s="117">
        <f t="shared" si="238"/>
        <v>0</v>
      </c>
      <c r="BR145" s="119">
        <f t="shared" si="238"/>
        <v>0</v>
      </c>
      <c r="BS145" s="194">
        <f t="shared" si="238"/>
        <v>0</v>
      </c>
      <c r="BT145" s="117">
        <f t="shared" si="238"/>
        <v>0</v>
      </c>
      <c r="BU145" s="118">
        <f t="shared" si="238"/>
        <v>0</v>
      </c>
      <c r="BV145" s="116">
        <f t="shared" si="238"/>
        <v>0</v>
      </c>
      <c r="BW145" s="117">
        <f t="shared" si="238"/>
        <v>0</v>
      </c>
      <c r="BX145" s="119">
        <f t="shared" si="238"/>
        <v>0</v>
      </c>
      <c r="BY145" s="194">
        <f t="shared" si="238"/>
        <v>0</v>
      </c>
      <c r="BZ145" s="117">
        <f t="shared" si="238"/>
        <v>0</v>
      </c>
      <c r="CA145" s="118">
        <f t="shared" ref="CA145:DB145" si="239">+CA38+CA74+CA110</f>
        <v>0</v>
      </c>
      <c r="CB145" s="116">
        <f t="shared" si="239"/>
        <v>0</v>
      </c>
      <c r="CC145" s="117">
        <f t="shared" si="239"/>
        <v>0</v>
      </c>
      <c r="CD145" s="119">
        <f t="shared" si="239"/>
        <v>0</v>
      </c>
      <c r="CE145" s="194">
        <f t="shared" si="239"/>
        <v>0</v>
      </c>
      <c r="CF145" s="117">
        <f t="shared" si="239"/>
        <v>0</v>
      </c>
      <c r="CG145" s="118">
        <f t="shared" si="239"/>
        <v>0</v>
      </c>
      <c r="CH145" s="116">
        <f t="shared" si="239"/>
        <v>0</v>
      </c>
      <c r="CI145" s="117">
        <f t="shared" si="239"/>
        <v>0</v>
      </c>
      <c r="CJ145" s="118">
        <f t="shared" si="239"/>
        <v>0</v>
      </c>
      <c r="CK145" s="246">
        <f t="shared" si="239"/>
        <v>0</v>
      </c>
      <c r="CL145" s="60">
        <f t="shared" si="239"/>
        <v>0</v>
      </c>
      <c r="CM145" s="396">
        <f t="shared" si="239"/>
        <v>0</v>
      </c>
      <c r="CN145" s="246">
        <f t="shared" si="239"/>
        <v>0</v>
      </c>
      <c r="CO145" s="60">
        <f t="shared" si="239"/>
        <v>0</v>
      </c>
      <c r="CP145" s="64">
        <f t="shared" si="239"/>
        <v>0</v>
      </c>
      <c r="CQ145" s="194">
        <f t="shared" ref="CQ145:CY145" si="240">+CQ38+CQ74+CQ110</f>
        <v>0</v>
      </c>
      <c r="CR145" s="117">
        <f t="shared" si="240"/>
        <v>0</v>
      </c>
      <c r="CS145" s="119">
        <f t="shared" si="240"/>
        <v>0</v>
      </c>
      <c r="CT145" s="194">
        <f t="shared" si="240"/>
        <v>0</v>
      </c>
      <c r="CU145" s="117">
        <f t="shared" si="240"/>
        <v>0</v>
      </c>
      <c r="CV145" s="119">
        <f t="shared" si="240"/>
        <v>0</v>
      </c>
      <c r="CW145" s="194">
        <f t="shared" si="240"/>
        <v>0</v>
      </c>
      <c r="CX145" s="117">
        <f t="shared" si="240"/>
        <v>0</v>
      </c>
      <c r="CY145" s="119">
        <f t="shared" si="240"/>
        <v>0</v>
      </c>
      <c r="CZ145" s="194">
        <f t="shared" si="239"/>
        <v>0</v>
      </c>
      <c r="DA145" s="117">
        <f t="shared" si="239"/>
        <v>0</v>
      </c>
      <c r="DB145" s="119">
        <f t="shared" si="239"/>
        <v>0</v>
      </c>
      <c r="DC145" s="380">
        <f t="shared" si="120"/>
        <v>0</v>
      </c>
      <c r="DD145" s="381">
        <f t="shared" si="121"/>
        <v>0</v>
      </c>
      <c r="DE145" s="381">
        <f t="shared" si="122"/>
        <v>0</v>
      </c>
      <c r="DF145" s="145">
        <f t="shared" si="115"/>
        <v>0</v>
      </c>
    </row>
    <row r="146" spans="1:110">
      <c r="A146" s="364"/>
      <c r="B146" s="113">
        <f>SUM(B115:B145)</f>
        <v>0</v>
      </c>
      <c r="C146" s="113">
        <f t="shared" ref="C146" si="241">SUM(C115:C145)</f>
        <v>0</v>
      </c>
      <c r="D146" s="113">
        <f t="shared" ref="D146" si="242">SUM(D115:D145)</f>
        <v>0</v>
      </c>
      <c r="E146" s="297">
        <f t="shared" ref="E146" si="243">SUM(E115:E145)</f>
        <v>0</v>
      </c>
      <c r="F146" s="113">
        <f t="shared" ref="F146" si="244">SUM(F115:F145)</f>
        <v>0</v>
      </c>
      <c r="G146" s="306">
        <f t="shared" ref="G146" si="245">SUM(G115:G145)</f>
        <v>0</v>
      </c>
      <c r="H146" s="113">
        <f t="shared" ref="H146" si="246">SUM(H115:H145)</f>
        <v>0</v>
      </c>
      <c r="I146" s="113">
        <f t="shared" ref="I146" si="247">SUM(I115:I145)</f>
        <v>0</v>
      </c>
      <c r="J146" s="113">
        <f t="shared" ref="J146" si="248">SUM(J115:J145)</f>
        <v>0</v>
      </c>
      <c r="K146" s="297">
        <f t="shared" ref="K146" si="249">SUM(K115:K145)</f>
        <v>0</v>
      </c>
      <c r="L146" s="113">
        <f t="shared" ref="L146" si="250">SUM(L115:L145)</f>
        <v>0</v>
      </c>
      <c r="M146" s="306">
        <f t="shared" ref="M146" si="251">SUM(M115:M145)</f>
        <v>0</v>
      </c>
      <c r="N146" s="113">
        <f t="shared" ref="N146" si="252">SUM(N115:N145)</f>
        <v>0</v>
      </c>
      <c r="O146" s="113">
        <f t="shared" ref="O146" si="253">SUM(O115:O145)</f>
        <v>0</v>
      </c>
      <c r="P146" s="113">
        <f t="shared" ref="P146" si="254">SUM(P115:P145)</f>
        <v>0</v>
      </c>
      <c r="Q146" s="297">
        <f t="shared" ref="Q146" si="255">SUM(Q115:Q145)</f>
        <v>0</v>
      </c>
      <c r="R146" s="113">
        <f t="shared" ref="R146" si="256">SUM(R115:R145)</f>
        <v>0</v>
      </c>
      <c r="S146" s="306">
        <f t="shared" ref="S146" si="257">SUM(S115:S145)</f>
        <v>0</v>
      </c>
      <c r="T146" s="113">
        <f t="shared" ref="T146" si="258">SUM(T115:T145)</f>
        <v>0</v>
      </c>
      <c r="U146" s="113">
        <f t="shared" ref="U146" si="259">SUM(U115:U145)</f>
        <v>0</v>
      </c>
      <c r="V146" s="113">
        <f t="shared" ref="V146" si="260">SUM(V115:V145)</f>
        <v>0</v>
      </c>
      <c r="W146" s="297">
        <f t="shared" ref="W146" si="261">SUM(W115:W145)</f>
        <v>0</v>
      </c>
      <c r="X146" s="113">
        <f t="shared" ref="X146" si="262">SUM(X115:X145)</f>
        <v>0</v>
      </c>
      <c r="Y146" s="306">
        <f t="shared" ref="Y146" si="263">SUM(Y115:Y145)</f>
        <v>0</v>
      </c>
      <c r="Z146" s="113">
        <f t="shared" ref="Z146" si="264">SUM(Z115:Z145)</f>
        <v>0</v>
      </c>
      <c r="AA146" s="113">
        <f t="shared" ref="AA146" si="265">SUM(AA115:AA145)</f>
        <v>0</v>
      </c>
      <c r="AB146" s="113">
        <f t="shared" ref="AB146" si="266">SUM(AB115:AB145)</f>
        <v>0</v>
      </c>
      <c r="AC146" s="297">
        <f t="shared" ref="AC146" si="267">SUM(AC115:AC145)</f>
        <v>0</v>
      </c>
      <c r="AD146" s="113">
        <f t="shared" ref="AD146" si="268">SUM(AD115:AD145)</f>
        <v>0</v>
      </c>
      <c r="AE146" s="306">
        <f t="shared" ref="AE146" si="269">SUM(AE115:AE145)</f>
        <v>0</v>
      </c>
      <c r="AF146" s="113">
        <f t="shared" ref="AF146" si="270">SUM(AF115:AF145)</f>
        <v>0</v>
      </c>
      <c r="AG146" s="113">
        <f t="shared" ref="AG146" si="271">SUM(AG115:AG145)</f>
        <v>0</v>
      </c>
      <c r="AH146" s="113">
        <f t="shared" ref="AH146" si="272">SUM(AH115:AH145)</f>
        <v>0</v>
      </c>
      <c r="AI146" s="297">
        <f t="shared" ref="AI146" si="273">SUM(AI115:AI145)</f>
        <v>0</v>
      </c>
      <c r="AJ146" s="113">
        <f t="shared" ref="AJ146" si="274">SUM(AJ115:AJ145)</f>
        <v>0</v>
      </c>
      <c r="AK146" s="306">
        <f t="shared" ref="AK146" si="275">SUM(AK115:AK145)</f>
        <v>0</v>
      </c>
      <c r="AL146" s="113">
        <f t="shared" ref="AL146" si="276">SUM(AL115:AL145)</f>
        <v>0</v>
      </c>
      <c r="AM146" s="113">
        <f t="shared" ref="AM146" si="277">SUM(AM115:AM145)</f>
        <v>0</v>
      </c>
      <c r="AN146" s="113">
        <f t="shared" ref="AN146" si="278">SUM(AN115:AN145)</f>
        <v>0</v>
      </c>
      <c r="AO146" s="297">
        <f t="shared" ref="AO146" si="279">SUM(AO115:AO145)</f>
        <v>0</v>
      </c>
      <c r="AP146" s="113">
        <f t="shared" ref="AP146" si="280">SUM(AP115:AP145)</f>
        <v>0</v>
      </c>
      <c r="AQ146" s="306">
        <f t="shared" ref="AQ146" si="281">SUM(AQ115:AQ145)</f>
        <v>0</v>
      </c>
      <c r="AR146" s="113">
        <f t="shared" ref="AR146" si="282">SUM(AR115:AR145)</f>
        <v>0</v>
      </c>
      <c r="AS146" s="113">
        <f t="shared" ref="AS146" si="283">SUM(AS115:AS145)</f>
        <v>0</v>
      </c>
      <c r="AT146" s="113">
        <f t="shared" ref="AT146" si="284">SUM(AT115:AT145)</f>
        <v>0</v>
      </c>
      <c r="AU146" s="297">
        <f t="shared" ref="AU146" si="285">SUM(AU115:AU145)</f>
        <v>0</v>
      </c>
      <c r="AV146" s="113">
        <f t="shared" ref="AV146" si="286">SUM(AV115:AV145)</f>
        <v>0</v>
      </c>
      <c r="AW146" s="306">
        <f t="shared" ref="AW146" si="287">SUM(AW115:AW145)</f>
        <v>0</v>
      </c>
      <c r="AX146" s="113">
        <f t="shared" ref="AX146" si="288">SUM(AX115:AX145)</f>
        <v>0</v>
      </c>
      <c r="AY146" s="113">
        <f t="shared" ref="AY146" si="289">SUM(AY115:AY145)</f>
        <v>0</v>
      </c>
      <c r="AZ146" s="113">
        <f t="shared" ref="AZ146" si="290">SUM(AZ115:AZ145)</f>
        <v>0</v>
      </c>
      <c r="BA146" s="297">
        <f t="shared" ref="BA146" si="291">SUM(BA115:BA145)</f>
        <v>0</v>
      </c>
      <c r="BB146" s="113">
        <f t="shared" ref="BB146" si="292">SUM(BB115:BB145)</f>
        <v>0</v>
      </c>
      <c r="BC146" s="306">
        <f t="shared" ref="BC146" si="293">SUM(BC115:BC145)</f>
        <v>0</v>
      </c>
      <c r="BD146" s="113">
        <f t="shared" ref="BD146" si="294">SUM(BD115:BD145)</f>
        <v>0</v>
      </c>
      <c r="BE146" s="113">
        <f t="shared" ref="BE146" si="295">SUM(BE115:BE145)</f>
        <v>0</v>
      </c>
      <c r="BF146" s="113">
        <f t="shared" ref="BF146" si="296">SUM(BF115:BF145)</f>
        <v>0</v>
      </c>
      <c r="BG146" s="297">
        <f t="shared" ref="BG146" si="297">SUM(BG115:BG145)</f>
        <v>0</v>
      </c>
      <c r="BH146" s="113">
        <f t="shared" ref="BH146" si="298">SUM(BH115:BH145)</f>
        <v>0</v>
      </c>
      <c r="BI146" s="306">
        <f t="shared" ref="BI146" si="299">SUM(BI115:BI145)</f>
        <v>0</v>
      </c>
      <c r="BJ146" s="113">
        <f t="shared" ref="BJ146" si="300">SUM(BJ115:BJ145)</f>
        <v>0</v>
      </c>
      <c r="BK146" s="113">
        <f t="shared" ref="BK146" si="301">SUM(BK115:BK145)</f>
        <v>0</v>
      </c>
      <c r="BL146" s="113">
        <f t="shared" ref="BL146" si="302">SUM(BL115:BL145)</f>
        <v>0</v>
      </c>
      <c r="BM146" s="297">
        <f t="shared" ref="BM146" si="303">SUM(BM115:BM145)</f>
        <v>0</v>
      </c>
      <c r="BN146" s="113">
        <f t="shared" ref="BN146" si="304">SUM(BN115:BN145)</f>
        <v>0</v>
      </c>
      <c r="BO146" s="306">
        <f t="shared" ref="BO146" si="305">SUM(BO115:BO145)</f>
        <v>0</v>
      </c>
      <c r="BP146" s="113">
        <f t="shared" ref="BP146" si="306">SUM(BP115:BP145)</f>
        <v>0</v>
      </c>
      <c r="BQ146" s="113">
        <f t="shared" ref="BQ146" si="307">SUM(BQ115:BQ145)</f>
        <v>0</v>
      </c>
      <c r="BR146" s="113">
        <f t="shared" ref="BR146" si="308">SUM(BR115:BR145)</f>
        <v>0</v>
      </c>
      <c r="BS146" s="297">
        <f t="shared" ref="BS146" si="309">SUM(BS115:BS145)</f>
        <v>0</v>
      </c>
      <c r="BT146" s="113">
        <f t="shared" ref="BT146" si="310">SUM(BT115:BT145)</f>
        <v>0</v>
      </c>
      <c r="BU146" s="306">
        <f t="shared" ref="BU146" si="311">SUM(BU115:BU145)</f>
        <v>0</v>
      </c>
      <c r="BV146" s="113">
        <f t="shared" ref="BV146" si="312">SUM(BV115:BV145)</f>
        <v>0</v>
      </c>
      <c r="BW146" s="113">
        <f t="shared" ref="BW146" si="313">SUM(BW115:BW145)</f>
        <v>0</v>
      </c>
      <c r="BX146" s="113">
        <f t="shared" ref="BX146" si="314">SUM(BX115:BX145)</f>
        <v>0</v>
      </c>
      <c r="BY146" s="297">
        <f t="shared" ref="BY146" si="315">SUM(BY115:BY145)</f>
        <v>0</v>
      </c>
      <c r="BZ146" s="113">
        <f t="shared" ref="BZ146" si="316">SUM(BZ115:BZ145)</f>
        <v>0</v>
      </c>
      <c r="CA146" s="306">
        <f t="shared" ref="CA146" si="317">SUM(CA115:CA145)</f>
        <v>0</v>
      </c>
      <c r="CB146" s="113">
        <f t="shared" ref="CB146" si="318">SUM(CB115:CB145)</f>
        <v>0</v>
      </c>
      <c r="CC146" s="113">
        <f t="shared" ref="CC146" si="319">SUM(CC115:CC145)</f>
        <v>0</v>
      </c>
      <c r="CD146" s="113">
        <f t="shared" ref="CD146" si="320">SUM(CD115:CD145)</f>
        <v>0</v>
      </c>
      <c r="CE146" s="297">
        <f t="shared" ref="CE146" si="321">SUM(CE115:CE145)</f>
        <v>0</v>
      </c>
      <c r="CF146" s="113">
        <f t="shared" ref="CF146" si="322">SUM(CF115:CF145)</f>
        <v>0</v>
      </c>
      <c r="CG146" s="306">
        <f t="shared" ref="CG146" si="323">SUM(CG115:CG145)</f>
        <v>0</v>
      </c>
      <c r="CH146" s="113">
        <f t="shared" ref="CH146" si="324">SUM(CH115:CH145)</f>
        <v>0</v>
      </c>
      <c r="CI146" s="113">
        <f t="shared" ref="CI146" si="325">SUM(CI115:CI145)</f>
        <v>0</v>
      </c>
      <c r="CJ146" s="113">
        <f t="shared" ref="CJ146:CZ146" si="326">SUM(CJ115:CJ145)</f>
        <v>0</v>
      </c>
      <c r="CK146" s="35">
        <f t="shared" si="326"/>
        <v>0</v>
      </c>
      <c r="CL146" s="35">
        <f t="shared" si="326"/>
        <v>0</v>
      </c>
      <c r="CM146" s="35">
        <f t="shared" si="326"/>
        <v>0</v>
      </c>
      <c r="CN146" s="35">
        <f t="shared" si="326"/>
        <v>0</v>
      </c>
      <c r="CO146" s="35">
        <f t="shared" si="326"/>
        <v>0</v>
      </c>
      <c r="CP146" s="35">
        <f t="shared" si="326"/>
        <v>0</v>
      </c>
      <c r="CQ146" s="113">
        <f t="shared" si="326"/>
        <v>0</v>
      </c>
      <c r="CR146" s="113">
        <f t="shared" si="326"/>
        <v>0</v>
      </c>
      <c r="CS146" s="113">
        <f t="shared" si="326"/>
        <v>0</v>
      </c>
      <c r="CT146" s="113">
        <f t="shared" si="326"/>
        <v>0</v>
      </c>
      <c r="CU146" s="113">
        <f t="shared" si="326"/>
        <v>0</v>
      </c>
      <c r="CV146" s="113">
        <f t="shared" si="326"/>
        <v>0</v>
      </c>
      <c r="CW146" s="113">
        <f t="shared" si="326"/>
        <v>0</v>
      </c>
      <c r="CX146" s="113">
        <f t="shared" si="326"/>
        <v>0</v>
      </c>
      <c r="CY146" s="113">
        <f t="shared" si="326"/>
        <v>0</v>
      </c>
      <c r="CZ146" s="113">
        <f t="shared" si="326"/>
        <v>0</v>
      </c>
      <c r="DA146" s="113">
        <f t="shared" ref="DA146" si="327">SUM(DA115:DA145)</f>
        <v>0</v>
      </c>
      <c r="DB146" s="113">
        <f t="shared" ref="DB146" si="328">SUM(DB115:DB145)</f>
        <v>0</v>
      </c>
      <c r="DC146" s="382">
        <f t="shared" ref="DC146" si="329">SUM(DC115:DC145)</f>
        <v>0</v>
      </c>
      <c r="DD146" s="394">
        <f t="shared" ref="DD146" si="330">SUM(DD115:DD145)</f>
        <v>0</v>
      </c>
      <c r="DE146" s="394">
        <f t="shared" ref="DE146" si="331">SUM(DE115:DE145)</f>
        <v>0</v>
      </c>
      <c r="DF146" s="145">
        <f t="shared" si="115"/>
        <v>0</v>
      </c>
    </row>
    <row r="149" spans="1:110">
      <c r="A149" s="403" t="s">
        <v>2</v>
      </c>
      <c r="B149" s="426" t="s">
        <v>3</v>
      </c>
      <c r="C149" s="424"/>
      <c r="D149" s="427"/>
      <c r="E149" s="423" t="s">
        <v>4</v>
      </c>
      <c r="F149" s="424"/>
      <c r="G149" s="425"/>
      <c r="H149" s="426" t="s">
        <v>5</v>
      </c>
      <c r="I149" s="424"/>
      <c r="J149" s="427"/>
      <c r="K149" s="423" t="s">
        <v>6</v>
      </c>
      <c r="L149" s="424"/>
      <c r="M149" s="425"/>
      <c r="N149" s="426" t="s">
        <v>7</v>
      </c>
      <c r="O149" s="424"/>
      <c r="P149" s="427"/>
      <c r="Q149" s="423" t="s">
        <v>8</v>
      </c>
      <c r="R149" s="424"/>
      <c r="S149" s="425"/>
      <c r="T149" s="426" t="s">
        <v>9</v>
      </c>
      <c r="U149" s="424"/>
      <c r="V149" s="427"/>
      <c r="W149" s="423" t="s">
        <v>10</v>
      </c>
      <c r="X149" s="424"/>
      <c r="Y149" s="425"/>
      <c r="Z149" s="426" t="s">
        <v>11</v>
      </c>
      <c r="AA149" s="424"/>
      <c r="AB149" s="427"/>
      <c r="AC149" s="423" t="s">
        <v>12</v>
      </c>
      <c r="AD149" s="424"/>
      <c r="AE149" s="425"/>
      <c r="AF149" s="426" t="s">
        <v>13</v>
      </c>
      <c r="AG149" s="424"/>
      <c r="AH149" s="427"/>
      <c r="AI149" s="423" t="s">
        <v>14</v>
      </c>
      <c r="AJ149" s="424"/>
      <c r="AK149" s="425"/>
      <c r="AL149" s="426" t="s">
        <v>15</v>
      </c>
      <c r="AM149" s="424"/>
      <c r="AN149" s="427"/>
      <c r="AO149" s="423" t="s">
        <v>16</v>
      </c>
      <c r="AP149" s="424"/>
      <c r="AQ149" s="425"/>
      <c r="AR149" s="426" t="s">
        <v>17</v>
      </c>
      <c r="AS149" s="424"/>
      <c r="AT149" s="427"/>
      <c r="AU149" s="417" t="s">
        <v>18</v>
      </c>
      <c r="AV149" s="417"/>
      <c r="AW149" s="417"/>
      <c r="AX149" s="403" t="s">
        <v>19</v>
      </c>
      <c r="AY149" s="417"/>
      <c r="AZ149" s="418"/>
      <c r="BA149" s="417" t="s">
        <v>20</v>
      </c>
      <c r="BB149" s="417"/>
      <c r="BC149" s="417"/>
      <c r="BD149" s="403" t="s">
        <v>21</v>
      </c>
      <c r="BE149" s="417"/>
      <c r="BF149" s="418"/>
      <c r="BG149" s="417" t="s">
        <v>22</v>
      </c>
      <c r="BH149" s="417"/>
      <c r="BI149" s="417"/>
      <c r="BJ149" s="403" t="s">
        <v>23</v>
      </c>
      <c r="BK149" s="417"/>
      <c r="BL149" s="418"/>
      <c r="BM149" s="417" t="s">
        <v>24</v>
      </c>
      <c r="BN149" s="417"/>
      <c r="BO149" s="417"/>
      <c r="BP149" s="403" t="s">
        <v>25</v>
      </c>
      <c r="BQ149" s="417"/>
      <c r="BR149" s="418"/>
      <c r="BS149" s="417" t="s">
        <v>26</v>
      </c>
      <c r="BT149" s="417"/>
      <c r="BU149" s="417"/>
      <c r="BV149" s="403" t="s">
        <v>27</v>
      </c>
      <c r="BW149" s="417"/>
      <c r="BX149" s="418"/>
      <c r="BY149" s="417" t="s">
        <v>28</v>
      </c>
      <c r="BZ149" s="417"/>
      <c r="CA149" s="417"/>
      <c r="CB149" s="403" t="s">
        <v>29</v>
      </c>
      <c r="CC149" s="417"/>
      <c r="CD149" s="418"/>
      <c r="CE149" s="417" t="s">
        <v>30</v>
      </c>
      <c r="CF149" s="417"/>
      <c r="CG149" s="417"/>
      <c r="CH149" s="403" t="s">
        <v>31</v>
      </c>
      <c r="CI149" s="417"/>
      <c r="CJ149" s="418"/>
      <c r="CK149" s="419" t="s">
        <v>32</v>
      </c>
      <c r="CL149" s="419"/>
      <c r="CM149" s="419"/>
      <c r="CN149" s="420" t="s">
        <v>33</v>
      </c>
      <c r="CO149" s="419"/>
      <c r="CP149" s="421"/>
      <c r="CQ149" s="403" t="s">
        <v>34</v>
      </c>
      <c r="CR149" s="417"/>
      <c r="CS149" s="418"/>
      <c r="CT149" s="403" t="s">
        <v>35</v>
      </c>
      <c r="CU149" s="417"/>
      <c r="CV149" s="418"/>
      <c r="CW149" s="403" t="s">
        <v>36</v>
      </c>
      <c r="CX149" s="417"/>
      <c r="CY149" s="418"/>
      <c r="CZ149" s="403" t="s">
        <v>37</v>
      </c>
      <c r="DA149" s="417"/>
      <c r="DB149" s="418"/>
      <c r="DC149" s="422" t="s">
        <v>44</v>
      </c>
      <c r="DD149" s="422"/>
      <c r="DE149" s="422"/>
    </row>
    <row r="150" spans="1:110">
      <c r="A150" s="404"/>
      <c r="B150" s="360" t="s">
        <v>39</v>
      </c>
      <c r="C150" s="361" t="s">
        <v>40</v>
      </c>
      <c r="D150" s="362" t="s">
        <v>41</v>
      </c>
      <c r="E150" s="363" t="s">
        <v>39</v>
      </c>
      <c r="F150" s="361" t="s">
        <v>40</v>
      </c>
      <c r="G150" s="371" t="s">
        <v>41</v>
      </c>
      <c r="H150" s="360" t="s">
        <v>39</v>
      </c>
      <c r="I150" s="361" t="s">
        <v>40</v>
      </c>
      <c r="J150" s="362" t="s">
        <v>41</v>
      </c>
      <c r="K150" s="363" t="s">
        <v>39</v>
      </c>
      <c r="L150" s="361" t="s">
        <v>40</v>
      </c>
      <c r="M150" s="371" t="s">
        <v>41</v>
      </c>
      <c r="N150" s="360" t="s">
        <v>39</v>
      </c>
      <c r="O150" s="361" t="s">
        <v>40</v>
      </c>
      <c r="P150" s="362" t="s">
        <v>41</v>
      </c>
      <c r="Q150" s="363" t="s">
        <v>39</v>
      </c>
      <c r="R150" s="361" t="s">
        <v>40</v>
      </c>
      <c r="S150" s="371" t="s">
        <v>41</v>
      </c>
      <c r="T150" s="360" t="s">
        <v>39</v>
      </c>
      <c r="U150" s="361" t="s">
        <v>40</v>
      </c>
      <c r="V150" s="362" t="s">
        <v>41</v>
      </c>
      <c r="W150" s="363" t="s">
        <v>39</v>
      </c>
      <c r="X150" s="361" t="s">
        <v>40</v>
      </c>
      <c r="Y150" s="371" t="s">
        <v>41</v>
      </c>
      <c r="Z150" s="360" t="s">
        <v>39</v>
      </c>
      <c r="AA150" s="361" t="s">
        <v>40</v>
      </c>
      <c r="AB150" s="362" t="s">
        <v>41</v>
      </c>
      <c r="AC150" s="363" t="s">
        <v>39</v>
      </c>
      <c r="AD150" s="361" t="s">
        <v>40</v>
      </c>
      <c r="AE150" s="371" t="s">
        <v>41</v>
      </c>
      <c r="AF150" s="360" t="s">
        <v>39</v>
      </c>
      <c r="AG150" s="361" t="s">
        <v>40</v>
      </c>
      <c r="AH150" s="362" t="s">
        <v>41</v>
      </c>
      <c r="AI150" s="363" t="s">
        <v>39</v>
      </c>
      <c r="AJ150" s="361" t="s">
        <v>40</v>
      </c>
      <c r="AK150" s="371" t="s">
        <v>41</v>
      </c>
      <c r="AL150" s="360" t="s">
        <v>39</v>
      </c>
      <c r="AM150" s="361" t="s">
        <v>40</v>
      </c>
      <c r="AN150" s="362" t="s">
        <v>41</v>
      </c>
      <c r="AO150" s="363" t="s">
        <v>39</v>
      </c>
      <c r="AP150" s="361" t="s">
        <v>40</v>
      </c>
      <c r="AQ150" s="371" t="s">
        <v>41</v>
      </c>
      <c r="AR150" s="360" t="s">
        <v>39</v>
      </c>
      <c r="AS150" s="361" t="s">
        <v>40</v>
      </c>
      <c r="AT150" s="362" t="s">
        <v>41</v>
      </c>
      <c r="AU150" s="363" t="s">
        <v>39</v>
      </c>
      <c r="AV150" s="361" t="s">
        <v>40</v>
      </c>
      <c r="AW150" s="371" t="s">
        <v>41</v>
      </c>
      <c r="AX150" s="360" t="s">
        <v>39</v>
      </c>
      <c r="AY150" s="361" t="s">
        <v>40</v>
      </c>
      <c r="AZ150" s="362" t="s">
        <v>41</v>
      </c>
      <c r="BA150" s="363" t="s">
        <v>39</v>
      </c>
      <c r="BB150" s="361" t="s">
        <v>40</v>
      </c>
      <c r="BC150" s="371" t="s">
        <v>41</v>
      </c>
      <c r="BD150" s="360" t="s">
        <v>39</v>
      </c>
      <c r="BE150" s="361" t="s">
        <v>40</v>
      </c>
      <c r="BF150" s="362" t="s">
        <v>41</v>
      </c>
      <c r="BG150" s="363" t="s">
        <v>39</v>
      </c>
      <c r="BH150" s="361" t="s">
        <v>40</v>
      </c>
      <c r="BI150" s="371" t="s">
        <v>41</v>
      </c>
      <c r="BJ150" s="360" t="s">
        <v>39</v>
      </c>
      <c r="BK150" s="361" t="s">
        <v>40</v>
      </c>
      <c r="BL150" s="362" t="s">
        <v>41</v>
      </c>
      <c r="BM150" s="363" t="s">
        <v>39</v>
      </c>
      <c r="BN150" s="361" t="s">
        <v>40</v>
      </c>
      <c r="BO150" s="371" t="s">
        <v>41</v>
      </c>
      <c r="BP150" s="360" t="s">
        <v>39</v>
      </c>
      <c r="BQ150" s="361" t="s">
        <v>40</v>
      </c>
      <c r="BR150" s="362" t="s">
        <v>41</v>
      </c>
      <c r="BS150" s="363" t="s">
        <v>39</v>
      </c>
      <c r="BT150" s="361" t="s">
        <v>40</v>
      </c>
      <c r="BU150" s="371" t="s">
        <v>41</v>
      </c>
      <c r="BV150" s="360" t="s">
        <v>39</v>
      </c>
      <c r="BW150" s="361" t="s">
        <v>40</v>
      </c>
      <c r="BX150" s="362" t="s">
        <v>41</v>
      </c>
      <c r="BY150" s="363" t="s">
        <v>39</v>
      </c>
      <c r="BZ150" s="361" t="s">
        <v>40</v>
      </c>
      <c r="CA150" s="371" t="s">
        <v>41</v>
      </c>
      <c r="CB150" s="360" t="s">
        <v>39</v>
      </c>
      <c r="CC150" s="361" t="s">
        <v>40</v>
      </c>
      <c r="CD150" s="362" t="s">
        <v>41</v>
      </c>
      <c r="CE150" s="363" t="s">
        <v>39</v>
      </c>
      <c r="CF150" s="361" t="s">
        <v>40</v>
      </c>
      <c r="CG150" s="371" t="s">
        <v>41</v>
      </c>
      <c r="CH150" s="360" t="s">
        <v>39</v>
      </c>
      <c r="CI150" s="361" t="s">
        <v>40</v>
      </c>
      <c r="CJ150" s="362" t="s">
        <v>41</v>
      </c>
      <c r="CK150" s="200" t="s">
        <v>39</v>
      </c>
      <c r="CL150" s="397" t="s">
        <v>40</v>
      </c>
      <c r="CM150" s="201" t="s">
        <v>41</v>
      </c>
      <c r="CN150" s="311" t="s">
        <v>39</v>
      </c>
      <c r="CO150" s="312" t="s">
        <v>40</v>
      </c>
      <c r="CP150" s="313" t="s">
        <v>41</v>
      </c>
      <c r="CQ150" s="375" t="s">
        <v>39</v>
      </c>
      <c r="CR150" s="376" t="s">
        <v>40</v>
      </c>
      <c r="CS150" s="377" t="s">
        <v>41</v>
      </c>
      <c r="CT150" s="375" t="s">
        <v>39</v>
      </c>
      <c r="CU150" s="376" t="s">
        <v>40</v>
      </c>
      <c r="CV150" s="377" t="s">
        <v>41</v>
      </c>
      <c r="CW150" s="375" t="s">
        <v>39</v>
      </c>
      <c r="CX150" s="376" t="s">
        <v>40</v>
      </c>
      <c r="CY150" s="377" t="s">
        <v>41</v>
      </c>
      <c r="CZ150" s="375" t="s">
        <v>39</v>
      </c>
      <c r="DA150" s="376" t="s">
        <v>40</v>
      </c>
      <c r="DB150" s="377" t="s">
        <v>41</v>
      </c>
      <c r="DC150" s="383" t="s">
        <v>39</v>
      </c>
      <c r="DD150" s="193" t="s">
        <v>40</v>
      </c>
      <c r="DE150" s="193" t="s">
        <v>41</v>
      </c>
    </row>
    <row r="151" spans="1:110">
      <c r="A151" s="365">
        <v>1</v>
      </c>
      <c r="B151" s="116">
        <f>+B115/20</f>
        <v>0</v>
      </c>
      <c r="C151" s="117">
        <f>+C115/25</f>
        <v>0</v>
      </c>
      <c r="D151" s="119">
        <f>+D115/30</f>
        <v>0</v>
      </c>
      <c r="E151" s="194">
        <f>+E115/20</f>
        <v>0</v>
      </c>
      <c r="F151" s="117">
        <f>+F115/25</f>
        <v>0</v>
      </c>
      <c r="G151" s="118">
        <f>+G115/30</f>
        <v>0</v>
      </c>
      <c r="H151" s="116">
        <f>+H115/20</f>
        <v>0</v>
      </c>
      <c r="I151" s="117">
        <f>+I115/25</f>
        <v>0</v>
      </c>
      <c r="J151" s="119">
        <f>+J115/30</f>
        <v>0</v>
      </c>
      <c r="K151" s="194">
        <f>+K115/20</f>
        <v>0</v>
      </c>
      <c r="L151" s="117">
        <f>+L115/25</f>
        <v>0</v>
      </c>
      <c r="M151" s="118">
        <f>+M115/30</f>
        <v>0</v>
      </c>
      <c r="N151" s="116">
        <f>+N115/20</f>
        <v>0</v>
      </c>
      <c r="O151" s="117">
        <f>+O115/25</f>
        <v>0</v>
      </c>
      <c r="P151" s="119">
        <f>+P115/30</f>
        <v>0</v>
      </c>
      <c r="Q151" s="194">
        <f>+Q115/20</f>
        <v>0</v>
      </c>
      <c r="R151" s="117">
        <f>+R115/25</f>
        <v>0</v>
      </c>
      <c r="S151" s="118">
        <f>+S115/30</f>
        <v>0</v>
      </c>
      <c r="T151" s="116">
        <f>+T115/20</f>
        <v>0</v>
      </c>
      <c r="U151" s="117">
        <f>+U115/25</f>
        <v>0</v>
      </c>
      <c r="V151" s="119">
        <f>+V115/30</f>
        <v>0</v>
      </c>
      <c r="W151" s="194">
        <f>+W115/20</f>
        <v>0</v>
      </c>
      <c r="X151" s="117">
        <f>+X115/25</f>
        <v>0</v>
      </c>
      <c r="Y151" s="118">
        <f>+Y115/30</f>
        <v>0</v>
      </c>
      <c r="Z151" s="116">
        <f>+Z115/20</f>
        <v>0</v>
      </c>
      <c r="AA151" s="117">
        <f>+AA115/25</f>
        <v>0</v>
      </c>
      <c r="AB151" s="119">
        <f>+AB115/30</f>
        <v>0</v>
      </c>
      <c r="AC151" s="194">
        <f>+AC115/20</f>
        <v>0</v>
      </c>
      <c r="AD151" s="117">
        <f>+AD115/25</f>
        <v>0</v>
      </c>
      <c r="AE151" s="118">
        <f>+AE115/30</f>
        <v>0</v>
      </c>
      <c r="AF151" s="116">
        <f>+AF115/20</f>
        <v>0</v>
      </c>
      <c r="AG151" s="117">
        <f>+AG115/25</f>
        <v>0</v>
      </c>
      <c r="AH151" s="119">
        <f>+AH115/30</f>
        <v>0</v>
      </c>
      <c r="AI151" s="194">
        <f>+AI115/20</f>
        <v>0</v>
      </c>
      <c r="AJ151" s="117">
        <f>+AJ115/25</f>
        <v>0</v>
      </c>
      <c r="AK151" s="118">
        <f>+AK115/30</f>
        <v>0</v>
      </c>
      <c r="AL151" s="116">
        <f>+AL115/20</f>
        <v>0</v>
      </c>
      <c r="AM151" s="117">
        <f>+AM115/25</f>
        <v>0</v>
      </c>
      <c r="AN151" s="119">
        <f>+AN115/30</f>
        <v>0</v>
      </c>
      <c r="AO151" s="194">
        <f>+AO115/20</f>
        <v>0</v>
      </c>
      <c r="AP151" s="117">
        <f>+AP115/25</f>
        <v>0</v>
      </c>
      <c r="AQ151" s="118">
        <f>+AQ115/30</f>
        <v>0</v>
      </c>
      <c r="AR151" s="116">
        <f>+AR115/20</f>
        <v>0</v>
      </c>
      <c r="AS151" s="117">
        <f>+AS115/25</f>
        <v>0</v>
      </c>
      <c r="AT151" s="119">
        <f>+AT115/30</f>
        <v>0</v>
      </c>
      <c r="AU151" s="194">
        <f>+AU115/20</f>
        <v>0</v>
      </c>
      <c r="AV151" s="117">
        <f>+AV115/25</f>
        <v>0</v>
      </c>
      <c r="AW151" s="118">
        <f>+AW115/30</f>
        <v>0</v>
      </c>
      <c r="AX151" s="116">
        <f>+AX115/20</f>
        <v>0</v>
      </c>
      <c r="AY151" s="117">
        <f>+AY115/25</f>
        <v>0</v>
      </c>
      <c r="AZ151" s="119">
        <f>+AZ115/30</f>
        <v>0</v>
      </c>
      <c r="BA151" s="194">
        <f>+BA115/20</f>
        <v>0</v>
      </c>
      <c r="BB151" s="117">
        <f>+BB115/25</f>
        <v>0</v>
      </c>
      <c r="BC151" s="118">
        <f>+BC115/30</f>
        <v>0</v>
      </c>
      <c r="BD151" s="116">
        <f>+BD115/20</f>
        <v>0</v>
      </c>
      <c r="BE151" s="117">
        <f>+BE115/25</f>
        <v>0</v>
      </c>
      <c r="BF151" s="119">
        <f>+BF115/30</f>
        <v>0</v>
      </c>
      <c r="BG151" s="194">
        <f>+BG115/20</f>
        <v>0</v>
      </c>
      <c r="BH151" s="117">
        <f>+BH115/25</f>
        <v>0</v>
      </c>
      <c r="BI151" s="118">
        <f>+BI115/30</f>
        <v>0</v>
      </c>
      <c r="BJ151" s="116">
        <f>+BJ115/20</f>
        <v>0</v>
      </c>
      <c r="BK151" s="117">
        <f>+BK115/25</f>
        <v>0</v>
      </c>
      <c r="BL151" s="119">
        <f>+BL115/30</f>
        <v>0</v>
      </c>
      <c r="BM151" s="194">
        <f>+BM115/20</f>
        <v>0</v>
      </c>
      <c r="BN151" s="117">
        <f>+BN115/25</f>
        <v>0</v>
      </c>
      <c r="BO151" s="118">
        <f>+BO115/30</f>
        <v>0</v>
      </c>
      <c r="BP151" s="116">
        <f>+BP115/20</f>
        <v>0</v>
      </c>
      <c r="BQ151" s="117">
        <f>+BQ115/25</f>
        <v>0</v>
      </c>
      <c r="BR151" s="119">
        <f>+BR115/30</f>
        <v>0</v>
      </c>
      <c r="BS151" s="194">
        <f>+BS115/20</f>
        <v>0</v>
      </c>
      <c r="BT151" s="117">
        <f>+BT115/25</f>
        <v>0</v>
      </c>
      <c r="BU151" s="118">
        <f>+BU115/30</f>
        <v>0</v>
      </c>
      <c r="BV151" s="116">
        <f>+BV115/20</f>
        <v>0</v>
      </c>
      <c r="BW151" s="117">
        <f>+BW115/25</f>
        <v>0</v>
      </c>
      <c r="BX151" s="119">
        <f>+BX115/30</f>
        <v>0</v>
      </c>
      <c r="BY151" s="194">
        <f>+BY115/20</f>
        <v>0</v>
      </c>
      <c r="BZ151" s="117">
        <f>+BZ115/25</f>
        <v>0</v>
      </c>
      <c r="CA151" s="118">
        <f>+CA115/30</f>
        <v>0</v>
      </c>
      <c r="CB151" s="116">
        <f>+CB115/20</f>
        <v>0</v>
      </c>
      <c r="CC151" s="117">
        <f>+CC115/25</f>
        <v>0</v>
      </c>
      <c r="CD151" s="119">
        <f>+CD115/30</f>
        <v>0</v>
      </c>
      <c r="CE151" s="194">
        <f>+CE115/20</f>
        <v>0</v>
      </c>
      <c r="CF151" s="117">
        <f>+CF115/25</f>
        <v>0</v>
      </c>
      <c r="CG151" s="118">
        <f>+CG115/30</f>
        <v>0</v>
      </c>
      <c r="CH151" s="116">
        <f>+CH115/20</f>
        <v>0</v>
      </c>
      <c r="CI151" s="117">
        <f>+CI115/25</f>
        <v>0</v>
      </c>
      <c r="CJ151" s="119">
        <f>+CJ115/30</f>
        <v>0</v>
      </c>
      <c r="CK151" s="194">
        <f>+CK115/20</f>
        <v>0</v>
      </c>
      <c r="CL151" s="194">
        <f>+CL115/25</f>
        <v>0</v>
      </c>
      <c r="CM151" s="398">
        <f>+CM115/30</f>
        <v>0</v>
      </c>
      <c r="CN151" s="120">
        <f>+CN115/20</f>
        <v>0</v>
      </c>
      <c r="CO151" s="41">
        <f>+CO115/25</f>
        <v>0</v>
      </c>
      <c r="CP151" s="122">
        <f>+CP115/30</f>
        <v>0</v>
      </c>
      <c r="CQ151" s="194">
        <f>+CQ115/20</f>
        <v>0</v>
      </c>
      <c r="CR151" s="117">
        <f>+CR115/25</f>
        <v>0</v>
      </c>
      <c r="CS151" s="119">
        <f>+CS115/30</f>
        <v>0</v>
      </c>
      <c r="CT151" s="194">
        <f>+CT115/20</f>
        <v>0</v>
      </c>
      <c r="CU151" s="117">
        <f>+CU115/25</f>
        <v>0</v>
      </c>
      <c r="CV151" s="119">
        <f>+CV115/30</f>
        <v>0</v>
      </c>
      <c r="CW151" s="194">
        <f>+CW115/20</f>
        <v>0</v>
      </c>
      <c r="CX151" s="117">
        <f>+CX115/25</f>
        <v>0</v>
      </c>
      <c r="CY151" s="119">
        <f>+CY115/30</f>
        <v>0</v>
      </c>
      <c r="CZ151" s="194">
        <f>+CZ115/20</f>
        <v>0</v>
      </c>
      <c r="DA151" s="117">
        <f>+DA115/25</f>
        <v>0</v>
      </c>
      <c r="DB151" s="119">
        <f>+DB115/30</f>
        <v>0</v>
      </c>
      <c r="DC151" s="399">
        <f>+B151+E151+H151+K151+N151+Q151+T151+W151+Z151+AC151+AF151+AI151+AL151+AO151+AR151+AU151+AX151+BA151+BD151+BG151+BJ151+BM151+BP151+BS151+BV151+BY151+CB151+CE151+CH151+CK151+CN151+CZ151+CW151+CT151+CQ151</f>
        <v>0</v>
      </c>
      <c r="DD151" s="75">
        <f>+C151+F151+I151+L151+O151+R151+U151+X151+AA151+AD151+AG151+AJ151+AP151+AS151+AV151+AY151+BB151+BE151+BH151+BK151+BN151+BQ151+BT151+BW151+BZ151+CC151+CF151+CI151+CL151+CO151+DA151+CX151+CU151+CR151+AM151</f>
        <v>0</v>
      </c>
      <c r="DE151" s="75">
        <f>+D151+G151+J151+M151+P151+S151+V151+Y151+AB151+AE151+AH151+AK151+AN151+AQ151+AT151+AW151+AZ151+BC151+BF151+BI151+BL151+BO151+BR151+BU151+BX151+CA151+CD151+CG151+CJ151+CM151+CP151+DB151+CY151+CV151+CS151</f>
        <v>0</v>
      </c>
      <c r="DF151" s="147">
        <f>+DE151+DD151+DC151</f>
        <v>0</v>
      </c>
    </row>
    <row r="152" spans="1:110">
      <c r="A152" s="240">
        <v>2</v>
      </c>
      <c r="B152" s="116">
        <f t="shared" ref="B152:B181" si="332">+B116/20</f>
        <v>0</v>
      </c>
      <c r="C152" s="117">
        <f t="shared" ref="C152:C181" si="333">+C116/25</f>
        <v>0</v>
      </c>
      <c r="D152" s="119">
        <f t="shared" ref="D152:D181" si="334">+D116/30</f>
        <v>0</v>
      </c>
      <c r="E152" s="194">
        <f t="shared" ref="E152:E181" si="335">+E116/20</f>
        <v>0</v>
      </c>
      <c r="F152" s="117">
        <f t="shared" ref="F152:F181" si="336">+F116/25</f>
        <v>0</v>
      </c>
      <c r="G152" s="118">
        <f t="shared" ref="G152:G181" si="337">+G116/30</f>
        <v>0</v>
      </c>
      <c r="H152" s="116">
        <f t="shared" ref="H152:H181" si="338">+H116/20</f>
        <v>0</v>
      </c>
      <c r="I152" s="117">
        <f t="shared" ref="I152:I181" si="339">+I116/25</f>
        <v>0</v>
      </c>
      <c r="J152" s="119">
        <f t="shared" ref="J152:J181" si="340">+J116/30</f>
        <v>0</v>
      </c>
      <c r="K152" s="194">
        <f t="shared" ref="K152:K181" si="341">+K116/20</f>
        <v>0</v>
      </c>
      <c r="L152" s="117">
        <f t="shared" ref="L152:L181" si="342">+L116/25</f>
        <v>0</v>
      </c>
      <c r="M152" s="118">
        <f t="shared" ref="M152:M181" si="343">+M116/30</f>
        <v>0</v>
      </c>
      <c r="N152" s="116">
        <f t="shared" ref="N152:N181" si="344">+N116/20</f>
        <v>0</v>
      </c>
      <c r="O152" s="117">
        <f t="shared" ref="O152:O181" si="345">+O116/25</f>
        <v>0</v>
      </c>
      <c r="P152" s="119">
        <f t="shared" ref="P152:P181" si="346">+P116/30</f>
        <v>0</v>
      </c>
      <c r="Q152" s="194">
        <f t="shared" ref="Q152:Q181" si="347">+Q116/20</f>
        <v>0</v>
      </c>
      <c r="R152" s="117">
        <f t="shared" ref="R152:R181" si="348">+R116/25</f>
        <v>0</v>
      </c>
      <c r="S152" s="118">
        <f t="shared" ref="S152:S181" si="349">+S116/30</f>
        <v>0</v>
      </c>
      <c r="T152" s="116">
        <f t="shared" ref="T152:T181" si="350">+T116/20</f>
        <v>0</v>
      </c>
      <c r="U152" s="117">
        <f t="shared" ref="U152:U181" si="351">+U116/25</f>
        <v>0</v>
      </c>
      <c r="V152" s="119">
        <f t="shared" ref="V152:V181" si="352">+V116/30</f>
        <v>0</v>
      </c>
      <c r="W152" s="194">
        <f t="shared" ref="W152:W181" si="353">+W116/20</f>
        <v>0</v>
      </c>
      <c r="X152" s="117">
        <f t="shared" ref="X152:X181" si="354">+X116/25</f>
        <v>0</v>
      </c>
      <c r="Y152" s="118">
        <f t="shared" ref="Y152:Y181" si="355">+Y116/30</f>
        <v>0</v>
      </c>
      <c r="Z152" s="116">
        <f t="shared" ref="Z152:Z181" si="356">+Z116/20</f>
        <v>0</v>
      </c>
      <c r="AA152" s="117">
        <f t="shared" ref="AA152:AA181" si="357">+AA116/25</f>
        <v>0</v>
      </c>
      <c r="AB152" s="119">
        <f t="shared" ref="AB152:AB181" si="358">+AB116/30</f>
        <v>0</v>
      </c>
      <c r="AC152" s="194">
        <f t="shared" ref="AC152:AC181" si="359">+AC116/20</f>
        <v>0</v>
      </c>
      <c r="AD152" s="117">
        <f t="shared" ref="AD152:AD181" si="360">+AD116/25</f>
        <v>0</v>
      </c>
      <c r="AE152" s="118">
        <f t="shared" ref="AE152:AE181" si="361">+AE116/30</f>
        <v>0</v>
      </c>
      <c r="AF152" s="116">
        <f t="shared" ref="AF152:AF181" si="362">+AF116/20</f>
        <v>0</v>
      </c>
      <c r="AG152" s="117">
        <f t="shared" ref="AG152:AG181" si="363">+AG116/25</f>
        <v>0</v>
      </c>
      <c r="AH152" s="119">
        <f t="shared" ref="AH152:AH181" si="364">+AH116/30</f>
        <v>0</v>
      </c>
      <c r="AI152" s="194">
        <f t="shared" ref="AI152:AI181" si="365">+AI116/20</f>
        <v>0</v>
      </c>
      <c r="AJ152" s="117">
        <f t="shared" ref="AJ152:AJ181" si="366">+AJ116/25</f>
        <v>0</v>
      </c>
      <c r="AK152" s="118">
        <f t="shared" ref="AK152:AK181" si="367">+AK116/30</f>
        <v>0</v>
      </c>
      <c r="AL152" s="116">
        <f t="shared" ref="AL152:AL181" si="368">+AL116/20</f>
        <v>0</v>
      </c>
      <c r="AM152" s="117">
        <f t="shared" ref="AM152:AM181" si="369">+AM116/25</f>
        <v>0</v>
      </c>
      <c r="AN152" s="119">
        <f t="shared" ref="AN152:AN181" si="370">+AN116/30</f>
        <v>0</v>
      </c>
      <c r="AO152" s="194">
        <f t="shared" ref="AO152:AO181" si="371">+AO116/20</f>
        <v>0</v>
      </c>
      <c r="AP152" s="117">
        <f t="shared" ref="AP152:AP181" si="372">+AP116/25</f>
        <v>0</v>
      </c>
      <c r="AQ152" s="118">
        <f t="shared" ref="AQ152:AQ181" si="373">+AQ116/30</f>
        <v>0</v>
      </c>
      <c r="AR152" s="116">
        <f t="shared" ref="AR152:AR181" si="374">+AR116/20</f>
        <v>0</v>
      </c>
      <c r="AS152" s="117">
        <f t="shared" ref="AS152:AS181" si="375">+AS116/25</f>
        <v>0</v>
      </c>
      <c r="AT152" s="119">
        <f t="shared" ref="AT152:AT181" si="376">+AT116/30</f>
        <v>0</v>
      </c>
      <c r="AU152" s="194">
        <f t="shared" ref="AU152:AU181" si="377">+AU116/20</f>
        <v>0</v>
      </c>
      <c r="AV152" s="117">
        <f t="shared" ref="AV152:AV181" si="378">+AV116/25</f>
        <v>0</v>
      </c>
      <c r="AW152" s="118">
        <f t="shared" ref="AW152:AW181" si="379">+AW116/30</f>
        <v>0</v>
      </c>
      <c r="AX152" s="116">
        <f t="shared" ref="AX152:AX181" si="380">+AX116/20</f>
        <v>0</v>
      </c>
      <c r="AY152" s="117">
        <f t="shared" ref="AY152:AY181" si="381">+AY116/25</f>
        <v>0</v>
      </c>
      <c r="AZ152" s="119">
        <f t="shared" ref="AZ152:AZ181" si="382">+AZ116/30</f>
        <v>0</v>
      </c>
      <c r="BA152" s="194">
        <f t="shared" ref="BA152:BA181" si="383">+BA116/20</f>
        <v>0</v>
      </c>
      <c r="BB152" s="117">
        <f t="shared" ref="BB152:BB181" si="384">+BB116/25</f>
        <v>0</v>
      </c>
      <c r="BC152" s="118">
        <f t="shared" ref="BC152:BC181" si="385">+BC116/30</f>
        <v>0</v>
      </c>
      <c r="BD152" s="116">
        <f t="shared" ref="BD152:BD181" si="386">+BD116/20</f>
        <v>0</v>
      </c>
      <c r="BE152" s="117">
        <f t="shared" ref="BE152:BE181" si="387">+BE116/25</f>
        <v>0</v>
      </c>
      <c r="BF152" s="119">
        <f t="shared" ref="BF152:BF181" si="388">+BF116/30</f>
        <v>0</v>
      </c>
      <c r="BG152" s="194">
        <f t="shared" ref="BG152:BG181" si="389">+BG116/20</f>
        <v>0</v>
      </c>
      <c r="BH152" s="117">
        <f t="shared" ref="BH152:BH181" si="390">+BH116/25</f>
        <v>0</v>
      </c>
      <c r="BI152" s="118">
        <f t="shared" ref="BI152:BI181" si="391">+BI116/30</f>
        <v>0</v>
      </c>
      <c r="BJ152" s="116">
        <f t="shared" ref="BJ152:BJ181" si="392">+BJ116/20</f>
        <v>0</v>
      </c>
      <c r="BK152" s="117">
        <f t="shared" ref="BK152:BK181" si="393">+BK116/25</f>
        <v>0</v>
      </c>
      <c r="BL152" s="119">
        <f t="shared" ref="BL152:BL181" si="394">+BL116/30</f>
        <v>0</v>
      </c>
      <c r="BM152" s="194">
        <f t="shared" ref="BM152:BM181" si="395">+BM116/20</f>
        <v>0</v>
      </c>
      <c r="BN152" s="117">
        <f t="shared" ref="BN152:BN181" si="396">+BN116/25</f>
        <v>0</v>
      </c>
      <c r="BO152" s="118">
        <f t="shared" ref="BO152:BO181" si="397">+BO116/30</f>
        <v>0</v>
      </c>
      <c r="BP152" s="116">
        <f t="shared" ref="BP152:BP181" si="398">+BP116/20</f>
        <v>0</v>
      </c>
      <c r="BQ152" s="117">
        <f t="shared" ref="BQ152:BQ181" si="399">+BQ116/25</f>
        <v>0</v>
      </c>
      <c r="BR152" s="119">
        <f>+BR116/30</f>
        <v>0</v>
      </c>
      <c r="BS152" s="194">
        <f t="shared" ref="BS152:BS181" si="400">+BS116/20</f>
        <v>0</v>
      </c>
      <c r="BT152" s="117">
        <f t="shared" ref="BT152:BT181" si="401">+BT116/25</f>
        <v>0</v>
      </c>
      <c r="BU152" s="118">
        <f t="shared" ref="BU152:BU181" si="402">+BU116/30</f>
        <v>0</v>
      </c>
      <c r="BV152" s="116">
        <f t="shared" ref="BV152:BV181" si="403">+BV116/20</f>
        <v>0</v>
      </c>
      <c r="BW152" s="117">
        <f t="shared" ref="BW152:BW181" si="404">+BW116/25</f>
        <v>0</v>
      </c>
      <c r="BX152" s="119">
        <f t="shared" ref="BX152:BX181" si="405">+BX116/30</f>
        <v>0</v>
      </c>
      <c r="BY152" s="194">
        <f t="shared" ref="BY152:BY181" si="406">+BY116/20</f>
        <v>0</v>
      </c>
      <c r="BZ152" s="117">
        <f t="shared" ref="BZ152:BZ181" si="407">+BZ116/25</f>
        <v>0</v>
      </c>
      <c r="CA152" s="118">
        <f t="shared" ref="CA152:CA181" si="408">+CA116/30</f>
        <v>0</v>
      </c>
      <c r="CB152" s="116">
        <f t="shared" ref="CB152:CB181" si="409">+CB116/20</f>
        <v>0</v>
      </c>
      <c r="CC152" s="117">
        <f t="shared" ref="CC152:CC181" si="410">+CC116/25</f>
        <v>0</v>
      </c>
      <c r="CD152" s="119">
        <f t="shared" ref="CD152:CD181" si="411">+CD116/30</f>
        <v>0</v>
      </c>
      <c r="CE152" s="194">
        <f t="shared" ref="CE152:CE181" si="412">+CE116/20</f>
        <v>0</v>
      </c>
      <c r="CF152" s="117">
        <f t="shared" ref="CF152:CF181" si="413">+CF116/25</f>
        <v>0</v>
      </c>
      <c r="CG152" s="118">
        <f t="shared" ref="CG152:CG181" si="414">+CG116/30</f>
        <v>0</v>
      </c>
      <c r="CH152" s="116">
        <f t="shared" ref="CH152:CH181" si="415">+CH116/20</f>
        <v>0</v>
      </c>
      <c r="CI152" s="117">
        <f t="shared" ref="CI152:CI181" si="416">+CI116/25</f>
        <v>0</v>
      </c>
      <c r="CJ152" s="119">
        <f t="shared" ref="CJ152:CJ181" si="417">+CJ116/30</f>
        <v>0</v>
      </c>
      <c r="CK152" s="194">
        <f t="shared" ref="CK152:CK181" si="418">+CK116/20</f>
        <v>0</v>
      </c>
      <c r="CL152" s="194">
        <f t="shared" ref="CL152:CL181" si="419">+CL116/25</f>
        <v>0</v>
      </c>
      <c r="CM152" s="398">
        <f t="shared" ref="CM152:CM181" si="420">+CM116/30</f>
        <v>0</v>
      </c>
      <c r="CN152" s="241">
        <f t="shared" ref="CN152:CN181" si="421">+CN116/20</f>
        <v>0</v>
      </c>
      <c r="CO152" s="43">
        <f t="shared" ref="CO152:CO181" si="422">+CO116/25</f>
        <v>0</v>
      </c>
      <c r="CP152" s="57">
        <f t="shared" ref="CP152:CP181" si="423">+CP116/30</f>
        <v>0</v>
      </c>
      <c r="CQ152" s="194">
        <f t="shared" ref="CQ152:CQ181" si="424">+CQ116/20</f>
        <v>0</v>
      </c>
      <c r="CR152" s="117">
        <f t="shared" ref="CR152:CR181" si="425">+CR116/25</f>
        <v>0</v>
      </c>
      <c r="CS152" s="119">
        <f t="shared" ref="CS152:CS181" si="426">+CS116/30</f>
        <v>0</v>
      </c>
      <c r="CT152" s="194">
        <f t="shared" ref="CT152:CT181" si="427">+CT116/20</f>
        <v>0</v>
      </c>
      <c r="CU152" s="117">
        <f t="shared" ref="CU152:CU181" si="428">+CU116/25</f>
        <v>0</v>
      </c>
      <c r="CV152" s="119">
        <f t="shared" ref="CV152:CV181" si="429">+CV116/30</f>
        <v>0</v>
      </c>
      <c r="CW152" s="194">
        <f t="shared" ref="CW152:CW181" si="430">+CW116/20</f>
        <v>0</v>
      </c>
      <c r="CX152" s="117">
        <f t="shared" ref="CX152:CX181" si="431">+CX116/25</f>
        <v>0</v>
      </c>
      <c r="CY152" s="119">
        <f t="shared" ref="CY152:CY181" si="432">+CY116/30</f>
        <v>0</v>
      </c>
      <c r="CZ152" s="194">
        <f t="shared" ref="CZ152:CZ181" si="433">+CZ116/20</f>
        <v>0</v>
      </c>
      <c r="DA152" s="117">
        <f t="shared" ref="DA152:DA181" si="434">+DA116/25</f>
        <v>0</v>
      </c>
      <c r="DB152" s="119">
        <f t="shared" ref="DB152:DB181" si="435">+DB116/30</f>
        <v>0</v>
      </c>
      <c r="DC152" s="399">
        <f t="shared" ref="DC152:DC181" si="436">+B152+E152+H152+K152+N152+Q152+T152+W152+Z152+AC152+AF152+AI152+AL152+AO152+AR152+AU152+AX152+BA152+BD152+BG152+BJ152+BM152+BP152+BS152+BV152+BY152+CB152+CE152+CH152+CK152+CN152+CZ152+CW152+CT152+CQ152</f>
        <v>0</v>
      </c>
      <c r="DD152" s="75">
        <f t="shared" ref="DD152:DD181" si="437">+C152+F152+I152+L152+O152+R152+U152+X152+AA152+AD152+AG152+AJ152+AP152+AS152+AV152+AY152+BB152+BE152+BH152+BK152+BN152+BQ152+BT152+BW152+BZ152+CC152+CF152+CI152+CL152+CO152+DA152+CX152+CU152+CR152+AM152</f>
        <v>0</v>
      </c>
      <c r="DE152" s="75">
        <f t="shared" ref="DE152:DE181" si="438">+D152+G152+J152+M152+P152+S152+V152+Y152+AB152+AE152+AH152+AK152+AN152+AQ152+AT152+AW152+AZ152+BC152+BF152+BI152+BL152+BO152+BR152+BU152+BX152+CA152+CD152+CG152+CJ152+CM152+CP152+DB152+CY152+CV152+CS152</f>
        <v>0</v>
      </c>
      <c r="DF152" s="147">
        <f t="shared" ref="DF152:DF181" si="439">+DE152+DD152+DC152</f>
        <v>0</v>
      </c>
    </row>
    <row r="153" spans="1:110">
      <c r="A153" s="240">
        <v>3</v>
      </c>
      <c r="B153" s="116">
        <f t="shared" si="332"/>
        <v>0</v>
      </c>
      <c r="C153" s="117">
        <f t="shared" si="333"/>
        <v>0</v>
      </c>
      <c r="D153" s="119">
        <f t="shared" si="334"/>
        <v>0</v>
      </c>
      <c r="E153" s="194">
        <f t="shared" si="335"/>
        <v>0</v>
      </c>
      <c r="F153" s="117">
        <f t="shared" si="336"/>
        <v>0</v>
      </c>
      <c r="G153" s="118">
        <f t="shared" si="337"/>
        <v>0</v>
      </c>
      <c r="H153" s="116">
        <f t="shared" si="338"/>
        <v>0</v>
      </c>
      <c r="I153" s="117">
        <f t="shared" si="339"/>
        <v>0</v>
      </c>
      <c r="J153" s="119">
        <f t="shared" si="340"/>
        <v>0</v>
      </c>
      <c r="K153" s="194">
        <f t="shared" si="341"/>
        <v>0</v>
      </c>
      <c r="L153" s="117">
        <f t="shared" si="342"/>
        <v>0</v>
      </c>
      <c r="M153" s="118">
        <f t="shared" si="343"/>
        <v>0</v>
      </c>
      <c r="N153" s="116">
        <f t="shared" si="344"/>
        <v>0</v>
      </c>
      <c r="O153" s="117">
        <f t="shared" si="345"/>
        <v>0</v>
      </c>
      <c r="P153" s="119">
        <f t="shared" si="346"/>
        <v>0</v>
      </c>
      <c r="Q153" s="194">
        <f t="shared" si="347"/>
        <v>0</v>
      </c>
      <c r="R153" s="117">
        <f t="shared" si="348"/>
        <v>0</v>
      </c>
      <c r="S153" s="118">
        <f t="shared" si="349"/>
        <v>0</v>
      </c>
      <c r="T153" s="116">
        <f t="shared" si="350"/>
        <v>0</v>
      </c>
      <c r="U153" s="117">
        <f t="shared" si="351"/>
        <v>0</v>
      </c>
      <c r="V153" s="119">
        <f t="shared" si="352"/>
        <v>0</v>
      </c>
      <c r="W153" s="194">
        <f t="shared" si="353"/>
        <v>0</v>
      </c>
      <c r="X153" s="117">
        <f t="shared" si="354"/>
        <v>0</v>
      </c>
      <c r="Y153" s="118">
        <f t="shared" si="355"/>
        <v>0</v>
      </c>
      <c r="Z153" s="116">
        <f t="shared" si="356"/>
        <v>0</v>
      </c>
      <c r="AA153" s="117">
        <f t="shared" si="357"/>
        <v>0</v>
      </c>
      <c r="AB153" s="119">
        <f t="shared" si="358"/>
        <v>0</v>
      </c>
      <c r="AC153" s="194">
        <f t="shared" si="359"/>
        <v>0</v>
      </c>
      <c r="AD153" s="117">
        <f t="shared" si="360"/>
        <v>0</v>
      </c>
      <c r="AE153" s="118">
        <f t="shared" si="361"/>
        <v>0</v>
      </c>
      <c r="AF153" s="116">
        <f t="shared" si="362"/>
        <v>0</v>
      </c>
      <c r="AG153" s="117">
        <f t="shared" si="363"/>
        <v>0</v>
      </c>
      <c r="AH153" s="119">
        <f t="shared" si="364"/>
        <v>0</v>
      </c>
      <c r="AI153" s="194">
        <f t="shared" si="365"/>
        <v>0</v>
      </c>
      <c r="AJ153" s="117">
        <f t="shared" si="366"/>
        <v>0</v>
      </c>
      <c r="AK153" s="118">
        <f t="shared" si="367"/>
        <v>0</v>
      </c>
      <c r="AL153" s="116">
        <f t="shared" si="368"/>
        <v>0</v>
      </c>
      <c r="AM153" s="117">
        <f t="shared" si="369"/>
        <v>0</v>
      </c>
      <c r="AN153" s="119">
        <f t="shared" si="370"/>
        <v>0</v>
      </c>
      <c r="AO153" s="194">
        <f t="shared" si="371"/>
        <v>0</v>
      </c>
      <c r="AP153" s="117">
        <f t="shared" si="372"/>
        <v>0</v>
      </c>
      <c r="AQ153" s="118">
        <f t="shared" si="373"/>
        <v>0</v>
      </c>
      <c r="AR153" s="116">
        <f t="shared" si="374"/>
        <v>0</v>
      </c>
      <c r="AS153" s="117">
        <f t="shared" si="375"/>
        <v>0</v>
      </c>
      <c r="AT153" s="119">
        <f t="shared" si="376"/>
        <v>0</v>
      </c>
      <c r="AU153" s="194">
        <f t="shared" si="377"/>
        <v>0</v>
      </c>
      <c r="AV153" s="117">
        <f t="shared" si="378"/>
        <v>0</v>
      </c>
      <c r="AW153" s="118">
        <f t="shared" si="379"/>
        <v>0</v>
      </c>
      <c r="AX153" s="116">
        <f t="shared" si="380"/>
        <v>0</v>
      </c>
      <c r="AY153" s="117">
        <f t="shared" si="381"/>
        <v>0</v>
      </c>
      <c r="AZ153" s="119">
        <f t="shared" si="382"/>
        <v>0</v>
      </c>
      <c r="BA153" s="194">
        <f t="shared" si="383"/>
        <v>0</v>
      </c>
      <c r="BB153" s="117">
        <f t="shared" si="384"/>
        <v>0</v>
      </c>
      <c r="BC153" s="118">
        <f t="shared" si="385"/>
        <v>0</v>
      </c>
      <c r="BD153" s="116">
        <f t="shared" si="386"/>
        <v>0</v>
      </c>
      <c r="BE153" s="117">
        <f t="shared" si="387"/>
        <v>0</v>
      </c>
      <c r="BF153" s="119">
        <f t="shared" si="388"/>
        <v>0</v>
      </c>
      <c r="BG153" s="194">
        <f t="shared" si="389"/>
        <v>0</v>
      </c>
      <c r="BH153" s="117">
        <f t="shared" si="390"/>
        <v>0</v>
      </c>
      <c r="BI153" s="118">
        <f t="shared" si="391"/>
        <v>0</v>
      </c>
      <c r="BJ153" s="116">
        <f t="shared" si="392"/>
        <v>0</v>
      </c>
      <c r="BK153" s="117">
        <f t="shared" si="393"/>
        <v>0</v>
      </c>
      <c r="BL153" s="119">
        <f t="shared" si="394"/>
        <v>0</v>
      </c>
      <c r="BM153" s="194">
        <f t="shared" si="395"/>
        <v>0</v>
      </c>
      <c r="BN153" s="117">
        <f t="shared" si="396"/>
        <v>0</v>
      </c>
      <c r="BO153" s="118">
        <f t="shared" si="397"/>
        <v>0</v>
      </c>
      <c r="BP153" s="116">
        <f t="shared" si="398"/>
        <v>0</v>
      </c>
      <c r="BQ153" s="117">
        <f t="shared" si="399"/>
        <v>0</v>
      </c>
      <c r="BR153" s="119">
        <f t="shared" ref="BR153:BR181" si="440">+BR117/30</f>
        <v>0</v>
      </c>
      <c r="BS153" s="194">
        <f t="shared" si="400"/>
        <v>0</v>
      </c>
      <c r="BT153" s="117">
        <f t="shared" si="401"/>
        <v>0</v>
      </c>
      <c r="BU153" s="118">
        <f t="shared" si="402"/>
        <v>0</v>
      </c>
      <c r="BV153" s="116">
        <f t="shared" si="403"/>
        <v>0</v>
      </c>
      <c r="BW153" s="117">
        <f t="shared" si="404"/>
        <v>0</v>
      </c>
      <c r="BX153" s="119">
        <f t="shared" si="405"/>
        <v>0</v>
      </c>
      <c r="BY153" s="194">
        <f t="shared" si="406"/>
        <v>0</v>
      </c>
      <c r="BZ153" s="117">
        <f t="shared" si="407"/>
        <v>0</v>
      </c>
      <c r="CA153" s="118">
        <f t="shared" si="408"/>
        <v>0</v>
      </c>
      <c r="CB153" s="116">
        <f t="shared" si="409"/>
        <v>0</v>
      </c>
      <c r="CC153" s="117">
        <f t="shared" si="410"/>
        <v>0</v>
      </c>
      <c r="CD153" s="119">
        <f t="shared" si="411"/>
        <v>0</v>
      </c>
      <c r="CE153" s="194">
        <f t="shared" si="412"/>
        <v>0</v>
      </c>
      <c r="CF153" s="117">
        <f t="shared" si="413"/>
        <v>0</v>
      </c>
      <c r="CG153" s="118">
        <f t="shared" si="414"/>
        <v>0</v>
      </c>
      <c r="CH153" s="116">
        <f t="shared" si="415"/>
        <v>0</v>
      </c>
      <c r="CI153" s="117">
        <f t="shared" si="416"/>
        <v>0</v>
      </c>
      <c r="CJ153" s="119">
        <f t="shared" si="417"/>
        <v>0</v>
      </c>
      <c r="CK153" s="194">
        <f t="shared" si="418"/>
        <v>0</v>
      </c>
      <c r="CL153" s="194">
        <f t="shared" si="419"/>
        <v>0</v>
      </c>
      <c r="CM153" s="398">
        <f t="shared" si="420"/>
        <v>0</v>
      </c>
      <c r="CN153" s="241">
        <f t="shared" si="421"/>
        <v>0</v>
      </c>
      <c r="CO153" s="43">
        <f t="shared" si="422"/>
        <v>0</v>
      </c>
      <c r="CP153" s="57">
        <f t="shared" si="423"/>
        <v>0</v>
      </c>
      <c r="CQ153" s="194">
        <f t="shared" si="424"/>
        <v>0</v>
      </c>
      <c r="CR153" s="117">
        <f t="shared" si="425"/>
        <v>0</v>
      </c>
      <c r="CS153" s="119">
        <f t="shared" si="426"/>
        <v>0</v>
      </c>
      <c r="CT153" s="194">
        <f t="shared" si="427"/>
        <v>0</v>
      </c>
      <c r="CU153" s="117">
        <f t="shared" si="428"/>
        <v>0</v>
      </c>
      <c r="CV153" s="119">
        <f t="shared" si="429"/>
        <v>0</v>
      </c>
      <c r="CW153" s="194">
        <f t="shared" si="430"/>
        <v>0</v>
      </c>
      <c r="CX153" s="117">
        <f t="shared" si="431"/>
        <v>0</v>
      </c>
      <c r="CY153" s="119">
        <f t="shared" si="432"/>
        <v>0</v>
      </c>
      <c r="CZ153" s="194">
        <f t="shared" si="433"/>
        <v>0</v>
      </c>
      <c r="DA153" s="117">
        <f t="shared" si="434"/>
        <v>0</v>
      </c>
      <c r="DB153" s="119">
        <f t="shared" si="435"/>
        <v>0</v>
      </c>
      <c r="DC153" s="399">
        <f t="shared" si="436"/>
        <v>0</v>
      </c>
      <c r="DD153" s="75">
        <f t="shared" si="437"/>
        <v>0</v>
      </c>
      <c r="DE153" s="75">
        <f t="shared" si="438"/>
        <v>0</v>
      </c>
      <c r="DF153" s="147">
        <f t="shared" si="439"/>
        <v>0</v>
      </c>
    </row>
    <row r="154" spans="1:110">
      <c r="A154" s="365">
        <v>4</v>
      </c>
      <c r="B154" s="116">
        <f t="shared" si="332"/>
        <v>0</v>
      </c>
      <c r="C154" s="117">
        <f t="shared" si="333"/>
        <v>0</v>
      </c>
      <c r="D154" s="119">
        <f t="shared" si="334"/>
        <v>0</v>
      </c>
      <c r="E154" s="194">
        <f t="shared" si="335"/>
        <v>0</v>
      </c>
      <c r="F154" s="117">
        <f t="shared" si="336"/>
        <v>0</v>
      </c>
      <c r="G154" s="118">
        <f t="shared" si="337"/>
        <v>0</v>
      </c>
      <c r="H154" s="116">
        <f t="shared" si="338"/>
        <v>0</v>
      </c>
      <c r="I154" s="117">
        <f t="shared" si="339"/>
        <v>0</v>
      </c>
      <c r="J154" s="119">
        <f t="shared" si="340"/>
        <v>0</v>
      </c>
      <c r="K154" s="194">
        <f t="shared" si="341"/>
        <v>0</v>
      </c>
      <c r="L154" s="117">
        <f t="shared" si="342"/>
        <v>0</v>
      </c>
      <c r="M154" s="118">
        <f t="shared" si="343"/>
        <v>0</v>
      </c>
      <c r="N154" s="116">
        <f t="shared" si="344"/>
        <v>0</v>
      </c>
      <c r="O154" s="117">
        <f t="shared" si="345"/>
        <v>0</v>
      </c>
      <c r="P154" s="119">
        <f t="shared" si="346"/>
        <v>0</v>
      </c>
      <c r="Q154" s="194">
        <f t="shared" si="347"/>
        <v>0</v>
      </c>
      <c r="R154" s="117">
        <f t="shared" si="348"/>
        <v>0</v>
      </c>
      <c r="S154" s="118">
        <f t="shared" si="349"/>
        <v>0</v>
      </c>
      <c r="T154" s="116">
        <f t="shared" si="350"/>
        <v>0</v>
      </c>
      <c r="U154" s="117">
        <f t="shared" si="351"/>
        <v>0</v>
      </c>
      <c r="V154" s="119">
        <f t="shared" si="352"/>
        <v>0</v>
      </c>
      <c r="W154" s="194">
        <f t="shared" si="353"/>
        <v>0</v>
      </c>
      <c r="X154" s="117">
        <f t="shared" si="354"/>
        <v>0</v>
      </c>
      <c r="Y154" s="118">
        <f t="shared" si="355"/>
        <v>0</v>
      </c>
      <c r="Z154" s="116">
        <f t="shared" si="356"/>
        <v>0</v>
      </c>
      <c r="AA154" s="117">
        <f t="shared" si="357"/>
        <v>0</v>
      </c>
      <c r="AB154" s="119">
        <f t="shared" si="358"/>
        <v>0</v>
      </c>
      <c r="AC154" s="194">
        <f t="shared" si="359"/>
        <v>0</v>
      </c>
      <c r="AD154" s="117">
        <f t="shared" si="360"/>
        <v>0</v>
      </c>
      <c r="AE154" s="118">
        <f t="shared" si="361"/>
        <v>0</v>
      </c>
      <c r="AF154" s="116">
        <f t="shared" si="362"/>
        <v>0</v>
      </c>
      <c r="AG154" s="117">
        <f t="shared" si="363"/>
        <v>0</v>
      </c>
      <c r="AH154" s="119">
        <f t="shared" si="364"/>
        <v>0</v>
      </c>
      <c r="AI154" s="194">
        <f t="shared" si="365"/>
        <v>0</v>
      </c>
      <c r="AJ154" s="117">
        <f t="shared" si="366"/>
        <v>0</v>
      </c>
      <c r="AK154" s="118">
        <f t="shared" si="367"/>
        <v>0</v>
      </c>
      <c r="AL154" s="116">
        <f t="shared" si="368"/>
        <v>0</v>
      </c>
      <c r="AM154" s="117">
        <f t="shared" si="369"/>
        <v>0</v>
      </c>
      <c r="AN154" s="119">
        <f t="shared" si="370"/>
        <v>0</v>
      </c>
      <c r="AO154" s="194">
        <f t="shared" si="371"/>
        <v>0</v>
      </c>
      <c r="AP154" s="117">
        <f t="shared" si="372"/>
        <v>0</v>
      </c>
      <c r="AQ154" s="118">
        <f t="shared" si="373"/>
        <v>0</v>
      </c>
      <c r="AR154" s="116">
        <f t="shared" si="374"/>
        <v>0</v>
      </c>
      <c r="AS154" s="117">
        <f t="shared" si="375"/>
        <v>0</v>
      </c>
      <c r="AT154" s="119">
        <f t="shared" si="376"/>
        <v>0</v>
      </c>
      <c r="AU154" s="194">
        <f t="shared" si="377"/>
        <v>0</v>
      </c>
      <c r="AV154" s="117">
        <f t="shared" si="378"/>
        <v>0</v>
      </c>
      <c r="AW154" s="118">
        <f t="shared" si="379"/>
        <v>0</v>
      </c>
      <c r="AX154" s="116">
        <f t="shared" si="380"/>
        <v>0</v>
      </c>
      <c r="AY154" s="117">
        <f t="shared" si="381"/>
        <v>0</v>
      </c>
      <c r="AZ154" s="119">
        <f t="shared" si="382"/>
        <v>0</v>
      </c>
      <c r="BA154" s="194">
        <f t="shared" si="383"/>
        <v>0</v>
      </c>
      <c r="BB154" s="117">
        <f t="shared" si="384"/>
        <v>0</v>
      </c>
      <c r="BC154" s="118">
        <f t="shared" si="385"/>
        <v>0</v>
      </c>
      <c r="BD154" s="116">
        <f t="shared" si="386"/>
        <v>0</v>
      </c>
      <c r="BE154" s="117">
        <f t="shared" si="387"/>
        <v>0</v>
      </c>
      <c r="BF154" s="119">
        <f t="shared" si="388"/>
        <v>0</v>
      </c>
      <c r="BG154" s="194">
        <f t="shared" si="389"/>
        <v>0</v>
      </c>
      <c r="BH154" s="117">
        <f t="shared" si="390"/>
        <v>0</v>
      </c>
      <c r="BI154" s="118">
        <f t="shared" si="391"/>
        <v>0</v>
      </c>
      <c r="BJ154" s="116">
        <f t="shared" si="392"/>
        <v>0</v>
      </c>
      <c r="BK154" s="117">
        <f t="shared" si="393"/>
        <v>0</v>
      </c>
      <c r="BL154" s="119">
        <f t="shared" si="394"/>
        <v>0</v>
      </c>
      <c r="BM154" s="194">
        <f t="shared" si="395"/>
        <v>0</v>
      </c>
      <c r="BN154" s="117">
        <f t="shared" si="396"/>
        <v>0</v>
      </c>
      <c r="BO154" s="118">
        <f t="shared" si="397"/>
        <v>0</v>
      </c>
      <c r="BP154" s="116">
        <f t="shared" si="398"/>
        <v>0</v>
      </c>
      <c r="BQ154" s="117">
        <f t="shared" si="399"/>
        <v>0</v>
      </c>
      <c r="BR154" s="119">
        <f t="shared" si="440"/>
        <v>0</v>
      </c>
      <c r="BS154" s="194">
        <f t="shared" si="400"/>
        <v>0</v>
      </c>
      <c r="BT154" s="117">
        <f t="shared" si="401"/>
        <v>0</v>
      </c>
      <c r="BU154" s="118">
        <f t="shared" si="402"/>
        <v>0</v>
      </c>
      <c r="BV154" s="116">
        <f t="shared" si="403"/>
        <v>0</v>
      </c>
      <c r="BW154" s="117">
        <f t="shared" si="404"/>
        <v>0</v>
      </c>
      <c r="BX154" s="119">
        <f t="shared" si="405"/>
        <v>0</v>
      </c>
      <c r="BY154" s="194">
        <f t="shared" si="406"/>
        <v>0</v>
      </c>
      <c r="BZ154" s="117">
        <f t="shared" si="407"/>
        <v>0</v>
      </c>
      <c r="CA154" s="118">
        <f t="shared" si="408"/>
        <v>0</v>
      </c>
      <c r="CB154" s="116">
        <f t="shared" si="409"/>
        <v>0</v>
      </c>
      <c r="CC154" s="117">
        <f t="shared" si="410"/>
        <v>0</v>
      </c>
      <c r="CD154" s="119">
        <f t="shared" si="411"/>
        <v>0</v>
      </c>
      <c r="CE154" s="194">
        <f t="shared" si="412"/>
        <v>0</v>
      </c>
      <c r="CF154" s="117">
        <f t="shared" si="413"/>
        <v>0</v>
      </c>
      <c r="CG154" s="118">
        <f t="shared" si="414"/>
        <v>0</v>
      </c>
      <c r="CH154" s="116">
        <f t="shared" si="415"/>
        <v>0</v>
      </c>
      <c r="CI154" s="117">
        <f t="shared" si="416"/>
        <v>0</v>
      </c>
      <c r="CJ154" s="119">
        <f t="shared" si="417"/>
        <v>0</v>
      </c>
      <c r="CK154" s="194">
        <f t="shared" si="418"/>
        <v>0</v>
      </c>
      <c r="CL154" s="194">
        <f t="shared" si="419"/>
        <v>0</v>
      </c>
      <c r="CM154" s="398">
        <f t="shared" si="420"/>
        <v>0</v>
      </c>
      <c r="CN154" s="241">
        <f t="shared" si="421"/>
        <v>0</v>
      </c>
      <c r="CO154" s="43">
        <f t="shared" si="422"/>
        <v>0</v>
      </c>
      <c r="CP154" s="57">
        <f t="shared" si="423"/>
        <v>0</v>
      </c>
      <c r="CQ154" s="194">
        <f t="shared" si="424"/>
        <v>0</v>
      </c>
      <c r="CR154" s="117">
        <f t="shared" si="425"/>
        <v>0</v>
      </c>
      <c r="CS154" s="119">
        <f t="shared" si="426"/>
        <v>0</v>
      </c>
      <c r="CT154" s="194">
        <f t="shared" si="427"/>
        <v>0</v>
      </c>
      <c r="CU154" s="117">
        <f t="shared" si="428"/>
        <v>0</v>
      </c>
      <c r="CV154" s="119">
        <f t="shared" si="429"/>
        <v>0</v>
      </c>
      <c r="CW154" s="194">
        <f t="shared" si="430"/>
        <v>0</v>
      </c>
      <c r="CX154" s="117">
        <f t="shared" si="431"/>
        <v>0</v>
      </c>
      <c r="CY154" s="119">
        <f t="shared" si="432"/>
        <v>0</v>
      </c>
      <c r="CZ154" s="194">
        <f t="shared" si="433"/>
        <v>0</v>
      </c>
      <c r="DA154" s="117">
        <f t="shared" si="434"/>
        <v>0</v>
      </c>
      <c r="DB154" s="119">
        <f t="shared" si="435"/>
        <v>0</v>
      </c>
      <c r="DC154" s="399">
        <f t="shared" si="436"/>
        <v>0</v>
      </c>
      <c r="DD154" s="75">
        <f t="shared" si="437"/>
        <v>0</v>
      </c>
      <c r="DE154" s="75">
        <f t="shared" si="438"/>
        <v>0</v>
      </c>
      <c r="DF154" s="147">
        <f t="shared" si="439"/>
        <v>0</v>
      </c>
    </row>
    <row r="155" spans="1:110">
      <c r="A155" s="240">
        <v>5</v>
      </c>
      <c r="B155" s="116">
        <f t="shared" si="332"/>
        <v>0</v>
      </c>
      <c r="C155" s="117">
        <f t="shared" si="333"/>
        <v>0</v>
      </c>
      <c r="D155" s="119">
        <f t="shared" si="334"/>
        <v>0</v>
      </c>
      <c r="E155" s="194">
        <f t="shared" si="335"/>
        <v>0</v>
      </c>
      <c r="F155" s="117">
        <f t="shared" si="336"/>
        <v>0</v>
      </c>
      <c r="G155" s="118">
        <f t="shared" si="337"/>
        <v>0</v>
      </c>
      <c r="H155" s="116">
        <f t="shared" si="338"/>
        <v>0</v>
      </c>
      <c r="I155" s="117">
        <f t="shared" si="339"/>
        <v>0</v>
      </c>
      <c r="J155" s="119">
        <f t="shared" si="340"/>
        <v>0</v>
      </c>
      <c r="K155" s="194">
        <f t="shared" si="341"/>
        <v>0</v>
      </c>
      <c r="L155" s="117">
        <f t="shared" si="342"/>
        <v>0</v>
      </c>
      <c r="M155" s="118">
        <f t="shared" si="343"/>
        <v>0</v>
      </c>
      <c r="N155" s="116">
        <f t="shared" si="344"/>
        <v>0</v>
      </c>
      <c r="O155" s="117">
        <f t="shared" si="345"/>
        <v>0</v>
      </c>
      <c r="P155" s="119">
        <f t="shared" si="346"/>
        <v>0</v>
      </c>
      <c r="Q155" s="194">
        <f t="shared" si="347"/>
        <v>0</v>
      </c>
      <c r="R155" s="117">
        <f t="shared" si="348"/>
        <v>0</v>
      </c>
      <c r="S155" s="118">
        <f t="shared" si="349"/>
        <v>0</v>
      </c>
      <c r="T155" s="116">
        <f t="shared" si="350"/>
        <v>0</v>
      </c>
      <c r="U155" s="117">
        <f t="shared" si="351"/>
        <v>0</v>
      </c>
      <c r="V155" s="119">
        <f t="shared" si="352"/>
        <v>0</v>
      </c>
      <c r="W155" s="194">
        <f t="shared" si="353"/>
        <v>0</v>
      </c>
      <c r="X155" s="117">
        <f t="shared" si="354"/>
        <v>0</v>
      </c>
      <c r="Y155" s="118">
        <f t="shared" si="355"/>
        <v>0</v>
      </c>
      <c r="Z155" s="116">
        <f t="shared" si="356"/>
        <v>0</v>
      </c>
      <c r="AA155" s="117">
        <f t="shared" si="357"/>
        <v>0</v>
      </c>
      <c r="AB155" s="119">
        <f t="shared" si="358"/>
        <v>0</v>
      </c>
      <c r="AC155" s="194">
        <f t="shared" si="359"/>
        <v>0</v>
      </c>
      <c r="AD155" s="117">
        <f t="shared" si="360"/>
        <v>0</v>
      </c>
      <c r="AE155" s="118">
        <f t="shared" si="361"/>
        <v>0</v>
      </c>
      <c r="AF155" s="116">
        <f t="shared" si="362"/>
        <v>0</v>
      </c>
      <c r="AG155" s="117">
        <f t="shared" si="363"/>
        <v>0</v>
      </c>
      <c r="AH155" s="119">
        <f t="shared" si="364"/>
        <v>0</v>
      </c>
      <c r="AI155" s="194">
        <f t="shared" si="365"/>
        <v>0</v>
      </c>
      <c r="AJ155" s="117">
        <f t="shared" si="366"/>
        <v>0</v>
      </c>
      <c r="AK155" s="118">
        <f t="shared" si="367"/>
        <v>0</v>
      </c>
      <c r="AL155" s="116">
        <f t="shared" si="368"/>
        <v>0</v>
      </c>
      <c r="AM155" s="117">
        <f t="shared" si="369"/>
        <v>0</v>
      </c>
      <c r="AN155" s="119">
        <f t="shared" si="370"/>
        <v>0</v>
      </c>
      <c r="AO155" s="194">
        <f t="shared" si="371"/>
        <v>0</v>
      </c>
      <c r="AP155" s="117">
        <f t="shared" si="372"/>
        <v>0</v>
      </c>
      <c r="AQ155" s="118">
        <f t="shared" si="373"/>
        <v>0</v>
      </c>
      <c r="AR155" s="116">
        <f t="shared" si="374"/>
        <v>0</v>
      </c>
      <c r="AS155" s="117">
        <f t="shared" si="375"/>
        <v>0</v>
      </c>
      <c r="AT155" s="119">
        <f t="shared" si="376"/>
        <v>0</v>
      </c>
      <c r="AU155" s="194">
        <f t="shared" si="377"/>
        <v>0</v>
      </c>
      <c r="AV155" s="117">
        <f t="shared" si="378"/>
        <v>0</v>
      </c>
      <c r="AW155" s="118">
        <f t="shared" si="379"/>
        <v>0</v>
      </c>
      <c r="AX155" s="116">
        <f t="shared" si="380"/>
        <v>0</v>
      </c>
      <c r="AY155" s="117">
        <f t="shared" si="381"/>
        <v>0</v>
      </c>
      <c r="AZ155" s="119">
        <f t="shared" si="382"/>
        <v>0</v>
      </c>
      <c r="BA155" s="194">
        <f t="shared" si="383"/>
        <v>0</v>
      </c>
      <c r="BB155" s="117">
        <f t="shared" si="384"/>
        <v>0</v>
      </c>
      <c r="BC155" s="118">
        <f t="shared" si="385"/>
        <v>0</v>
      </c>
      <c r="BD155" s="116">
        <f t="shared" si="386"/>
        <v>0</v>
      </c>
      <c r="BE155" s="117">
        <f t="shared" si="387"/>
        <v>0</v>
      </c>
      <c r="BF155" s="119">
        <f t="shared" si="388"/>
        <v>0</v>
      </c>
      <c r="BG155" s="194">
        <f t="shared" si="389"/>
        <v>0</v>
      </c>
      <c r="BH155" s="117">
        <f t="shared" si="390"/>
        <v>0</v>
      </c>
      <c r="BI155" s="118">
        <f t="shared" si="391"/>
        <v>0</v>
      </c>
      <c r="BJ155" s="116">
        <f t="shared" si="392"/>
        <v>0</v>
      </c>
      <c r="BK155" s="117">
        <f t="shared" si="393"/>
        <v>0</v>
      </c>
      <c r="BL155" s="119">
        <f t="shared" si="394"/>
        <v>0</v>
      </c>
      <c r="BM155" s="194">
        <f t="shared" si="395"/>
        <v>0</v>
      </c>
      <c r="BN155" s="117">
        <f t="shared" si="396"/>
        <v>0</v>
      </c>
      <c r="BO155" s="118">
        <f t="shared" si="397"/>
        <v>0</v>
      </c>
      <c r="BP155" s="116">
        <f t="shared" si="398"/>
        <v>0</v>
      </c>
      <c r="BQ155" s="117">
        <f t="shared" si="399"/>
        <v>0</v>
      </c>
      <c r="BR155" s="119">
        <f t="shared" si="440"/>
        <v>0</v>
      </c>
      <c r="BS155" s="194">
        <f t="shared" si="400"/>
        <v>0</v>
      </c>
      <c r="BT155" s="117">
        <f t="shared" si="401"/>
        <v>0</v>
      </c>
      <c r="BU155" s="118">
        <f t="shared" si="402"/>
        <v>0</v>
      </c>
      <c r="BV155" s="116">
        <f t="shared" si="403"/>
        <v>0</v>
      </c>
      <c r="BW155" s="117">
        <f t="shared" si="404"/>
        <v>0</v>
      </c>
      <c r="BX155" s="119">
        <f t="shared" si="405"/>
        <v>0</v>
      </c>
      <c r="BY155" s="194">
        <f t="shared" si="406"/>
        <v>0</v>
      </c>
      <c r="BZ155" s="117">
        <f t="shared" si="407"/>
        <v>0</v>
      </c>
      <c r="CA155" s="118">
        <f t="shared" si="408"/>
        <v>0</v>
      </c>
      <c r="CB155" s="116">
        <f t="shared" si="409"/>
        <v>0</v>
      </c>
      <c r="CC155" s="117">
        <f t="shared" si="410"/>
        <v>0</v>
      </c>
      <c r="CD155" s="119">
        <f t="shared" si="411"/>
        <v>0</v>
      </c>
      <c r="CE155" s="194">
        <f t="shared" si="412"/>
        <v>0</v>
      </c>
      <c r="CF155" s="117">
        <f t="shared" si="413"/>
        <v>0</v>
      </c>
      <c r="CG155" s="118">
        <f t="shared" si="414"/>
        <v>0</v>
      </c>
      <c r="CH155" s="116">
        <f t="shared" si="415"/>
        <v>0</v>
      </c>
      <c r="CI155" s="117">
        <f t="shared" si="416"/>
        <v>0</v>
      </c>
      <c r="CJ155" s="119">
        <f t="shared" si="417"/>
        <v>0</v>
      </c>
      <c r="CK155" s="194">
        <f t="shared" si="418"/>
        <v>0</v>
      </c>
      <c r="CL155" s="194">
        <f t="shared" si="419"/>
        <v>0</v>
      </c>
      <c r="CM155" s="398">
        <f t="shared" si="420"/>
        <v>0</v>
      </c>
      <c r="CN155" s="241">
        <f t="shared" si="421"/>
        <v>0</v>
      </c>
      <c r="CO155" s="43">
        <f t="shared" si="422"/>
        <v>0</v>
      </c>
      <c r="CP155" s="57">
        <f t="shared" si="423"/>
        <v>0</v>
      </c>
      <c r="CQ155" s="194">
        <f t="shared" si="424"/>
        <v>0</v>
      </c>
      <c r="CR155" s="117">
        <f t="shared" si="425"/>
        <v>0</v>
      </c>
      <c r="CS155" s="119">
        <f t="shared" si="426"/>
        <v>0</v>
      </c>
      <c r="CT155" s="194">
        <f t="shared" si="427"/>
        <v>0</v>
      </c>
      <c r="CU155" s="117">
        <f t="shared" si="428"/>
        <v>0</v>
      </c>
      <c r="CV155" s="119">
        <f t="shared" si="429"/>
        <v>0</v>
      </c>
      <c r="CW155" s="194">
        <f t="shared" si="430"/>
        <v>0</v>
      </c>
      <c r="CX155" s="117">
        <f t="shared" si="431"/>
        <v>0</v>
      </c>
      <c r="CY155" s="119">
        <f t="shared" si="432"/>
        <v>0</v>
      </c>
      <c r="CZ155" s="194">
        <f t="shared" si="433"/>
        <v>0</v>
      </c>
      <c r="DA155" s="117">
        <f t="shared" si="434"/>
        <v>0</v>
      </c>
      <c r="DB155" s="119">
        <f t="shared" si="435"/>
        <v>0</v>
      </c>
      <c r="DC155" s="399">
        <f t="shared" si="436"/>
        <v>0</v>
      </c>
      <c r="DD155" s="75">
        <f t="shared" si="437"/>
        <v>0</v>
      </c>
      <c r="DE155" s="75">
        <f t="shared" si="438"/>
        <v>0</v>
      </c>
      <c r="DF155" s="147">
        <f t="shared" si="439"/>
        <v>0</v>
      </c>
    </row>
    <row r="156" spans="1:110">
      <c r="A156" s="240">
        <v>6</v>
      </c>
      <c r="B156" s="116">
        <f t="shared" si="332"/>
        <v>0</v>
      </c>
      <c r="C156" s="117">
        <f t="shared" si="333"/>
        <v>0</v>
      </c>
      <c r="D156" s="119">
        <f t="shared" si="334"/>
        <v>0</v>
      </c>
      <c r="E156" s="194">
        <f t="shared" si="335"/>
        <v>0</v>
      </c>
      <c r="F156" s="117">
        <f t="shared" si="336"/>
        <v>0</v>
      </c>
      <c r="G156" s="118">
        <f t="shared" si="337"/>
        <v>0</v>
      </c>
      <c r="H156" s="116">
        <f t="shared" si="338"/>
        <v>0</v>
      </c>
      <c r="I156" s="117">
        <f t="shared" si="339"/>
        <v>0</v>
      </c>
      <c r="J156" s="119">
        <f t="shared" si="340"/>
        <v>0</v>
      </c>
      <c r="K156" s="194">
        <f t="shared" si="341"/>
        <v>0</v>
      </c>
      <c r="L156" s="117">
        <f t="shared" si="342"/>
        <v>0</v>
      </c>
      <c r="M156" s="118">
        <f t="shared" si="343"/>
        <v>0</v>
      </c>
      <c r="N156" s="116">
        <f t="shared" si="344"/>
        <v>0</v>
      </c>
      <c r="O156" s="117">
        <f t="shared" si="345"/>
        <v>0</v>
      </c>
      <c r="P156" s="119">
        <f t="shared" si="346"/>
        <v>0</v>
      </c>
      <c r="Q156" s="194">
        <f t="shared" si="347"/>
        <v>0</v>
      </c>
      <c r="R156" s="117">
        <f t="shared" si="348"/>
        <v>0</v>
      </c>
      <c r="S156" s="118">
        <f t="shared" si="349"/>
        <v>0</v>
      </c>
      <c r="T156" s="116">
        <f t="shared" si="350"/>
        <v>0</v>
      </c>
      <c r="U156" s="117">
        <f t="shared" si="351"/>
        <v>0</v>
      </c>
      <c r="V156" s="119">
        <f t="shared" si="352"/>
        <v>0</v>
      </c>
      <c r="W156" s="194">
        <f t="shared" si="353"/>
        <v>0</v>
      </c>
      <c r="X156" s="117">
        <f t="shared" si="354"/>
        <v>0</v>
      </c>
      <c r="Y156" s="118">
        <f t="shared" si="355"/>
        <v>0</v>
      </c>
      <c r="Z156" s="116">
        <f t="shared" si="356"/>
        <v>0</v>
      </c>
      <c r="AA156" s="117">
        <f t="shared" si="357"/>
        <v>0</v>
      </c>
      <c r="AB156" s="119">
        <f t="shared" si="358"/>
        <v>0</v>
      </c>
      <c r="AC156" s="194">
        <f t="shared" si="359"/>
        <v>0</v>
      </c>
      <c r="AD156" s="117">
        <f t="shared" si="360"/>
        <v>0</v>
      </c>
      <c r="AE156" s="118">
        <f t="shared" si="361"/>
        <v>0</v>
      </c>
      <c r="AF156" s="116">
        <f t="shared" si="362"/>
        <v>0</v>
      </c>
      <c r="AG156" s="117">
        <f t="shared" si="363"/>
        <v>0</v>
      </c>
      <c r="AH156" s="119">
        <f t="shared" si="364"/>
        <v>0</v>
      </c>
      <c r="AI156" s="194">
        <f t="shared" si="365"/>
        <v>0</v>
      </c>
      <c r="AJ156" s="117">
        <f t="shared" si="366"/>
        <v>0</v>
      </c>
      <c r="AK156" s="118">
        <f t="shared" si="367"/>
        <v>0</v>
      </c>
      <c r="AL156" s="116">
        <f t="shared" si="368"/>
        <v>0</v>
      </c>
      <c r="AM156" s="117">
        <f t="shared" si="369"/>
        <v>0</v>
      </c>
      <c r="AN156" s="119">
        <f t="shared" si="370"/>
        <v>0</v>
      </c>
      <c r="AO156" s="194">
        <f t="shared" si="371"/>
        <v>0</v>
      </c>
      <c r="AP156" s="117">
        <f t="shared" si="372"/>
        <v>0</v>
      </c>
      <c r="AQ156" s="118">
        <f t="shared" si="373"/>
        <v>0</v>
      </c>
      <c r="AR156" s="116">
        <f t="shared" si="374"/>
        <v>0</v>
      </c>
      <c r="AS156" s="117">
        <f t="shared" si="375"/>
        <v>0</v>
      </c>
      <c r="AT156" s="119">
        <f t="shared" si="376"/>
        <v>0</v>
      </c>
      <c r="AU156" s="194">
        <f t="shared" si="377"/>
        <v>0</v>
      </c>
      <c r="AV156" s="117">
        <f t="shared" si="378"/>
        <v>0</v>
      </c>
      <c r="AW156" s="118">
        <f t="shared" si="379"/>
        <v>0</v>
      </c>
      <c r="AX156" s="116">
        <f t="shared" si="380"/>
        <v>0</v>
      </c>
      <c r="AY156" s="117">
        <f t="shared" si="381"/>
        <v>0</v>
      </c>
      <c r="AZ156" s="119">
        <f t="shared" si="382"/>
        <v>0</v>
      </c>
      <c r="BA156" s="194">
        <f t="shared" si="383"/>
        <v>0</v>
      </c>
      <c r="BB156" s="117">
        <f t="shared" si="384"/>
        <v>0</v>
      </c>
      <c r="BC156" s="118">
        <f t="shared" si="385"/>
        <v>0</v>
      </c>
      <c r="BD156" s="116">
        <f t="shared" si="386"/>
        <v>0</v>
      </c>
      <c r="BE156" s="117">
        <f t="shared" si="387"/>
        <v>0</v>
      </c>
      <c r="BF156" s="119">
        <f t="shared" si="388"/>
        <v>0</v>
      </c>
      <c r="BG156" s="194">
        <f t="shared" si="389"/>
        <v>0</v>
      </c>
      <c r="BH156" s="117">
        <f t="shared" si="390"/>
        <v>0</v>
      </c>
      <c r="BI156" s="118">
        <f t="shared" si="391"/>
        <v>0</v>
      </c>
      <c r="BJ156" s="116">
        <f t="shared" si="392"/>
        <v>0</v>
      </c>
      <c r="BK156" s="117">
        <f t="shared" si="393"/>
        <v>0</v>
      </c>
      <c r="BL156" s="119">
        <f t="shared" si="394"/>
        <v>0</v>
      </c>
      <c r="BM156" s="194">
        <f t="shared" si="395"/>
        <v>0</v>
      </c>
      <c r="BN156" s="117">
        <f t="shared" si="396"/>
        <v>0</v>
      </c>
      <c r="BO156" s="118">
        <f t="shared" si="397"/>
        <v>0</v>
      </c>
      <c r="BP156" s="116">
        <f t="shared" si="398"/>
        <v>0</v>
      </c>
      <c r="BQ156" s="117">
        <f t="shared" si="399"/>
        <v>0</v>
      </c>
      <c r="BR156" s="119">
        <f t="shared" si="440"/>
        <v>0</v>
      </c>
      <c r="BS156" s="194">
        <f t="shared" si="400"/>
        <v>0</v>
      </c>
      <c r="BT156" s="117">
        <f t="shared" si="401"/>
        <v>0</v>
      </c>
      <c r="BU156" s="118">
        <f t="shared" si="402"/>
        <v>0</v>
      </c>
      <c r="BV156" s="116">
        <f t="shared" si="403"/>
        <v>0</v>
      </c>
      <c r="BW156" s="117">
        <f t="shared" si="404"/>
        <v>0</v>
      </c>
      <c r="BX156" s="119">
        <f t="shared" si="405"/>
        <v>0</v>
      </c>
      <c r="BY156" s="194">
        <f t="shared" si="406"/>
        <v>0</v>
      </c>
      <c r="BZ156" s="117">
        <f t="shared" si="407"/>
        <v>0</v>
      </c>
      <c r="CA156" s="118">
        <f t="shared" si="408"/>
        <v>0</v>
      </c>
      <c r="CB156" s="116">
        <f t="shared" si="409"/>
        <v>0</v>
      </c>
      <c r="CC156" s="117">
        <f t="shared" si="410"/>
        <v>0</v>
      </c>
      <c r="CD156" s="119">
        <f t="shared" si="411"/>
        <v>0</v>
      </c>
      <c r="CE156" s="194">
        <f t="shared" si="412"/>
        <v>0</v>
      </c>
      <c r="CF156" s="117">
        <f t="shared" si="413"/>
        <v>0</v>
      </c>
      <c r="CG156" s="118">
        <f t="shared" si="414"/>
        <v>0</v>
      </c>
      <c r="CH156" s="116">
        <f t="shared" si="415"/>
        <v>0</v>
      </c>
      <c r="CI156" s="117">
        <f t="shared" si="416"/>
        <v>0</v>
      </c>
      <c r="CJ156" s="119">
        <f t="shared" si="417"/>
        <v>0</v>
      </c>
      <c r="CK156" s="194">
        <f t="shared" si="418"/>
        <v>0</v>
      </c>
      <c r="CL156" s="194">
        <f t="shared" si="419"/>
        <v>0</v>
      </c>
      <c r="CM156" s="398">
        <f t="shared" si="420"/>
        <v>0</v>
      </c>
      <c r="CN156" s="241">
        <f t="shared" si="421"/>
        <v>0</v>
      </c>
      <c r="CO156" s="43">
        <f t="shared" si="422"/>
        <v>0</v>
      </c>
      <c r="CP156" s="57">
        <f t="shared" si="423"/>
        <v>0</v>
      </c>
      <c r="CQ156" s="194">
        <f t="shared" si="424"/>
        <v>0</v>
      </c>
      <c r="CR156" s="117">
        <f t="shared" si="425"/>
        <v>0</v>
      </c>
      <c r="CS156" s="119">
        <f t="shared" si="426"/>
        <v>0</v>
      </c>
      <c r="CT156" s="194">
        <f t="shared" si="427"/>
        <v>0</v>
      </c>
      <c r="CU156" s="117">
        <f t="shared" si="428"/>
        <v>0</v>
      </c>
      <c r="CV156" s="119">
        <f t="shared" si="429"/>
        <v>0</v>
      </c>
      <c r="CW156" s="194">
        <f t="shared" si="430"/>
        <v>0</v>
      </c>
      <c r="CX156" s="117">
        <f t="shared" si="431"/>
        <v>0</v>
      </c>
      <c r="CY156" s="119">
        <f t="shared" si="432"/>
        <v>0</v>
      </c>
      <c r="CZ156" s="194">
        <f t="shared" si="433"/>
        <v>0</v>
      </c>
      <c r="DA156" s="117">
        <f t="shared" si="434"/>
        <v>0</v>
      </c>
      <c r="DB156" s="119">
        <f t="shared" si="435"/>
        <v>0</v>
      </c>
      <c r="DC156" s="399">
        <f t="shared" si="436"/>
        <v>0</v>
      </c>
      <c r="DD156" s="75">
        <f t="shared" si="437"/>
        <v>0</v>
      </c>
      <c r="DE156" s="75">
        <f t="shared" si="438"/>
        <v>0</v>
      </c>
      <c r="DF156" s="147">
        <f t="shared" si="439"/>
        <v>0</v>
      </c>
    </row>
    <row r="157" spans="1:110">
      <c r="A157" s="365">
        <v>7</v>
      </c>
      <c r="B157" s="116">
        <f t="shared" si="332"/>
        <v>0</v>
      </c>
      <c r="C157" s="117">
        <f t="shared" si="333"/>
        <v>0</v>
      </c>
      <c r="D157" s="119">
        <f t="shared" si="334"/>
        <v>0</v>
      </c>
      <c r="E157" s="194">
        <f t="shared" si="335"/>
        <v>0</v>
      </c>
      <c r="F157" s="117">
        <f t="shared" si="336"/>
        <v>0</v>
      </c>
      <c r="G157" s="118">
        <f t="shared" si="337"/>
        <v>0</v>
      </c>
      <c r="H157" s="116">
        <f t="shared" si="338"/>
        <v>0</v>
      </c>
      <c r="I157" s="117">
        <f t="shared" si="339"/>
        <v>0</v>
      </c>
      <c r="J157" s="119">
        <f t="shared" si="340"/>
        <v>0</v>
      </c>
      <c r="K157" s="194">
        <f t="shared" si="341"/>
        <v>0</v>
      </c>
      <c r="L157" s="117">
        <f t="shared" si="342"/>
        <v>0</v>
      </c>
      <c r="M157" s="118">
        <f t="shared" si="343"/>
        <v>0</v>
      </c>
      <c r="N157" s="116">
        <f t="shared" si="344"/>
        <v>0</v>
      </c>
      <c r="O157" s="117">
        <f t="shared" si="345"/>
        <v>0</v>
      </c>
      <c r="P157" s="119">
        <f t="shared" si="346"/>
        <v>0</v>
      </c>
      <c r="Q157" s="194">
        <f t="shared" si="347"/>
        <v>0</v>
      </c>
      <c r="R157" s="117">
        <f t="shared" si="348"/>
        <v>0</v>
      </c>
      <c r="S157" s="118">
        <f t="shared" si="349"/>
        <v>0</v>
      </c>
      <c r="T157" s="116">
        <f t="shared" si="350"/>
        <v>0</v>
      </c>
      <c r="U157" s="117">
        <f t="shared" si="351"/>
        <v>0</v>
      </c>
      <c r="V157" s="119">
        <f t="shared" si="352"/>
        <v>0</v>
      </c>
      <c r="W157" s="194">
        <f t="shared" si="353"/>
        <v>0</v>
      </c>
      <c r="X157" s="117">
        <f t="shared" si="354"/>
        <v>0</v>
      </c>
      <c r="Y157" s="118">
        <f t="shared" si="355"/>
        <v>0</v>
      </c>
      <c r="Z157" s="116">
        <f t="shared" si="356"/>
        <v>0</v>
      </c>
      <c r="AA157" s="117">
        <f t="shared" si="357"/>
        <v>0</v>
      </c>
      <c r="AB157" s="119">
        <f t="shared" si="358"/>
        <v>0</v>
      </c>
      <c r="AC157" s="194">
        <f t="shared" si="359"/>
        <v>0</v>
      </c>
      <c r="AD157" s="117">
        <f t="shared" si="360"/>
        <v>0</v>
      </c>
      <c r="AE157" s="118">
        <f t="shared" si="361"/>
        <v>0</v>
      </c>
      <c r="AF157" s="116">
        <f t="shared" si="362"/>
        <v>0</v>
      </c>
      <c r="AG157" s="117">
        <f t="shared" si="363"/>
        <v>0</v>
      </c>
      <c r="AH157" s="119">
        <f t="shared" si="364"/>
        <v>0</v>
      </c>
      <c r="AI157" s="194">
        <f t="shared" si="365"/>
        <v>0</v>
      </c>
      <c r="AJ157" s="117">
        <f t="shared" si="366"/>
        <v>0</v>
      </c>
      <c r="AK157" s="118">
        <f t="shared" si="367"/>
        <v>0</v>
      </c>
      <c r="AL157" s="116">
        <f t="shared" si="368"/>
        <v>0</v>
      </c>
      <c r="AM157" s="117">
        <f t="shared" si="369"/>
        <v>0</v>
      </c>
      <c r="AN157" s="119">
        <f t="shared" si="370"/>
        <v>0</v>
      </c>
      <c r="AO157" s="194">
        <f t="shared" si="371"/>
        <v>0</v>
      </c>
      <c r="AP157" s="117">
        <f t="shared" si="372"/>
        <v>0</v>
      </c>
      <c r="AQ157" s="118">
        <f t="shared" si="373"/>
        <v>0</v>
      </c>
      <c r="AR157" s="116">
        <f t="shared" si="374"/>
        <v>0</v>
      </c>
      <c r="AS157" s="117">
        <f t="shared" si="375"/>
        <v>0</v>
      </c>
      <c r="AT157" s="119">
        <f t="shared" si="376"/>
        <v>0</v>
      </c>
      <c r="AU157" s="194">
        <f t="shared" si="377"/>
        <v>0</v>
      </c>
      <c r="AV157" s="117">
        <f t="shared" si="378"/>
        <v>0</v>
      </c>
      <c r="AW157" s="118">
        <f t="shared" si="379"/>
        <v>0</v>
      </c>
      <c r="AX157" s="116">
        <f t="shared" si="380"/>
        <v>0</v>
      </c>
      <c r="AY157" s="117">
        <f t="shared" si="381"/>
        <v>0</v>
      </c>
      <c r="AZ157" s="119">
        <f t="shared" si="382"/>
        <v>0</v>
      </c>
      <c r="BA157" s="194">
        <f t="shared" si="383"/>
        <v>0</v>
      </c>
      <c r="BB157" s="117">
        <f t="shared" si="384"/>
        <v>0</v>
      </c>
      <c r="BC157" s="118">
        <f t="shared" si="385"/>
        <v>0</v>
      </c>
      <c r="BD157" s="116">
        <f t="shared" si="386"/>
        <v>0</v>
      </c>
      <c r="BE157" s="117">
        <f t="shared" si="387"/>
        <v>0</v>
      </c>
      <c r="BF157" s="119">
        <f t="shared" si="388"/>
        <v>0</v>
      </c>
      <c r="BG157" s="194">
        <f t="shared" si="389"/>
        <v>0</v>
      </c>
      <c r="BH157" s="117">
        <f t="shared" si="390"/>
        <v>0</v>
      </c>
      <c r="BI157" s="118">
        <f t="shared" si="391"/>
        <v>0</v>
      </c>
      <c r="BJ157" s="116">
        <f t="shared" si="392"/>
        <v>0</v>
      </c>
      <c r="BK157" s="117">
        <f t="shared" si="393"/>
        <v>0</v>
      </c>
      <c r="BL157" s="119">
        <f t="shared" si="394"/>
        <v>0</v>
      </c>
      <c r="BM157" s="194">
        <f t="shared" si="395"/>
        <v>0</v>
      </c>
      <c r="BN157" s="117">
        <f t="shared" si="396"/>
        <v>0</v>
      </c>
      <c r="BO157" s="118">
        <f t="shared" si="397"/>
        <v>0</v>
      </c>
      <c r="BP157" s="116">
        <f t="shared" si="398"/>
        <v>0</v>
      </c>
      <c r="BQ157" s="117">
        <f t="shared" si="399"/>
        <v>0</v>
      </c>
      <c r="BR157" s="119">
        <f t="shared" si="440"/>
        <v>0</v>
      </c>
      <c r="BS157" s="194">
        <f t="shared" si="400"/>
        <v>0</v>
      </c>
      <c r="BT157" s="117">
        <f t="shared" si="401"/>
        <v>0</v>
      </c>
      <c r="BU157" s="118">
        <f t="shared" si="402"/>
        <v>0</v>
      </c>
      <c r="BV157" s="116">
        <f t="shared" si="403"/>
        <v>0</v>
      </c>
      <c r="BW157" s="117">
        <f t="shared" si="404"/>
        <v>0</v>
      </c>
      <c r="BX157" s="119">
        <f t="shared" si="405"/>
        <v>0</v>
      </c>
      <c r="BY157" s="194">
        <f t="shared" si="406"/>
        <v>0</v>
      </c>
      <c r="BZ157" s="117">
        <f t="shared" si="407"/>
        <v>0</v>
      </c>
      <c r="CA157" s="118">
        <f t="shared" si="408"/>
        <v>0</v>
      </c>
      <c r="CB157" s="116">
        <f t="shared" si="409"/>
        <v>0</v>
      </c>
      <c r="CC157" s="117">
        <f t="shared" si="410"/>
        <v>0</v>
      </c>
      <c r="CD157" s="119">
        <f t="shared" si="411"/>
        <v>0</v>
      </c>
      <c r="CE157" s="194">
        <f t="shared" si="412"/>
        <v>0</v>
      </c>
      <c r="CF157" s="117">
        <f t="shared" si="413"/>
        <v>0</v>
      </c>
      <c r="CG157" s="118">
        <f t="shared" si="414"/>
        <v>0</v>
      </c>
      <c r="CH157" s="116">
        <f t="shared" si="415"/>
        <v>0</v>
      </c>
      <c r="CI157" s="117">
        <f t="shared" si="416"/>
        <v>0</v>
      </c>
      <c r="CJ157" s="119">
        <f t="shared" si="417"/>
        <v>0</v>
      </c>
      <c r="CK157" s="194">
        <f t="shared" si="418"/>
        <v>0</v>
      </c>
      <c r="CL157" s="194">
        <f t="shared" si="419"/>
        <v>0</v>
      </c>
      <c r="CM157" s="398">
        <f t="shared" si="420"/>
        <v>0</v>
      </c>
      <c r="CN157" s="241">
        <f t="shared" si="421"/>
        <v>0</v>
      </c>
      <c r="CO157" s="43">
        <f t="shared" si="422"/>
        <v>0</v>
      </c>
      <c r="CP157" s="57">
        <f t="shared" si="423"/>
        <v>0</v>
      </c>
      <c r="CQ157" s="194">
        <f t="shared" si="424"/>
        <v>0</v>
      </c>
      <c r="CR157" s="117">
        <f t="shared" si="425"/>
        <v>0</v>
      </c>
      <c r="CS157" s="119">
        <f t="shared" si="426"/>
        <v>0</v>
      </c>
      <c r="CT157" s="194">
        <f t="shared" si="427"/>
        <v>0</v>
      </c>
      <c r="CU157" s="117">
        <f t="shared" si="428"/>
        <v>0</v>
      </c>
      <c r="CV157" s="119">
        <f t="shared" si="429"/>
        <v>0</v>
      </c>
      <c r="CW157" s="194">
        <f t="shared" si="430"/>
        <v>0</v>
      </c>
      <c r="CX157" s="117">
        <f t="shared" si="431"/>
        <v>0</v>
      </c>
      <c r="CY157" s="119">
        <f t="shared" si="432"/>
        <v>0</v>
      </c>
      <c r="CZ157" s="194">
        <f t="shared" si="433"/>
        <v>0</v>
      </c>
      <c r="DA157" s="117">
        <f t="shared" si="434"/>
        <v>0</v>
      </c>
      <c r="DB157" s="119">
        <f t="shared" si="435"/>
        <v>0</v>
      </c>
      <c r="DC157" s="399">
        <f t="shared" si="436"/>
        <v>0</v>
      </c>
      <c r="DD157" s="75">
        <f t="shared" si="437"/>
        <v>0</v>
      </c>
      <c r="DE157" s="75">
        <f t="shared" si="438"/>
        <v>0</v>
      </c>
      <c r="DF157" s="147">
        <f t="shared" si="439"/>
        <v>0</v>
      </c>
    </row>
    <row r="158" spans="1:110">
      <c r="A158" s="240">
        <v>8</v>
      </c>
      <c r="B158" s="116">
        <f t="shared" si="332"/>
        <v>0</v>
      </c>
      <c r="C158" s="117">
        <f t="shared" si="333"/>
        <v>0</v>
      </c>
      <c r="D158" s="119">
        <f t="shared" si="334"/>
        <v>0</v>
      </c>
      <c r="E158" s="194">
        <f t="shared" si="335"/>
        <v>0</v>
      </c>
      <c r="F158" s="117">
        <f t="shared" si="336"/>
        <v>0</v>
      </c>
      <c r="G158" s="118">
        <f t="shared" si="337"/>
        <v>0</v>
      </c>
      <c r="H158" s="116">
        <f t="shared" si="338"/>
        <v>0</v>
      </c>
      <c r="I158" s="117">
        <f t="shared" si="339"/>
        <v>0</v>
      </c>
      <c r="J158" s="119">
        <f t="shared" si="340"/>
        <v>0</v>
      </c>
      <c r="K158" s="194">
        <f t="shared" si="341"/>
        <v>0</v>
      </c>
      <c r="L158" s="117">
        <f t="shared" si="342"/>
        <v>0</v>
      </c>
      <c r="M158" s="118">
        <f t="shared" si="343"/>
        <v>0</v>
      </c>
      <c r="N158" s="116">
        <f t="shared" si="344"/>
        <v>0</v>
      </c>
      <c r="O158" s="117">
        <f t="shared" si="345"/>
        <v>0</v>
      </c>
      <c r="P158" s="119">
        <f t="shared" si="346"/>
        <v>0</v>
      </c>
      <c r="Q158" s="194">
        <f t="shared" si="347"/>
        <v>0</v>
      </c>
      <c r="R158" s="117">
        <f t="shared" si="348"/>
        <v>0</v>
      </c>
      <c r="S158" s="118">
        <f t="shared" si="349"/>
        <v>0</v>
      </c>
      <c r="T158" s="116">
        <f t="shared" si="350"/>
        <v>0</v>
      </c>
      <c r="U158" s="117">
        <f t="shared" si="351"/>
        <v>0</v>
      </c>
      <c r="V158" s="119">
        <f t="shared" si="352"/>
        <v>0</v>
      </c>
      <c r="W158" s="194">
        <f t="shared" si="353"/>
        <v>0</v>
      </c>
      <c r="X158" s="117">
        <f t="shared" si="354"/>
        <v>0</v>
      </c>
      <c r="Y158" s="118">
        <f t="shared" si="355"/>
        <v>0</v>
      </c>
      <c r="Z158" s="116">
        <f t="shared" si="356"/>
        <v>0</v>
      </c>
      <c r="AA158" s="117">
        <f t="shared" si="357"/>
        <v>0</v>
      </c>
      <c r="AB158" s="119">
        <f t="shared" si="358"/>
        <v>0</v>
      </c>
      <c r="AC158" s="194">
        <f t="shared" si="359"/>
        <v>0</v>
      </c>
      <c r="AD158" s="117">
        <f t="shared" si="360"/>
        <v>0</v>
      </c>
      <c r="AE158" s="118">
        <f t="shared" si="361"/>
        <v>0</v>
      </c>
      <c r="AF158" s="116">
        <f t="shared" si="362"/>
        <v>0</v>
      </c>
      <c r="AG158" s="117">
        <f t="shared" si="363"/>
        <v>0</v>
      </c>
      <c r="AH158" s="119">
        <f t="shared" si="364"/>
        <v>0</v>
      </c>
      <c r="AI158" s="194">
        <f t="shared" si="365"/>
        <v>0</v>
      </c>
      <c r="AJ158" s="117">
        <f t="shared" si="366"/>
        <v>0</v>
      </c>
      <c r="AK158" s="118">
        <f t="shared" si="367"/>
        <v>0</v>
      </c>
      <c r="AL158" s="116">
        <f t="shared" si="368"/>
        <v>0</v>
      </c>
      <c r="AM158" s="117">
        <f t="shared" si="369"/>
        <v>0</v>
      </c>
      <c r="AN158" s="119">
        <f t="shared" si="370"/>
        <v>0</v>
      </c>
      <c r="AO158" s="194">
        <f t="shared" si="371"/>
        <v>0</v>
      </c>
      <c r="AP158" s="117">
        <f t="shared" si="372"/>
        <v>0</v>
      </c>
      <c r="AQ158" s="118">
        <f t="shared" si="373"/>
        <v>0</v>
      </c>
      <c r="AR158" s="116">
        <f t="shared" si="374"/>
        <v>0</v>
      </c>
      <c r="AS158" s="117">
        <f t="shared" si="375"/>
        <v>0</v>
      </c>
      <c r="AT158" s="119">
        <f t="shared" si="376"/>
        <v>0</v>
      </c>
      <c r="AU158" s="194">
        <f t="shared" si="377"/>
        <v>0</v>
      </c>
      <c r="AV158" s="117">
        <f t="shared" si="378"/>
        <v>0</v>
      </c>
      <c r="AW158" s="118">
        <f t="shared" si="379"/>
        <v>0</v>
      </c>
      <c r="AX158" s="116">
        <f t="shared" si="380"/>
        <v>0</v>
      </c>
      <c r="AY158" s="117">
        <f t="shared" si="381"/>
        <v>0</v>
      </c>
      <c r="AZ158" s="119">
        <f t="shared" si="382"/>
        <v>0</v>
      </c>
      <c r="BA158" s="194">
        <f t="shared" si="383"/>
        <v>0</v>
      </c>
      <c r="BB158" s="117">
        <f t="shared" si="384"/>
        <v>0</v>
      </c>
      <c r="BC158" s="118">
        <f t="shared" si="385"/>
        <v>0</v>
      </c>
      <c r="BD158" s="116">
        <f t="shared" si="386"/>
        <v>0</v>
      </c>
      <c r="BE158" s="117">
        <f t="shared" si="387"/>
        <v>0</v>
      </c>
      <c r="BF158" s="119">
        <f t="shared" si="388"/>
        <v>0</v>
      </c>
      <c r="BG158" s="194">
        <f t="shared" si="389"/>
        <v>0</v>
      </c>
      <c r="BH158" s="117">
        <f t="shared" si="390"/>
        <v>0</v>
      </c>
      <c r="BI158" s="118">
        <f t="shared" si="391"/>
        <v>0</v>
      </c>
      <c r="BJ158" s="116">
        <f t="shared" si="392"/>
        <v>0</v>
      </c>
      <c r="BK158" s="117">
        <f t="shared" si="393"/>
        <v>0</v>
      </c>
      <c r="BL158" s="119">
        <f t="shared" si="394"/>
        <v>0</v>
      </c>
      <c r="BM158" s="194">
        <f t="shared" si="395"/>
        <v>0</v>
      </c>
      <c r="BN158" s="117">
        <f t="shared" si="396"/>
        <v>0</v>
      </c>
      <c r="BO158" s="118">
        <f t="shared" si="397"/>
        <v>0</v>
      </c>
      <c r="BP158" s="116">
        <f t="shared" si="398"/>
        <v>0</v>
      </c>
      <c r="BQ158" s="117">
        <f t="shared" si="399"/>
        <v>0</v>
      </c>
      <c r="BR158" s="119">
        <f t="shared" si="440"/>
        <v>0</v>
      </c>
      <c r="BS158" s="194">
        <f t="shared" si="400"/>
        <v>0</v>
      </c>
      <c r="BT158" s="117">
        <f t="shared" si="401"/>
        <v>0</v>
      </c>
      <c r="BU158" s="118">
        <f t="shared" si="402"/>
        <v>0</v>
      </c>
      <c r="BV158" s="116">
        <f t="shared" si="403"/>
        <v>0</v>
      </c>
      <c r="BW158" s="117">
        <f t="shared" si="404"/>
        <v>0</v>
      </c>
      <c r="BX158" s="119">
        <f t="shared" si="405"/>
        <v>0</v>
      </c>
      <c r="BY158" s="194">
        <f t="shared" si="406"/>
        <v>0</v>
      </c>
      <c r="BZ158" s="117">
        <f t="shared" si="407"/>
        <v>0</v>
      </c>
      <c r="CA158" s="118">
        <f t="shared" si="408"/>
        <v>0</v>
      </c>
      <c r="CB158" s="116">
        <f t="shared" si="409"/>
        <v>0</v>
      </c>
      <c r="CC158" s="117">
        <f t="shared" si="410"/>
        <v>0</v>
      </c>
      <c r="CD158" s="119">
        <f t="shared" si="411"/>
        <v>0</v>
      </c>
      <c r="CE158" s="194">
        <f t="shared" si="412"/>
        <v>0</v>
      </c>
      <c r="CF158" s="117">
        <f t="shared" si="413"/>
        <v>0</v>
      </c>
      <c r="CG158" s="118">
        <f t="shared" si="414"/>
        <v>0</v>
      </c>
      <c r="CH158" s="116">
        <f t="shared" si="415"/>
        <v>0</v>
      </c>
      <c r="CI158" s="117">
        <f t="shared" si="416"/>
        <v>0</v>
      </c>
      <c r="CJ158" s="119">
        <f t="shared" si="417"/>
        <v>0</v>
      </c>
      <c r="CK158" s="194">
        <f t="shared" si="418"/>
        <v>0</v>
      </c>
      <c r="CL158" s="194">
        <f t="shared" si="419"/>
        <v>0</v>
      </c>
      <c r="CM158" s="398">
        <f t="shared" si="420"/>
        <v>0</v>
      </c>
      <c r="CN158" s="241">
        <f t="shared" si="421"/>
        <v>0</v>
      </c>
      <c r="CO158" s="43">
        <f t="shared" si="422"/>
        <v>0</v>
      </c>
      <c r="CP158" s="57">
        <f t="shared" si="423"/>
        <v>0</v>
      </c>
      <c r="CQ158" s="194">
        <f t="shared" si="424"/>
        <v>0</v>
      </c>
      <c r="CR158" s="117">
        <f t="shared" si="425"/>
        <v>0</v>
      </c>
      <c r="CS158" s="119">
        <f t="shared" si="426"/>
        <v>0</v>
      </c>
      <c r="CT158" s="194">
        <f t="shared" si="427"/>
        <v>0</v>
      </c>
      <c r="CU158" s="117">
        <f t="shared" si="428"/>
        <v>0</v>
      </c>
      <c r="CV158" s="119">
        <f t="shared" si="429"/>
        <v>0</v>
      </c>
      <c r="CW158" s="194">
        <f t="shared" si="430"/>
        <v>0</v>
      </c>
      <c r="CX158" s="117">
        <f t="shared" si="431"/>
        <v>0</v>
      </c>
      <c r="CY158" s="119">
        <f t="shared" si="432"/>
        <v>0</v>
      </c>
      <c r="CZ158" s="194">
        <f t="shared" si="433"/>
        <v>0</v>
      </c>
      <c r="DA158" s="117">
        <f t="shared" si="434"/>
        <v>0</v>
      </c>
      <c r="DB158" s="119">
        <f t="shared" si="435"/>
        <v>0</v>
      </c>
      <c r="DC158" s="399">
        <f t="shared" si="436"/>
        <v>0</v>
      </c>
      <c r="DD158" s="75">
        <f t="shared" si="437"/>
        <v>0</v>
      </c>
      <c r="DE158" s="75">
        <f t="shared" si="438"/>
        <v>0</v>
      </c>
      <c r="DF158" s="147">
        <f t="shared" si="439"/>
        <v>0</v>
      </c>
    </row>
    <row r="159" spans="1:110">
      <c r="A159" s="240">
        <v>9</v>
      </c>
      <c r="B159" s="116">
        <f t="shared" si="332"/>
        <v>0</v>
      </c>
      <c r="C159" s="117">
        <f t="shared" si="333"/>
        <v>0</v>
      </c>
      <c r="D159" s="119">
        <f t="shared" si="334"/>
        <v>0</v>
      </c>
      <c r="E159" s="194">
        <f t="shared" si="335"/>
        <v>0</v>
      </c>
      <c r="F159" s="117">
        <f t="shared" si="336"/>
        <v>0</v>
      </c>
      <c r="G159" s="118">
        <f t="shared" si="337"/>
        <v>0</v>
      </c>
      <c r="H159" s="116">
        <f t="shared" si="338"/>
        <v>0</v>
      </c>
      <c r="I159" s="117">
        <f t="shared" si="339"/>
        <v>0</v>
      </c>
      <c r="J159" s="119">
        <f t="shared" si="340"/>
        <v>0</v>
      </c>
      <c r="K159" s="194">
        <f t="shared" si="341"/>
        <v>0</v>
      </c>
      <c r="L159" s="117">
        <f t="shared" si="342"/>
        <v>0</v>
      </c>
      <c r="M159" s="118">
        <f t="shared" si="343"/>
        <v>0</v>
      </c>
      <c r="N159" s="116">
        <f t="shared" si="344"/>
        <v>0</v>
      </c>
      <c r="O159" s="117">
        <f t="shared" si="345"/>
        <v>0</v>
      </c>
      <c r="P159" s="119">
        <f t="shared" si="346"/>
        <v>0</v>
      </c>
      <c r="Q159" s="194">
        <f t="shared" si="347"/>
        <v>0</v>
      </c>
      <c r="R159" s="117">
        <f t="shared" si="348"/>
        <v>0</v>
      </c>
      <c r="S159" s="118">
        <f t="shared" si="349"/>
        <v>0</v>
      </c>
      <c r="T159" s="116">
        <f t="shared" si="350"/>
        <v>0</v>
      </c>
      <c r="U159" s="117">
        <f t="shared" si="351"/>
        <v>0</v>
      </c>
      <c r="V159" s="119">
        <f t="shared" si="352"/>
        <v>0</v>
      </c>
      <c r="W159" s="194">
        <f t="shared" si="353"/>
        <v>0</v>
      </c>
      <c r="X159" s="117">
        <f t="shared" si="354"/>
        <v>0</v>
      </c>
      <c r="Y159" s="118">
        <f t="shared" si="355"/>
        <v>0</v>
      </c>
      <c r="Z159" s="116">
        <f t="shared" si="356"/>
        <v>0</v>
      </c>
      <c r="AA159" s="117">
        <f t="shared" si="357"/>
        <v>0</v>
      </c>
      <c r="AB159" s="119">
        <f t="shared" si="358"/>
        <v>0</v>
      </c>
      <c r="AC159" s="194">
        <f t="shared" si="359"/>
        <v>0</v>
      </c>
      <c r="AD159" s="117">
        <f t="shared" si="360"/>
        <v>0</v>
      </c>
      <c r="AE159" s="118">
        <f t="shared" si="361"/>
        <v>0</v>
      </c>
      <c r="AF159" s="116">
        <f t="shared" si="362"/>
        <v>0</v>
      </c>
      <c r="AG159" s="117">
        <f t="shared" si="363"/>
        <v>0</v>
      </c>
      <c r="AH159" s="119">
        <f t="shared" si="364"/>
        <v>0</v>
      </c>
      <c r="AI159" s="194">
        <f t="shared" si="365"/>
        <v>0</v>
      </c>
      <c r="AJ159" s="117">
        <f t="shared" si="366"/>
        <v>0</v>
      </c>
      <c r="AK159" s="118">
        <f t="shared" si="367"/>
        <v>0</v>
      </c>
      <c r="AL159" s="116">
        <f t="shared" si="368"/>
        <v>0</v>
      </c>
      <c r="AM159" s="117">
        <f t="shared" si="369"/>
        <v>0</v>
      </c>
      <c r="AN159" s="119">
        <f t="shared" si="370"/>
        <v>0</v>
      </c>
      <c r="AO159" s="194">
        <f t="shared" si="371"/>
        <v>0</v>
      </c>
      <c r="AP159" s="117">
        <f t="shared" si="372"/>
        <v>0</v>
      </c>
      <c r="AQ159" s="118">
        <f t="shared" si="373"/>
        <v>0</v>
      </c>
      <c r="AR159" s="116">
        <f t="shared" si="374"/>
        <v>0</v>
      </c>
      <c r="AS159" s="117">
        <f t="shared" si="375"/>
        <v>0</v>
      </c>
      <c r="AT159" s="119">
        <f t="shared" si="376"/>
        <v>0</v>
      </c>
      <c r="AU159" s="194">
        <f t="shared" si="377"/>
        <v>0</v>
      </c>
      <c r="AV159" s="117">
        <f t="shared" si="378"/>
        <v>0</v>
      </c>
      <c r="AW159" s="118">
        <f t="shared" si="379"/>
        <v>0</v>
      </c>
      <c r="AX159" s="116">
        <f t="shared" si="380"/>
        <v>0</v>
      </c>
      <c r="AY159" s="117">
        <f t="shared" si="381"/>
        <v>0</v>
      </c>
      <c r="AZ159" s="119">
        <f t="shared" si="382"/>
        <v>0</v>
      </c>
      <c r="BA159" s="194">
        <f t="shared" si="383"/>
        <v>0</v>
      </c>
      <c r="BB159" s="117">
        <f t="shared" si="384"/>
        <v>0</v>
      </c>
      <c r="BC159" s="118">
        <f t="shared" si="385"/>
        <v>0</v>
      </c>
      <c r="BD159" s="116">
        <f t="shared" si="386"/>
        <v>0</v>
      </c>
      <c r="BE159" s="117">
        <f t="shared" si="387"/>
        <v>0</v>
      </c>
      <c r="BF159" s="119">
        <f t="shared" si="388"/>
        <v>0</v>
      </c>
      <c r="BG159" s="194">
        <f t="shared" si="389"/>
        <v>0</v>
      </c>
      <c r="BH159" s="117">
        <f t="shared" si="390"/>
        <v>0</v>
      </c>
      <c r="BI159" s="118">
        <f t="shared" si="391"/>
        <v>0</v>
      </c>
      <c r="BJ159" s="116">
        <f t="shared" si="392"/>
        <v>0</v>
      </c>
      <c r="BK159" s="117">
        <f t="shared" si="393"/>
        <v>0</v>
      </c>
      <c r="BL159" s="119">
        <f t="shared" si="394"/>
        <v>0</v>
      </c>
      <c r="BM159" s="194">
        <f t="shared" si="395"/>
        <v>0</v>
      </c>
      <c r="BN159" s="117">
        <f t="shared" si="396"/>
        <v>0</v>
      </c>
      <c r="BO159" s="118">
        <f t="shared" si="397"/>
        <v>0</v>
      </c>
      <c r="BP159" s="116">
        <f t="shared" si="398"/>
        <v>0</v>
      </c>
      <c r="BQ159" s="117">
        <f t="shared" si="399"/>
        <v>0</v>
      </c>
      <c r="BR159" s="119">
        <f t="shared" si="440"/>
        <v>0</v>
      </c>
      <c r="BS159" s="194">
        <f t="shared" si="400"/>
        <v>0</v>
      </c>
      <c r="BT159" s="117">
        <f t="shared" si="401"/>
        <v>0</v>
      </c>
      <c r="BU159" s="118">
        <f t="shared" si="402"/>
        <v>0</v>
      </c>
      <c r="BV159" s="116">
        <f t="shared" si="403"/>
        <v>0</v>
      </c>
      <c r="BW159" s="117">
        <f t="shared" si="404"/>
        <v>0</v>
      </c>
      <c r="BX159" s="119">
        <f t="shared" si="405"/>
        <v>0</v>
      </c>
      <c r="BY159" s="194">
        <f t="shared" si="406"/>
        <v>0</v>
      </c>
      <c r="BZ159" s="117">
        <f t="shared" si="407"/>
        <v>0</v>
      </c>
      <c r="CA159" s="118">
        <f t="shared" si="408"/>
        <v>0</v>
      </c>
      <c r="CB159" s="116">
        <f t="shared" si="409"/>
        <v>0</v>
      </c>
      <c r="CC159" s="117">
        <f t="shared" si="410"/>
        <v>0</v>
      </c>
      <c r="CD159" s="119">
        <f t="shared" si="411"/>
        <v>0</v>
      </c>
      <c r="CE159" s="194">
        <f t="shared" si="412"/>
        <v>0</v>
      </c>
      <c r="CF159" s="117">
        <f t="shared" si="413"/>
        <v>0</v>
      </c>
      <c r="CG159" s="118">
        <f t="shared" si="414"/>
        <v>0</v>
      </c>
      <c r="CH159" s="116">
        <f t="shared" si="415"/>
        <v>0</v>
      </c>
      <c r="CI159" s="117">
        <f t="shared" si="416"/>
        <v>0</v>
      </c>
      <c r="CJ159" s="119">
        <f t="shared" si="417"/>
        <v>0</v>
      </c>
      <c r="CK159" s="194">
        <f t="shared" si="418"/>
        <v>0</v>
      </c>
      <c r="CL159" s="194">
        <f t="shared" si="419"/>
        <v>0</v>
      </c>
      <c r="CM159" s="398">
        <f t="shared" si="420"/>
        <v>0</v>
      </c>
      <c r="CN159" s="241">
        <f t="shared" si="421"/>
        <v>0</v>
      </c>
      <c r="CO159" s="43">
        <f t="shared" si="422"/>
        <v>0</v>
      </c>
      <c r="CP159" s="57">
        <f t="shared" si="423"/>
        <v>0</v>
      </c>
      <c r="CQ159" s="194">
        <f t="shared" si="424"/>
        <v>0</v>
      </c>
      <c r="CR159" s="117">
        <f t="shared" si="425"/>
        <v>0</v>
      </c>
      <c r="CS159" s="119">
        <f t="shared" si="426"/>
        <v>0</v>
      </c>
      <c r="CT159" s="194">
        <f t="shared" si="427"/>
        <v>0</v>
      </c>
      <c r="CU159" s="117">
        <f t="shared" si="428"/>
        <v>0</v>
      </c>
      <c r="CV159" s="119">
        <f t="shared" si="429"/>
        <v>0</v>
      </c>
      <c r="CW159" s="194">
        <f t="shared" si="430"/>
        <v>0</v>
      </c>
      <c r="CX159" s="117">
        <f t="shared" si="431"/>
        <v>0</v>
      </c>
      <c r="CY159" s="119">
        <f t="shared" si="432"/>
        <v>0</v>
      </c>
      <c r="CZ159" s="194">
        <f t="shared" si="433"/>
        <v>0</v>
      </c>
      <c r="DA159" s="117">
        <f t="shared" si="434"/>
        <v>0</v>
      </c>
      <c r="DB159" s="119">
        <f t="shared" si="435"/>
        <v>0</v>
      </c>
      <c r="DC159" s="399">
        <f t="shared" si="436"/>
        <v>0</v>
      </c>
      <c r="DD159" s="75">
        <f t="shared" si="437"/>
        <v>0</v>
      </c>
      <c r="DE159" s="75">
        <f t="shared" si="438"/>
        <v>0</v>
      </c>
      <c r="DF159" s="147">
        <f t="shared" si="439"/>
        <v>0</v>
      </c>
    </row>
    <row r="160" spans="1:110">
      <c r="A160" s="365">
        <v>10</v>
      </c>
      <c r="B160" s="116">
        <f t="shared" si="332"/>
        <v>0</v>
      </c>
      <c r="C160" s="117">
        <f t="shared" si="333"/>
        <v>0</v>
      </c>
      <c r="D160" s="119">
        <f t="shared" si="334"/>
        <v>0</v>
      </c>
      <c r="E160" s="194">
        <f t="shared" si="335"/>
        <v>0</v>
      </c>
      <c r="F160" s="117">
        <f t="shared" si="336"/>
        <v>0</v>
      </c>
      <c r="G160" s="118">
        <f t="shared" si="337"/>
        <v>0</v>
      </c>
      <c r="H160" s="116">
        <f t="shared" si="338"/>
        <v>0</v>
      </c>
      <c r="I160" s="117">
        <f t="shared" si="339"/>
        <v>0</v>
      </c>
      <c r="J160" s="119">
        <f t="shared" si="340"/>
        <v>0</v>
      </c>
      <c r="K160" s="194">
        <f t="shared" si="341"/>
        <v>0</v>
      </c>
      <c r="L160" s="117">
        <f t="shared" si="342"/>
        <v>0</v>
      </c>
      <c r="M160" s="118">
        <f t="shared" si="343"/>
        <v>0</v>
      </c>
      <c r="N160" s="116">
        <f t="shared" si="344"/>
        <v>0</v>
      </c>
      <c r="O160" s="117">
        <f t="shared" si="345"/>
        <v>0</v>
      </c>
      <c r="P160" s="119">
        <f t="shared" si="346"/>
        <v>0</v>
      </c>
      <c r="Q160" s="194">
        <f t="shared" si="347"/>
        <v>0</v>
      </c>
      <c r="R160" s="117">
        <f t="shared" si="348"/>
        <v>0</v>
      </c>
      <c r="S160" s="118">
        <f t="shared" si="349"/>
        <v>0</v>
      </c>
      <c r="T160" s="116">
        <f t="shared" si="350"/>
        <v>0</v>
      </c>
      <c r="U160" s="117">
        <f t="shared" si="351"/>
        <v>0</v>
      </c>
      <c r="V160" s="119">
        <f t="shared" si="352"/>
        <v>0</v>
      </c>
      <c r="W160" s="194">
        <f t="shared" si="353"/>
        <v>0</v>
      </c>
      <c r="X160" s="117">
        <f t="shared" si="354"/>
        <v>0</v>
      </c>
      <c r="Y160" s="118">
        <f t="shared" si="355"/>
        <v>0</v>
      </c>
      <c r="Z160" s="116">
        <f t="shared" si="356"/>
        <v>0</v>
      </c>
      <c r="AA160" s="117">
        <f t="shared" si="357"/>
        <v>0</v>
      </c>
      <c r="AB160" s="119">
        <f t="shared" si="358"/>
        <v>0</v>
      </c>
      <c r="AC160" s="194">
        <f t="shared" si="359"/>
        <v>0</v>
      </c>
      <c r="AD160" s="117">
        <f t="shared" si="360"/>
        <v>0</v>
      </c>
      <c r="AE160" s="118">
        <f t="shared" si="361"/>
        <v>0</v>
      </c>
      <c r="AF160" s="116">
        <f t="shared" si="362"/>
        <v>0</v>
      </c>
      <c r="AG160" s="117">
        <f t="shared" si="363"/>
        <v>0</v>
      </c>
      <c r="AH160" s="119">
        <f t="shared" si="364"/>
        <v>0</v>
      </c>
      <c r="AI160" s="194">
        <f t="shared" si="365"/>
        <v>0</v>
      </c>
      <c r="AJ160" s="117">
        <f t="shared" si="366"/>
        <v>0</v>
      </c>
      <c r="AK160" s="118">
        <f t="shared" si="367"/>
        <v>0</v>
      </c>
      <c r="AL160" s="116">
        <f t="shared" si="368"/>
        <v>0</v>
      </c>
      <c r="AM160" s="117">
        <f t="shared" si="369"/>
        <v>0</v>
      </c>
      <c r="AN160" s="119">
        <f t="shared" si="370"/>
        <v>0</v>
      </c>
      <c r="AO160" s="194">
        <f t="shared" si="371"/>
        <v>0</v>
      </c>
      <c r="AP160" s="117">
        <f t="shared" si="372"/>
        <v>0</v>
      </c>
      <c r="AQ160" s="118">
        <f t="shared" si="373"/>
        <v>0</v>
      </c>
      <c r="AR160" s="116">
        <f t="shared" si="374"/>
        <v>0</v>
      </c>
      <c r="AS160" s="117">
        <f t="shared" si="375"/>
        <v>0</v>
      </c>
      <c r="AT160" s="119">
        <f t="shared" si="376"/>
        <v>0</v>
      </c>
      <c r="AU160" s="194">
        <f t="shared" si="377"/>
        <v>0</v>
      </c>
      <c r="AV160" s="117">
        <f t="shared" si="378"/>
        <v>0</v>
      </c>
      <c r="AW160" s="118">
        <f t="shared" si="379"/>
        <v>0</v>
      </c>
      <c r="AX160" s="116">
        <f t="shared" si="380"/>
        <v>0</v>
      </c>
      <c r="AY160" s="117">
        <f t="shared" si="381"/>
        <v>0</v>
      </c>
      <c r="AZ160" s="119">
        <f t="shared" si="382"/>
        <v>0</v>
      </c>
      <c r="BA160" s="194">
        <f t="shared" si="383"/>
        <v>0</v>
      </c>
      <c r="BB160" s="117">
        <f t="shared" si="384"/>
        <v>0</v>
      </c>
      <c r="BC160" s="118">
        <f t="shared" si="385"/>
        <v>0</v>
      </c>
      <c r="BD160" s="116">
        <f t="shared" si="386"/>
        <v>0</v>
      </c>
      <c r="BE160" s="117">
        <f t="shared" si="387"/>
        <v>0</v>
      </c>
      <c r="BF160" s="119">
        <f t="shared" si="388"/>
        <v>0</v>
      </c>
      <c r="BG160" s="194">
        <f t="shared" si="389"/>
        <v>0</v>
      </c>
      <c r="BH160" s="117">
        <f t="shared" si="390"/>
        <v>0</v>
      </c>
      <c r="BI160" s="118">
        <f t="shared" si="391"/>
        <v>0</v>
      </c>
      <c r="BJ160" s="116">
        <f t="shared" si="392"/>
        <v>0</v>
      </c>
      <c r="BK160" s="117">
        <f t="shared" si="393"/>
        <v>0</v>
      </c>
      <c r="BL160" s="119">
        <f t="shared" si="394"/>
        <v>0</v>
      </c>
      <c r="BM160" s="194">
        <f t="shared" si="395"/>
        <v>0</v>
      </c>
      <c r="BN160" s="117">
        <f t="shared" si="396"/>
        <v>0</v>
      </c>
      <c r="BO160" s="118">
        <f t="shared" si="397"/>
        <v>0</v>
      </c>
      <c r="BP160" s="116">
        <f t="shared" si="398"/>
        <v>0</v>
      </c>
      <c r="BQ160" s="117">
        <f t="shared" si="399"/>
        <v>0</v>
      </c>
      <c r="BR160" s="119">
        <f t="shared" si="440"/>
        <v>0</v>
      </c>
      <c r="BS160" s="194">
        <f t="shared" si="400"/>
        <v>0</v>
      </c>
      <c r="BT160" s="117">
        <f t="shared" si="401"/>
        <v>0</v>
      </c>
      <c r="BU160" s="118">
        <f t="shared" si="402"/>
        <v>0</v>
      </c>
      <c r="BV160" s="116">
        <f t="shared" si="403"/>
        <v>0</v>
      </c>
      <c r="BW160" s="117">
        <f t="shared" si="404"/>
        <v>0</v>
      </c>
      <c r="BX160" s="119">
        <f t="shared" si="405"/>
        <v>0</v>
      </c>
      <c r="BY160" s="194">
        <f t="shared" si="406"/>
        <v>0</v>
      </c>
      <c r="BZ160" s="117">
        <f t="shared" si="407"/>
        <v>0</v>
      </c>
      <c r="CA160" s="118">
        <f t="shared" si="408"/>
        <v>0</v>
      </c>
      <c r="CB160" s="116">
        <f t="shared" si="409"/>
        <v>0</v>
      </c>
      <c r="CC160" s="117">
        <f t="shared" si="410"/>
        <v>0</v>
      </c>
      <c r="CD160" s="119">
        <f t="shared" si="411"/>
        <v>0</v>
      </c>
      <c r="CE160" s="194">
        <f t="shared" si="412"/>
        <v>0</v>
      </c>
      <c r="CF160" s="117">
        <f t="shared" si="413"/>
        <v>0</v>
      </c>
      <c r="CG160" s="118">
        <f t="shared" si="414"/>
        <v>0</v>
      </c>
      <c r="CH160" s="116">
        <f t="shared" si="415"/>
        <v>0</v>
      </c>
      <c r="CI160" s="117">
        <f t="shared" si="416"/>
        <v>0</v>
      </c>
      <c r="CJ160" s="119">
        <f t="shared" si="417"/>
        <v>0</v>
      </c>
      <c r="CK160" s="194">
        <f t="shared" si="418"/>
        <v>0</v>
      </c>
      <c r="CL160" s="194">
        <f t="shared" si="419"/>
        <v>0</v>
      </c>
      <c r="CM160" s="398">
        <f t="shared" si="420"/>
        <v>0</v>
      </c>
      <c r="CN160" s="241">
        <f t="shared" si="421"/>
        <v>0</v>
      </c>
      <c r="CO160" s="43">
        <f t="shared" si="422"/>
        <v>0</v>
      </c>
      <c r="CP160" s="57">
        <f t="shared" si="423"/>
        <v>0</v>
      </c>
      <c r="CQ160" s="194">
        <f t="shared" si="424"/>
        <v>0</v>
      </c>
      <c r="CR160" s="117">
        <f t="shared" si="425"/>
        <v>0</v>
      </c>
      <c r="CS160" s="119">
        <f t="shared" si="426"/>
        <v>0</v>
      </c>
      <c r="CT160" s="194">
        <f t="shared" si="427"/>
        <v>0</v>
      </c>
      <c r="CU160" s="117">
        <f t="shared" si="428"/>
        <v>0</v>
      </c>
      <c r="CV160" s="119">
        <f t="shared" si="429"/>
        <v>0</v>
      </c>
      <c r="CW160" s="194">
        <f t="shared" si="430"/>
        <v>0</v>
      </c>
      <c r="CX160" s="117">
        <f t="shared" si="431"/>
        <v>0</v>
      </c>
      <c r="CY160" s="119">
        <f t="shared" si="432"/>
        <v>0</v>
      </c>
      <c r="CZ160" s="194">
        <f t="shared" si="433"/>
        <v>0</v>
      </c>
      <c r="DA160" s="117">
        <f t="shared" si="434"/>
        <v>0</v>
      </c>
      <c r="DB160" s="119">
        <f t="shared" si="435"/>
        <v>0</v>
      </c>
      <c r="DC160" s="399">
        <f t="shared" si="436"/>
        <v>0</v>
      </c>
      <c r="DD160" s="75">
        <f t="shared" si="437"/>
        <v>0</v>
      </c>
      <c r="DE160" s="75">
        <f t="shared" si="438"/>
        <v>0</v>
      </c>
      <c r="DF160" s="147">
        <f t="shared" si="439"/>
        <v>0</v>
      </c>
    </row>
    <row r="161" spans="1:110">
      <c r="A161" s="240">
        <v>11</v>
      </c>
      <c r="B161" s="116">
        <f t="shared" si="332"/>
        <v>0</v>
      </c>
      <c r="C161" s="117">
        <f t="shared" si="333"/>
        <v>0</v>
      </c>
      <c r="D161" s="119">
        <f t="shared" si="334"/>
        <v>0</v>
      </c>
      <c r="E161" s="194">
        <f t="shared" si="335"/>
        <v>0</v>
      </c>
      <c r="F161" s="117">
        <f t="shared" si="336"/>
        <v>0</v>
      </c>
      <c r="G161" s="118">
        <f t="shared" si="337"/>
        <v>0</v>
      </c>
      <c r="H161" s="116">
        <f t="shared" si="338"/>
        <v>0</v>
      </c>
      <c r="I161" s="117">
        <f t="shared" si="339"/>
        <v>0</v>
      </c>
      <c r="J161" s="119">
        <f t="shared" si="340"/>
        <v>0</v>
      </c>
      <c r="K161" s="194">
        <f t="shared" si="341"/>
        <v>0</v>
      </c>
      <c r="L161" s="117">
        <f t="shared" si="342"/>
        <v>0</v>
      </c>
      <c r="M161" s="118">
        <f t="shared" si="343"/>
        <v>0</v>
      </c>
      <c r="N161" s="116">
        <f t="shared" si="344"/>
        <v>0</v>
      </c>
      <c r="O161" s="117">
        <f t="shared" si="345"/>
        <v>0</v>
      </c>
      <c r="P161" s="119">
        <f t="shared" si="346"/>
        <v>0</v>
      </c>
      <c r="Q161" s="194">
        <f t="shared" si="347"/>
        <v>0</v>
      </c>
      <c r="R161" s="117">
        <f t="shared" si="348"/>
        <v>0</v>
      </c>
      <c r="S161" s="118">
        <f t="shared" si="349"/>
        <v>0</v>
      </c>
      <c r="T161" s="116">
        <f t="shared" si="350"/>
        <v>0</v>
      </c>
      <c r="U161" s="117">
        <f t="shared" si="351"/>
        <v>0</v>
      </c>
      <c r="V161" s="119">
        <f t="shared" si="352"/>
        <v>0</v>
      </c>
      <c r="W161" s="194">
        <f t="shared" si="353"/>
        <v>0</v>
      </c>
      <c r="X161" s="117">
        <f t="shared" si="354"/>
        <v>0</v>
      </c>
      <c r="Y161" s="118">
        <f t="shared" si="355"/>
        <v>0</v>
      </c>
      <c r="Z161" s="116">
        <f t="shared" si="356"/>
        <v>0</v>
      </c>
      <c r="AA161" s="117">
        <f t="shared" si="357"/>
        <v>0</v>
      </c>
      <c r="AB161" s="119">
        <f t="shared" si="358"/>
        <v>0</v>
      </c>
      <c r="AC161" s="194">
        <f t="shared" si="359"/>
        <v>0</v>
      </c>
      <c r="AD161" s="117">
        <f t="shared" si="360"/>
        <v>0</v>
      </c>
      <c r="AE161" s="118">
        <f t="shared" si="361"/>
        <v>0</v>
      </c>
      <c r="AF161" s="116">
        <f t="shared" si="362"/>
        <v>0</v>
      </c>
      <c r="AG161" s="117">
        <f t="shared" si="363"/>
        <v>0</v>
      </c>
      <c r="AH161" s="119">
        <f t="shared" si="364"/>
        <v>0</v>
      </c>
      <c r="AI161" s="194">
        <f t="shared" si="365"/>
        <v>0</v>
      </c>
      <c r="AJ161" s="117">
        <f t="shared" si="366"/>
        <v>0</v>
      </c>
      <c r="AK161" s="118">
        <f t="shared" si="367"/>
        <v>0</v>
      </c>
      <c r="AL161" s="116">
        <f t="shared" si="368"/>
        <v>0</v>
      </c>
      <c r="AM161" s="117">
        <f t="shared" si="369"/>
        <v>0</v>
      </c>
      <c r="AN161" s="119">
        <f t="shared" si="370"/>
        <v>0</v>
      </c>
      <c r="AO161" s="194">
        <f t="shared" si="371"/>
        <v>0</v>
      </c>
      <c r="AP161" s="117">
        <f t="shared" si="372"/>
        <v>0</v>
      </c>
      <c r="AQ161" s="118">
        <f t="shared" si="373"/>
        <v>0</v>
      </c>
      <c r="AR161" s="116">
        <f t="shared" si="374"/>
        <v>0</v>
      </c>
      <c r="AS161" s="117">
        <f t="shared" si="375"/>
        <v>0</v>
      </c>
      <c r="AT161" s="119">
        <f t="shared" si="376"/>
        <v>0</v>
      </c>
      <c r="AU161" s="194">
        <f t="shared" si="377"/>
        <v>0</v>
      </c>
      <c r="AV161" s="117">
        <f t="shared" si="378"/>
        <v>0</v>
      </c>
      <c r="AW161" s="118">
        <f t="shared" si="379"/>
        <v>0</v>
      </c>
      <c r="AX161" s="116">
        <f t="shared" si="380"/>
        <v>0</v>
      </c>
      <c r="AY161" s="117">
        <f t="shared" si="381"/>
        <v>0</v>
      </c>
      <c r="AZ161" s="119">
        <f t="shared" si="382"/>
        <v>0</v>
      </c>
      <c r="BA161" s="194">
        <f t="shared" si="383"/>
        <v>0</v>
      </c>
      <c r="BB161" s="117">
        <f t="shared" si="384"/>
        <v>0</v>
      </c>
      <c r="BC161" s="118">
        <f t="shared" si="385"/>
        <v>0</v>
      </c>
      <c r="BD161" s="116">
        <f t="shared" si="386"/>
        <v>0</v>
      </c>
      <c r="BE161" s="117">
        <f t="shared" si="387"/>
        <v>0</v>
      </c>
      <c r="BF161" s="119">
        <f t="shared" si="388"/>
        <v>0</v>
      </c>
      <c r="BG161" s="194">
        <f t="shared" si="389"/>
        <v>0</v>
      </c>
      <c r="BH161" s="117">
        <f t="shared" si="390"/>
        <v>0</v>
      </c>
      <c r="BI161" s="118">
        <f t="shared" si="391"/>
        <v>0</v>
      </c>
      <c r="BJ161" s="116">
        <f t="shared" si="392"/>
        <v>0</v>
      </c>
      <c r="BK161" s="117">
        <f t="shared" si="393"/>
        <v>0</v>
      </c>
      <c r="BL161" s="119">
        <f t="shared" si="394"/>
        <v>0</v>
      </c>
      <c r="BM161" s="194">
        <f t="shared" si="395"/>
        <v>0</v>
      </c>
      <c r="BN161" s="117">
        <f t="shared" si="396"/>
        <v>0</v>
      </c>
      <c r="BO161" s="118">
        <f t="shared" si="397"/>
        <v>0</v>
      </c>
      <c r="BP161" s="116">
        <f t="shared" si="398"/>
        <v>0</v>
      </c>
      <c r="BQ161" s="117">
        <f t="shared" si="399"/>
        <v>0</v>
      </c>
      <c r="BR161" s="119">
        <f t="shared" si="440"/>
        <v>0</v>
      </c>
      <c r="BS161" s="194">
        <f t="shared" si="400"/>
        <v>0</v>
      </c>
      <c r="BT161" s="117">
        <f t="shared" si="401"/>
        <v>0</v>
      </c>
      <c r="BU161" s="118">
        <f t="shared" si="402"/>
        <v>0</v>
      </c>
      <c r="BV161" s="116">
        <f t="shared" si="403"/>
        <v>0</v>
      </c>
      <c r="BW161" s="117">
        <f t="shared" si="404"/>
        <v>0</v>
      </c>
      <c r="BX161" s="119">
        <f t="shared" si="405"/>
        <v>0</v>
      </c>
      <c r="BY161" s="194">
        <f t="shared" si="406"/>
        <v>0</v>
      </c>
      <c r="BZ161" s="117">
        <f t="shared" si="407"/>
        <v>0</v>
      </c>
      <c r="CA161" s="118">
        <f t="shared" si="408"/>
        <v>0</v>
      </c>
      <c r="CB161" s="116">
        <f t="shared" si="409"/>
        <v>0</v>
      </c>
      <c r="CC161" s="117">
        <f t="shared" si="410"/>
        <v>0</v>
      </c>
      <c r="CD161" s="119">
        <f t="shared" si="411"/>
        <v>0</v>
      </c>
      <c r="CE161" s="194">
        <f t="shared" si="412"/>
        <v>0</v>
      </c>
      <c r="CF161" s="117">
        <f t="shared" si="413"/>
        <v>0</v>
      </c>
      <c r="CG161" s="118">
        <f t="shared" si="414"/>
        <v>0</v>
      </c>
      <c r="CH161" s="116">
        <f t="shared" si="415"/>
        <v>0</v>
      </c>
      <c r="CI161" s="117">
        <f t="shared" si="416"/>
        <v>0</v>
      </c>
      <c r="CJ161" s="119">
        <f t="shared" si="417"/>
        <v>0</v>
      </c>
      <c r="CK161" s="194">
        <f t="shared" si="418"/>
        <v>0</v>
      </c>
      <c r="CL161" s="194">
        <f t="shared" si="419"/>
        <v>0</v>
      </c>
      <c r="CM161" s="398">
        <f t="shared" si="420"/>
        <v>0</v>
      </c>
      <c r="CN161" s="241">
        <f t="shared" si="421"/>
        <v>0</v>
      </c>
      <c r="CO161" s="43">
        <f t="shared" si="422"/>
        <v>0</v>
      </c>
      <c r="CP161" s="57">
        <f t="shared" si="423"/>
        <v>0</v>
      </c>
      <c r="CQ161" s="194">
        <f t="shared" si="424"/>
        <v>0</v>
      </c>
      <c r="CR161" s="117">
        <f t="shared" si="425"/>
        <v>0</v>
      </c>
      <c r="CS161" s="119">
        <f t="shared" si="426"/>
        <v>0</v>
      </c>
      <c r="CT161" s="194">
        <f t="shared" si="427"/>
        <v>0</v>
      </c>
      <c r="CU161" s="117">
        <f t="shared" si="428"/>
        <v>0</v>
      </c>
      <c r="CV161" s="119">
        <f t="shared" si="429"/>
        <v>0</v>
      </c>
      <c r="CW161" s="194">
        <f t="shared" si="430"/>
        <v>0</v>
      </c>
      <c r="CX161" s="117">
        <f t="shared" si="431"/>
        <v>0</v>
      </c>
      <c r="CY161" s="119">
        <f t="shared" si="432"/>
        <v>0</v>
      </c>
      <c r="CZ161" s="194">
        <f t="shared" si="433"/>
        <v>0</v>
      </c>
      <c r="DA161" s="117">
        <f t="shared" si="434"/>
        <v>0</v>
      </c>
      <c r="DB161" s="119">
        <f t="shared" si="435"/>
        <v>0</v>
      </c>
      <c r="DC161" s="399">
        <f t="shared" si="436"/>
        <v>0</v>
      </c>
      <c r="DD161" s="75">
        <f t="shared" si="437"/>
        <v>0</v>
      </c>
      <c r="DE161" s="75">
        <f t="shared" si="438"/>
        <v>0</v>
      </c>
      <c r="DF161" s="147">
        <f t="shared" si="439"/>
        <v>0</v>
      </c>
    </row>
    <row r="162" spans="1:110">
      <c r="A162" s="240">
        <v>12</v>
      </c>
      <c r="B162" s="116">
        <f t="shared" si="332"/>
        <v>0</v>
      </c>
      <c r="C162" s="117">
        <f t="shared" si="333"/>
        <v>0</v>
      </c>
      <c r="D162" s="119">
        <f t="shared" si="334"/>
        <v>0</v>
      </c>
      <c r="E162" s="194">
        <f t="shared" si="335"/>
        <v>0</v>
      </c>
      <c r="F162" s="117">
        <f t="shared" si="336"/>
        <v>0</v>
      </c>
      <c r="G162" s="118">
        <f t="shared" si="337"/>
        <v>0</v>
      </c>
      <c r="H162" s="116">
        <f t="shared" si="338"/>
        <v>0</v>
      </c>
      <c r="I162" s="117">
        <f t="shared" si="339"/>
        <v>0</v>
      </c>
      <c r="J162" s="119">
        <f t="shared" si="340"/>
        <v>0</v>
      </c>
      <c r="K162" s="194">
        <f t="shared" si="341"/>
        <v>0</v>
      </c>
      <c r="L162" s="117">
        <f t="shared" si="342"/>
        <v>0</v>
      </c>
      <c r="M162" s="118">
        <f t="shared" si="343"/>
        <v>0</v>
      </c>
      <c r="N162" s="116">
        <f t="shared" si="344"/>
        <v>0</v>
      </c>
      <c r="O162" s="117">
        <f t="shared" si="345"/>
        <v>0</v>
      </c>
      <c r="P162" s="119">
        <f t="shared" si="346"/>
        <v>0</v>
      </c>
      <c r="Q162" s="194">
        <f t="shared" si="347"/>
        <v>0</v>
      </c>
      <c r="R162" s="117">
        <f t="shared" si="348"/>
        <v>0</v>
      </c>
      <c r="S162" s="118">
        <f t="shared" si="349"/>
        <v>0</v>
      </c>
      <c r="T162" s="116">
        <f t="shared" si="350"/>
        <v>0</v>
      </c>
      <c r="U162" s="117">
        <f t="shared" si="351"/>
        <v>0</v>
      </c>
      <c r="V162" s="119">
        <f t="shared" si="352"/>
        <v>0</v>
      </c>
      <c r="W162" s="194">
        <f t="shared" si="353"/>
        <v>0</v>
      </c>
      <c r="X162" s="117">
        <f t="shared" si="354"/>
        <v>0</v>
      </c>
      <c r="Y162" s="118">
        <f t="shared" si="355"/>
        <v>0</v>
      </c>
      <c r="Z162" s="116">
        <f t="shared" si="356"/>
        <v>0</v>
      </c>
      <c r="AA162" s="117">
        <f t="shared" si="357"/>
        <v>0</v>
      </c>
      <c r="AB162" s="119">
        <f t="shared" si="358"/>
        <v>0</v>
      </c>
      <c r="AC162" s="194">
        <f t="shared" si="359"/>
        <v>0</v>
      </c>
      <c r="AD162" s="117">
        <f t="shared" si="360"/>
        <v>0</v>
      </c>
      <c r="AE162" s="118">
        <f t="shared" si="361"/>
        <v>0</v>
      </c>
      <c r="AF162" s="116">
        <f t="shared" si="362"/>
        <v>0</v>
      </c>
      <c r="AG162" s="117">
        <f t="shared" si="363"/>
        <v>0</v>
      </c>
      <c r="AH162" s="119">
        <f t="shared" si="364"/>
        <v>0</v>
      </c>
      <c r="AI162" s="194">
        <f t="shared" si="365"/>
        <v>0</v>
      </c>
      <c r="AJ162" s="117">
        <f t="shared" si="366"/>
        <v>0</v>
      </c>
      <c r="AK162" s="118">
        <f t="shared" si="367"/>
        <v>0</v>
      </c>
      <c r="AL162" s="116">
        <f t="shared" si="368"/>
        <v>0</v>
      </c>
      <c r="AM162" s="117">
        <f t="shared" si="369"/>
        <v>0</v>
      </c>
      <c r="AN162" s="119">
        <f t="shared" si="370"/>
        <v>0</v>
      </c>
      <c r="AO162" s="194">
        <f t="shared" si="371"/>
        <v>0</v>
      </c>
      <c r="AP162" s="117">
        <f t="shared" si="372"/>
        <v>0</v>
      </c>
      <c r="AQ162" s="118">
        <f t="shared" si="373"/>
        <v>0</v>
      </c>
      <c r="AR162" s="116">
        <f t="shared" si="374"/>
        <v>0</v>
      </c>
      <c r="AS162" s="117">
        <f t="shared" si="375"/>
        <v>0</v>
      </c>
      <c r="AT162" s="119">
        <f t="shared" si="376"/>
        <v>0</v>
      </c>
      <c r="AU162" s="194">
        <f t="shared" si="377"/>
        <v>0</v>
      </c>
      <c r="AV162" s="117">
        <f t="shared" si="378"/>
        <v>0</v>
      </c>
      <c r="AW162" s="118">
        <f t="shared" si="379"/>
        <v>0</v>
      </c>
      <c r="AX162" s="116">
        <f t="shared" si="380"/>
        <v>0</v>
      </c>
      <c r="AY162" s="117">
        <f t="shared" si="381"/>
        <v>0</v>
      </c>
      <c r="AZ162" s="119">
        <f t="shared" si="382"/>
        <v>0</v>
      </c>
      <c r="BA162" s="194">
        <f t="shared" si="383"/>
        <v>0</v>
      </c>
      <c r="BB162" s="117">
        <f t="shared" si="384"/>
        <v>0</v>
      </c>
      <c r="BC162" s="118">
        <f t="shared" si="385"/>
        <v>0</v>
      </c>
      <c r="BD162" s="116">
        <f t="shared" si="386"/>
        <v>0</v>
      </c>
      <c r="BE162" s="117">
        <f t="shared" si="387"/>
        <v>0</v>
      </c>
      <c r="BF162" s="119">
        <f t="shared" si="388"/>
        <v>0</v>
      </c>
      <c r="BG162" s="194">
        <f t="shared" si="389"/>
        <v>0</v>
      </c>
      <c r="BH162" s="117">
        <f t="shared" si="390"/>
        <v>0</v>
      </c>
      <c r="BI162" s="118">
        <f t="shared" si="391"/>
        <v>0</v>
      </c>
      <c r="BJ162" s="116">
        <f t="shared" si="392"/>
        <v>0</v>
      </c>
      <c r="BK162" s="117">
        <f t="shared" si="393"/>
        <v>0</v>
      </c>
      <c r="BL162" s="119">
        <f t="shared" si="394"/>
        <v>0</v>
      </c>
      <c r="BM162" s="194">
        <f t="shared" si="395"/>
        <v>0</v>
      </c>
      <c r="BN162" s="117">
        <f t="shared" si="396"/>
        <v>0</v>
      </c>
      <c r="BO162" s="118">
        <f t="shared" si="397"/>
        <v>0</v>
      </c>
      <c r="BP162" s="116">
        <f t="shared" si="398"/>
        <v>0</v>
      </c>
      <c r="BQ162" s="117">
        <f t="shared" si="399"/>
        <v>0</v>
      </c>
      <c r="BR162" s="119">
        <f t="shared" si="440"/>
        <v>0</v>
      </c>
      <c r="BS162" s="194">
        <f t="shared" si="400"/>
        <v>0</v>
      </c>
      <c r="BT162" s="117">
        <f t="shared" si="401"/>
        <v>0</v>
      </c>
      <c r="BU162" s="118">
        <f t="shared" si="402"/>
        <v>0</v>
      </c>
      <c r="BV162" s="116">
        <f t="shared" si="403"/>
        <v>0</v>
      </c>
      <c r="BW162" s="117">
        <f t="shared" si="404"/>
        <v>0</v>
      </c>
      <c r="BX162" s="119">
        <f t="shared" si="405"/>
        <v>0</v>
      </c>
      <c r="BY162" s="194">
        <f t="shared" si="406"/>
        <v>0</v>
      </c>
      <c r="BZ162" s="117">
        <f t="shared" si="407"/>
        <v>0</v>
      </c>
      <c r="CA162" s="118">
        <f t="shared" si="408"/>
        <v>0</v>
      </c>
      <c r="CB162" s="116">
        <f t="shared" si="409"/>
        <v>0</v>
      </c>
      <c r="CC162" s="117">
        <f t="shared" si="410"/>
        <v>0</v>
      </c>
      <c r="CD162" s="119">
        <f t="shared" si="411"/>
        <v>0</v>
      </c>
      <c r="CE162" s="194">
        <f t="shared" si="412"/>
        <v>0</v>
      </c>
      <c r="CF162" s="117">
        <f t="shared" si="413"/>
        <v>0</v>
      </c>
      <c r="CG162" s="118">
        <f t="shared" si="414"/>
        <v>0</v>
      </c>
      <c r="CH162" s="116">
        <f t="shared" si="415"/>
        <v>0</v>
      </c>
      <c r="CI162" s="117">
        <f t="shared" si="416"/>
        <v>0</v>
      </c>
      <c r="CJ162" s="119">
        <f t="shared" si="417"/>
        <v>0</v>
      </c>
      <c r="CK162" s="194">
        <f t="shared" si="418"/>
        <v>0</v>
      </c>
      <c r="CL162" s="194">
        <f t="shared" si="419"/>
        <v>0</v>
      </c>
      <c r="CM162" s="398">
        <f t="shared" si="420"/>
        <v>0</v>
      </c>
      <c r="CN162" s="241">
        <f t="shared" si="421"/>
        <v>0</v>
      </c>
      <c r="CO162" s="43">
        <f t="shared" si="422"/>
        <v>0</v>
      </c>
      <c r="CP162" s="57">
        <f t="shared" si="423"/>
        <v>0</v>
      </c>
      <c r="CQ162" s="194">
        <f t="shared" si="424"/>
        <v>0</v>
      </c>
      <c r="CR162" s="117">
        <f t="shared" si="425"/>
        <v>0</v>
      </c>
      <c r="CS162" s="119">
        <f t="shared" si="426"/>
        <v>0</v>
      </c>
      <c r="CT162" s="194">
        <f t="shared" si="427"/>
        <v>0</v>
      </c>
      <c r="CU162" s="117">
        <f t="shared" si="428"/>
        <v>0</v>
      </c>
      <c r="CV162" s="119">
        <f t="shared" si="429"/>
        <v>0</v>
      </c>
      <c r="CW162" s="194">
        <f t="shared" si="430"/>
        <v>0</v>
      </c>
      <c r="CX162" s="117">
        <f t="shared" si="431"/>
        <v>0</v>
      </c>
      <c r="CY162" s="119">
        <f t="shared" si="432"/>
        <v>0</v>
      </c>
      <c r="CZ162" s="194">
        <f t="shared" si="433"/>
        <v>0</v>
      </c>
      <c r="DA162" s="117">
        <f t="shared" si="434"/>
        <v>0</v>
      </c>
      <c r="DB162" s="119">
        <f t="shared" si="435"/>
        <v>0</v>
      </c>
      <c r="DC162" s="399">
        <f t="shared" si="436"/>
        <v>0</v>
      </c>
      <c r="DD162" s="75">
        <f t="shared" si="437"/>
        <v>0</v>
      </c>
      <c r="DE162" s="75">
        <f t="shared" si="438"/>
        <v>0</v>
      </c>
      <c r="DF162" s="147">
        <f t="shared" si="439"/>
        <v>0</v>
      </c>
    </row>
    <row r="163" spans="1:110">
      <c r="A163" s="365">
        <v>13</v>
      </c>
      <c r="B163" s="116">
        <f t="shared" si="332"/>
        <v>0</v>
      </c>
      <c r="C163" s="117">
        <f t="shared" si="333"/>
        <v>0</v>
      </c>
      <c r="D163" s="119">
        <f t="shared" si="334"/>
        <v>0</v>
      </c>
      <c r="E163" s="194">
        <f t="shared" si="335"/>
        <v>0</v>
      </c>
      <c r="F163" s="117">
        <f t="shared" si="336"/>
        <v>0</v>
      </c>
      <c r="G163" s="118">
        <f t="shared" si="337"/>
        <v>0</v>
      </c>
      <c r="H163" s="116">
        <f t="shared" si="338"/>
        <v>0</v>
      </c>
      <c r="I163" s="117">
        <f t="shared" si="339"/>
        <v>0</v>
      </c>
      <c r="J163" s="119">
        <f t="shared" si="340"/>
        <v>0</v>
      </c>
      <c r="K163" s="194">
        <f t="shared" si="341"/>
        <v>0</v>
      </c>
      <c r="L163" s="117">
        <f t="shared" si="342"/>
        <v>0</v>
      </c>
      <c r="M163" s="118">
        <f t="shared" si="343"/>
        <v>0</v>
      </c>
      <c r="N163" s="116">
        <f t="shared" si="344"/>
        <v>0</v>
      </c>
      <c r="O163" s="117">
        <f t="shared" si="345"/>
        <v>0</v>
      </c>
      <c r="P163" s="119">
        <f t="shared" si="346"/>
        <v>0</v>
      </c>
      <c r="Q163" s="194">
        <f t="shared" si="347"/>
        <v>0</v>
      </c>
      <c r="R163" s="117">
        <f t="shared" si="348"/>
        <v>0</v>
      </c>
      <c r="S163" s="118">
        <f t="shared" si="349"/>
        <v>0</v>
      </c>
      <c r="T163" s="116">
        <f t="shared" si="350"/>
        <v>0</v>
      </c>
      <c r="U163" s="117">
        <f t="shared" si="351"/>
        <v>0</v>
      </c>
      <c r="V163" s="119">
        <f t="shared" si="352"/>
        <v>0</v>
      </c>
      <c r="W163" s="194">
        <f t="shared" si="353"/>
        <v>0</v>
      </c>
      <c r="X163" s="117">
        <f t="shared" si="354"/>
        <v>0</v>
      </c>
      <c r="Y163" s="118">
        <f t="shared" si="355"/>
        <v>0</v>
      </c>
      <c r="Z163" s="116">
        <f t="shared" si="356"/>
        <v>0</v>
      </c>
      <c r="AA163" s="117">
        <f t="shared" si="357"/>
        <v>0</v>
      </c>
      <c r="AB163" s="119">
        <f t="shared" si="358"/>
        <v>0</v>
      </c>
      <c r="AC163" s="194">
        <f t="shared" si="359"/>
        <v>0</v>
      </c>
      <c r="AD163" s="117">
        <f t="shared" si="360"/>
        <v>0</v>
      </c>
      <c r="AE163" s="118">
        <f t="shared" si="361"/>
        <v>0</v>
      </c>
      <c r="AF163" s="116">
        <f t="shared" si="362"/>
        <v>0</v>
      </c>
      <c r="AG163" s="117">
        <f t="shared" si="363"/>
        <v>0</v>
      </c>
      <c r="AH163" s="119">
        <f t="shared" si="364"/>
        <v>0</v>
      </c>
      <c r="AI163" s="194">
        <f t="shared" si="365"/>
        <v>0</v>
      </c>
      <c r="AJ163" s="117">
        <f t="shared" si="366"/>
        <v>0</v>
      </c>
      <c r="AK163" s="118">
        <f t="shared" si="367"/>
        <v>0</v>
      </c>
      <c r="AL163" s="116">
        <f t="shared" si="368"/>
        <v>0</v>
      </c>
      <c r="AM163" s="117">
        <f t="shared" si="369"/>
        <v>0</v>
      </c>
      <c r="AN163" s="119">
        <f t="shared" si="370"/>
        <v>0</v>
      </c>
      <c r="AO163" s="194">
        <f t="shared" si="371"/>
        <v>0</v>
      </c>
      <c r="AP163" s="117">
        <f t="shared" si="372"/>
        <v>0</v>
      </c>
      <c r="AQ163" s="118">
        <f t="shared" si="373"/>
        <v>0</v>
      </c>
      <c r="AR163" s="116">
        <f t="shared" si="374"/>
        <v>0</v>
      </c>
      <c r="AS163" s="117">
        <f t="shared" si="375"/>
        <v>0</v>
      </c>
      <c r="AT163" s="119">
        <f t="shared" si="376"/>
        <v>0</v>
      </c>
      <c r="AU163" s="194">
        <f t="shared" si="377"/>
        <v>0</v>
      </c>
      <c r="AV163" s="117">
        <f t="shared" si="378"/>
        <v>0</v>
      </c>
      <c r="AW163" s="118">
        <f t="shared" si="379"/>
        <v>0</v>
      </c>
      <c r="AX163" s="116">
        <f t="shared" si="380"/>
        <v>0</v>
      </c>
      <c r="AY163" s="117">
        <f t="shared" si="381"/>
        <v>0</v>
      </c>
      <c r="AZ163" s="119">
        <f t="shared" si="382"/>
        <v>0</v>
      </c>
      <c r="BA163" s="194">
        <f t="shared" si="383"/>
        <v>0</v>
      </c>
      <c r="BB163" s="117">
        <f t="shared" si="384"/>
        <v>0</v>
      </c>
      <c r="BC163" s="118">
        <f t="shared" si="385"/>
        <v>0</v>
      </c>
      <c r="BD163" s="116">
        <f t="shared" si="386"/>
        <v>0</v>
      </c>
      <c r="BE163" s="117">
        <f t="shared" si="387"/>
        <v>0</v>
      </c>
      <c r="BF163" s="119">
        <f t="shared" si="388"/>
        <v>0</v>
      </c>
      <c r="BG163" s="194">
        <f t="shared" si="389"/>
        <v>0</v>
      </c>
      <c r="BH163" s="117">
        <f t="shared" si="390"/>
        <v>0</v>
      </c>
      <c r="BI163" s="118">
        <f t="shared" si="391"/>
        <v>0</v>
      </c>
      <c r="BJ163" s="116">
        <f t="shared" si="392"/>
        <v>0</v>
      </c>
      <c r="BK163" s="117">
        <f t="shared" si="393"/>
        <v>0</v>
      </c>
      <c r="BL163" s="119">
        <f t="shared" si="394"/>
        <v>0</v>
      </c>
      <c r="BM163" s="194">
        <f t="shared" si="395"/>
        <v>0</v>
      </c>
      <c r="BN163" s="117">
        <f t="shared" si="396"/>
        <v>0</v>
      </c>
      <c r="BO163" s="118">
        <f t="shared" si="397"/>
        <v>0</v>
      </c>
      <c r="BP163" s="116">
        <f t="shared" si="398"/>
        <v>0</v>
      </c>
      <c r="BQ163" s="117">
        <f t="shared" si="399"/>
        <v>0</v>
      </c>
      <c r="BR163" s="119">
        <f t="shared" si="440"/>
        <v>0</v>
      </c>
      <c r="BS163" s="194">
        <f t="shared" si="400"/>
        <v>0</v>
      </c>
      <c r="BT163" s="117">
        <f t="shared" si="401"/>
        <v>0</v>
      </c>
      <c r="BU163" s="118">
        <f t="shared" si="402"/>
        <v>0</v>
      </c>
      <c r="BV163" s="116">
        <f t="shared" si="403"/>
        <v>0</v>
      </c>
      <c r="BW163" s="117">
        <f t="shared" si="404"/>
        <v>0</v>
      </c>
      <c r="BX163" s="119">
        <f t="shared" si="405"/>
        <v>0</v>
      </c>
      <c r="BY163" s="194">
        <f t="shared" si="406"/>
        <v>0</v>
      </c>
      <c r="BZ163" s="117">
        <f t="shared" si="407"/>
        <v>0</v>
      </c>
      <c r="CA163" s="118">
        <f t="shared" si="408"/>
        <v>0</v>
      </c>
      <c r="CB163" s="116">
        <f t="shared" si="409"/>
        <v>0</v>
      </c>
      <c r="CC163" s="117">
        <f t="shared" si="410"/>
        <v>0</v>
      </c>
      <c r="CD163" s="119">
        <f t="shared" si="411"/>
        <v>0</v>
      </c>
      <c r="CE163" s="194">
        <f t="shared" si="412"/>
        <v>0</v>
      </c>
      <c r="CF163" s="117">
        <f t="shared" si="413"/>
        <v>0</v>
      </c>
      <c r="CG163" s="118">
        <f t="shared" si="414"/>
        <v>0</v>
      </c>
      <c r="CH163" s="116">
        <f t="shared" si="415"/>
        <v>0</v>
      </c>
      <c r="CI163" s="117">
        <f t="shared" si="416"/>
        <v>0</v>
      </c>
      <c r="CJ163" s="119">
        <f t="shared" si="417"/>
        <v>0</v>
      </c>
      <c r="CK163" s="194">
        <f t="shared" si="418"/>
        <v>0</v>
      </c>
      <c r="CL163" s="194">
        <f t="shared" si="419"/>
        <v>0</v>
      </c>
      <c r="CM163" s="398">
        <f t="shared" si="420"/>
        <v>0</v>
      </c>
      <c r="CN163" s="241">
        <f t="shared" si="421"/>
        <v>0</v>
      </c>
      <c r="CO163" s="43">
        <f t="shared" si="422"/>
        <v>0</v>
      </c>
      <c r="CP163" s="57">
        <f t="shared" si="423"/>
        <v>0</v>
      </c>
      <c r="CQ163" s="194">
        <f t="shared" si="424"/>
        <v>0</v>
      </c>
      <c r="CR163" s="117">
        <f t="shared" si="425"/>
        <v>0</v>
      </c>
      <c r="CS163" s="119">
        <f t="shared" si="426"/>
        <v>0</v>
      </c>
      <c r="CT163" s="194">
        <f t="shared" si="427"/>
        <v>0</v>
      </c>
      <c r="CU163" s="117">
        <f t="shared" si="428"/>
        <v>0</v>
      </c>
      <c r="CV163" s="119">
        <f t="shared" si="429"/>
        <v>0</v>
      </c>
      <c r="CW163" s="194">
        <f t="shared" si="430"/>
        <v>0</v>
      </c>
      <c r="CX163" s="117">
        <f t="shared" si="431"/>
        <v>0</v>
      </c>
      <c r="CY163" s="119">
        <f t="shared" si="432"/>
        <v>0</v>
      </c>
      <c r="CZ163" s="194">
        <f t="shared" si="433"/>
        <v>0</v>
      </c>
      <c r="DA163" s="117">
        <f t="shared" si="434"/>
        <v>0</v>
      </c>
      <c r="DB163" s="119">
        <f t="shared" si="435"/>
        <v>0</v>
      </c>
      <c r="DC163" s="399">
        <f t="shared" si="436"/>
        <v>0</v>
      </c>
      <c r="DD163" s="75">
        <f t="shared" si="437"/>
        <v>0</v>
      </c>
      <c r="DE163" s="75">
        <f t="shared" si="438"/>
        <v>0</v>
      </c>
      <c r="DF163" s="147">
        <f t="shared" si="439"/>
        <v>0</v>
      </c>
    </row>
    <row r="164" spans="1:110">
      <c r="A164" s="240">
        <v>14</v>
      </c>
      <c r="B164" s="116">
        <f t="shared" si="332"/>
        <v>0</v>
      </c>
      <c r="C164" s="117">
        <f t="shared" si="333"/>
        <v>0</v>
      </c>
      <c r="D164" s="119">
        <f t="shared" si="334"/>
        <v>0</v>
      </c>
      <c r="E164" s="194">
        <f t="shared" si="335"/>
        <v>0</v>
      </c>
      <c r="F164" s="117">
        <f t="shared" si="336"/>
        <v>0</v>
      </c>
      <c r="G164" s="118">
        <f t="shared" si="337"/>
        <v>0</v>
      </c>
      <c r="H164" s="116">
        <f t="shared" si="338"/>
        <v>0</v>
      </c>
      <c r="I164" s="117">
        <f t="shared" si="339"/>
        <v>0</v>
      </c>
      <c r="J164" s="119">
        <f t="shared" si="340"/>
        <v>0</v>
      </c>
      <c r="K164" s="194">
        <f t="shared" si="341"/>
        <v>0</v>
      </c>
      <c r="L164" s="117">
        <f t="shared" si="342"/>
        <v>0</v>
      </c>
      <c r="M164" s="118">
        <f t="shared" si="343"/>
        <v>0</v>
      </c>
      <c r="N164" s="116">
        <f t="shared" si="344"/>
        <v>0</v>
      </c>
      <c r="O164" s="117">
        <f t="shared" si="345"/>
        <v>0</v>
      </c>
      <c r="P164" s="119">
        <f t="shared" si="346"/>
        <v>0</v>
      </c>
      <c r="Q164" s="194">
        <f t="shared" si="347"/>
        <v>0</v>
      </c>
      <c r="R164" s="117">
        <f t="shared" si="348"/>
        <v>0</v>
      </c>
      <c r="S164" s="118">
        <f t="shared" si="349"/>
        <v>0</v>
      </c>
      <c r="T164" s="116">
        <f t="shared" si="350"/>
        <v>0</v>
      </c>
      <c r="U164" s="117">
        <f t="shared" si="351"/>
        <v>0</v>
      </c>
      <c r="V164" s="119">
        <f t="shared" si="352"/>
        <v>0</v>
      </c>
      <c r="W164" s="194">
        <f t="shared" si="353"/>
        <v>0</v>
      </c>
      <c r="X164" s="117">
        <f t="shared" si="354"/>
        <v>0</v>
      </c>
      <c r="Y164" s="118">
        <f t="shared" si="355"/>
        <v>0</v>
      </c>
      <c r="Z164" s="116">
        <f t="shared" si="356"/>
        <v>0</v>
      </c>
      <c r="AA164" s="117">
        <f t="shared" si="357"/>
        <v>0</v>
      </c>
      <c r="AB164" s="119">
        <f t="shared" si="358"/>
        <v>0</v>
      </c>
      <c r="AC164" s="194">
        <f t="shared" si="359"/>
        <v>0</v>
      </c>
      <c r="AD164" s="117">
        <f t="shared" si="360"/>
        <v>0</v>
      </c>
      <c r="AE164" s="118">
        <f t="shared" si="361"/>
        <v>0</v>
      </c>
      <c r="AF164" s="116">
        <f t="shared" si="362"/>
        <v>0</v>
      </c>
      <c r="AG164" s="117">
        <f t="shared" si="363"/>
        <v>0</v>
      </c>
      <c r="AH164" s="119">
        <f t="shared" si="364"/>
        <v>0</v>
      </c>
      <c r="AI164" s="194">
        <f t="shared" si="365"/>
        <v>0</v>
      </c>
      <c r="AJ164" s="117">
        <f t="shared" si="366"/>
        <v>0</v>
      </c>
      <c r="AK164" s="118">
        <f t="shared" si="367"/>
        <v>0</v>
      </c>
      <c r="AL164" s="116">
        <f t="shared" si="368"/>
        <v>0</v>
      </c>
      <c r="AM164" s="117">
        <f t="shared" si="369"/>
        <v>0</v>
      </c>
      <c r="AN164" s="119">
        <f t="shared" si="370"/>
        <v>0</v>
      </c>
      <c r="AO164" s="194">
        <f t="shared" si="371"/>
        <v>0</v>
      </c>
      <c r="AP164" s="117">
        <f t="shared" si="372"/>
        <v>0</v>
      </c>
      <c r="AQ164" s="118">
        <f t="shared" si="373"/>
        <v>0</v>
      </c>
      <c r="AR164" s="116">
        <f t="shared" si="374"/>
        <v>0</v>
      </c>
      <c r="AS164" s="117">
        <f t="shared" si="375"/>
        <v>0</v>
      </c>
      <c r="AT164" s="119">
        <f t="shared" si="376"/>
        <v>0</v>
      </c>
      <c r="AU164" s="194">
        <f t="shared" si="377"/>
        <v>0</v>
      </c>
      <c r="AV164" s="117">
        <f t="shared" si="378"/>
        <v>0</v>
      </c>
      <c r="AW164" s="118">
        <f t="shared" si="379"/>
        <v>0</v>
      </c>
      <c r="AX164" s="116">
        <f t="shared" si="380"/>
        <v>0</v>
      </c>
      <c r="AY164" s="117">
        <f t="shared" si="381"/>
        <v>0</v>
      </c>
      <c r="AZ164" s="119">
        <f t="shared" si="382"/>
        <v>0</v>
      </c>
      <c r="BA164" s="194">
        <f t="shared" si="383"/>
        <v>0</v>
      </c>
      <c r="BB164" s="117">
        <f t="shared" si="384"/>
        <v>0</v>
      </c>
      <c r="BC164" s="118">
        <f t="shared" si="385"/>
        <v>0</v>
      </c>
      <c r="BD164" s="116">
        <f t="shared" si="386"/>
        <v>0</v>
      </c>
      <c r="BE164" s="117">
        <f t="shared" si="387"/>
        <v>0</v>
      </c>
      <c r="BF164" s="119">
        <f t="shared" si="388"/>
        <v>0</v>
      </c>
      <c r="BG164" s="194">
        <f t="shared" si="389"/>
        <v>0</v>
      </c>
      <c r="BH164" s="117">
        <f t="shared" si="390"/>
        <v>0</v>
      </c>
      <c r="BI164" s="118">
        <f t="shared" si="391"/>
        <v>0</v>
      </c>
      <c r="BJ164" s="116">
        <f t="shared" si="392"/>
        <v>0</v>
      </c>
      <c r="BK164" s="117">
        <f t="shared" si="393"/>
        <v>0</v>
      </c>
      <c r="BL164" s="119">
        <f t="shared" si="394"/>
        <v>0</v>
      </c>
      <c r="BM164" s="194">
        <f t="shared" si="395"/>
        <v>0</v>
      </c>
      <c r="BN164" s="117">
        <f t="shared" si="396"/>
        <v>0</v>
      </c>
      <c r="BO164" s="118">
        <f t="shared" si="397"/>
        <v>0</v>
      </c>
      <c r="BP164" s="116">
        <f t="shared" si="398"/>
        <v>0</v>
      </c>
      <c r="BQ164" s="117">
        <f t="shared" si="399"/>
        <v>0</v>
      </c>
      <c r="BR164" s="119">
        <f t="shared" si="440"/>
        <v>0</v>
      </c>
      <c r="BS164" s="194">
        <f t="shared" si="400"/>
        <v>0</v>
      </c>
      <c r="BT164" s="117">
        <f t="shared" si="401"/>
        <v>0</v>
      </c>
      <c r="BU164" s="118">
        <f t="shared" si="402"/>
        <v>0</v>
      </c>
      <c r="BV164" s="116">
        <f t="shared" si="403"/>
        <v>0</v>
      </c>
      <c r="BW164" s="117">
        <f t="shared" si="404"/>
        <v>0</v>
      </c>
      <c r="BX164" s="119">
        <f t="shared" si="405"/>
        <v>0</v>
      </c>
      <c r="BY164" s="194">
        <f t="shared" si="406"/>
        <v>0</v>
      </c>
      <c r="BZ164" s="117">
        <f t="shared" si="407"/>
        <v>0</v>
      </c>
      <c r="CA164" s="118">
        <f t="shared" si="408"/>
        <v>0</v>
      </c>
      <c r="CB164" s="116">
        <f t="shared" si="409"/>
        <v>0</v>
      </c>
      <c r="CC164" s="117">
        <f t="shared" si="410"/>
        <v>0</v>
      </c>
      <c r="CD164" s="119">
        <f t="shared" si="411"/>
        <v>0</v>
      </c>
      <c r="CE164" s="194">
        <f t="shared" si="412"/>
        <v>0</v>
      </c>
      <c r="CF164" s="117">
        <f t="shared" si="413"/>
        <v>0</v>
      </c>
      <c r="CG164" s="118">
        <f t="shared" si="414"/>
        <v>0</v>
      </c>
      <c r="CH164" s="116">
        <f t="shared" si="415"/>
        <v>0</v>
      </c>
      <c r="CI164" s="117">
        <f t="shared" si="416"/>
        <v>0</v>
      </c>
      <c r="CJ164" s="119">
        <f t="shared" si="417"/>
        <v>0</v>
      </c>
      <c r="CK164" s="194">
        <f t="shared" si="418"/>
        <v>0</v>
      </c>
      <c r="CL164" s="194">
        <f t="shared" si="419"/>
        <v>0</v>
      </c>
      <c r="CM164" s="398">
        <f t="shared" si="420"/>
        <v>0</v>
      </c>
      <c r="CN164" s="241">
        <f t="shared" si="421"/>
        <v>0</v>
      </c>
      <c r="CO164" s="43">
        <f t="shared" si="422"/>
        <v>0</v>
      </c>
      <c r="CP164" s="57">
        <f t="shared" si="423"/>
        <v>0</v>
      </c>
      <c r="CQ164" s="194">
        <f t="shared" si="424"/>
        <v>0</v>
      </c>
      <c r="CR164" s="117">
        <f t="shared" si="425"/>
        <v>0</v>
      </c>
      <c r="CS164" s="119">
        <f t="shared" si="426"/>
        <v>0</v>
      </c>
      <c r="CT164" s="194">
        <f t="shared" si="427"/>
        <v>0</v>
      </c>
      <c r="CU164" s="117">
        <f t="shared" si="428"/>
        <v>0</v>
      </c>
      <c r="CV164" s="119">
        <f t="shared" si="429"/>
        <v>0</v>
      </c>
      <c r="CW164" s="194">
        <f t="shared" si="430"/>
        <v>0</v>
      </c>
      <c r="CX164" s="117">
        <f t="shared" si="431"/>
        <v>0</v>
      </c>
      <c r="CY164" s="119">
        <f t="shared" si="432"/>
        <v>0</v>
      </c>
      <c r="CZ164" s="194">
        <f t="shared" si="433"/>
        <v>0</v>
      </c>
      <c r="DA164" s="117">
        <f t="shared" si="434"/>
        <v>0</v>
      </c>
      <c r="DB164" s="119">
        <f t="shared" si="435"/>
        <v>0</v>
      </c>
      <c r="DC164" s="399">
        <f t="shared" si="436"/>
        <v>0</v>
      </c>
      <c r="DD164" s="75">
        <f t="shared" si="437"/>
        <v>0</v>
      </c>
      <c r="DE164" s="75">
        <f t="shared" si="438"/>
        <v>0</v>
      </c>
      <c r="DF164" s="147">
        <f t="shared" si="439"/>
        <v>0</v>
      </c>
    </row>
    <row r="165" spans="1:110">
      <c r="A165" s="240">
        <v>15</v>
      </c>
      <c r="B165" s="116">
        <f t="shared" si="332"/>
        <v>0</v>
      </c>
      <c r="C165" s="117">
        <f t="shared" si="333"/>
        <v>0</v>
      </c>
      <c r="D165" s="119">
        <f t="shared" si="334"/>
        <v>0</v>
      </c>
      <c r="E165" s="194">
        <f t="shared" si="335"/>
        <v>0</v>
      </c>
      <c r="F165" s="117">
        <f t="shared" si="336"/>
        <v>0</v>
      </c>
      <c r="G165" s="118">
        <f t="shared" si="337"/>
        <v>0</v>
      </c>
      <c r="H165" s="116">
        <f t="shared" si="338"/>
        <v>0</v>
      </c>
      <c r="I165" s="117">
        <f t="shared" si="339"/>
        <v>0</v>
      </c>
      <c r="J165" s="119">
        <f t="shared" si="340"/>
        <v>0</v>
      </c>
      <c r="K165" s="194">
        <f t="shared" si="341"/>
        <v>0</v>
      </c>
      <c r="L165" s="117">
        <f t="shared" si="342"/>
        <v>0</v>
      </c>
      <c r="M165" s="118">
        <f t="shared" si="343"/>
        <v>0</v>
      </c>
      <c r="N165" s="116">
        <f t="shared" si="344"/>
        <v>0</v>
      </c>
      <c r="O165" s="117">
        <f t="shared" si="345"/>
        <v>0</v>
      </c>
      <c r="P165" s="119">
        <f t="shared" si="346"/>
        <v>0</v>
      </c>
      <c r="Q165" s="194">
        <f t="shared" si="347"/>
        <v>0</v>
      </c>
      <c r="R165" s="117">
        <f t="shared" si="348"/>
        <v>0</v>
      </c>
      <c r="S165" s="118">
        <f t="shared" si="349"/>
        <v>0</v>
      </c>
      <c r="T165" s="116">
        <f t="shared" si="350"/>
        <v>0</v>
      </c>
      <c r="U165" s="117">
        <f t="shared" si="351"/>
        <v>0</v>
      </c>
      <c r="V165" s="119">
        <f t="shared" si="352"/>
        <v>0</v>
      </c>
      <c r="W165" s="194">
        <f t="shared" si="353"/>
        <v>0</v>
      </c>
      <c r="X165" s="117">
        <f t="shared" si="354"/>
        <v>0</v>
      </c>
      <c r="Y165" s="118">
        <f t="shared" si="355"/>
        <v>0</v>
      </c>
      <c r="Z165" s="116">
        <f t="shared" si="356"/>
        <v>0</v>
      </c>
      <c r="AA165" s="117">
        <f t="shared" si="357"/>
        <v>0</v>
      </c>
      <c r="AB165" s="119">
        <f t="shared" si="358"/>
        <v>0</v>
      </c>
      <c r="AC165" s="194">
        <f t="shared" si="359"/>
        <v>0</v>
      </c>
      <c r="AD165" s="117">
        <f t="shared" si="360"/>
        <v>0</v>
      </c>
      <c r="AE165" s="118">
        <f t="shared" si="361"/>
        <v>0</v>
      </c>
      <c r="AF165" s="116">
        <f t="shared" si="362"/>
        <v>0</v>
      </c>
      <c r="AG165" s="117">
        <f t="shared" si="363"/>
        <v>0</v>
      </c>
      <c r="AH165" s="119">
        <f t="shared" si="364"/>
        <v>0</v>
      </c>
      <c r="AI165" s="194">
        <f t="shared" si="365"/>
        <v>0</v>
      </c>
      <c r="AJ165" s="117">
        <f t="shared" si="366"/>
        <v>0</v>
      </c>
      <c r="AK165" s="118">
        <f t="shared" si="367"/>
        <v>0</v>
      </c>
      <c r="AL165" s="116">
        <f t="shared" si="368"/>
        <v>0</v>
      </c>
      <c r="AM165" s="117">
        <f t="shared" si="369"/>
        <v>0</v>
      </c>
      <c r="AN165" s="119">
        <f t="shared" si="370"/>
        <v>0</v>
      </c>
      <c r="AO165" s="194">
        <f t="shared" si="371"/>
        <v>0</v>
      </c>
      <c r="AP165" s="117">
        <f t="shared" si="372"/>
        <v>0</v>
      </c>
      <c r="AQ165" s="118">
        <f t="shared" si="373"/>
        <v>0</v>
      </c>
      <c r="AR165" s="116">
        <f t="shared" si="374"/>
        <v>0</v>
      </c>
      <c r="AS165" s="117">
        <f t="shared" si="375"/>
        <v>0</v>
      </c>
      <c r="AT165" s="119">
        <f t="shared" si="376"/>
        <v>0</v>
      </c>
      <c r="AU165" s="194">
        <f t="shared" si="377"/>
        <v>0</v>
      </c>
      <c r="AV165" s="117">
        <f t="shared" si="378"/>
        <v>0</v>
      </c>
      <c r="AW165" s="118">
        <f t="shared" si="379"/>
        <v>0</v>
      </c>
      <c r="AX165" s="116">
        <f t="shared" si="380"/>
        <v>0</v>
      </c>
      <c r="AY165" s="117">
        <f t="shared" si="381"/>
        <v>0</v>
      </c>
      <c r="AZ165" s="119">
        <f t="shared" si="382"/>
        <v>0</v>
      </c>
      <c r="BA165" s="194">
        <f t="shared" si="383"/>
        <v>0</v>
      </c>
      <c r="BB165" s="117">
        <f t="shared" si="384"/>
        <v>0</v>
      </c>
      <c r="BC165" s="118">
        <f t="shared" si="385"/>
        <v>0</v>
      </c>
      <c r="BD165" s="116">
        <f t="shared" si="386"/>
        <v>0</v>
      </c>
      <c r="BE165" s="117">
        <f t="shared" si="387"/>
        <v>0</v>
      </c>
      <c r="BF165" s="119">
        <f t="shared" si="388"/>
        <v>0</v>
      </c>
      <c r="BG165" s="194">
        <f t="shared" si="389"/>
        <v>0</v>
      </c>
      <c r="BH165" s="117">
        <f t="shared" si="390"/>
        <v>0</v>
      </c>
      <c r="BI165" s="118">
        <f t="shared" si="391"/>
        <v>0</v>
      </c>
      <c r="BJ165" s="116">
        <f t="shared" si="392"/>
        <v>0</v>
      </c>
      <c r="BK165" s="117">
        <f t="shared" si="393"/>
        <v>0</v>
      </c>
      <c r="BL165" s="119">
        <f t="shared" si="394"/>
        <v>0</v>
      </c>
      <c r="BM165" s="194">
        <f t="shared" si="395"/>
        <v>0</v>
      </c>
      <c r="BN165" s="117">
        <f t="shared" si="396"/>
        <v>0</v>
      </c>
      <c r="BO165" s="118">
        <f t="shared" si="397"/>
        <v>0</v>
      </c>
      <c r="BP165" s="116">
        <f t="shared" si="398"/>
        <v>0</v>
      </c>
      <c r="BQ165" s="117">
        <f t="shared" si="399"/>
        <v>0</v>
      </c>
      <c r="BR165" s="119">
        <f t="shared" si="440"/>
        <v>0</v>
      </c>
      <c r="BS165" s="194">
        <f t="shared" si="400"/>
        <v>0</v>
      </c>
      <c r="BT165" s="117">
        <f t="shared" si="401"/>
        <v>0</v>
      </c>
      <c r="BU165" s="118">
        <f t="shared" si="402"/>
        <v>0</v>
      </c>
      <c r="BV165" s="116">
        <f t="shared" si="403"/>
        <v>0</v>
      </c>
      <c r="BW165" s="117">
        <f t="shared" si="404"/>
        <v>0</v>
      </c>
      <c r="BX165" s="119">
        <f t="shared" si="405"/>
        <v>0</v>
      </c>
      <c r="BY165" s="194">
        <f t="shared" si="406"/>
        <v>0</v>
      </c>
      <c r="BZ165" s="117">
        <f t="shared" si="407"/>
        <v>0</v>
      </c>
      <c r="CA165" s="118">
        <f t="shared" si="408"/>
        <v>0</v>
      </c>
      <c r="CB165" s="116">
        <f t="shared" si="409"/>
        <v>0</v>
      </c>
      <c r="CC165" s="117">
        <f t="shared" si="410"/>
        <v>0</v>
      </c>
      <c r="CD165" s="119">
        <f t="shared" si="411"/>
        <v>0</v>
      </c>
      <c r="CE165" s="194">
        <f t="shared" si="412"/>
        <v>0</v>
      </c>
      <c r="CF165" s="117">
        <f t="shared" si="413"/>
        <v>0</v>
      </c>
      <c r="CG165" s="118">
        <f t="shared" si="414"/>
        <v>0</v>
      </c>
      <c r="CH165" s="116">
        <f t="shared" si="415"/>
        <v>0</v>
      </c>
      <c r="CI165" s="117">
        <f t="shared" si="416"/>
        <v>0</v>
      </c>
      <c r="CJ165" s="119">
        <f t="shared" si="417"/>
        <v>0</v>
      </c>
      <c r="CK165" s="194">
        <f t="shared" si="418"/>
        <v>0</v>
      </c>
      <c r="CL165" s="194">
        <f t="shared" si="419"/>
        <v>0</v>
      </c>
      <c r="CM165" s="398">
        <f t="shared" si="420"/>
        <v>0</v>
      </c>
      <c r="CN165" s="241">
        <f t="shared" si="421"/>
        <v>0</v>
      </c>
      <c r="CO165" s="43">
        <f t="shared" si="422"/>
        <v>0</v>
      </c>
      <c r="CP165" s="57">
        <f t="shared" si="423"/>
        <v>0</v>
      </c>
      <c r="CQ165" s="194">
        <f t="shared" si="424"/>
        <v>0</v>
      </c>
      <c r="CR165" s="117">
        <f t="shared" si="425"/>
        <v>0</v>
      </c>
      <c r="CS165" s="119">
        <f t="shared" si="426"/>
        <v>0</v>
      </c>
      <c r="CT165" s="194">
        <f t="shared" si="427"/>
        <v>0</v>
      </c>
      <c r="CU165" s="117">
        <f t="shared" si="428"/>
        <v>0</v>
      </c>
      <c r="CV165" s="119">
        <f t="shared" si="429"/>
        <v>0</v>
      </c>
      <c r="CW165" s="194">
        <f t="shared" si="430"/>
        <v>0</v>
      </c>
      <c r="CX165" s="117">
        <f t="shared" si="431"/>
        <v>0</v>
      </c>
      <c r="CY165" s="119">
        <f t="shared" si="432"/>
        <v>0</v>
      </c>
      <c r="CZ165" s="194">
        <f t="shared" si="433"/>
        <v>0</v>
      </c>
      <c r="DA165" s="117">
        <f t="shared" si="434"/>
        <v>0</v>
      </c>
      <c r="DB165" s="119">
        <f t="shared" si="435"/>
        <v>0</v>
      </c>
      <c r="DC165" s="399">
        <f t="shared" si="436"/>
        <v>0</v>
      </c>
      <c r="DD165" s="75">
        <f t="shared" si="437"/>
        <v>0</v>
      </c>
      <c r="DE165" s="75">
        <f t="shared" si="438"/>
        <v>0</v>
      </c>
      <c r="DF165" s="147">
        <f t="shared" si="439"/>
        <v>0</v>
      </c>
    </row>
    <row r="166" spans="1:110">
      <c r="A166" s="365">
        <v>16</v>
      </c>
      <c r="B166" s="116">
        <f t="shared" si="332"/>
        <v>0</v>
      </c>
      <c r="C166" s="117">
        <f t="shared" si="333"/>
        <v>0</v>
      </c>
      <c r="D166" s="119">
        <f t="shared" si="334"/>
        <v>0</v>
      </c>
      <c r="E166" s="194">
        <f t="shared" si="335"/>
        <v>0</v>
      </c>
      <c r="F166" s="117">
        <f t="shared" si="336"/>
        <v>0</v>
      </c>
      <c r="G166" s="118">
        <f t="shared" si="337"/>
        <v>0</v>
      </c>
      <c r="H166" s="116">
        <f t="shared" si="338"/>
        <v>0</v>
      </c>
      <c r="I166" s="117">
        <f t="shared" si="339"/>
        <v>0</v>
      </c>
      <c r="J166" s="119">
        <f t="shared" si="340"/>
        <v>0</v>
      </c>
      <c r="K166" s="194">
        <f t="shared" si="341"/>
        <v>0</v>
      </c>
      <c r="L166" s="117">
        <f t="shared" si="342"/>
        <v>0</v>
      </c>
      <c r="M166" s="118">
        <f t="shared" si="343"/>
        <v>0</v>
      </c>
      <c r="N166" s="116">
        <f t="shared" si="344"/>
        <v>0</v>
      </c>
      <c r="O166" s="117">
        <f t="shared" si="345"/>
        <v>0</v>
      </c>
      <c r="P166" s="119">
        <f t="shared" si="346"/>
        <v>0</v>
      </c>
      <c r="Q166" s="194">
        <f t="shared" si="347"/>
        <v>0</v>
      </c>
      <c r="R166" s="117">
        <f t="shared" si="348"/>
        <v>0</v>
      </c>
      <c r="S166" s="118">
        <f t="shared" si="349"/>
        <v>0</v>
      </c>
      <c r="T166" s="116">
        <f t="shared" si="350"/>
        <v>0</v>
      </c>
      <c r="U166" s="117">
        <f t="shared" si="351"/>
        <v>0</v>
      </c>
      <c r="V166" s="119">
        <f t="shared" si="352"/>
        <v>0</v>
      </c>
      <c r="W166" s="194">
        <f t="shared" si="353"/>
        <v>0</v>
      </c>
      <c r="X166" s="117">
        <f t="shared" si="354"/>
        <v>0</v>
      </c>
      <c r="Y166" s="118">
        <f t="shared" si="355"/>
        <v>0</v>
      </c>
      <c r="Z166" s="116">
        <f t="shared" si="356"/>
        <v>0</v>
      </c>
      <c r="AA166" s="117">
        <f t="shared" si="357"/>
        <v>0</v>
      </c>
      <c r="AB166" s="119">
        <f t="shared" si="358"/>
        <v>0</v>
      </c>
      <c r="AC166" s="194">
        <f t="shared" si="359"/>
        <v>0</v>
      </c>
      <c r="AD166" s="117">
        <f t="shared" si="360"/>
        <v>0</v>
      </c>
      <c r="AE166" s="118">
        <f t="shared" si="361"/>
        <v>0</v>
      </c>
      <c r="AF166" s="116">
        <f t="shared" si="362"/>
        <v>0</v>
      </c>
      <c r="AG166" s="117">
        <f t="shared" si="363"/>
        <v>0</v>
      </c>
      <c r="AH166" s="119">
        <f t="shared" si="364"/>
        <v>0</v>
      </c>
      <c r="AI166" s="194">
        <f t="shared" si="365"/>
        <v>0</v>
      </c>
      <c r="AJ166" s="117">
        <f t="shared" si="366"/>
        <v>0</v>
      </c>
      <c r="AK166" s="118">
        <f t="shared" si="367"/>
        <v>0</v>
      </c>
      <c r="AL166" s="116">
        <f t="shared" si="368"/>
        <v>0</v>
      </c>
      <c r="AM166" s="117">
        <f t="shared" si="369"/>
        <v>0</v>
      </c>
      <c r="AN166" s="119">
        <f t="shared" si="370"/>
        <v>0</v>
      </c>
      <c r="AO166" s="194">
        <f t="shared" si="371"/>
        <v>0</v>
      </c>
      <c r="AP166" s="117">
        <f t="shared" si="372"/>
        <v>0</v>
      </c>
      <c r="AQ166" s="118">
        <f t="shared" si="373"/>
        <v>0</v>
      </c>
      <c r="AR166" s="116">
        <f t="shared" si="374"/>
        <v>0</v>
      </c>
      <c r="AS166" s="117">
        <f t="shared" si="375"/>
        <v>0</v>
      </c>
      <c r="AT166" s="119">
        <f t="shared" si="376"/>
        <v>0</v>
      </c>
      <c r="AU166" s="194">
        <f t="shared" si="377"/>
        <v>0</v>
      </c>
      <c r="AV166" s="117">
        <f t="shared" si="378"/>
        <v>0</v>
      </c>
      <c r="AW166" s="118">
        <f t="shared" si="379"/>
        <v>0</v>
      </c>
      <c r="AX166" s="116">
        <f t="shared" si="380"/>
        <v>0</v>
      </c>
      <c r="AY166" s="117">
        <f t="shared" si="381"/>
        <v>0</v>
      </c>
      <c r="AZ166" s="119">
        <f t="shared" si="382"/>
        <v>0</v>
      </c>
      <c r="BA166" s="194">
        <f t="shared" si="383"/>
        <v>0</v>
      </c>
      <c r="BB166" s="117">
        <f t="shared" si="384"/>
        <v>0</v>
      </c>
      <c r="BC166" s="118">
        <f t="shared" si="385"/>
        <v>0</v>
      </c>
      <c r="BD166" s="116">
        <f t="shared" si="386"/>
        <v>0</v>
      </c>
      <c r="BE166" s="117">
        <f t="shared" si="387"/>
        <v>0</v>
      </c>
      <c r="BF166" s="119">
        <f t="shared" si="388"/>
        <v>0</v>
      </c>
      <c r="BG166" s="194">
        <f t="shared" si="389"/>
        <v>0</v>
      </c>
      <c r="BH166" s="117">
        <f t="shared" si="390"/>
        <v>0</v>
      </c>
      <c r="BI166" s="118">
        <f t="shared" si="391"/>
        <v>0</v>
      </c>
      <c r="BJ166" s="116">
        <f t="shared" si="392"/>
        <v>0</v>
      </c>
      <c r="BK166" s="117">
        <f t="shared" si="393"/>
        <v>0</v>
      </c>
      <c r="BL166" s="119">
        <f t="shared" si="394"/>
        <v>0</v>
      </c>
      <c r="BM166" s="194">
        <f t="shared" si="395"/>
        <v>0</v>
      </c>
      <c r="BN166" s="117">
        <f t="shared" si="396"/>
        <v>0</v>
      </c>
      <c r="BO166" s="118">
        <f t="shared" si="397"/>
        <v>0</v>
      </c>
      <c r="BP166" s="116">
        <f t="shared" si="398"/>
        <v>0</v>
      </c>
      <c r="BQ166" s="117">
        <f t="shared" si="399"/>
        <v>0</v>
      </c>
      <c r="BR166" s="119">
        <f t="shared" si="440"/>
        <v>0</v>
      </c>
      <c r="BS166" s="194">
        <f t="shared" si="400"/>
        <v>0</v>
      </c>
      <c r="BT166" s="117">
        <f t="shared" si="401"/>
        <v>0</v>
      </c>
      <c r="BU166" s="118">
        <f t="shared" si="402"/>
        <v>0</v>
      </c>
      <c r="BV166" s="116">
        <f t="shared" si="403"/>
        <v>0</v>
      </c>
      <c r="BW166" s="117">
        <f t="shared" si="404"/>
        <v>0</v>
      </c>
      <c r="BX166" s="119">
        <f t="shared" si="405"/>
        <v>0</v>
      </c>
      <c r="BY166" s="194">
        <f t="shared" si="406"/>
        <v>0</v>
      </c>
      <c r="BZ166" s="117">
        <f t="shared" si="407"/>
        <v>0</v>
      </c>
      <c r="CA166" s="118">
        <f t="shared" si="408"/>
        <v>0</v>
      </c>
      <c r="CB166" s="116">
        <f t="shared" si="409"/>
        <v>0</v>
      </c>
      <c r="CC166" s="117">
        <f t="shared" si="410"/>
        <v>0</v>
      </c>
      <c r="CD166" s="119">
        <f t="shared" si="411"/>
        <v>0</v>
      </c>
      <c r="CE166" s="194">
        <f t="shared" si="412"/>
        <v>0</v>
      </c>
      <c r="CF166" s="117">
        <f t="shared" si="413"/>
        <v>0</v>
      </c>
      <c r="CG166" s="118">
        <f t="shared" si="414"/>
        <v>0</v>
      </c>
      <c r="CH166" s="116">
        <f t="shared" si="415"/>
        <v>0</v>
      </c>
      <c r="CI166" s="117">
        <f t="shared" si="416"/>
        <v>0</v>
      </c>
      <c r="CJ166" s="119">
        <f t="shared" si="417"/>
        <v>0</v>
      </c>
      <c r="CK166" s="194">
        <f t="shared" si="418"/>
        <v>0</v>
      </c>
      <c r="CL166" s="194">
        <f t="shared" si="419"/>
        <v>0</v>
      </c>
      <c r="CM166" s="398">
        <f t="shared" si="420"/>
        <v>0</v>
      </c>
      <c r="CN166" s="241">
        <f t="shared" si="421"/>
        <v>0</v>
      </c>
      <c r="CO166" s="43">
        <f t="shared" si="422"/>
        <v>0</v>
      </c>
      <c r="CP166" s="57">
        <f t="shared" si="423"/>
        <v>0</v>
      </c>
      <c r="CQ166" s="194">
        <f t="shared" si="424"/>
        <v>0</v>
      </c>
      <c r="CR166" s="117">
        <f t="shared" si="425"/>
        <v>0</v>
      </c>
      <c r="CS166" s="119">
        <f t="shared" si="426"/>
        <v>0</v>
      </c>
      <c r="CT166" s="194">
        <f t="shared" si="427"/>
        <v>0</v>
      </c>
      <c r="CU166" s="117">
        <f t="shared" si="428"/>
        <v>0</v>
      </c>
      <c r="CV166" s="119">
        <f t="shared" si="429"/>
        <v>0</v>
      </c>
      <c r="CW166" s="194">
        <f t="shared" si="430"/>
        <v>0</v>
      </c>
      <c r="CX166" s="117">
        <f t="shared" si="431"/>
        <v>0</v>
      </c>
      <c r="CY166" s="119">
        <f t="shared" si="432"/>
        <v>0</v>
      </c>
      <c r="CZ166" s="194">
        <f t="shared" si="433"/>
        <v>0</v>
      </c>
      <c r="DA166" s="117">
        <f t="shared" si="434"/>
        <v>0</v>
      </c>
      <c r="DB166" s="119">
        <f t="shared" si="435"/>
        <v>0</v>
      </c>
      <c r="DC166" s="399">
        <f t="shared" si="436"/>
        <v>0</v>
      </c>
      <c r="DD166" s="75">
        <f t="shared" si="437"/>
        <v>0</v>
      </c>
      <c r="DE166" s="75">
        <f t="shared" si="438"/>
        <v>0</v>
      </c>
      <c r="DF166" s="147">
        <f t="shared" si="439"/>
        <v>0</v>
      </c>
    </row>
    <row r="167" spans="1:110">
      <c r="A167" s="240">
        <v>17</v>
      </c>
      <c r="B167" s="116">
        <f t="shared" si="332"/>
        <v>0</v>
      </c>
      <c r="C167" s="117">
        <f t="shared" si="333"/>
        <v>0</v>
      </c>
      <c r="D167" s="119">
        <f t="shared" si="334"/>
        <v>0</v>
      </c>
      <c r="E167" s="194">
        <f t="shared" si="335"/>
        <v>0</v>
      </c>
      <c r="F167" s="117">
        <f t="shared" si="336"/>
        <v>0</v>
      </c>
      <c r="G167" s="118">
        <f t="shared" si="337"/>
        <v>0</v>
      </c>
      <c r="H167" s="116">
        <f t="shared" si="338"/>
        <v>0</v>
      </c>
      <c r="I167" s="117">
        <f t="shared" si="339"/>
        <v>0</v>
      </c>
      <c r="J167" s="119">
        <f t="shared" si="340"/>
        <v>0</v>
      </c>
      <c r="K167" s="194">
        <f t="shared" si="341"/>
        <v>0</v>
      </c>
      <c r="L167" s="117">
        <f t="shared" si="342"/>
        <v>0</v>
      </c>
      <c r="M167" s="118">
        <f t="shared" si="343"/>
        <v>0</v>
      </c>
      <c r="N167" s="116">
        <f t="shared" si="344"/>
        <v>0</v>
      </c>
      <c r="O167" s="117">
        <f t="shared" si="345"/>
        <v>0</v>
      </c>
      <c r="P167" s="119">
        <f t="shared" si="346"/>
        <v>0</v>
      </c>
      <c r="Q167" s="194">
        <f t="shared" si="347"/>
        <v>0</v>
      </c>
      <c r="R167" s="117">
        <f t="shared" si="348"/>
        <v>0</v>
      </c>
      <c r="S167" s="118">
        <f t="shared" si="349"/>
        <v>0</v>
      </c>
      <c r="T167" s="116">
        <f t="shared" si="350"/>
        <v>0</v>
      </c>
      <c r="U167" s="117">
        <f t="shared" si="351"/>
        <v>0</v>
      </c>
      <c r="V167" s="119">
        <f t="shared" si="352"/>
        <v>0</v>
      </c>
      <c r="W167" s="194">
        <f t="shared" si="353"/>
        <v>0</v>
      </c>
      <c r="X167" s="117">
        <f t="shared" si="354"/>
        <v>0</v>
      </c>
      <c r="Y167" s="118">
        <f t="shared" si="355"/>
        <v>0</v>
      </c>
      <c r="Z167" s="116">
        <f t="shared" si="356"/>
        <v>0</v>
      </c>
      <c r="AA167" s="117">
        <f t="shared" si="357"/>
        <v>0</v>
      </c>
      <c r="AB167" s="119">
        <f t="shared" si="358"/>
        <v>0</v>
      </c>
      <c r="AC167" s="194">
        <f t="shared" si="359"/>
        <v>0</v>
      </c>
      <c r="AD167" s="117">
        <f t="shared" si="360"/>
        <v>0</v>
      </c>
      <c r="AE167" s="118">
        <f t="shared" si="361"/>
        <v>0</v>
      </c>
      <c r="AF167" s="116">
        <f t="shared" si="362"/>
        <v>0</v>
      </c>
      <c r="AG167" s="117">
        <f t="shared" si="363"/>
        <v>0</v>
      </c>
      <c r="AH167" s="119">
        <f t="shared" si="364"/>
        <v>0</v>
      </c>
      <c r="AI167" s="194">
        <f t="shared" si="365"/>
        <v>0</v>
      </c>
      <c r="AJ167" s="117">
        <f t="shared" si="366"/>
        <v>0</v>
      </c>
      <c r="AK167" s="118">
        <f t="shared" si="367"/>
        <v>0</v>
      </c>
      <c r="AL167" s="116">
        <f t="shared" si="368"/>
        <v>0</v>
      </c>
      <c r="AM167" s="117">
        <f t="shared" si="369"/>
        <v>0</v>
      </c>
      <c r="AN167" s="119">
        <f t="shared" si="370"/>
        <v>0</v>
      </c>
      <c r="AO167" s="194">
        <f t="shared" si="371"/>
        <v>0</v>
      </c>
      <c r="AP167" s="117">
        <f t="shared" si="372"/>
        <v>0</v>
      </c>
      <c r="AQ167" s="118">
        <f t="shared" si="373"/>
        <v>0</v>
      </c>
      <c r="AR167" s="116">
        <f t="shared" si="374"/>
        <v>0</v>
      </c>
      <c r="AS167" s="117">
        <f t="shared" si="375"/>
        <v>0</v>
      </c>
      <c r="AT167" s="119">
        <f t="shared" si="376"/>
        <v>0</v>
      </c>
      <c r="AU167" s="194">
        <f t="shared" si="377"/>
        <v>0</v>
      </c>
      <c r="AV167" s="117">
        <f t="shared" si="378"/>
        <v>0</v>
      </c>
      <c r="AW167" s="118">
        <f t="shared" si="379"/>
        <v>0</v>
      </c>
      <c r="AX167" s="116">
        <f t="shared" si="380"/>
        <v>0</v>
      </c>
      <c r="AY167" s="117">
        <f t="shared" si="381"/>
        <v>0</v>
      </c>
      <c r="AZ167" s="119">
        <f t="shared" si="382"/>
        <v>0</v>
      </c>
      <c r="BA167" s="194">
        <f t="shared" si="383"/>
        <v>0</v>
      </c>
      <c r="BB167" s="117">
        <f t="shared" si="384"/>
        <v>0</v>
      </c>
      <c r="BC167" s="118">
        <f t="shared" si="385"/>
        <v>0</v>
      </c>
      <c r="BD167" s="116">
        <f t="shared" si="386"/>
        <v>0</v>
      </c>
      <c r="BE167" s="117">
        <f t="shared" si="387"/>
        <v>0</v>
      </c>
      <c r="BF167" s="119">
        <f t="shared" si="388"/>
        <v>0</v>
      </c>
      <c r="BG167" s="194">
        <f t="shared" si="389"/>
        <v>0</v>
      </c>
      <c r="BH167" s="117">
        <f t="shared" si="390"/>
        <v>0</v>
      </c>
      <c r="BI167" s="118">
        <f t="shared" si="391"/>
        <v>0</v>
      </c>
      <c r="BJ167" s="116">
        <f t="shared" si="392"/>
        <v>0</v>
      </c>
      <c r="BK167" s="117">
        <f t="shared" si="393"/>
        <v>0</v>
      </c>
      <c r="BL167" s="119">
        <f t="shared" si="394"/>
        <v>0</v>
      </c>
      <c r="BM167" s="194">
        <f t="shared" si="395"/>
        <v>0</v>
      </c>
      <c r="BN167" s="117">
        <f t="shared" si="396"/>
        <v>0</v>
      </c>
      <c r="BO167" s="118">
        <f t="shared" si="397"/>
        <v>0</v>
      </c>
      <c r="BP167" s="116">
        <f t="shared" si="398"/>
        <v>0</v>
      </c>
      <c r="BQ167" s="117">
        <f t="shared" si="399"/>
        <v>0</v>
      </c>
      <c r="BR167" s="119">
        <f t="shared" si="440"/>
        <v>0</v>
      </c>
      <c r="BS167" s="194">
        <f t="shared" si="400"/>
        <v>0</v>
      </c>
      <c r="BT167" s="117">
        <f t="shared" si="401"/>
        <v>0</v>
      </c>
      <c r="BU167" s="118">
        <f t="shared" si="402"/>
        <v>0</v>
      </c>
      <c r="BV167" s="116">
        <f t="shared" si="403"/>
        <v>0</v>
      </c>
      <c r="BW167" s="117">
        <f t="shared" si="404"/>
        <v>0</v>
      </c>
      <c r="BX167" s="119">
        <f t="shared" si="405"/>
        <v>0</v>
      </c>
      <c r="BY167" s="194">
        <f t="shared" si="406"/>
        <v>0</v>
      </c>
      <c r="BZ167" s="117">
        <f t="shared" si="407"/>
        <v>0</v>
      </c>
      <c r="CA167" s="118">
        <f t="shared" si="408"/>
        <v>0</v>
      </c>
      <c r="CB167" s="116">
        <f t="shared" si="409"/>
        <v>0</v>
      </c>
      <c r="CC167" s="117">
        <f t="shared" si="410"/>
        <v>0</v>
      </c>
      <c r="CD167" s="119">
        <f t="shared" si="411"/>
        <v>0</v>
      </c>
      <c r="CE167" s="194">
        <f t="shared" si="412"/>
        <v>0</v>
      </c>
      <c r="CF167" s="117">
        <f t="shared" si="413"/>
        <v>0</v>
      </c>
      <c r="CG167" s="118">
        <f t="shared" si="414"/>
        <v>0</v>
      </c>
      <c r="CH167" s="116">
        <f t="shared" si="415"/>
        <v>0</v>
      </c>
      <c r="CI167" s="117">
        <f t="shared" si="416"/>
        <v>0</v>
      </c>
      <c r="CJ167" s="119">
        <f t="shared" si="417"/>
        <v>0</v>
      </c>
      <c r="CK167" s="194">
        <f t="shared" si="418"/>
        <v>0</v>
      </c>
      <c r="CL167" s="194">
        <f t="shared" si="419"/>
        <v>0</v>
      </c>
      <c r="CM167" s="398">
        <f t="shared" si="420"/>
        <v>0</v>
      </c>
      <c r="CN167" s="241">
        <f t="shared" si="421"/>
        <v>0</v>
      </c>
      <c r="CO167" s="43">
        <f t="shared" si="422"/>
        <v>0</v>
      </c>
      <c r="CP167" s="57">
        <f t="shared" si="423"/>
        <v>0</v>
      </c>
      <c r="CQ167" s="194">
        <f t="shared" si="424"/>
        <v>0</v>
      </c>
      <c r="CR167" s="117">
        <f t="shared" si="425"/>
        <v>0</v>
      </c>
      <c r="CS167" s="119">
        <f t="shared" si="426"/>
        <v>0</v>
      </c>
      <c r="CT167" s="194">
        <f t="shared" si="427"/>
        <v>0</v>
      </c>
      <c r="CU167" s="117">
        <f t="shared" si="428"/>
        <v>0</v>
      </c>
      <c r="CV167" s="119">
        <f t="shared" si="429"/>
        <v>0</v>
      </c>
      <c r="CW167" s="194">
        <f t="shared" si="430"/>
        <v>0</v>
      </c>
      <c r="CX167" s="117">
        <f t="shared" si="431"/>
        <v>0</v>
      </c>
      <c r="CY167" s="119">
        <f t="shared" si="432"/>
        <v>0</v>
      </c>
      <c r="CZ167" s="194">
        <f t="shared" si="433"/>
        <v>0</v>
      </c>
      <c r="DA167" s="117">
        <f t="shared" si="434"/>
        <v>0</v>
      </c>
      <c r="DB167" s="119">
        <f t="shared" si="435"/>
        <v>0</v>
      </c>
      <c r="DC167" s="399">
        <f t="shared" si="436"/>
        <v>0</v>
      </c>
      <c r="DD167" s="75">
        <f t="shared" si="437"/>
        <v>0</v>
      </c>
      <c r="DE167" s="75">
        <f t="shared" si="438"/>
        <v>0</v>
      </c>
      <c r="DF167" s="147">
        <f t="shared" si="439"/>
        <v>0</v>
      </c>
    </row>
    <row r="168" spans="1:110">
      <c r="A168" s="240">
        <v>18</v>
      </c>
      <c r="B168" s="116">
        <f t="shared" si="332"/>
        <v>0</v>
      </c>
      <c r="C168" s="117">
        <f t="shared" si="333"/>
        <v>0</v>
      </c>
      <c r="D168" s="119">
        <f t="shared" si="334"/>
        <v>0</v>
      </c>
      <c r="E168" s="194">
        <f t="shared" si="335"/>
        <v>0</v>
      </c>
      <c r="F168" s="117">
        <f t="shared" si="336"/>
        <v>0</v>
      </c>
      <c r="G168" s="118">
        <f t="shared" si="337"/>
        <v>0</v>
      </c>
      <c r="H168" s="116">
        <f t="shared" si="338"/>
        <v>0</v>
      </c>
      <c r="I168" s="117">
        <f t="shared" si="339"/>
        <v>0</v>
      </c>
      <c r="J168" s="119">
        <f t="shared" si="340"/>
        <v>0</v>
      </c>
      <c r="K168" s="194">
        <f t="shared" si="341"/>
        <v>0</v>
      </c>
      <c r="L168" s="117">
        <f t="shared" si="342"/>
        <v>0</v>
      </c>
      <c r="M168" s="118">
        <f t="shared" si="343"/>
        <v>0</v>
      </c>
      <c r="N168" s="116">
        <f t="shared" si="344"/>
        <v>0</v>
      </c>
      <c r="O168" s="117">
        <f t="shared" si="345"/>
        <v>0</v>
      </c>
      <c r="P168" s="119">
        <f t="shared" si="346"/>
        <v>0</v>
      </c>
      <c r="Q168" s="194">
        <f t="shared" si="347"/>
        <v>0</v>
      </c>
      <c r="R168" s="117">
        <f t="shared" si="348"/>
        <v>0</v>
      </c>
      <c r="S168" s="118">
        <f t="shared" si="349"/>
        <v>0</v>
      </c>
      <c r="T168" s="116">
        <f t="shared" si="350"/>
        <v>0</v>
      </c>
      <c r="U168" s="117">
        <f t="shared" si="351"/>
        <v>0</v>
      </c>
      <c r="V168" s="119">
        <f t="shared" si="352"/>
        <v>0</v>
      </c>
      <c r="W168" s="194">
        <f t="shared" si="353"/>
        <v>0</v>
      </c>
      <c r="X168" s="117">
        <f t="shared" si="354"/>
        <v>0</v>
      </c>
      <c r="Y168" s="118">
        <f t="shared" si="355"/>
        <v>0</v>
      </c>
      <c r="Z168" s="116">
        <f t="shared" si="356"/>
        <v>0</v>
      </c>
      <c r="AA168" s="117">
        <f t="shared" si="357"/>
        <v>0</v>
      </c>
      <c r="AB168" s="119">
        <f t="shared" si="358"/>
        <v>0</v>
      </c>
      <c r="AC168" s="194">
        <f t="shared" si="359"/>
        <v>0</v>
      </c>
      <c r="AD168" s="117">
        <f t="shared" si="360"/>
        <v>0</v>
      </c>
      <c r="AE168" s="118">
        <f t="shared" si="361"/>
        <v>0</v>
      </c>
      <c r="AF168" s="116">
        <f t="shared" si="362"/>
        <v>0</v>
      </c>
      <c r="AG168" s="117">
        <f t="shared" si="363"/>
        <v>0</v>
      </c>
      <c r="AH168" s="119">
        <f t="shared" si="364"/>
        <v>0</v>
      </c>
      <c r="AI168" s="194">
        <f t="shared" si="365"/>
        <v>0</v>
      </c>
      <c r="AJ168" s="117">
        <f t="shared" si="366"/>
        <v>0</v>
      </c>
      <c r="AK168" s="118">
        <f t="shared" si="367"/>
        <v>0</v>
      </c>
      <c r="AL168" s="116">
        <f t="shared" si="368"/>
        <v>0</v>
      </c>
      <c r="AM168" s="117">
        <f t="shared" si="369"/>
        <v>0</v>
      </c>
      <c r="AN168" s="119">
        <f t="shared" si="370"/>
        <v>0</v>
      </c>
      <c r="AO168" s="194">
        <f t="shared" si="371"/>
        <v>0</v>
      </c>
      <c r="AP168" s="117">
        <f t="shared" si="372"/>
        <v>0</v>
      </c>
      <c r="AQ168" s="118">
        <f t="shared" si="373"/>
        <v>0</v>
      </c>
      <c r="AR168" s="116">
        <f t="shared" si="374"/>
        <v>0</v>
      </c>
      <c r="AS168" s="117">
        <f t="shared" si="375"/>
        <v>0</v>
      </c>
      <c r="AT168" s="119">
        <f t="shared" si="376"/>
        <v>0</v>
      </c>
      <c r="AU168" s="194">
        <f t="shared" si="377"/>
        <v>0</v>
      </c>
      <c r="AV168" s="117">
        <f t="shared" si="378"/>
        <v>0</v>
      </c>
      <c r="AW168" s="118">
        <f t="shared" si="379"/>
        <v>0</v>
      </c>
      <c r="AX168" s="116">
        <f t="shared" si="380"/>
        <v>0</v>
      </c>
      <c r="AY168" s="117">
        <f t="shared" si="381"/>
        <v>0</v>
      </c>
      <c r="AZ168" s="119">
        <f t="shared" si="382"/>
        <v>0</v>
      </c>
      <c r="BA168" s="194">
        <f t="shared" si="383"/>
        <v>0</v>
      </c>
      <c r="BB168" s="117">
        <f t="shared" si="384"/>
        <v>0</v>
      </c>
      <c r="BC168" s="118">
        <f t="shared" si="385"/>
        <v>0</v>
      </c>
      <c r="BD168" s="116">
        <f t="shared" si="386"/>
        <v>0</v>
      </c>
      <c r="BE168" s="117">
        <f t="shared" si="387"/>
        <v>0</v>
      </c>
      <c r="BF168" s="119">
        <f t="shared" si="388"/>
        <v>0</v>
      </c>
      <c r="BG168" s="194">
        <f t="shared" si="389"/>
        <v>0</v>
      </c>
      <c r="BH168" s="117">
        <f t="shared" si="390"/>
        <v>0</v>
      </c>
      <c r="BI168" s="118">
        <f t="shared" si="391"/>
        <v>0</v>
      </c>
      <c r="BJ168" s="116">
        <f t="shared" si="392"/>
        <v>0</v>
      </c>
      <c r="BK168" s="117">
        <f t="shared" si="393"/>
        <v>0</v>
      </c>
      <c r="BL168" s="119">
        <f t="shared" si="394"/>
        <v>0</v>
      </c>
      <c r="BM168" s="194">
        <f t="shared" si="395"/>
        <v>0</v>
      </c>
      <c r="BN168" s="117">
        <f t="shared" si="396"/>
        <v>0</v>
      </c>
      <c r="BO168" s="118">
        <f t="shared" si="397"/>
        <v>0</v>
      </c>
      <c r="BP168" s="116">
        <f t="shared" si="398"/>
        <v>0</v>
      </c>
      <c r="BQ168" s="117">
        <f t="shared" si="399"/>
        <v>0</v>
      </c>
      <c r="BR168" s="119">
        <f t="shared" si="440"/>
        <v>0</v>
      </c>
      <c r="BS168" s="194">
        <f t="shared" si="400"/>
        <v>0</v>
      </c>
      <c r="BT168" s="117">
        <f t="shared" si="401"/>
        <v>0</v>
      </c>
      <c r="BU168" s="118">
        <f t="shared" si="402"/>
        <v>0</v>
      </c>
      <c r="BV168" s="116">
        <f t="shared" si="403"/>
        <v>0</v>
      </c>
      <c r="BW168" s="117">
        <f t="shared" si="404"/>
        <v>0</v>
      </c>
      <c r="BX168" s="119">
        <f t="shared" si="405"/>
        <v>0</v>
      </c>
      <c r="BY168" s="194">
        <f t="shared" si="406"/>
        <v>0</v>
      </c>
      <c r="BZ168" s="117">
        <f t="shared" si="407"/>
        <v>0</v>
      </c>
      <c r="CA168" s="118">
        <f t="shared" si="408"/>
        <v>0</v>
      </c>
      <c r="CB168" s="116">
        <f t="shared" si="409"/>
        <v>0</v>
      </c>
      <c r="CC168" s="117">
        <f t="shared" si="410"/>
        <v>0</v>
      </c>
      <c r="CD168" s="119">
        <f t="shared" si="411"/>
        <v>0</v>
      </c>
      <c r="CE168" s="194">
        <f t="shared" si="412"/>
        <v>0</v>
      </c>
      <c r="CF168" s="117">
        <f t="shared" si="413"/>
        <v>0</v>
      </c>
      <c r="CG168" s="118">
        <f t="shared" si="414"/>
        <v>0</v>
      </c>
      <c r="CH168" s="116">
        <f t="shared" si="415"/>
        <v>0</v>
      </c>
      <c r="CI168" s="117">
        <f t="shared" si="416"/>
        <v>0</v>
      </c>
      <c r="CJ168" s="119">
        <f t="shared" si="417"/>
        <v>0</v>
      </c>
      <c r="CK168" s="194">
        <f t="shared" si="418"/>
        <v>0</v>
      </c>
      <c r="CL168" s="194">
        <f t="shared" si="419"/>
        <v>0</v>
      </c>
      <c r="CM168" s="398">
        <f t="shared" si="420"/>
        <v>0</v>
      </c>
      <c r="CN168" s="241">
        <f t="shared" si="421"/>
        <v>0</v>
      </c>
      <c r="CO168" s="43">
        <f t="shared" si="422"/>
        <v>0</v>
      </c>
      <c r="CP168" s="57">
        <f t="shared" si="423"/>
        <v>0</v>
      </c>
      <c r="CQ168" s="194">
        <f t="shared" si="424"/>
        <v>0</v>
      </c>
      <c r="CR168" s="117">
        <f t="shared" si="425"/>
        <v>0</v>
      </c>
      <c r="CS168" s="119">
        <f t="shared" si="426"/>
        <v>0</v>
      </c>
      <c r="CT168" s="194">
        <f t="shared" si="427"/>
        <v>0</v>
      </c>
      <c r="CU168" s="117">
        <f t="shared" si="428"/>
        <v>0</v>
      </c>
      <c r="CV168" s="119">
        <f t="shared" si="429"/>
        <v>0</v>
      </c>
      <c r="CW168" s="194">
        <f t="shared" si="430"/>
        <v>0</v>
      </c>
      <c r="CX168" s="117">
        <f t="shared" si="431"/>
        <v>0</v>
      </c>
      <c r="CY168" s="119">
        <f t="shared" si="432"/>
        <v>0</v>
      </c>
      <c r="CZ168" s="194">
        <f t="shared" si="433"/>
        <v>0</v>
      </c>
      <c r="DA168" s="117">
        <f t="shared" si="434"/>
        <v>0</v>
      </c>
      <c r="DB168" s="119">
        <f t="shared" si="435"/>
        <v>0</v>
      </c>
      <c r="DC168" s="399">
        <f t="shared" si="436"/>
        <v>0</v>
      </c>
      <c r="DD168" s="75">
        <f t="shared" si="437"/>
        <v>0</v>
      </c>
      <c r="DE168" s="75">
        <f t="shared" si="438"/>
        <v>0</v>
      </c>
      <c r="DF168" s="147">
        <f t="shared" si="439"/>
        <v>0</v>
      </c>
    </row>
    <row r="169" spans="1:110">
      <c r="A169" s="365">
        <v>19</v>
      </c>
      <c r="B169" s="116">
        <f t="shared" si="332"/>
        <v>0</v>
      </c>
      <c r="C169" s="117">
        <f t="shared" si="333"/>
        <v>0</v>
      </c>
      <c r="D169" s="119">
        <f t="shared" si="334"/>
        <v>0</v>
      </c>
      <c r="E169" s="194">
        <f t="shared" si="335"/>
        <v>0</v>
      </c>
      <c r="F169" s="117">
        <f t="shared" si="336"/>
        <v>0</v>
      </c>
      <c r="G169" s="118">
        <f t="shared" si="337"/>
        <v>0</v>
      </c>
      <c r="H169" s="116">
        <f t="shared" si="338"/>
        <v>0</v>
      </c>
      <c r="I169" s="117">
        <f t="shared" si="339"/>
        <v>0</v>
      </c>
      <c r="J169" s="119">
        <f t="shared" si="340"/>
        <v>0</v>
      </c>
      <c r="K169" s="194">
        <f t="shared" si="341"/>
        <v>0</v>
      </c>
      <c r="L169" s="117">
        <f t="shared" si="342"/>
        <v>0</v>
      </c>
      <c r="M169" s="118">
        <f t="shared" si="343"/>
        <v>0</v>
      </c>
      <c r="N169" s="116">
        <f t="shared" si="344"/>
        <v>0</v>
      </c>
      <c r="O169" s="117">
        <f t="shared" si="345"/>
        <v>0</v>
      </c>
      <c r="P169" s="119">
        <f t="shared" si="346"/>
        <v>0</v>
      </c>
      <c r="Q169" s="194">
        <f t="shared" si="347"/>
        <v>0</v>
      </c>
      <c r="R169" s="117">
        <f t="shared" si="348"/>
        <v>0</v>
      </c>
      <c r="S169" s="118">
        <f t="shared" si="349"/>
        <v>0</v>
      </c>
      <c r="T169" s="116">
        <f t="shared" si="350"/>
        <v>0</v>
      </c>
      <c r="U169" s="117">
        <f t="shared" si="351"/>
        <v>0</v>
      </c>
      <c r="V169" s="119">
        <f t="shared" si="352"/>
        <v>0</v>
      </c>
      <c r="W169" s="194">
        <f t="shared" si="353"/>
        <v>0</v>
      </c>
      <c r="X169" s="117">
        <f t="shared" si="354"/>
        <v>0</v>
      </c>
      <c r="Y169" s="118">
        <f t="shared" si="355"/>
        <v>0</v>
      </c>
      <c r="Z169" s="116">
        <f t="shared" si="356"/>
        <v>0</v>
      </c>
      <c r="AA169" s="117">
        <f t="shared" si="357"/>
        <v>0</v>
      </c>
      <c r="AB169" s="119">
        <f t="shared" si="358"/>
        <v>0</v>
      </c>
      <c r="AC169" s="194">
        <f t="shared" si="359"/>
        <v>0</v>
      </c>
      <c r="AD169" s="117">
        <f t="shared" si="360"/>
        <v>0</v>
      </c>
      <c r="AE169" s="118">
        <f t="shared" si="361"/>
        <v>0</v>
      </c>
      <c r="AF169" s="116">
        <f t="shared" si="362"/>
        <v>0</v>
      </c>
      <c r="AG169" s="117">
        <f t="shared" si="363"/>
        <v>0</v>
      </c>
      <c r="AH169" s="119">
        <f t="shared" si="364"/>
        <v>0</v>
      </c>
      <c r="AI169" s="194">
        <f t="shared" si="365"/>
        <v>0</v>
      </c>
      <c r="AJ169" s="117">
        <f t="shared" si="366"/>
        <v>0</v>
      </c>
      <c r="AK169" s="118">
        <f t="shared" si="367"/>
        <v>0</v>
      </c>
      <c r="AL169" s="116">
        <f t="shared" si="368"/>
        <v>0</v>
      </c>
      <c r="AM169" s="117">
        <f t="shared" si="369"/>
        <v>0</v>
      </c>
      <c r="AN169" s="119">
        <f t="shared" si="370"/>
        <v>0</v>
      </c>
      <c r="AO169" s="194">
        <f t="shared" si="371"/>
        <v>0</v>
      </c>
      <c r="AP169" s="117">
        <f t="shared" si="372"/>
        <v>0</v>
      </c>
      <c r="AQ169" s="118">
        <f t="shared" si="373"/>
        <v>0</v>
      </c>
      <c r="AR169" s="116">
        <f t="shared" si="374"/>
        <v>0</v>
      </c>
      <c r="AS169" s="117">
        <f t="shared" si="375"/>
        <v>0</v>
      </c>
      <c r="AT169" s="119">
        <f t="shared" si="376"/>
        <v>0</v>
      </c>
      <c r="AU169" s="194">
        <f t="shared" si="377"/>
        <v>0</v>
      </c>
      <c r="AV169" s="117">
        <f t="shared" si="378"/>
        <v>0</v>
      </c>
      <c r="AW169" s="118">
        <f t="shared" si="379"/>
        <v>0</v>
      </c>
      <c r="AX169" s="116">
        <f t="shared" si="380"/>
        <v>0</v>
      </c>
      <c r="AY169" s="117">
        <f t="shared" si="381"/>
        <v>0</v>
      </c>
      <c r="AZ169" s="119">
        <f t="shared" si="382"/>
        <v>0</v>
      </c>
      <c r="BA169" s="194">
        <f t="shared" si="383"/>
        <v>0</v>
      </c>
      <c r="BB169" s="117">
        <f t="shared" si="384"/>
        <v>0</v>
      </c>
      <c r="BC169" s="118">
        <f t="shared" si="385"/>
        <v>0</v>
      </c>
      <c r="BD169" s="116">
        <f t="shared" si="386"/>
        <v>0</v>
      </c>
      <c r="BE169" s="117">
        <f t="shared" si="387"/>
        <v>0</v>
      </c>
      <c r="BF169" s="119">
        <f t="shared" si="388"/>
        <v>0</v>
      </c>
      <c r="BG169" s="194">
        <f t="shared" si="389"/>
        <v>0</v>
      </c>
      <c r="BH169" s="117">
        <f t="shared" si="390"/>
        <v>0</v>
      </c>
      <c r="BI169" s="118">
        <f t="shared" si="391"/>
        <v>0</v>
      </c>
      <c r="BJ169" s="116">
        <f t="shared" si="392"/>
        <v>0</v>
      </c>
      <c r="BK169" s="117">
        <f t="shared" si="393"/>
        <v>0</v>
      </c>
      <c r="BL169" s="119">
        <f t="shared" si="394"/>
        <v>0</v>
      </c>
      <c r="BM169" s="194">
        <f t="shared" si="395"/>
        <v>0</v>
      </c>
      <c r="BN169" s="117">
        <f t="shared" si="396"/>
        <v>0</v>
      </c>
      <c r="BO169" s="118">
        <f t="shared" si="397"/>
        <v>0</v>
      </c>
      <c r="BP169" s="116">
        <f t="shared" si="398"/>
        <v>0</v>
      </c>
      <c r="BQ169" s="117">
        <f t="shared" si="399"/>
        <v>0</v>
      </c>
      <c r="BR169" s="119">
        <f t="shared" si="440"/>
        <v>0</v>
      </c>
      <c r="BS169" s="194">
        <f t="shared" si="400"/>
        <v>0</v>
      </c>
      <c r="BT169" s="117">
        <f t="shared" si="401"/>
        <v>0</v>
      </c>
      <c r="BU169" s="118">
        <f t="shared" si="402"/>
        <v>0</v>
      </c>
      <c r="BV169" s="116">
        <f t="shared" si="403"/>
        <v>0</v>
      </c>
      <c r="BW169" s="117">
        <f t="shared" si="404"/>
        <v>0</v>
      </c>
      <c r="BX169" s="119">
        <f t="shared" si="405"/>
        <v>0</v>
      </c>
      <c r="BY169" s="194">
        <f t="shared" si="406"/>
        <v>0</v>
      </c>
      <c r="BZ169" s="117">
        <f t="shared" si="407"/>
        <v>0</v>
      </c>
      <c r="CA169" s="118">
        <f t="shared" si="408"/>
        <v>0</v>
      </c>
      <c r="CB169" s="116">
        <f t="shared" si="409"/>
        <v>0</v>
      </c>
      <c r="CC169" s="117">
        <f t="shared" si="410"/>
        <v>0</v>
      </c>
      <c r="CD169" s="119">
        <f t="shared" si="411"/>
        <v>0</v>
      </c>
      <c r="CE169" s="194">
        <f t="shared" si="412"/>
        <v>0</v>
      </c>
      <c r="CF169" s="117">
        <f t="shared" si="413"/>
        <v>0</v>
      </c>
      <c r="CG169" s="118">
        <f t="shared" si="414"/>
        <v>0</v>
      </c>
      <c r="CH169" s="116">
        <f t="shared" si="415"/>
        <v>0</v>
      </c>
      <c r="CI169" s="117">
        <f t="shared" si="416"/>
        <v>0</v>
      </c>
      <c r="CJ169" s="119">
        <f t="shared" si="417"/>
        <v>0</v>
      </c>
      <c r="CK169" s="194">
        <f t="shared" si="418"/>
        <v>0</v>
      </c>
      <c r="CL169" s="194">
        <f t="shared" si="419"/>
        <v>0</v>
      </c>
      <c r="CM169" s="398">
        <f t="shared" si="420"/>
        <v>0</v>
      </c>
      <c r="CN169" s="241">
        <f t="shared" si="421"/>
        <v>0</v>
      </c>
      <c r="CO169" s="43">
        <f t="shared" si="422"/>
        <v>0</v>
      </c>
      <c r="CP169" s="57">
        <f t="shared" si="423"/>
        <v>0</v>
      </c>
      <c r="CQ169" s="194">
        <f t="shared" si="424"/>
        <v>0</v>
      </c>
      <c r="CR169" s="117">
        <f t="shared" si="425"/>
        <v>0</v>
      </c>
      <c r="CS169" s="119">
        <f t="shared" si="426"/>
        <v>0</v>
      </c>
      <c r="CT169" s="194">
        <f t="shared" si="427"/>
        <v>0</v>
      </c>
      <c r="CU169" s="117">
        <f t="shared" si="428"/>
        <v>0</v>
      </c>
      <c r="CV169" s="119">
        <f t="shared" si="429"/>
        <v>0</v>
      </c>
      <c r="CW169" s="194">
        <f t="shared" si="430"/>
        <v>0</v>
      </c>
      <c r="CX169" s="117">
        <f t="shared" si="431"/>
        <v>0</v>
      </c>
      <c r="CY169" s="119">
        <f t="shared" si="432"/>
        <v>0</v>
      </c>
      <c r="CZ169" s="194">
        <f t="shared" si="433"/>
        <v>0</v>
      </c>
      <c r="DA169" s="117">
        <f t="shared" si="434"/>
        <v>0</v>
      </c>
      <c r="DB169" s="119">
        <f t="shared" si="435"/>
        <v>0</v>
      </c>
      <c r="DC169" s="399">
        <f t="shared" si="436"/>
        <v>0</v>
      </c>
      <c r="DD169" s="75">
        <f t="shared" si="437"/>
        <v>0</v>
      </c>
      <c r="DE169" s="75">
        <f t="shared" si="438"/>
        <v>0</v>
      </c>
      <c r="DF169" s="147">
        <f t="shared" si="439"/>
        <v>0</v>
      </c>
    </row>
    <row r="170" spans="1:110">
      <c r="A170" s="240">
        <v>20</v>
      </c>
      <c r="B170" s="116">
        <f t="shared" si="332"/>
        <v>0</v>
      </c>
      <c r="C170" s="117">
        <f t="shared" si="333"/>
        <v>0</v>
      </c>
      <c r="D170" s="119">
        <f t="shared" si="334"/>
        <v>0</v>
      </c>
      <c r="E170" s="194">
        <f t="shared" si="335"/>
        <v>0</v>
      </c>
      <c r="F170" s="117">
        <f t="shared" si="336"/>
        <v>0</v>
      </c>
      <c r="G170" s="118">
        <f t="shared" si="337"/>
        <v>0</v>
      </c>
      <c r="H170" s="116">
        <f t="shared" si="338"/>
        <v>0</v>
      </c>
      <c r="I170" s="117">
        <f t="shared" si="339"/>
        <v>0</v>
      </c>
      <c r="J170" s="119">
        <f t="shared" si="340"/>
        <v>0</v>
      </c>
      <c r="K170" s="194">
        <f t="shared" si="341"/>
        <v>0</v>
      </c>
      <c r="L170" s="117">
        <f t="shared" si="342"/>
        <v>0</v>
      </c>
      <c r="M170" s="118">
        <f t="shared" si="343"/>
        <v>0</v>
      </c>
      <c r="N170" s="116">
        <f t="shared" si="344"/>
        <v>0</v>
      </c>
      <c r="O170" s="117">
        <f t="shared" si="345"/>
        <v>0</v>
      </c>
      <c r="P170" s="119">
        <f t="shared" si="346"/>
        <v>0</v>
      </c>
      <c r="Q170" s="194">
        <f t="shared" si="347"/>
        <v>0</v>
      </c>
      <c r="R170" s="117">
        <f t="shared" si="348"/>
        <v>0</v>
      </c>
      <c r="S170" s="118">
        <f t="shared" si="349"/>
        <v>0</v>
      </c>
      <c r="T170" s="116">
        <f t="shared" si="350"/>
        <v>0</v>
      </c>
      <c r="U170" s="117">
        <f t="shared" si="351"/>
        <v>0</v>
      </c>
      <c r="V170" s="119">
        <f t="shared" si="352"/>
        <v>0</v>
      </c>
      <c r="W170" s="194">
        <f t="shared" si="353"/>
        <v>0</v>
      </c>
      <c r="X170" s="117">
        <f t="shared" si="354"/>
        <v>0</v>
      </c>
      <c r="Y170" s="118">
        <f t="shared" si="355"/>
        <v>0</v>
      </c>
      <c r="Z170" s="116">
        <f t="shared" si="356"/>
        <v>0</v>
      </c>
      <c r="AA170" s="117">
        <f t="shared" si="357"/>
        <v>0</v>
      </c>
      <c r="AB170" s="119">
        <f t="shared" si="358"/>
        <v>0</v>
      </c>
      <c r="AC170" s="194">
        <f t="shared" si="359"/>
        <v>0</v>
      </c>
      <c r="AD170" s="117">
        <f t="shared" si="360"/>
        <v>0</v>
      </c>
      <c r="AE170" s="118">
        <f t="shared" si="361"/>
        <v>0</v>
      </c>
      <c r="AF170" s="116">
        <f t="shared" si="362"/>
        <v>0</v>
      </c>
      <c r="AG170" s="117">
        <f t="shared" si="363"/>
        <v>0</v>
      </c>
      <c r="AH170" s="119">
        <f t="shared" si="364"/>
        <v>0</v>
      </c>
      <c r="AI170" s="194">
        <f t="shared" si="365"/>
        <v>0</v>
      </c>
      <c r="AJ170" s="117">
        <f t="shared" si="366"/>
        <v>0</v>
      </c>
      <c r="AK170" s="118">
        <f t="shared" si="367"/>
        <v>0</v>
      </c>
      <c r="AL170" s="116">
        <f t="shared" si="368"/>
        <v>0</v>
      </c>
      <c r="AM170" s="117">
        <f t="shared" si="369"/>
        <v>0</v>
      </c>
      <c r="AN170" s="119">
        <f t="shared" si="370"/>
        <v>0</v>
      </c>
      <c r="AO170" s="194">
        <f t="shared" si="371"/>
        <v>0</v>
      </c>
      <c r="AP170" s="117">
        <f t="shared" si="372"/>
        <v>0</v>
      </c>
      <c r="AQ170" s="118">
        <f t="shared" si="373"/>
        <v>0</v>
      </c>
      <c r="AR170" s="116">
        <f t="shared" si="374"/>
        <v>0</v>
      </c>
      <c r="AS170" s="117">
        <f t="shared" si="375"/>
        <v>0</v>
      </c>
      <c r="AT170" s="119">
        <f t="shared" si="376"/>
        <v>0</v>
      </c>
      <c r="AU170" s="194">
        <f t="shared" si="377"/>
        <v>0</v>
      </c>
      <c r="AV170" s="117">
        <f t="shared" si="378"/>
        <v>0</v>
      </c>
      <c r="AW170" s="118">
        <f t="shared" si="379"/>
        <v>0</v>
      </c>
      <c r="AX170" s="116">
        <f t="shared" si="380"/>
        <v>0</v>
      </c>
      <c r="AY170" s="117">
        <f t="shared" si="381"/>
        <v>0</v>
      </c>
      <c r="AZ170" s="119">
        <f t="shared" si="382"/>
        <v>0</v>
      </c>
      <c r="BA170" s="194">
        <f t="shared" si="383"/>
        <v>0</v>
      </c>
      <c r="BB170" s="117">
        <f t="shared" si="384"/>
        <v>0</v>
      </c>
      <c r="BC170" s="118">
        <f t="shared" si="385"/>
        <v>0</v>
      </c>
      <c r="BD170" s="116">
        <f t="shared" si="386"/>
        <v>0</v>
      </c>
      <c r="BE170" s="117">
        <f t="shared" si="387"/>
        <v>0</v>
      </c>
      <c r="BF170" s="119">
        <f t="shared" si="388"/>
        <v>0</v>
      </c>
      <c r="BG170" s="194">
        <f t="shared" si="389"/>
        <v>0</v>
      </c>
      <c r="BH170" s="117">
        <f t="shared" si="390"/>
        <v>0</v>
      </c>
      <c r="BI170" s="118">
        <f t="shared" si="391"/>
        <v>0</v>
      </c>
      <c r="BJ170" s="116">
        <f t="shared" si="392"/>
        <v>0</v>
      </c>
      <c r="BK170" s="117">
        <f t="shared" si="393"/>
        <v>0</v>
      </c>
      <c r="BL170" s="119">
        <f t="shared" si="394"/>
        <v>0</v>
      </c>
      <c r="BM170" s="194">
        <f t="shared" si="395"/>
        <v>0</v>
      </c>
      <c r="BN170" s="117">
        <f t="shared" si="396"/>
        <v>0</v>
      </c>
      <c r="BO170" s="118">
        <f t="shared" si="397"/>
        <v>0</v>
      </c>
      <c r="BP170" s="116">
        <f t="shared" si="398"/>
        <v>0</v>
      </c>
      <c r="BQ170" s="117">
        <f t="shared" si="399"/>
        <v>0</v>
      </c>
      <c r="BR170" s="119">
        <f t="shared" si="440"/>
        <v>0</v>
      </c>
      <c r="BS170" s="194">
        <f t="shared" si="400"/>
        <v>0</v>
      </c>
      <c r="BT170" s="117">
        <f t="shared" si="401"/>
        <v>0</v>
      </c>
      <c r="BU170" s="118">
        <f t="shared" si="402"/>
        <v>0</v>
      </c>
      <c r="BV170" s="116">
        <f t="shared" si="403"/>
        <v>0</v>
      </c>
      <c r="BW170" s="117">
        <f t="shared" si="404"/>
        <v>0</v>
      </c>
      <c r="BX170" s="119">
        <f t="shared" si="405"/>
        <v>0</v>
      </c>
      <c r="BY170" s="194">
        <f t="shared" si="406"/>
        <v>0</v>
      </c>
      <c r="BZ170" s="117">
        <f t="shared" si="407"/>
        <v>0</v>
      </c>
      <c r="CA170" s="118">
        <f t="shared" si="408"/>
        <v>0</v>
      </c>
      <c r="CB170" s="116">
        <f t="shared" si="409"/>
        <v>0</v>
      </c>
      <c r="CC170" s="117">
        <f t="shared" si="410"/>
        <v>0</v>
      </c>
      <c r="CD170" s="119">
        <f t="shared" si="411"/>
        <v>0</v>
      </c>
      <c r="CE170" s="194">
        <f t="shared" si="412"/>
        <v>0</v>
      </c>
      <c r="CF170" s="117">
        <f t="shared" si="413"/>
        <v>0</v>
      </c>
      <c r="CG170" s="118">
        <f t="shared" si="414"/>
        <v>0</v>
      </c>
      <c r="CH170" s="116">
        <f t="shared" si="415"/>
        <v>0</v>
      </c>
      <c r="CI170" s="117">
        <f t="shared" si="416"/>
        <v>0</v>
      </c>
      <c r="CJ170" s="119">
        <f t="shared" si="417"/>
        <v>0</v>
      </c>
      <c r="CK170" s="194">
        <f t="shared" si="418"/>
        <v>0</v>
      </c>
      <c r="CL170" s="194">
        <f t="shared" si="419"/>
        <v>0</v>
      </c>
      <c r="CM170" s="398">
        <f t="shared" si="420"/>
        <v>0</v>
      </c>
      <c r="CN170" s="241">
        <f t="shared" si="421"/>
        <v>0</v>
      </c>
      <c r="CO170" s="43">
        <f t="shared" si="422"/>
        <v>0</v>
      </c>
      <c r="CP170" s="57">
        <f t="shared" si="423"/>
        <v>0</v>
      </c>
      <c r="CQ170" s="194">
        <f t="shared" si="424"/>
        <v>0</v>
      </c>
      <c r="CR170" s="117">
        <f t="shared" si="425"/>
        <v>0</v>
      </c>
      <c r="CS170" s="119">
        <f t="shared" si="426"/>
        <v>0</v>
      </c>
      <c r="CT170" s="194">
        <f t="shared" si="427"/>
        <v>0</v>
      </c>
      <c r="CU170" s="117">
        <f t="shared" si="428"/>
        <v>0</v>
      </c>
      <c r="CV170" s="119">
        <f t="shared" si="429"/>
        <v>0</v>
      </c>
      <c r="CW170" s="194">
        <f t="shared" si="430"/>
        <v>0</v>
      </c>
      <c r="CX170" s="117">
        <f t="shared" si="431"/>
        <v>0</v>
      </c>
      <c r="CY170" s="119">
        <f t="shared" si="432"/>
        <v>0</v>
      </c>
      <c r="CZ170" s="194">
        <f t="shared" si="433"/>
        <v>0</v>
      </c>
      <c r="DA170" s="117">
        <f t="shared" si="434"/>
        <v>0</v>
      </c>
      <c r="DB170" s="119">
        <f t="shared" si="435"/>
        <v>0</v>
      </c>
      <c r="DC170" s="399">
        <f t="shared" si="436"/>
        <v>0</v>
      </c>
      <c r="DD170" s="75">
        <f t="shared" si="437"/>
        <v>0</v>
      </c>
      <c r="DE170" s="75">
        <f t="shared" si="438"/>
        <v>0</v>
      </c>
      <c r="DF170" s="147">
        <f t="shared" si="439"/>
        <v>0</v>
      </c>
    </row>
    <row r="171" spans="1:110">
      <c r="A171" s="240">
        <v>21</v>
      </c>
      <c r="B171" s="116">
        <f t="shared" si="332"/>
        <v>0</v>
      </c>
      <c r="C171" s="117">
        <f t="shared" si="333"/>
        <v>0</v>
      </c>
      <c r="D171" s="119">
        <f t="shared" si="334"/>
        <v>0</v>
      </c>
      <c r="E171" s="194">
        <f t="shared" si="335"/>
        <v>0</v>
      </c>
      <c r="F171" s="117">
        <f t="shared" si="336"/>
        <v>0</v>
      </c>
      <c r="G171" s="118">
        <f t="shared" si="337"/>
        <v>0</v>
      </c>
      <c r="H171" s="116">
        <f t="shared" si="338"/>
        <v>0</v>
      </c>
      <c r="I171" s="117">
        <f t="shared" si="339"/>
        <v>0</v>
      </c>
      <c r="J171" s="119">
        <f t="shared" si="340"/>
        <v>0</v>
      </c>
      <c r="K171" s="194">
        <f t="shared" si="341"/>
        <v>0</v>
      </c>
      <c r="L171" s="117">
        <f t="shared" si="342"/>
        <v>0</v>
      </c>
      <c r="M171" s="118">
        <f t="shared" si="343"/>
        <v>0</v>
      </c>
      <c r="N171" s="116">
        <f t="shared" si="344"/>
        <v>0</v>
      </c>
      <c r="O171" s="117">
        <f t="shared" si="345"/>
        <v>0</v>
      </c>
      <c r="P171" s="119">
        <f t="shared" si="346"/>
        <v>0</v>
      </c>
      <c r="Q171" s="194">
        <f t="shared" si="347"/>
        <v>0</v>
      </c>
      <c r="R171" s="117">
        <f t="shared" si="348"/>
        <v>0</v>
      </c>
      <c r="S171" s="118">
        <f t="shared" si="349"/>
        <v>0</v>
      </c>
      <c r="T171" s="116">
        <f t="shared" si="350"/>
        <v>0</v>
      </c>
      <c r="U171" s="117">
        <f t="shared" si="351"/>
        <v>0</v>
      </c>
      <c r="V171" s="119">
        <f t="shared" si="352"/>
        <v>0</v>
      </c>
      <c r="W171" s="194">
        <f t="shared" si="353"/>
        <v>0</v>
      </c>
      <c r="X171" s="117">
        <f t="shared" si="354"/>
        <v>0</v>
      </c>
      <c r="Y171" s="118">
        <f t="shared" si="355"/>
        <v>0</v>
      </c>
      <c r="Z171" s="116">
        <f t="shared" si="356"/>
        <v>0</v>
      </c>
      <c r="AA171" s="117">
        <f t="shared" si="357"/>
        <v>0</v>
      </c>
      <c r="AB171" s="119">
        <f t="shared" si="358"/>
        <v>0</v>
      </c>
      <c r="AC171" s="194">
        <f t="shared" si="359"/>
        <v>0</v>
      </c>
      <c r="AD171" s="117">
        <f t="shared" si="360"/>
        <v>0</v>
      </c>
      <c r="AE171" s="118">
        <f t="shared" si="361"/>
        <v>0</v>
      </c>
      <c r="AF171" s="116">
        <f t="shared" si="362"/>
        <v>0</v>
      </c>
      <c r="AG171" s="117">
        <f t="shared" si="363"/>
        <v>0</v>
      </c>
      <c r="AH171" s="119">
        <f t="shared" si="364"/>
        <v>0</v>
      </c>
      <c r="AI171" s="194">
        <f t="shared" si="365"/>
        <v>0</v>
      </c>
      <c r="AJ171" s="117">
        <f t="shared" si="366"/>
        <v>0</v>
      </c>
      <c r="AK171" s="118">
        <f t="shared" si="367"/>
        <v>0</v>
      </c>
      <c r="AL171" s="116">
        <f t="shared" si="368"/>
        <v>0</v>
      </c>
      <c r="AM171" s="117">
        <f t="shared" si="369"/>
        <v>0</v>
      </c>
      <c r="AN171" s="119">
        <f t="shared" si="370"/>
        <v>0</v>
      </c>
      <c r="AO171" s="194">
        <f t="shared" si="371"/>
        <v>0</v>
      </c>
      <c r="AP171" s="117">
        <f t="shared" si="372"/>
        <v>0</v>
      </c>
      <c r="AQ171" s="118">
        <f t="shared" si="373"/>
        <v>0</v>
      </c>
      <c r="AR171" s="116">
        <f t="shared" si="374"/>
        <v>0</v>
      </c>
      <c r="AS171" s="117">
        <f t="shared" si="375"/>
        <v>0</v>
      </c>
      <c r="AT171" s="119">
        <f t="shared" si="376"/>
        <v>0</v>
      </c>
      <c r="AU171" s="194">
        <f t="shared" si="377"/>
        <v>0</v>
      </c>
      <c r="AV171" s="117">
        <f t="shared" si="378"/>
        <v>0</v>
      </c>
      <c r="AW171" s="118">
        <f t="shared" si="379"/>
        <v>0</v>
      </c>
      <c r="AX171" s="116">
        <f t="shared" si="380"/>
        <v>0</v>
      </c>
      <c r="AY171" s="117">
        <f t="shared" si="381"/>
        <v>0</v>
      </c>
      <c r="AZ171" s="119">
        <f t="shared" si="382"/>
        <v>0</v>
      </c>
      <c r="BA171" s="194">
        <f t="shared" si="383"/>
        <v>0</v>
      </c>
      <c r="BB171" s="117">
        <f t="shared" si="384"/>
        <v>0</v>
      </c>
      <c r="BC171" s="118">
        <f t="shared" si="385"/>
        <v>0</v>
      </c>
      <c r="BD171" s="116">
        <f t="shared" si="386"/>
        <v>0</v>
      </c>
      <c r="BE171" s="117">
        <f t="shared" si="387"/>
        <v>0</v>
      </c>
      <c r="BF171" s="119">
        <f t="shared" si="388"/>
        <v>0</v>
      </c>
      <c r="BG171" s="194">
        <f t="shared" si="389"/>
        <v>0</v>
      </c>
      <c r="BH171" s="117">
        <f t="shared" si="390"/>
        <v>0</v>
      </c>
      <c r="BI171" s="118">
        <f t="shared" si="391"/>
        <v>0</v>
      </c>
      <c r="BJ171" s="116">
        <f t="shared" si="392"/>
        <v>0</v>
      </c>
      <c r="BK171" s="117">
        <f t="shared" si="393"/>
        <v>0</v>
      </c>
      <c r="BL171" s="119">
        <f t="shared" si="394"/>
        <v>0</v>
      </c>
      <c r="BM171" s="194">
        <f t="shared" si="395"/>
        <v>0</v>
      </c>
      <c r="BN171" s="117">
        <f t="shared" si="396"/>
        <v>0</v>
      </c>
      <c r="BO171" s="118">
        <f t="shared" si="397"/>
        <v>0</v>
      </c>
      <c r="BP171" s="116">
        <f t="shared" si="398"/>
        <v>0</v>
      </c>
      <c r="BQ171" s="117">
        <f t="shared" si="399"/>
        <v>0</v>
      </c>
      <c r="BR171" s="119">
        <f t="shared" si="440"/>
        <v>0</v>
      </c>
      <c r="BS171" s="194">
        <f t="shared" si="400"/>
        <v>0</v>
      </c>
      <c r="BT171" s="117">
        <f t="shared" si="401"/>
        <v>0</v>
      </c>
      <c r="BU171" s="118">
        <f t="shared" si="402"/>
        <v>0</v>
      </c>
      <c r="BV171" s="116">
        <f t="shared" si="403"/>
        <v>0</v>
      </c>
      <c r="BW171" s="117">
        <f t="shared" si="404"/>
        <v>0</v>
      </c>
      <c r="BX171" s="119">
        <f t="shared" si="405"/>
        <v>0</v>
      </c>
      <c r="BY171" s="194">
        <f t="shared" si="406"/>
        <v>0</v>
      </c>
      <c r="BZ171" s="117">
        <f t="shared" si="407"/>
        <v>0</v>
      </c>
      <c r="CA171" s="118">
        <f t="shared" si="408"/>
        <v>0</v>
      </c>
      <c r="CB171" s="116">
        <f t="shared" si="409"/>
        <v>0</v>
      </c>
      <c r="CC171" s="117">
        <f t="shared" si="410"/>
        <v>0</v>
      </c>
      <c r="CD171" s="119">
        <f t="shared" si="411"/>
        <v>0</v>
      </c>
      <c r="CE171" s="194">
        <f t="shared" si="412"/>
        <v>0</v>
      </c>
      <c r="CF171" s="117">
        <f t="shared" si="413"/>
        <v>0</v>
      </c>
      <c r="CG171" s="118">
        <f t="shared" si="414"/>
        <v>0</v>
      </c>
      <c r="CH171" s="116">
        <f t="shared" si="415"/>
        <v>0</v>
      </c>
      <c r="CI171" s="117">
        <f t="shared" si="416"/>
        <v>0</v>
      </c>
      <c r="CJ171" s="119">
        <f t="shared" si="417"/>
        <v>0</v>
      </c>
      <c r="CK171" s="194">
        <f t="shared" si="418"/>
        <v>0</v>
      </c>
      <c r="CL171" s="194">
        <f t="shared" si="419"/>
        <v>0</v>
      </c>
      <c r="CM171" s="398">
        <f t="shared" si="420"/>
        <v>0</v>
      </c>
      <c r="CN171" s="241">
        <f t="shared" si="421"/>
        <v>0</v>
      </c>
      <c r="CO171" s="43">
        <f t="shared" si="422"/>
        <v>0</v>
      </c>
      <c r="CP171" s="57">
        <f t="shared" si="423"/>
        <v>0</v>
      </c>
      <c r="CQ171" s="194">
        <f t="shared" si="424"/>
        <v>0</v>
      </c>
      <c r="CR171" s="117">
        <f t="shared" si="425"/>
        <v>0</v>
      </c>
      <c r="CS171" s="119">
        <f t="shared" si="426"/>
        <v>0</v>
      </c>
      <c r="CT171" s="194">
        <f t="shared" si="427"/>
        <v>0</v>
      </c>
      <c r="CU171" s="117">
        <f t="shared" si="428"/>
        <v>0</v>
      </c>
      <c r="CV171" s="119">
        <f t="shared" si="429"/>
        <v>0</v>
      </c>
      <c r="CW171" s="194">
        <f t="shared" si="430"/>
        <v>0</v>
      </c>
      <c r="CX171" s="117">
        <f t="shared" si="431"/>
        <v>0</v>
      </c>
      <c r="CY171" s="119">
        <f t="shared" si="432"/>
        <v>0</v>
      </c>
      <c r="CZ171" s="194">
        <f t="shared" si="433"/>
        <v>0</v>
      </c>
      <c r="DA171" s="117">
        <f t="shared" si="434"/>
        <v>0</v>
      </c>
      <c r="DB171" s="119">
        <f t="shared" si="435"/>
        <v>0</v>
      </c>
      <c r="DC171" s="399">
        <f t="shared" si="436"/>
        <v>0</v>
      </c>
      <c r="DD171" s="75">
        <f t="shared" si="437"/>
        <v>0</v>
      </c>
      <c r="DE171" s="75">
        <f t="shared" si="438"/>
        <v>0</v>
      </c>
      <c r="DF171" s="147">
        <f t="shared" si="439"/>
        <v>0</v>
      </c>
    </row>
    <row r="172" spans="1:110">
      <c r="A172" s="365">
        <v>22</v>
      </c>
      <c r="B172" s="116">
        <f t="shared" si="332"/>
        <v>0</v>
      </c>
      <c r="C172" s="117">
        <f t="shared" si="333"/>
        <v>0</v>
      </c>
      <c r="D172" s="119">
        <f t="shared" si="334"/>
        <v>0</v>
      </c>
      <c r="E172" s="194">
        <f t="shared" si="335"/>
        <v>0</v>
      </c>
      <c r="F172" s="117">
        <f t="shared" si="336"/>
        <v>0</v>
      </c>
      <c r="G172" s="118">
        <f t="shared" si="337"/>
        <v>0</v>
      </c>
      <c r="H172" s="116">
        <f t="shared" si="338"/>
        <v>0</v>
      </c>
      <c r="I172" s="117">
        <f t="shared" si="339"/>
        <v>0</v>
      </c>
      <c r="J172" s="119">
        <f t="shared" si="340"/>
        <v>0</v>
      </c>
      <c r="K172" s="194">
        <f t="shared" si="341"/>
        <v>0</v>
      </c>
      <c r="L172" s="117">
        <f t="shared" si="342"/>
        <v>0</v>
      </c>
      <c r="M172" s="118">
        <f t="shared" si="343"/>
        <v>0</v>
      </c>
      <c r="N172" s="116">
        <f t="shared" si="344"/>
        <v>0</v>
      </c>
      <c r="O172" s="117">
        <f t="shared" si="345"/>
        <v>0</v>
      </c>
      <c r="P172" s="119">
        <f t="shared" si="346"/>
        <v>0</v>
      </c>
      <c r="Q172" s="194">
        <f t="shared" si="347"/>
        <v>0</v>
      </c>
      <c r="R172" s="117">
        <f t="shared" si="348"/>
        <v>0</v>
      </c>
      <c r="S172" s="118">
        <f t="shared" si="349"/>
        <v>0</v>
      </c>
      <c r="T172" s="116">
        <f t="shared" si="350"/>
        <v>0</v>
      </c>
      <c r="U172" s="117">
        <f t="shared" si="351"/>
        <v>0</v>
      </c>
      <c r="V172" s="119">
        <f t="shared" si="352"/>
        <v>0</v>
      </c>
      <c r="W172" s="194">
        <f t="shared" si="353"/>
        <v>0</v>
      </c>
      <c r="X172" s="117">
        <f t="shared" si="354"/>
        <v>0</v>
      </c>
      <c r="Y172" s="118">
        <f t="shared" si="355"/>
        <v>0</v>
      </c>
      <c r="Z172" s="116">
        <f t="shared" si="356"/>
        <v>0</v>
      </c>
      <c r="AA172" s="117">
        <f t="shared" si="357"/>
        <v>0</v>
      </c>
      <c r="AB172" s="119">
        <f t="shared" si="358"/>
        <v>0</v>
      </c>
      <c r="AC172" s="194">
        <f t="shared" si="359"/>
        <v>0</v>
      </c>
      <c r="AD172" s="117">
        <f t="shared" si="360"/>
        <v>0</v>
      </c>
      <c r="AE172" s="118">
        <f t="shared" si="361"/>
        <v>0</v>
      </c>
      <c r="AF172" s="116">
        <f t="shared" si="362"/>
        <v>0</v>
      </c>
      <c r="AG172" s="117">
        <f t="shared" si="363"/>
        <v>0</v>
      </c>
      <c r="AH172" s="119">
        <f t="shared" si="364"/>
        <v>0</v>
      </c>
      <c r="AI172" s="194">
        <f t="shared" si="365"/>
        <v>0</v>
      </c>
      <c r="AJ172" s="117">
        <f t="shared" si="366"/>
        <v>0</v>
      </c>
      <c r="AK172" s="118">
        <f t="shared" si="367"/>
        <v>0</v>
      </c>
      <c r="AL172" s="116">
        <f t="shared" si="368"/>
        <v>0</v>
      </c>
      <c r="AM172" s="117">
        <f t="shared" si="369"/>
        <v>0</v>
      </c>
      <c r="AN172" s="119">
        <f t="shared" si="370"/>
        <v>0</v>
      </c>
      <c r="AO172" s="194">
        <f t="shared" si="371"/>
        <v>0</v>
      </c>
      <c r="AP172" s="117">
        <f t="shared" si="372"/>
        <v>0</v>
      </c>
      <c r="AQ172" s="118">
        <f t="shared" si="373"/>
        <v>0</v>
      </c>
      <c r="AR172" s="116">
        <f t="shared" si="374"/>
        <v>0</v>
      </c>
      <c r="AS172" s="117">
        <f t="shared" si="375"/>
        <v>0</v>
      </c>
      <c r="AT172" s="119">
        <f t="shared" si="376"/>
        <v>0</v>
      </c>
      <c r="AU172" s="194">
        <f t="shared" si="377"/>
        <v>0</v>
      </c>
      <c r="AV172" s="117">
        <f t="shared" si="378"/>
        <v>0</v>
      </c>
      <c r="AW172" s="118">
        <f t="shared" si="379"/>
        <v>0</v>
      </c>
      <c r="AX172" s="116">
        <f t="shared" si="380"/>
        <v>0</v>
      </c>
      <c r="AY172" s="117">
        <f t="shared" si="381"/>
        <v>0</v>
      </c>
      <c r="AZ172" s="119">
        <f t="shared" si="382"/>
        <v>0</v>
      </c>
      <c r="BA172" s="194">
        <f t="shared" si="383"/>
        <v>0</v>
      </c>
      <c r="BB172" s="117">
        <f t="shared" si="384"/>
        <v>0</v>
      </c>
      <c r="BC172" s="118">
        <f t="shared" si="385"/>
        <v>0</v>
      </c>
      <c r="BD172" s="116">
        <f t="shared" si="386"/>
        <v>0</v>
      </c>
      <c r="BE172" s="117">
        <f t="shared" si="387"/>
        <v>0</v>
      </c>
      <c r="BF172" s="119">
        <f t="shared" si="388"/>
        <v>0</v>
      </c>
      <c r="BG172" s="194">
        <f t="shared" si="389"/>
        <v>0</v>
      </c>
      <c r="BH172" s="117">
        <f t="shared" si="390"/>
        <v>0</v>
      </c>
      <c r="BI172" s="118">
        <f t="shared" si="391"/>
        <v>0</v>
      </c>
      <c r="BJ172" s="116">
        <f t="shared" si="392"/>
        <v>0</v>
      </c>
      <c r="BK172" s="117">
        <f t="shared" si="393"/>
        <v>0</v>
      </c>
      <c r="BL172" s="119">
        <f t="shared" si="394"/>
        <v>0</v>
      </c>
      <c r="BM172" s="194">
        <f t="shared" si="395"/>
        <v>0</v>
      </c>
      <c r="BN172" s="117">
        <f t="shared" si="396"/>
        <v>0</v>
      </c>
      <c r="BO172" s="118">
        <f t="shared" si="397"/>
        <v>0</v>
      </c>
      <c r="BP172" s="116">
        <f t="shared" si="398"/>
        <v>0</v>
      </c>
      <c r="BQ172" s="117">
        <f t="shared" si="399"/>
        <v>0</v>
      </c>
      <c r="BR172" s="119">
        <f t="shared" si="440"/>
        <v>0</v>
      </c>
      <c r="BS172" s="194">
        <f t="shared" si="400"/>
        <v>0</v>
      </c>
      <c r="BT172" s="117">
        <f t="shared" si="401"/>
        <v>0</v>
      </c>
      <c r="BU172" s="118">
        <f t="shared" si="402"/>
        <v>0</v>
      </c>
      <c r="BV172" s="116">
        <f t="shared" si="403"/>
        <v>0</v>
      </c>
      <c r="BW172" s="117">
        <f t="shared" si="404"/>
        <v>0</v>
      </c>
      <c r="BX172" s="119">
        <f t="shared" si="405"/>
        <v>0</v>
      </c>
      <c r="BY172" s="194">
        <f t="shared" si="406"/>
        <v>0</v>
      </c>
      <c r="BZ172" s="117">
        <f t="shared" si="407"/>
        <v>0</v>
      </c>
      <c r="CA172" s="118">
        <f t="shared" si="408"/>
        <v>0</v>
      </c>
      <c r="CB172" s="116">
        <f t="shared" si="409"/>
        <v>0</v>
      </c>
      <c r="CC172" s="117">
        <f t="shared" si="410"/>
        <v>0</v>
      </c>
      <c r="CD172" s="119">
        <f t="shared" si="411"/>
        <v>0</v>
      </c>
      <c r="CE172" s="194">
        <f t="shared" si="412"/>
        <v>0</v>
      </c>
      <c r="CF172" s="117">
        <f t="shared" si="413"/>
        <v>0</v>
      </c>
      <c r="CG172" s="118">
        <f t="shared" si="414"/>
        <v>0</v>
      </c>
      <c r="CH172" s="116">
        <f t="shared" si="415"/>
        <v>0</v>
      </c>
      <c r="CI172" s="117">
        <f t="shared" si="416"/>
        <v>0</v>
      </c>
      <c r="CJ172" s="119">
        <f t="shared" si="417"/>
        <v>0</v>
      </c>
      <c r="CK172" s="194">
        <f t="shared" si="418"/>
        <v>0</v>
      </c>
      <c r="CL172" s="194">
        <f t="shared" si="419"/>
        <v>0</v>
      </c>
      <c r="CM172" s="398">
        <f t="shared" si="420"/>
        <v>0</v>
      </c>
      <c r="CN172" s="241">
        <f t="shared" si="421"/>
        <v>0</v>
      </c>
      <c r="CO172" s="43">
        <f t="shared" si="422"/>
        <v>0</v>
      </c>
      <c r="CP172" s="57">
        <f t="shared" si="423"/>
        <v>0</v>
      </c>
      <c r="CQ172" s="194">
        <f t="shared" si="424"/>
        <v>0</v>
      </c>
      <c r="CR172" s="117">
        <f t="shared" si="425"/>
        <v>0</v>
      </c>
      <c r="CS172" s="119">
        <f t="shared" si="426"/>
        <v>0</v>
      </c>
      <c r="CT172" s="194">
        <f t="shared" si="427"/>
        <v>0</v>
      </c>
      <c r="CU172" s="117">
        <f t="shared" si="428"/>
        <v>0</v>
      </c>
      <c r="CV172" s="119">
        <f t="shared" si="429"/>
        <v>0</v>
      </c>
      <c r="CW172" s="194">
        <f t="shared" si="430"/>
        <v>0</v>
      </c>
      <c r="CX172" s="117">
        <f t="shared" si="431"/>
        <v>0</v>
      </c>
      <c r="CY172" s="119">
        <f t="shared" si="432"/>
        <v>0</v>
      </c>
      <c r="CZ172" s="194">
        <f t="shared" si="433"/>
        <v>0</v>
      </c>
      <c r="DA172" s="117">
        <f t="shared" si="434"/>
        <v>0</v>
      </c>
      <c r="DB172" s="119">
        <f t="shared" si="435"/>
        <v>0</v>
      </c>
      <c r="DC172" s="399">
        <f t="shared" si="436"/>
        <v>0</v>
      </c>
      <c r="DD172" s="75">
        <f t="shared" si="437"/>
        <v>0</v>
      </c>
      <c r="DE172" s="75">
        <f t="shared" si="438"/>
        <v>0</v>
      </c>
      <c r="DF172" s="147">
        <f t="shared" si="439"/>
        <v>0</v>
      </c>
    </row>
    <row r="173" spans="1:110">
      <c r="A173" s="240">
        <v>23</v>
      </c>
      <c r="B173" s="116">
        <f t="shared" si="332"/>
        <v>0</v>
      </c>
      <c r="C173" s="117">
        <f t="shared" si="333"/>
        <v>0</v>
      </c>
      <c r="D173" s="119">
        <f t="shared" si="334"/>
        <v>0</v>
      </c>
      <c r="E173" s="194">
        <f t="shared" si="335"/>
        <v>0</v>
      </c>
      <c r="F173" s="117">
        <f t="shared" si="336"/>
        <v>0</v>
      </c>
      <c r="G173" s="118">
        <f t="shared" si="337"/>
        <v>0</v>
      </c>
      <c r="H173" s="116">
        <f t="shared" si="338"/>
        <v>0</v>
      </c>
      <c r="I173" s="117">
        <f t="shared" si="339"/>
        <v>0</v>
      </c>
      <c r="J173" s="119">
        <f t="shared" si="340"/>
        <v>0</v>
      </c>
      <c r="K173" s="194">
        <f t="shared" si="341"/>
        <v>0</v>
      </c>
      <c r="L173" s="117">
        <f t="shared" si="342"/>
        <v>0</v>
      </c>
      <c r="M173" s="118">
        <f t="shared" si="343"/>
        <v>0</v>
      </c>
      <c r="N173" s="116">
        <f t="shared" si="344"/>
        <v>0</v>
      </c>
      <c r="O173" s="117">
        <f t="shared" si="345"/>
        <v>0</v>
      </c>
      <c r="P173" s="119">
        <f t="shared" si="346"/>
        <v>0</v>
      </c>
      <c r="Q173" s="194">
        <f t="shared" si="347"/>
        <v>0</v>
      </c>
      <c r="R173" s="117">
        <f t="shared" si="348"/>
        <v>0</v>
      </c>
      <c r="S173" s="118">
        <f t="shared" si="349"/>
        <v>0</v>
      </c>
      <c r="T173" s="116">
        <f t="shared" si="350"/>
        <v>0</v>
      </c>
      <c r="U173" s="117">
        <f t="shared" si="351"/>
        <v>0</v>
      </c>
      <c r="V173" s="119">
        <f t="shared" si="352"/>
        <v>0</v>
      </c>
      <c r="W173" s="194">
        <f t="shared" si="353"/>
        <v>0</v>
      </c>
      <c r="X173" s="117">
        <f t="shared" si="354"/>
        <v>0</v>
      </c>
      <c r="Y173" s="118">
        <f t="shared" si="355"/>
        <v>0</v>
      </c>
      <c r="Z173" s="116">
        <f t="shared" si="356"/>
        <v>0</v>
      </c>
      <c r="AA173" s="117">
        <f t="shared" si="357"/>
        <v>0</v>
      </c>
      <c r="AB173" s="119">
        <f t="shared" si="358"/>
        <v>0</v>
      </c>
      <c r="AC173" s="194">
        <f t="shared" si="359"/>
        <v>0</v>
      </c>
      <c r="AD173" s="117">
        <f t="shared" si="360"/>
        <v>0</v>
      </c>
      <c r="AE173" s="118">
        <f t="shared" si="361"/>
        <v>0</v>
      </c>
      <c r="AF173" s="116">
        <f t="shared" si="362"/>
        <v>0</v>
      </c>
      <c r="AG173" s="117">
        <f t="shared" si="363"/>
        <v>0</v>
      </c>
      <c r="AH173" s="119">
        <f t="shared" si="364"/>
        <v>0</v>
      </c>
      <c r="AI173" s="194">
        <f t="shared" si="365"/>
        <v>0</v>
      </c>
      <c r="AJ173" s="117">
        <f t="shared" si="366"/>
        <v>0</v>
      </c>
      <c r="AK173" s="118">
        <f t="shared" si="367"/>
        <v>0</v>
      </c>
      <c r="AL173" s="116">
        <f t="shared" si="368"/>
        <v>0</v>
      </c>
      <c r="AM173" s="117">
        <f t="shared" si="369"/>
        <v>0</v>
      </c>
      <c r="AN173" s="119">
        <f t="shared" si="370"/>
        <v>0</v>
      </c>
      <c r="AO173" s="194">
        <f t="shared" si="371"/>
        <v>0</v>
      </c>
      <c r="AP173" s="117">
        <f t="shared" si="372"/>
        <v>0</v>
      </c>
      <c r="AQ173" s="118">
        <f t="shared" si="373"/>
        <v>0</v>
      </c>
      <c r="AR173" s="116">
        <f t="shared" si="374"/>
        <v>0</v>
      </c>
      <c r="AS173" s="117">
        <f t="shared" si="375"/>
        <v>0</v>
      </c>
      <c r="AT173" s="119">
        <f t="shared" si="376"/>
        <v>0</v>
      </c>
      <c r="AU173" s="194">
        <f t="shared" si="377"/>
        <v>0</v>
      </c>
      <c r="AV173" s="117">
        <f t="shared" si="378"/>
        <v>0</v>
      </c>
      <c r="AW173" s="118">
        <f t="shared" si="379"/>
        <v>0</v>
      </c>
      <c r="AX173" s="116">
        <f t="shared" si="380"/>
        <v>0</v>
      </c>
      <c r="AY173" s="117">
        <f t="shared" si="381"/>
        <v>0</v>
      </c>
      <c r="AZ173" s="119">
        <f t="shared" si="382"/>
        <v>0</v>
      </c>
      <c r="BA173" s="194">
        <f t="shared" si="383"/>
        <v>0</v>
      </c>
      <c r="BB173" s="117">
        <f t="shared" si="384"/>
        <v>0</v>
      </c>
      <c r="BC173" s="118">
        <f t="shared" si="385"/>
        <v>0</v>
      </c>
      <c r="BD173" s="116">
        <f t="shared" si="386"/>
        <v>0</v>
      </c>
      <c r="BE173" s="117">
        <f t="shared" si="387"/>
        <v>0</v>
      </c>
      <c r="BF173" s="119">
        <f t="shared" si="388"/>
        <v>0</v>
      </c>
      <c r="BG173" s="194">
        <f t="shared" si="389"/>
        <v>0</v>
      </c>
      <c r="BH173" s="117">
        <f t="shared" si="390"/>
        <v>0</v>
      </c>
      <c r="BI173" s="118">
        <f t="shared" si="391"/>
        <v>0</v>
      </c>
      <c r="BJ173" s="116">
        <f t="shared" si="392"/>
        <v>0</v>
      </c>
      <c r="BK173" s="117">
        <f t="shared" si="393"/>
        <v>0</v>
      </c>
      <c r="BL173" s="119">
        <f t="shared" si="394"/>
        <v>0</v>
      </c>
      <c r="BM173" s="194">
        <f t="shared" si="395"/>
        <v>0</v>
      </c>
      <c r="BN173" s="117">
        <f t="shared" si="396"/>
        <v>0</v>
      </c>
      <c r="BO173" s="118">
        <f t="shared" si="397"/>
        <v>0</v>
      </c>
      <c r="BP173" s="116">
        <f t="shared" si="398"/>
        <v>0</v>
      </c>
      <c r="BQ173" s="117">
        <f t="shared" si="399"/>
        <v>0</v>
      </c>
      <c r="BR173" s="119">
        <f t="shared" si="440"/>
        <v>0</v>
      </c>
      <c r="BS173" s="194">
        <f t="shared" si="400"/>
        <v>0</v>
      </c>
      <c r="BT173" s="117">
        <f t="shared" si="401"/>
        <v>0</v>
      </c>
      <c r="BU173" s="118">
        <f t="shared" si="402"/>
        <v>0</v>
      </c>
      <c r="BV173" s="116">
        <f t="shared" si="403"/>
        <v>0</v>
      </c>
      <c r="BW173" s="117">
        <f t="shared" si="404"/>
        <v>0</v>
      </c>
      <c r="BX173" s="119">
        <f t="shared" si="405"/>
        <v>0</v>
      </c>
      <c r="BY173" s="194">
        <f t="shared" si="406"/>
        <v>0</v>
      </c>
      <c r="BZ173" s="117">
        <f t="shared" si="407"/>
        <v>0</v>
      </c>
      <c r="CA173" s="118">
        <f t="shared" si="408"/>
        <v>0</v>
      </c>
      <c r="CB173" s="116">
        <f t="shared" si="409"/>
        <v>0</v>
      </c>
      <c r="CC173" s="117">
        <f t="shared" si="410"/>
        <v>0</v>
      </c>
      <c r="CD173" s="119">
        <f t="shared" si="411"/>
        <v>0</v>
      </c>
      <c r="CE173" s="194">
        <f t="shared" si="412"/>
        <v>0</v>
      </c>
      <c r="CF173" s="117">
        <f t="shared" si="413"/>
        <v>0</v>
      </c>
      <c r="CG173" s="118">
        <f t="shared" si="414"/>
        <v>0</v>
      </c>
      <c r="CH173" s="116">
        <f t="shared" si="415"/>
        <v>0</v>
      </c>
      <c r="CI173" s="117">
        <f t="shared" si="416"/>
        <v>0</v>
      </c>
      <c r="CJ173" s="119">
        <f t="shared" si="417"/>
        <v>0</v>
      </c>
      <c r="CK173" s="194">
        <f t="shared" si="418"/>
        <v>0</v>
      </c>
      <c r="CL173" s="194">
        <f t="shared" si="419"/>
        <v>0</v>
      </c>
      <c r="CM173" s="398">
        <f t="shared" si="420"/>
        <v>0</v>
      </c>
      <c r="CN173" s="241">
        <f t="shared" si="421"/>
        <v>0</v>
      </c>
      <c r="CO173" s="43">
        <f t="shared" si="422"/>
        <v>0</v>
      </c>
      <c r="CP173" s="57">
        <f t="shared" si="423"/>
        <v>0</v>
      </c>
      <c r="CQ173" s="194">
        <f t="shared" si="424"/>
        <v>0</v>
      </c>
      <c r="CR173" s="117">
        <f t="shared" si="425"/>
        <v>0</v>
      </c>
      <c r="CS173" s="119">
        <f t="shared" si="426"/>
        <v>0</v>
      </c>
      <c r="CT173" s="194">
        <f t="shared" si="427"/>
        <v>0</v>
      </c>
      <c r="CU173" s="117">
        <f t="shared" si="428"/>
        <v>0</v>
      </c>
      <c r="CV173" s="119">
        <f t="shared" si="429"/>
        <v>0</v>
      </c>
      <c r="CW173" s="194">
        <f t="shared" si="430"/>
        <v>0</v>
      </c>
      <c r="CX173" s="117">
        <f t="shared" si="431"/>
        <v>0</v>
      </c>
      <c r="CY173" s="119">
        <f t="shared" si="432"/>
        <v>0</v>
      </c>
      <c r="CZ173" s="194">
        <f t="shared" si="433"/>
        <v>0</v>
      </c>
      <c r="DA173" s="117">
        <f t="shared" si="434"/>
        <v>0</v>
      </c>
      <c r="DB173" s="119">
        <f t="shared" si="435"/>
        <v>0</v>
      </c>
      <c r="DC173" s="399">
        <f t="shared" si="436"/>
        <v>0</v>
      </c>
      <c r="DD173" s="75">
        <f t="shared" si="437"/>
        <v>0</v>
      </c>
      <c r="DE173" s="75">
        <f t="shared" si="438"/>
        <v>0</v>
      </c>
      <c r="DF173" s="147">
        <f t="shared" si="439"/>
        <v>0</v>
      </c>
    </row>
    <row r="174" spans="1:110">
      <c r="A174" s="240">
        <v>24</v>
      </c>
      <c r="B174" s="116">
        <f t="shared" si="332"/>
        <v>0</v>
      </c>
      <c r="C174" s="117">
        <f t="shared" si="333"/>
        <v>0</v>
      </c>
      <c r="D174" s="119">
        <f t="shared" si="334"/>
        <v>0</v>
      </c>
      <c r="E174" s="194">
        <f t="shared" si="335"/>
        <v>0</v>
      </c>
      <c r="F174" s="117">
        <f t="shared" si="336"/>
        <v>0</v>
      </c>
      <c r="G174" s="118">
        <f t="shared" si="337"/>
        <v>0</v>
      </c>
      <c r="H174" s="116">
        <f t="shared" si="338"/>
        <v>0</v>
      </c>
      <c r="I174" s="117">
        <f t="shared" si="339"/>
        <v>0</v>
      </c>
      <c r="J174" s="119">
        <f t="shared" si="340"/>
        <v>0</v>
      </c>
      <c r="K174" s="194">
        <f t="shared" si="341"/>
        <v>0</v>
      </c>
      <c r="L174" s="117">
        <f t="shared" si="342"/>
        <v>0</v>
      </c>
      <c r="M174" s="118">
        <f t="shared" si="343"/>
        <v>0</v>
      </c>
      <c r="N174" s="116">
        <f t="shared" si="344"/>
        <v>0</v>
      </c>
      <c r="O174" s="117">
        <f t="shared" si="345"/>
        <v>0</v>
      </c>
      <c r="P174" s="119">
        <f t="shared" si="346"/>
        <v>0</v>
      </c>
      <c r="Q174" s="194">
        <f t="shared" si="347"/>
        <v>0</v>
      </c>
      <c r="R174" s="117">
        <f t="shared" si="348"/>
        <v>0</v>
      </c>
      <c r="S174" s="118">
        <f t="shared" si="349"/>
        <v>0</v>
      </c>
      <c r="T174" s="116">
        <f t="shared" si="350"/>
        <v>0</v>
      </c>
      <c r="U174" s="117">
        <f t="shared" si="351"/>
        <v>0</v>
      </c>
      <c r="V174" s="119">
        <f t="shared" si="352"/>
        <v>0</v>
      </c>
      <c r="W174" s="194">
        <f t="shared" si="353"/>
        <v>0</v>
      </c>
      <c r="X174" s="117">
        <f t="shared" si="354"/>
        <v>0</v>
      </c>
      <c r="Y174" s="118">
        <f t="shared" si="355"/>
        <v>0</v>
      </c>
      <c r="Z174" s="116">
        <f t="shared" si="356"/>
        <v>0</v>
      </c>
      <c r="AA174" s="117">
        <f t="shared" si="357"/>
        <v>0</v>
      </c>
      <c r="AB174" s="119">
        <f t="shared" si="358"/>
        <v>0</v>
      </c>
      <c r="AC174" s="194">
        <f t="shared" si="359"/>
        <v>0</v>
      </c>
      <c r="AD174" s="117">
        <f t="shared" si="360"/>
        <v>0</v>
      </c>
      <c r="AE174" s="118">
        <f t="shared" si="361"/>
        <v>0</v>
      </c>
      <c r="AF174" s="116">
        <f t="shared" si="362"/>
        <v>0</v>
      </c>
      <c r="AG174" s="117">
        <f t="shared" si="363"/>
        <v>0</v>
      </c>
      <c r="AH174" s="119">
        <f t="shared" si="364"/>
        <v>0</v>
      </c>
      <c r="AI174" s="194">
        <f t="shared" si="365"/>
        <v>0</v>
      </c>
      <c r="AJ174" s="117">
        <f t="shared" si="366"/>
        <v>0</v>
      </c>
      <c r="AK174" s="118">
        <f t="shared" si="367"/>
        <v>0</v>
      </c>
      <c r="AL174" s="116">
        <f t="shared" si="368"/>
        <v>0</v>
      </c>
      <c r="AM174" s="117">
        <f t="shared" si="369"/>
        <v>0</v>
      </c>
      <c r="AN174" s="119">
        <f t="shared" si="370"/>
        <v>0</v>
      </c>
      <c r="AO174" s="194">
        <f t="shared" si="371"/>
        <v>0</v>
      </c>
      <c r="AP174" s="117">
        <f t="shared" si="372"/>
        <v>0</v>
      </c>
      <c r="AQ174" s="118">
        <f t="shared" si="373"/>
        <v>0</v>
      </c>
      <c r="AR174" s="116">
        <f t="shared" si="374"/>
        <v>0</v>
      </c>
      <c r="AS174" s="117">
        <f t="shared" si="375"/>
        <v>0</v>
      </c>
      <c r="AT174" s="119">
        <f t="shared" si="376"/>
        <v>0</v>
      </c>
      <c r="AU174" s="194">
        <f t="shared" si="377"/>
        <v>0</v>
      </c>
      <c r="AV174" s="117">
        <f t="shared" si="378"/>
        <v>0</v>
      </c>
      <c r="AW174" s="118">
        <f t="shared" si="379"/>
        <v>0</v>
      </c>
      <c r="AX174" s="116">
        <f t="shared" si="380"/>
        <v>0</v>
      </c>
      <c r="AY174" s="117">
        <f t="shared" si="381"/>
        <v>0</v>
      </c>
      <c r="AZ174" s="119">
        <f t="shared" si="382"/>
        <v>0</v>
      </c>
      <c r="BA174" s="194">
        <f t="shared" si="383"/>
        <v>0</v>
      </c>
      <c r="BB174" s="117">
        <f t="shared" si="384"/>
        <v>0</v>
      </c>
      <c r="BC174" s="118">
        <f t="shared" si="385"/>
        <v>0</v>
      </c>
      <c r="BD174" s="116">
        <f t="shared" si="386"/>
        <v>0</v>
      </c>
      <c r="BE174" s="117">
        <f t="shared" si="387"/>
        <v>0</v>
      </c>
      <c r="BF174" s="119">
        <f t="shared" si="388"/>
        <v>0</v>
      </c>
      <c r="BG174" s="194">
        <f t="shared" si="389"/>
        <v>0</v>
      </c>
      <c r="BH174" s="117">
        <f t="shared" si="390"/>
        <v>0</v>
      </c>
      <c r="BI174" s="118">
        <f t="shared" si="391"/>
        <v>0</v>
      </c>
      <c r="BJ174" s="116">
        <f t="shared" si="392"/>
        <v>0</v>
      </c>
      <c r="BK174" s="117">
        <f t="shared" si="393"/>
        <v>0</v>
      </c>
      <c r="BL174" s="119">
        <f t="shared" si="394"/>
        <v>0</v>
      </c>
      <c r="BM174" s="194">
        <f t="shared" si="395"/>
        <v>0</v>
      </c>
      <c r="BN174" s="117">
        <f t="shared" si="396"/>
        <v>0</v>
      </c>
      <c r="BO174" s="118">
        <f t="shared" si="397"/>
        <v>0</v>
      </c>
      <c r="BP174" s="116">
        <f t="shared" si="398"/>
        <v>0</v>
      </c>
      <c r="BQ174" s="117">
        <f t="shared" si="399"/>
        <v>0</v>
      </c>
      <c r="BR174" s="119">
        <f t="shared" si="440"/>
        <v>0</v>
      </c>
      <c r="BS174" s="194">
        <f t="shared" si="400"/>
        <v>0</v>
      </c>
      <c r="BT174" s="117">
        <f t="shared" si="401"/>
        <v>0</v>
      </c>
      <c r="BU174" s="118">
        <f t="shared" si="402"/>
        <v>0</v>
      </c>
      <c r="BV174" s="116">
        <f t="shared" si="403"/>
        <v>0</v>
      </c>
      <c r="BW174" s="117">
        <f t="shared" si="404"/>
        <v>0</v>
      </c>
      <c r="BX174" s="119">
        <f t="shared" si="405"/>
        <v>0</v>
      </c>
      <c r="BY174" s="194">
        <f t="shared" si="406"/>
        <v>0</v>
      </c>
      <c r="BZ174" s="117">
        <f t="shared" si="407"/>
        <v>0</v>
      </c>
      <c r="CA174" s="118">
        <f t="shared" si="408"/>
        <v>0</v>
      </c>
      <c r="CB174" s="116">
        <f t="shared" si="409"/>
        <v>0</v>
      </c>
      <c r="CC174" s="117">
        <f t="shared" si="410"/>
        <v>0</v>
      </c>
      <c r="CD174" s="119">
        <f t="shared" si="411"/>
        <v>0</v>
      </c>
      <c r="CE174" s="194">
        <f t="shared" si="412"/>
        <v>0</v>
      </c>
      <c r="CF174" s="117">
        <f t="shared" si="413"/>
        <v>0</v>
      </c>
      <c r="CG174" s="118">
        <f t="shared" si="414"/>
        <v>0</v>
      </c>
      <c r="CH174" s="116">
        <f t="shared" si="415"/>
        <v>0</v>
      </c>
      <c r="CI174" s="117">
        <f t="shared" si="416"/>
        <v>0</v>
      </c>
      <c r="CJ174" s="119">
        <f t="shared" si="417"/>
        <v>0</v>
      </c>
      <c r="CK174" s="194">
        <f t="shared" si="418"/>
        <v>0</v>
      </c>
      <c r="CL174" s="194">
        <f t="shared" si="419"/>
        <v>0</v>
      </c>
      <c r="CM174" s="398">
        <f t="shared" si="420"/>
        <v>0</v>
      </c>
      <c r="CN174" s="241">
        <f t="shared" si="421"/>
        <v>0</v>
      </c>
      <c r="CO174" s="43">
        <f t="shared" si="422"/>
        <v>0</v>
      </c>
      <c r="CP174" s="57">
        <f t="shared" si="423"/>
        <v>0</v>
      </c>
      <c r="CQ174" s="194">
        <f t="shared" si="424"/>
        <v>0</v>
      </c>
      <c r="CR174" s="117">
        <f t="shared" si="425"/>
        <v>0</v>
      </c>
      <c r="CS174" s="119">
        <f t="shared" si="426"/>
        <v>0</v>
      </c>
      <c r="CT174" s="194">
        <f t="shared" si="427"/>
        <v>0</v>
      </c>
      <c r="CU174" s="117">
        <f t="shared" si="428"/>
        <v>0</v>
      </c>
      <c r="CV174" s="119">
        <f t="shared" si="429"/>
        <v>0</v>
      </c>
      <c r="CW174" s="194">
        <f t="shared" si="430"/>
        <v>0</v>
      </c>
      <c r="CX174" s="117">
        <f t="shared" si="431"/>
        <v>0</v>
      </c>
      <c r="CY174" s="119">
        <f t="shared" si="432"/>
        <v>0</v>
      </c>
      <c r="CZ174" s="194">
        <f t="shared" si="433"/>
        <v>0</v>
      </c>
      <c r="DA174" s="117">
        <f t="shared" si="434"/>
        <v>0</v>
      </c>
      <c r="DB174" s="119">
        <f t="shared" si="435"/>
        <v>0</v>
      </c>
      <c r="DC174" s="399">
        <f t="shared" si="436"/>
        <v>0</v>
      </c>
      <c r="DD174" s="75">
        <f t="shared" si="437"/>
        <v>0</v>
      </c>
      <c r="DE174" s="75">
        <f t="shared" si="438"/>
        <v>0</v>
      </c>
      <c r="DF174" s="147">
        <f t="shared" si="439"/>
        <v>0</v>
      </c>
    </row>
    <row r="175" spans="1:110">
      <c r="A175" s="365">
        <v>25</v>
      </c>
      <c r="B175" s="116">
        <f t="shared" si="332"/>
        <v>0</v>
      </c>
      <c r="C175" s="117">
        <f t="shared" si="333"/>
        <v>0</v>
      </c>
      <c r="D175" s="119">
        <f t="shared" si="334"/>
        <v>0</v>
      </c>
      <c r="E175" s="194">
        <f t="shared" si="335"/>
        <v>0</v>
      </c>
      <c r="F175" s="117">
        <f t="shared" si="336"/>
        <v>0</v>
      </c>
      <c r="G175" s="118">
        <f t="shared" si="337"/>
        <v>0</v>
      </c>
      <c r="H175" s="116">
        <f t="shared" si="338"/>
        <v>0</v>
      </c>
      <c r="I175" s="117">
        <f t="shared" si="339"/>
        <v>0</v>
      </c>
      <c r="J175" s="119">
        <f t="shared" si="340"/>
        <v>0</v>
      </c>
      <c r="K175" s="194">
        <f t="shared" si="341"/>
        <v>0</v>
      </c>
      <c r="L175" s="117">
        <f t="shared" si="342"/>
        <v>0</v>
      </c>
      <c r="M175" s="118">
        <f t="shared" si="343"/>
        <v>0</v>
      </c>
      <c r="N175" s="116">
        <f t="shared" si="344"/>
        <v>0</v>
      </c>
      <c r="O175" s="117">
        <f t="shared" si="345"/>
        <v>0</v>
      </c>
      <c r="P175" s="119">
        <f t="shared" si="346"/>
        <v>0</v>
      </c>
      <c r="Q175" s="194">
        <f t="shared" si="347"/>
        <v>0</v>
      </c>
      <c r="R175" s="117">
        <f t="shared" si="348"/>
        <v>0</v>
      </c>
      <c r="S175" s="118">
        <f t="shared" si="349"/>
        <v>0</v>
      </c>
      <c r="T175" s="116">
        <f t="shared" si="350"/>
        <v>0</v>
      </c>
      <c r="U175" s="117">
        <f t="shared" si="351"/>
        <v>0</v>
      </c>
      <c r="V175" s="119">
        <f t="shared" si="352"/>
        <v>0</v>
      </c>
      <c r="W175" s="194">
        <f t="shared" si="353"/>
        <v>0</v>
      </c>
      <c r="X175" s="117">
        <f t="shared" si="354"/>
        <v>0</v>
      </c>
      <c r="Y175" s="118">
        <f t="shared" si="355"/>
        <v>0</v>
      </c>
      <c r="Z175" s="116">
        <f t="shared" si="356"/>
        <v>0</v>
      </c>
      <c r="AA175" s="117">
        <f t="shared" si="357"/>
        <v>0</v>
      </c>
      <c r="AB175" s="119">
        <f t="shared" si="358"/>
        <v>0</v>
      </c>
      <c r="AC175" s="194">
        <f t="shared" si="359"/>
        <v>0</v>
      </c>
      <c r="AD175" s="117">
        <f t="shared" si="360"/>
        <v>0</v>
      </c>
      <c r="AE175" s="118">
        <f t="shared" si="361"/>
        <v>0</v>
      </c>
      <c r="AF175" s="116">
        <f t="shared" si="362"/>
        <v>0</v>
      </c>
      <c r="AG175" s="117">
        <f t="shared" si="363"/>
        <v>0</v>
      </c>
      <c r="AH175" s="119">
        <f t="shared" si="364"/>
        <v>0</v>
      </c>
      <c r="AI175" s="194">
        <f t="shared" si="365"/>
        <v>0</v>
      </c>
      <c r="AJ175" s="117">
        <f t="shared" si="366"/>
        <v>0</v>
      </c>
      <c r="AK175" s="118">
        <f t="shared" si="367"/>
        <v>0</v>
      </c>
      <c r="AL175" s="116">
        <f t="shared" si="368"/>
        <v>0</v>
      </c>
      <c r="AM175" s="117">
        <f t="shared" si="369"/>
        <v>0</v>
      </c>
      <c r="AN175" s="119">
        <f t="shared" si="370"/>
        <v>0</v>
      </c>
      <c r="AO175" s="194">
        <f t="shared" si="371"/>
        <v>0</v>
      </c>
      <c r="AP175" s="117">
        <f t="shared" si="372"/>
        <v>0</v>
      </c>
      <c r="AQ175" s="118">
        <f t="shared" si="373"/>
        <v>0</v>
      </c>
      <c r="AR175" s="116">
        <f t="shared" si="374"/>
        <v>0</v>
      </c>
      <c r="AS175" s="117">
        <f t="shared" si="375"/>
        <v>0</v>
      </c>
      <c r="AT175" s="119">
        <f t="shared" si="376"/>
        <v>0</v>
      </c>
      <c r="AU175" s="194">
        <f t="shared" si="377"/>
        <v>0</v>
      </c>
      <c r="AV175" s="117">
        <f t="shared" si="378"/>
        <v>0</v>
      </c>
      <c r="AW175" s="118">
        <f t="shared" si="379"/>
        <v>0</v>
      </c>
      <c r="AX175" s="116">
        <f t="shared" si="380"/>
        <v>0</v>
      </c>
      <c r="AY175" s="117">
        <f t="shared" si="381"/>
        <v>0</v>
      </c>
      <c r="AZ175" s="119">
        <f t="shared" si="382"/>
        <v>0</v>
      </c>
      <c r="BA175" s="194">
        <f t="shared" si="383"/>
        <v>0</v>
      </c>
      <c r="BB175" s="117">
        <f t="shared" si="384"/>
        <v>0</v>
      </c>
      <c r="BC175" s="118">
        <f t="shared" si="385"/>
        <v>0</v>
      </c>
      <c r="BD175" s="116">
        <f t="shared" si="386"/>
        <v>0</v>
      </c>
      <c r="BE175" s="117">
        <f t="shared" si="387"/>
        <v>0</v>
      </c>
      <c r="BF175" s="119">
        <f t="shared" si="388"/>
        <v>0</v>
      </c>
      <c r="BG175" s="194">
        <f t="shared" si="389"/>
        <v>0</v>
      </c>
      <c r="BH175" s="117">
        <f t="shared" si="390"/>
        <v>0</v>
      </c>
      <c r="BI175" s="118">
        <f t="shared" si="391"/>
        <v>0</v>
      </c>
      <c r="BJ175" s="116">
        <f t="shared" si="392"/>
        <v>0</v>
      </c>
      <c r="BK175" s="117">
        <f t="shared" si="393"/>
        <v>0</v>
      </c>
      <c r="BL175" s="119">
        <f t="shared" si="394"/>
        <v>0</v>
      </c>
      <c r="BM175" s="194">
        <f t="shared" si="395"/>
        <v>0</v>
      </c>
      <c r="BN175" s="117">
        <f t="shared" si="396"/>
        <v>0</v>
      </c>
      <c r="BO175" s="118">
        <f t="shared" si="397"/>
        <v>0</v>
      </c>
      <c r="BP175" s="116">
        <f t="shared" si="398"/>
        <v>0</v>
      </c>
      <c r="BQ175" s="117">
        <f t="shared" si="399"/>
        <v>0</v>
      </c>
      <c r="BR175" s="119">
        <f t="shared" si="440"/>
        <v>0</v>
      </c>
      <c r="BS175" s="194">
        <f t="shared" si="400"/>
        <v>0</v>
      </c>
      <c r="BT175" s="117">
        <f t="shared" si="401"/>
        <v>0</v>
      </c>
      <c r="BU175" s="118">
        <f t="shared" si="402"/>
        <v>0</v>
      </c>
      <c r="BV175" s="116">
        <f t="shared" si="403"/>
        <v>0</v>
      </c>
      <c r="BW175" s="117">
        <f t="shared" si="404"/>
        <v>0</v>
      </c>
      <c r="BX175" s="119">
        <f t="shared" si="405"/>
        <v>0</v>
      </c>
      <c r="BY175" s="194">
        <f t="shared" si="406"/>
        <v>0</v>
      </c>
      <c r="BZ175" s="117">
        <f t="shared" si="407"/>
        <v>0</v>
      </c>
      <c r="CA175" s="118">
        <f t="shared" si="408"/>
        <v>0</v>
      </c>
      <c r="CB175" s="116">
        <f t="shared" si="409"/>
        <v>0</v>
      </c>
      <c r="CC175" s="117">
        <f t="shared" si="410"/>
        <v>0</v>
      </c>
      <c r="CD175" s="119">
        <f t="shared" si="411"/>
        <v>0</v>
      </c>
      <c r="CE175" s="194">
        <f t="shared" si="412"/>
        <v>0</v>
      </c>
      <c r="CF175" s="117">
        <f t="shared" si="413"/>
        <v>0</v>
      </c>
      <c r="CG175" s="118">
        <f t="shared" si="414"/>
        <v>0</v>
      </c>
      <c r="CH175" s="116">
        <f t="shared" si="415"/>
        <v>0</v>
      </c>
      <c r="CI175" s="117">
        <f t="shared" si="416"/>
        <v>0</v>
      </c>
      <c r="CJ175" s="119">
        <f t="shared" si="417"/>
        <v>0</v>
      </c>
      <c r="CK175" s="194">
        <f t="shared" si="418"/>
        <v>0</v>
      </c>
      <c r="CL175" s="194">
        <f t="shared" si="419"/>
        <v>0</v>
      </c>
      <c r="CM175" s="398">
        <f t="shared" si="420"/>
        <v>0</v>
      </c>
      <c r="CN175" s="241">
        <f t="shared" si="421"/>
        <v>0</v>
      </c>
      <c r="CO175" s="43">
        <f t="shared" si="422"/>
        <v>0</v>
      </c>
      <c r="CP175" s="57">
        <f t="shared" si="423"/>
        <v>0</v>
      </c>
      <c r="CQ175" s="194">
        <f t="shared" si="424"/>
        <v>0</v>
      </c>
      <c r="CR175" s="117">
        <f t="shared" si="425"/>
        <v>0</v>
      </c>
      <c r="CS175" s="119">
        <f t="shared" si="426"/>
        <v>0</v>
      </c>
      <c r="CT175" s="194">
        <f t="shared" si="427"/>
        <v>0</v>
      </c>
      <c r="CU175" s="117">
        <f t="shared" si="428"/>
        <v>0</v>
      </c>
      <c r="CV175" s="119">
        <f t="shared" si="429"/>
        <v>0</v>
      </c>
      <c r="CW175" s="194">
        <f t="shared" si="430"/>
        <v>0</v>
      </c>
      <c r="CX175" s="117">
        <f t="shared" si="431"/>
        <v>0</v>
      </c>
      <c r="CY175" s="119">
        <f t="shared" si="432"/>
        <v>0</v>
      </c>
      <c r="CZ175" s="194">
        <f t="shared" si="433"/>
        <v>0</v>
      </c>
      <c r="DA175" s="117">
        <f t="shared" si="434"/>
        <v>0</v>
      </c>
      <c r="DB175" s="119">
        <f t="shared" si="435"/>
        <v>0</v>
      </c>
      <c r="DC175" s="399">
        <f t="shared" si="436"/>
        <v>0</v>
      </c>
      <c r="DD175" s="75">
        <f t="shared" si="437"/>
        <v>0</v>
      </c>
      <c r="DE175" s="75">
        <f t="shared" si="438"/>
        <v>0</v>
      </c>
      <c r="DF175" s="147">
        <f t="shared" si="439"/>
        <v>0</v>
      </c>
    </row>
    <row r="176" spans="1:110">
      <c r="A176" s="240">
        <v>26</v>
      </c>
      <c r="B176" s="116">
        <f t="shared" si="332"/>
        <v>0</v>
      </c>
      <c r="C176" s="117">
        <f t="shared" si="333"/>
        <v>0</v>
      </c>
      <c r="D176" s="119">
        <f t="shared" si="334"/>
        <v>0</v>
      </c>
      <c r="E176" s="194">
        <f t="shared" si="335"/>
        <v>0</v>
      </c>
      <c r="F176" s="117">
        <f t="shared" si="336"/>
        <v>0</v>
      </c>
      <c r="G176" s="118">
        <f t="shared" si="337"/>
        <v>0</v>
      </c>
      <c r="H176" s="116">
        <f t="shared" si="338"/>
        <v>0</v>
      </c>
      <c r="I176" s="117">
        <f t="shared" si="339"/>
        <v>0</v>
      </c>
      <c r="J176" s="119">
        <f t="shared" si="340"/>
        <v>0</v>
      </c>
      <c r="K176" s="194">
        <f t="shared" si="341"/>
        <v>0</v>
      </c>
      <c r="L176" s="117">
        <f t="shared" si="342"/>
        <v>0</v>
      </c>
      <c r="M176" s="118">
        <f t="shared" si="343"/>
        <v>0</v>
      </c>
      <c r="N176" s="116">
        <f t="shared" si="344"/>
        <v>0</v>
      </c>
      <c r="O176" s="117">
        <f t="shared" si="345"/>
        <v>0</v>
      </c>
      <c r="P176" s="119">
        <f t="shared" si="346"/>
        <v>0</v>
      </c>
      <c r="Q176" s="194">
        <f t="shared" si="347"/>
        <v>0</v>
      </c>
      <c r="R176" s="117">
        <f t="shared" si="348"/>
        <v>0</v>
      </c>
      <c r="S176" s="118">
        <f t="shared" si="349"/>
        <v>0</v>
      </c>
      <c r="T176" s="116">
        <f t="shared" si="350"/>
        <v>0</v>
      </c>
      <c r="U176" s="117">
        <f t="shared" si="351"/>
        <v>0</v>
      </c>
      <c r="V176" s="119">
        <f t="shared" si="352"/>
        <v>0</v>
      </c>
      <c r="W176" s="194">
        <f t="shared" si="353"/>
        <v>0</v>
      </c>
      <c r="X176" s="117">
        <f t="shared" si="354"/>
        <v>0</v>
      </c>
      <c r="Y176" s="118">
        <f t="shared" si="355"/>
        <v>0</v>
      </c>
      <c r="Z176" s="116">
        <f t="shared" si="356"/>
        <v>0</v>
      </c>
      <c r="AA176" s="117">
        <f t="shared" si="357"/>
        <v>0</v>
      </c>
      <c r="AB176" s="119">
        <f t="shared" si="358"/>
        <v>0</v>
      </c>
      <c r="AC176" s="194">
        <f t="shared" si="359"/>
        <v>0</v>
      </c>
      <c r="AD176" s="117">
        <f t="shared" si="360"/>
        <v>0</v>
      </c>
      <c r="AE176" s="118">
        <f t="shared" si="361"/>
        <v>0</v>
      </c>
      <c r="AF176" s="116">
        <f t="shared" si="362"/>
        <v>0</v>
      </c>
      <c r="AG176" s="117">
        <f t="shared" si="363"/>
        <v>0</v>
      </c>
      <c r="AH176" s="119">
        <f t="shared" si="364"/>
        <v>0</v>
      </c>
      <c r="AI176" s="194">
        <f t="shared" si="365"/>
        <v>0</v>
      </c>
      <c r="AJ176" s="117">
        <f t="shared" si="366"/>
        <v>0</v>
      </c>
      <c r="AK176" s="118">
        <f t="shared" si="367"/>
        <v>0</v>
      </c>
      <c r="AL176" s="116">
        <f t="shared" si="368"/>
        <v>0</v>
      </c>
      <c r="AM176" s="117">
        <f t="shared" si="369"/>
        <v>0</v>
      </c>
      <c r="AN176" s="119">
        <f t="shared" si="370"/>
        <v>0</v>
      </c>
      <c r="AO176" s="194">
        <f t="shared" si="371"/>
        <v>0</v>
      </c>
      <c r="AP176" s="117">
        <f t="shared" si="372"/>
        <v>0</v>
      </c>
      <c r="AQ176" s="118">
        <f t="shared" si="373"/>
        <v>0</v>
      </c>
      <c r="AR176" s="116">
        <f t="shared" si="374"/>
        <v>0</v>
      </c>
      <c r="AS176" s="117">
        <f t="shared" si="375"/>
        <v>0</v>
      </c>
      <c r="AT176" s="119">
        <f t="shared" si="376"/>
        <v>0</v>
      </c>
      <c r="AU176" s="194">
        <f t="shared" si="377"/>
        <v>0</v>
      </c>
      <c r="AV176" s="117">
        <f t="shared" si="378"/>
        <v>0</v>
      </c>
      <c r="AW176" s="118">
        <f t="shared" si="379"/>
        <v>0</v>
      </c>
      <c r="AX176" s="116">
        <f t="shared" si="380"/>
        <v>0</v>
      </c>
      <c r="AY176" s="117">
        <f t="shared" si="381"/>
        <v>0</v>
      </c>
      <c r="AZ176" s="119">
        <f t="shared" si="382"/>
        <v>0</v>
      </c>
      <c r="BA176" s="194">
        <f t="shared" si="383"/>
        <v>0</v>
      </c>
      <c r="BB176" s="117">
        <f t="shared" si="384"/>
        <v>0</v>
      </c>
      <c r="BC176" s="118">
        <f t="shared" si="385"/>
        <v>0</v>
      </c>
      <c r="BD176" s="116">
        <f t="shared" si="386"/>
        <v>0</v>
      </c>
      <c r="BE176" s="117">
        <f t="shared" si="387"/>
        <v>0</v>
      </c>
      <c r="BF176" s="119">
        <f t="shared" si="388"/>
        <v>0</v>
      </c>
      <c r="BG176" s="194">
        <f t="shared" si="389"/>
        <v>0</v>
      </c>
      <c r="BH176" s="117">
        <f t="shared" si="390"/>
        <v>0</v>
      </c>
      <c r="BI176" s="118">
        <f t="shared" si="391"/>
        <v>0</v>
      </c>
      <c r="BJ176" s="116">
        <f t="shared" si="392"/>
        <v>0</v>
      </c>
      <c r="BK176" s="117">
        <f t="shared" si="393"/>
        <v>0</v>
      </c>
      <c r="BL176" s="119">
        <f t="shared" si="394"/>
        <v>0</v>
      </c>
      <c r="BM176" s="194">
        <f t="shared" si="395"/>
        <v>0</v>
      </c>
      <c r="BN176" s="117">
        <f t="shared" si="396"/>
        <v>0</v>
      </c>
      <c r="BO176" s="118">
        <f t="shared" si="397"/>
        <v>0</v>
      </c>
      <c r="BP176" s="116">
        <f t="shared" si="398"/>
        <v>0</v>
      </c>
      <c r="BQ176" s="117">
        <f t="shared" si="399"/>
        <v>0</v>
      </c>
      <c r="BR176" s="119">
        <f t="shared" si="440"/>
        <v>0</v>
      </c>
      <c r="BS176" s="194">
        <f t="shared" si="400"/>
        <v>0</v>
      </c>
      <c r="BT176" s="117">
        <f t="shared" si="401"/>
        <v>0</v>
      </c>
      <c r="BU176" s="118">
        <f t="shared" si="402"/>
        <v>0</v>
      </c>
      <c r="BV176" s="116">
        <f t="shared" si="403"/>
        <v>0</v>
      </c>
      <c r="BW176" s="117">
        <f t="shared" si="404"/>
        <v>0</v>
      </c>
      <c r="BX176" s="119">
        <f t="shared" si="405"/>
        <v>0</v>
      </c>
      <c r="BY176" s="194">
        <f t="shared" si="406"/>
        <v>0</v>
      </c>
      <c r="BZ176" s="117">
        <f t="shared" si="407"/>
        <v>0</v>
      </c>
      <c r="CA176" s="118">
        <f t="shared" si="408"/>
        <v>0</v>
      </c>
      <c r="CB176" s="116">
        <f t="shared" si="409"/>
        <v>0</v>
      </c>
      <c r="CC176" s="117">
        <f t="shared" si="410"/>
        <v>0</v>
      </c>
      <c r="CD176" s="119">
        <f t="shared" si="411"/>
        <v>0</v>
      </c>
      <c r="CE176" s="194">
        <f t="shared" si="412"/>
        <v>0</v>
      </c>
      <c r="CF176" s="117">
        <f t="shared" si="413"/>
        <v>0</v>
      </c>
      <c r="CG176" s="118">
        <f t="shared" si="414"/>
        <v>0</v>
      </c>
      <c r="CH176" s="116">
        <f t="shared" si="415"/>
        <v>0</v>
      </c>
      <c r="CI176" s="117">
        <f t="shared" si="416"/>
        <v>0</v>
      </c>
      <c r="CJ176" s="119">
        <f t="shared" si="417"/>
        <v>0</v>
      </c>
      <c r="CK176" s="194">
        <f t="shared" si="418"/>
        <v>0</v>
      </c>
      <c r="CL176" s="194">
        <f t="shared" si="419"/>
        <v>0</v>
      </c>
      <c r="CM176" s="398">
        <f t="shared" si="420"/>
        <v>0</v>
      </c>
      <c r="CN176" s="241">
        <f t="shared" si="421"/>
        <v>0</v>
      </c>
      <c r="CO176" s="43">
        <f t="shared" si="422"/>
        <v>0</v>
      </c>
      <c r="CP176" s="57">
        <f t="shared" si="423"/>
        <v>0</v>
      </c>
      <c r="CQ176" s="194">
        <f t="shared" si="424"/>
        <v>0</v>
      </c>
      <c r="CR176" s="117">
        <f t="shared" si="425"/>
        <v>0</v>
      </c>
      <c r="CS176" s="119">
        <f t="shared" si="426"/>
        <v>0</v>
      </c>
      <c r="CT176" s="194">
        <f t="shared" si="427"/>
        <v>0</v>
      </c>
      <c r="CU176" s="117">
        <f t="shared" si="428"/>
        <v>0</v>
      </c>
      <c r="CV176" s="119">
        <f t="shared" si="429"/>
        <v>0</v>
      </c>
      <c r="CW176" s="194">
        <f t="shared" si="430"/>
        <v>0</v>
      </c>
      <c r="CX176" s="117">
        <f t="shared" si="431"/>
        <v>0</v>
      </c>
      <c r="CY176" s="119">
        <f t="shared" si="432"/>
        <v>0</v>
      </c>
      <c r="CZ176" s="194">
        <f t="shared" si="433"/>
        <v>0</v>
      </c>
      <c r="DA176" s="117">
        <f t="shared" si="434"/>
        <v>0</v>
      </c>
      <c r="DB176" s="119">
        <f t="shared" si="435"/>
        <v>0</v>
      </c>
      <c r="DC176" s="399">
        <f t="shared" si="436"/>
        <v>0</v>
      </c>
      <c r="DD176" s="75">
        <f t="shared" si="437"/>
        <v>0</v>
      </c>
      <c r="DE176" s="75">
        <f t="shared" si="438"/>
        <v>0</v>
      </c>
      <c r="DF176" s="147">
        <f t="shared" si="439"/>
        <v>0</v>
      </c>
    </row>
    <row r="177" spans="1:110">
      <c r="A177" s="240">
        <v>27</v>
      </c>
      <c r="B177" s="116">
        <f t="shared" si="332"/>
        <v>0</v>
      </c>
      <c r="C177" s="117">
        <f t="shared" si="333"/>
        <v>0</v>
      </c>
      <c r="D177" s="119">
        <f t="shared" si="334"/>
        <v>0</v>
      </c>
      <c r="E177" s="194">
        <f t="shared" si="335"/>
        <v>0</v>
      </c>
      <c r="F177" s="117">
        <f t="shared" si="336"/>
        <v>0</v>
      </c>
      <c r="G177" s="118">
        <f t="shared" si="337"/>
        <v>0</v>
      </c>
      <c r="H177" s="116">
        <f t="shared" si="338"/>
        <v>0</v>
      </c>
      <c r="I177" s="117">
        <f t="shared" si="339"/>
        <v>0</v>
      </c>
      <c r="J177" s="119">
        <f t="shared" si="340"/>
        <v>0</v>
      </c>
      <c r="K177" s="194">
        <f t="shared" si="341"/>
        <v>0</v>
      </c>
      <c r="L177" s="117">
        <f t="shared" si="342"/>
        <v>0</v>
      </c>
      <c r="M177" s="118">
        <f t="shared" si="343"/>
        <v>0</v>
      </c>
      <c r="N177" s="116">
        <f t="shared" si="344"/>
        <v>0</v>
      </c>
      <c r="O177" s="117">
        <f t="shared" si="345"/>
        <v>0</v>
      </c>
      <c r="P177" s="119">
        <f t="shared" si="346"/>
        <v>0</v>
      </c>
      <c r="Q177" s="194">
        <f t="shared" si="347"/>
        <v>0</v>
      </c>
      <c r="R177" s="117">
        <f t="shared" si="348"/>
        <v>0</v>
      </c>
      <c r="S177" s="118">
        <f t="shared" si="349"/>
        <v>0</v>
      </c>
      <c r="T177" s="116">
        <f t="shared" si="350"/>
        <v>0</v>
      </c>
      <c r="U177" s="117">
        <f t="shared" si="351"/>
        <v>0</v>
      </c>
      <c r="V177" s="119">
        <f t="shared" si="352"/>
        <v>0</v>
      </c>
      <c r="W177" s="194">
        <f t="shared" si="353"/>
        <v>0</v>
      </c>
      <c r="X177" s="117">
        <f t="shared" si="354"/>
        <v>0</v>
      </c>
      <c r="Y177" s="118">
        <f t="shared" si="355"/>
        <v>0</v>
      </c>
      <c r="Z177" s="116">
        <f t="shared" si="356"/>
        <v>0</v>
      </c>
      <c r="AA177" s="117">
        <f t="shared" si="357"/>
        <v>0</v>
      </c>
      <c r="AB177" s="119">
        <f t="shared" si="358"/>
        <v>0</v>
      </c>
      <c r="AC177" s="194">
        <f t="shared" si="359"/>
        <v>0</v>
      </c>
      <c r="AD177" s="117">
        <f t="shared" si="360"/>
        <v>0</v>
      </c>
      <c r="AE177" s="118">
        <f t="shared" si="361"/>
        <v>0</v>
      </c>
      <c r="AF177" s="116">
        <f t="shared" si="362"/>
        <v>0</v>
      </c>
      <c r="AG177" s="117">
        <f t="shared" si="363"/>
        <v>0</v>
      </c>
      <c r="AH177" s="119">
        <f t="shared" si="364"/>
        <v>0</v>
      </c>
      <c r="AI177" s="194">
        <f t="shared" si="365"/>
        <v>0</v>
      </c>
      <c r="AJ177" s="117">
        <f t="shared" si="366"/>
        <v>0</v>
      </c>
      <c r="AK177" s="118">
        <f t="shared" si="367"/>
        <v>0</v>
      </c>
      <c r="AL177" s="116">
        <f t="shared" si="368"/>
        <v>0</v>
      </c>
      <c r="AM177" s="117">
        <f t="shared" si="369"/>
        <v>0</v>
      </c>
      <c r="AN177" s="119">
        <f t="shared" si="370"/>
        <v>0</v>
      </c>
      <c r="AO177" s="194">
        <f t="shared" si="371"/>
        <v>0</v>
      </c>
      <c r="AP177" s="117">
        <f t="shared" si="372"/>
        <v>0</v>
      </c>
      <c r="AQ177" s="118">
        <f t="shared" si="373"/>
        <v>0</v>
      </c>
      <c r="AR177" s="116">
        <f t="shared" si="374"/>
        <v>0</v>
      </c>
      <c r="AS177" s="117">
        <f t="shared" si="375"/>
        <v>0</v>
      </c>
      <c r="AT177" s="119">
        <f t="shared" si="376"/>
        <v>0</v>
      </c>
      <c r="AU177" s="194">
        <f t="shared" si="377"/>
        <v>0</v>
      </c>
      <c r="AV177" s="117">
        <f t="shared" si="378"/>
        <v>0</v>
      </c>
      <c r="AW177" s="118">
        <f t="shared" si="379"/>
        <v>0</v>
      </c>
      <c r="AX177" s="116">
        <f t="shared" si="380"/>
        <v>0</v>
      </c>
      <c r="AY177" s="117">
        <f t="shared" si="381"/>
        <v>0</v>
      </c>
      <c r="AZ177" s="119">
        <f t="shared" si="382"/>
        <v>0</v>
      </c>
      <c r="BA177" s="194">
        <f t="shared" si="383"/>
        <v>0</v>
      </c>
      <c r="BB177" s="117">
        <f t="shared" si="384"/>
        <v>0</v>
      </c>
      <c r="BC177" s="118">
        <f t="shared" si="385"/>
        <v>0</v>
      </c>
      <c r="BD177" s="116">
        <f t="shared" si="386"/>
        <v>0</v>
      </c>
      <c r="BE177" s="117">
        <f t="shared" si="387"/>
        <v>0</v>
      </c>
      <c r="BF177" s="119">
        <f t="shared" si="388"/>
        <v>0</v>
      </c>
      <c r="BG177" s="194">
        <f t="shared" si="389"/>
        <v>0</v>
      </c>
      <c r="BH177" s="117">
        <f t="shared" si="390"/>
        <v>0</v>
      </c>
      <c r="BI177" s="118">
        <f t="shared" si="391"/>
        <v>0</v>
      </c>
      <c r="BJ177" s="116">
        <f t="shared" si="392"/>
        <v>0</v>
      </c>
      <c r="BK177" s="117">
        <f t="shared" si="393"/>
        <v>0</v>
      </c>
      <c r="BL177" s="119">
        <f t="shared" si="394"/>
        <v>0</v>
      </c>
      <c r="BM177" s="194">
        <f t="shared" si="395"/>
        <v>0</v>
      </c>
      <c r="BN177" s="117">
        <f t="shared" si="396"/>
        <v>0</v>
      </c>
      <c r="BO177" s="118">
        <f t="shared" si="397"/>
        <v>0</v>
      </c>
      <c r="BP177" s="116">
        <f t="shared" si="398"/>
        <v>0</v>
      </c>
      <c r="BQ177" s="117">
        <f t="shared" si="399"/>
        <v>0</v>
      </c>
      <c r="BR177" s="119">
        <f t="shared" si="440"/>
        <v>0</v>
      </c>
      <c r="BS177" s="194">
        <f t="shared" si="400"/>
        <v>0</v>
      </c>
      <c r="BT177" s="117">
        <f t="shared" si="401"/>
        <v>0</v>
      </c>
      <c r="BU177" s="118">
        <f t="shared" si="402"/>
        <v>0</v>
      </c>
      <c r="BV177" s="116">
        <f t="shared" si="403"/>
        <v>0</v>
      </c>
      <c r="BW177" s="117">
        <f t="shared" si="404"/>
        <v>0</v>
      </c>
      <c r="BX177" s="119">
        <f t="shared" si="405"/>
        <v>0</v>
      </c>
      <c r="BY177" s="194">
        <f t="shared" si="406"/>
        <v>0</v>
      </c>
      <c r="BZ177" s="117">
        <f t="shared" si="407"/>
        <v>0</v>
      </c>
      <c r="CA177" s="118">
        <f t="shared" si="408"/>
        <v>0</v>
      </c>
      <c r="CB177" s="116">
        <f t="shared" si="409"/>
        <v>0</v>
      </c>
      <c r="CC177" s="117">
        <f t="shared" si="410"/>
        <v>0</v>
      </c>
      <c r="CD177" s="119">
        <f t="shared" si="411"/>
        <v>0</v>
      </c>
      <c r="CE177" s="194">
        <f t="shared" si="412"/>
        <v>0</v>
      </c>
      <c r="CF177" s="117">
        <f t="shared" si="413"/>
        <v>0</v>
      </c>
      <c r="CG177" s="118">
        <f t="shared" si="414"/>
        <v>0</v>
      </c>
      <c r="CH177" s="116">
        <f t="shared" si="415"/>
        <v>0</v>
      </c>
      <c r="CI177" s="117">
        <f t="shared" si="416"/>
        <v>0</v>
      </c>
      <c r="CJ177" s="119">
        <f t="shared" si="417"/>
        <v>0</v>
      </c>
      <c r="CK177" s="194">
        <f t="shared" si="418"/>
        <v>0</v>
      </c>
      <c r="CL177" s="194">
        <f t="shared" si="419"/>
        <v>0</v>
      </c>
      <c r="CM177" s="398">
        <f t="shared" si="420"/>
        <v>0</v>
      </c>
      <c r="CN177" s="241">
        <f t="shared" si="421"/>
        <v>0</v>
      </c>
      <c r="CO177" s="43">
        <f t="shared" si="422"/>
        <v>0</v>
      </c>
      <c r="CP177" s="57">
        <f t="shared" si="423"/>
        <v>0</v>
      </c>
      <c r="CQ177" s="194">
        <f t="shared" si="424"/>
        <v>0</v>
      </c>
      <c r="CR177" s="117">
        <f t="shared" si="425"/>
        <v>0</v>
      </c>
      <c r="CS177" s="119">
        <f t="shared" si="426"/>
        <v>0</v>
      </c>
      <c r="CT177" s="194">
        <f t="shared" si="427"/>
        <v>0</v>
      </c>
      <c r="CU177" s="117">
        <f t="shared" si="428"/>
        <v>0</v>
      </c>
      <c r="CV177" s="119">
        <f t="shared" si="429"/>
        <v>0</v>
      </c>
      <c r="CW177" s="194">
        <f t="shared" si="430"/>
        <v>0</v>
      </c>
      <c r="CX177" s="117">
        <f t="shared" si="431"/>
        <v>0</v>
      </c>
      <c r="CY177" s="119">
        <f t="shared" si="432"/>
        <v>0</v>
      </c>
      <c r="CZ177" s="194">
        <f t="shared" si="433"/>
        <v>0</v>
      </c>
      <c r="DA177" s="117">
        <f t="shared" si="434"/>
        <v>0</v>
      </c>
      <c r="DB177" s="119">
        <f t="shared" si="435"/>
        <v>0</v>
      </c>
      <c r="DC177" s="399">
        <f t="shared" si="436"/>
        <v>0</v>
      </c>
      <c r="DD177" s="75">
        <f t="shared" si="437"/>
        <v>0</v>
      </c>
      <c r="DE177" s="75">
        <f t="shared" si="438"/>
        <v>0</v>
      </c>
      <c r="DF177" s="147">
        <f t="shared" si="439"/>
        <v>0</v>
      </c>
    </row>
    <row r="178" spans="1:110">
      <c r="A178" s="365">
        <v>28</v>
      </c>
      <c r="B178" s="116">
        <f t="shared" si="332"/>
        <v>0</v>
      </c>
      <c r="C178" s="117">
        <f t="shared" si="333"/>
        <v>0</v>
      </c>
      <c r="D178" s="119">
        <f t="shared" si="334"/>
        <v>0</v>
      </c>
      <c r="E178" s="194">
        <f t="shared" si="335"/>
        <v>0</v>
      </c>
      <c r="F178" s="117">
        <f t="shared" si="336"/>
        <v>0</v>
      </c>
      <c r="G178" s="118">
        <f t="shared" si="337"/>
        <v>0</v>
      </c>
      <c r="H178" s="116">
        <f t="shared" si="338"/>
        <v>0</v>
      </c>
      <c r="I178" s="117">
        <f t="shared" si="339"/>
        <v>0</v>
      </c>
      <c r="J178" s="119">
        <f t="shared" si="340"/>
        <v>0</v>
      </c>
      <c r="K178" s="194">
        <f t="shared" si="341"/>
        <v>0</v>
      </c>
      <c r="L178" s="117">
        <f t="shared" si="342"/>
        <v>0</v>
      </c>
      <c r="M178" s="118">
        <f t="shared" si="343"/>
        <v>0</v>
      </c>
      <c r="N178" s="116">
        <f t="shared" si="344"/>
        <v>0</v>
      </c>
      <c r="O178" s="117">
        <f t="shared" si="345"/>
        <v>0</v>
      </c>
      <c r="P178" s="119">
        <f t="shared" si="346"/>
        <v>0</v>
      </c>
      <c r="Q178" s="194">
        <f t="shared" si="347"/>
        <v>0</v>
      </c>
      <c r="R178" s="117">
        <f t="shared" si="348"/>
        <v>0</v>
      </c>
      <c r="S178" s="118">
        <f t="shared" si="349"/>
        <v>0</v>
      </c>
      <c r="T178" s="116">
        <f t="shared" si="350"/>
        <v>0</v>
      </c>
      <c r="U178" s="117">
        <f t="shared" si="351"/>
        <v>0</v>
      </c>
      <c r="V178" s="119">
        <f t="shared" si="352"/>
        <v>0</v>
      </c>
      <c r="W178" s="194">
        <f t="shared" si="353"/>
        <v>0</v>
      </c>
      <c r="X178" s="117">
        <f t="shared" si="354"/>
        <v>0</v>
      </c>
      <c r="Y178" s="118">
        <f t="shared" si="355"/>
        <v>0</v>
      </c>
      <c r="Z178" s="116">
        <f t="shared" si="356"/>
        <v>0</v>
      </c>
      <c r="AA178" s="117">
        <f t="shared" si="357"/>
        <v>0</v>
      </c>
      <c r="AB178" s="119">
        <f t="shared" si="358"/>
        <v>0</v>
      </c>
      <c r="AC178" s="194">
        <f t="shared" si="359"/>
        <v>0</v>
      </c>
      <c r="AD178" s="117">
        <f t="shared" si="360"/>
        <v>0</v>
      </c>
      <c r="AE178" s="118">
        <f t="shared" si="361"/>
        <v>0</v>
      </c>
      <c r="AF178" s="116">
        <f t="shared" si="362"/>
        <v>0</v>
      </c>
      <c r="AG178" s="117">
        <f t="shared" si="363"/>
        <v>0</v>
      </c>
      <c r="AH178" s="119">
        <f t="shared" si="364"/>
        <v>0</v>
      </c>
      <c r="AI178" s="194">
        <f t="shared" si="365"/>
        <v>0</v>
      </c>
      <c r="AJ178" s="117">
        <f t="shared" si="366"/>
        <v>0</v>
      </c>
      <c r="AK178" s="118">
        <f t="shared" si="367"/>
        <v>0</v>
      </c>
      <c r="AL178" s="116">
        <f t="shared" si="368"/>
        <v>0</v>
      </c>
      <c r="AM178" s="117">
        <f t="shared" si="369"/>
        <v>0</v>
      </c>
      <c r="AN178" s="119">
        <f t="shared" si="370"/>
        <v>0</v>
      </c>
      <c r="AO178" s="194">
        <f t="shared" si="371"/>
        <v>0</v>
      </c>
      <c r="AP178" s="117">
        <f t="shared" si="372"/>
        <v>0</v>
      </c>
      <c r="AQ178" s="118">
        <f t="shared" si="373"/>
        <v>0</v>
      </c>
      <c r="AR178" s="116">
        <f t="shared" si="374"/>
        <v>0</v>
      </c>
      <c r="AS178" s="117">
        <f t="shared" si="375"/>
        <v>0</v>
      </c>
      <c r="AT178" s="119">
        <f t="shared" si="376"/>
        <v>0</v>
      </c>
      <c r="AU178" s="194">
        <f t="shared" si="377"/>
        <v>0</v>
      </c>
      <c r="AV178" s="117">
        <f t="shared" si="378"/>
        <v>0</v>
      </c>
      <c r="AW178" s="118">
        <f t="shared" si="379"/>
        <v>0</v>
      </c>
      <c r="AX178" s="116">
        <f t="shared" si="380"/>
        <v>0</v>
      </c>
      <c r="AY178" s="117">
        <f t="shared" si="381"/>
        <v>0</v>
      </c>
      <c r="AZ178" s="119">
        <f t="shared" si="382"/>
        <v>0</v>
      </c>
      <c r="BA178" s="194">
        <f t="shared" si="383"/>
        <v>0</v>
      </c>
      <c r="BB178" s="117">
        <f t="shared" si="384"/>
        <v>0</v>
      </c>
      <c r="BC178" s="118">
        <f t="shared" si="385"/>
        <v>0</v>
      </c>
      <c r="BD178" s="116">
        <f t="shared" si="386"/>
        <v>0</v>
      </c>
      <c r="BE178" s="117">
        <f t="shared" si="387"/>
        <v>0</v>
      </c>
      <c r="BF178" s="119">
        <f t="shared" si="388"/>
        <v>0</v>
      </c>
      <c r="BG178" s="194">
        <f t="shared" si="389"/>
        <v>0</v>
      </c>
      <c r="BH178" s="117">
        <f t="shared" si="390"/>
        <v>0</v>
      </c>
      <c r="BI178" s="118">
        <f t="shared" si="391"/>
        <v>0</v>
      </c>
      <c r="BJ178" s="116">
        <f t="shared" si="392"/>
        <v>0</v>
      </c>
      <c r="BK178" s="117">
        <f t="shared" si="393"/>
        <v>0</v>
      </c>
      <c r="BL178" s="119">
        <f t="shared" si="394"/>
        <v>0</v>
      </c>
      <c r="BM178" s="194">
        <f t="shared" si="395"/>
        <v>0</v>
      </c>
      <c r="BN178" s="117">
        <f t="shared" si="396"/>
        <v>0</v>
      </c>
      <c r="BO178" s="118">
        <f t="shared" si="397"/>
        <v>0</v>
      </c>
      <c r="BP178" s="116">
        <f t="shared" si="398"/>
        <v>0</v>
      </c>
      <c r="BQ178" s="117">
        <f t="shared" si="399"/>
        <v>0</v>
      </c>
      <c r="BR178" s="119">
        <f t="shared" si="440"/>
        <v>0</v>
      </c>
      <c r="BS178" s="194">
        <f t="shared" si="400"/>
        <v>0</v>
      </c>
      <c r="BT178" s="117">
        <f t="shared" si="401"/>
        <v>0</v>
      </c>
      <c r="BU178" s="118">
        <f t="shared" si="402"/>
        <v>0</v>
      </c>
      <c r="BV178" s="116">
        <f t="shared" si="403"/>
        <v>0</v>
      </c>
      <c r="BW178" s="117">
        <f t="shared" si="404"/>
        <v>0</v>
      </c>
      <c r="BX178" s="119">
        <f t="shared" si="405"/>
        <v>0</v>
      </c>
      <c r="BY178" s="194">
        <f t="shared" si="406"/>
        <v>0</v>
      </c>
      <c r="BZ178" s="117">
        <f t="shared" si="407"/>
        <v>0</v>
      </c>
      <c r="CA178" s="118">
        <f t="shared" si="408"/>
        <v>0</v>
      </c>
      <c r="CB178" s="116">
        <f t="shared" si="409"/>
        <v>0</v>
      </c>
      <c r="CC178" s="117">
        <f t="shared" si="410"/>
        <v>0</v>
      </c>
      <c r="CD178" s="119">
        <f t="shared" si="411"/>
        <v>0</v>
      </c>
      <c r="CE178" s="194">
        <f t="shared" si="412"/>
        <v>0</v>
      </c>
      <c r="CF178" s="117">
        <f t="shared" si="413"/>
        <v>0</v>
      </c>
      <c r="CG178" s="118">
        <f t="shared" si="414"/>
        <v>0</v>
      </c>
      <c r="CH178" s="116">
        <f t="shared" si="415"/>
        <v>0</v>
      </c>
      <c r="CI178" s="117">
        <f t="shared" si="416"/>
        <v>0</v>
      </c>
      <c r="CJ178" s="119">
        <f t="shared" si="417"/>
        <v>0</v>
      </c>
      <c r="CK178" s="194">
        <f t="shared" si="418"/>
        <v>0</v>
      </c>
      <c r="CL178" s="194">
        <f t="shared" si="419"/>
        <v>0</v>
      </c>
      <c r="CM178" s="398">
        <f t="shared" si="420"/>
        <v>0</v>
      </c>
      <c r="CN178" s="241">
        <f t="shared" si="421"/>
        <v>0</v>
      </c>
      <c r="CO178" s="43">
        <f t="shared" si="422"/>
        <v>0</v>
      </c>
      <c r="CP178" s="57">
        <f t="shared" si="423"/>
        <v>0</v>
      </c>
      <c r="CQ178" s="194">
        <f t="shared" si="424"/>
        <v>0</v>
      </c>
      <c r="CR178" s="117">
        <f t="shared" si="425"/>
        <v>0</v>
      </c>
      <c r="CS178" s="119">
        <f t="shared" si="426"/>
        <v>0</v>
      </c>
      <c r="CT178" s="194">
        <f t="shared" si="427"/>
        <v>0</v>
      </c>
      <c r="CU178" s="117">
        <f t="shared" si="428"/>
        <v>0</v>
      </c>
      <c r="CV178" s="119">
        <f t="shared" si="429"/>
        <v>0</v>
      </c>
      <c r="CW178" s="194">
        <f t="shared" si="430"/>
        <v>0</v>
      </c>
      <c r="CX178" s="117">
        <f t="shared" si="431"/>
        <v>0</v>
      </c>
      <c r="CY178" s="119">
        <f t="shared" si="432"/>
        <v>0</v>
      </c>
      <c r="CZ178" s="194">
        <f t="shared" si="433"/>
        <v>0</v>
      </c>
      <c r="DA178" s="117">
        <f t="shared" si="434"/>
        <v>0</v>
      </c>
      <c r="DB178" s="119">
        <f t="shared" si="435"/>
        <v>0</v>
      </c>
      <c r="DC178" s="399">
        <f t="shared" si="436"/>
        <v>0</v>
      </c>
      <c r="DD178" s="75">
        <f t="shared" si="437"/>
        <v>0</v>
      </c>
      <c r="DE178" s="75">
        <f t="shared" si="438"/>
        <v>0</v>
      </c>
      <c r="DF178" s="147">
        <f t="shared" si="439"/>
        <v>0</v>
      </c>
    </row>
    <row r="179" spans="1:110">
      <c r="A179" s="240">
        <v>29</v>
      </c>
      <c r="B179" s="116">
        <f t="shared" si="332"/>
        <v>0</v>
      </c>
      <c r="C179" s="117">
        <f t="shared" si="333"/>
        <v>0</v>
      </c>
      <c r="D179" s="119">
        <f t="shared" si="334"/>
        <v>0</v>
      </c>
      <c r="E179" s="194">
        <f t="shared" si="335"/>
        <v>0</v>
      </c>
      <c r="F179" s="117">
        <f t="shared" si="336"/>
        <v>0</v>
      </c>
      <c r="G179" s="118">
        <f t="shared" si="337"/>
        <v>0</v>
      </c>
      <c r="H179" s="116">
        <f t="shared" si="338"/>
        <v>0</v>
      </c>
      <c r="I179" s="117">
        <f t="shared" si="339"/>
        <v>0</v>
      </c>
      <c r="J179" s="119">
        <f t="shared" si="340"/>
        <v>0</v>
      </c>
      <c r="K179" s="194">
        <f t="shared" si="341"/>
        <v>0</v>
      </c>
      <c r="L179" s="117">
        <f t="shared" si="342"/>
        <v>0</v>
      </c>
      <c r="M179" s="118">
        <f t="shared" si="343"/>
        <v>0</v>
      </c>
      <c r="N179" s="116">
        <f t="shared" si="344"/>
        <v>0</v>
      </c>
      <c r="O179" s="117">
        <f t="shared" si="345"/>
        <v>0</v>
      </c>
      <c r="P179" s="119">
        <f t="shared" si="346"/>
        <v>0</v>
      </c>
      <c r="Q179" s="194">
        <f t="shared" si="347"/>
        <v>0</v>
      </c>
      <c r="R179" s="117">
        <f t="shared" si="348"/>
        <v>0</v>
      </c>
      <c r="S179" s="118">
        <f t="shared" si="349"/>
        <v>0</v>
      </c>
      <c r="T179" s="116">
        <f t="shared" si="350"/>
        <v>0</v>
      </c>
      <c r="U179" s="117">
        <f t="shared" si="351"/>
        <v>0</v>
      </c>
      <c r="V179" s="119">
        <f t="shared" si="352"/>
        <v>0</v>
      </c>
      <c r="W179" s="194">
        <f t="shared" si="353"/>
        <v>0</v>
      </c>
      <c r="X179" s="117">
        <f t="shared" si="354"/>
        <v>0</v>
      </c>
      <c r="Y179" s="118">
        <f t="shared" si="355"/>
        <v>0</v>
      </c>
      <c r="Z179" s="116">
        <f t="shared" si="356"/>
        <v>0</v>
      </c>
      <c r="AA179" s="117">
        <f t="shared" si="357"/>
        <v>0</v>
      </c>
      <c r="AB179" s="119">
        <f t="shared" si="358"/>
        <v>0</v>
      </c>
      <c r="AC179" s="194">
        <f t="shared" si="359"/>
        <v>0</v>
      </c>
      <c r="AD179" s="117">
        <f t="shared" si="360"/>
        <v>0</v>
      </c>
      <c r="AE179" s="118">
        <f t="shared" si="361"/>
        <v>0</v>
      </c>
      <c r="AF179" s="116">
        <f t="shared" si="362"/>
        <v>0</v>
      </c>
      <c r="AG179" s="117">
        <f t="shared" si="363"/>
        <v>0</v>
      </c>
      <c r="AH179" s="119">
        <f t="shared" si="364"/>
        <v>0</v>
      </c>
      <c r="AI179" s="194">
        <f t="shared" si="365"/>
        <v>0</v>
      </c>
      <c r="AJ179" s="117">
        <f t="shared" si="366"/>
        <v>0</v>
      </c>
      <c r="AK179" s="118">
        <f t="shared" si="367"/>
        <v>0</v>
      </c>
      <c r="AL179" s="116">
        <f t="shared" si="368"/>
        <v>0</v>
      </c>
      <c r="AM179" s="117">
        <f t="shared" si="369"/>
        <v>0</v>
      </c>
      <c r="AN179" s="119">
        <f t="shared" si="370"/>
        <v>0</v>
      </c>
      <c r="AO179" s="194">
        <f t="shared" si="371"/>
        <v>0</v>
      </c>
      <c r="AP179" s="117">
        <f t="shared" si="372"/>
        <v>0</v>
      </c>
      <c r="AQ179" s="118">
        <f t="shared" si="373"/>
        <v>0</v>
      </c>
      <c r="AR179" s="116">
        <f t="shared" si="374"/>
        <v>0</v>
      </c>
      <c r="AS179" s="117">
        <f t="shared" si="375"/>
        <v>0</v>
      </c>
      <c r="AT179" s="119">
        <f t="shared" si="376"/>
        <v>0</v>
      </c>
      <c r="AU179" s="194">
        <f t="shared" si="377"/>
        <v>0</v>
      </c>
      <c r="AV179" s="117">
        <f t="shared" si="378"/>
        <v>0</v>
      </c>
      <c r="AW179" s="118">
        <f t="shared" si="379"/>
        <v>0</v>
      </c>
      <c r="AX179" s="116">
        <f t="shared" si="380"/>
        <v>0</v>
      </c>
      <c r="AY179" s="117">
        <f t="shared" si="381"/>
        <v>0</v>
      </c>
      <c r="AZ179" s="119">
        <f t="shared" si="382"/>
        <v>0</v>
      </c>
      <c r="BA179" s="194">
        <f t="shared" si="383"/>
        <v>0</v>
      </c>
      <c r="BB179" s="117">
        <f t="shared" si="384"/>
        <v>0</v>
      </c>
      <c r="BC179" s="118">
        <f t="shared" si="385"/>
        <v>0</v>
      </c>
      <c r="BD179" s="116">
        <f t="shared" si="386"/>
        <v>0</v>
      </c>
      <c r="BE179" s="117">
        <f t="shared" si="387"/>
        <v>0</v>
      </c>
      <c r="BF179" s="119">
        <f t="shared" si="388"/>
        <v>0</v>
      </c>
      <c r="BG179" s="194">
        <f t="shared" si="389"/>
        <v>0</v>
      </c>
      <c r="BH179" s="117">
        <f t="shared" si="390"/>
        <v>0</v>
      </c>
      <c r="BI179" s="118">
        <f t="shared" si="391"/>
        <v>0</v>
      </c>
      <c r="BJ179" s="116">
        <f t="shared" si="392"/>
        <v>0</v>
      </c>
      <c r="BK179" s="117">
        <f t="shared" si="393"/>
        <v>0</v>
      </c>
      <c r="BL179" s="119">
        <f t="shared" si="394"/>
        <v>0</v>
      </c>
      <c r="BM179" s="194">
        <f t="shared" si="395"/>
        <v>0</v>
      </c>
      <c r="BN179" s="117">
        <f t="shared" si="396"/>
        <v>0</v>
      </c>
      <c r="BO179" s="118">
        <f t="shared" si="397"/>
        <v>0</v>
      </c>
      <c r="BP179" s="116">
        <f t="shared" si="398"/>
        <v>0</v>
      </c>
      <c r="BQ179" s="117">
        <f t="shared" si="399"/>
        <v>0</v>
      </c>
      <c r="BR179" s="119">
        <f t="shared" si="440"/>
        <v>0</v>
      </c>
      <c r="BS179" s="194">
        <f t="shared" si="400"/>
        <v>0</v>
      </c>
      <c r="BT179" s="117">
        <f t="shared" si="401"/>
        <v>0</v>
      </c>
      <c r="BU179" s="118">
        <f t="shared" si="402"/>
        <v>0</v>
      </c>
      <c r="BV179" s="116">
        <f t="shared" si="403"/>
        <v>0</v>
      </c>
      <c r="BW179" s="117">
        <f t="shared" si="404"/>
        <v>0</v>
      </c>
      <c r="BX179" s="119">
        <f t="shared" si="405"/>
        <v>0</v>
      </c>
      <c r="BY179" s="194">
        <f t="shared" si="406"/>
        <v>0</v>
      </c>
      <c r="BZ179" s="117">
        <f t="shared" si="407"/>
        <v>0</v>
      </c>
      <c r="CA179" s="118">
        <f t="shared" si="408"/>
        <v>0</v>
      </c>
      <c r="CB179" s="116">
        <f t="shared" si="409"/>
        <v>0</v>
      </c>
      <c r="CC179" s="117">
        <f t="shared" si="410"/>
        <v>0</v>
      </c>
      <c r="CD179" s="119">
        <f t="shared" si="411"/>
        <v>0</v>
      </c>
      <c r="CE179" s="194">
        <f t="shared" si="412"/>
        <v>0</v>
      </c>
      <c r="CF179" s="117">
        <f t="shared" si="413"/>
        <v>0</v>
      </c>
      <c r="CG179" s="118">
        <f t="shared" si="414"/>
        <v>0</v>
      </c>
      <c r="CH179" s="116">
        <f t="shared" si="415"/>
        <v>0</v>
      </c>
      <c r="CI179" s="117">
        <f t="shared" si="416"/>
        <v>0</v>
      </c>
      <c r="CJ179" s="119">
        <f t="shared" si="417"/>
        <v>0</v>
      </c>
      <c r="CK179" s="194">
        <f t="shared" si="418"/>
        <v>0</v>
      </c>
      <c r="CL179" s="194">
        <f t="shared" si="419"/>
        <v>0</v>
      </c>
      <c r="CM179" s="398">
        <f t="shared" si="420"/>
        <v>0</v>
      </c>
      <c r="CN179" s="241">
        <f t="shared" si="421"/>
        <v>0</v>
      </c>
      <c r="CO179" s="43">
        <f t="shared" si="422"/>
        <v>0</v>
      </c>
      <c r="CP179" s="57">
        <f t="shared" si="423"/>
        <v>0</v>
      </c>
      <c r="CQ179" s="194">
        <f t="shared" si="424"/>
        <v>0</v>
      </c>
      <c r="CR179" s="117">
        <f t="shared" si="425"/>
        <v>0</v>
      </c>
      <c r="CS179" s="119">
        <f t="shared" si="426"/>
        <v>0</v>
      </c>
      <c r="CT179" s="194">
        <f t="shared" si="427"/>
        <v>0</v>
      </c>
      <c r="CU179" s="117">
        <f t="shared" si="428"/>
        <v>0</v>
      </c>
      <c r="CV179" s="119">
        <f t="shared" si="429"/>
        <v>0</v>
      </c>
      <c r="CW179" s="194">
        <f t="shared" si="430"/>
        <v>0</v>
      </c>
      <c r="CX179" s="117">
        <f t="shared" si="431"/>
        <v>0</v>
      </c>
      <c r="CY179" s="119">
        <f t="shared" si="432"/>
        <v>0</v>
      </c>
      <c r="CZ179" s="194">
        <f t="shared" si="433"/>
        <v>0</v>
      </c>
      <c r="DA179" s="117">
        <f t="shared" si="434"/>
        <v>0</v>
      </c>
      <c r="DB179" s="119">
        <f t="shared" si="435"/>
        <v>0</v>
      </c>
      <c r="DC179" s="399">
        <f t="shared" si="436"/>
        <v>0</v>
      </c>
      <c r="DD179" s="75">
        <f t="shared" si="437"/>
        <v>0</v>
      </c>
      <c r="DE179" s="75">
        <f t="shared" si="438"/>
        <v>0</v>
      </c>
      <c r="DF179" s="147">
        <f t="shared" si="439"/>
        <v>0</v>
      </c>
    </row>
    <row r="180" spans="1:110">
      <c r="A180" s="240">
        <v>30</v>
      </c>
      <c r="B180" s="116">
        <f t="shared" si="332"/>
        <v>0</v>
      </c>
      <c r="C180" s="117">
        <f t="shared" si="333"/>
        <v>0</v>
      </c>
      <c r="D180" s="119">
        <f t="shared" si="334"/>
        <v>0</v>
      </c>
      <c r="E180" s="194">
        <f t="shared" si="335"/>
        <v>0</v>
      </c>
      <c r="F180" s="117">
        <f t="shared" si="336"/>
        <v>0</v>
      </c>
      <c r="G180" s="118">
        <f t="shared" si="337"/>
        <v>0</v>
      </c>
      <c r="H180" s="116">
        <f t="shared" si="338"/>
        <v>0</v>
      </c>
      <c r="I180" s="117">
        <f t="shared" si="339"/>
        <v>0</v>
      </c>
      <c r="J180" s="119">
        <f t="shared" si="340"/>
        <v>0</v>
      </c>
      <c r="K180" s="194">
        <f t="shared" si="341"/>
        <v>0</v>
      </c>
      <c r="L180" s="117">
        <f t="shared" si="342"/>
        <v>0</v>
      </c>
      <c r="M180" s="118">
        <f t="shared" si="343"/>
        <v>0</v>
      </c>
      <c r="N180" s="116">
        <f t="shared" si="344"/>
        <v>0</v>
      </c>
      <c r="O180" s="117">
        <f t="shared" si="345"/>
        <v>0</v>
      </c>
      <c r="P180" s="119">
        <f t="shared" si="346"/>
        <v>0</v>
      </c>
      <c r="Q180" s="194">
        <f t="shared" si="347"/>
        <v>0</v>
      </c>
      <c r="R180" s="117">
        <f t="shared" si="348"/>
        <v>0</v>
      </c>
      <c r="S180" s="118">
        <f t="shared" si="349"/>
        <v>0</v>
      </c>
      <c r="T180" s="116">
        <f t="shared" si="350"/>
        <v>0</v>
      </c>
      <c r="U180" s="117">
        <f t="shared" si="351"/>
        <v>0</v>
      </c>
      <c r="V180" s="119">
        <f t="shared" si="352"/>
        <v>0</v>
      </c>
      <c r="W180" s="194">
        <f t="shared" si="353"/>
        <v>0</v>
      </c>
      <c r="X180" s="117">
        <f t="shared" si="354"/>
        <v>0</v>
      </c>
      <c r="Y180" s="118">
        <f t="shared" si="355"/>
        <v>0</v>
      </c>
      <c r="Z180" s="116">
        <f t="shared" si="356"/>
        <v>0</v>
      </c>
      <c r="AA180" s="117">
        <f t="shared" si="357"/>
        <v>0</v>
      </c>
      <c r="AB180" s="119">
        <f t="shared" si="358"/>
        <v>0</v>
      </c>
      <c r="AC180" s="194">
        <f t="shared" si="359"/>
        <v>0</v>
      </c>
      <c r="AD180" s="117">
        <f t="shared" si="360"/>
        <v>0</v>
      </c>
      <c r="AE180" s="118">
        <f t="shared" si="361"/>
        <v>0</v>
      </c>
      <c r="AF180" s="116">
        <f t="shared" si="362"/>
        <v>0</v>
      </c>
      <c r="AG180" s="117">
        <f t="shared" si="363"/>
        <v>0</v>
      </c>
      <c r="AH180" s="119">
        <f t="shared" si="364"/>
        <v>0</v>
      </c>
      <c r="AI180" s="194">
        <f t="shared" si="365"/>
        <v>0</v>
      </c>
      <c r="AJ180" s="117">
        <f t="shared" si="366"/>
        <v>0</v>
      </c>
      <c r="AK180" s="118">
        <f t="shared" si="367"/>
        <v>0</v>
      </c>
      <c r="AL180" s="116">
        <f t="shared" si="368"/>
        <v>0</v>
      </c>
      <c r="AM180" s="117">
        <f t="shared" si="369"/>
        <v>0</v>
      </c>
      <c r="AN180" s="119">
        <f t="shared" si="370"/>
        <v>0</v>
      </c>
      <c r="AO180" s="194">
        <f t="shared" si="371"/>
        <v>0</v>
      </c>
      <c r="AP180" s="117">
        <f t="shared" si="372"/>
        <v>0</v>
      </c>
      <c r="AQ180" s="118">
        <f t="shared" si="373"/>
        <v>0</v>
      </c>
      <c r="AR180" s="116">
        <f t="shared" si="374"/>
        <v>0</v>
      </c>
      <c r="AS180" s="117">
        <f t="shared" si="375"/>
        <v>0</v>
      </c>
      <c r="AT180" s="119">
        <f t="shared" si="376"/>
        <v>0</v>
      </c>
      <c r="AU180" s="194">
        <f t="shared" si="377"/>
        <v>0</v>
      </c>
      <c r="AV180" s="117">
        <f t="shared" si="378"/>
        <v>0</v>
      </c>
      <c r="AW180" s="118">
        <f t="shared" si="379"/>
        <v>0</v>
      </c>
      <c r="AX180" s="116">
        <f t="shared" si="380"/>
        <v>0</v>
      </c>
      <c r="AY180" s="117">
        <f t="shared" si="381"/>
        <v>0</v>
      </c>
      <c r="AZ180" s="119">
        <f t="shared" si="382"/>
        <v>0</v>
      </c>
      <c r="BA180" s="194">
        <f t="shared" si="383"/>
        <v>0</v>
      </c>
      <c r="BB180" s="117">
        <f t="shared" si="384"/>
        <v>0</v>
      </c>
      <c r="BC180" s="118">
        <f t="shared" si="385"/>
        <v>0</v>
      </c>
      <c r="BD180" s="116">
        <f t="shared" si="386"/>
        <v>0</v>
      </c>
      <c r="BE180" s="117">
        <f t="shared" si="387"/>
        <v>0</v>
      </c>
      <c r="BF180" s="119">
        <f t="shared" si="388"/>
        <v>0</v>
      </c>
      <c r="BG180" s="194">
        <f t="shared" si="389"/>
        <v>0</v>
      </c>
      <c r="BH180" s="117">
        <f t="shared" si="390"/>
        <v>0</v>
      </c>
      <c r="BI180" s="118">
        <f t="shared" si="391"/>
        <v>0</v>
      </c>
      <c r="BJ180" s="116">
        <f t="shared" si="392"/>
        <v>0</v>
      </c>
      <c r="BK180" s="117">
        <f t="shared" si="393"/>
        <v>0</v>
      </c>
      <c r="BL180" s="119">
        <f t="shared" si="394"/>
        <v>0</v>
      </c>
      <c r="BM180" s="194">
        <f t="shared" si="395"/>
        <v>0</v>
      </c>
      <c r="BN180" s="117">
        <f t="shared" si="396"/>
        <v>0</v>
      </c>
      <c r="BO180" s="118">
        <f t="shared" si="397"/>
        <v>0</v>
      </c>
      <c r="BP180" s="116">
        <f t="shared" si="398"/>
        <v>0</v>
      </c>
      <c r="BQ180" s="117">
        <f t="shared" si="399"/>
        <v>0</v>
      </c>
      <c r="BR180" s="119">
        <f t="shared" si="440"/>
        <v>0</v>
      </c>
      <c r="BS180" s="194">
        <f t="shared" si="400"/>
        <v>0</v>
      </c>
      <c r="BT180" s="117">
        <f t="shared" si="401"/>
        <v>0</v>
      </c>
      <c r="BU180" s="118">
        <f t="shared" si="402"/>
        <v>0</v>
      </c>
      <c r="BV180" s="116">
        <f t="shared" si="403"/>
        <v>0</v>
      </c>
      <c r="BW180" s="117">
        <f t="shared" si="404"/>
        <v>0</v>
      </c>
      <c r="BX180" s="119">
        <f t="shared" si="405"/>
        <v>0</v>
      </c>
      <c r="BY180" s="194">
        <f t="shared" si="406"/>
        <v>0</v>
      </c>
      <c r="BZ180" s="117">
        <f t="shared" si="407"/>
        <v>0</v>
      </c>
      <c r="CA180" s="118">
        <f t="shared" si="408"/>
        <v>0</v>
      </c>
      <c r="CB180" s="116">
        <f t="shared" si="409"/>
        <v>0</v>
      </c>
      <c r="CC180" s="117">
        <f t="shared" si="410"/>
        <v>0</v>
      </c>
      <c r="CD180" s="119">
        <f t="shared" si="411"/>
        <v>0</v>
      </c>
      <c r="CE180" s="194">
        <f t="shared" si="412"/>
        <v>0</v>
      </c>
      <c r="CF180" s="117">
        <f t="shared" si="413"/>
        <v>0</v>
      </c>
      <c r="CG180" s="118">
        <f t="shared" si="414"/>
        <v>0</v>
      </c>
      <c r="CH180" s="116">
        <f t="shared" si="415"/>
        <v>0</v>
      </c>
      <c r="CI180" s="117">
        <f t="shared" si="416"/>
        <v>0</v>
      </c>
      <c r="CJ180" s="119">
        <f t="shared" si="417"/>
        <v>0</v>
      </c>
      <c r="CK180" s="194">
        <f t="shared" si="418"/>
        <v>0</v>
      </c>
      <c r="CL180" s="194">
        <f t="shared" si="419"/>
        <v>0</v>
      </c>
      <c r="CM180" s="398">
        <f t="shared" si="420"/>
        <v>0</v>
      </c>
      <c r="CN180" s="241">
        <f t="shared" si="421"/>
        <v>0</v>
      </c>
      <c r="CO180" s="43">
        <f t="shared" si="422"/>
        <v>0</v>
      </c>
      <c r="CP180" s="57">
        <f t="shared" si="423"/>
        <v>0</v>
      </c>
      <c r="CQ180" s="194">
        <f t="shared" si="424"/>
        <v>0</v>
      </c>
      <c r="CR180" s="117">
        <f t="shared" si="425"/>
        <v>0</v>
      </c>
      <c r="CS180" s="119">
        <f t="shared" si="426"/>
        <v>0</v>
      </c>
      <c r="CT180" s="194">
        <f t="shared" si="427"/>
        <v>0</v>
      </c>
      <c r="CU180" s="117">
        <f t="shared" si="428"/>
        <v>0</v>
      </c>
      <c r="CV180" s="119">
        <f t="shared" si="429"/>
        <v>0</v>
      </c>
      <c r="CW180" s="194">
        <f t="shared" si="430"/>
        <v>0</v>
      </c>
      <c r="CX180" s="117">
        <f t="shared" si="431"/>
        <v>0</v>
      </c>
      <c r="CY180" s="119">
        <f t="shared" si="432"/>
        <v>0</v>
      </c>
      <c r="CZ180" s="194">
        <f t="shared" si="433"/>
        <v>0</v>
      </c>
      <c r="DA180" s="117">
        <f t="shared" si="434"/>
        <v>0</v>
      </c>
      <c r="DB180" s="119">
        <f t="shared" si="435"/>
        <v>0</v>
      </c>
      <c r="DC180" s="399">
        <f t="shared" si="436"/>
        <v>0</v>
      </c>
      <c r="DD180" s="75">
        <f t="shared" si="437"/>
        <v>0</v>
      </c>
      <c r="DE180" s="75">
        <f t="shared" si="438"/>
        <v>0</v>
      </c>
      <c r="DF180" s="147">
        <f t="shared" si="439"/>
        <v>0</v>
      </c>
    </row>
    <row r="181" spans="1:110">
      <c r="A181" s="365">
        <v>31</v>
      </c>
      <c r="B181" s="116">
        <f t="shared" si="332"/>
        <v>0</v>
      </c>
      <c r="C181" s="117">
        <f t="shared" si="333"/>
        <v>0</v>
      </c>
      <c r="D181" s="119">
        <f t="shared" si="334"/>
        <v>0</v>
      </c>
      <c r="E181" s="194">
        <f t="shared" si="335"/>
        <v>0</v>
      </c>
      <c r="F181" s="117">
        <f t="shared" si="336"/>
        <v>0</v>
      </c>
      <c r="G181" s="118">
        <f t="shared" si="337"/>
        <v>0</v>
      </c>
      <c r="H181" s="116">
        <f t="shared" si="338"/>
        <v>0</v>
      </c>
      <c r="I181" s="117">
        <f t="shared" si="339"/>
        <v>0</v>
      </c>
      <c r="J181" s="119">
        <f t="shared" si="340"/>
        <v>0</v>
      </c>
      <c r="K181" s="194">
        <f t="shared" si="341"/>
        <v>0</v>
      </c>
      <c r="L181" s="117">
        <f t="shared" si="342"/>
        <v>0</v>
      </c>
      <c r="M181" s="118">
        <f t="shared" si="343"/>
        <v>0</v>
      </c>
      <c r="N181" s="116">
        <f t="shared" si="344"/>
        <v>0</v>
      </c>
      <c r="O181" s="117">
        <f t="shared" si="345"/>
        <v>0</v>
      </c>
      <c r="P181" s="119">
        <f t="shared" si="346"/>
        <v>0</v>
      </c>
      <c r="Q181" s="194">
        <f t="shared" si="347"/>
        <v>0</v>
      </c>
      <c r="R181" s="117">
        <f t="shared" si="348"/>
        <v>0</v>
      </c>
      <c r="S181" s="118">
        <f t="shared" si="349"/>
        <v>0</v>
      </c>
      <c r="T181" s="116">
        <f t="shared" si="350"/>
        <v>0</v>
      </c>
      <c r="U181" s="117">
        <f t="shared" si="351"/>
        <v>0</v>
      </c>
      <c r="V181" s="119">
        <f t="shared" si="352"/>
        <v>0</v>
      </c>
      <c r="W181" s="194">
        <f t="shared" si="353"/>
        <v>0</v>
      </c>
      <c r="X181" s="117">
        <f t="shared" si="354"/>
        <v>0</v>
      </c>
      <c r="Y181" s="118">
        <f t="shared" si="355"/>
        <v>0</v>
      </c>
      <c r="Z181" s="116">
        <f t="shared" si="356"/>
        <v>0</v>
      </c>
      <c r="AA181" s="117">
        <f t="shared" si="357"/>
        <v>0</v>
      </c>
      <c r="AB181" s="119">
        <f t="shared" si="358"/>
        <v>0</v>
      </c>
      <c r="AC181" s="194">
        <f t="shared" si="359"/>
        <v>0</v>
      </c>
      <c r="AD181" s="117">
        <f t="shared" si="360"/>
        <v>0</v>
      </c>
      <c r="AE181" s="118">
        <f t="shared" si="361"/>
        <v>0</v>
      </c>
      <c r="AF181" s="116">
        <f t="shared" si="362"/>
        <v>0</v>
      </c>
      <c r="AG181" s="117">
        <f t="shared" si="363"/>
        <v>0</v>
      </c>
      <c r="AH181" s="119">
        <f t="shared" si="364"/>
        <v>0</v>
      </c>
      <c r="AI181" s="194">
        <f t="shared" si="365"/>
        <v>0</v>
      </c>
      <c r="AJ181" s="117">
        <f t="shared" si="366"/>
        <v>0</v>
      </c>
      <c r="AK181" s="118">
        <f t="shared" si="367"/>
        <v>0</v>
      </c>
      <c r="AL181" s="116">
        <f t="shared" si="368"/>
        <v>0</v>
      </c>
      <c r="AM181" s="117">
        <f t="shared" si="369"/>
        <v>0</v>
      </c>
      <c r="AN181" s="119">
        <f t="shared" si="370"/>
        <v>0</v>
      </c>
      <c r="AO181" s="194">
        <f t="shared" si="371"/>
        <v>0</v>
      </c>
      <c r="AP181" s="117">
        <f t="shared" si="372"/>
        <v>0</v>
      </c>
      <c r="AQ181" s="118">
        <f t="shared" si="373"/>
        <v>0</v>
      </c>
      <c r="AR181" s="116">
        <f t="shared" si="374"/>
        <v>0</v>
      </c>
      <c r="AS181" s="117">
        <f t="shared" si="375"/>
        <v>0</v>
      </c>
      <c r="AT181" s="119">
        <f t="shared" si="376"/>
        <v>0</v>
      </c>
      <c r="AU181" s="194">
        <f t="shared" si="377"/>
        <v>0</v>
      </c>
      <c r="AV181" s="117">
        <f t="shared" si="378"/>
        <v>0</v>
      </c>
      <c r="AW181" s="118">
        <f t="shared" si="379"/>
        <v>0</v>
      </c>
      <c r="AX181" s="116">
        <f t="shared" si="380"/>
        <v>0</v>
      </c>
      <c r="AY181" s="117">
        <f t="shared" si="381"/>
        <v>0</v>
      </c>
      <c r="AZ181" s="119">
        <f t="shared" si="382"/>
        <v>0</v>
      </c>
      <c r="BA181" s="194">
        <f t="shared" si="383"/>
        <v>0</v>
      </c>
      <c r="BB181" s="117">
        <f t="shared" si="384"/>
        <v>0</v>
      </c>
      <c r="BC181" s="118">
        <f t="shared" si="385"/>
        <v>0</v>
      </c>
      <c r="BD181" s="116">
        <f t="shared" si="386"/>
        <v>0</v>
      </c>
      <c r="BE181" s="117">
        <f t="shared" si="387"/>
        <v>0</v>
      </c>
      <c r="BF181" s="119">
        <f t="shared" si="388"/>
        <v>0</v>
      </c>
      <c r="BG181" s="194">
        <f t="shared" si="389"/>
        <v>0</v>
      </c>
      <c r="BH181" s="117">
        <f t="shared" si="390"/>
        <v>0</v>
      </c>
      <c r="BI181" s="118">
        <f t="shared" si="391"/>
        <v>0</v>
      </c>
      <c r="BJ181" s="116">
        <f t="shared" si="392"/>
        <v>0</v>
      </c>
      <c r="BK181" s="117">
        <f t="shared" si="393"/>
        <v>0</v>
      </c>
      <c r="BL181" s="119">
        <f t="shared" si="394"/>
        <v>0</v>
      </c>
      <c r="BM181" s="194">
        <f t="shared" si="395"/>
        <v>0</v>
      </c>
      <c r="BN181" s="117">
        <f t="shared" si="396"/>
        <v>0</v>
      </c>
      <c r="BO181" s="118">
        <f t="shared" si="397"/>
        <v>0</v>
      </c>
      <c r="BP181" s="116">
        <f t="shared" si="398"/>
        <v>0</v>
      </c>
      <c r="BQ181" s="117">
        <f t="shared" si="399"/>
        <v>0</v>
      </c>
      <c r="BR181" s="119">
        <f t="shared" si="440"/>
        <v>0</v>
      </c>
      <c r="BS181" s="194">
        <f t="shared" si="400"/>
        <v>0</v>
      </c>
      <c r="BT181" s="117">
        <f t="shared" si="401"/>
        <v>0</v>
      </c>
      <c r="BU181" s="118">
        <f t="shared" si="402"/>
        <v>0</v>
      </c>
      <c r="BV181" s="116">
        <f t="shared" si="403"/>
        <v>0</v>
      </c>
      <c r="BW181" s="117">
        <f t="shared" si="404"/>
        <v>0</v>
      </c>
      <c r="BX181" s="119">
        <f t="shared" si="405"/>
        <v>0</v>
      </c>
      <c r="BY181" s="194">
        <f t="shared" si="406"/>
        <v>0</v>
      </c>
      <c r="BZ181" s="117">
        <f t="shared" si="407"/>
        <v>0</v>
      </c>
      <c r="CA181" s="118">
        <f t="shared" si="408"/>
        <v>0</v>
      </c>
      <c r="CB181" s="116">
        <f t="shared" si="409"/>
        <v>0</v>
      </c>
      <c r="CC181" s="117">
        <f t="shared" si="410"/>
        <v>0</v>
      </c>
      <c r="CD181" s="119">
        <f t="shared" si="411"/>
        <v>0</v>
      </c>
      <c r="CE181" s="194">
        <f t="shared" si="412"/>
        <v>0</v>
      </c>
      <c r="CF181" s="117">
        <f t="shared" si="413"/>
        <v>0</v>
      </c>
      <c r="CG181" s="118">
        <f t="shared" si="414"/>
        <v>0</v>
      </c>
      <c r="CH181" s="116">
        <f t="shared" si="415"/>
        <v>0</v>
      </c>
      <c r="CI181" s="117">
        <f t="shared" si="416"/>
        <v>0</v>
      </c>
      <c r="CJ181" s="119">
        <f t="shared" si="417"/>
        <v>0</v>
      </c>
      <c r="CK181" s="194">
        <f t="shared" si="418"/>
        <v>0</v>
      </c>
      <c r="CL181" s="194">
        <f t="shared" si="419"/>
        <v>0</v>
      </c>
      <c r="CM181" s="398">
        <f t="shared" si="420"/>
        <v>0</v>
      </c>
      <c r="CN181" s="246">
        <f t="shared" si="421"/>
        <v>0</v>
      </c>
      <c r="CO181" s="60">
        <f t="shared" si="422"/>
        <v>0</v>
      </c>
      <c r="CP181" s="64">
        <f t="shared" si="423"/>
        <v>0</v>
      </c>
      <c r="CQ181" s="194">
        <f t="shared" si="424"/>
        <v>0</v>
      </c>
      <c r="CR181" s="117">
        <f t="shared" si="425"/>
        <v>0</v>
      </c>
      <c r="CS181" s="119">
        <f t="shared" si="426"/>
        <v>0</v>
      </c>
      <c r="CT181" s="194">
        <f t="shared" si="427"/>
        <v>0</v>
      </c>
      <c r="CU181" s="117">
        <f t="shared" si="428"/>
        <v>0</v>
      </c>
      <c r="CV181" s="119">
        <f t="shared" si="429"/>
        <v>0</v>
      </c>
      <c r="CW181" s="194">
        <f t="shared" si="430"/>
        <v>0</v>
      </c>
      <c r="CX181" s="117">
        <f t="shared" si="431"/>
        <v>0</v>
      </c>
      <c r="CY181" s="119">
        <f t="shared" si="432"/>
        <v>0</v>
      </c>
      <c r="CZ181" s="194">
        <f t="shared" si="433"/>
        <v>0</v>
      </c>
      <c r="DA181" s="117">
        <f t="shared" si="434"/>
        <v>0</v>
      </c>
      <c r="DB181" s="119">
        <f t="shared" si="435"/>
        <v>0</v>
      </c>
      <c r="DC181" s="399">
        <f t="shared" si="436"/>
        <v>0</v>
      </c>
      <c r="DD181" s="75">
        <f t="shared" si="437"/>
        <v>0</v>
      </c>
      <c r="DE181" s="75">
        <f t="shared" si="438"/>
        <v>0</v>
      </c>
      <c r="DF181" s="147">
        <f t="shared" si="439"/>
        <v>0</v>
      </c>
    </row>
    <row r="182" spans="1:110">
      <c r="A182" s="364"/>
      <c r="B182" s="113">
        <f>SUM(B151:B181)</f>
        <v>0</v>
      </c>
      <c r="C182" s="113">
        <f t="shared" ref="C182:BN182" si="441">SUM(C151:C181)</f>
        <v>0</v>
      </c>
      <c r="D182" s="113">
        <f t="shared" si="441"/>
        <v>0</v>
      </c>
      <c r="E182" s="113">
        <f t="shared" si="441"/>
        <v>0</v>
      </c>
      <c r="F182" s="113">
        <f t="shared" si="441"/>
        <v>0</v>
      </c>
      <c r="G182" s="113">
        <f t="shared" si="441"/>
        <v>0</v>
      </c>
      <c r="H182" s="113">
        <f t="shared" si="441"/>
        <v>0</v>
      </c>
      <c r="I182" s="113">
        <f t="shared" si="441"/>
        <v>0</v>
      </c>
      <c r="J182" s="113">
        <f t="shared" si="441"/>
        <v>0</v>
      </c>
      <c r="K182" s="113">
        <f t="shared" si="441"/>
        <v>0</v>
      </c>
      <c r="L182" s="113">
        <f t="shared" si="441"/>
        <v>0</v>
      </c>
      <c r="M182" s="113">
        <f t="shared" si="441"/>
        <v>0</v>
      </c>
      <c r="N182" s="113">
        <f t="shared" si="441"/>
        <v>0</v>
      </c>
      <c r="O182" s="113">
        <f t="shared" si="441"/>
        <v>0</v>
      </c>
      <c r="P182" s="113">
        <f t="shared" si="441"/>
        <v>0</v>
      </c>
      <c r="Q182" s="113">
        <f t="shared" si="441"/>
        <v>0</v>
      </c>
      <c r="R182" s="113">
        <f t="shared" si="441"/>
        <v>0</v>
      </c>
      <c r="S182" s="113">
        <f t="shared" si="441"/>
        <v>0</v>
      </c>
      <c r="T182" s="113">
        <f t="shared" si="441"/>
        <v>0</v>
      </c>
      <c r="U182" s="113">
        <f t="shared" si="441"/>
        <v>0</v>
      </c>
      <c r="V182" s="113">
        <f t="shared" si="441"/>
        <v>0</v>
      </c>
      <c r="W182" s="113">
        <f t="shared" si="441"/>
        <v>0</v>
      </c>
      <c r="X182" s="113">
        <f t="shared" si="441"/>
        <v>0</v>
      </c>
      <c r="Y182" s="113">
        <f t="shared" si="441"/>
        <v>0</v>
      </c>
      <c r="Z182" s="113">
        <f t="shared" si="441"/>
        <v>0</v>
      </c>
      <c r="AA182" s="113">
        <f t="shared" si="441"/>
        <v>0</v>
      </c>
      <c r="AB182" s="113">
        <f t="shared" si="441"/>
        <v>0</v>
      </c>
      <c r="AC182" s="113">
        <f t="shared" si="441"/>
        <v>0</v>
      </c>
      <c r="AD182" s="113">
        <f t="shared" si="441"/>
        <v>0</v>
      </c>
      <c r="AE182" s="113">
        <f t="shared" si="441"/>
        <v>0</v>
      </c>
      <c r="AF182" s="113">
        <f t="shared" si="441"/>
        <v>0</v>
      </c>
      <c r="AG182" s="113">
        <f t="shared" si="441"/>
        <v>0</v>
      </c>
      <c r="AH182" s="113">
        <f t="shared" si="441"/>
        <v>0</v>
      </c>
      <c r="AI182" s="113">
        <f t="shared" si="441"/>
        <v>0</v>
      </c>
      <c r="AJ182" s="113">
        <f t="shared" si="441"/>
        <v>0</v>
      </c>
      <c r="AK182" s="113">
        <f t="shared" si="441"/>
        <v>0</v>
      </c>
      <c r="AL182" s="113">
        <f t="shared" si="441"/>
        <v>0</v>
      </c>
      <c r="AM182" s="113">
        <f t="shared" si="441"/>
        <v>0</v>
      </c>
      <c r="AN182" s="113">
        <f t="shared" si="441"/>
        <v>0</v>
      </c>
      <c r="AO182" s="113">
        <f t="shared" si="441"/>
        <v>0</v>
      </c>
      <c r="AP182" s="113">
        <f t="shared" si="441"/>
        <v>0</v>
      </c>
      <c r="AQ182" s="113">
        <f t="shared" si="441"/>
        <v>0</v>
      </c>
      <c r="AR182" s="113">
        <f t="shared" si="441"/>
        <v>0</v>
      </c>
      <c r="AS182" s="113">
        <f t="shared" si="441"/>
        <v>0</v>
      </c>
      <c r="AT182" s="113">
        <f t="shared" si="441"/>
        <v>0</v>
      </c>
      <c r="AU182" s="113">
        <f t="shared" si="441"/>
        <v>0</v>
      </c>
      <c r="AV182" s="113">
        <f t="shared" si="441"/>
        <v>0</v>
      </c>
      <c r="AW182" s="113">
        <f t="shared" si="441"/>
        <v>0</v>
      </c>
      <c r="AX182" s="113">
        <f t="shared" si="441"/>
        <v>0</v>
      </c>
      <c r="AY182" s="113">
        <f t="shared" si="441"/>
        <v>0</v>
      </c>
      <c r="AZ182" s="113">
        <f t="shared" si="441"/>
        <v>0</v>
      </c>
      <c r="BA182" s="113">
        <f t="shared" si="441"/>
        <v>0</v>
      </c>
      <c r="BB182" s="113">
        <f t="shared" si="441"/>
        <v>0</v>
      </c>
      <c r="BC182" s="113">
        <f t="shared" si="441"/>
        <v>0</v>
      </c>
      <c r="BD182" s="113">
        <f t="shared" si="441"/>
        <v>0</v>
      </c>
      <c r="BE182" s="113">
        <f t="shared" si="441"/>
        <v>0</v>
      </c>
      <c r="BF182" s="113">
        <f t="shared" si="441"/>
        <v>0</v>
      </c>
      <c r="BG182" s="113">
        <f t="shared" si="441"/>
        <v>0</v>
      </c>
      <c r="BH182" s="113">
        <f t="shared" si="441"/>
        <v>0</v>
      </c>
      <c r="BI182" s="113">
        <f t="shared" si="441"/>
        <v>0</v>
      </c>
      <c r="BJ182" s="113">
        <f t="shared" si="441"/>
        <v>0</v>
      </c>
      <c r="BK182" s="113">
        <f t="shared" si="441"/>
        <v>0</v>
      </c>
      <c r="BL182" s="113">
        <f t="shared" si="441"/>
        <v>0</v>
      </c>
      <c r="BM182" s="113">
        <f t="shared" si="441"/>
        <v>0</v>
      </c>
      <c r="BN182" s="113">
        <f t="shared" si="441"/>
        <v>0</v>
      </c>
      <c r="BO182" s="113">
        <f t="shared" ref="BO182:DE182" si="442">SUM(BO151:BO181)</f>
        <v>0</v>
      </c>
      <c r="BP182" s="113">
        <f t="shared" si="442"/>
        <v>0</v>
      </c>
      <c r="BQ182" s="113">
        <f t="shared" si="442"/>
        <v>0</v>
      </c>
      <c r="BR182" s="113">
        <f t="shared" si="442"/>
        <v>0</v>
      </c>
      <c r="BS182" s="113">
        <f t="shared" si="442"/>
        <v>0</v>
      </c>
      <c r="BT182" s="113">
        <f t="shared" si="442"/>
        <v>0</v>
      </c>
      <c r="BU182" s="113">
        <f t="shared" si="442"/>
        <v>0</v>
      </c>
      <c r="BV182" s="113">
        <f t="shared" si="442"/>
        <v>0</v>
      </c>
      <c r="BW182" s="113">
        <f t="shared" si="442"/>
        <v>0</v>
      </c>
      <c r="BX182" s="113">
        <f t="shared" si="442"/>
        <v>0</v>
      </c>
      <c r="BY182" s="113">
        <f t="shared" si="442"/>
        <v>0</v>
      </c>
      <c r="BZ182" s="113">
        <f t="shared" si="442"/>
        <v>0</v>
      </c>
      <c r="CA182" s="113">
        <f t="shared" si="442"/>
        <v>0</v>
      </c>
      <c r="CB182" s="113">
        <f t="shared" si="442"/>
        <v>0</v>
      </c>
      <c r="CC182" s="113">
        <f t="shared" si="442"/>
        <v>0</v>
      </c>
      <c r="CD182" s="113">
        <f t="shared" si="442"/>
        <v>0</v>
      </c>
      <c r="CE182" s="113">
        <f t="shared" si="442"/>
        <v>0</v>
      </c>
      <c r="CF182" s="113">
        <f t="shared" si="442"/>
        <v>0</v>
      </c>
      <c r="CG182" s="113">
        <f t="shared" si="442"/>
        <v>0</v>
      </c>
      <c r="CH182" s="113">
        <f t="shared" si="442"/>
        <v>0</v>
      </c>
      <c r="CI182" s="113">
        <f t="shared" si="442"/>
        <v>0</v>
      </c>
      <c r="CJ182" s="113">
        <f t="shared" si="442"/>
        <v>0</v>
      </c>
      <c r="CK182" s="113">
        <f t="shared" si="442"/>
        <v>0</v>
      </c>
      <c r="CL182" s="113">
        <f t="shared" si="442"/>
        <v>0</v>
      </c>
      <c r="CM182" s="113">
        <f t="shared" si="442"/>
        <v>0</v>
      </c>
      <c r="CN182" s="35">
        <f t="shared" si="442"/>
        <v>0</v>
      </c>
      <c r="CO182" s="35">
        <f t="shared" si="442"/>
        <v>0</v>
      </c>
      <c r="CP182" s="35">
        <f t="shared" si="442"/>
        <v>0</v>
      </c>
      <c r="CQ182" s="113">
        <f t="shared" ref="CQ182:CZ182" si="443">SUM(CQ151:CQ181)</f>
        <v>0</v>
      </c>
      <c r="CR182" s="113">
        <f t="shared" si="443"/>
        <v>0</v>
      </c>
      <c r="CS182" s="113">
        <f t="shared" si="443"/>
        <v>0</v>
      </c>
      <c r="CT182" s="113">
        <f t="shared" si="443"/>
        <v>0</v>
      </c>
      <c r="CU182" s="113">
        <f t="shared" si="443"/>
        <v>0</v>
      </c>
      <c r="CV182" s="113">
        <f t="shared" si="443"/>
        <v>0</v>
      </c>
      <c r="CW182" s="113">
        <f t="shared" si="443"/>
        <v>0</v>
      </c>
      <c r="CX182" s="113">
        <f t="shared" si="443"/>
        <v>0</v>
      </c>
      <c r="CY182" s="113">
        <f t="shared" si="443"/>
        <v>0</v>
      </c>
      <c r="CZ182" s="113">
        <f t="shared" si="443"/>
        <v>0</v>
      </c>
      <c r="DA182" s="113">
        <f t="shared" si="442"/>
        <v>0</v>
      </c>
      <c r="DB182" s="113">
        <f t="shared" si="442"/>
        <v>0</v>
      </c>
      <c r="DC182" s="400">
        <f t="shared" si="442"/>
        <v>0</v>
      </c>
      <c r="DD182" s="401">
        <f t="shared" si="442"/>
        <v>0</v>
      </c>
      <c r="DE182" s="401">
        <f t="shared" si="442"/>
        <v>0</v>
      </c>
      <c r="DF182" s="401">
        <f t="shared" ref="DF182" si="444">SUM(DF151:DF181)</f>
        <v>0</v>
      </c>
    </row>
  </sheetData>
  <mergeCells count="187">
    <mergeCell ref="B6:D6"/>
    <mergeCell ref="E6:G6"/>
    <mergeCell ref="H6:J6"/>
    <mergeCell ref="K6:M6"/>
    <mergeCell ref="N6:P6"/>
    <mergeCell ref="Q6:S6"/>
    <mergeCell ref="T6:V6"/>
    <mergeCell ref="W6:Y6"/>
    <mergeCell ref="Z6:AB6"/>
    <mergeCell ref="AC6:AE6"/>
    <mergeCell ref="AF6:AH6"/>
    <mergeCell ref="AI6:AK6"/>
    <mergeCell ref="AL6:AN6"/>
    <mergeCell ref="AO6:AQ6"/>
    <mergeCell ref="AR6:AT6"/>
    <mergeCell ref="AU6:AW6"/>
    <mergeCell ref="AX6:AZ6"/>
    <mergeCell ref="BA6:BC6"/>
    <mergeCell ref="BD6:BF6"/>
    <mergeCell ref="BG6:BI6"/>
    <mergeCell ref="BJ6:BL6"/>
    <mergeCell ref="BM6:BO6"/>
    <mergeCell ref="BP6:BR6"/>
    <mergeCell ref="BS6:BU6"/>
    <mergeCell ref="BV6:BX6"/>
    <mergeCell ref="BY6:CA6"/>
    <mergeCell ref="CB6:CD6"/>
    <mergeCell ref="CE6:CG6"/>
    <mergeCell ref="CH6:CJ6"/>
    <mergeCell ref="CK6:CM6"/>
    <mergeCell ref="CN6:CP6"/>
    <mergeCell ref="CQ6:CS6"/>
    <mergeCell ref="CT6:CV6"/>
    <mergeCell ref="CW6:CY6"/>
    <mergeCell ref="CZ6:DB6"/>
    <mergeCell ref="DC6:DE6"/>
    <mergeCell ref="B42:D42"/>
    <mergeCell ref="E42:G42"/>
    <mergeCell ref="H42:J42"/>
    <mergeCell ref="K42:M42"/>
    <mergeCell ref="N42:P42"/>
    <mergeCell ref="Q42:S42"/>
    <mergeCell ref="T42:V42"/>
    <mergeCell ref="W42:Y42"/>
    <mergeCell ref="Z42:AB42"/>
    <mergeCell ref="AC42:AE42"/>
    <mergeCell ref="AF42:AH42"/>
    <mergeCell ref="AI42:AK42"/>
    <mergeCell ref="AL42:AN42"/>
    <mergeCell ref="AO42:AQ42"/>
    <mergeCell ref="AR42:AT42"/>
    <mergeCell ref="AU42:AW42"/>
    <mergeCell ref="AX42:AZ42"/>
    <mergeCell ref="BA42:BC42"/>
    <mergeCell ref="BD42:BF42"/>
    <mergeCell ref="BG42:BI42"/>
    <mergeCell ref="BJ42:BL42"/>
    <mergeCell ref="BM42:BO42"/>
    <mergeCell ref="BP42:BR42"/>
    <mergeCell ref="BS42:BU42"/>
    <mergeCell ref="BV42:BX42"/>
    <mergeCell ref="BY42:CA42"/>
    <mergeCell ref="CB42:CD42"/>
    <mergeCell ref="CE42:CG42"/>
    <mergeCell ref="CH42:CJ42"/>
    <mergeCell ref="CK42:CM42"/>
    <mergeCell ref="CN42:CP42"/>
    <mergeCell ref="CQ42:CS42"/>
    <mergeCell ref="CT42:CV42"/>
    <mergeCell ref="CW42:CY42"/>
    <mergeCell ref="CZ42:DB42"/>
    <mergeCell ref="DC42:DE42"/>
    <mergeCell ref="B78:D78"/>
    <mergeCell ref="E78:G78"/>
    <mergeCell ref="H78:J78"/>
    <mergeCell ref="K78:M78"/>
    <mergeCell ref="N78:P78"/>
    <mergeCell ref="Q78:S78"/>
    <mergeCell ref="T78:V78"/>
    <mergeCell ref="W78:Y78"/>
    <mergeCell ref="Z78:AB78"/>
    <mergeCell ref="AC78:AE78"/>
    <mergeCell ref="AF78:AH78"/>
    <mergeCell ref="AI78:AK78"/>
    <mergeCell ref="AL78:AN78"/>
    <mergeCell ref="AO78:AQ78"/>
    <mergeCell ref="AR78:AT78"/>
    <mergeCell ref="AU78:AW78"/>
    <mergeCell ref="AX78:AZ78"/>
    <mergeCell ref="BA78:BC78"/>
    <mergeCell ref="BD78:BF78"/>
    <mergeCell ref="BG78:BI78"/>
    <mergeCell ref="BJ78:BL78"/>
    <mergeCell ref="BM78:BO78"/>
    <mergeCell ref="BP78:BR78"/>
    <mergeCell ref="BS78:BU78"/>
    <mergeCell ref="BV78:BX78"/>
    <mergeCell ref="BY78:CA78"/>
    <mergeCell ref="CB78:CD78"/>
    <mergeCell ref="CE78:CG78"/>
    <mergeCell ref="CH78:CJ78"/>
    <mergeCell ref="CK78:CM78"/>
    <mergeCell ref="CN78:CP78"/>
    <mergeCell ref="CQ78:CS78"/>
    <mergeCell ref="CT78:CV78"/>
    <mergeCell ref="CW78:CY78"/>
    <mergeCell ref="CZ78:DB78"/>
    <mergeCell ref="DC78:DE78"/>
    <mergeCell ref="B113:D113"/>
    <mergeCell ref="E113:G113"/>
    <mergeCell ref="H113:J113"/>
    <mergeCell ref="K113:M113"/>
    <mergeCell ref="N113:P113"/>
    <mergeCell ref="Q113:S113"/>
    <mergeCell ref="T113:V113"/>
    <mergeCell ref="W113:Y113"/>
    <mergeCell ref="Z113:AB113"/>
    <mergeCell ref="CW113:CY113"/>
    <mergeCell ref="CZ113:DB113"/>
    <mergeCell ref="DC113:DE113"/>
    <mergeCell ref="BD113:BF113"/>
    <mergeCell ref="BG113:BI113"/>
    <mergeCell ref="BJ113:BL113"/>
    <mergeCell ref="BM113:BO113"/>
    <mergeCell ref="BP113:BR113"/>
    <mergeCell ref="BS113:BU113"/>
    <mergeCell ref="BV113:BX113"/>
    <mergeCell ref="BY113:CA113"/>
    <mergeCell ref="CB113:CD113"/>
    <mergeCell ref="T149:V149"/>
    <mergeCell ref="W149:Y149"/>
    <mergeCell ref="Z149:AB149"/>
    <mergeCell ref="CE113:CG113"/>
    <mergeCell ref="CH113:CJ113"/>
    <mergeCell ref="CK113:CM113"/>
    <mergeCell ref="CN113:CP113"/>
    <mergeCell ref="CQ113:CS113"/>
    <mergeCell ref="CT113:CV113"/>
    <mergeCell ref="AC113:AE113"/>
    <mergeCell ref="AF113:AH113"/>
    <mergeCell ref="AI113:AK113"/>
    <mergeCell ref="AL113:AN113"/>
    <mergeCell ref="AO113:AQ113"/>
    <mergeCell ref="AR113:AT113"/>
    <mergeCell ref="AU113:AW113"/>
    <mergeCell ref="AX113:AZ113"/>
    <mergeCell ref="BA113:BC113"/>
    <mergeCell ref="CK149:CM149"/>
    <mergeCell ref="CN149:CP149"/>
    <mergeCell ref="CQ149:CS149"/>
    <mergeCell ref="CT149:CV149"/>
    <mergeCell ref="CW149:CY149"/>
    <mergeCell ref="CZ149:DB149"/>
    <mergeCell ref="DC149:DE149"/>
    <mergeCell ref="BD149:BF149"/>
    <mergeCell ref="BG149:BI149"/>
    <mergeCell ref="BJ149:BL149"/>
    <mergeCell ref="BM149:BO149"/>
    <mergeCell ref="BP149:BR149"/>
    <mergeCell ref="BS149:BU149"/>
    <mergeCell ref="BV149:BX149"/>
    <mergeCell ref="BY149:CA149"/>
    <mergeCell ref="CB149:CD149"/>
    <mergeCell ref="A6:A7"/>
    <mergeCell ref="A42:A43"/>
    <mergeCell ref="A78:A79"/>
    <mergeCell ref="A113:A114"/>
    <mergeCell ref="A149:A150"/>
    <mergeCell ref="T2:W3"/>
    <mergeCell ref="X2:AD3"/>
    <mergeCell ref="CE149:CG149"/>
    <mergeCell ref="CH149:CJ149"/>
    <mergeCell ref="AC149:AE149"/>
    <mergeCell ref="AF149:AH149"/>
    <mergeCell ref="AI149:AK149"/>
    <mergeCell ref="AL149:AN149"/>
    <mergeCell ref="AO149:AQ149"/>
    <mergeCell ref="AR149:AT149"/>
    <mergeCell ref="AU149:AW149"/>
    <mergeCell ref="AX149:AZ149"/>
    <mergeCell ref="BA149:BC149"/>
    <mergeCell ref="B149:D149"/>
    <mergeCell ref="E149:G149"/>
    <mergeCell ref="H149:J149"/>
    <mergeCell ref="K149:M149"/>
    <mergeCell ref="N149:P149"/>
    <mergeCell ref="Q149:S149"/>
  </mergeCells>
  <pageMargins left="0.7" right="0.7" top="0.75" bottom="0.75" header="0.3" footer="0.3"/>
  <pageSetup paperSize="9" orientation="portrait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T178"/>
  <sheetViews>
    <sheetView tabSelected="1" topLeftCell="Q76" zoomScale="80" zoomScaleNormal="80" workbookViewId="0">
      <selection activeCell="BH106" sqref="BH106"/>
    </sheetView>
  </sheetViews>
  <sheetFormatPr baseColWidth="10" defaultColWidth="11.42578125" defaultRowHeight="15"/>
  <cols>
    <col min="1" max="4" width="5.7109375" customWidth="1"/>
    <col min="5" max="5" width="9" customWidth="1"/>
    <col min="6" max="9" width="6" customWidth="1"/>
    <col min="10" max="11" width="6.140625" customWidth="1"/>
    <col min="12" max="12" width="6" customWidth="1"/>
    <col min="13" max="13" width="8.140625" customWidth="1"/>
    <col min="14" max="14" width="5.7109375" customWidth="1"/>
    <col min="15" max="15" width="6" customWidth="1"/>
    <col min="16" max="16" width="5.7109375" customWidth="1"/>
    <col min="17" max="17" width="8.140625" customWidth="1"/>
    <col min="18" max="18" width="8.7109375" customWidth="1"/>
    <col min="19" max="19" width="5.7109375" customWidth="1"/>
    <col min="20" max="22" width="6.28515625" customWidth="1"/>
    <col min="23" max="23" width="6" customWidth="1"/>
    <col min="24" max="25" width="5.7109375" customWidth="1"/>
    <col min="26" max="27" width="6" customWidth="1"/>
    <col min="28" max="28" width="6.140625" customWidth="1"/>
    <col min="29" max="31" width="6" customWidth="1"/>
    <col min="32" max="32" width="6.140625" customWidth="1"/>
    <col min="33" max="33" width="5.7109375" customWidth="1"/>
    <col min="34" max="36" width="6" customWidth="1"/>
    <col min="37" max="37" width="5.7109375" customWidth="1"/>
    <col min="38" max="39" width="6" customWidth="1"/>
    <col min="40" max="40" width="7" customWidth="1"/>
    <col min="41" max="41" width="6.140625" customWidth="1"/>
    <col min="42" max="45" width="6" customWidth="1"/>
    <col min="46" max="47" width="6.5703125" customWidth="1"/>
    <col min="48" max="48" width="5.7109375" customWidth="1"/>
    <col min="49" max="50" width="6" customWidth="1"/>
    <col min="51" max="63" width="5.7109375" customWidth="1"/>
    <col min="64" max="65" width="6.5703125" customWidth="1"/>
    <col min="66" max="66" width="5.7109375" customWidth="1"/>
    <col min="67" max="68" width="6" customWidth="1"/>
    <col min="69" max="69" width="5.7109375" customWidth="1"/>
    <col min="70" max="70" width="11.5703125" customWidth="1"/>
  </cols>
  <sheetData>
    <row r="1" spans="1:70">
      <c r="A1" s="447" t="s">
        <v>1</v>
      </c>
      <c r="B1" s="448"/>
    </row>
    <row r="2" spans="1:70">
      <c r="A2" s="403" t="s">
        <v>2</v>
      </c>
      <c r="B2" s="440" t="s">
        <v>45</v>
      </c>
      <c r="C2" s="441"/>
      <c r="D2" s="442"/>
      <c r="E2" s="440" t="s">
        <v>46</v>
      </c>
      <c r="F2" s="441"/>
      <c r="G2" s="441"/>
      <c r="H2" s="441"/>
      <c r="I2" s="441"/>
      <c r="J2" s="440" t="s">
        <v>47</v>
      </c>
      <c r="K2" s="441"/>
      <c r="L2" s="441"/>
      <c r="M2" s="442"/>
      <c r="N2" s="432" t="s">
        <v>48</v>
      </c>
      <c r="O2" s="432"/>
      <c r="P2" s="432"/>
      <c r="Q2" s="432"/>
      <c r="R2" s="432"/>
      <c r="S2" s="431" t="s">
        <v>49</v>
      </c>
      <c r="T2" s="432"/>
      <c r="U2" s="432"/>
      <c r="V2" s="432"/>
      <c r="W2" s="433"/>
      <c r="X2" s="431" t="s">
        <v>50</v>
      </c>
      <c r="Y2" s="432"/>
      <c r="Z2" s="432"/>
      <c r="AA2" s="432"/>
      <c r="AB2" s="432"/>
      <c r="AC2" s="432"/>
      <c r="AD2" s="432"/>
      <c r="AE2" s="432"/>
      <c r="AF2" s="432"/>
      <c r="AG2" s="433"/>
      <c r="AH2" s="431" t="s">
        <v>51</v>
      </c>
      <c r="AI2" s="432"/>
      <c r="AJ2" s="432"/>
      <c r="AK2" s="432"/>
      <c r="AL2" s="432"/>
      <c r="AM2" s="432"/>
      <c r="AN2" s="432"/>
      <c r="AO2" s="433"/>
      <c r="AP2" s="431" t="s">
        <v>52</v>
      </c>
      <c r="AQ2" s="432"/>
      <c r="AR2" s="432"/>
      <c r="AS2" s="433"/>
      <c r="AT2" s="431" t="s">
        <v>53</v>
      </c>
      <c r="AU2" s="432"/>
      <c r="AV2" s="432"/>
      <c r="AW2" s="432"/>
      <c r="AX2" s="432"/>
      <c r="AY2" s="433"/>
      <c r="AZ2" s="437" t="s">
        <v>54</v>
      </c>
      <c r="BA2" s="438"/>
      <c r="BB2" s="438"/>
      <c r="BC2" s="438"/>
      <c r="BD2" s="438"/>
      <c r="BE2" s="438"/>
      <c r="BF2" s="438"/>
      <c r="BG2" s="438"/>
      <c r="BH2" s="438"/>
      <c r="BI2" s="438"/>
      <c r="BJ2" s="438"/>
      <c r="BK2" s="439"/>
      <c r="BL2" s="431" t="s">
        <v>55</v>
      </c>
      <c r="BM2" s="432"/>
      <c r="BN2" s="432"/>
      <c r="BO2" s="432"/>
      <c r="BP2" s="432"/>
      <c r="BQ2" s="433"/>
      <c r="BR2" s="430" t="s">
        <v>56</v>
      </c>
    </row>
    <row r="3" spans="1:70">
      <c r="A3" s="434"/>
      <c r="B3" s="291" t="s">
        <v>39</v>
      </c>
      <c r="C3" s="292" t="s">
        <v>39</v>
      </c>
      <c r="D3" s="292" t="s">
        <v>39</v>
      </c>
      <c r="E3" s="292" t="s">
        <v>39</v>
      </c>
      <c r="F3" s="292" t="s">
        <v>39</v>
      </c>
      <c r="G3" s="292" t="s">
        <v>39</v>
      </c>
      <c r="H3" s="292" t="s">
        <v>39</v>
      </c>
      <c r="I3" s="300" t="s">
        <v>39</v>
      </c>
      <c r="J3" s="291" t="s">
        <v>39</v>
      </c>
      <c r="K3" s="292" t="s">
        <v>39</v>
      </c>
      <c r="L3" s="292" t="s">
        <v>39</v>
      </c>
      <c r="M3" s="292" t="s">
        <v>39</v>
      </c>
      <c r="N3" s="292" t="s">
        <v>39</v>
      </c>
      <c r="O3" s="292" t="s">
        <v>39</v>
      </c>
      <c r="P3" s="292" t="s">
        <v>39</v>
      </c>
      <c r="Q3" s="292" t="s">
        <v>39</v>
      </c>
      <c r="R3" s="300" t="s">
        <v>39</v>
      </c>
      <c r="S3" s="291" t="s">
        <v>39</v>
      </c>
      <c r="T3" s="292" t="s">
        <v>39</v>
      </c>
      <c r="U3" s="292" t="s">
        <v>39</v>
      </c>
      <c r="V3" s="292" t="s">
        <v>39</v>
      </c>
      <c r="W3" s="292" t="s">
        <v>39</v>
      </c>
      <c r="X3" s="307" t="s">
        <v>39</v>
      </c>
      <c r="Y3" s="292" t="s">
        <v>41</v>
      </c>
      <c r="Z3" s="300" t="s">
        <v>39</v>
      </c>
      <c r="AA3" s="292" t="s">
        <v>41</v>
      </c>
      <c r="AB3" s="300" t="s">
        <v>39</v>
      </c>
      <c r="AC3" s="292" t="s">
        <v>41</v>
      </c>
      <c r="AD3" s="300" t="s">
        <v>39</v>
      </c>
      <c r="AE3" s="292" t="s">
        <v>41</v>
      </c>
      <c r="AF3" s="300" t="s">
        <v>39</v>
      </c>
      <c r="AG3" s="292" t="s">
        <v>41</v>
      </c>
      <c r="AH3" s="307" t="s">
        <v>39</v>
      </c>
      <c r="AI3" s="292" t="s">
        <v>40</v>
      </c>
      <c r="AJ3" s="300" t="s">
        <v>39</v>
      </c>
      <c r="AK3" s="292" t="s">
        <v>40</v>
      </c>
      <c r="AL3" s="300" t="s">
        <v>39</v>
      </c>
      <c r="AM3" s="292" t="s">
        <v>40</v>
      </c>
      <c r="AN3" s="300" t="s">
        <v>39</v>
      </c>
      <c r="AO3" s="292" t="s">
        <v>40</v>
      </c>
      <c r="AP3" s="307" t="s">
        <v>39</v>
      </c>
      <c r="AQ3" s="300" t="s">
        <v>39</v>
      </c>
      <c r="AR3" s="300" t="s">
        <v>39</v>
      </c>
      <c r="AS3" s="292" t="s">
        <v>39</v>
      </c>
      <c r="AT3" s="309" t="s">
        <v>39</v>
      </c>
      <c r="AU3" s="310" t="s">
        <v>39</v>
      </c>
      <c r="AV3" s="310" t="s">
        <v>39</v>
      </c>
      <c r="AW3" s="310" t="s">
        <v>39</v>
      </c>
      <c r="AX3" s="310" t="s">
        <v>39</v>
      </c>
      <c r="AY3" s="298" t="s">
        <v>39</v>
      </c>
      <c r="AZ3" s="311" t="s">
        <v>39</v>
      </c>
      <c r="BA3" s="312" t="s">
        <v>40</v>
      </c>
      <c r="BB3" s="312" t="s">
        <v>41</v>
      </c>
      <c r="BC3" s="311" t="s">
        <v>39</v>
      </c>
      <c r="BD3" s="312" t="s">
        <v>40</v>
      </c>
      <c r="BE3" s="312" t="s">
        <v>41</v>
      </c>
      <c r="BF3" s="311" t="s">
        <v>39</v>
      </c>
      <c r="BG3" s="312" t="s">
        <v>40</v>
      </c>
      <c r="BH3" s="312" t="s">
        <v>41</v>
      </c>
      <c r="BI3" s="311" t="s">
        <v>39</v>
      </c>
      <c r="BJ3" s="312" t="s">
        <v>40</v>
      </c>
      <c r="BK3" s="312" t="s">
        <v>41</v>
      </c>
      <c r="BL3" s="309" t="s">
        <v>39</v>
      </c>
      <c r="BM3" s="310" t="s">
        <v>39</v>
      </c>
      <c r="BN3" s="310" t="s">
        <v>39</v>
      </c>
      <c r="BO3" s="310" t="s">
        <v>39</v>
      </c>
      <c r="BP3" s="310" t="s">
        <v>39</v>
      </c>
      <c r="BQ3" s="314" t="s">
        <v>39</v>
      </c>
      <c r="BR3" s="430"/>
    </row>
    <row r="4" spans="1:70">
      <c r="A4" s="240">
        <v>1</v>
      </c>
      <c r="B4" s="120"/>
      <c r="C4" s="41"/>
      <c r="D4" s="122"/>
      <c r="E4" s="281"/>
      <c r="F4" s="43"/>
      <c r="G4" s="43"/>
      <c r="H4" s="289"/>
      <c r="I4" s="289"/>
      <c r="J4" s="241"/>
      <c r="K4" s="294"/>
      <c r="L4" s="294"/>
      <c r="M4" s="301"/>
      <c r="N4" s="293"/>
      <c r="O4" s="294"/>
      <c r="P4" s="294"/>
      <c r="Q4" s="294"/>
      <c r="R4" s="295"/>
      <c r="S4" s="302"/>
      <c r="T4" s="294"/>
      <c r="U4" s="295"/>
      <c r="V4" s="295"/>
      <c r="W4" s="301"/>
      <c r="X4" s="302"/>
      <c r="Y4" s="294"/>
      <c r="Z4" s="294"/>
      <c r="AA4" s="294"/>
      <c r="AB4" s="294"/>
      <c r="AC4" s="294"/>
      <c r="AD4" s="294"/>
      <c r="AE4" s="294"/>
      <c r="AF4" s="294"/>
      <c r="AG4" s="301"/>
      <c r="AH4" s="302"/>
      <c r="AI4" s="294"/>
      <c r="AJ4" s="294"/>
      <c r="AK4" s="294"/>
      <c r="AL4" s="294"/>
      <c r="AM4" s="294"/>
      <c r="AN4" s="294"/>
      <c r="AO4" s="301"/>
      <c r="AP4" s="302"/>
      <c r="AQ4" s="294"/>
      <c r="AR4" s="295"/>
      <c r="AS4" s="301"/>
      <c r="AT4" s="302"/>
      <c r="AU4" s="294"/>
      <c r="AV4" s="294"/>
      <c r="AW4" s="294"/>
      <c r="AX4" s="294"/>
      <c r="AY4" s="295"/>
      <c r="AZ4" s="270"/>
      <c r="BA4" s="263"/>
      <c r="BB4" s="264"/>
      <c r="BC4" s="264"/>
      <c r="BD4" s="264"/>
      <c r="BE4" s="264"/>
      <c r="BF4" s="264"/>
      <c r="BG4" s="264"/>
      <c r="BH4" s="264"/>
      <c r="BI4" s="264"/>
      <c r="BJ4" s="264"/>
      <c r="BK4" s="271"/>
      <c r="BL4" s="302"/>
      <c r="BM4" s="294"/>
      <c r="BN4" s="294"/>
      <c r="BO4" s="294"/>
      <c r="BP4" s="294"/>
      <c r="BQ4" s="301"/>
      <c r="BR4" s="56">
        <f>SUM(B4:BQ4)</f>
        <v>0</v>
      </c>
    </row>
    <row r="5" spans="1:70">
      <c r="A5" s="240">
        <v>2</v>
      </c>
      <c r="B5" s="241"/>
      <c r="C5" s="43"/>
      <c r="D5" s="57"/>
      <c r="E5" s="281"/>
      <c r="F5" s="43"/>
      <c r="G5" s="43"/>
      <c r="H5" s="289"/>
      <c r="I5" s="289"/>
      <c r="J5" s="241"/>
      <c r="K5" s="294"/>
      <c r="L5" s="294"/>
      <c r="M5" s="301"/>
      <c r="N5" s="293"/>
      <c r="O5" s="294"/>
      <c r="P5" s="294"/>
      <c r="Q5" s="294"/>
      <c r="R5" s="295"/>
      <c r="S5" s="302"/>
      <c r="T5" s="294"/>
      <c r="U5" s="295"/>
      <c r="V5" s="295"/>
      <c r="W5" s="301"/>
      <c r="X5" s="302"/>
      <c r="Y5" s="294"/>
      <c r="Z5" s="294"/>
      <c r="AA5" s="294"/>
      <c r="AB5" s="294"/>
      <c r="AC5" s="294"/>
      <c r="AD5" s="294"/>
      <c r="AE5" s="294"/>
      <c r="AF5" s="294"/>
      <c r="AG5" s="301"/>
      <c r="AH5" s="302"/>
      <c r="AI5" s="294"/>
      <c r="AJ5" s="294"/>
      <c r="AK5" s="294"/>
      <c r="AL5" s="294"/>
      <c r="AM5" s="294"/>
      <c r="AN5" s="294"/>
      <c r="AO5" s="301"/>
      <c r="AP5" s="302"/>
      <c r="AQ5" s="294"/>
      <c r="AR5" s="295"/>
      <c r="AS5" s="301"/>
      <c r="AT5" s="302"/>
      <c r="AU5" s="294"/>
      <c r="AV5" s="294"/>
      <c r="AW5" s="294"/>
      <c r="AX5" s="294"/>
      <c r="AY5" s="295"/>
      <c r="AZ5" s="302"/>
      <c r="BA5" s="293"/>
      <c r="BB5" s="294"/>
      <c r="BC5" s="294"/>
      <c r="BD5" s="294"/>
      <c r="BE5" s="294"/>
      <c r="BF5" s="294"/>
      <c r="BG5" s="294"/>
      <c r="BH5" s="294"/>
      <c r="BI5" s="294"/>
      <c r="BJ5" s="294"/>
      <c r="BK5" s="301"/>
      <c r="BL5" s="302"/>
      <c r="BM5" s="294"/>
      <c r="BN5" s="294"/>
      <c r="BO5" s="294"/>
      <c r="BP5" s="294"/>
      <c r="BQ5" s="301"/>
      <c r="BR5" s="56">
        <f>SUM(B5:BQ5)</f>
        <v>0</v>
      </c>
    </row>
    <row r="6" spans="1:70">
      <c r="A6" s="240">
        <v>3</v>
      </c>
      <c r="B6" s="241"/>
      <c r="C6" s="43"/>
      <c r="D6" s="57"/>
      <c r="E6" s="281"/>
      <c r="F6" s="43"/>
      <c r="G6" s="43"/>
      <c r="H6" s="289"/>
      <c r="I6" s="289"/>
      <c r="J6" s="241"/>
      <c r="K6" s="294"/>
      <c r="L6" s="294"/>
      <c r="M6" s="301"/>
      <c r="N6" s="293"/>
      <c r="O6" s="294"/>
      <c r="P6" s="294"/>
      <c r="Q6" s="294"/>
      <c r="R6" s="295"/>
      <c r="S6" s="302"/>
      <c r="T6" s="294"/>
      <c r="U6" s="295"/>
      <c r="V6" s="295"/>
      <c r="W6" s="301"/>
      <c r="X6" s="302"/>
      <c r="Y6" s="294"/>
      <c r="Z6" s="294"/>
      <c r="AA6" s="294"/>
      <c r="AB6" s="294"/>
      <c r="AC6" s="294"/>
      <c r="AD6" s="294"/>
      <c r="AE6" s="294"/>
      <c r="AF6" s="294"/>
      <c r="AG6" s="301"/>
      <c r="AH6" s="302"/>
      <c r="AI6" s="294"/>
      <c r="AJ6" s="294"/>
      <c r="AK6" s="294"/>
      <c r="AL6" s="294"/>
      <c r="AM6" s="294"/>
      <c r="AN6" s="294"/>
      <c r="AO6" s="301"/>
      <c r="AP6" s="302"/>
      <c r="AQ6" s="294"/>
      <c r="AR6" s="295"/>
      <c r="AS6" s="301"/>
      <c r="AT6" s="302"/>
      <c r="AU6" s="294"/>
      <c r="AV6" s="294"/>
      <c r="AW6" s="294"/>
      <c r="AX6" s="294"/>
      <c r="AY6" s="295"/>
      <c r="AZ6" s="302"/>
      <c r="BA6" s="293"/>
      <c r="BB6" s="294"/>
      <c r="BC6" s="294"/>
      <c r="BD6" s="294"/>
      <c r="BE6" s="294"/>
      <c r="BF6" s="294"/>
      <c r="BG6" s="294"/>
      <c r="BH6" s="294"/>
      <c r="BI6" s="294"/>
      <c r="BJ6" s="294"/>
      <c r="BK6" s="301"/>
      <c r="BL6" s="302"/>
      <c r="BM6" s="294"/>
      <c r="BN6" s="294"/>
      <c r="BO6" s="294"/>
      <c r="BP6" s="294"/>
      <c r="BQ6" s="301"/>
      <c r="BR6" s="56">
        <f>SUM(B6:BQ6)</f>
        <v>0</v>
      </c>
    </row>
    <row r="7" spans="1:70">
      <c r="A7" s="240">
        <v>4</v>
      </c>
      <c r="B7" s="241"/>
      <c r="C7" s="43"/>
      <c r="D7" s="57"/>
      <c r="E7" s="281"/>
      <c r="F7" s="43"/>
      <c r="G7" s="43"/>
      <c r="H7" s="289"/>
      <c r="I7" s="289"/>
      <c r="J7" s="241"/>
      <c r="K7" s="294"/>
      <c r="L7" s="294"/>
      <c r="M7" s="301"/>
      <c r="N7" s="293"/>
      <c r="O7" s="294"/>
      <c r="P7" s="294"/>
      <c r="Q7" s="294"/>
      <c r="R7" s="295"/>
      <c r="S7" s="302"/>
      <c r="T7" s="294"/>
      <c r="U7" s="295"/>
      <c r="V7" s="295"/>
      <c r="W7" s="301"/>
      <c r="X7" s="302"/>
      <c r="Y7" s="294"/>
      <c r="Z7" s="294"/>
      <c r="AA7" s="294"/>
      <c r="AB7" s="294"/>
      <c r="AC7" s="294"/>
      <c r="AD7" s="294"/>
      <c r="AE7" s="294"/>
      <c r="AF7" s="294"/>
      <c r="AG7" s="301"/>
      <c r="AH7" s="302"/>
      <c r="AI7" s="294"/>
      <c r="AJ7" s="294"/>
      <c r="AK7" s="294"/>
      <c r="AL7" s="294"/>
      <c r="AM7" s="294"/>
      <c r="AN7" s="294"/>
      <c r="AO7" s="301"/>
      <c r="AP7" s="302"/>
      <c r="AQ7" s="294"/>
      <c r="AR7" s="295"/>
      <c r="AS7" s="301"/>
      <c r="AT7" s="302"/>
      <c r="AU7" s="294"/>
      <c r="AV7" s="294"/>
      <c r="AW7" s="294"/>
      <c r="AX7" s="294"/>
      <c r="AY7" s="295"/>
      <c r="AZ7" s="302"/>
      <c r="BA7" s="293"/>
      <c r="BB7" s="294"/>
      <c r="BC7" s="294"/>
      <c r="BD7" s="294"/>
      <c r="BE7" s="294"/>
      <c r="BF7" s="294"/>
      <c r="BG7" s="294"/>
      <c r="BH7" s="294"/>
      <c r="BI7" s="294"/>
      <c r="BJ7" s="294"/>
      <c r="BK7" s="301"/>
      <c r="BL7" s="302"/>
      <c r="BM7" s="294"/>
      <c r="BN7" s="294"/>
      <c r="BO7" s="294"/>
      <c r="BP7" s="294"/>
      <c r="BQ7" s="301"/>
      <c r="BR7" s="56">
        <f>SUM(B7:BQ7)</f>
        <v>0</v>
      </c>
    </row>
    <row r="8" spans="1:70">
      <c r="A8" s="240">
        <v>5</v>
      </c>
      <c r="B8" s="241"/>
      <c r="C8" s="43"/>
      <c r="D8" s="57"/>
      <c r="E8" s="281"/>
      <c r="F8" s="43"/>
      <c r="G8" s="43"/>
      <c r="H8" s="289"/>
      <c r="I8" s="289"/>
      <c r="J8" s="241"/>
      <c r="K8" s="294"/>
      <c r="L8" s="294"/>
      <c r="M8" s="301"/>
      <c r="N8" s="293"/>
      <c r="O8" s="294"/>
      <c r="P8" s="294"/>
      <c r="Q8" s="294"/>
      <c r="R8" s="295"/>
      <c r="S8" s="302"/>
      <c r="T8" s="294"/>
      <c r="U8" s="295"/>
      <c r="V8" s="295"/>
      <c r="W8" s="301"/>
      <c r="X8" s="302"/>
      <c r="Y8" s="294"/>
      <c r="Z8" s="294"/>
      <c r="AA8" s="294"/>
      <c r="AB8" s="294"/>
      <c r="AC8" s="294"/>
      <c r="AD8" s="294"/>
      <c r="AE8" s="294"/>
      <c r="AF8" s="294"/>
      <c r="AG8" s="301"/>
      <c r="AH8" s="302"/>
      <c r="AI8" s="294"/>
      <c r="AJ8" s="294"/>
      <c r="AK8" s="294"/>
      <c r="AL8" s="294"/>
      <c r="AM8" s="294"/>
      <c r="AN8" s="294"/>
      <c r="AO8" s="301"/>
      <c r="AP8" s="302"/>
      <c r="AQ8" s="294"/>
      <c r="AR8" s="295"/>
      <c r="AS8" s="301"/>
      <c r="AT8" s="302"/>
      <c r="AU8" s="294"/>
      <c r="AV8" s="294"/>
      <c r="AW8" s="294"/>
      <c r="AX8" s="294"/>
      <c r="AY8" s="295"/>
      <c r="AZ8" s="302"/>
      <c r="BA8" s="293"/>
      <c r="BB8" s="294"/>
      <c r="BC8" s="294"/>
      <c r="BD8" s="294"/>
      <c r="BE8" s="294"/>
      <c r="BF8" s="294"/>
      <c r="BG8" s="294"/>
      <c r="BH8" s="294"/>
      <c r="BI8" s="294"/>
      <c r="BJ8" s="294"/>
      <c r="BK8" s="301"/>
      <c r="BL8" s="302"/>
      <c r="BM8" s="294"/>
      <c r="BN8" s="294"/>
      <c r="BO8" s="294"/>
      <c r="BP8" s="294"/>
      <c r="BQ8" s="301"/>
      <c r="BR8" s="56">
        <f>SUM(B8:BQ8)</f>
        <v>0</v>
      </c>
    </row>
    <row r="9" spans="1:70">
      <c r="A9" s="240">
        <v>6</v>
      </c>
      <c r="B9" s="241"/>
      <c r="C9" s="43"/>
      <c r="D9" s="57"/>
      <c r="E9" s="281"/>
      <c r="F9" s="43"/>
      <c r="G9" s="43"/>
      <c r="H9" s="289"/>
      <c r="I9" s="289"/>
      <c r="J9" s="241"/>
      <c r="K9" s="294"/>
      <c r="L9" s="294"/>
      <c r="M9" s="301"/>
      <c r="N9" s="293"/>
      <c r="O9" s="294"/>
      <c r="P9" s="294"/>
      <c r="Q9" s="294"/>
      <c r="R9" s="295"/>
      <c r="S9" s="302"/>
      <c r="T9" s="294"/>
      <c r="U9" s="295"/>
      <c r="V9" s="295"/>
      <c r="W9" s="301"/>
      <c r="X9" s="302"/>
      <c r="Y9" s="294"/>
      <c r="Z9" s="294"/>
      <c r="AA9" s="294"/>
      <c r="AB9" s="294"/>
      <c r="AC9" s="294"/>
      <c r="AD9" s="294"/>
      <c r="AE9" s="294"/>
      <c r="AF9" s="294"/>
      <c r="AG9" s="301"/>
      <c r="AH9" s="302"/>
      <c r="AI9" s="294"/>
      <c r="AJ9" s="294"/>
      <c r="AK9" s="294"/>
      <c r="AL9" s="294"/>
      <c r="AM9" s="294"/>
      <c r="AN9" s="294"/>
      <c r="AO9" s="301"/>
      <c r="AP9" s="302"/>
      <c r="AQ9" s="294"/>
      <c r="AR9" s="295"/>
      <c r="AS9" s="301"/>
      <c r="AT9" s="302"/>
      <c r="AU9" s="294"/>
      <c r="AV9" s="294"/>
      <c r="AW9" s="294"/>
      <c r="AX9" s="294"/>
      <c r="AY9" s="295"/>
      <c r="AZ9" s="302"/>
      <c r="BA9" s="293"/>
      <c r="BB9" s="294"/>
      <c r="BC9" s="294"/>
      <c r="BD9" s="294"/>
      <c r="BE9" s="294"/>
      <c r="BF9" s="294"/>
      <c r="BG9" s="294"/>
      <c r="BH9" s="294"/>
      <c r="BI9" s="294"/>
      <c r="BJ9" s="294"/>
      <c r="BK9" s="301"/>
      <c r="BL9" s="302"/>
      <c r="BM9" s="294"/>
      <c r="BN9" s="294"/>
      <c r="BO9" s="294"/>
      <c r="BP9" s="294"/>
      <c r="BQ9" s="301"/>
      <c r="BR9" s="56">
        <f>SUM(B9:BQ9)</f>
        <v>0</v>
      </c>
    </row>
    <row r="10" spans="1:70" s="1" customFormat="1">
      <c r="A10" s="245">
        <v>7</v>
      </c>
      <c r="B10" s="241"/>
      <c r="C10" s="43"/>
      <c r="D10" s="57"/>
      <c r="E10" s="281"/>
      <c r="F10" s="43"/>
      <c r="G10" s="43"/>
      <c r="H10" s="289"/>
      <c r="I10" s="289"/>
      <c r="J10" s="241"/>
      <c r="K10" s="294"/>
      <c r="L10" s="294"/>
      <c r="M10" s="301"/>
      <c r="N10" s="293"/>
      <c r="O10" s="294"/>
      <c r="P10" s="294"/>
      <c r="Q10" s="294"/>
      <c r="R10" s="295"/>
      <c r="S10" s="302"/>
      <c r="T10" s="294"/>
      <c r="U10" s="295"/>
      <c r="V10" s="295"/>
      <c r="W10" s="301"/>
      <c r="X10" s="302"/>
      <c r="Y10" s="294"/>
      <c r="Z10" s="294"/>
      <c r="AA10" s="294"/>
      <c r="AB10" s="294"/>
      <c r="AC10" s="294"/>
      <c r="AD10" s="294"/>
      <c r="AE10" s="294"/>
      <c r="AF10" s="294"/>
      <c r="AG10" s="301"/>
      <c r="AH10" s="302"/>
      <c r="AI10" s="294"/>
      <c r="AJ10" s="294"/>
      <c r="AK10" s="294"/>
      <c r="AL10" s="294"/>
      <c r="AM10" s="294"/>
      <c r="AN10" s="294"/>
      <c r="AO10" s="301"/>
      <c r="AP10" s="302"/>
      <c r="AQ10" s="294"/>
      <c r="AR10" s="295"/>
      <c r="AS10" s="301"/>
      <c r="AT10" s="302"/>
      <c r="AU10" s="294"/>
      <c r="AV10" s="294"/>
      <c r="AW10" s="294"/>
      <c r="AX10" s="294"/>
      <c r="AY10" s="295"/>
      <c r="AZ10" s="302"/>
      <c r="BA10" s="293"/>
      <c r="BB10" s="294"/>
      <c r="BC10" s="294"/>
      <c r="BD10" s="294"/>
      <c r="BE10" s="294"/>
      <c r="BF10" s="294"/>
      <c r="BG10" s="294"/>
      <c r="BH10" s="294"/>
      <c r="BI10" s="294"/>
      <c r="BJ10" s="294"/>
      <c r="BK10" s="301"/>
      <c r="BL10" s="302"/>
      <c r="BM10" s="294"/>
      <c r="BN10" s="294"/>
      <c r="BO10" s="294"/>
      <c r="BP10" s="294"/>
      <c r="BQ10" s="301"/>
      <c r="BR10" s="56">
        <f>SUM(B10:BQ10)</f>
        <v>0</v>
      </c>
    </row>
    <row r="11" spans="1:70" s="1" customFormat="1">
      <c r="A11" s="240">
        <v>8</v>
      </c>
      <c r="B11" s="241"/>
      <c r="C11" s="43"/>
      <c r="D11" s="57"/>
      <c r="E11" s="293"/>
      <c r="F11" s="294"/>
      <c r="G11" s="294"/>
      <c r="H11" s="295"/>
      <c r="I11" s="295"/>
      <c r="J11" s="302"/>
      <c r="K11" s="294"/>
      <c r="L11" s="294"/>
      <c r="M11" s="301"/>
      <c r="N11" s="293"/>
      <c r="O11" s="294"/>
      <c r="P11" s="294"/>
      <c r="Q11" s="294"/>
      <c r="R11" s="295"/>
      <c r="S11" s="302"/>
      <c r="T11" s="294"/>
      <c r="U11" s="295"/>
      <c r="V11" s="295"/>
      <c r="W11" s="301"/>
      <c r="X11" s="302"/>
      <c r="Y11" s="294"/>
      <c r="Z11" s="294"/>
      <c r="AA11" s="294"/>
      <c r="AB11" s="294"/>
      <c r="AC11" s="294"/>
      <c r="AD11" s="294"/>
      <c r="AE11" s="294"/>
      <c r="AF11" s="294"/>
      <c r="AG11" s="301"/>
      <c r="AH11" s="302"/>
      <c r="AI11" s="294"/>
      <c r="AJ11" s="294"/>
      <c r="AK11" s="294"/>
      <c r="AL11" s="294"/>
      <c r="AM11" s="294"/>
      <c r="AN11" s="294"/>
      <c r="AO11" s="301"/>
      <c r="AP11" s="302"/>
      <c r="AQ11" s="294"/>
      <c r="AR11" s="295"/>
      <c r="AS11" s="301"/>
      <c r="AT11" s="302"/>
      <c r="AU11" s="294"/>
      <c r="AV11" s="294"/>
      <c r="AW11" s="294"/>
      <c r="AX11" s="294"/>
      <c r="AY11" s="295"/>
      <c r="AZ11" s="302"/>
      <c r="BA11" s="293"/>
      <c r="BB11" s="294"/>
      <c r="BC11" s="294"/>
      <c r="BD11" s="294"/>
      <c r="BE11" s="294"/>
      <c r="BF11" s="294"/>
      <c r="BG11" s="294"/>
      <c r="BH11" s="294"/>
      <c r="BI11" s="294"/>
      <c r="BJ11" s="294"/>
      <c r="BK11" s="301"/>
      <c r="BL11" s="302"/>
      <c r="BM11" s="294"/>
      <c r="BN11" s="294"/>
      <c r="BO11" s="294"/>
      <c r="BP11" s="294"/>
      <c r="BQ11" s="301"/>
      <c r="BR11" s="56">
        <f>SUM(B11:BQ11)</f>
        <v>0</v>
      </c>
    </row>
    <row r="12" spans="1:70">
      <c r="A12" s="240">
        <v>9</v>
      </c>
      <c r="B12" s="241"/>
      <c r="C12" s="43"/>
      <c r="D12" s="57"/>
      <c r="E12" s="293"/>
      <c r="F12" s="294"/>
      <c r="G12" s="294"/>
      <c r="H12" s="295"/>
      <c r="I12" s="295"/>
      <c r="J12" s="302"/>
      <c r="K12" s="294"/>
      <c r="L12" s="294"/>
      <c r="M12" s="301"/>
      <c r="N12" s="293"/>
      <c r="O12" s="294"/>
      <c r="P12" s="294"/>
      <c r="Q12" s="294"/>
      <c r="R12" s="295"/>
      <c r="S12" s="302"/>
      <c r="T12" s="294"/>
      <c r="U12" s="295"/>
      <c r="V12" s="295"/>
      <c r="W12" s="301"/>
      <c r="X12" s="302"/>
      <c r="Y12" s="294"/>
      <c r="Z12" s="294"/>
      <c r="AA12" s="294"/>
      <c r="AB12" s="294"/>
      <c r="AC12" s="294"/>
      <c r="AD12" s="294"/>
      <c r="AE12" s="294"/>
      <c r="AF12" s="294"/>
      <c r="AG12" s="301"/>
      <c r="AH12" s="302"/>
      <c r="AI12" s="294"/>
      <c r="AJ12" s="294"/>
      <c r="AK12" s="294"/>
      <c r="AL12" s="294"/>
      <c r="AM12" s="294"/>
      <c r="AN12" s="294"/>
      <c r="AO12" s="301"/>
      <c r="AP12" s="302"/>
      <c r="AQ12" s="294"/>
      <c r="AR12" s="295"/>
      <c r="AS12" s="301"/>
      <c r="AT12" s="302"/>
      <c r="AU12" s="294"/>
      <c r="AV12" s="294"/>
      <c r="AW12" s="294"/>
      <c r="AX12" s="294"/>
      <c r="AY12" s="295"/>
      <c r="AZ12" s="302"/>
      <c r="BA12" s="293"/>
      <c r="BB12" s="294"/>
      <c r="BC12" s="294"/>
      <c r="BD12" s="294"/>
      <c r="BE12" s="294"/>
      <c r="BF12" s="294"/>
      <c r="BG12" s="294"/>
      <c r="BH12" s="294"/>
      <c r="BI12" s="294"/>
      <c r="BJ12" s="294"/>
      <c r="BK12" s="301"/>
      <c r="BL12" s="302"/>
      <c r="BM12" s="294"/>
      <c r="BN12" s="294"/>
      <c r="BO12" s="294"/>
      <c r="BP12" s="294"/>
      <c r="BQ12" s="301"/>
      <c r="BR12" s="56">
        <f>SUM(B12:BQ12)</f>
        <v>0</v>
      </c>
    </row>
    <row r="13" spans="1:70">
      <c r="A13" s="240">
        <v>10</v>
      </c>
      <c r="B13" s="241"/>
      <c r="C13" s="43"/>
      <c r="D13" s="57"/>
      <c r="E13" s="293"/>
      <c r="F13" s="294"/>
      <c r="G13" s="294"/>
      <c r="H13" s="295"/>
      <c r="I13" s="295"/>
      <c r="J13" s="302"/>
      <c r="K13" s="294"/>
      <c r="L13" s="294"/>
      <c r="M13" s="301"/>
      <c r="N13" s="293"/>
      <c r="O13" s="294"/>
      <c r="P13" s="294"/>
      <c r="Q13" s="294"/>
      <c r="R13" s="295"/>
      <c r="S13" s="302"/>
      <c r="T13" s="294"/>
      <c r="U13" s="295"/>
      <c r="V13" s="295"/>
      <c r="W13" s="301"/>
      <c r="X13" s="302"/>
      <c r="Y13" s="294"/>
      <c r="Z13" s="294"/>
      <c r="AA13" s="294"/>
      <c r="AB13" s="294"/>
      <c r="AC13" s="294"/>
      <c r="AD13" s="294"/>
      <c r="AE13" s="294"/>
      <c r="AF13" s="294"/>
      <c r="AG13" s="301"/>
      <c r="AH13" s="302"/>
      <c r="AI13" s="294"/>
      <c r="AJ13" s="294"/>
      <c r="AK13" s="294"/>
      <c r="AL13" s="294"/>
      <c r="AM13" s="294"/>
      <c r="AN13" s="294"/>
      <c r="AO13" s="301"/>
      <c r="AP13" s="302"/>
      <c r="AQ13" s="294"/>
      <c r="AR13" s="295"/>
      <c r="AS13" s="301"/>
      <c r="AT13" s="302"/>
      <c r="AU13" s="294"/>
      <c r="AV13" s="294"/>
      <c r="AW13" s="294"/>
      <c r="AX13" s="294"/>
      <c r="AY13" s="295"/>
      <c r="AZ13" s="302"/>
      <c r="BA13" s="293"/>
      <c r="BB13" s="294"/>
      <c r="BC13" s="294"/>
      <c r="BD13" s="294"/>
      <c r="BE13" s="294"/>
      <c r="BF13" s="294"/>
      <c r="BG13" s="294"/>
      <c r="BH13" s="294"/>
      <c r="BI13" s="294"/>
      <c r="BJ13" s="294"/>
      <c r="BK13" s="301"/>
      <c r="BL13" s="302"/>
      <c r="BM13" s="294"/>
      <c r="BN13" s="294"/>
      <c r="BO13" s="294"/>
      <c r="BP13" s="294"/>
      <c r="BQ13" s="301"/>
      <c r="BR13" s="56">
        <f>SUM(B13:BQ13)</f>
        <v>0</v>
      </c>
    </row>
    <row r="14" spans="1:70">
      <c r="A14" s="240">
        <v>11</v>
      </c>
      <c r="B14" s="241"/>
      <c r="C14" s="43"/>
      <c r="D14" s="57"/>
      <c r="E14" s="293"/>
      <c r="F14" s="294"/>
      <c r="G14" s="294"/>
      <c r="H14" s="295"/>
      <c r="I14" s="295"/>
      <c r="J14" s="302"/>
      <c r="K14" s="294"/>
      <c r="L14" s="294"/>
      <c r="M14" s="301"/>
      <c r="N14" s="293"/>
      <c r="O14" s="294"/>
      <c r="P14" s="294"/>
      <c r="Q14" s="294"/>
      <c r="R14" s="295"/>
      <c r="S14" s="302"/>
      <c r="T14" s="294"/>
      <c r="U14" s="295"/>
      <c r="V14" s="295"/>
      <c r="W14" s="301"/>
      <c r="X14" s="302"/>
      <c r="Y14" s="294"/>
      <c r="Z14" s="294"/>
      <c r="AA14" s="294"/>
      <c r="AB14" s="294"/>
      <c r="AC14" s="294"/>
      <c r="AD14" s="294"/>
      <c r="AE14" s="294"/>
      <c r="AF14" s="294"/>
      <c r="AG14" s="301"/>
      <c r="AH14" s="302"/>
      <c r="AI14" s="294"/>
      <c r="AJ14" s="294"/>
      <c r="AK14" s="294"/>
      <c r="AL14" s="294"/>
      <c r="AM14" s="294"/>
      <c r="AN14" s="294"/>
      <c r="AO14" s="301"/>
      <c r="AP14" s="302"/>
      <c r="AQ14" s="294"/>
      <c r="AR14" s="295"/>
      <c r="AS14" s="301"/>
      <c r="AT14" s="302"/>
      <c r="AU14" s="294"/>
      <c r="AV14" s="294"/>
      <c r="AW14" s="294"/>
      <c r="AX14" s="294"/>
      <c r="AY14" s="295"/>
      <c r="AZ14" s="302"/>
      <c r="BA14" s="293"/>
      <c r="BB14" s="294"/>
      <c r="BC14" s="294"/>
      <c r="BD14" s="294"/>
      <c r="BE14" s="294"/>
      <c r="BF14" s="294"/>
      <c r="BG14" s="294"/>
      <c r="BH14" s="294"/>
      <c r="BI14" s="294"/>
      <c r="BJ14" s="294"/>
      <c r="BK14" s="301"/>
      <c r="BL14" s="302"/>
      <c r="BM14" s="294"/>
      <c r="BN14" s="294"/>
      <c r="BO14" s="294"/>
      <c r="BP14" s="294"/>
      <c r="BQ14" s="301"/>
      <c r="BR14" s="56">
        <f>SUM(B14:BQ14)</f>
        <v>0</v>
      </c>
    </row>
    <row r="15" spans="1:70">
      <c r="A15" s="240">
        <v>12</v>
      </c>
      <c r="B15" s="241"/>
      <c r="C15" s="43"/>
      <c r="D15" s="57"/>
      <c r="E15" s="293"/>
      <c r="F15" s="294"/>
      <c r="G15" s="294"/>
      <c r="H15" s="295"/>
      <c r="I15" s="295"/>
      <c r="J15" s="302"/>
      <c r="K15" s="294"/>
      <c r="L15" s="294"/>
      <c r="M15" s="301"/>
      <c r="N15" s="293"/>
      <c r="O15" s="294"/>
      <c r="P15" s="294"/>
      <c r="Q15" s="294"/>
      <c r="R15" s="295"/>
      <c r="S15" s="302"/>
      <c r="T15" s="294"/>
      <c r="U15" s="295"/>
      <c r="V15" s="295"/>
      <c r="W15" s="301"/>
      <c r="X15" s="302"/>
      <c r="Y15" s="294"/>
      <c r="Z15" s="294"/>
      <c r="AA15" s="294"/>
      <c r="AB15" s="294"/>
      <c r="AC15" s="294"/>
      <c r="AD15" s="294"/>
      <c r="AE15" s="294"/>
      <c r="AF15" s="294"/>
      <c r="AG15" s="301"/>
      <c r="AH15" s="302"/>
      <c r="AI15" s="294"/>
      <c r="AJ15" s="294"/>
      <c r="AK15" s="294"/>
      <c r="AL15" s="294"/>
      <c r="AM15" s="294"/>
      <c r="AN15" s="294"/>
      <c r="AO15" s="301"/>
      <c r="AP15" s="302"/>
      <c r="AQ15" s="294"/>
      <c r="AR15" s="295"/>
      <c r="AS15" s="301"/>
      <c r="AT15" s="302"/>
      <c r="AU15" s="294"/>
      <c r="AV15" s="294"/>
      <c r="AW15" s="294"/>
      <c r="AX15" s="294"/>
      <c r="AY15" s="295"/>
      <c r="AZ15" s="302"/>
      <c r="BA15" s="293"/>
      <c r="BB15" s="294"/>
      <c r="BC15" s="294"/>
      <c r="BD15" s="294"/>
      <c r="BE15" s="294"/>
      <c r="BF15" s="294"/>
      <c r="BG15" s="294"/>
      <c r="BH15" s="294"/>
      <c r="BI15" s="294"/>
      <c r="BJ15" s="294"/>
      <c r="BK15" s="301"/>
      <c r="BL15" s="302"/>
      <c r="BM15" s="294"/>
      <c r="BN15" s="294"/>
      <c r="BO15" s="294"/>
      <c r="BP15" s="294"/>
      <c r="BQ15" s="301"/>
      <c r="BR15" s="56">
        <f>SUM(B15:BQ15)</f>
        <v>0</v>
      </c>
    </row>
    <row r="16" spans="1:70">
      <c r="A16" s="240">
        <v>13</v>
      </c>
      <c r="B16" s="241"/>
      <c r="C16" s="43"/>
      <c r="D16" s="57"/>
      <c r="E16" s="293"/>
      <c r="F16" s="294"/>
      <c r="G16" s="294"/>
      <c r="H16" s="295"/>
      <c r="I16" s="295"/>
      <c r="J16" s="302"/>
      <c r="K16" s="294"/>
      <c r="L16" s="294"/>
      <c r="M16" s="301"/>
      <c r="N16" s="293"/>
      <c r="O16" s="294"/>
      <c r="P16" s="294"/>
      <c r="Q16" s="294"/>
      <c r="R16" s="295"/>
      <c r="S16" s="302"/>
      <c r="T16" s="294"/>
      <c r="U16" s="295"/>
      <c r="V16" s="295"/>
      <c r="W16" s="301"/>
      <c r="X16" s="302"/>
      <c r="Y16" s="294"/>
      <c r="Z16" s="294"/>
      <c r="AA16" s="294"/>
      <c r="AB16" s="294"/>
      <c r="AC16" s="294"/>
      <c r="AD16" s="294"/>
      <c r="AE16" s="294"/>
      <c r="AF16" s="294"/>
      <c r="AG16" s="301"/>
      <c r="AH16" s="302"/>
      <c r="AI16" s="294"/>
      <c r="AJ16" s="294"/>
      <c r="AK16" s="294"/>
      <c r="AL16" s="294"/>
      <c r="AM16" s="294"/>
      <c r="AN16" s="294"/>
      <c r="AO16" s="301"/>
      <c r="AP16" s="302"/>
      <c r="AQ16" s="294"/>
      <c r="AR16" s="295"/>
      <c r="AS16" s="301"/>
      <c r="AT16" s="302"/>
      <c r="AU16" s="294"/>
      <c r="AV16" s="294"/>
      <c r="AW16" s="294"/>
      <c r="AX16" s="294"/>
      <c r="AY16" s="295"/>
      <c r="AZ16" s="302"/>
      <c r="BA16" s="293"/>
      <c r="BB16" s="294"/>
      <c r="BC16" s="294"/>
      <c r="BD16" s="294"/>
      <c r="BE16" s="294"/>
      <c r="BF16" s="294"/>
      <c r="BG16" s="294"/>
      <c r="BH16" s="294"/>
      <c r="BI16" s="294"/>
      <c r="BJ16" s="294"/>
      <c r="BK16" s="301"/>
      <c r="BL16" s="302"/>
      <c r="BM16" s="294"/>
      <c r="BN16" s="294"/>
      <c r="BO16" s="294"/>
      <c r="BP16" s="294"/>
      <c r="BQ16" s="301"/>
      <c r="BR16" s="56">
        <f>SUM(B16:BQ16)</f>
        <v>0</v>
      </c>
    </row>
    <row r="17" spans="1:70" s="1" customFormat="1">
      <c r="A17" s="245">
        <v>14</v>
      </c>
      <c r="B17" s="241"/>
      <c r="C17" s="43"/>
      <c r="D17" s="57"/>
      <c r="E17" s="293"/>
      <c r="F17" s="294"/>
      <c r="G17" s="294"/>
      <c r="H17" s="295"/>
      <c r="I17" s="295"/>
      <c r="J17" s="302"/>
      <c r="K17" s="294"/>
      <c r="L17" s="294"/>
      <c r="M17" s="301"/>
      <c r="N17" s="293"/>
      <c r="O17" s="294"/>
      <c r="P17" s="294"/>
      <c r="Q17" s="294"/>
      <c r="R17" s="295"/>
      <c r="S17" s="302"/>
      <c r="T17" s="294"/>
      <c r="U17" s="295"/>
      <c r="V17" s="295"/>
      <c r="W17" s="301"/>
      <c r="X17" s="302"/>
      <c r="Y17" s="294"/>
      <c r="Z17" s="294"/>
      <c r="AA17" s="294"/>
      <c r="AB17" s="294"/>
      <c r="AC17" s="294"/>
      <c r="AD17" s="294"/>
      <c r="AE17" s="294"/>
      <c r="AF17" s="294"/>
      <c r="AG17" s="301"/>
      <c r="AH17" s="302"/>
      <c r="AI17" s="294"/>
      <c r="AJ17" s="294"/>
      <c r="AK17" s="294"/>
      <c r="AL17" s="294"/>
      <c r="AM17" s="294"/>
      <c r="AN17" s="294"/>
      <c r="AO17" s="301"/>
      <c r="AP17" s="302"/>
      <c r="AQ17" s="294"/>
      <c r="AR17" s="295"/>
      <c r="AS17" s="301"/>
      <c r="AT17" s="302"/>
      <c r="AU17" s="294"/>
      <c r="AV17" s="294"/>
      <c r="AW17" s="294"/>
      <c r="AX17" s="294"/>
      <c r="AY17" s="295"/>
      <c r="AZ17" s="302"/>
      <c r="BA17" s="293"/>
      <c r="BB17" s="294"/>
      <c r="BC17" s="294"/>
      <c r="BD17" s="294"/>
      <c r="BE17" s="294"/>
      <c r="BF17" s="294"/>
      <c r="BG17" s="294"/>
      <c r="BH17" s="294"/>
      <c r="BI17" s="294"/>
      <c r="BJ17" s="294"/>
      <c r="BK17" s="301"/>
      <c r="BL17" s="302"/>
      <c r="BM17" s="294"/>
      <c r="BN17" s="294"/>
      <c r="BO17" s="294"/>
      <c r="BP17" s="294"/>
      <c r="BQ17" s="301"/>
      <c r="BR17" s="56">
        <f>SUM(B17:BQ17)</f>
        <v>0</v>
      </c>
    </row>
    <row r="18" spans="1:70">
      <c r="A18" s="240">
        <v>15</v>
      </c>
      <c r="B18" s="241"/>
      <c r="C18" s="43"/>
      <c r="D18" s="57"/>
      <c r="E18" s="293"/>
      <c r="F18" s="294"/>
      <c r="G18" s="294"/>
      <c r="H18" s="295"/>
      <c r="I18" s="295"/>
      <c r="J18" s="302"/>
      <c r="K18" s="294"/>
      <c r="L18" s="294"/>
      <c r="M18" s="301"/>
      <c r="N18" s="293"/>
      <c r="O18" s="294"/>
      <c r="P18" s="294"/>
      <c r="Q18" s="294"/>
      <c r="R18" s="295"/>
      <c r="S18" s="302"/>
      <c r="T18" s="294"/>
      <c r="U18" s="295"/>
      <c r="V18" s="295"/>
      <c r="W18" s="301"/>
      <c r="X18" s="302"/>
      <c r="Y18" s="294"/>
      <c r="Z18" s="294"/>
      <c r="AA18" s="294"/>
      <c r="AB18" s="294"/>
      <c r="AC18" s="294"/>
      <c r="AD18" s="294"/>
      <c r="AE18" s="294"/>
      <c r="AF18" s="294"/>
      <c r="AG18" s="301"/>
      <c r="AH18" s="302"/>
      <c r="AI18" s="294"/>
      <c r="AJ18" s="294"/>
      <c r="AK18" s="294"/>
      <c r="AL18" s="294"/>
      <c r="AM18" s="294"/>
      <c r="AN18" s="294"/>
      <c r="AO18" s="301"/>
      <c r="AP18" s="302"/>
      <c r="AQ18" s="294"/>
      <c r="AR18" s="295"/>
      <c r="AS18" s="301"/>
      <c r="AT18" s="302"/>
      <c r="AU18" s="294"/>
      <c r="AV18" s="294"/>
      <c r="AW18" s="294"/>
      <c r="AX18" s="294"/>
      <c r="AY18" s="295"/>
      <c r="AZ18" s="302"/>
      <c r="BA18" s="293"/>
      <c r="BB18" s="294"/>
      <c r="BC18" s="294"/>
      <c r="BD18" s="294"/>
      <c r="BE18" s="294"/>
      <c r="BF18" s="294"/>
      <c r="BG18" s="294"/>
      <c r="BH18" s="294"/>
      <c r="BI18" s="294"/>
      <c r="BJ18" s="294"/>
      <c r="BK18" s="301"/>
      <c r="BL18" s="302"/>
      <c r="BM18" s="294"/>
      <c r="BN18" s="294"/>
      <c r="BO18" s="294"/>
      <c r="BP18" s="294"/>
      <c r="BQ18" s="301"/>
      <c r="BR18" s="56">
        <f>SUM(B18:BQ18)</f>
        <v>0</v>
      </c>
    </row>
    <row r="19" spans="1:70">
      <c r="A19" s="240">
        <v>16</v>
      </c>
      <c r="B19" s="241"/>
      <c r="C19" s="43"/>
      <c r="D19" s="57"/>
      <c r="E19" s="293"/>
      <c r="F19" s="294"/>
      <c r="G19" s="294"/>
      <c r="H19" s="295"/>
      <c r="I19" s="295"/>
      <c r="J19" s="302"/>
      <c r="K19" s="294"/>
      <c r="L19" s="294"/>
      <c r="M19" s="301"/>
      <c r="N19" s="293"/>
      <c r="O19" s="294"/>
      <c r="P19" s="294"/>
      <c r="Q19" s="294"/>
      <c r="R19" s="295"/>
      <c r="S19" s="302"/>
      <c r="T19" s="294"/>
      <c r="U19" s="295"/>
      <c r="V19" s="295"/>
      <c r="W19" s="301"/>
      <c r="X19" s="302"/>
      <c r="Y19" s="294"/>
      <c r="Z19" s="294"/>
      <c r="AA19" s="294"/>
      <c r="AB19" s="294"/>
      <c r="AC19" s="294"/>
      <c r="AD19" s="294"/>
      <c r="AE19" s="294"/>
      <c r="AF19" s="294"/>
      <c r="AG19" s="301"/>
      <c r="AH19" s="302"/>
      <c r="AI19" s="294"/>
      <c r="AJ19" s="294"/>
      <c r="AK19" s="294"/>
      <c r="AL19" s="294"/>
      <c r="AM19" s="294"/>
      <c r="AN19" s="294"/>
      <c r="AO19" s="301"/>
      <c r="AP19" s="302"/>
      <c r="AQ19" s="294"/>
      <c r="AR19" s="295"/>
      <c r="AS19" s="301"/>
      <c r="AT19" s="302"/>
      <c r="AU19" s="294"/>
      <c r="AV19" s="294"/>
      <c r="AW19" s="294"/>
      <c r="AX19" s="294"/>
      <c r="AY19" s="295"/>
      <c r="AZ19" s="302"/>
      <c r="BA19" s="293"/>
      <c r="BB19" s="294"/>
      <c r="BC19" s="294"/>
      <c r="BD19" s="294"/>
      <c r="BE19" s="294"/>
      <c r="BF19" s="294"/>
      <c r="BG19" s="294"/>
      <c r="BH19" s="294"/>
      <c r="BI19" s="294"/>
      <c r="BJ19" s="294"/>
      <c r="BK19" s="301"/>
      <c r="BL19" s="302"/>
      <c r="BM19" s="294"/>
      <c r="BN19" s="294"/>
      <c r="BO19" s="294"/>
      <c r="BP19" s="294"/>
      <c r="BQ19" s="301"/>
      <c r="BR19" s="56">
        <f>SUM(B19:BQ19)</f>
        <v>0</v>
      </c>
    </row>
    <row r="20" spans="1:70">
      <c r="A20" s="240">
        <v>17</v>
      </c>
      <c r="B20" s="241"/>
      <c r="C20" s="43"/>
      <c r="D20" s="57"/>
      <c r="E20" s="293"/>
      <c r="F20" s="294"/>
      <c r="G20" s="294"/>
      <c r="H20" s="295"/>
      <c r="I20" s="295"/>
      <c r="J20" s="302"/>
      <c r="K20" s="294"/>
      <c r="L20" s="294"/>
      <c r="M20" s="301"/>
      <c r="N20" s="293"/>
      <c r="O20" s="294"/>
      <c r="P20" s="294"/>
      <c r="Q20" s="294"/>
      <c r="R20" s="295"/>
      <c r="S20" s="302"/>
      <c r="T20" s="294"/>
      <c r="U20" s="295"/>
      <c r="V20" s="295"/>
      <c r="W20" s="301"/>
      <c r="X20" s="302"/>
      <c r="Y20" s="294"/>
      <c r="Z20" s="294"/>
      <c r="AA20" s="294"/>
      <c r="AB20" s="294"/>
      <c r="AC20" s="294"/>
      <c r="AD20" s="294"/>
      <c r="AE20" s="294"/>
      <c r="AF20" s="294"/>
      <c r="AG20" s="301"/>
      <c r="AH20" s="302"/>
      <c r="AI20" s="294"/>
      <c r="AJ20" s="294"/>
      <c r="AK20" s="294"/>
      <c r="AL20" s="294"/>
      <c r="AM20" s="294"/>
      <c r="AN20" s="294"/>
      <c r="AO20" s="301"/>
      <c r="AP20" s="302"/>
      <c r="AQ20" s="294"/>
      <c r="AR20" s="295"/>
      <c r="AS20" s="301"/>
      <c r="AT20" s="302"/>
      <c r="AU20" s="294"/>
      <c r="AV20" s="294"/>
      <c r="AW20" s="294"/>
      <c r="AX20" s="294"/>
      <c r="AY20" s="295"/>
      <c r="AZ20" s="302"/>
      <c r="BA20" s="293"/>
      <c r="BB20" s="294"/>
      <c r="BC20" s="294"/>
      <c r="BD20" s="294"/>
      <c r="BE20" s="294"/>
      <c r="BF20" s="294"/>
      <c r="BG20" s="294"/>
      <c r="BH20" s="294"/>
      <c r="BI20" s="294"/>
      <c r="BJ20" s="294"/>
      <c r="BK20" s="301"/>
      <c r="BL20" s="302"/>
      <c r="BM20" s="294"/>
      <c r="BN20" s="294"/>
      <c r="BO20" s="294"/>
      <c r="BP20" s="294"/>
      <c r="BQ20" s="301"/>
      <c r="BR20" s="56">
        <f>SUM(B20:BQ20)</f>
        <v>0</v>
      </c>
    </row>
    <row r="21" spans="1:70">
      <c r="A21" s="240">
        <v>18</v>
      </c>
      <c r="B21" s="241"/>
      <c r="C21" s="43"/>
      <c r="D21" s="57"/>
      <c r="E21" s="293"/>
      <c r="F21" s="294"/>
      <c r="G21" s="294"/>
      <c r="H21" s="295"/>
      <c r="I21" s="295"/>
      <c r="J21" s="302"/>
      <c r="K21" s="294"/>
      <c r="L21" s="294"/>
      <c r="M21" s="301"/>
      <c r="N21" s="293"/>
      <c r="O21" s="294"/>
      <c r="P21" s="294"/>
      <c r="Q21" s="294"/>
      <c r="R21" s="295"/>
      <c r="S21" s="302"/>
      <c r="T21" s="294"/>
      <c r="U21" s="295"/>
      <c r="V21" s="295"/>
      <c r="W21" s="301"/>
      <c r="X21" s="302"/>
      <c r="Y21" s="294"/>
      <c r="Z21" s="294"/>
      <c r="AA21" s="294"/>
      <c r="AB21" s="294"/>
      <c r="AC21" s="294"/>
      <c r="AD21" s="294"/>
      <c r="AE21" s="294"/>
      <c r="AF21" s="294"/>
      <c r="AG21" s="301"/>
      <c r="AH21" s="302"/>
      <c r="AI21" s="294"/>
      <c r="AJ21" s="294"/>
      <c r="AK21" s="294"/>
      <c r="AL21" s="294"/>
      <c r="AM21" s="294"/>
      <c r="AN21" s="294"/>
      <c r="AO21" s="301"/>
      <c r="AP21" s="302"/>
      <c r="AQ21" s="294"/>
      <c r="AR21" s="295"/>
      <c r="AS21" s="301"/>
      <c r="AT21" s="302"/>
      <c r="AU21" s="294"/>
      <c r="AV21" s="294"/>
      <c r="AW21" s="294"/>
      <c r="AX21" s="294"/>
      <c r="AY21" s="295"/>
      <c r="AZ21" s="302"/>
      <c r="BA21" s="293"/>
      <c r="BB21" s="294"/>
      <c r="BC21" s="294"/>
      <c r="BD21" s="294"/>
      <c r="BE21" s="294"/>
      <c r="BF21" s="294"/>
      <c r="BG21" s="294"/>
      <c r="BH21" s="294"/>
      <c r="BI21" s="294"/>
      <c r="BJ21" s="294"/>
      <c r="BK21" s="301"/>
      <c r="BL21" s="302"/>
      <c r="BM21" s="294"/>
      <c r="BN21" s="294"/>
      <c r="BO21" s="294"/>
      <c r="BP21" s="294"/>
      <c r="BQ21" s="301"/>
      <c r="BR21" s="56">
        <f>SUM(B21:BQ21)</f>
        <v>0</v>
      </c>
    </row>
    <row r="22" spans="1:70">
      <c r="A22" s="240">
        <v>19</v>
      </c>
      <c r="B22" s="241"/>
      <c r="C22" s="43"/>
      <c r="D22" s="57"/>
      <c r="E22" s="293"/>
      <c r="F22" s="294"/>
      <c r="G22" s="294"/>
      <c r="H22" s="295"/>
      <c r="I22" s="295"/>
      <c r="J22" s="302"/>
      <c r="K22" s="294"/>
      <c r="L22" s="294"/>
      <c r="M22" s="301"/>
      <c r="N22" s="293"/>
      <c r="O22" s="294"/>
      <c r="P22" s="294"/>
      <c r="Q22" s="294"/>
      <c r="R22" s="295"/>
      <c r="S22" s="302"/>
      <c r="T22" s="294"/>
      <c r="U22" s="295"/>
      <c r="V22" s="295"/>
      <c r="W22" s="301"/>
      <c r="X22" s="302"/>
      <c r="Y22" s="294"/>
      <c r="Z22" s="294"/>
      <c r="AA22" s="294"/>
      <c r="AB22" s="294"/>
      <c r="AC22" s="294"/>
      <c r="AD22" s="294"/>
      <c r="AE22" s="294"/>
      <c r="AF22" s="294"/>
      <c r="AG22" s="301"/>
      <c r="AH22" s="302"/>
      <c r="AI22" s="294"/>
      <c r="AJ22" s="294"/>
      <c r="AK22" s="294"/>
      <c r="AL22" s="294"/>
      <c r="AM22" s="294"/>
      <c r="AN22" s="294"/>
      <c r="AO22" s="301"/>
      <c r="AP22" s="302"/>
      <c r="AQ22" s="294"/>
      <c r="AR22" s="295"/>
      <c r="AS22" s="301"/>
      <c r="AT22" s="302"/>
      <c r="AU22" s="294"/>
      <c r="AV22" s="294"/>
      <c r="AW22" s="294"/>
      <c r="AX22" s="294"/>
      <c r="AY22" s="295"/>
      <c r="AZ22" s="302"/>
      <c r="BA22" s="293"/>
      <c r="BB22" s="294"/>
      <c r="BC22" s="294"/>
      <c r="BD22" s="294"/>
      <c r="BE22" s="294"/>
      <c r="BF22" s="294"/>
      <c r="BG22" s="294"/>
      <c r="BH22" s="294"/>
      <c r="BI22" s="294"/>
      <c r="BJ22" s="294"/>
      <c r="BK22" s="301"/>
      <c r="BL22" s="302"/>
      <c r="BM22" s="294"/>
      <c r="BN22" s="294"/>
      <c r="BO22" s="294"/>
      <c r="BP22" s="294"/>
      <c r="BQ22" s="301"/>
      <c r="BR22" s="56">
        <f>SUM(B22:BQ22)</f>
        <v>0</v>
      </c>
    </row>
    <row r="23" spans="1:70">
      <c r="A23" s="240">
        <v>20</v>
      </c>
      <c r="B23" s="241"/>
      <c r="C23" s="43"/>
      <c r="D23" s="57"/>
      <c r="E23" s="293"/>
      <c r="F23" s="294"/>
      <c r="G23" s="294"/>
      <c r="H23" s="295"/>
      <c r="I23" s="295"/>
      <c r="J23" s="302"/>
      <c r="K23" s="294"/>
      <c r="L23" s="294"/>
      <c r="M23" s="301"/>
      <c r="N23" s="293"/>
      <c r="O23" s="294"/>
      <c r="P23" s="294"/>
      <c r="Q23" s="294"/>
      <c r="R23" s="295"/>
      <c r="S23" s="302"/>
      <c r="T23" s="294"/>
      <c r="U23" s="295"/>
      <c r="V23" s="295"/>
      <c r="W23" s="301"/>
      <c r="X23" s="302"/>
      <c r="Y23" s="294"/>
      <c r="Z23" s="294"/>
      <c r="AA23" s="294"/>
      <c r="AB23" s="294"/>
      <c r="AC23" s="294"/>
      <c r="AD23" s="294"/>
      <c r="AE23" s="294"/>
      <c r="AF23" s="294"/>
      <c r="AG23" s="301"/>
      <c r="AH23" s="302"/>
      <c r="AI23" s="294"/>
      <c r="AJ23" s="294"/>
      <c r="AK23" s="294"/>
      <c r="AL23" s="294"/>
      <c r="AM23" s="294"/>
      <c r="AN23" s="294"/>
      <c r="AO23" s="301"/>
      <c r="AP23" s="302"/>
      <c r="AQ23" s="294"/>
      <c r="AR23" s="295"/>
      <c r="AS23" s="301"/>
      <c r="AT23" s="302"/>
      <c r="AU23" s="294"/>
      <c r="AV23" s="294"/>
      <c r="AW23" s="294"/>
      <c r="AX23" s="294"/>
      <c r="AY23" s="295"/>
      <c r="AZ23" s="302"/>
      <c r="BA23" s="293"/>
      <c r="BB23" s="294"/>
      <c r="BC23" s="294"/>
      <c r="BD23" s="294"/>
      <c r="BE23" s="294"/>
      <c r="BF23" s="294"/>
      <c r="BG23" s="294"/>
      <c r="BH23" s="294"/>
      <c r="BI23" s="294"/>
      <c r="BJ23" s="294"/>
      <c r="BK23" s="301"/>
      <c r="BL23" s="302"/>
      <c r="BM23" s="294"/>
      <c r="BN23" s="294"/>
      <c r="BO23" s="294"/>
      <c r="BP23" s="294"/>
      <c r="BQ23" s="301"/>
      <c r="BR23" s="56">
        <f>SUM(B23:BQ23)</f>
        <v>0</v>
      </c>
    </row>
    <row r="24" spans="1:70">
      <c r="A24" s="240">
        <v>21</v>
      </c>
      <c r="B24" s="241"/>
      <c r="C24" s="43"/>
      <c r="D24" s="57"/>
      <c r="E24" s="293"/>
      <c r="F24" s="294"/>
      <c r="G24" s="294"/>
      <c r="H24" s="295"/>
      <c r="I24" s="295"/>
      <c r="J24" s="302"/>
      <c r="K24" s="294"/>
      <c r="L24" s="294"/>
      <c r="M24" s="301"/>
      <c r="N24" s="293"/>
      <c r="O24" s="294"/>
      <c r="P24" s="294"/>
      <c r="Q24" s="294"/>
      <c r="R24" s="295"/>
      <c r="S24" s="302"/>
      <c r="T24" s="294"/>
      <c r="U24" s="295"/>
      <c r="V24" s="295"/>
      <c r="W24" s="301"/>
      <c r="X24" s="302"/>
      <c r="Y24" s="294"/>
      <c r="Z24" s="294"/>
      <c r="AA24" s="294"/>
      <c r="AB24" s="294"/>
      <c r="AC24" s="294"/>
      <c r="AD24" s="294"/>
      <c r="AE24" s="294"/>
      <c r="AF24" s="294"/>
      <c r="AG24" s="301"/>
      <c r="AH24" s="302"/>
      <c r="AI24" s="294"/>
      <c r="AJ24" s="294"/>
      <c r="AK24" s="294"/>
      <c r="AL24" s="294"/>
      <c r="AM24" s="294"/>
      <c r="AN24" s="294"/>
      <c r="AO24" s="301"/>
      <c r="AP24" s="302"/>
      <c r="AQ24" s="294"/>
      <c r="AR24" s="295"/>
      <c r="AS24" s="301"/>
      <c r="AT24" s="302"/>
      <c r="AU24" s="294"/>
      <c r="AV24" s="294"/>
      <c r="AW24" s="294"/>
      <c r="AX24" s="294"/>
      <c r="AY24" s="295"/>
      <c r="AZ24" s="302"/>
      <c r="BA24" s="293"/>
      <c r="BB24" s="294"/>
      <c r="BC24" s="294"/>
      <c r="BD24" s="294"/>
      <c r="BE24" s="294"/>
      <c r="BF24" s="294"/>
      <c r="BG24" s="294"/>
      <c r="BH24" s="294"/>
      <c r="BI24" s="294"/>
      <c r="BJ24" s="294"/>
      <c r="BK24" s="301"/>
      <c r="BL24" s="302"/>
      <c r="BM24" s="294"/>
      <c r="BN24" s="294"/>
      <c r="BO24" s="294"/>
      <c r="BP24" s="294"/>
      <c r="BQ24" s="301"/>
      <c r="BR24" s="56">
        <f>SUM(B24:BQ24)</f>
        <v>0</v>
      </c>
    </row>
    <row r="25" spans="1:70" s="1" customFormat="1">
      <c r="A25" s="240">
        <v>22</v>
      </c>
      <c r="B25" s="241"/>
      <c r="C25" s="43"/>
      <c r="D25" s="57"/>
      <c r="E25" s="293"/>
      <c r="F25" s="294"/>
      <c r="G25" s="294"/>
      <c r="H25" s="295"/>
      <c r="I25" s="295"/>
      <c r="J25" s="302"/>
      <c r="K25" s="294"/>
      <c r="L25" s="294"/>
      <c r="M25" s="301"/>
      <c r="N25" s="293"/>
      <c r="O25" s="294"/>
      <c r="P25" s="294"/>
      <c r="Q25" s="294"/>
      <c r="R25" s="295"/>
      <c r="S25" s="302"/>
      <c r="T25" s="294"/>
      <c r="U25" s="295"/>
      <c r="V25" s="295"/>
      <c r="W25" s="301"/>
      <c r="X25" s="302"/>
      <c r="Y25" s="294"/>
      <c r="Z25" s="294"/>
      <c r="AA25" s="294"/>
      <c r="AB25" s="294"/>
      <c r="AC25" s="294"/>
      <c r="AD25" s="294"/>
      <c r="AE25" s="294"/>
      <c r="AF25" s="294"/>
      <c r="AG25" s="301"/>
      <c r="AH25" s="302"/>
      <c r="AI25" s="294"/>
      <c r="AJ25" s="294"/>
      <c r="AK25" s="294"/>
      <c r="AL25" s="294"/>
      <c r="AM25" s="294"/>
      <c r="AN25" s="294"/>
      <c r="AO25" s="301"/>
      <c r="AP25" s="302"/>
      <c r="AQ25" s="294"/>
      <c r="AR25" s="295"/>
      <c r="AS25" s="301"/>
      <c r="AT25" s="302"/>
      <c r="AU25" s="294"/>
      <c r="AV25" s="294"/>
      <c r="AW25" s="294"/>
      <c r="AX25" s="294"/>
      <c r="AY25" s="295"/>
      <c r="AZ25" s="302"/>
      <c r="BA25" s="293"/>
      <c r="BB25" s="294"/>
      <c r="BC25" s="294"/>
      <c r="BD25" s="294"/>
      <c r="BE25" s="294"/>
      <c r="BF25" s="294"/>
      <c r="BG25" s="294"/>
      <c r="BH25" s="294"/>
      <c r="BI25" s="294"/>
      <c r="BJ25" s="294"/>
      <c r="BK25" s="301"/>
      <c r="BL25" s="302"/>
      <c r="BM25" s="294"/>
      <c r="BN25" s="294"/>
      <c r="BO25" s="294"/>
      <c r="BP25" s="294"/>
      <c r="BQ25" s="301"/>
      <c r="BR25" s="56">
        <f>SUM(B25:BQ25)</f>
        <v>0</v>
      </c>
    </row>
    <row r="26" spans="1:70">
      <c r="A26" s="240">
        <v>23</v>
      </c>
      <c r="B26" s="241"/>
      <c r="C26" s="43"/>
      <c r="D26" s="57"/>
      <c r="E26" s="293"/>
      <c r="F26" s="294"/>
      <c r="G26" s="294"/>
      <c r="H26" s="295"/>
      <c r="I26" s="295"/>
      <c r="J26" s="302"/>
      <c r="K26" s="294"/>
      <c r="L26" s="294"/>
      <c r="M26" s="301"/>
      <c r="N26" s="293"/>
      <c r="O26" s="294"/>
      <c r="P26" s="294"/>
      <c r="Q26" s="294"/>
      <c r="R26" s="295"/>
      <c r="S26" s="302"/>
      <c r="T26" s="294"/>
      <c r="U26" s="295"/>
      <c r="V26" s="295"/>
      <c r="W26" s="301"/>
      <c r="X26" s="302"/>
      <c r="Y26" s="294"/>
      <c r="Z26" s="294"/>
      <c r="AA26" s="294"/>
      <c r="AB26" s="294"/>
      <c r="AC26" s="294"/>
      <c r="AD26" s="294"/>
      <c r="AE26" s="294"/>
      <c r="AF26" s="294"/>
      <c r="AG26" s="301"/>
      <c r="AH26" s="302"/>
      <c r="AI26" s="294"/>
      <c r="AJ26" s="294"/>
      <c r="AK26" s="294"/>
      <c r="AL26" s="294"/>
      <c r="AM26" s="294"/>
      <c r="AN26" s="294"/>
      <c r="AO26" s="301"/>
      <c r="AP26" s="302"/>
      <c r="AQ26" s="294"/>
      <c r="AR26" s="295"/>
      <c r="AS26" s="301"/>
      <c r="AT26" s="302"/>
      <c r="AU26" s="294"/>
      <c r="AV26" s="294"/>
      <c r="AW26" s="294"/>
      <c r="AX26" s="294"/>
      <c r="AY26" s="295"/>
      <c r="AZ26" s="302"/>
      <c r="BA26" s="293"/>
      <c r="BB26" s="294"/>
      <c r="BC26" s="294"/>
      <c r="BD26" s="294"/>
      <c r="BE26" s="294"/>
      <c r="BF26" s="294"/>
      <c r="BG26" s="294"/>
      <c r="BH26" s="294"/>
      <c r="BI26" s="294"/>
      <c r="BJ26" s="294"/>
      <c r="BK26" s="301"/>
      <c r="BL26" s="302"/>
      <c r="BM26" s="294"/>
      <c r="BN26" s="294"/>
      <c r="BO26" s="294"/>
      <c r="BP26" s="294"/>
      <c r="BQ26" s="301"/>
      <c r="BR26" s="56">
        <f>SUM(B26:BQ26)</f>
        <v>0</v>
      </c>
    </row>
    <row r="27" spans="1:70">
      <c r="A27" s="240">
        <v>24</v>
      </c>
      <c r="B27" s="241"/>
      <c r="C27" s="43"/>
      <c r="D27" s="57"/>
      <c r="E27" s="293"/>
      <c r="F27" s="294"/>
      <c r="G27" s="294"/>
      <c r="H27" s="295"/>
      <c r="I27" s="295"/>
      <c r="J27" s="302"/>
      <c r="K27" s="294"/>
      <c r="L27" s="294"/>
      <c r="M27" s="301"/>
      <c r="N27" s="293"/>
      <c r="O27" s="294"/>
      <c r="P27" s="294"/>
      <c r="Q27" s="294"/>
      <c r="R27" s="295"/>
      <c r="S27" s="302"/>
      <c r="T27" s="294"/>
      <c r="U27" s="295"/>
      <c r="V27" s="295"/>
      <c r="W27" s="301"/>
      <c r="X27" s="302"/>
      <c r="Y27" s="294"/>
      <c r="Z27" s="294"/>
      <c r="AA27" s="294"/>
      <c r="AB27" s="294"/>
      <c r="AC27" s="294"/>
      <c r="AD27" s="294"/>
      <c r="AE27" s="294"/>
      <c r="AF27" s="294"/>
      <c r="AG27" s="301"/>
      <c r="AH27" s="302"/>
      <c r="AI27" s="294"/>
      <c r="AJ27" s="294"/>
      <c r="AK27" s="294"/>
      <c r="AL27" s="294"/>
      <c r="AM27" s="294"/>
      <c r="AN27" s="294"/>
      <c r="AO27" s="301"/>
      <c r="AP27" s="302"/>
      <c r="AQ27" s="294"/>
      <c r="AR27" s="295"/>
      <c r="AS27" s="301"/>
      <c r="AT27" s="302"/>
      <c r="AU27" s="294"/>
      <c r="AV27" s="294"/>
      <c r="AW27" s="294"/>
      <c r="AX27" s="294"/>
      <c r="AY27" s="295"/>
      <c r="AZ27" s="302"/>
      <c r="BA27" s="293"/>
      <c r="BB27" s="294"/>
      <c r="BC27" s="294"/>
      <c r="BD27" s="294"/>
      <c r="BE27" s="294"/>
      <c r="BF27" s="294"/>
      <c r="BG27" s="294"/>
      <c r="BH27" s="294"/>
      <c r="BI27" s="294"/>
      <c r="BJ27" s="294"/>
      <c r="BK27" s="301"/>
      <c r="BL27" s="302"/>
      <c r="BM27" s="294"/>
      <c r="BN27" s="294"/>
      <c r="BO27" s="294"/>
      <c r="BP27" s="294"/>
      <c r="BQ27" s="301"/>
      <c r="BR27" s="56">
        <f>SUM(B27:BQ27)</f>
        <v>0</v>
      </c>
    </row>
    <row r="28" spans="1:70">
      <c r="A28" s="240">
        <v>25</v>
      </c>
      <c r="B28" s="241"/>
      <c r="C28" s="43"/>
      <c r="D28" s="57"/>
      <c r="E28" s="293"/>
      <c r="F28" s="294"/>
      <c r="G28" s="294"/>
      <c r="H28" s="295"/>
      <c r="I28" s="295"/>
      <c r="J28" s="302"/>
      <c r="K28" s="294"/>
      <c r="L28" s="294"/>
      <c r="M28" s="301"/>
      <c r="N28" s="293"/>
      <c r="O28" s="294"/>
      <c r="P28" s="294"/>
      <c r="Q28" s="294"/>
      <c r="R28" s="295"/>
      <c r="S28" s="302"/>
      <c r="T28" s="294"/>
      <c r="U28" s="295"/>
      <c r="V28" s="295"/>
      <c r="W28" s="301"/>
      <c r="X28" s="302"/>
      <c r="Y28" s="294"/>
      <c r="Z28" s="294"/>
      <c r="AA28" s="294"/>
      <c r="AB28" s="294"/>
      <c r="AC28" s="294"/>
      <c r="AD28" s="294"/>
      <c r="AE28" s="294"/>
      <c r="AF28" s="294"/>
      <c r="AG28" s="301"/>
      <c r="AH28" s="302"/>
      <c r="AI28" s="294"/>
      <c r="AJ28" s="294"/>
      <c r="AK28" s="294"/>
      <c r="AL28" s="294"/>
      <c r="AM28" s="294"/>
      <c r="AN28" s="294"/>
      <c r="AO28" s="301"/>
      <c r="AP28" s="302"/>
      <c r="AQ28" s="294"/>
      <c r="AR28" s="295"/>
      <c r="AS28" s="301"/>
      <c r="AT28" s="302"/>
      <c r="AU28" s="294"/>
      <c r="AV28" s="294"/>
      <c r="AW28" s="294"/>
      <c r="AX28" s="294"/>
      <c r="AY28" s="295"/>
      <c r="AZ28" s="302"/>
      <c r="BA28" s="293"/>
      <c r="BB28" s="294"/>
      <c r="BC28" s="294"/>
      <c r="BD28" s="294"/>
      <c r="BE28" s="294"/>
      <c r="BF28" s="294"/>
      <c r="BG28" s="294"/>
      <c r="BH28" s="294"/>
      <c r="BI28" s="294"/>
      <c r="BJ28" s="294"/>
      <c r="BK28" s="301"/>
      <c r="BL28" s="302"/>
      <c r="BM28" s="294"/>
      <c r="BN28" s="294"/>
      <c r="BO28" s="294"/>
      <c r="BP28" s="294"/>
      <c r="BQ28" s="301"/>
      <c r="BR28" s="56">
        <f>SUM(B28:BQ28)</f>
        <v>0</v>
      </c>
    </row>
    <row r="29" spans="1:70">
      <c r="A29" s="240">
        <v>26</v>
      </c>
      <c r="B29" s="241"/>
      <c r="C29" s="43"/>
      <c r="D29" s="57"/>
      <c r="E29" s="293"/>
      <c r="F29" s="294"/>
      <c r="G29" s="294"/>
      <c r="H29" s="295"/>
      <c r="I29" s="295"/>
      <c r="J29" s="302"/>
      <c r="K29" s="294"/>
      <c r="L29" s="294"/>
      <c r="M29" s="301"/>
      <c r="N29" s="293"/>
      <c r="O29" s="294"/>
      <c r="P29" s="294"/>
      <c r="Q29" s="294"/>
      <c r="R29" s="295"/>
      <c r="S29" s="302"/>
      <c r="T29" s="294"/>
      <c r="U29" s="295"/>
      <c r="V29" s="295"/>
      <c r="W29" s="301"/>
      <c r="X29" s="302"/>
      <c r="Y29" s="294"/>
      <c r="Z29" s="294"/>
      <c r="AA29" s="294"/>
      <c r="AB29" s="294"/>
      <c r="AC29" s="294"/>
      <c r="AD29" s="294"/>
      <c r="AE29" s="294"/>
      <c r="AF29" s="294"/>
      <c r="AG29" s="301"/>
      <c r="AH29" s="302"/>
      <c r="AI29" s="294"/>
      <c r="AJ29" s="294"/>
      <c r="AK29" s="294"/>
      <c r="AL29" s="294"/>
      <c r="AM29" s="294"/>
      <c r="AN29" s="294"/>
      <c r="AO29" s="301"/>
      <c r="AP29" s="302"/>
      <c r="AQ29" s="294"/>
      <c r="AR29" s="295"/>
      <c r="AS29" s="301"/>
      <c r="AT29" s="302"/>
      <c r="AU29" s="294"/>
      <c r="AV29" s="294"/>
      <c r="AW29" s="294"/>
      <c r="AX29" s="294"/>
      <c r="AY29" s="295"/>
      <c r="AZ29" s="302"/>
      <c r="BA29" s="293"/>
      <c r="BB29" s="294"/>
      <c r="BC29" s="294"/>
      <c r="BD29" s="294"/>
      <c r="BE29" s="294"/>
      <c r="BF29" s="294"/>
      <c r="BG29" s="294"/>
      <c r="BH29" s="294"/>
      <c r="BI29" s="294"/>
      <c r="BJ29" s="294"/>
      <c r="BK29" s="301"/>
      <c r="BL29" s="302"/>
      <c r="BM29" s="294"/>
      <c r="BN29" s="294"/>
      <c r="BO29" s="294"/>
      <c r="BP29" s="294"/>
      <c r="BQ29" s="301"/>
      <c r="BR29" s="56">
        <f>SUM(B29:BQ29)</f>
        <v>0</v>
      </c>
    </row>
    <row r="30" spans="1:70">
      <c r="A30" s="240">
        <v>27</v>
      </c>
      <c r="B30" s="241"/>
      <c r="C30" s="43"/>
      <c r="D30" s="57"/>
      <c r="E30" s="293"/>
      <c r="F30" s="294"/>
      <c r="G30" s="294"/>
      <c r="H30" s="295"/>
      <c r="I30" s="295"/>
      <c r="J30" s="302"/>
      <c r="K30" s="294"/>
      <c r="L30" s="294"/>
      <c r="M30" s="301"/>
      <c r="N30" s="293"/>
      <c r="O30" s="294"/>
      <c r="P30" s="294"/>
      <c r="Q30" s="294"/>
      <c r="R30" s="295"/>
      <c r="S30" s="302"/>
      <c r="T30" s="294"/>
      <c r="U30" s="295"/>
      <c r="V30" s="295"/>
      <c r="W30" s="301"/>
      <c r="X30" s="302"/>
      <c r="Y30" s="294"/>
      <c r="Z30" s="294"/>
      <c r="AA30" s="294"/>
      <c r="AB30" s="294"/>
      <c r="AC30" s="294"/>
      <c r="AD30" s="294"/>
      <c r="AE30" s="294"/>
      <c r="AF30" s="294"/>
      <c r="AG30" s="301"/>
      <c r="AH30" s="302"/>
      <c r="AI30" s="294"/>
      <c r="AJ30" s="294"/>
      <c r="AK30" s="294"/>
      <c r="AL30" s="294"/>
      <c r="AM30" s="294"/>
      <c r="AN30" s="294"/>
      <c r="AO30" s="301"/>
      <c r="AP30" s="302"/>
      <c r="AQ30" s="294"/>
      <c r="AR30" s="295"/>
      <c r="AS30" s="301"/>
      <c r="AT30" s="302"/>
      <c r="AU30" s="294"/>
      <c r="AV30" s="294"/>
      <c r="AW30" s="294"/>
      <c r="AX30" s="294"/>
      <c r="AY30" s="295"/>
      <c r="AZ30" s="302"/>
      <c r="BA30" s="293"/>
      <c r="BB30" s="294"/>
      <c r="BC30" s="294"/>
      <c r="BD30" s="294"/>
      <c r="BE30" s="294"/>
      <c r="BF30" s="294"/>
      <c r="BG30" s="294"/>
      <c r="BH30" s="294"/>
      <c r="BI30" s="294"/>
      <c r="BJ30" s="294"/>
      <c r="BK30" s="301"/>
      <c r="BL30" s="302"/>
      <c r="BM30" s="294"/>
      <c r="BN30" s="294"/>
      <c r="BO30" s="294"/>
      <c r="BP30" s="294"/>
      <c r="BQ30" s="301"/>
      <c r="BR30" s="56">
        <f>SUM(B30:BQ30)</f>
        <v>0</v>
      </c>
    </row>
    <row r="31" spans="1:70">
      <c r="A31" s="240">
        <v>28</v>
      </c>
      <c r="B31" s="241"/>
      <c r="C31" s="43"/>
      <c r="D31" s="57"/>
      <c r="E31" s="293"/>
      <c r="F31" s="294"/>
      <c r="G31" s="294"/>
      <c r="H31" s="295"/>
      <c r="I31" s="295"/>
      <c r="J31" s="302"/>
      <c r="K31" s="294"/>
      <c r="L31" s="294"/>
      <c r="M31" s="301"/>
      <c r="N31" s="293"/>
      <c r="O31" s="294"/>
      <c r="P31" s="294"/>
      <c r="Q31" s="294"/>
      <c r="R31" s="295"/>
      <c r="S31" s="302"/>
      <c r="T31" s="294"/>
      <c r="U31" s="295"/>
      <c r="V31" s="295"/>
      <c r="W31" s="301"/>
      <c r="X31" s="302"/>
      <c r="Y31" s="294"/>
      <c r="Z31" s="294"/>
      <c r="AA31" s="294"/>
      <c r="AB31" s="294"/>
      <c r="AC31" s="294"/>
      <c r="AD31" s="294"/>
      <c r="AE31" s="294"/>
      <c r="AF31" s="294"/>
      <c r="AG31" s="301"/>
      <c r="AH31" s="302"/>
      <c r="AI31" s="294"/>
      <c r="AJ31" s="294"/>
      <c r="AK31" s="294"/>
      <c r="AL31" s="294"/>
      <c r="AM31" s="294"/>
      <c r="AN31" s="294"/>
      <c r="AO31" s="301"/>
      <c r="AP31" s="302"/>
      <c r="AQ31" s="294"/>
      <c r="AR31" s="295"/>
      <c r="AS31" s="301"/>
      <c r="AT31" s="302"/>
      <c r="AU31" s="294"/>
      <c r="AV31" s="294"/>
      <c r="AW31" s="294"/>
      <c r="AX31" s="294"/>
      <c r="AY31" s="295"/>
      <c r="AZ31" s="302"/>
      <c r="BA31" s="293"/>
      <c r="BB31" s="294"/>
      <c r="BC31" s="294"/>
      <c r="BD31" s="294"/>
      <c r="BE31" s="294"/>
      <c r="BF31" s="294"/>
      <c r="BG31" s="294"/>
      <c r="BH31" s="294"/>
      <c r="BI31" s="294"/>
      <c r="BJ31" s="294"/>
      <c r="BK31" s="301"/>
      <c r="BL31" s="302"/>
      <c r="BM31" s="294"/>
      <c r="BN31" s="294"/>
      <c r="BO31" s="294"/>
      <c r="BP31" s="294"/>
      <c r="BQ31" s="301"/>
      <c r="BR31" s="56">
        <f>SUM(B31:BQ31)</f>
        <v>0</v>
      </c>
    </row>
    <row r="32" spans="1:70" s="1" customFormat="1">
      <c r="A32" s="240">
        <v>29</v>
      </c>
      <c r="B32" s="241"/>
      <c r="C32" s="43"/>
      <c r="D32" s="57"/>
      <c r="E32" s="293"/>
      <c r="F32" s="294"/>
      <c r="G32" s="294"/>
      <c r="H32" s="295"/>
      <c r="I32" s="295"/>
      <c r="J32" s="302"/>
      <c r="K32" s="294"/>
      <c r="L32" s="294"/>
      <c r="M32" s="301"/>
      <c r="N32" s="293"/>
      <c r="O32" s="294"/>
      <c r="P32" s="294"/>
      <c r="Q32" s="294"/>
      <c r="R32" s="295"/>
      <c r="S32" s="302"/>
      <c r="T32" s="294"/>
      <c r="U32" s="295"/>
      <c r="V32" s="295"/>
      <c r="W32" s="301"/>
      <c r="X32" s="302"/>
      <c r="Y32" s="294"/>
      <c r="Z32" s="294"/>
      <c r="AA32" s="294"/>
      <c r="AB32" s="294"/>
      <c r="AC32" s="294"/>
      <c r="AD32" s="294"/>
      <c r="AE32" s="294"/>
      <c r="AF32" s="294"/>
      <c r="AG32" s="301"/>
      <c r="AH32" s="302"/>
      <c r="AI32" s="294"/>
      <c r="AJ32" s="294"/>
      <c r="AK32" s="294"/>
      <c r="AL32" s="294"/>
      <c r="AM32" s="294"/>
      <c r="AN32" s="294"/>
      <c r="AO32" s="301"/>
      <c r="AP32" s="302"/>
      <c r="AQ32" s="294"/>
      <c r="AR32" s="295"/>
      <c r="AS32" s="301"/>
      <c r="AT32" s="302"/>
      <c r="AU32" s="294"/>
      <c r="AV32" s="294"/>
      <c r="AW32" s="294"/>
      <c r="AX32" s="294"/>
      <c r="AY32" s="295"/>
      <c r="AZ32" s="302"/>
      <c r="BA32" s="293"/>
      <c r="BB32" s="294"/>
      <c r="BC32" s="294"/>
      <c r="BD32" s="294"/>
      <c r="BE32" s="294"/>
      <c r="BF32" s="294"/>
      <c r="BG32" s="294"/>
      <c r="BH32" s="294"/>
      <c r="BI32" s="294"/>
      <c r="BJ32" s="294"/>
      <c r="BK32" s="301"/>
      <c r="BL32" s="302"/>
      <c r="BM32" s="294"/>
      <c r="BN32" s="294"/>
      <c r="BO32" s="294"/>
      <c r="BP32" s="294"/>
      <c r="BQ32" s="301"/>
      <c r="BR32" s="56">
        <f>SUM(B32:BQ32)</f>
        <v>0</v>
      </c>
    </row>
    <row r="33" spans="1:70">
      <c r="A33" s="240">
        <v>30</v>
      </c>
      <c r="B33" s="241"/>
      <c r="C33" s="43"/>
      <c r="D33" s="57"/>
      <c r="E33" s="293"/>
      <c r="F33" s="294"/>
      <c r="G33" s="294"/>
      <c r="H33" s="295"/>
      <c r="I33" s="295"/>
      <c r="J33" s="302"/>
      <c r="K33" s="294"/>
      <c r="L33" s="294"/>
      <c r="M33" s="301"/>
      <c r="N33" s="293"/>
      <c r="O33" s="294"/>
      <c r="P33" s="294"/>
      <c r="Q33" s="294"/>
      <c r="R33" s="295"/>
      <c r="S33" s="302"/>
      <c r="T33" s="294"/>
      <c r="U33" s="295"/>
      <c r="V33" s="295"/>
      <c r="W33" s="301"/>
      <c r="X33" s="302"/>
      <c r="Y33" s="294"/>
      <c r="Z33" s="294"/>
      <c r="AA33" s="294"/>
      <c r="AB33" s="294"/>
      <c r="AC33" s="294"/>
      <c r="AD33" s="294"/>
      <c r="AE33" s="294"/>
      <c r="AF33" s="294"/>
      <c r="AG33" s="301"/>
      <c r="AH33" s="302"/>
      <c r="AI33" s="294"/>
      <c r="AJ33" s="294"/>
      <c r="AK33" s="294"/>
      <c r="AL33" s="294"/>
      <c r="AM33" s="294"/>
      <c r="AN33" s="294"/>
      <c r="AO33" s="301"/>
      <c r="AP33" s="302"/>
      <c r="AQ33" s="294"/>
      <c r="AR33" s="295"/>
      <c r="AS33" s="301"/>
      <c r="AT33" s="302"/>
      <c r="AU33" s="294"/>
      <c r="AV33" s="294"/>
      <c r="AW33" s="294"/>
      <c r="AX33" s="294"/>
      <c r="AY33" s="295"/>
      <c r="AZ33" s="302"/>
      <c r="BA33" s="293"/>
      <c r="BB33" s="294"/>
      <c r="BC33" s="294"/>
      <c r="BD33" s="294"/>
      <c r="BE33" s="294"/>
      <c r="BF33" s="294"/>
      <c r="BG33" s="294"/>
      <c r="BH33" s="294"/>
      <c r="BI33" s="294"/>
      <c r="BJ33" s="294"/>
      <c r="BK33" s="301"/>
      <c r="BL33" s="302"/>
      <c r="BM33" s="294"/>
      <c r="BN33" s="294"/>
      <c r="BO33" s="294"/>
      <c r="BP33" s="294"/>
      <c r="BQ33" s="301"/>
      <c r="BR33" s="56">
        <f>SUM(B33:BQ33)</f>
        <v>0</v>
      </c>
    </row>
    <row r="34" spans="1:70">
      <c r="A34" s="240">
        <v>31</v>
      </c>
      <c r="B34" s="241"/>
      <c r="C34" s="43"/>
      <c r="D34" s="57"/>
      <c r="E34" s="296"/>
      <c r="F34" s="294"/>
      <c r="G34" s="294"/>
      <c r="H34" s="295"/>
      <c r="I34" s="295"/>
      <c r="J34" s="303"/>
      <c r="K34" s="304"/>
      <c r="L34" s="304"/>
      <c r="M34" s="305"/>
      <c r="N34" s="293"/>
      <c r="O34" s="294"/>
      <c r="P34" s="294"/>
      <c r="Q34" s="294"/>
      <c r="R34" s="295"/>
      <c r="S34" s="303"/>
      <c r="T34" s="304"/>
      <c r="U34" s="308"/>
      <c r="V34" s="308"/>
      <c r="W34" s="305"/>
      <c r="X34" s="302"/>
      <c r="Y34" s="294"/>
      <c r="Z34" s="294"/>
      <c r="AA34" s="294"/>
      <c r="AB34" s="294"/>
      <c r="AC34" s="294"/>
      <c r="AD34" s="294"/>
      <c r="AE34" s="294"/>
      <c r="AF34" s="294"/>
      <c r="AG34" s="301"/>
      <c r="AH34" s="302"/>
      <c r="AI34" s="294"/>
      <c r="AJ34" s="294"/>
      <c r="AK34" s="294"/>
      <c r="AL34" s="294"/>
      <c r="AM34" s="294"/>
      <c r="AN34" s="294"/>
      <c r="AO34" s="301"/>
      <c r="AP34" s="303"/>
      <c r="AQ34" s="304"/>
      <c r="AR34" s="308"/>
      <c r="AS34" s="305"/>
      <c r="AT34" s="302"/>
      <c r="AU34" s="294"/>
      <c r="AV34" s="294"/>
      <c r="AW34" s="294"/>
      <c r="AX34" s="294"/>
      <c r="AY34" s="295"/>
      <c r="AZ34" s="303"/>
      <c r="BA34" s="642"/>
      <c r="BB34" s="304"/>
      <c r="BC34" s="304"/>
      <c r="BD34" s="304"/>
      <c r="BE34" s="304"/>
      <c r="BF34" s="304"/>
      <c r="BG34" s="304"/>
      <c r="BH34" s="304"/>
      <c r="BI34" s="304"/>
      <c r="BJ34" s="304"/>
      <c r="BK34" s="305"/>
      <c r="BL34" s="303"/>
      <c r="BM34" s="304"/>
      <c r="BN34" s="304"/>
      <c r="BO34" s="304"/>
      <c r="BP34" s="304"/>
      <c r="BQ34" s="305"/>
      <c r="BR34" s="56">
        <f>SUM(B34:BQ34)</f>
        <v>0</v>
      </c>
    </row>
    <row r="35" spans="1:70">
      <c r="B35" s="297">
        <f t="shared" ref="B35:E35" si="0">SUM(B4:B34)</f>
        <v>0</v>
      </c>
      <c r="C35" s="297">
        <f t="shared" si="0"/>
        <v>0</v>
      </c>
      <c r="D35" s="297">
        <f t="shared" si="0"/>
        <v>0</v>
      </c>
      <c r="E35" s="297">
        <f t="shared" si="0"/>
        <v>0</v>
      </c>
      <c r="F35" s="113">
        <f t="shared" ref="F35:BH35" si="1">SUM(F4:F34)</f>
        <v>0</v>
      </c>
      <c r="G35" s="113">
        <f t="shared" si="1"/>
        <v>0</v>
      </c>
      <c r="H35" s="113">
        <f t="shared" si="1"/>
        <v>0</v>
      </c>
      <c r="I35" s="113">
        <f t="shared" si="1"/>
        <v>0</v>
      </c>
      <c r="J35" s="113">
        <f t="shared" si="1"/>
        <v>0</v>
      </c>
      <c r="K35" s="113">
        <f t="shared" si="1"/>
        <v>0</v>
      </c>
      <c r="L35" s="113">
        <f t="shared" si="1"/>
        <v>0</v>
      </c>
      <c r="M35" s="113">
        <f t="shared" si="1"/>
        <v>0</v>
      </c>
      <c r="N35" s="113">
        <f t="shared" si="1"/>
        <v>0</v>
      </c>
      <c r="O35" s="113">
        <f t="shared" si="1"/>
        <v>0</v>
      </c>
      <c r="P35" s="113">
        <f t="shared" si="1"/>
        <v>0</v>
      </c>
      <c r="Q35" s="113">
        <f t="shared" si="1"/>
        <v>0</v>
      </c>
      <c r="R35" s="113">
        <f t="shared" si="1"/>
        <v>0</v>
      </c>
      <c r="S35" s="113">
        <f t="shared" si="1"/>
        <v>0</v>
      </c>
      <c r="T35" s="113">
        <f t="shared" si="1"/>
        <v>0</v>
      </c>
      <c r="U35" s="113">
        <f t="shared" si="1"/>
        <v>0</v>
      </c>
      <c r="V35" s="113">
        <f t="shared" si="1"/>
        <v>0</v>
      </c>
      <c r="W35" s="113">
        <f t="shared" si="1"/>
        <v>0</v>
      </c>
      <c r="X35" s="113">
        <f t="shared" si="1"/>
        <v>0</v>
      </c>
      <c r="Y35" s="113">
        <f t="shared" si="1"/>
        <v>0</v>
      </c>
      <c r="Z35" s="113">
        <f t="shared" si="1"/>
        <v>0</v>
      </c>
      <c r="AA35" s="113">
        <f t="shared" si="1"/>
        <v>0</v>
      </c>
      <c r="AB35" s="113">
        <f t="shared" si="1"/>
        <v>0</v>
      </c>
      <c r="AC35" s="113">
        <f t="shared" si="1"/>
        <v>0</v>
      </c>
      <c r="AD35" s="113">
        <f t="shared" si="1"/>
        <v>0</v>
      </c>
      <c r="AE35" s="113">
        <f t="shared" si="1"/>
        <v>0</v>
      </c>
      <c r="AF35" s="113">
        <f t="shared" si="1"/>
        <v>0</v>
      </c>
      <c r="AG35" s="113">
        <f t="shared" si="1"/>
        <v>0</v>
      </c>
      <c r="AH35" s="113">
        <f t="shared" si="1"/>
        <v>0</v>
      </c>
      <c r="AI35" s="113">
        <f t="shared" si="1"/>
        <v>0</v>
      </c>
      <c r="AJ35" s="113">
        <f t="shared" si="1"/>
        <v>0</v>
      </c>
      <c r="AK35" s="113">
        <f t="shared" si="1"/>
        <v>0</v>
      </c>
      <c r="AL35" s="113">
        <f t="shared" si="1"/>
        <v>0</v>
      </c>
      <c r="AM35" s="113">
        <f t="shared" si="1"/>
        <v>0</v>
      </c>
      <c r="AN35" s="113">
        <f t="shared" si="1"/>
        <v>0</v>
      </c>
      <c r="AO35" s="113">
        <f t="shared" si="1"/>
        <v>0</v>
      </c>
      <c r="AP35" s="297">
        <f t="shared" si="1"/>
        <v>0</v>
      </c>
      <c r="AQ35" s="113">
        <f t="shared" si="1"/>
        <v>0</v>
      </c>
      <c r="AR35" s="113">
        <f t="shared" si="1"/>
        <v>0</v>
      </c>
      <c r="AS35" s="113">
        <f t="shared" si="1"/>
        <v>0</v>
      </c>
      <c r="AT35" s="113">
        <f t="shared" ref="AT35:AY35" si="2">SUM(AT4:AT34)</f>
        <v>0</v>
      </c>
      <c r="AU35" s="113">
        <f t="shared" si="2"/>
        <v>0</v>
      </c>
      <c r="AV35" s="113">
        <f t="shared" si="2"/>
        <v>0</v>
      </c>
      <c r="AW35" s="113">
        <f t="shared" si="2"/>
        <v>0</v>
      </c>
      <c r="AX35" s="113">
        <f t="shared" si="2"/>
        <v>0</v>
      </c>
      <c r="AY35" s="306">
        <f t="shared" si="2"/>
        <v>0</v>
      </c>
      <c r="AZ35" s="33">
        <f>SUM(AZ4:AZ34)</f>
        <v>0</v>
      </c>
      <c r="BA35" s="402">
        <f t="shared" ref="BA35:BK35" si="3">SUM(BA4:BA34)</f>
        <v>0</v>
      </c>
      <c r="BB35" s="402">
        <f t="shared" si="3"/>
        <v>0</v>
      </c>
      <c r="BC35" s="402">
        <f t="shared" si="3"/>
        <v>0</v>
      </c>
      <c r="BD35" s="402">
        <f t="shared" si="3"/>
        <v>0</v>
      </c>
      <c r="BE35" s="402">
        <f t="shared" si="3"/>
        <v>0</v>
      </c>
      <c r="BF35" s="402">
        <f t="shared" si="3"/>
        <v>0</v>
      </c>
      <c r="BG35" s="402">
        <f t="shared" si="3"/>
        <v>0</v>
      </c>
      <c r="BH35" s="402">
        <f t="shared" si="3"/>
        <v>0</v>
      </c>
      <c r="BI35" s="402">
        <f t="shared" si="3"/>
        <v>0</v>
      </c>
      <c r="BJ35" s="402">
        <f t="shared" si="3"/>
        <v>0</v>
      </c>
      <c r="BK35" s="402">
        <f t="shared" si="3"/>
        <v>0</v>
      </c>
      <c r="BL35" s="113">
        <f t="shared" ref="BL35:BR35" si="4">SUM(BL4:BL34)</f>
        <v>0</v>
      </c>
      <c r="BM35" s="113">
        <f t="shared" si="4"/>
        <v>0</v>
      </c>
      <c r="BN35" s="113">
        <f t="shared" si="4"/>
        <v>0</v>
      </c>
      <c r="BO35" s="113">
        <f t="shared" si="4"/>
        <v>0</v>
      </c>
      <c r="BP35" s="113">
        <f t="shared" si="4"/>
        <v>0</v>
      </c>
      <c r="BQ35" s="306">
        <f t="shared" si="4"/>
        <v>0</v>
      </c>
      <c r="BR35" s="113">
        <f t="shared" si="4"/>
        <v>0</v>
      </c>
    </row>
    <row r="37" spans="1:70">
      <c r="E37" s="445" t="s">
        <v>42</v>
      </c>
      <c r="F37" s="446"/>
    </row>
    <row r="38" spans="1:70" ht="15.75" thickBot="1">
      <c r="A38" s="435" t="s">
        <v>2</v>
      </c>
      <c r="B38" s="440" t="s">
        <v>45</v>
      </c>
      <c r="C38" s="441"/>
      <c r="D38" s="442"/>
      <c r="E38" s="440" t="s">
        <v>46</v>
      </c>
      <c r="F38" s="441"/>
      <c r="G38" s="441"/>
      <c r="H38" s="441"/>
      <c r="I38" s="441"/>
      <c r="J38" s="440" t="s">
        <v>47</v>
      </c>
      <c r="K38" s="441"/>
      <c r="L38" s="441"/>
      <c r="M38" s="442"/>
      <c r="N38" s="432" t="s">
        <v>48</v>
      </c>
      <c r="O38" s="432"/>
      <c r="P38" s="432"/>
      <c r="Q38" s="432"/>
      <c r="R38" s="432"/>
      <c r="S38" s="431" t="s">
        <v>49</v>
      </c>
      <c r="T38" s="432"/>
      <c r="U38" s="432"/>
      <c r="V38" s="432"/>
      <c r="W38" s="433"/>
      <c r="X38" s="431" t="s">
        <v>50</v>
      </c>
      <c r="Y38" s="432"/>
      <c r="Z38" s="432"/>
      <c r="AA38" s="432"/>
      <c r="AB38" s="432"/>
      <c r="AC38" s="432"/>
      <c r="AD38" s="432"/>
      <c r="AE38" s="432"/>
      <c r="AF38" s="432"/>
      <c r="AG38" s="433"/>
      <c r="AH38" s="431" t="s">
        <v>51</v>
      </c>
      <c r="AI38" s="432"/>
      <c r="AJ38" s="432"/>
      <c r="AK38" s="432"/>
      <c r="AL38" s="432"/>
      <c r="AM38" s="432"/>
      <c r="AN38" s="432"/>
      <c r="AO38" s="433"/>
      <c r="AP38" s="431" t="s">
        <v>52</v>
      </c>
      <c r="AQ38" s="432"/>
      <c r="AR38" s="432"/>
      <c r="AS38" s="433"/>
      <c r="AT38" s="431" t="s">
        <v>53</v>
      </c>
      <c r="AU38" s="432"/>
      <c r="AV38" s="432"/>
      <c r="AW38" s="432"/>
      <c r="AX38" s="432"/>
      <c r="AY38" s="432"/>
      <c r="AZ38" s="437" t="s">
        <v>54</v>
      </c>
      <c r="BA38" s="438"/>
      <c r="BB38" s="438"/>
      <c r="BC38" s="438"/>
      <c r="BD38" s="438"/>
      <c r="BE38" s="438"/>
      <c r="BF38" s="438"/>
      <c r="BG38" s="438"/>
      <c r="BH38" s="438"/>
      <c r="BI38" s="438"/>
      <c r="BJ38" s="438"/>
      <c r="BK38" s="439"/>
      <c r="BL38" s="431" t="s">
        <v>55</v>
      </c>
      <c r="BM38" s="432"/>
      <c r="BN38" s="432"/>
      <c r="BO38" s="432"/>
      <c r="BP38" s="432"/>
      <c r="BQ38" s="433"/>
      <c r="BR38" s="430" t="s">
        <v>56</v>
      </c>
    </row>
    <row r="39" spans="1:70" ht="14.25" customHeight="1">
      <c r="A39" s="435"/>
      <c r="B39" s="291" t="s">
        <v>39</v>
      </c>
      <c r="C39" s="292" t="s">
        <v>39</v>
      </c>
      <c r="D39" s="292" t="s">
        <v>39</v>
      </c>
      <c r="E39" s="292" t="s">
        <v>39</v>
      </c>
      <c r="F39" s="292" t="s">
        <v>39</v>
      </c>
      <c r="G39" s="292" t="s">
        <v>39</v>
      </c>
      <c r="H39" s="292" t="s">
        <v>39</v>
      </c>
      <c r="I39" s="300" t="s">
        <v>39</v>
      </c>
      <c r="J39" s="291" t="s">
        <v>39</v>
      </c>
      <c r="K39" s="292" t="s">
        <v>39</v>
      </c>
      <c r="L39" s="292" t="s">
        <v>39</v>
      </c>
      <c r="M39" s="292" t="s">
        <v>39</v>
      </c>
      <c r="N39" s="292" t="s">
        <v>39</v>
      </c>
      <c r="O39" s="292" t="s">
        <v>39</v>
      </c>
      <c r="P39" s="292" t="s">
        <v>39</v>
      </c>
      <c r="Q39" s="292" t="s">
        <v>39</v>
      </c>
      <c r="R39" s="300" t="s">
        <v>39</v>
      </c>
      <c r="S39" s="291" t="s">
        <v>39</v>
      </c>
      <c r="T39" s="292" t="s">
        <v>39</v>
      </c>
      <c r="U39" s="292" t="s">
        <v>39</v>
      </c>
      <c r="V39" s="292" t="s">
        <v>39</v>
      </c>
      <c r="W39" s="292" t="s">
        <v>39</v>
      </c>
      <c r="X39" s="307" t="s">
        <v>39</v>
      </c>
      <c r="Y39" s="292" t="s">
        <v>41</v>
      </c>
      <c r="Z39" s="300" t="s">
        <v>39</v>
      </c>
      <c r="AA39" s="292" t="s">
        <v>41</v>
      </c>
      <c r="AB39" s="300" t="s">
        <v>39</v>
      </c>
      <c r="AC39" s="292" t="s">
        <v>41</v>
      </c>
      <c r="AD39" s="300" t="s">
        <v>39</v>
      </c>
      <c r="AE39" s="292" t="s">
        <v>41</v>
      </c>
      <c r="AF39" s="300" t="s">
        <v>39</v>
      </c>
      <c r="AG39" s="292" t="s">
        <v>41</v>
      </c>
      <c r="AH39" s="307" t="s">
        <v>39</v>
      </c>
      <c r="AI39" s="292" t="s">
        <v>40</v>
      </c>
      <c r="AJ39" s="300" t="s">
        <v>39</v>
      </c>
      <c r="AK39" s="292" t="s">
        <v>40</v>
      </c>
      <c r="AL39" s="300" t="s">
        <v>39</v>
      </c>
      <c r="AM39" s="292" t="s">
        <v>40</v>
      </c>
      <c r="AN39" s="300" t="s">
        <v>39</v>
      </c>
      <c r="AO39" s="292" t="s">
        <v>40</v>
      </c>
      <c r="AP39" s="307" t="s">
        <v>39</v>
      </c>
      <c r="AQ39" s="300" t="s">
        <v>39</v>
      </c>
      <c r="AR39" s="300" t="s">
        <v>39</v>
      </c>
      <c r="AS39" s="292" t="s">
        <v>39</v>
      </c>
      <c r="AT39" s="309" t="s">
        <v>39</v>
      </c>
      <c r="AU39" s="310" t="s">
        <v>39</v>
      </c>
      <c r="AV39" s="310" t="s">
        <v>39</v>
      </c>
      <c r="AW39" s="310" t="s">
        <v>39</v>
      </c>
      <c r="AX39" s="310" t="s">
        <v>39</v>
      </c>
      <c r="AY39" s="298" t="s">
        <v>39</v>
      </c>
      <c r="AZ39" s="311" t="s">
        <v>39</v>
      </c>
      <c r="BA39" s="312" t="s">
        <v>40</v>
      </c>
      <c r="BB39" s="312" t="s">
        <v>41</v>
      </c>
      <c r="BC39" s="311" t="s">
        <v>39</v>
      </c>
      <c r="BD39" s="312" t="s">
        <v>40</v>
      </c>
      <c r="BE39" s="312" t="s">
        <v>41</v>
      </c>
      <c r="BF39" s="311" t="s">
        <v>39</v>
      </c>
      <c r="BG39" s="312" t="s">
        <v>40</v>
      </c>
      <c r="BH39" s="312" t="s">
        <v>41</v>
      </c>
      <c r="BI39" s="311" t="s">
        <v>39</v>
      </c>
      <c r="BJ39" s="312" t="s">
        <v>40</v>
      </c>
      <c r="BK39" s="312" t="s">
        <v>41</v>
      </c>
      <c r="BL39" s="309" t="s">
        <v>39</v>
      </c>
      <c r="BM39" s="310" t="s">
        <v>39</v>
      </c>
      <c r="BN39" s="310" t="s">
        <v>39</v>
      </c>
      <c r="BO39" s="310" t="s">
        <v>39</v>
      </c>
      <c r="BP39" s="310" t="s">
        <v>39</v>
      </c>
      <c r="BQ39" s="314" t="s">
        <v>39</v>
      </c>
      <c r="BR39" s="430"/>
    </row>
    <row r="40" spans="1:70">
      <c r="A40" s="240">
        <v>1</v>
      </c>
      <c r="B40" s="241"/>
      <c r="C40" s="281"/>
      <c r="D40" s="299"/>
      <c r="E40" s="281"/>
      <c r="F40" s="43"/>
      <c r="G40" s="43"/>
      <c r="H40" s="289"/>
      <c r="I40" s="289"/>
      <c r="J40" s="241"/>
      <c r="K40" s="294"/>
      <c r="L40" s="294"/>
      <c r="M40" s="301"/>
      <c r="N40" s="302"/>
      <c r="O40" s="294"/>
      <c r="P40" s="294"/>
      <c r="Q40" s="294"/>
      <c r="R40" s="301"/>
      <c r="S40" s="293"/>
      <c r="T40" s="294"/>
      <c r="U40" s="295"/>
      <c r="V40" s="295"/>
      <c r="W40" s="295"/>
      <c r="X40" s="302"/>
      <c r="Y40" s="294"/>
      <c r="Z40" s="294"/>
      <c r="AA40" s="294"/>
      <c r="AB40" s="294"/>
      <c r="AC40" s="294"/>
      <c r="AD40" s="294"/>
      <c r="AE40" s="294"/>
      <c r="AF40" s="294"/>
      <c r="AG40" s="301"/>
      <c r="AH40" s="293"/>
      <c r="AI40" s="294"/>
      <c r="AJ40" s="294"/>
      <c r="AK40" s="294"/>
      <c r="AL40" s="294"/>
      <c r="AM40" s="294"/>
      <c r="AN40" s="294"/>
      <c r="AO40" s="295"/>
      <c r="AP40" s="302"/>
      <c r="AQ40" s="294"/>
      <c r="AR40" s="295"/>
      <c r="AS40" s="301"/>
      <c r="AT40" s="293"/>
      <c r="AU40" s="294"/>
      <c r="AV40" s="294"/>
      <c r="AW40" s="294"/>
      <c r="AX40" s="294"/>
      <c r="AY40" s="295"/>
      <c r="AZ40" s="302"/>
      <c r="BA40" s="293"/>
      <c r="BB40" s="294"/>
      <c r="BC40" s="294"/>
      <c r="BD40" s="294"/>
      <c r="BE40" s="294"/>
      <c r="BF40" s="294"/>
      <c r="BG40" s="294"/>
      <c r="BH40" s="294"/>
      <c r="BI40" s="294"/>
      <c r="BJ40" s="294"/>
      <c r="BK40" s="301"/>
      <c r="BL40" s="302"/>
      <c r="BM40" s="294"/>
      <c r="BN40" s="294"/>
      <c r="BO40" s="294"/>
      <c r="BP40" s="294"/>
      <c r="BQ40" s="301"/>
      <c r="BR40" s="56">
        <f>SUM(B40:BQ40)</f>
        <v>0</v>
      </c>
    </row>
    <row r="41" spans="1:70">
      <c r="A41" s="240">
        <v>2</v>
      </c>
      <c r="B41" s="241"/>
      <c r="C41" s="281"/>
      <c r="D41" s="299"/>
      <c r="E41" s="281"/>
      <c r="F41" s="43"/>
      <c r="G41" s="43"/>
      <c r="H41" s="289"/>
      <c r="I41" s="289"/>
      <c r="J41" s="241"/>
      <c r="K41" s="294"/>
      <c r="L41" s="294"/>
      <c r="M41" s="301"/>
      <c r="N41" s="302"/>
      <c r="O41" s="294"/>
      <c r="P41" s="294"/>
      <c r="Q41" s="294"/>
      <c r="R41" s="301"/>
      <c r="S41" s="293"/>
      <c r="T41" s="294"/>
      <c r="U41" s="295"/>
      <c r="V41" s="295"/>
      <c r="W41" s="295"/>
      <c r="X41" s="302"/>
      <c r="Y41" s="294"/>
      <c r="Z41" s="294"/>
      <c r="AA41" s="294"/>
      <c r="AB41" s="294"/>
      <c r="AC41" s="294"/>
      <c r="AD41" s="294"/>
      <c r="AE41" s="294"/>
      <c r="AF41" s="294"/>
      <c r="AG41" s="301"/>
      <c r="AH41" s="293"/>
      <c r="AI41" s="294"/>
      <c r="AJ41" s="294"/>
      <c r="AK41" s="294"/>
      <c r="AL41" s="294"/>
      <c r="AM41" s="294"/>
      <c r="AN41" s="294"/>
      <c r="AO41" s="295"/>
      <c r="AP41" s="302"/>
      <c r="AQ41" s="294"/>
      <c r="AR41" s="295"/>
      <c r="AS41" s="301"/>
      <c r="AT41" s="293"/>
      <c r="AU41" s="294"/>
      <c r="AV41" s="294"/>
      <c r="AW41" s="294"/>
      <c r="AX41" s="294"/>
      <c r="AY41" s="295"/>
      <c r="AZ41" s="302"/>
      <c r="BA41" s="293"/>
      <c r="BB41" s="294"/>
      <c r="BC41" s="294"/>
      <c r="BD41" s="294"/>
      <c r="BE41" s="294"/>
      <c r="BF41" s="294"/>
      <c r="BG41" s="294"/>
      <c r="BH41" s="294"/>
      <c r="BI41" s="294"/>
      <c r="BJ41" s="294"/>
      <c r="BK41" s="301"/>
      <c r="BL41" s="302"/>
      <c r="BM41" s="294"/>
      <c r="BN41" s="294"/>
      <c r="BO41" s="294"/>
      <c r="BP41" s="294"/>
      <c r="BQ41" s="301"/>
      <c r="BR41" s="56">
        <f>SUM(B41:BQ41)</f>
        <v>0</v>
      </c>
    </row>
    <row r="42" spans="1:70">
      <c r="A42" s="240">
        <v>3</v>
      </c>
      <c r="B42" s="241"/>
      <c r="C42" s="281"/>
      <c r="D42" s="299"/>
      <c r="E42" s="281"/>
      <c r="F42" s="43"/>
      <c r="G42" s="43"/>
      <c r="H42" s="289"/>
      <c r="I42" s="289"/>
      <c r="J42" s="241"/>
      <c r="K42" s="294"/>
      <c r="L42" s="294"/>
      <c r="M42" s="301"/>
      <c r="N42" s="302"/>
      <c r="O42" s="294"/>
      <c r="P42" s="294"/>
      <c r="Q42" s="294"/>
      <c r="R42" s="301"/>
      <c r="S42" s="293"/>
      <c r="T42" s="294"/>
      <c r="U42" s="295"/>
      <c r="V42" s="295"/>
      <c r="W42" s="295"/>
      <c r="X42" s="302"/>
      <c r="Y42" s="294"/>
      <c r="Z42" s="294"/>
      <c r="AA42" s="294"/>
      <c r="AB42" s="294"/>
      <c r="AC42" s="294"/>
      <c r="AD42" s="294"/>
      <c r="AE42" s="294"/>
      <c r="AF42" s="294"/>
      <c r="AG42" s="301"/>
      <c r="AH42" s="293"/>
      <c r="AI42" s="294"/>
      <c r="AJ42" s="294"/>
      <c r="AK42" s="294"/>
      <c r="AL42" s="294"/>
      <c r="AM42" s="294"/>
      <c r="AN42" s="294"/>
      <c r="AO42" s="295"/>
      <c r="AP42" s="302"/>
      <c r="AQ42" s="294"/>
      <c r="AR42" s="295"/>
      <c r="AS42" s="301"/>
      <c r="AT42" s="293"/>
      <c r="AU42" s="294"/>
      <c r="AV42" s="294"/>
      <c r="AW42" s="294"/>
      <c r="AX42" s="294"/>
      <c r="AY42" s="295"/>
      <c r="AZ42" s="302"/>
      <c r="BA42" s="293"/>
      <c r="BB42" s="294"/>
      <c r="BC42" s="294"/>
      <c r="BD42" s="294"/>
      <c r="BE42" s="294"/>
      <c r="BF42" s="294"/>
      <c r="BG42" s="294"/>
      <c r="BH42" s="294"/>
      <c r="BI42" s="294"/>
      <c r="BJ42" s="294"/>
      <c r="BK42" s="301"/>
      <c r="BL42" s="302"/>
      <c r="BM42" s="294"/>
      <c r="BN42" s="294"/>
      <c r="BO42" s="294"/>
      <c r="BP42" s="294"/>
      <c r="BQ42" s="301"/>
      <c r="BR42" s="56">
        <f>SUM(B42:BQ42)</f>
        <v>0</v>
      </c>
    </row>
    <row r="43" spans="1:70">
      <c r="A43" s="240">
        <v>4</v>
      </c>
      <c r="B43" s="241"/>
      <c r="C43" s="281"/>
      <c r="D43" s="299"/>
      <c r="E43" s="281"/>
      <c r="F43" s="43"/>
      <c r="G43" s="43"/>
      <c r="H43" s="289"/>
      <c r="I43" s="289"/>
      <c r="J43" s="241"/>
      <c r="K43" s="294"/>
      <c r="L43" s="294"/>
      <c r="M43" s="301"/>
      <c r="N43" s="302"/>
      <c r="O43" s="294"/>
      <c r="P43" s="294"/>
      <c r="Q43" s="294"/>
      <c r="R43" s="301"/>
      <c r="S43" s="293"/>
      <c r="T43" s="294"/>
      <c r="U43" s="295"/>
      <c r="V43" s="295"/>
      <c r="W43" s="295"/>
      <c r="X43" s="302"/>
      <c r="Y43" s="294"/>
      <c r="Z43" s="294"/>
      <c r="AA43" s="294"/>
      <c r="AB43" s="294"/>
      <c r="AC43" s="294"/>
      <c r="AD43" s="294"/>
      <c r="AE43" s="294"/>
      <c r="AF43" s="294"/>
      <c r="AG43" s="301"/>
      <c r="AH43" s="293"/>
      <c r="AI43" s="294"/>
      <c r="AJ43" s="294"/>
      <c r="AK43" s="294"/>
      <c r="AL43" s="294"/>
      <c r="AM43" s="294"/>
      <c r="AN43" s="294"/>
      <c r="AO43" s="295"/>
      <c r="AP43" s="302"/>
      <c r="AQ43" s="294"/>
      <c r="AR43" s="295"/>
      <c r="AS43" s="301"/>
      <c r="AT43" s="293"/>
      <c r="AU43" s="294"/>
      <c r="AV43" s="294"/>
      <c r="AW43" s="294"/>
      <c r="AX43" s="294"/>
      <c r="AY43" s="295"/>
      <c r="AZ43" s="302"/>
      <c r="BA43" s="293"/>
      <c r="BB43" s="294"/>
      <c r="BC43" s="294"/>
      <c r="BD43" s="294"/>
      <c r="BE43" s="294"/>
      <c r="BF43" s="294"/>
      <c r="BG43" s="294"/>
      <c r="BH43" s="294"/>
      <c r="BI43" s="294"/>
      <c r="BJ43" s="294"/>
      <c r="BK43" s="301"/>
      <c r="BL43" s="302"/>
      <c r="BM43" s="294"/>
      <c r="BN43" s="294"/>
      <c r="BO43" s="294"/>
      <c r="BP43" s="294"/>
      <c r="BQ43" s="301"/>
      <c r="BR43" s="56">
        <f>SUM(B43:BQ43)</f>
        <v>0</v>
      </c>
    </row>
    <row r="44" spans="1:70">
      <c r="A44" s="240">
        <v>5</v>
      </c>
      <c r="B44" s="241"/>
      <c r="C44" s="281"/>
      <c r="D44" s="299"/>
      <c r="E44" s="281"/>
      <c r="F44" s="43"/>
      <c r="G44" s="43"/>
      <c r="H44" s="289"/>
      <c r="I44" s="289"/>
      <c r="J44" s="241"/>
      <c r="K44" s="294"/>
      <c r="L44" s="294"/>
      <c r="M44" s="301"/>
      <c r="N44" s="302"/>
      <c r="O44" s="294"/>
      <c r="P44" s="294"/>
      <c r="Q44" s="294"/>
      <c r="R44" s="301"/>
      <c r="S44" s="293"/>
      <c r="T44" s="294"/>
      <c r="U44" s="295"/>
      <c r="V44" s="295"/>
      <c r="W44" s="295"/>
      <c r="X44" s="302"/>
      <c r="Y44" s="294"/>
      <c r="Z44" s="294"/>
      <c r="AA44" s="294"/>
      <c r="AB44" s="294"/>
      <c r="AC44" s="294"/>
      <c r="AD44" s="294"/>
      <c r="AE44" s="294"/>
      <c r="AF44" s="294"/>
      <c r="AG44" s="301"/>
      <c r="AH44" s="293"/>
      <c r="AI44" s="294"/>
      <c r="AJ44" s="294"/>
      <c r="AK44" s="294"/>
      <c r="AL44" s="294"/>
      <c r="AM44" s="294"/>
      <c r="AN44" s="294"/>
      <c r="AO44" s="295"/>
      <c r="AP44" s="302"/>
      <c r="AQ44" s="294"/>
      <c r="AR44" s="295"/>
      <c r="AS44" s="301"/>
      <c r="AT44" s="293"/>
      <c r="AU44" s="294"/>
      <c r="AV44" s="294"/>
      <c r="AW44" s="294"/>
      <c r="AX44" s="294"/>
      <c r="AY44" s="295"/>
      <c r="AZ44" s="302"/>
      <c r="BA44" s="293"/>
      <c r="BB44" s="294"/>
      <c r="BC44" s="294"/>
      <c r="BD44" s="294"/>
      <c r="BE44" s="294"/>
      <c r="BF44" s="294"/>
      <c r="BG44" s="294"/>
      <c r="BH44" s="294"/>
      <c r="BI44" s="294"/>
      <c r="BJ44" s="294"/>
      <c r="BK44" s="301"/>
      <c r="BL44" s="302"/>
      <c r="BM44" s="294"/>
      <c r="BN44" s="294"/>
      <c r="BO44" s="294"/>
      <c r="BP44" s="294"/>
      <c r="BQ44" s="301"/>
      <c r="BR44" s="56">
        <f>SUM(B44:BQ44)</f>
        <v>0</v>
      </c>
    </row>
    <row r="45" spans="1:70">
      <c r="A45" s="240">
        <v>6</v>
      </c>
      <c r="B45" s="241"/>
      <c r="C45" s="281"/>
      <c r="D45" s="299"/>
      <c r="E45" s="281"/>
      <c r="F45" s="43"/>
      <c r="G45" s="43"/>
      <c r="H45" s="289"/>
      <c r="I45" s="289"/>
      <c r="J45" s="241"/>
      <c r="K45" s="294"/>
      <c r="L45" s="294"/>
      <c r="M45" s="301"/>
      <c r="N45" s="302"/>
      <c r="O45" s="294"/>
      <c r="P45" s="294"/>
      <c r="Q45" s="294"/>
      <c r="R45" s="301"/>
      <c r="S45" s="293"/>
      <c r="T45" s="294"/>
      <c r="U45" s="295"/>
      <c r="V45" s="295"/>
      <c r="W45" s="295"/>
      <c r="X45" s="302"/>
      <c r="Y45" s="294"/>
      <c r="Z45" s="294"/>
      <c r="AA45" s="294"/>
      <c r="AB45" s="294"/>
      <c r="AC45" s="294"/>
      <c r="AD45" s="294"/>
      <c r="AE45" s="294"/>
      <c r="AF45" s="294"/>
      <c r="AG45" s="301"/>
      <c r="AH45" s="293"/>
      <c r="AI45" s="294"/>
      <c r="AJ45" s="294"/>
      <c r="AK45" s="294"/>
      <c r="AL45" s="294"/>
      <c r="AM45" s="294"/>
      <c r="AN45" s="294"/>
      <c r="AO45" s="295"/>
      <c r="AP45" s="302"/>
      <c r="AQ45" s="294"/>
      <c r="AR45" s="295"/>
      <c r="AS45" s="301"/>
      <c r="AT45" s="293"/>
      <c r="AU45" s="294"/>
      <c r="AV45" s="294"/>
      <c r="AW45" s="294"/>
      <c r="AX45" s="294"/>
      <c r="AY45" s="295"/>
      <c r="AZ45" s="302"/>
      <c r="BA45" s="293"/>
      <c r="BB45" s="294"/>
      <c r="BC45" s="294"/>
      <c r="BD45" s="294"/>
      <c r="BE45" s="294"/>
      <c r="BF45" s="294"/>
      <c r="BG45" s="294"/>
      <c r="BH45" s="294"/>
      <c r="BI45" s="294"/>
      <c r="BJ45" s="294"/>
      <c r="BK45" s="301"/>
      <c r="BL45" s="302"/>
      <c r="BM45" s="294"/>
      <c r="BN45" s="294"/>
      <c r="BO45" s="294"/>
      <c r="BP45" s="294"/>
      <c r="BQ45" s="301"/>
      <c r="BR45" s="56">
        <f>SUM(B45:BQ45)</f>
        <v>0</v>
      </c>
    </row>
    <row r="46" spans="1:70" s="1" customFormat="1">
      <c r="A46" s="245">
        <v>7</v>
      </c>
      <c r="B46" s="241"/>
      <c r="C46" s="281"/>
      <c r="D46" s="299"/>
      <c r="E46" s="281"/>
      <c r="F46" s="43"/>
      <c r="G46" s="43"/>
      <c r="H46" s="289"/>
      <c r="I46" s="289"/>
      <c r="J46" s="241"/>
      <c r="K46" s="294"/>
      <c r="L46" s="294"/>
      <c r="M46" s="301"/>
      <c r="N46" s="302"/>
      <c r="O46" s="294"/>
      <c r="P46" s="294"/>
      <c r="Q46" s="294"/>
      <c r="R46" s="301"/>
      <c r="S46" s="293"/>
      <c r="T46" s="294"/>
      <c r="U46" s="295"/>
      <c r="V46" s="295"/>
      <c r="W46" s="295"/>
      <c r="X46" s="302"/>
      <c r="Y46" s="294"/>
      <c r="Z46" s="294"/>
      <c r="AA46" s="294"/>
      <c r="AB46" s="294"/>
      <c r="AC46" s="294"/>
      <c r="AD46" s="294"/>
      <c r="AE46" s="294"/>
      <c r="AF46" s="294"/>
      <c r="AG46" s="301"/>
      <c r="AH46" s="293"/>
      <c r="AI46" s="294"/>
      <c r="AJ46" s="294"/>
      <c r="AK46" s="294"/>
      <c r="AL46" s="294"/>
      <c r="AM46" s="294"/>
      <c r="AN46" s="294"/>
      <c r="AO46" s="295"/>
      <c r="AP46" s="302"/>
      <c r="AQ46" s="294"/>
      <c r="AR46" s="295"/>
      <c r="AS46" s="301"/>
      <c r="AT46" s="293"/>
      <c r="AU46" s="294"/>
      <c r="AV46" s="294"/>
      <c r="AW46" s="294"/>
      <c r="AX46" s="294"/>
      <c r="AY46" s="295"/>
      <c r="AZ46" s="302"/>
      <c r="BA46" s="293"/>
      <c r="BB46" s="294"/>
      <c r="BC46" s="294"/>
      <c r="BD46" s="294"/>
      <c r="BE46" s="294"/>
      <c r="BF46" s="294"/>
      <c r="BG46" s="294"/>
      <c r="BH46" s="294"/>
      <c r="BI46" s="294"/>
      <c r="BJ46" s="294"/>
      <c r="BK46" s="301"/>
      <c r="BL46" s="302"/>
      <c r="BM46" s="294"/>
      <c r="BN46" s="294"/>
      <c r="BO46" s="294"/>
      <c r="BP46" s="294"/>
      <c r="BQ46" s="301"/>
      <c r="BR46" s="56">
        <f>SUM(B46:BQ46)</f>
        <v>0</v>
      </c>
    </row>
    <row r="47" spans="1:70" s="1" customFormat="1">
      <c r="A47" s="240">
        <v>8</v>
      </c>
      <c r="B47" s="241"/>
      <c r="C47" s="281"/>
      <c r="D47" s="299"/>
      <c r="E47" s="293"/>
      <c r="F47" s="294"/>
      <c r="G47" s="294"/>
      <c r="H47" s="295"/>
      <c r="I47" s="295"/>
      <c r="J47" s="302"/>
      <c r="K47" s="294"/>
      <c r="L47" s="294"/>
      <c r="M47" s="301"/>
      <c r="N47" s="302"/>
      <c r="O47" s="294"/>
      <c r="P47" s="294"/>
      <c r="Q47" s="294"/>
      <c r="R47" s="301"/>
      <c r="S47" s="293"/>
      <c r="T47" s="294"/>
      <c r="U47" s="295"/>
      <c r="V47" s="295"/>
      <c r="W47" s="295"/>
      <c r="X47" s="302"/>
      <c r="Y47" s="294"/>
      <c r="Z47" s="294"/>
      <c r="AA47" s="294"/>
      <c r="AB47" s="294"/>
      <c r="AC47" s="294"/>
      <c r="AD47" s="294"/>
      <c r="AE47" s="294"/>
      <c r="AF47" s="294"/>
      <c r="AG47" s="301"/>
      <c r="AH47" s="293"/>
      <c r="AI47" s="294"/>
      <c r="AJ47" s="294"/>
      <c r="AK47" s="294"/>
      <c r="AL47" s="294"/>
      <c r="AM47" s="294"/>
      <c r="AN47" s="294"/>
      <c r="AO47" s="295"/>
      <c r="AP47" s="302"/>
      <c r="AQ47" s="294"/>
      <c r="AR47" s="295"/>
      <c r="AS47" s="301"/>
      <c r="AT47" s="293"/>
      <c r="AU47" s="294"/>
      <c r="AV47" s="294"/>
      <c r="AW47" s="294"/>
      <c r="AX47" s="294"/>
      <c r="AY47" s="295"/>
      <c r="AZ47" s="302"/>
      <c r="BA47" s="293"/>
      <c r="BB47" s="294"/>
      <c r="BC47" s="294"/>
      <c r="BD47" s="294"/>
      <c r="BE47" s="294"/>
      <c r="BF47" s="294"/>
      <c r="BG47" s="294"/>
      <c r="BH47" s="294"/>
      <c r="BI47" s="294"/>
      <c r="BJ47" s="294"/>
      <c r="BK47" s="301"/>
      <c r="BL47" s="302"/>
      <c r="BM47" s="294"/>
      <c r="BN47" s="294"/>
      <c r="BO47" s="294"/>
      <c r="BP47" s="294"/>
      <c r="BQ47" s="301"/>
      <c r="BR47" s="56">
        <f>SUM(B47:BQ47)</f>
        <v>0</v>
      </c>
    </row>
    <row r="48" spans="1:70">
      <c r="A48" s="240">
        <v>9</v>
      </c>
      <c r="B48" s="241"/>
      <c r="C48" s="281"/>
      <c r="D48" s="299"/>
      <c r="E48" s="293"/>
      <c r="F48" s="294"/>
      <c r="G48" s="294"/>
      <c r="H48" s="295"/>
      <c r="I48" s="295"/>
      <c r="J48" s="302"/>
      <c r="K48" s="294"/>
      <c r="L48" s="294"/>
      <c r="M48" s="301"/>
      <c r="N48" s="302"/>
      <c r="O48" s="294"/>
      <c r="P48" s="294"/>
      <c r="Q48" s="294"/>
      <c r="R48" s="301"/>
      <c r="S48" s="293"/>
      <c r="T48" s="294"/>
      <c r="U48" s="295"/>
      <c r="V48" s="295"/>
      <c r="W48" s="295"/>
      <c r="X48" s="302"/>
      <c r="Y48" s="294"/>
      <c r="Z48" s="294"/>
      <c r="AA48" s="294"/>
      <c r="AB48" s="294"/>
      <c r="AC48" s="294"/>
      <c r="AD48" s="294"/>
      <c r="AE48" s="294"/>
      <c r="AF48" s="294"/>
      <c r="AG48" s="301"/>
      <c r="AH48" s="293"/>
      <c r="AI48" s="294"/>
      <c r="AJ48" s="294"/>
      <c r="AK48" s="294"/>
      <c r="AL48" s="294"/>
      <c r="AM48" s="294"/>
      <c r="AN48" s="294"/>
      <c r="AO48" s="295"/>
      <c r="AP48" s="302"/>
      <c r="AQ48" s="294"/>
      <c r="AR48" s="295"/>
      <c r="AS48" s="301"/>
      <c r="AT48" s="293"/>
      <c r="AU48" s="294"/>
      <c r="AV48" s="294"/>
      <c r="AW48" s="294"/>
      <c r="AX48" s="294"/>
      <c r="AY48" s="295"/>
      <c r="AZ48" s="302"/>
      <c r="BA48" s="293"/>
      <c r="BB48" s="294"/>
      <c r="BC48" s="294"/>
      <c r="BD48" s="294"/>
      <c r="BE48" s="294"/>
      <c r="BF48" s="294"/>
      <c r="BG48" s="294"/>
      <c r="BH48" s="294"/>
      <c r="BI48" s="294"/>
      <c r="BJ48" s="294"/>
      <c r="BK48" s="301"/>
      <c r="BL48" s="302"/>
      <c r="BM48" s="294"/>
      <c r="BN48" s="294"/>
      <c r="BO48" s="294"/>
      <c r="BP48" s="294"/>
      <c r="BQ48" s="301"/>
      <c r="BR48" s="56">
        <f>SUM(B48:BQ48)</f>
        <v>0</v>
      </c>
    </row>
    <row r="49" spans="1:70">
      <c r="A49" s="240">
        <v>10</v>
      </c>
      <c r="B49" s="241"/>
      <c r="C49" s="281"/>
      <c r="D49" s="299"/>
      <c r="E49" s="293"/>
      <c r="F49" s="294"/>
      <c r="G49" s="294"/>
      <c r="H49" s="295"/>
      <c r="I49" s="295"/>
      <c r="J49" s="302"/>
      <c r="K49" s="294"/>
      <c r="L49" s="294"/>
      <c r="M49" s="301"/>
      <c r="N49" s="302"/>
      <c r="O49" s="294"/>
      <c r="P49" s="294"/>
      <c r="Q49" s="294"/>
      <c r="R49" s="301"/>
      <c r="S49" s="293"/>
      <c r="T49" s="294"/>
      <c r="U49" s="295"/>
      <c r="V49" s="295"/>
      <c r="W49" s="295"/>
      <c r="X49" s="302"/>
      <c r="Y49" s="294"/>
      <c r="Z49" s="294"/>
      <c r="AA49" s="294"/>
      <c r="AB49" s="294"/>
      <c r="AC49" s="294"/>
      <c r="AD49" s="294"/>
      <c r="AE49" s="294"/>
      <c r="AF49" s="294"/>
      <c r="AG49" s="301"/>
      <c r="AH49" s="293"/>
      <c r="AI49" s="294"/>
      <c r="AJ49" s="294"/>
      <c r="AK49" s="294"/>
      <c r="AL49" s="294"/>
      <c r="AM49" s="294"/>
      <c r="AN49" s="294"/>
      <c r="AO49" s="295"/>
      <c r="AP49" s="302"/>
      <c r="AQ49" s="294"/>
      <c r="AR49" s="295"/>
      <c r="AS49" s="301"/>
      <c r="AT49" s="293"/>
      <c r="AU49" s="294"/>
      <c r="AV49" s="294"/>
      <c r="AW49" s="294"/>
      <c r="AX49" s="294"/>
      <c r="AY49" s="295"/>
      <c r="AZ49" s="302"/>
      <c r="BA49" s="293"/>
      <c r="BB49" s="294"/>
      <c r="BC49" s="294"/>
      <c r="BD49" s="294"/>
      <c r="BE49" s="294"/>
      <c r="BF49" s="294"/>
      <c r="BG49" s="294"/>
      <c r="BH49" s="294"/>
      <c r="BI49" s="294"/>
      <c r="BJ49" s="294"/>
      <c r="BK49" s="301"/>
      <c r="BL49" s="302"/>
      <c r="BM49" s="294"/>
      <c r="BN49" s="294"/>
      <c r="BO49" s="294"/>
      <c r="BP49" s="294"/>
      <c r="BQ49" s="301"/>
      <c r="BR49" s="56">
        <f>SUM(B49:BQ49)</f>
        <v>0</v>
      </c>
    </row>
    <row r="50" spans="1:70">
      <c r="A50" s="240">
        <v>11</v>
      </c>
      <c r="B50" s="241"/>
      <c r="C50" s="281"/>
      <c r="D50" s="299"/>
      <c r="E50" s="293"/>
      <c r="F50" s="294"/>
      <c r="G50" s="294"/>
      <c r="H50" s="295"/>
      <c r="I50" s="295"/>
      <c r="J50" s="302"/>
      <c r="K50" s="294"/>
      <c r="L50" s="294"/>
      <c r="M50" s="301"/>
      <c r="N50" s="302"/>
      <c r="O50" s="294"/>
      <c r="P50" s="294"/>
      <c r="Q50" s="294"/>
      <c r="R50" s="301"/>
      <c r="S50" s="293"/>
      <c r="T50" s="294"/>
      <c r="U50" s="295"/>
      <c r="V50" s="295"/>
      <c r="W50" s="295"/>
      <c r="X50" s="302"/>
      <c r="Y50" s="294"/>
      <c r="Z50" s="294"/>
      <c r="AA50" s="294"/>
      <c r="AB50" s="294"/>
      <c r="AC50" s="294"/>
      <c r="AD50" s="294"/>
      <c r="AE50" s="294"/>
      <c r="AF50" s="294"/>
      <c r="AG50" s="301"/>
      <c r="AH50" s="293"/>
      <c r="AI50" s="294"/>
      <c r="AJ50" s="294"/>
      <c r="AK50" s="294"/>
      <c r="AL50" s="294"/>
      <c r="AM50" s="294"/>
      <c r="AN50" s="294"/>
      <c r="AO50" s="295"/>
      <c r="AP50" s="302"/>
      <c r="AQ50" s="294"/>
      <c r="AR50" s="295"/>
      <c r="AS50" s="301"/>
      <c r="AT50" s="293"/>
      <c r="AU50" s="294"/>
      <c r="AV50" s="294"/>
      <c r="AW50" s="294"/>
      <c r="AX50" s="294"/>
      <c r="AY50" s="295"/>
      <c r="AZ50" s="302"/>
      <c r="BA50" s="293"/>
      <c r="BB50" s="294"/>
      <c r="BC50" s="294"/>
      <c r="BD50" s="294"/>
      <c r="BE50" s="294"/>
      <c r="BF50" s="294"/>
      <c r="BG50" s="294"/>
      <c r="BH50" s="294"/>
      <c r="BI50" s="294"/>
      <c r="BJ50" s="294"/>
      <c r="BK50" s="301"/>
      <c r="BL50" s="302"/>
      <c r="BM50" s="294"/>
      <c r="BN50" s="294"/>
      <c r="BO50" s="294"/>
      <c r="BP50" s="294"/>
      <c r="BQ50" s="301"/>
      <c r="BR50" s="56">
        <f>SUM(B50:BQ50)</f>
        <v>0</v>
      </c>
    </row>
    <row r="51" spans="1:70">
      <c r="A51" s="240">
        <v>12</v>
      </c>
      <c r="B51" s="241"/>
      <c r="C51" s="281"/>
      <c r="D51" s="299"/>
      <c r="E51" s="293"/>
      <c r="F51" s="294"/>
      <c r="G51" s="294"/>
      <c r="H51" s="295"/>
      <c r="I51" s="295"/>
      <c r="J51" s="302"/>
      <c r="K51" s="294"/>
      <c r="L51" s="294"/>
      <c r="M51" s="301"/>
      <c r="N51" s="302"/>
      <c r="O51" s="294"/>
      <c r="P51" s="294"/>
      <c r="Q51" s="294"/>
      <c r="R51" s="301"/>
      <c r="S51" s="293"/>
      <c r="T51" s="294"/>
      <c r="U51" s="295"/>
      <c r="V51" s="295"/>
      <c r="W51" s="295"/>
      <c r="X51" s="302"/>
      <c r="Y51" s="294"/>
      <c r="Z51" s="294"/>
      <c r="AA51" s="294"/>
      <c r="AB51" s="294"/>
      <c r="AC51" s="294"/>
      <c r="AD51" s="294"/>
      <c r="AE51" s="294"/>
      <c r="AF51" s="294"/>
      <c r="AG51" s="301"/>
      <c r="AH51" s="293"/>
      <c r="AI51" s="294"/>
      <c r="AJ51" s="294"/>
      <c r="AK51" s="294"/>
      <c r="AL51" s="294"/>
      <c r="AM51" s="294"/>
      <c r="AN51" s="294"/>
      <c r="AO51" s="295"/>
      <c r="AP51" s="302"/>
      <c r="AQ51" s="294"/>
      <c r="AR51" s="295"/>
      <c r="AS51" s="301"/>
      <c r="AT51" s="293"/>
      <c r="AU51" s="294"/>
      <c r="AV51" s="294"/>
      <c r="AW51" s="294"/>
      <c r="AX51" s="294"/>
      <c r="AY51" s="295"/>
      <c r="AZ51" s="302"/>
      <c r="BA51" s="293"/>
      <c r="BB51" s="294"/>
      <c r="BC51" s="294"/>
      <c r="BD51" s="294"/>
      <c r="BE51" s="294"/>
      <c r="BF51" s="294"/>
      <c r="BG51" s="294"/>
      <c r="BH51" s="294"/>
      <c r="BI51" s="294"/>
      <c r="BJ51" s="294"/>
      <c r="BK51" s="301"/>
      <c r="BL51" s="302"/>
      <c r="BM51" s="294"/>
      <c r="BN51" s="294"/>
      <c r="BO51" s="294"/>
      <c r="BP51" s="294"/>
      <c r="BQ51" s="301"/>
      <c r="BR51" s="56">
        <f>SUM(B51:BQ51)</f>
        <v>0</v>
      </c>
    </row>
    <row r="52" spans="1:70">
      <c r="A52" s="240">
        <v>13</v>
      </c>
      <c r="B52" s="241"/>
      <c r="C52" s="281"/>
      <c r="D52" s="299"/>
      <c r="E52" s="293"/>
      <c r="F52" s="294"/>
      <c r="G52" s="294"/>
      <c r="H52" s="295"/>
      <c r="I52" s="295"/>
      <c r="J52" s="302"/>
      <c r="K52" s="294"/>
      <c r="L52" s="294"/>
      <c r="M52" s="301"/>
      <c r="N52" s="302"/>
      <c r="O52" s="294"/>
      <c r="P52" s="294"/>
      <c r="Q52" s="294"/>
      <c r="R52" s="301"/>
      <c r="S52" s="293"/>
      <c r="T52" s="294"/>
      <c r="U52" s="295"/>
      <c r="V52" s="295"/>
      <c r="W52" s="295"/>
      <c r="X52" s="302"/>
      <c r="Y52" s="294"/>
      <c r="Z52" s="294"/>
      <c r="AA52" s="294"/>
      <c r="AB52" s="294"/>
      <c r="AC52" s="294"/>
      <c r="AD52" s="294"/>
      <c r="AE52" s="294"/>
      <c r="AF52" s="294"/>
      <c r="AG52" s="301"/>
      <c r="AH52" s="293"/>
      <c r="AI52" s="294"/>
      <c r="AJ52" s="294"/>
      <c r="AK52" s="294"/>
      <c r="AL52" s="294"/>
      <c r="AM52" s="294"/>
      <c r="AN52" s="294"/>
      <c r="AO52" s="295"/>
      <c r="AP52" s="302"/>
      <c r="AQ52" s="294"/>
      <c r="AR52" s="295"/>
      <c r="AS52" s="301"/>
      <c r="AT52" s="293"/>
      <c r="AU52" s="294"/>
      <c r="AV52" s="294"/>
      <c r="AW52" s="294"/>
      <c r="AX52" s="294"/>
      <c r="AY52" s="295"/>
      <c r="AZ52" s="302"/>
      <c r="BA52" s="293"/>
      <c r="BB52" s="294"/>
      <c r="BC52" s="294"/>
      <c r="BD52" s="294"/>
      <c r="BE52" s="294"/>
      <c r="BF52" s="294"/>
      <c r="BG52" s="294"/>
      <c r="BH52" s="294"/>
      <c r="BI52" s="294"/>
      <c r="BJ52" s="294"/>
      <c r="BK52" s="301"/>
      <c r="BL52" s="302"/>
      <c r="BM52" s="294"/>
      <c r="BN52" s="294"/>
      <c r="BO52" s="294"/>
      <c r="BP52" s="294"/>
      <c r="BQ52" s="301"/>
      <c r="BR52" s="56">
        <f>SUM(B52:BQ52)</f>
        <v>0</v>
      </c>
    </row>
    <row r="53" spans="1:70" s="1" customFormat="1">
      <c r="A53" s="245">
        <v>14</v>
      </c>
      <c r="B53" s="241"/>
      <c r="C53" s="281"/>
      <c r="D53" s="299"/>
      <c r="E53" s="293"/>
      <c r="F53" s="294"/>
      <c r="G53" s="294"/>
      <c r="H53" s="295"/>
      <c r="I53" s="295"/>
      <c r="J53" s="302"/>
      <c r="K53" s="294"/>
      <c r="L53" s="294"/>
      <c r="M53" s="301"/>
      <c r="N53" s="302"/>
      <c r="O53" s="294"/>
      <c r="P53" s="294"/>
      <c r="Q53" s="294"/>
      <c r="R53" s="301"/>
      <c r="S53" s="293"/>
      <c r="T53" s="294"/>
      <c r="U53" s="295"/>
      <c r="V53" s="295"/>
      <c r="W53" s="295"/>
      <c r="X53" s="302"/>
      <c r="Y53" s="294"/>
      <c r="Z53" s="294"/>
      <c r="AA53" s="294"/>
      <c r="AB53" s="294"/>
      <c r="AC53" s="294"/>
      <c r="AD53" s="294"/>
      <c r="AE53" s="294"/>
      <c r="AF53" s="294"/>
      <c r="AG53" s="301"/>
      <c r="AH53" s="293"/>
      <c r="AI53" s="294"/>
      <c r="AJ53" s="294"/>
      <c r="AK53" s="294"/>
      <c r="AL53" s="294"/>
      <c r="AM53" s="294"/>
      <c r="AN53" s="294"/>
      <c r="AO53" s="295"/>
      <c r="AP53" s="302"/>
      <c r="AQ53" s="294"/>
      <c r="AR53" s="295"/>
      <c r="AS53" s="301"/>
      <c r="AT53" s="293"/>
      <c r="AU53" s="294"/>
      <c r="AV53" s="294"/>
      <c r="AW53" s="294"/>
      <c r="AX53" s="294"/>
      <c r="AY53" s="295"/>
      <c r="AZ53" s="302"/>
      <c r="BA53" s="293"/>
      <c r="BB53" s="294"/>
      <c r="BC53" s="294"/>
      <c r="BD53" s="294"/>
      <c r="BE53" s="294"/>
      <c r="BF53" s="294"/>
      <c r="BG53" s="294"/>
      <c r="BH53" s="294"/>
      <c r="BI53" s="294"/>
      <c r="BJ53" s="294"/>
      <c r="BK53" s="301"/>
      <c r="BL53" s="302"/>
      <c r="BM53" s="294"/>
      <c r="BN53" s="294"/>
      <c r="BO53" s="294"/>
      <c r="BP53" s="294"/>
      <c r="BQ53" s="301"/>
      <c r="BR53" s="56">
        <f>SUM(B53:BQ53)</f>
        <v>0</v>
      </c>
    </row>
    <row r="54" spans="1:70">
      <c r="A54" s="240">
        <v>15</v>
      </c>
      <c r="B54" s="241"/>
      <c r="C54" s="281"/>
      <c r="D54" s="299"/>
      <c r="E54" s="293"/>
      <c r="F54" s="294"/>
      <c r="G54" s="294"/>
      <c r="H54" s="295"/>
      <c r="I54" s="295"/>
      <c r="J54" s="302"/>
      <c r="K54" s="294"/>
      <c r="L54" s="294"/>
      <c r="M54" s="301"/>
      <c r="N54" s="302"/>
      <c r="O54" s="294"/>
      <c r="P54" s="294"/>
      <c r="Q54" s="294"/>
      <c r="R54" s="301"/>
      <c r="S54" s="293"/>
      <c r="T54" s="294"/>
      <c r="U54" s="295"/>
      <c r="V54" s="295"/>
      <c r="W54" s="295"/>
      <c r="X54" s="302"/>
      <c r="Y54" s="294"/>
      <c r="Z54" s="294"/>
      <c r="AA54" s="294"/>
      <c r="AB54" s="294"/>
      <c r="AC54" s="294"/>
      <c r="AD54" s="294"/>
      <c r="AE54" s="294"/>
      <c r="AF54" s="294"/>
      <c r="AG54" s="301"/>
      <c r="AH54" s="293"/>
      <c r="AI54" s="294"/>
      <c r="AJ54" s="294"/>
      <c r="AK54" s="294"/>
      <c r="AL54" s="294"/>
      <c r="AM54" s="294"/>
      <c r="AN54" s="294"/>
      <c r="AO54" s="295"/>
      <c r="AP54" s="302"/>
      <c r="AQ54" s="294"/>
      <c r="AR54" s="295"/>
      <c r="AS54" s="301"/>
      <c r="AT54" s="293"/>
      <c r="AU54" s="294"/>
      <c r="AV54" s="294"/>
      <c r="AW54" s="294"/>
      <c r="AX54" s="294"/>
      <c r="AY54" s="295"/>
      <c r="AZ54" s="302"/>
      <c r="BA54" s="293"/>
      <c r="BB54" s="294"/>
      <c r="BC54" s="294"/>
      <c r="BD54" s="294"/>
      <c r="BE54" s="294"/>
      <c r="BF54" s="294"/>
      <c r="BG54" s="294"/>
      <c r="BH54" s="294"/>
      <c r="BI54" s="294"/>
      <c r="BJ54" s="294"/>
      <c r="BK54" s="301"/>
      <c r="BL54" s="302"/>
      <c r="BM54" s="294"/>
      <c r="BN54" s="294"/>
      <c r="BO54" s="294"/>
      <c r="BP54" s="294"/>
      <c r="BQ54" s="301"/>
      <c r="BR54" s="56">
        <f>SUM(B54:BQ54)</f>
        <v>0</v>
      </c>
    </row>
    <row r="55" spans="1:70">
      <c r="A55" s="240">
        <v>16</v>
      </c>
      <c r="B55" s="241"/>
      <c r="C55" s="281"/>
      <c r="D55" s="299"/>
      <c r="E55" s="293"/>
      <c r="F55" s="294"/>
      <c r="G55" s="294"/>
      <c r="H55" s="295"/>
      <c r="I55" s="295"/>
      <c r="J55" s="302"/>
      <c r="K55" s="294"/>
      <c r="L55" s="294"/>
      <c r="M55" s="301"/>
      <c r="N55" s="302"/>
      <c r="O55" s="294"/>
      <c r="P55" s="294"/>
      <c r="Q55" s="294"/>
      <c r="R55" s="301"/>
      <c r="S55" s="293"/>
      <c r="T55" s="294"/>
      <c r="U55" s="295"/>
      <c r="V55" s="295"/>
      <c r="W55" s="295"/>
      <c r="X55" s="302"/>
      <c r="Y55" s="294"/>
      <c r="Z55" s="294"/>
      <c r="AA55" s="294"/>
      <c r="AB55" s="294"/>
      <c r="AC55" s="294"/>
      <c r="AD55" s="294"/>
      <c r="AE55" s="294"/>
      <c r="AF55" s="294"/>
      <c r="AG55" s="301"/>
      <c r="AH55" s="293"/>
      <c r="AI55" s="294"/>
      <c r="AJ55" s="294"/>
      <c r="AK55" s="294"/>
      <c r="AL55" s="294"/>
      <c r="AM55" s="294"/>
      <c r="AN55" s="294"/>
      <c r="AO55" s="295"/>
      <c r="AP55" s="302"/>
      <c r="AQ55" s="294"/>
      <c r="AR55" s="295"/>
      <c r="AS55" s="301"/>
      <c r="AT55" s="293"/>
      <c r="AU55" s="294"/>
      <c r="AV55" s="294"/>
      <c r="AW55" s="294"/>
      <c r="AX55" s="294"/>
      <c r="AY55" s="295"/>
      <c r="AZ55" s="302"/>
      <c r="BA55" s="293"/>
      <c r="BB55" s="294"/>
      <c r="BC55" s="294"/>
      <c r="BD55" s="294"/>
      <c r="BE55" s="294"/>
      <c r="BF55" s="294"/>
      <c r="BG55" s="294"/>
      <c r="BH55" s="294"/>
      <c r="BI55" s="294"/>
      <c r="BJ55" s="294"/>
      <c r="BK55" s="301"/>
      <c r="BL55" s="302"/>
      <c r="BM55" s="294"/>
      <c r="BN55" s="294"/>
      <c r="BO55" s="294"/>
      <c r="BP55" s="294"/>
      <c r="BQ55" s="301"/>
      <c r="BR55" s="56">
        <f>SUM(B55:BQ55)</f>
        <v>0</v>
      </c>
    </row>
    <row r="56" spans="1:70">
      <c r="A56" s="240">
        <v>17</v>
      </c>
      <c r="B56" s="241"/>
      <c r="C56" s="281"/>
      <c r="D56" s="299"/>
      <c r="E56" s="293"/>
      <c r="F56" s="294"/>
      <c r="G56" s="294"/>
      <c r="H56" s="295"/>
      <c r="I56" s="295"/>
      <c r="J56" s="302"/>
      <c r="K56" s="294"/>
      <c r="L56" s="294"/>
      <c r="M56" s="301"/>
      <c r="N56" s="302"/>
      <c r="O56" s="294"/>
      <c r="P56" s="294"/>
      <c r="Q56" s="294"/>
      <c r="R56" s="301"/>
      <c r="S56" s="293"/>
      <c r="T56" s="294"/>
      <c r="U56" s="295"/>
      <c r="V56" s="295"/>
      <c r="W56" s="295"/>
      <c r="X56" s="302"/>
      <c r="Y56" s="294"/>
      <c r="Z56" s="294"/>
      <c r="AA56" s="294"/>
      <c r="AB56" s="294"/>
      <c r="AC56" s="294"/>
      <c r="AD56" s="294"/>
      <c r="AE56" s="294"/>
      <c r="AF56" s="294"/>
      <c r="AG56" s="301"/>
      <c r="AH56" s="293"/>
      <c r="AI56" s="294"/>
      <c r="AJ56" s="294"/>
      <c r="AK56" s="294"/>
      <c r="AL56" s="294"/>
      <c r="AM56" s="294"/>
      <c r="AN56" s="294"/>
      <c r="AO56" s="295"/>
      <c r="AP56" s="302"/>
      <c r="AQ56" s="294"/>
      <c r="AR56" s="295"/>
      <c r="AS56" s="301"/>
      <c r="AT56" s="293"/>
      <c r="AU56" s="294"/>
      <c r="AV56" s="294"/>
      <c r="AW56" s="294"/>
      <c r="AX56" s="294"/>
      <c r="AY56" s="295"/>
      <c r="AZ56" s="302"/>
      <c r="BA56" s="293"/>
      <c r="BB56" s="294"/>
      <c r="BC56" s="294"/>
      <c r="BD56" s="294"/>
      <c r="BE56" s="294"/>
      <c r="BF56" s="294"/>
      <c r="BG56" s="294"/>
      <c r="BH56" s="294"/>
      <c r="BI56" s="294"/>
      <c r="BJ56" s="294"/>
      <c r="BK56" s="301"/>
      <c r="BL56" s="302"/>
      <c r="BM56" s="294"/>
      <c r="BN56" s="294"/>
      <c r="BO56" s="294"/>
      <c r="BP56" s="294"/>
      <c r="BQ56" s="301"/>
      <c r="BR56" s="56">
        <f>SUM(B56:BQ56)</f>
        <v>0</v>
      </c>
    </row>
    <row r="57" spans="1:70">
      <c r="A57" s="240">
        <v>18</v>
      </c>
      <c r="B57" s="241"/>
      <c r="C57" s="281"/>
      <c r="D57" s="299"/>
      <c r="E57" s="293"/>
      <c r="F57" s="294"/>
      <c r="G57" s="294"/>
      <c r="H57" s="295"/>
      <c r="I57" s="295"/>
      <c r="J57" s="302"/>
      <c r="K57" s="294"/>
      <c r="L57" s="294"/>
      <c r="M57" s="301"/>
      <c r="N57" s="302"/>
      <c r="O57" s="294"/>
      <c r="P57" s="294"/>
      <c r="Q57" s="294"/>
      <c r="R57" s="301"/>
      <c r="S57" s="293"/>
      <c r="T57" s="294"/>
      <c r="U57" s="295"/>
      <c r="V57" s="295"/>
      <c r="W57" s="295"/>
      <c r="X57" s="302"/>
      <c r="Y57" s="294"/>
      <c r="Z57" s="294"/>
      <c r="AA57" s="294"/>
      <c r="AB57" s="294"/>
      <c r="AC57" s="294"/>
      <c r="AD57" s="294"/>
      <c r="AE57" s="294"/>
      <c r="AF57" s="294"/>
      <c r="AG57" s="301"/>
      <c r="AH57" s="293"/>
      <c r="AI57" s="294"/>
      <c r="AJ57" s="294"/>
      <c r="AK57" s="294"/>
      <c r="AL57" s="294"/>
      <c r="AM57" s="294"/>
      <c r="AN57" s="294"/>
      <c r="AO57" s="295"/>
      <c r="AP57" s="302"/>
      <c r="AQ57" s="294"/>
      <c r="AR57" s="295"/>
      <c r="AS57" s="301"/>
      <c r="AT57" s="293"/>
      <c r="AU57" s="294"/>
      <c r="AV57" s="294"/>
      <c r="AW57" s="294"/>
      <c r="AX57" s="294"/>
      <c r="AY57" s="295"/>
      <c r="AZ57" s="302"/>
      <c r="BA57" s="293"/>
      <c r="BB57" s="294"/>
      <c r="BC57" s="294"/>
      <c r="BD57" s="294"/>
      <c r="BE57" s="294"/>
      <c r="BF57" s="294"/>
      <c r="BG57" s="294"/>
      <c r="BH57" s="294"/>
      <c r="BI57" s="294"/>
      <c r="BJ57" s="294"/>
      <c r="BK57" s="301"/>
      <c r="BL57" s="302"/>
      <c r="BM57" s="294"/>
      <c r="BN57" s="294"/>
      <c r="BO57" s="294"/>
      <c r="BP57" s="294"/>
      <c r="BQ57" s="301"/>
      <c r="BR57" s="56">
        <f>SUM(B57:BQ57)</f>
        <v>0</v>
      </c>
    </row>
    <row r="58" spans="1:70">
      <c r="A58" s="240">
        <v>19</v>
      </c>
      <c r="B58" s="241"/>
      <c r="C58" s="281"/>
      <c r="D58" s="299"/>
      <c r="E58" s="293"/>
      <c r="F58" s="294"/>
      <c r="G58" s="294"/>
      <c r="H58" s="295"/>
      <c r="I58" s="295"/>
      <c r="J58" s="302"/>
      <c r="K58" s="294"/>
      <c r="L58" s="294"/>
      <c r="M58" s="301"/>
      <c r="N58" s="302"/>
      <c r="O58" s="294"/>
      <c r="P58" s="294"/>
      <c r="Q58" s="294"/>
      <c r="R58" s="301"/>
      <c r="S58" s="293"/>
      <c r="T58" s="294"/>
      <c r="U58" s="295"/>
      <c r="V58" s="295"/>
      <c r="W58" s="295"/>
      <c r="X58" s="302"/>
      <c r="Y58" s="294"/>
      <c r="Z58" s="294"/>
      <c r="AA58" s="294"/>
      <c r="AB58" s="294"/>
      <c r="AC58" s="294"/>
      <c r="AD58" s="294"/>
      <c r="AE58" s="294"/>
      <c r="AF58" s="294"/>
      <c r="AG58" s="301"/>
      <c r="AH58" s="293"/>
      <c r="AI58" s="294"/>
      <c r="AJ58" s="294"/>
      <c r="AK58" s="294"/>
      <c r="AL58" s="294"/>
      <c r="AM58" s="294"/>
      <c r="AN58" s="294"/>
      <c r="AO58" s="295"/>
      <c r="AP58" s="302"/>
      <c r="AQ58" s="294"/>
      <c r="AR58" s="295"/>
      <c r="AS58" s="301"/>
      <c r="AT58" s="293"/>
      <c r="AU58" s="294"/>
      <c r="AV58" s="294"/>
      <c r="AW58" s="294"/>
      <c r="AX58" s="294"/>
      <c r="AY58" s="295"/>
      <c r="AZ58" s="302"/>
      <c r="BA58" s="293"/>
      <c r="BB58" s="294"/>
      <c r="BC58" s="294"/>
      <c r="BD58" s="294"/>
      <c r="BE58" s="294"/>
      <c r="BF58" s="294"/>
      <c r="BG58" s="294"/>
      <c r="BH58" s="294"/>
      <c r="BI58" s="294"/>
      <c r="BJ58" s="294"/>
      <c r="BK58" s="301"/>
      <c r="BL58" s="302"/>
      <c r="BM58" s="294"/>
      <c r="BN58" s="294"/>
      <c r="BO58" s="294"/>
      <c r="BP58" s="294"/>
      <c r="BQ58" s="301"/>
      <c r="BR58" s="56">
        <f>SUM(B58:BQ58)</f>
        <v>0</v>
      </c>
    </row>
    <row r="59" spans="1:70">
      <c r="A59" s="240">
        <v>20</v>
      </c>
      <c r="B59" s="241"/>
      <c r="C59" s="281"/>
      <c r="D59" s="299"/>
      <c r="E59" s="293"/>
      <c r="F59" s="294"/>
      <c r="G59" s="294"/>
      <c r="H59" s="295"/>
      <c r="I59" s="295"/>
      <c r="J59" s="302"/>
      <c r="K59" s="294"/>
      <c r="L59" s="294"/>
      <c r="M59" s="301"/>
      <c r="N59" s="302"/>
      <c r="O59" s="294"/>
      <c r="P59" s="294"/>
      <c r="Q59" s="294"/>
      <c r="R59" s="301"/>
      <c r="S59" s="293"/>
      <c r="T59" s="294"/>
      <c r="U59" s="295"/>
      <c r="V59" s="295"/>
      <c r="W59" s="295"/>
      <c r="X59" s="302"/>
      <c r="Y59" s="294"/>
      <c r="Z59" s="294"/>
      <c r="AA59" s="294"/>
      <c r="AB59" s="294"/>
      <c r="AC59" s="294"/>
      <c r="AD59" s="294"/>
      <c r="AE59" s="294"/>
      <c r="AF59" s="294"/>
      <c r="AG59" s="301"/>
      <c r="AH59" s="293"/>
      <c r="AI59" s="294"/>
      <c r="AJ59" s="294"/>
      <c r="AK59" s="294"/>
      <c r="AL59" s="294"/>
      <c r="AM59" s="294"/>
      <c r="AN59" s="294"/>
      <c r="AO59" s="295"/>
      <c r="AP59" s="302"/>
      <c r="AQ59" s="294"/>
      <c r="AR59" s="295"/>
      <c r="AS59" s="301"/>
      <c r="AT59" s="293"/>
      <c r="AU59" s="294"/>
      <c r="AV59" s="294"/>
      <c r="AW59" s="294"/>
      <c r="AX59" s="294"/>
      <c r="AY59" s="295"/>
      <c r="AZ59" s="302"/>
      <c r="BA59" s="293"/>
      <c r="BB59" s="294"/>
      <c r="BC59" s="294"/>
      <c r="BD59" s="294"/>
      <c r="BE59" s="294"/>
      <c r="BF59" s="294"/>
      <c r="BG59" s="294"/>
      <c r="BH59" s="294"/>
      <c r="BI59" s="294"/>
      <c r="BJ59" s="294"/>
      <c r="BK59" s="301"/>
      <c r="BL59" s="302"/>
      <c r="BM59" s="294"/>
      <c r="BN59" s="294"/>
      <c r="BO59" s="294"/>
      <c r="BP59" s="294"/>
      <c r="BQ59" s="301"/>
      <c r="BR59" s="56">
        <f>SUM(B59:BQ59)</f>
        <v>0</v>
      </c>
    </row>
    <row r="60" spans="1:70">
      <c r="A60" s="240">
        <v>21</v>
      </c>
      <c r="B60" s="241"/>
      <c r="C60" s="281"/>
      <c r="D60" s="299"/>
      <c r="E60" s="293"/>
      <c r="F60" s="294"/>
      <c r="G60" s="294"/>
      <c r="H60" s="295"/>
      <c r="I60" s="295"/>
      <c r="J60" s="302"/>
      <c r="K60" s="294"/>
      <c r="L60" s="294"/>
      <c r="M60" s="301"/>
      <c r="N60" s="302"/>
      <c r="O60" s="294"/>
      <c r="P60" s="294"/>
      <c r="Q60" s="294"/>
      <c r="R60" s="301"/>
      <c r="S60" s="293"/>
      <c r="T60" s="294"/>
      <c r="U60" s="295"/>
      <c r="V60" s="295"/>
      <c r="W60" s="295"/>
      <c r="X60" s="302"/>
      <c r="Y60" s="294"/>
      <c r="Z60" s="294"/>
      <c r="AA60" s="294"/>
      <c r="AB60" s="294"/>
      <c r="AC60" s="294"/>
      <c r="AD60" s="294"/>
      <c r="AE60" s="294"/>
      <c r="AF60" s="294"/>
      <c r="AG60" s="301"/>
      <c r="AH60" s="293"/>
      <c r="AI60" s="294"/>
      <c r="AJ60" s="294"/>
      <c r="AK60" s="294"/>
      <c r="AL60" s="294"/>
      <c r="AM60" s="294"/>
      <c r="AN60" s="294"/>
      <c r="AO60" s="295"/>
      <c r="AP60" s="302"/>
      <c r="AQ60" s="294"/>
      <c r="AR60" s="295"/>
      <c r="AS60" s="301"/>
      <c r="AT60" s="293"/>
      <c r="AU60" s="294"/>
      <c r="AV60" s="294"/>
      <c r="AW60" s="294"/>
      <c r="AX60" s="294"/>
      <c r="AY60" s="295"/>
      <c r="AZ60" s="302"/>
      <c r="BA60" s="293"/>
      <c r="BB60" s="294"/>
      <c r="BC60" s="294"/>
      <c r="BD60" s="294"/>
      <c r="BE60" s="294"/>
      <c r="BF60" s="294"/>
      <c r="BG60" s="294"/>
      <c r="BH60" s="294"/>
      <c r="BI60" s="294"/>
      <c r="BJ60" s="294"/>
      <c r="BK60" s="301"/>
      <c r="BL60" s="302"/>
      <c r="BM60" s="294"/>
      <c r="BN60" s="294"/>
      <c r="BO60" s="294"/>
      <c r="BP60" s="294"/>
      <c r="BQ60" s="301"/>
      <c r="BR60" s="56">
        <f>SUM(B60:BQ60)</f>
        <v>0</v>
      </c>
    </row>
    <row r="61" spans="1:70" s="1" customFormat="1">
      <c r="A61" s="240">
        <v>22</v>
      </c>
      <c r="B61" s="241"/>
      <c r="C61" s="281"/>
      <c r="D61" s="299"/>
      <c r="E61" s="293"/>
      <c r="F61" s="294"/>
      <c r="G61" s="294"/>
      <c r="H61" s="295"/>
      <c r="I61" s="295"/>
      <c r="J61" s="302"/>
      <c r="K61" s="294"/>
      <c r="L61" s="294"/>
      <c r="M61" s="301"/>
      <c r="N61" s="302"/>
      <c r="O61" s="294"/>
      <c r="P61" s="294"/>
      <c r="Q61" s="294"/>
      <c r="R61" s="301"/>
      <c r="S61" s="293"/>
      <c r="T61" s="294"/>
      <c r="U61" s="295"/>
      <c r="V61" s="295"/>
      <c r="W61" s="295"/>
      <c r="X61" s="302"/>
      <c r="Y61" s="294"/>
      <c r="Z61" s="294"/>
      <c r="AA61" s="294"/>
      <c r="AB61" s="294"/>
      <c r="AC61" s="294"/>
      <c r="AD61" s="294"/>
      <c r="AE61" s="294"/>
      <c r="AF61" s="294"/>
      <c r="AG61" s="301"/>
      <c r="AH61" s="293"/>
      <c r="AI61" s="294"/>
      <c r="AJ61" s="294"/>
      <c r="AK61" s="294"/>
      <c r="AL61" s="294"/>
      <c r="AM61" s="294"/>
      <c r="AN61" s="294"/>
      <c r="AO61" s="295"/>
      <c r="AP61" s="302"/>
      <c r="AQ61" s="294"/>
      <c r="AR61" s="295"/>
      <c r="AS61" s="301"/>
      <c r="AT61" s="293"/>
      <c r="AU61" s="294"/>
      <c r="AV61" s="294"/>
      <c r="AW61" s="294"/>
      <c r="AX61" s="294"/>
      <c r="AY61" s="295"/>
      <c r="AZ61" s="302"/>
      <c r="BA61" s="293"/>
      <c r="BB61" s="294"/>
      <c r="BC61" s="294"/>
      <c r="BD61" s="294"/>
      <c r="BE61" s="294"/>
      <c r="BF61" s="294"/>
      <c r="BG61" s="294"/>
      <c r="BH61" s="294"/>
      <c r="BI61" s="294"/>
      <c r="BJ61" s="294"/>
      <c r="BK61" s="301"/>
      <c r="BL61" s="302"/>
      <c r="BM61" s="294"/>
      <c r="BN61" s="294"/>
      <c r="BO61" s="294"/>
      <c r="BP61" s="294"/>
      <c r="BQ61" s="301"/>
      <c r="BR61" s="56">
        <f>SUM(B61:BQ61)</f>
        <v>0</v>
      </c>
    </row>
    <row r="62" spans="1:70">
      <c r="A62" s="240">
        <v>23</v>
      </c>
      <c r="B62" s="241"/>
      <c r="C62" s="281"/>
      <c r="D62" s="299"/>
      <c r="E62" s="293"/>
      <c r="F62" s="294"/>
      <c r="G62" s="294"/>
      <c r="H62" s="295"/>
      <c r="I62" s="295"/>
      <c r="J62" s="302"/>
      <c r="K62" s="294"/>
      <c r="L62" s="294"/>
      <c r="M62" s="301"/>
      <c r="N62" s="302"/>
      <c r="O62" s="294"/>
      <c r="P62" s="294"/>
      <c r="Q62" s="294"/>
      <c r="R62" s="301"/>
      <c r="S62" s="293"/>
      <c r="T62" s="294"/>
      <c r="U62" s="295"/>
      <c r="V62" s="295"/>
      <c r="W62" s="295"/>
      <c r="X62" s="302"/>
      <c r="Y62" s="294"/>
      <c r="Z62" s="294"/>
      <c r="AA62" s="294"/>
      <c r="AB62" s="294"/>
      <c r="AC62" s="294"/>
      <c r="AD62" s="294"/>
      <c r="AE62" s="294"/>
      <c r="AF62" s="294"/>
      <c r="AG62" s="301"/>
      <c r="AH62" s="293"/>
      <c r="AI62" s="294"/>
      <c r="AJ62" s="294"/>
      <c r="AK62" s="294"/>
      <c r="AL62" s="294"/>
      <c r="AM62" s="294"/>
      <c r="AN62" s="294"/>
      <c r="AO62" s="295"/>
      <c r="AP62" s="302"/>
      <c r="AQ62" s="294"/>
      <c r="AR62" s="295"/>
      <c r="AS62" s="301"/>
      <c r="AT62" s="293"/>
      <c r="AU62" s="294"/>
      <c r="AV62" s="294"/>
      <c r="AW62" s="294"/>
      <c r="AX62" s="294"/>
      <c r="AY62" s="295"/>
      <c r="AZ62" s="302"/>
      <c r="BA62" s="293"/>
      <c r="BB62" s="294"/>
      <c r="BC62" s="294"/>
      <c r="BD62" s="294"/>
      <c r="BE62" s="294"/>
      <c r="BF62" s="294"/>
      <c r="BG62" s="294"/>
      <c r="BH62" s="294"/>
      <c r="BI62" s="294"/>
      <c r="BJ62" s="294"/>
      <c r="BK62" s="301"/>
      <c r="BL62" s="302"/>
      <c r="BM62" s="294"/>
      <c r="BN62" s="294"/>
      <c r="BO62" s="294"/>
      <c r="BP62" s="294"/>
      <c r="BQ62" s="301"/>
      <c r="BR62" s="56">
        <f>SUM(B62:BQ62)</f>
        <v>0</v>
      </c>
    </row>
    <row r="63" spans="1:70">
      <c r="A63" s="240">
        <v>24</v>
      </c>
      <c r="B63" s="241"/>
      <c r="C63" s="281"/>
      <c r="D63" s="299"/>
      <c r="E63" s="293"/>
      <c r="F63" s="294"/>
      <c r="G63" s="294"/>
      <c r="H63" s="295"/>
      <c r="I63" s="295"/>
      <c r="J63" s="302"/>
      <c r="K63" s="294"/>
      <c r="L63" s="294"/>
      <c r="M63" s="301"/>
      <c r="N63" s="302"/>
      <c r="O63" s="294"/>
      <c r="P63" s="294"/>
      <c r="Q63" s="294"/>
      <c r="R63" s="301"/>
      <c r="S63" s="293"/>
      <c r="T63" s="294"/>
      <c r="U63" s="295"/>
      <c r="V63" s="295"/>
      <c r="W63" s="295"/>
      <c r="X63" s="302"/>
      <c r="Y63" s="294"/>
      <c r="Z63" s="294"/>
      <c r="AA63" s="294"/>
      <c r="AB63" s="294"/>
      <c r="AC63" s="294"/>
      <c r="AD63" s="294"/>
      <c r="AE63" s="294"/>
      <c r="AF63" s="294"/>
      <c r="AG63" s="301"/>
      <c r="AH63" s="293"/>
      <c r="AI63" s="294"/>
      <c r="AJ63" s="294"/>
      <c r="AK63" s="294"/>
      <c r="AL63" s="294"/>
      <c r="AM63" s="294"/>
      <c r="AN63" s="294"/>
      <c r="AO63" s="295"/>
      <c r="AP63" s="302"/>
      <c r="AQ63" s="294"/>
      <c r="AR63" s="295"/>
      <c r="AS63" s="301"/>
      <c r="AT63" s="293"/>
      <c r="AU63" s="294"/>
      <c r="AV63" s="294"/>
      <c r="AW63" s="294"/>
      <c r="AX63" s="294"/>
      <c r="AY63" s="295"/>
      <c r="AZ63" s="302"/>
      <c r="BA63" s="293"/>
      <c r="BB63" s="294"/>
      <c r="BC63" s="294"/>
      <c r="BD63" s="294"/>
      <c r="BE63" s="294"/>
      <c r="BF63" s="294"/>
      <c r="BG63" s="294"/>
      <c r="BH63" s="294"/>
      <c r="BI63" s="294"/>
      <c r="BJ63" s="294"/>
      <c r="BK63" s="301"/>
      <c r="BL63" s="302"/>
      <c r="BM63" s="294"/>
      <c r="BN63" s="294"/>
      <c r="BO63" s="294"/>
      <c r="BP63" s="294"/>
      <c r="BQ63" s="301"/>
      <c r="BR63" s="56">
        <f>SUM(B63:BQ63)</f>
        <v>0</v>
      </c>
    </row>
    <row r="64" spans="1:70">
      <c r="A64" s="240">
        <v>25</v>
      </c>
      <c r="B64" s="241"/>
      <c r="C64" s="281"/>
      <c r="D64" s="299"/>
      <c r="E64" s="293"/>
      <c r="F64" s="294"/>
      <c r="G64" s="294"/>
      <c r="H64" s="295"/>
      <c r="I64" s="295"/>
      <c r="J64" s="302"/>
      <c r="K64" s="294"/>
      <c r="L64" s="294"/>
      <c r="M64" s="301"/>
      <c r="N64" s="302"/>
      <c r="O64" s="294"/>
      <c r="P64" s="294"/>
      <c r="Q64" s="294"/>
      <c r="R64" s="301"/>
      <c r="S64" s="293"/>
      <c r="T64" s="294"/>
      <c r="U64" s="295"/>
      <c r="V64" s="295"/>
      <c r="W64" s="295"/>
      <c r="X64" s="302"/>
      <c r="Y64" s="294"/>
      <c r="Z64" s="294"/>
      <c r="AA64" s="294"/>
      <c r="AB64" s="294"/>
      <c r="AC64" s="294"/>
      <c r="AD64" s="294"/>
      <c r="AE64" s="294"/>
      <c r="AF64" s="294"/>
      <c r="AG64" s="301"/>
      <c r="AH64" s="293"/>
      <c r="AI64" s="294"/>
      <c r="AJ64" s="294"/>
      <c r="AK64" s="294"/>
      <c r="AL64" s="294"/>
      <c r="AM64" s="294"/>
      <c r="AN64" s="294"/>
      <c r="AO64" s="295"/>
      <c r="AP64" s="302"/>
      <c r="AQ64" s="294"/>
      <c r="AR64" s="295"/>
      <c r="AS64" s="301"/>
      <c r="AT64" s="293"/>
      <c r="AU64" s="294"/>
      <c r="AV64" s="294"/>
      <c r="AW64" s="294"/>
      <c r="AX64" s="294"/>
      <c r="AY64" s="295"/>
      <c r="AZ64" s="302"/>
      <c r="BA64" s="293"/>
      <c r="BB64" s="294"/>
      <c r="BC64" s="294"/>
      <c r="BD64" s="294"/>
      <c r="BE64" s="294"/>
      <c r="BF64" s="294"/>
      <c r="BG64" s="294"/>
      <c r="BH64" s="294"/>
      <c r="BI64" s="294"/>
      <c r="BJ64" s="294"/>
      <c r="BK64" s="301"/>
      <c r="BL64" s="302"/>
      <c r="BM64" s="294"/>
      <c r="BN64" s="294"/>
      <c r="BO64" s="294"/>
      <c r="BP64" s="294"/>
      <c r="BQ64" s="301"/>
      <c r="BR64" s="56">
        <f>SUM(B64:BQ64)</f>
        <v>0</v>
      </c>
    </row>
    <row r="65" spans="1:70">
      <c r="A65" s="240">
        <v>26</v>
      </c>
      <c r="B65" s="241"/>
      <c r="C65" s="281"/>
      <c r="D65" s="299"/>
      <c r="E65" s="293"/>
      <c r="F65" s="294"/>
      <c r="G65" s="294"/>
      <c r="H65" s="295"/>
      <c r="I65" s="295"/>
      <c r="J65" s="302"/>
      <c r="K65" s="294"/>
      <c r="L65" s="294"/>
      <c r="M65" s="301"/>
      <c r="N65" s="302"/>
      <c r="O65" s="294"/>
      <c r="P65" s="294"/>
      <c r="Q65" s="294"/>
      <c r="R65" s="301"/>
      <c r="S65" s="293"/>
      <c r="T65" s="294"/>
      <c r="U65" s="295"/>
      <c r="V65" s="295"/>
      <c r="W65" s="295"/>
      <c r="X65" s="302"/>
      <c r="Y65" s="294"/>
      <c r="Z65" s="294"/>
      <c r="AA65" s="294"/>
      <c r="AB65" s="294"/>
      <c r="AC65" s="294"/>
      <c r="AD65" s="294"/>
      <c r="AE65" s="294"/>
      <c r="AF65" s="294"/>
      <c r="AG65" s="301"/>
      <c r="AH65" s="293"/>
      <c r="AI65" s="294"/>
      <c r="AJ65" s="294"/>
      <c r="AK65" s="294"/>
      <c r="AL65" s="294"/>
      <c r="AM65" s="294"/>
      <c r="AN65" s="294"/>
      <c r="AO65" s="295"/>
      <c r="AP65" s="302"/>
      <c r="AQ65" s="294"/>
      <c r="AR65" s="295"/>
      <c r="AS65" s="301"/>
      <c r="AT65" s="293"/>
      <c r="AU65" s="294"/>
      <c r="AV65" s="294"/>
      <c r="AW65" s="294"/>
      <c r="AX65" s="294"/>
      <c r="AY65" s="295"/>
      <c r="AZ65" s="302"/>
      <c r="BA65" s="293"/>
      <c r="BB65" s="294"/>
      <c r="BC65" s="294"/>
      <c r="BD65" s="294"/>
      <c r="BE65" s="294"/>
      <c r="BF65" s="294"/>
      <c r="BG65" s="294"/>
      <c r="BH65" s="294"/>
      <c r="BI65" s="294"/>
      <c r="BJ65" s="294"/>
      <c r="BK65" s="301"/>
      <c r="BL65" s="302"/>
      <c r="BM65" s="294"/>
      <c r="BN65" s="294"/>
      <c r="BO65" s="294"/>
      <c r="BP65" s="294"/>
      <c r="BQ65" s="301"/>
      <c r="BR65" s="56">
        <f>SUM(B65:BQ65)</f>
        <v>0</v>
      </c>
    </row>
    <row r="66" spans="1:70">
      <c r="A66" s="240">
        <v>27</v>
      </c>
      <c r="B66" s="241"/>
      <c r="C66" s="281"/>
      <c r="D66" s="299"/>
      <c r="E66" s="293"/>
      <c r="F66" s="294"/>
      <c r="G66" s="294"/>
      <c r="H66" s="295"/>
      <c r="I66" s="295"/>
      <c r="J66" s="302"/>
      <c r="K66" s="294"/>
      <c r="L66" s="294"/>
      <c r="M66" s="301"/>
      <c r="N66" s="302"/>
      <c r="O66" s="294"/>
      <c r="P66" s="294"/>
      <c r="Q66" s="294"/>
      <c r="R66" s="301"/>
      <c r="S66" s="293"/>
      <c r="T66" s="294"/>
      <c r="U66" s="295"/>
      <c r="V66" s="295"/>
      <c r="W66" s="295"/>
      <c r="X66" s="302"/>
      <c r="Y66" s="294"/>
      <c r="Z66" s="294"/>
      <c r="AA66" s="294"/>
      <c r="AB66" s="294"/>
      <c r="AC66" s="294"/>
      <c r="AD66" s="294"/>
      <c r="AE66" s="294"/>
      <c r="AF66" s="294"/>
      <c r="AG66" s="301"/>
      <c r="AH66" s="293"/>
      <c r="AI66" s="294"/>
      <c r="AJ66" s="294"/>
      <c r="AK66" s="294"/>
      <c r="AL66" s="294"/>
      <c r="AM66" s="294"/>
      <c r="AN66" s="294"/>
      <c r="AO66" s="295"/>
      <c r="AP66" s="302"/>
      <c r="AQ66" s="294"/>
      <c r="AR66" s="295"/>
      <c r="AS66" s="301"/>
      <c r="AT66" s="293"/>
      <c r="AU66" s="294"/>
      <c r="AV66" s="294"/>
      <c r="AW66" s="294"/>
      <c r="AX66" s="294"/>
      <c r="AY66" s="295"/>
      <c r="AZ66" s="302"/>
      <c r="BA66" s="293"/>
      <c r="BB66" s="294"/>
      <c r="BC66" s="294"/>
      <c r="BD66" s="294"/>
      <c r="BE66" s="294"/>
      <c r="BF66" s="294"/>
      <c r="BG66" s="294"/>
      <c r="BH66" s="294"/>
      <c r="BI66" s="294"/>
      <c r="BJ66" s="294"/>
      <c r="BK66" s="301"/>
      <c r="BL66" s="302"/>
      <c r="BM66" s="294"/>
      <c r="BN66" s="294"/>
      <c r="BO66" s="294"/>
      <c r="BP66" s="294"/>
      <c r="BQ66" s="301"/>
      <c r="BR66" s="56">
        <f>SUM(B66:BQ66)</f>
        <v>0</v>
      </c>
    </row>
    <row r="67" spans="1:70">
      <c r="A67" s="240">
        <v>28</v>
      </c>
      <c r="B67" s="241"/>
      <c r="C67" s="281"/>
      <c r="D67" s="299"/>
      <c r="E67" s="293"/>
      <c r="F67" s="294"/>
      <c r="G67" s="294"/>
      <c r="H67" s="295"/>
      <c r="I67" s="295"/>
      <c r="J67" s="302"/>
      <c r="K67" s="294"/>
      <c r="L67" s="294"/>
      <c r="M67" s="301"/>
      <c r="N67" s="302"/>
      <c r="O67" s="294"/>
      <c r="P67" s="294"/>
      <c r="Q67" s="294"/>
      <c r="R67" s="301"/>
      <c r="S67" s="293"/>
      <c r="T67" s="294"/>
      <c r="U67" s="295"/>
      <c r="V67" s="295"/>
      <c r="W67" s="295"/>
      <c r="X67" s="302"/>
      <c r="Y67" s="294"/>
      <c r="Z67" s="294"/>
      <c r="AA67" s="294"/>
      <c r="AB67" s="294"/>
      <c r="AC67" s="294"/>
      <c r="AD67" s="294"/>
      <c r="AE67" s="294"/>
      <c r="AF67" s="294"/>
      <c r="AG67" s="301"/>
      <c r="AH67" s="293"/>
      <c r="AI67" s="294"/>
      <c r="AJ67" s="294"/>
      <c r="AK67" s="294"/>
      <c r="AL67" s="294"/>
      <c r="AM67" s="294"/>
      <c r="AN67" s="294"/>
      <c r="AO67" s="295"/>
      <c r="AP67" s="302"/>
      <c r="AQ67" s="294"/>
      <c r="AR67" s="295"/>
      <c r="AS67" s="301"/>
      <c r="AT67" s="293"/>
      <c r="AU67" s="294"/>
      <c r="AV67" s="294"/>
      <c r="AW67" s="294"/>
      <c r="AX67" s="294"/>
      <c r="AY67" s="295"/>
      <c r="AZ67" s="302"/>
      <c r="BA67" s="293"/>
      <c r="BB67" s="294"/>
      <c r="BC67" s="294"/>
      <c r="BD67" s="294"/>
      <c r="BE67" s="294"/>
      <c r="BF67" s="294"/>
      <c r="BG67" s="294"/>
      <c r="BH67" s="294"/>
      <c r="BI67" s="294"/>
      <c r="BJ67" s="294"/>
      <c r="BK67" s="301"/>
      <c r="BL67" s="302"/>
      <c r="BM67" s="294"/>
      <c r="BN67" s="294"/>
      <c r="BO67" s="294"/>
      <c r="BP67" s="294"/>
      <c r="BQ67" s="301"/>
      <c r="BR67" s="56">
        <f>SUM(B67:BQ67)</f>
        <v>0</v>
      </c>
    </row>
    <row r="68" spans="1:70" s="1" customFormat="1">
      <c r="A68" s="240">
        <v>29</v>
      </c>
      <c r="B68" s="241"/>
      <c r="C68" s="281"/>
      <c r="D68" s="299"/>
      <c r="E68" s="293"/>
      <c r="F68" s="294"/>
      <c r="G68" s="294"/>
      <c r="H68" s="295"/>
      <c r="I68" s="295"/>
      <c r="J68" s="302"/>
      <c r="K68" s="294"/>
      <c r="L68" s="294"/>
      <c r="M68" s="301"/>
      <c r="N68" s="302"/>
      <c r="O68" s="294"/>
      <c r="P68" s="294"/>
      <c r="Q68" s="294"/>
      <c r="R68" s="301"/>
      <c r="S68" s="293"/>
      <c r="T68" s="294"/>
      <c r="U68" s="295"/>
      <c r="V68" s="295"/>
      <c r="W68" s="295"/>
      <c r="X68" s="302"/>
      <c r="Y68" s="294"/>
      <c r="Z68" s="294"/>
      <c r="AA68" s="294"/>
      <c r="AB68" s="294"/>
      <c r="AC68" s="294"/>
      <c r="AD68" s="294"/>
      <c r="AE68" s="294"/>
      <c r="AF68" s="294"/>
      <c r="AG68" s="301"/>
      <c r="AH68" s="293"/>
      <c r="AI68" s="294"/>
      <c r="AJ68" s="294"/>
      <c r="AK68" s="294"/>
      <c r="AL68" s="294"/>
      <c r="AM68" s="294"/>
      <c r="AN68" s="294"/>
      <c r="AO68" s="295"/>
      <c r="AP68" s="302"/>
      <c r="AQ68" s="294"/>
      <c r="AR68" s="295"/>
      <c r="AS68" s="301"/>
      <c r="AT68" s="293"/>
      <c r="AU68" s="294"/>
      <c r="AV68" s="294"/>
      <c r="AW68" s="294"/>
      <c r="AX68" s="294"/>
      <c r="AY68" s="295"/>
      <c r="AZ68" s="302"/>
      <c r="BA68" s="293"/>
      <c r="BB68" s="294"/>
      <c r="BC68" s="294"/>
      <c r="BD68" s="294"/>
      <c r="BE68" s="294"/>
      <c r="BF68" s="294"/>
      <c r="BG68" s="294"/>
      <c r="BH68" s="294"/>
      <c r="BI68" s="294"/>
      <c r="BJ68" s="294"/>
      <c r="BK68" s="301"/>
      <c r="BL68" s="302"/>
      <c r="BM68" s="294"/>
      <c r="BN68" s="294"/>
      <c r="BO68" s="294"/>
      <c r="BP68" s="294"/>
      <c r="BQ68" s="301"/>
      <c r="BR68" s="56">
        <f>SUM(B68:BQ68)</f>
        <v>0</v>
      </c>
    </row>
    <row r="69" spans="1:70">
      <c r="A69" s="240">
        <v>30</v>
      </c>
      <c r="B69" s="241"/>
      <c r="C69" s="281"/>
      <c r="D69" s="299"/>
      <c r="E69" s="293"/>
      <c r="F69" s="294"/>
      <c r="G69" s="294"/>
      <c r="H69" s="295"/>
      <c r="I69" s="295"/>
      <c r="J69" s="302"/>
      <c r="K69" s="294"/>
      <c r="L69" s="294"/>
      <c r="M69" s="301"/>
      <c r="N69" s="302"/>
      <c r="O69" s="294"/>
      <c r="P69" s="294"/>
      <c r="Q69" s="294"/>
      <c r="R69" s="301"/>
      <c r="S69" s="293"/>
      <c r="T69" s="294"/>
      <c r="U69" s="295"/>
      <c r="V69" s="295"/>
      <c r="W69" s="295"/>
      <c r="X69" s="302"/>
      <c r="Y69" s="294"/>
      <c r="Z69" s="294"/>
      <c r="AA69" s="294"/>
      <c r="AB69" s="294"/>
      <c r="AC69" s="294"/>
      <c r="AD69" s="294"/>
      <c r="AE69" s="294"/>
      <c r="AF69" s="294"/>
      <c r="AG69" s="301"/>
      <c r="AH69" s="293"/>
      <c r="AI69" s="294"/>
      <c r="AJ69" s="294"/>
      <c r="AK69" s="294"/>
      <c r="AL69" s="294"/>
      <c r="AM69" s="294"/>
      <c r="AN69" s="294"/>
      <c r="AO69" s="295"/>
      <c r="AP69" s="302"/>
      <c r="AQ69" s="294"/>
      <c r="AR69" s="295"/>
      <c r="AS69" s="301"/>
      <c r="AT69" s="293"/>
      <c r="AU69" s="294"/>
      <c r="AV69" s="294"/>
      <c r="AW69" s="294"/>
      <c r="AX69" s="294"/>
      <c r="AY69" s="295"/>
      <c r="AZ69" s="302"/>
      <c r="BA69" s="293"/>
      <c r="BB69" s="294"/>
      <c r="BC69" s="294"/>
      <c r="BD69" s="294"/>
      <c r="BE69" s="294"/>
      <c r="BF69" s="294"/>
      <c r="BG69" s="294"/>
      <c r="BH69" s="294"/>
      <c r="BI69" s="294"/>
      <c r="BJ69" s="294"/>
      <c r="BK69" s="301"/>
      <c r="BL69" s="302"/>
      <c r="BM69" s="294"/>
      <c r="BN69" s="294"/>
      <c r="BO69" s="294"/>
      <c r="BP69" s="294"/>
      <c r="BQ69" s="301"/>
      <c r="BR69" s="56">
        <f>SUM(B69:BQ69)</f>
        <v>0</v>
      </c>
    </row>
    <row r="70" spans="1:70">
      <c r="A70" s="240">
        <v>31</v>
      </c>
      <c r="B70" s="315"/>
      <c r="C70" s="288"/>
      <c r="D70" s="316"/>
      <c r="E70" s="296"/>
      <c r="F70" s="317"/>
      <c r="G70" s="317"/>
      <c r="H70" s="318"/>
      <c r="I70" s="318"/>
      <c r="J70" s="321"/>
      <c r="K70" s="317"/>
      <c r="L70" s="317"/>
      <c r="M70" s="325"/>
      <c r="N70" s="321"/>
      <c r="O70" s="317"/>
      <c r="P70" s="317"/>
      <c r="Q70" s="317"/>
      <c r="R70" s="325"/>
      <c r="S70" s="296"/>
      <c r="T70" s="317"/>
      <c r="U70" s="318"/>
      <c r="V70" s="318"/>
      <c r="W70" s="318"/>
      <c r="X70" s="321"/>
      <c r="Y70" s="317"/>
      <c r="Z70" s="317"/>
      <c r="AA70" s="317"/>
      <c r="AB70" s="317"/>
      <c r="AC70" s="317"/>
      <c r="AD70" s="317"/>
      <c r="AE70" s="317"/>
      <c r="AF70" s="317"/>
      <c r="AG70" s="325"/>
      <c r="AH70" s="296"/>
      <c r="AI70" s="317"/>
      <c r="AJ70" s="317"/>
      <c r="AK70" s="317"/>
      <c r="AL70" s="317"/>
      <c r="AM70" s="317"/>
      <c r="AN70" s="317"/>
      <c r="AO70" s="318"/>
      <c r="AP70" s="321"/>
      <c r="AQ70" s="317"/>
      <c r="AR70" s="318"/>
      <c r="AS70" s="325"/>
      <c r="AT70" s="296"/>
      <c r="AU70" s="317"/>
      <c r="AV70" s="317"/>
      <c r="AW70" s="317"/>
      <c r="AX70" s="317"/>
      <c r="AY70" s="318"/>
      <c r="AZ70" s="302"/>
      <c r="BA70" s="293"/>
      <c r="BB70" s="294"/>
      <c r="BC70" s="294"/>
      <c r="BD70" s="294"/>
      <c r="BE70" s="294"/>
      <c r="BF70" s="294"/>
      <c r="BG70" s="294"/>
      <c r="BH70" s="294"/>
      <c r="BI70" s="294"/>
      <c r="BJ70" s="294"/>
      <c r="BK70" s="301"/>
      <c r="BL70" s="321"/>
      <c r="BM70" s="317"/>
      <c r="BN70" s="317"/>
      <c r="BO70" s="317"/>
      <c r="BP70" s="317"/>
      <c r="BQ70" s="325"/>
      <c r="BR70" s="56">
        <f>SUM(B70:BQ70)</f>
        <v>0</v>
      </c>
    </row>
    <row r="71" spans="1:70">
      <c r="A71" s="295"/>
      <c r="B71" s="112">
        <f t="shared" ref="B71:E71" si="5">SUM(B40:B70)</f>
        <v>0</v>
      </c>
      <c r="C71" s="123">
        <f t="shared" si="5"/>
        <v>0</v>
      </c>
      <c r="D71" s="123">
        <f t="shared" si="5"/>
        <v>0</v>
      </c>
      <c r="E71" s="123">
        <f t="shared" si="5"/>
        <v>0</v>
      </c>
      <c r="F71" s="209">
        <f t="shared" ref="F71" si="6">SUM(F40:F70)</f>
        <v>0</v>
      </c>
      <c r="G71" s="209">
        <f t="shared" ref="G71:H71" si="7">SUM(G40:G70)</f>
        <v>0</v>
      </c>
      <c r="H71" s="209">
        <f t="shared" si="7"/>
        <v>0</v>
      </c>
      <c r="I71" s="326">
        <f t="shared" ref="I71" si="8">SUM(I40:I70)</f>
        <v>0</v>
      </c>
      <c r="J71" s="112">
        <f t="shared" ref="J71" si="9">SUM(J40:J70)</f>
        <v>0</v>
      </c>
      <c r="K71" s="209">
        <f t="shared" ref="K71" si="10">SUM(K40:K70)</f>
        <v>0</v>
      </c>
      <c r="L71" s="209">
        <f t="shared" ref="L71" si="11">SUM(L40:L70)</f>
        <v>0</v>
      </c>
      <c r="M71" s="210">
        <f t="shared" ref="M71" si="12">SUM(M40:M70)</f>
        <v>0</v>
      </c>
      <c r="N71" s="112">
        <f t="shared" ref="N71" si="13">SUM(N40:N70)</f>
        <v>0</v>
      </c>
      <c r="O71" s="209">
        <f t="shared" ref="O71" si="14">SUM(O40:O70)</f>
        <v>0</v>
      </c>
      <c r="P71" s="209">
        <f t="shared" ref="P71" si="15">SUM(P40:P70)</f>
        <v>0</v>
      </c>
      <c r="Q71" s="209">
        <f t="shared" ref="Q71" si="16">SUM(Q40:Q70)</f>
        <v>0</v>
      </c>
      <c r="R71" s="210">
        <f t="shared" ref="R71" si="17">SUM(R40:R70)</f>
        <v>0</v>
      </c>
      <c r="S71" s="123">
        <f t="shared" ref="S71" si="18">SUM(S40:S70)</f>
        <v>0</v>
      </c>
      <c r="T71" s="209">
        <f t="shared" ref="T71:V71" si="19">SUM(T40:T70)</f>
        <v>0</v>
      </c>
      <c r="U71" s="209">
        <f t="shared" si="19"/>
        <v>0</v>
      </c>
      <c r="V71" s="209">
        <f t="shared" si="19"/>
        <v>0</v>
      </c>
      <c r="W71" s="326">
        <f t="shared" ref="W71" si="20">SUM(W40:W70)</f>
        <v>0</v>
      </c>
      <c r="X71" s="112">
        <f t="shared" ref="X71" si="21">SUM(X40:X70)</f>
        <v>0</v>
      </c>
      <c r="Y71" s="209">
        <f t="shared" ref="Y71" si="22">SUM(Y40:Y70)</f>
        <v>0</v>
      </c>
      <c r="Z71" s="209">
        <f t="shared" ref="Z71" si="23">SUM(Z40:Z70)</f>
        <v>0</v>
      </c>
      <c r="AA71" s="209">
        <f t="shared" ref="AA71" si="24">SUM(AA40:AA70)</f>
        <v>0</v>
      </c>
      <c r="AB71" s="209">
        <f t="shared" ref="AB71" si="25">SUM(AB40:AB70)</f>
        <v>0</v>
      </c>
      <c r="AC71" s="209">
        <f t="shared" ref="AC71:AE71" si="26">SUM(AC40:AC70)</f>
        <v>0</v>
      </c>
      <c r="AD71" s="209">
        <f t="shared" si="26"/>
        <v>0</v>
      </c>
      <c r="AE71" s="209">
        <f t="shared" si="26"/>
        <v>0</v>
      </c>
      <c r="AF71" s="209">
        <f t="shared" ref="AF71" si="27">SUM(AF40:AF70)</f>
        <v>0</v>
      </c>
      <c r="AG71" s="210">
        <f t="shared" ref="AG71" si="28">SUM(AG40:AG70)</f>
        <v>0</v>
      </c>
      <c r="AH71" s="123">
        <f t="shared" ref="AH71" si="29">SUM(AH40:AH70)</f>
        <v>0</v>
      </c>
      <c r="AI71" s="209">
        <f t="shared" ref="AI71" si="30">SUM(AI40:AI70)</f>
        <v>0</v>
      </c>
      <c r="AJ71" s="209">
        <f t="shared" ref="AJ71" si="31">SUM(AJ40:AJ70)</f>
        <v>0</v>
      </c>
      <c r="AK71" s="209">
        <f t="shared" ref="AK71" si="32">SUM(AK40:AK70)</f>
        <v>0</v>
      </c>
      <c r="AL71" s="209">
        <f t="shared" ref="AL71" si="33">SUM(AL40:AL70)</f>
        <v>0</v>
      </c>
      <c r="AM71" s="209">
        <f t="shared" ref="AM71" si="34">SUM(AM40:AM70)</f>
        <v>0</v>
      </c>
      <c r="AN71" s="209">
        <f t="shared" ref="AN71" si="35">SUM(AN40:AN70)</f>
        <v>0</v>
      </c>
      <c r="AO71" s="326">
        <f t="shared" ref="AO71" si="36">SUM(AO40:AO70)</f>
        <v>0</v>
      </c>
      <c r="AP71" s="112">
        <f t="shared" ref="AP71:AQ71" si="37">SUM(AP40:AP70)</f>
        <v>0</v>
      </c>
      <c r="AQ71" s="209">
        <f t="shared" si="37"/>
        <v>0</v>
      </c>
      <c r="AR71" s="209">
        <f t="shared" ref="AR71" si="38">SUM(AR40:AR70)</f>
        <v>0</v>
      </c>
      <c r="AS71" s="210">
        <f t="shared" ref="AS71:AY71" si="39">SUM(AS40:AS70)</f>
        <v>0</v>
      </c>
      <c r="AT71" s="123">
        <f t="shared" si="39"/>
        <v>0</v>
      </c>
      <c r="AU71" s="209">
        <f t="shared" si="39"/>
        <v>0</v>
      </c>
      <c r="AV71" s="209">
        <f t="shared" si="39"/>
        <v>0</v>
      </c>
      <c r="AW71" s="209">
        <f t="shared" si="39"/>
        <v>0</v>
      </c>
      <c r="AX71" s="209">
        <f t="shared" si="39"/>
        <v>0</v>
      </c>
      <c r="AY71" s="326">
        <f t="shared" si="39"/>
        <v>0</v>
      </c>
      <c r="AZ71" s="34">
        <f t="shared" ref="AZ71:BK71" si="40">SUM(AZ40:AZ70)</f>
        <v>0</v>
      </c>
      <c r="BA71" s="34">
        <f t="shared" si="40"/>
        <v>0</v>
      </c>
      <c r="BB71" s="34">
        <f t="shared" si="40"/>
        <v>0</v>
      </c>
      <c r="BC71" s="34">
        <f t="shared" si="40"/>
        <v>0</v>
      </c>
      <c r="BD71" s="34">
        <f t="shared" si="40"/>
        <v>0</v>
      </c>
      <c r="BE71" s="34">
        <f t="shared" si="40"/>
        <v>0</v>
      </c>
      <c r="BF71" s="34">
        <f t="shared" si="40"/>
        <v>0</v>
      </c>
      <c r="BG71" s="34">
        <f t="shared" si="40"/>
        <v>0</v>
      </c>
      <c r="BH71" s="34">
        <f t="shared" si="40"/>
        <v>0</v>
      </c>
      <c r="BI71" s="34">
        <f t="shared" si="40"/>
        <v>0</v>
      </c>
      <c r="BJ71" s="34">
        <f t="shared" si="40"/>
        <v>0</v>
      </c>
      <c r="BK71" s="34">
        <f t="shared" si="40"/>
        <v>0</v>
      </c>
      <c r="BL71" s="112">
        <f t="shared" ref="BJ71:BR71" si="41">SUM(BL40:BL70)</f>
        <v>0</v>
      </c>
      <c r="BM71" s="209">
        <f t="shared" si="41"/>
        <v>0</v>
      </c>
      <c r="BN71" s="209">
        <f t="shared" si="41"/>
        <v>0</v>
      </c>
      <c r="BO71" s="209">
        <f t="shared" si="41"/>
        <v>0</v>
      </c>
      <c r="BP71" s="209">
        <f t="shared" si="41"/>
        <v>0</v>
      </c>
      <c r="BQ71" s="210">
        <f t="shared" si="41"/>
        <v>0</v>
      </c>
      <c r="BR71" s="297">
        <f t="shared" si="41"/>
        <v>0</v>
      </c>
    </row>
    <row r="72" spans="1:70">
      <c r="E72" s="443" t="s">
        <v>57</v>
      </c>
      <c r="F72" s="444"/>
      <c r="G72" s="319"/>
      <c r="H72" s="319"/>
      <c r="I72" s="319"/>
      <c r="J72" s="319"/>
      <c r="K72" s="319"/>
      <c r="L72" s="319"/>
      <c r="M72" s="319"/>
      <c r="N72" s="319"/>
      <c r="O72" s="319"/>
      <c r="P72" s="319"/>
      <c r="Q72" s="319"/>
      <c r="R72" s="319"/>
      <c r="S72" s="319"/>
      <c r="T72" s="319"/>
      <c r="U72" s="319"/>
      <c r="V72" s="319"/>
      <c r="W72" s="319"/>
      <c r="X72" s="319"/>
      <c r="Y72" s="319"/>
      <c r="Z72" s="319"/>
      <c r="AA72" s="319"/>
      <c r="AB72" s="319"/>
      <c r="AC72" s="319"/>
      <c r="AD72" s="319"/>
      <c r="AE72" s="319"/>
      <c r="AF72" s="319"/>
      <c r="AG72" s="319"/>
      <c r="AH72" s="319"/>
      <c r="AI72" s="319"/>
      <c r="AJ72" s="319"/>
      <c r="AK72" s="319"/>
      <c r="AL72" s="319"/>
      <c r="AM72" s="319"/>
      <c r="AN72" s="319"/>
      <c r="AO72" s="319"/>
      <c r="AP72" s="319"/>
      <c r="AQ72" s="319"/>
      <c r="AR72" s="319"/>
      <c r="AS72" s="319"/>
      <c r="AT72" s="319"/>
      <c r="AU72" s="319"/>
      <c r="AV72" s="319"/>
      <c r="AW72" s="319"/>
      <c r="AX72" s="319"/>
      <c r="AY72" s="319"/>
      <c r="AZ72" s="319"/>
      <c r="BA72" s="319"/>
      <c r="BB72" s="319"/>
      <c r="BC72" s="319"/>
      <c r="BD72" s="319"/>
      <c r="BE72" s="319"/>
      <c r="BF72" s="319"/>
      <c r="BG72" s="319"/>
      <c r="BH72" s="319"/>
      <c r="BI72" s="319"/>
      <c r="BJ72" s="319"/>
      <c r="BK72" s="319"/>
      <c r="BL72" s="319"/>
      <c r="BM72" s="319"/>
      <c r="BN72" s="319"/>
      <c r="BO72" s="319"/>
      <c r="BP72" s="319"/>
      <c r="BQ72" s="319"/>
      <c r="BR72" s="319"/>
    </row>
    <row r="73" spans="1:70" ht="15.75" thickBot="1">
      <c r="A73" s="435" t="s">
        <v>2</v>
      </c>
      <c r="B73" s="440" t="s">
        <v>45</v>
      </c>
      <c r="C73" s="441"/>
      <c r="D73" s="442"/>
      <c r="E73" s="440" t="s">
        <v>46</v>
      </c>
      <c r="F73" s="441"/>
      <c r="G73" s="441"/>
      <c r="H73" s="441"/>
      <c r="I73" s="441"/>
      <c r="J73" s="440" t="s">
        <v>47</v>
      </c>
      <c r="K73" s="441"/>
      <c r="L73" s="441"/>
      <c r="M73" s="442"/>
      <c r="N73" s="432" t="s">
        <v>48</v>
      </c>
      <c r="O73" s="432"/>
      <c r="P73" s="432"/>
      <c r="Q73" s="432"/>
      <c r="R73" s="432"/>
      <c r="S73" s="431" t="s">
        <v>49</v>
      </c>
      <c r="T73" s="432"/>
      <c r="U73" s="432"/>
      <c r="V73" s="432"/>
      <c r="W73" s="433"/>
      <c r="X73" s="431" t="s">
        <v>50</v>
      </c>
      <c r="Y73" s="432"/>
      <c r="Z73" s="432"/>
      <c r="AA73" s="432"/>
      <c r="AB73" s="432"/>
      <c r="AC73" s="432"/>
      <c r="AD73" s="432"/>
      <c r="AE73" s="432"/>
      <c r="AF73" s="432"/>
      <c r="AG73" s="433"/>
      <c r="AH73" s="431" t="s">
        <v>51</v>
      </c>
      <c r="AI73" s="432"/>
      <c r="AJ73" s="432"/>
      <c r="AK73" s="432"/>
      <c r="AL73" s="432"/>
      <c r="AM73" s="432"/>
      <c r="AN73" s="432"/>
      <c r="AO73" s="433"/>
      <c r="AP73" s="431" t="s">
        <v>52</v>
      </c>
      <c r="AQ73" s="432"/>
      <c r="AR73" s="432"/>
      <c r="AS73" s="433"/>
      <c r="AT73" s="431" t="s">
        <v>53</v>
      </c>
      <c r="AU73" s="432"/>
      <c r="AV73" s="432"/>
      <c r="AW73" s="432"/>
      <c r="AX73" s="432"/>
      <c r="AY73" s="432"/>
      <c r="AZ73" s="437" t="s">
        <v>54</v>
      </c>
      <c r="BA73" s="438"/>
      <c r="BB73" s="438"/>
      <c r="BC73" s="438"/>
      <c r="BD73" s="438"/>
      <c r="BE73" s="438"/>
      <c r="BF73" s="438"/>
      <c r="BG73" s="438"/>
      <c r="BH73" s="438"/>
      <c r="BI73" s="438"/>
      <c r="BJ73" s="438"/>
      <c r="BK73" s="439"/>
      <c r="BL73" s="431" t="s">
        <v>55</v>
      </c>
      <c r="BM73" s="432"/>
      <c r="BN73" s="432"/>
      <c r="BO73" s="432"/>
      <c r="BP73" s="432"/>
      <c r="BQ73" s="433"/>
      <c r="BR73" s="430" t="s">
        <v>56</v>
      </c>
    </row>
    <row r="74" spans="1:70">
      <c r="A74" s="435"/>
      <c r="B74" s="291" t="s">
        <v>39</v>
      </c>
      <c r="C74" s="292" t="s">
        <v>39</v>
      </c>
      <c r="D74" s="292" t="s">
        <v>39</v>
      </c>
      <c r="E74" s="292" t="s">
        <v>39</v>
      </c>
      <c r="F74" s="292" t="s">
        <v>39</v>
      </c>
      <c r="G74" s="292" t="s">
        <v>39</v>
      </c>
      <c r="H74" s="292" t="s">
        <v>39</v>
      </c>
      <c r="I74" s="300" t="s">
        <v>39</v>
      </c>
      <c r="J74" s="291" t="s">
        <v>39</v>
      </c>
      <c r="K74" s="292" t="s">
        <v>39</v>
      </c>
      <c r="L74" s="292" t="s">
        <v>39</v>
      </c>
      <c r="M74" s="292" t="s">
        <v>39</v>
      </c>
      <c r="N74" s="292" t="s">
        <v>39</v>
      </c>
      <c r="O74" s="292" t="s">
        <v>39</v>
      </c>
      <c r="P74" s="292" t="s">
        <v>39</v>
      </c>
      <c r="Q74" s="292" t="s">
        <v>39</v>
      </c>
      <c r="R74" s="300" t="s">
        <v>39</v>
      </c>
      <c r="S74" s="291" t="s">
        <v>39</v>
      </c>
      <c r="T74" s="292" t="s">
        <v>39</v>
      </c>
      <c r="U74" s="292" t="s">
        <v>39</v>
      </c>
      <c r="V74" s="292" t="s">
        <v>39</v>
      </c>
      <c r="W74" s="292" t="s">
        <v>39</v>
      </c>
      <c r="X74" s="307" t="s">
        <v>39</v>
      </c>
      <c r="Y74" s="292" t="s">
        <v>41</v>
      </c>
      <c r="Z74" s="300" t="s">
        <v>39</v>
      </c>
      <c r="AA74" s="292" t="s">
        <v>41</v>
      </c>
      <c r="AB74" s="300" t="s">
        <v>39</v>
      </c>
      <c r="AC74" s="292" t="s">
        <v>41</v>
      </c>
      <c r="AD74" s="300" t="s">
        <v>39</v>
      </c>
      <c r="AE74" s="292" t="s">
        <v>41</v>
      </c>
      <c r="AF74" s="300" t="s">
        <v>39</v>
      </c>
      <c r="AG74" s="292" t="s">
        <v>41</v>
      </c>
      <c r="AH74" s="307" t="s">
        <v>39</v>
      </c>
      <c r="AI74" s="292" t="s">
        <v>40</v>
      </c>
      <c r="AJ74" s="300" t="s">
        <v>39</v>
      </c>
      <c r="AK74" s="292" t="s">
        <v>40</v>
      </c>
      <c r="AL74" s="300" t="s">
        <v>39</v>
      </c>
      <c r="AM74" s="292" t="s">
        <v>40</v>
      </c>
      <c r="AN74" s="300" t="s">
        <v>39</v>
      </c>
      <c r="AO74" s="292" t="s">
        <v>40</v>
      </c>
      <c r="AP74" s="307" t="s">
        <v>39</v>
      </c>
      <c r="AQ74" s="300" t="s">
        <v>39</v>
      </c>
      <c r="AR74" s="300" t="s">
        <v>39</v>
      </c>
      <c r="AS74" s="292" t="s">
        <v>39</v>
      </c>
      <c r="AT74" s="309" t="s">
        <v>39</v>
      </c>
      <c r="AU74" s="310" t="s">
        <v>39</v>
      </c>
      <c r="AV74" s="310" t="s">
        <v>39</v>
      </c>
      <c r="AW74" s="310" t="s">
        <v>39</v>
      </c>
      <c r="AX74" s="310" t="s">
        <v>39</v>
      </c>
      <c r="AY74" s="298" t="s">
        <v>39</v>
      </c>
      <c r="AZ74" s="311" t="s">
        <v>39</v>
      </c>
      <c r="BA74" s="312" t="s">
        <v>40</v>
      </c>
      <c r="BB74" s="312" t="s">
        <v>41</v>
      </c>
      <c r="BC74" s="311" t="s">
        <v>39</v>
      </c>
      <c r="BD74" s="312" t="s">
        <v>40</v>
      </c>
      <c r="BE74" s="312" t="s">
        <v>41</v>
      </c>
      <c r="BF74" s="311" t="s">
        <v>39</v>
      </c>
      <c r="BG74" s="312" t="s">
        <v>40</v>
      </c>
      <c r="BH74" s="312" t="s">
        <v>41</v>
      </c>
      <c r="BI74" s="311" t="s">
        <v>39</v>
      </c>
      <c r="BJ74" s="312" t="s">
        <v>40</v>
      </c>
      <c r="BK74" s="312" t="s">
        <v>41</v>
      </c>
      <c r="BL74" s="309" t="s">
        <v>39</v>
      </c>
      <c r="BM74" s="310" t="s">
        <v>39</v>
      </c>
      <c r="BN74" s="310" t="s">
        <v>39</v>
      </c>
      <c r="BO74" s="310" t="s">
        <v>39</v>
      </c>
      <c r="BP74" s="310" t="s">
        <v>39</v>
      </c>
      <c r="BQ74" s="314" t="s">
        <v>39</v>
      </c>
      <c r="BR74" s="430"/>
    </row>
    <row r="75" spans="1:70">
      <c r="A75" s="241">
        <v>1</v>
      </c>
      <c r="B75" s="241"/>
      <c r="C75" s="241"/>
      <c r="D75" s="241"/>
      <c r="E75" s="241"/>
      <c r="F75" s="43"/>
      <c r="G75" s="43"/>
      <c r="H75" s="289"/>
      <c r="I75" s="57"/>
      <c r="J75" s="241"/>
      <c r="K75" s="294"/>
      <c r="L75" s="294"/>
      <c r="M75" s="301"/>
      <c r="N75" s="302"/>
      <c r="O75" s="294"/>
      <c r="P75" s="294"/>
      <c r="Q75" s="294"/>
      <c r="R75" s="294"/>
      <c r="S75" s="302"/>
      <c r="T75" s="294"/>
      <c r="U75" s="294"/>
      <c r="V75" s="294"/>
      <c r="W75" s="294"/>
      <c r="X75" s="302"/>
      <c r="Y75" s="294"/>
      <c r="Z75" s="294"/>
      <c r="AA75" s="294"/>
      <c r="AB75" s="294"/>
      <c r="AC75" s="294"/>
      <c r="AD75" s="294"/>
      <c r="AE75" s="294"/>
      <c r="AF75" s="294"/>
      <c r="AG75" s="294"/>
      <c r="AH75" s="302"/>
      <c r="AI75" s="294"/>
      <c r="AJ75" s="294"/>
      <c r="AK75" s="294"/>
      <c r="AL75" s="294"/>
      <c r="AM75" s="294"/>
      <c r="AN75" s="294"/>
      <c r="AO75" s="294"/>
      <c r="AP75" s="302"/>
      <c r="AQ75" s="294"/>
      <c r="AR75" s="295"/>
      <c r="AS75" s="301"/>
      <c r="AT75" s="302"/>
      <c r="AU75" s="294"/>
      <c r="AV75" s="294"/>
      <c r="AW75" s="294"/>
      <c r="AX75" s="294"/>
      <c r="AY75" s="295"/>
      <c r="AZ75" s="302"/>
      <c r="BA75" s="293"/>
      <c r="BB75" s="294"/>
      <c r="BC75" s="294"/>
      <c r="BD75" s="294"/>
      <c r="BE75" s="294"/>
      <c r="BF75" s="294"/>
      <c r="BG75" s="294"/>
      <c r="BH75" s="294"/>
      <c r="BI75" s="294"/>
      <c r="BJ75" s="294"/>
      <c r="BK75" s="301"/>
      <c r="BL75" s="302"/>
      <c r="BM75" s="294"/>
      <c r="BN75" s="294"/>
      <c r="BO75" s="294"/>
      <c r="BP75" s="294"/>
      <c r="BQ75" s="301"/>
      <c r="BR75" s="56">
        <f>SUM(B75:BQ75)</f>
        <v>0</v>
      </c>
    </row>
    <row r="76" spans="1:70">
      <c r="A76" s="241">
        <v>2</v>
      </c>
      <c r="B76" s="241"/>
      <c r="C76" s="241"/>
      <c r="D76" s="241"/>
      <c r="E76" s="241"/>
      <c r="F76" s="43"/>
      <c r="G76" s="43"/>
      <c r="H76" s="289"/>
      <c r="I76" s="57"/>
      <c r="J76" s="241"/>
      <c r="K76" s="294"/>
      <c r="L76" s="294"/>
      <c r="M76" s="301"/>
      <c r="N76" s="302"/>
      <c r="O76" s="294"/>
      <c r="P76" s="294"/>
      <c r="Q76" s="294"/>
      <c r="R76" s="294"/>
      <c r="S76" s="302"/>
      <c r="T76" s="294"/>
      <c r="U76" s="294"/>
      <c r="V76" s="294"/>
      <c r="W76" s="294"/>
      <c r="X76" s="302"/>
      <c r="Y76" s="294"/>
      <c r="Z76" s="294"/>
      <c r="AA76" s="294"/>
      <c r="AB76" s="294"/>
      <c r="AC76" s="294"/>
      <c r="AD76" s="294"/>
      <c r="AE76" s="294"/>
      <c r="AF76" s="294"/>
      <c r="AG76" s="294"/>
      <c r="AH76" s="302"/>
      <c r="AI76" s="294"/>
      <c r="AJ76" s="294"/>
      <c r="AK76" s="294"/>
      <c r="AL76" s="294"/>
      <c r="AM76" s="294"/>
      <c r="AN76" s="294"/>
      <c r="AO76" s="294"/>
      <c r="AP76" s="302"/>
      <c r="AQ76" s="294"/>
      <c r="AR76" s="295"/>
      <c r="AS76" s="301"/>
      <c r="AT76" s="302"/>
      <c r="AU76" s="294"/>
      <c r="AV76" s="294"/>
      <c r="AW76" s="294"/>
      <c r="AX76" s="294"/>
      <c r="AY76" s="295"/>
      <c r="AZ76" s="302"/>
      <c r="BA76" s="293"/>
      <c r="BB76" s="294"/>
      <c r="BC76" s="294"/>
      <c r="BD76" s="294"/>
      <c r="BE76" s="294"/>
      <c r="BF76" s="294"/>
      <c r="BG76" s="294"/>
      <c r="BH76" s="294"/>
      <c r="BI76" s="294"/>
      <c r="BJ76" s="294"/>
      <c r="BK76" s="301"/>
      <c r="BL76" s="302"/>
      <c r="BM76" s="294"/>
      <c r="BN76" s="294"/>
      <c r="BO76" s="294"/>
      <c r="BP76" s="294"/>
      <c r="BQ76" s="301"/>
      <c r="BR76" s="56">
        <f>SUM(B76:BQ76)</f>
        <v>0</v>
      </c>
    </row>
    <row r="77" spans="1:70">
      <c r="A77" s="241">
        <v>3</v>
      </c>
      <c r="B77" s="241"/>
      <c r="C77" s="241"/>
      <c r="D77" s="241"/>
      <c r="E77" s="241"/>
      <c r="F77" s="43"/>
      <c r="G77" s="43"/>
      <c r="H77" s="289"/>
      <c r="I77" s="57"/>
      <c r="J77" s="241"/>
      <c r="K77" s="294"/>
      <c r="L77" s="294"/>
      <c r="M77" s="301"/>
      <c r="N77" s="302"/>
      <c r="O77" s="294"/>
      <c r="P77" s="294"/>
      <c r="Q77" s="294"/>
      <c r="R77" s="294"/>
      <c r="S77" s="302"/>
      <c r="T77" s="294"/>
      <c r="U77" s="294"/>
      <c r="V77" s="294"/>
      <c r="W77" s="294"/>
      <c r="X77" s="302"/>
      <c r="Y77" s="294"/>
      <c r="Z77" s="294"/>
      <c r="AA77" s="294"/>
      <c r="AB77" s="294"/>
      <c r="AC77" s="294"/>
      <c r="AD77" s="294"/>
      <c r="AE77" s="294"/>
      <c r="AF77" s="294"/>
      <c r="AG77" s="294"/>
      <c r="AH77" s="302"/>
      <c r="AI77" s="294"/>
      <c r="AJ77" s="294"/>
      <c r="AK77" s="294"/>
      <c r="AL77" s="294"/>
      <c r="AM77" s="294"/>
      <c r="AN77" s="294"/>
      <c r="AO77" s="294"/>
      <c r="AP77" s="302"/>
      <c r="AQ77" s="294"/>
      <c r="AR77" s="295"/>
      <c r="AS77" s="301"/>
      <c r="AT77" s="302"/>
      <c r="AU77" s="294"/>
      <c r="AV77" s="294"/>
      <c r="AW77" s="294"/>
      <c r="AX77" s="294"/>
      <c r="AY77" s="295"/>
      <c r="AZ77" s="302"/>
      <c r="BA77" s="293"/>
      <c r="BB77" s="294"/>
      <c r="BC77" s="294"/>
      <c r="BD77" s="294"/>
      <c r="BE77" s="294"/>
      <c r="BF77" s="294"/>
      <c r="BG77" s="294"/>
      <c r="BH77" s="294"/>
      <c r="BI77" s="294"/>
      <c r="BJ77" s="294"/>
      <c r="BK77" s="301"/>
      <c r="BL77" s="302"/>
      <c r="BM77" s="294"/>
      <c r="BN77" s="294"/>
      <c r="BO77" s="294"/>
      <c r="BP77" s="294"/>
      <c r="BQ77" s="301"/>
      <c r="BR77" s="56">
        <f>SUM(B77:BQ77)</f>
        <v>0</v>
      </c>
    </row>
    <row r="78" spans="1:70">
      <c r="A78" s="241">
        <v>4</v>
      </c>
      <c r="B78" s="241"/>
      <c r="C78" s="241"/>
      <c r="D78" s="241"/>
      <c r="E78" s="241"/>
      <c r="F78" s="43"/>
      <c r="G78" s="43"/>
      <c r="H78" s="289"/>
      <c r="I78" s="57"/>
      <c r="J78" s="241"/>
      <c r="K78" s="294"/>
      <c r="L78" s="294"/>
      <c r="M78" s="301"/>
      <c r="N78" s="302"/>
      <c r="O78" s="294"/>
      <c r="P78" s="294"/>
      <c r="Q78" s="294"/>
      <c r="R78" s="294"/>
      <c r="S78" s="302"/>
      <c r="T78" s="294"/>
      <c r="U78" s="294"/>
      <c r="V78" s="294"/>
      <c r="W78" s="294"/>
      <c r="X78" s="302"/>
      <c r="Y78" s="294"/>
      <c r="Z78" s="294"/>
      <c r="AA78" s="294"/>
      <c r="AB78" s="294"/>
      <c r="AC78" s="294"/>
      <c r="AD78" s="294"/>
      <c r="AE78" s="294"/>
      <c r="AF78" s="294"/>
      <c r="AG78" s="294"/>
      <c r="AH78" s="302"/>
      <c r="AI78" s="294"/>
      <c r="AJ78" s="294"/>
      <c r="AK78" s="294"/>
      <c r="AL78" s="294"/>
      <c r="AM78" s="294"/>
      <c r="AN78" s="294"/>
      <c r="AO78" s="294"/>
      <c r="AP78" s="302"/>
      <c r="AQ78" s="294"/>
      <c r="AR78" s="295"/>
      <c r="AS78" s="301"/>
      <c r="AT78" s="302"/>
      <c r="AU78" s="294"/>
      <c r="AV78" s="294"/>
      <c r="AW78" s="294"/>
      <c r="AX78" s="294"/>
      <c r="AY78" s="295"/>
      <c r="AZ78" s="302"/>
      <c r="BA78" s="293"/>
      <c r="BB78" s="294"/>
      <c r="BC78" s="294"/>
      <c r="BD78" s="294"/>
      <c r="BE78" s="294"/>
      <c r="BF78" s="294"/>
      <c r="BG78" s="294"/>
      <c r="BH78" s="294"/>
      <c r="BI78" s="294"/>
      <c r="BJ78" s="294"/>
      <c r="BK78" s="301"/>
      <c r="BL78" s="302"/>
      <c r="BM78" s="294"/>
      <c r="BN78" s="294"/>
      <c r="BO78" s="294"/>
      <c r="BP78" s="294"/>
      <c r="BQ78" s="301"/>
      <c r="BR78" s="56">
        <f>SUM(B78:BQ78)</f>
        <v>0</v>
      </c>
    </row>
    <row r="79" spans="1:70">
      <c r="A79" s="241">
        <v>5</v>
      </c>
      <c r="B79" s="241"/>
      <c r="C79" s="241"/>
      <c r="D79" s="241"/>
      <c r="E79" s="241"/>
      <c r="F79" s="43"/>
      <c r="G79" s="43"/>
      <c r="H79" s="289"/>
      <c r="I79" s="57"/>
      <c r="J79" s="241"/>
      <c r="K79" s="294"/>
      <c r="L79" s="294"/>
      <c r="M79" s="301"/>
      <c r="N79" s="302"/>
      <c r="O79" s="294"/>
      <c r="P79" s="294"/>
      <c r="Q79" s="294"/>
      <c r="R79" s="294"/>
      <c r="S79" s="302"/>
      <c r="T79" s="294"/>
      <c r="U79" s="294"/>
      <c r="V79" s="294"/>
      <c r="W79" s="294"/>
      <c r="X79" s="302"/>
      <c r="Y79" s="294"/>
      <c r="Z79" s="294"/>
      <c r="AA79" s="294"/>
      <c r="AB79" s="294"/>
      <c r="AC79" s="294"/>
      <c r="AD79" s="294"/>
      <c r="AE79" s="294"/>
      <c r="AF79" s="294"/>
      <c r="AG79" s="294"/>
      <c r="AH79" s="302"/>
      <c r="AI79" s="294"/>
      <c r="AJ79" s="294"/>
      <c r="AK79" s="294"/>
      <c r="AL79" s="294"/>
      <c r="AM79" s="294"/>
      <c r="AN79" s="294"/>
      <c r="AO79" s="294"/>
      <c r="AP79" s="302"/>
      <c r="AQ79" s="294"/>
      <c r="AR79" s="295"/>
      <c r="AS79" s="301"/>
      <c r="AT79" s="302"/>
      <c r="AU79" s="294"/>
      <c r="AV79" s="294"/>
      <c r="AW79" s="294"/>
      <c r="AX79" s="294"/>
      <c r="AY79" s="295"/>
      <c r="AZ79" s="302"/>
      <c r="BA79" s="293"/>
      <c r="BB79" s="294"/>
      <c r="BC79" s="294"/>
      <c r="BD79" s="294"/>
      <c r="BE79" s="294"/>
      <c r="BF79" s="294"/>
      <c r="BG79" s="294"/>
      <c r="BH79" s="294"/>
      <c r="BI79" s="294"/>
      <c r="BJ79" s="294"/>
      <c r="BK79" s="301"/>
      <c r="BL79" s="302"/>
      <c r="BM79" s="294"/>
      <c r="BN79" s="294"/>
      <c r="BO79" s="294"/>
      <c r="BP79" s="294"/>
      <c r="BQ79" s="301"/>
      <c r="BR79" s="56">
        <f>SUM(B79:BQ79)</f>
        <v>0</v>
      </c>
    </row>
    <row r="80" spans="1:70">
      <c r="A80" s="241">
        <v>6</v>
      </c>
      <c r="B80" s="241"/>
      <c r="C80" s="241"/>
      <c r="D80" s="241"/>
      <c r="E80" s="241"/>
      <c r="F80" s="43"/>
      <c r="G80" s="43"/>
      <c r="H80" s="289"/>
      <c r="I80" s="57"/>
      <c r="J80" s="241"/>
      <c r="K80" s="294"/>
      <c r="L80" s="294"/>
      <c r="M80" s="301"/>
      <c r="N80" s="302"/>
      <c r="O80" s="294"/>
      <c r="P80" s="294"/>
      <c r="Q80" s="294"/>
      <c r="R80" s="294"/>
      <c r="S80" s="302"/>
      <c r="T80" s="294"/>
      <c r="U80" s="294"/>
      <c r="V80" s="294"/>
      <c r="W80" s="294"/>
      <c r="X80" s="302"/>
      <c r="Y80" s="294"/>
      <c r="Z80" s="294"/>
      <c r="AA80" s="294"/>
      <c r="AB80" s="294"/>
      <c r="AC80" s="294"/>
      <c r="AD80" s="294"/>
      <c r="AE80" s="294"/>
      <c r="AF80" s="294"/>
      <c r="AG80" s="294"/>
      <c r="AH80" s="302"/>
      <c r="AI80" s="294"/>
      <c r="AJ80" s="294"/>
      <c r="AK80" s="294"/>
      <c r="AL80" s="294"/>
      <c r="AM80" s="294"/>
      <c r="AN80" s="294"/>
      <c r="AO80" s="294"/>
      <c r="AP80" s="302"/>
      <c r="AQ80" s="294"/>
      <c r="AR80" s="295"/>
      <c r="AS80" s="301"/>
      <c r="AT80" s="302"/>
      <c r="AU80" s="294"/>
      <c r="AV80" s="294"/>
      <c r="AW80" s="294"/>
      <c r="AX80" s="294"/>
      <c r="AY80" s="295"/>
      <c r="AZ80" s="302"/>
      <c r="BA80" s="293"/>
      <c r="BB80" s="294"/>
      <c r="BC80" s="294"/>
      <c r="BD80" s="294"/>
      <c r="BE80" s="294"/>
      <c r="BF80" s="294"/>
      <c r="BG80" s="294"/>
      <c r="BH80" s="294"/>
      <c r="BI80" s="294"/>
      <c r="BJ80" s="294"/>
      <c r="BK80" s="301"/>
      <c r="BL80" s="302"/>
      <c r="BM80" s="294"/>
      <c r="BN80" s="294"/>
      <c r="BO80" s="294"/>
      <c r="BP80" s="294"/>
      <c r="BQ80" s="301"/>
      <c r="BR80" s="56">
        <f>SUM(B80:BQ80)</f>
        <v>0</v>
      </c>
    </row>
    <row r="81" spans="1:70" s="1" customFormat="1">
      <c r="A81" s="320">
        <v>7</v>
      </c>
      <c r="B81" s="241"/>
      <c r="C81" s="241"/>
      <c r="D81" s="241"/>
      <c r="E81" s="241"/>
      <c r="F81" s="43"/>
      <c r="G81" s="43"/>
      <c r="H81" s="289"/>
      <c r="I81" s="57"/>
      <c r="J81" s="241"/>
      <c r="K81" s="294"/>
      <c r="L81" s="294"/>
      <c r="M81" s="301"/>
      <c r="N81" s="302"/>
      <c r="O81" s="294"/>
      <c r="P81" s="294"/>
      <c r="Q81" s="294"/>
      <c r="R81" s="294"/>
      <c r="S81" s="302"/>
      <c r="T81" s="294"/>
      <c r="U81" s="294"/>
      <c r="V81" s="294"/>
      <c r="W81" s="294"/>
      <c r="X81" s="302"/>
      <c r="Y81" s="294"/>
      <c r="Z81" s="294"/>
      <c r="AA81" s="294"/>
      <c r="AB81" s="294"/>
      <c r="AC81" s="294"/>
      <c r="AD81" s="294"/>
      <c r="AE81" s="294"/>
      <c r="AF81" s="294"/>
      <c r="AG81" s="294"/>
      <c r="AH81" s="302"/>
      <c r="AI81" s="294"/>
      <c r="AJ81" s="294"/>
      <c r="AK81" s="294"/>
      <c r="AL81" s="294"/>
      <c r="AM81" s="294"/>
      <c r="AN81" s="294"/>
      <c r="AO81" s="294"/>
      <c r="AP81" s="302"/>
      <c r="AQ81" s="294"/>
      <c r="AR81" s="295"/>
      <c r="AS81" s="301"/>
      <c r="AT81" s="302"/>
      <c r="AU81" s="294"/>
      <c r="AV81" s="294"/>
      <c r="AW81" s="294"/>
      <c r="AX81" s="294"/>
      <c r="AY81" s="295"/>
      <c r="AZ81" s="302"/>
      <c r="BA81" s="293"/>
      <c r="BB81" s="294"/>
      <c r="BC81" s="294"/>
      <c r="BD81" s="294"/>
      <c r="BE81" s="294"/>
      <c r="BF81" s="294"/>
      <c r="BG81" s="294"/>
      <c r="BH81" s="294"/>
      <c r="BI81" s="294"/>
      <c r="BJ81" s="294"/>
      <c r="BK81" s="301"/>
      <c r="BL81" s="302"/>
      <c r="BM81" s="294"/>
      <c r="BN81" s="294"/>
      <c r="BO81" s="294"/>
      <c r="BP81" s="294"/>
      <c r="BQ81" s="301"/>
      <c r="BR81" s="56">
        <f>SUM(B81:BQ81)</f>
        <v>0</v>
      </c>
    </row>
    <row r="82" spans="1:70" s="1" customFormat="1">
      <c r="A82" s="241">
        <v>8</v>
      </c>
      <c r="B82" s="241"/>
      <c r="C82" s="241"/>
      <c r="D82" s="241"/>
      <c r="E82" s="302"/>
      <c r="F82" s="294"/>
      <c r="G82" s="294"/>
      <c r="H82" s="295"/>
      <c r="I82" s="301"/>
      <c r="J82" s="302"/>
      <c r="K82" s="294"/>
      <c r="L82" s="294"/>
      <c r="M82" s="301"/>
      <c r="N82" s="302"/>
      <c r="O82" s="294"/>
      <c r="P82" s="294"/>
      <c r="Q82" s="294"/>
      <c r="R82" s="294"/>
      <c r="S82" s="302"/>
      <c r="T82" s="294"/>
      <c r="U82" s="294"/>
      <c r="V82" s="294"/>
      <c r="W82" s="294"/>
      <c r="X82" s="302"/>
      <c r="Y82" s="294"/>
      <c r="Z82" s="294"/>
      <c r="AA82" s="294"/>
      <c r="AB82" s="294"/>
      <c r="AC82" s="294"/>
      <c r="AD82" s="294"/>
      <c r="AE82" s="294"/>
      <c r="AF82" s="294"/>
      <c r="AG82" s="294"/>
      <c r="AH82" s="302"/>
      <c r="AI82" s="294"/>
      <c r="AJ82" s="294"/>
      <c r="AK82" s="294"/>
      <c r="AL82" s="294"/>
      <c r="AM82" s="294"/>
      <c r="AN82" s="294"/>
      <c r="AO82" s="294"/>
      <c r="AP82" s="302"/>
      <c r="AQ82" s="294"/>
      <c r="AR82" s="295"/>
      <c r="AS82" s="301"/>
      <c r="AT82" s="302"/>
      <c r="AU82" s="294"/>
      <c r="AV82" s="294"/>
      <c r="AW82" s="294"/>
      <c r="AX82" s="294"/>
      <c r="AY82" s="295"/>
      <c r="AZ82" s="302"/>
      <c r="BA82" s="293"/>
      <c r="BB82" s="294"/>
      <c r="BC82" s="294"/>
      <c r="BD82" s="294"/>
      <c r="BE82" s="294"/>
      <c r="BF82" s="294"/>
      <c r="BG82" s="294"/>
      <c r="BH82" s="294"/>
      <c r="BI82" s="294"/>
      <c r="BJ82" s="294"/>
      <c r="BK82" s="301"/>
      <c r="BL82" s="302"/>
      <c r="BM82" s="294"/>
      <c r="BN82" s="294"/>
      <c r="BO82" s="294"/>
      <c r="BP82" s="294"/>
      <c r="BQ82" s="301"/>
      <c r="BR82" s="56">
        <f>SUM(B82:BQ82)</f>
        <v>0</v>
      </c>
    </row>
    <row r="83" spans="1:70">
      <c r="A83" s="241">
        <v>9</v>
      </c>
      <c r="B83" s="241"/>
      <c r="C83" s="241"/>
      <c r="D83" s="241"/>
      <c r="E83" s="302"/>
      <c r="F83" s="294"/>
      <c r="G83" s="294"/>
      <c r="H83" s="295"/>
      <c r="I83" s="301"/>
      <c r="J83" s="302"/>
      <c r="K83" s="294"/>
      <c r="L83" s="294"/>
      <c r="M83" s="301"/>
      <c r="N83" s="302"/>
      <c r="O83" s="294"/>
      <c r="P83" s="294"/>
      <c r="Q83" s="294"/>
      <c r="R83" s="294"/>
      <c r="S83" s="302"/>
      <c r="T83" s="294"/>
      <c r="U83" s="294"/>
      <c r="V83" s="294"/>
      <c r="W83" s="294"/>
      <c r="X83" s="302"/>
      <c r="Y83" s="294"/>
      <c r="Z83" s="294"/>
      <c r="AA83" s="294"/>
      <c r="AB83" s="294"/>
      <c r="AC83" s="294"/>
      <c r="AD83" s="294"/>
      <c r="AE83" s="294"/>
      <c r="AF83" s="294"/>
      <c r="AG83" s="294"/>
      <c r="AH83" s="302"/>
      <c r="AI83" s="294"/>
      <c r="AJ83" s="294"/>
      <c r="AK83" s="294"/>
      <c r="AL83" s="294"/>
      <c r="AM83" s="294"/>
      <c r="AN83" s="294"/>
      <c r="AO83" s="294"/>
      <c r="AP83" s="302"/>
      <c r="AQ83" s="294"/>
      <c r="AR83" s="295"/>
      <c r="AS83" s="301"/>
      <c r="AT83" s="302"/>
      <c r="AU83" s="294"/>
      <c r="AV83" s="294"/>
      <c r="AW83" s="294"/>
      <c r="AX83" s="294"/>
      <c r="AY83" s="295"/>
      <c r="AZ83" s="302"/>
      <c r="BA83" s="293"/>
      <c r="BB83" s="294"/>
      <c r="BC83" s="294"/>
      <c r="BD83" s="294"/>
      <c r="BE83" s="294"/>
      <c r="BF83" s="294"/>
      <c r="BG83" s="294"/>
      <c r="BH83" s="294"/>
      <c r="BI83" s="294"/>
      <c r="BJ83" s="294"/>
      <c r="BK83" s="301"/>
      <c r="BL83" s="302"/>
      <c r="BM83" s="294"/>
      <c r="BN83" s="294"/>
      <c r="BO83" s="294"/>
      <c r="BP83" s="294"/>
      <c r="BQ83" s="301"/>
      <c r="BR83" s="56">
        <f>SUM(B83:BQ83)</f>
        <v>0</v>
      </c>
    </row>
    <row r="84" spans="1:70">
      <c r="A84" s="241">
        <v>10</v>
      </c>
      <c r="B84" s="241"/>
      <c r="C84" s="241"/>
      <c r="D84" s="241"/>
      <c r="E84" s="302"/>
      <c r="F84" s="294"/>
      <c r="G84" s="294"/>
      <c r="H84" s="295"/>
      <c r="I84" s="301"/>
      <c r="J84" s="302"/>
      <c r="K84" s="294"/>
      <c r="L84" s="294"/>
      <c r="M84" s="301"/>
      <c r="N84" s="302"/>
      <c r="O84" s="294"/>
      <c r="P84" s="294"/>
      <c r="Q84" s="294"/>
      <c r="R84" s="294"/>
      <c r="S84" s="302"/>
      <c r="T84" s="294"/>
      <c r="U84" s="294"/>
      <c r="V84" s="294"/>
      <c r="W84" s="294"/>
      <c r="X84" s="302"/>
      <c r="Y84" s="294"/>
      <c r="Z84" s="294"/>
      <c r="AA84" s="294"/>
      <c r="AB84" s="294"/>
      <c r="AC84" s="294"/>
      <c r="AD84" s="294"/>
      <c r="AE84" s="294"/>
      <c r="AF84" s="294"/>
      <c r="AG84" s="294"/>
      <c r="AH84" s="302"/>
      <c r="AI84" s="294"/>
      <c r="AJ84" s="294"/>
      <c r="AK84" s="294"/>
      <c r="AL84" s="294"/>
      <c r="AM84" s="294"/>
      <c r="AN84" s="294"/>
      <c r="AO84" s="294"/>
      <c r="AP84" s="302"/>
      <c r="AQ84" s="294"/>
      <c r="AR84" s="295"/>
      <c r="AS84" s="301"/>
      <c r="AT84" s="302"/>
      <c r="AU84" s="294"/>
      <c r="AV84" s="294"/>
      <c r="AW84" s="294"/>
      <c r="AX84" s="294"/>
      <c r="AY84" s="295"/>
      <c r="AZ84" s="302"/>
      <c r="BA84" s="293"/>
      <c r="BB84" s="294"/>
      <c r="BC84" s="294"/>
      <c r="BD84" s="294"/>
      <c r="BE84" s="294"/>
      <c r="BF84" s="294"/>
      <c r="BG84" s="294"/>
      <c r="BH84" s="294"/>
      <c r="BI84" s="294"/>
      <c r="BJ84" s="294"/>
      <c r="BK84" s="301"/>
      <c r="BL84" s="302"/>
      <c r="BM84" s="294"/>
      <c r="BN84" s="294"/>
      <c r="BO84" s="294"/>
      <c r="BP84" s="294"/>
      <c r="BQ84" s="301"/>
      <c r="BR84" s="56">
        <f>SUM(B84:BQ84)</f>
        <v>0</v>
      </c>
    </row>
    <row r="85" spans="1:70">
      <c r="A85" s="241">
        <v>11</v>
      </c>
      <c r="B85" s="241"/>
      <c r="C85" s="241"/>
      <c r="D85" s="241"/>
      <c r="E85" s="302"/>
      <c r="F85" s="294"/>
      <c r="G85" s="294"/>
      <c r="H85" s="295"/>
      <c r="I85" s="301"/>
      <c r="J85" s="302"/>
      <c r="K85" s="294"/>
      <c r="L85" s="294"/>
      <c r="M85" s="301"/>
      <c r="N85" s="302"/>
      <c r="O85" s="294"/>
      <c r="P85" s="294"/>
      <c r="Q85" s="294"/>
      <c r="R85" s="294"/>
      <c r="S85" s="302"/>
      <c r="T85" s="294"/>
      <c r="U85" s="294"/>
      <c r="V85" s="294"/>
      <c r="W85" s="294"/>
      <c r="X85" s="302"/>
      <c r="Y85" s="294"/>
      <c r="Z85" s="294"/>
      <c r="AA85" s="294"/>
      <c r="AB85" s="294"/>
      <c r="AC85" s="294"/>
      <c r="AD85" s="294"/>
      <c r="AE85" s="294"/>
      <c r="AF85" s="294"/>
      <c r="AG85" s="294"/>
      <c r="AH85" s="302"/>
      <c r="AI85" s="294"/>
      <c r="AJ85" s="294"/>
      <c r="AK85" s="294"/>
      <c r="AL85" s="294"/>
      <c r="AM85" s="294"/>
      <c r="AN85" s="294"/>
      <c r="AO85" s="294"/>
      <c r="AP85" s="302"/>
      <c r="AQ85" s="294"/>
      <c r="AR85" s="295"/>
      <c r="AS85" s="301"/>
      <c r="AT85" s="302"/>
      <c r="AU85" s="294"/>
      <c r="AV85" s="294"/>
      <c r="AW85" s="294"/>
      <c r="AX85" s="294"/>
      <c r="AY85" s="295"/>
      <c r="AZ85" s="302"/>
      <c r="BA85" s="293"/>
      <c r="BB85" s="294"/>
      <c r="BC85" s="294"/>
      <c r="BD85" s="294"/>
      <c r="BE85" s="294"/>
      <c r="BF85" s="294"/>
      <c r="BG85" s="294"/>
      <c r="BH85" s="294"/>
      <c r="BI85" s="294"/>
      <c r="BJ85" s="294"/>
      <c r="BK85" s="301"/>
      <c r="BL85" s="302"/>
      <c r="BM85" s="294"/>
      <c r="BN85" s="294"/>
      <c r="BO85" s="294"/>
      <c r="BP85" s="294"/>
      <c r="BQ85" s="301"/>
      <c r="BR85" s="56">
        <f>SUM(B85:BQ85)</f>
        <v>0</v>
      </c>
    </row>
    <row r="86" spans="1:70">
      <c r="A86" s="241">
        <v>12</v>
      </c>
      <c r="B86" s="241"/>
      <c r="C86" s="241"/>
      <c r="D86" s="241"/>
      <c r="E86" s="302"/>
      <c r="F86" s="294"/>
      <c r="G86" s="294"/>
      <c r="H86" s="295"/>
      <c r="I86" s="301"/>
      <c r="J86" s="302"/>
      <c r="K86" s="294"/>
      <c r="L86" s="294"/>
      <c r="M86" s="301"/>
      <c r="N86" s="302"/>
      <c r="O86" s="294"/>
      <c r="P86" s="294"/>
      <c r="Q86" s="294"/>
      <c r="R86" s="294"/>
      <c r="S86" s="302"/>
      <c r="T86" s="294"/>
      <c r="U86" s="294"/>
      <c r="V86" s="294"/>
      <c r="W86" s="294"/>
      <c r="X86" s="302"/>
      <c r="Y86" s="294"/>
      <c r="Z86" s="294"/>
      <c r="AA86" s="294"/>
      <c r="AB86" s="294"/>
      <c r="AC86" s="294"/>
      <c r="AD86" s="294"/>
      <c r="AE86" s="294"/>
      <c r="AF86" s="294"/>
      <c r="AG86" s="294"/>
      <c r="AH86" s="302"/>
      <c r="AI86" s="294"/>
      <c r="AJ86" s="294"/>
      <c r="AK86" s="294"/>
      <c r="AL86" s="294"/>
      <c r="AM86" s="294"/>
      <c r="AN86" s="294"/>
      <c r="AO86" s="294"/>
      <c r="AP86" s="302"/>
      <c r="AQ86" s="294"/>
      <c r="AR86" s="295"/>
      <c r="AS86" s="301"/>
      <c r="AT86" s="302"/>
      <c r="AU86" s="294"/>
      <c r="AV86" s="294"/>
      <c r="AW86" s="294"/>
      <c r="AX86" s="294"/>
      <c r="AY86" s="295"/>
      <c r="AZ86" s="302"/>
      <c r="BA86" s="293"/>
      <c r="BB86" s="294"/>
      <c r="BC86" s="294"/>
      <c r="BD86" s="294"/>
      <c r="BE86" s="294"/>
      <c r="BF86" s="294"/>
      <c r="BG86" s="294"/>
      <c r="BH86" s="294"/>
      <c r="BI86" s="294"/>
      <c r="BJ86" s="294"/>
      <c r="BK86" s="301"/>
      <c r="BL86" s="302"/>
      <c r="BM86" s="294"/>
      <c r="BN86" s="294"/>
      <c r="BO86" s="294"/>
      <c r="BP86" s="294"/>
      <c r="BQ86" s="301"/>
      <c r="BR86" s="56">
        <f>SUM(B86:BQ86)</f>
        <v>0</v>
      </c>
    </row>
    <row r="87" spans="1:70">
      <c r="A87" s="241">
        <v>13</v>
      </c>
      <c r="B87" s="241"/>
      <c r="C87" s="241"/>
      <c r="D87" s="241"/>
      <c r="E87" s="302"/>
      <c r="F87" s="294"/>
      <c r="G87" s="294"/>
      <c r="H87" s="295"/>
      <c r="I87" s="301"/>
      <c r="J87" s="302"/>
      <c r="K87" s="294"/>
      <c r="L87" s="294"/>
      <c r="M87" s="301"/>
      <c r="N87" s="302"/>
      <c r="O87" s="294"/>
      <c r="P87" s="294"/>
      <c r="Q87" s="294"/>
      <c r="R87" s="294"/>
      <c r="S87" s="302"/>
      <c r="T87" s="294"/>
      <c r="U87" s="294"/>
      <c r="V87" s="294"/>
      <c r="W87" s="294"/>
      <c r="X87" s="302"/>
      <c r="Y87" s="294"/>
      <c r="Z87" s="294"/>
      <c r="AA87" s="294"/>
      <c r="AB87" s="294"/>
      <c r="AC87" s="294"/>
      <c r="AD87" s="294"/>
      <c r="AE87" s="294"/>
      <c r="AF87" s="294"/>
      <c r="AG87" s="294"/>
      <c r="AH87" s="302"/>
      <c r="AI87" s="294"/>
      <c r="AJ87" s="294"/>
      <c r="AK87" s="294"/>
      <c r="AL87" s="294"/>
      <c r="AM87" s="294"/>
      <c r="AN87" s="294"/>
      <c r="AO87" s="294"/>
      <c r="AP87" s="302"/>
      <c r="AQ87" s="294"/>
      <c r="AR87" s="295"/>
      <c r="AS87" s="301"/>
      <c r="AT87" s="302"/>
      <c r="AU87" s="294"/>
      <c r="AV87" s="294"/>
      <c r="AW87" s="294"/>
      <c r="AX87" s="294"/>
      <c r="AY87" s="295"/>
      <c r="AZ87" s="302"/>
      <c r="BA87" s="293"/>
      <c r="BB87" s="294"/>
      <c r="BC87" s="294"/>
      <c r="BD87" s="294"/>
      <c r="BE87" s="294"/>
      <c r="BF87" s="294"/>
      <c r="BG87" s="294"/>
      <c r="BH87" s="294"/>
      <c r="BI87" s="294"/>
      <c r="BJ87" s="294"/>
      <c r="BK87" s="301"/>
      <c r="BL87" s="302"/>
      <c r="BM87" s="294"/>
      <c r="BN87" s="294"/>
      <c r="BO87" s="294"/>
      <c r="BP87" s="294"/>
      <c r="BQ87" s="301"/>
      <c r="BR87" s="56">
        <f>SUM(B87:BQ87)</f>
        <v>0</v>
      </c>
    </row>
    <row r="88" spans="1:70" s="1" customFormat="1">
      <c r="A88" s="320">
        <v>14</v>
      </c>
      <c r="B88" s="241"/>
      <c r="C88" s="241"/>
      <c r="D88" s="241"/>
      <c r="E88" s="302"/>
      <c r="F88" s="294"/>
      <c r="G88" s="294"/>
      <c r="H88" s="295"/>
      <c r="I88" s="301"/>
      <c r="J88" s="302"/>
      <c r="K88" s="294"/>
      <c r="L88" s="294"/>
      <c r="M88" s="301"/>
      <c r="N88" s="302"/>
      <c r="O88" s="294"/>
      <c r="P88" s="294"/>
      <c r="Q88" s="294"/>
      <c r="R88" s="294"/>
      <c r="S88" s="302"/>
      <c r="T88" s="294"/>
      <c r="U88" s="294"/>
      <c r="V88" s="294"/>
      <c r="W88" s="294"/>
      <c r="X88" s="302"/>
      <c r="Y88" s="294"/>
      <c r="Z88" s="294"/>
      <c r="AA88" s="294"/>
      <c r="AB88" s="294"/>
      <c r="AC88" s="294"/>
      <c r="AD88" s="294"/>
      <c r="AE88" s="294"/>
      <c r="AF88" s="294"/>
      <c r="AG88" s="294"/>
      <c r="AH88" s="302"/>
      <c r="AI88" s="294"/>
      <c r="AJ88" s="294"/>
      <c r="AK88" s="294"/>
      <c r="AL88" s="294"/>
      <c r="AM88" s="294"/>
      <c r="AN88" s="294"/>
      <c r="AO88" s="294"/>
      <c r="AP88" s="302"/>
      <c r="AQ88" s="294"/>
      <c r="AR88" s="295"/>
      <c r="AS88" s="301"/>
      <c r="AT88" s="302"/>
      <c r="AU88" s="294"/>
      <c r="AV88" s="294"/>
      <c r="AW88" s="294"/>
      <c r="AX88" s="294"/>
      <c r="AY88" s="295"/>
      <c r="AZ88" s="302"/>
      <c r="BA88" s="293"/>
      <c r="BB88" s="294"/>
      <c r="BC88" s="294"/>
      <c r="BD88" s="294"/>
      <c r="BE88" s="294"/>
      <c r="BF88" s="294"/>
      <c r="BG88" s="294"/>
      <c r="BH88" s="294"/>
      <c r="BI88" s="294"/>
      <c r="BJ88" s="294"/>
      <c r="BK88" s="301"/>
      <c r="BL88" s="302"/>
      <c r="BM88" s="294"/>
      <c r="BN88" s="294"/>
      <c r="BO88" s="294"/>
      <c r="BP88" s="294"/>
      <c r="BQ88" s="301"/>
      <c r="BR88" s="56">
        <f>SUM(B88:BQ88)</f>
        <v>0</v>
      </c>
    </row>
    <row r="89" spans="1:70" s="1" customFormat="1">
      <c r="A89" s="241">
        <v>15</v>
      </c>
      <c r="B89" s="241"/>
      <c r="C89" s="241"/>
      <c r="D89" s="241"/>
      <c r="E89" s="302"/>
      <c r="F89" s="294"/>
      <c r="G89" s="294"/>
      <c r="H89" s="295"/>
      <c r="I89" s="301"/>
      <c r="J89" s="302"/>
      <c r="K89" s="294"/>
      <c r="L89" s="294"/>
      <c r="M89" s="301"/>
      <c r="N89" s="302"/>
      <c r="O89" s="294"/>
      <c r="P89" s="294"/>
      <c r="Q89" s="294"/>
      <c r="R89" s="294"/>
      <c r="S89" s="302"/>
      <c r="T89" s="294"/>
      <c r="U89" s="294"/>
      <c r="V89" s="294"/>
      <c r="W89" s="294"/>
      <c r="X89" s="302"/>
      <c r="Y89" s="294"/>
      <c r="Z89" s="294"/>
      <c r="AA89" s="294"/>
      <c r="AB89" s="294"/>
      <c r="AC89" s="294"/>
      <c r="AD89" s="294"/>
      <c r="AE89" s="294"/>
      <c r="AF89" s="294"/>
      <c r="AG89" s="294"/>
      <c r="AH89" s="302"/>
      <c r="AI89" s="294"/>
      <c r="AJ89" s="294"/>
      <c r="AK89" s="294"/>
      <c r="AL89" s="294"/>
      <c r="AM89" s="294"/>
      <c r="AN89" s="294"/>
      <c r="AO89" s="294"/>
      <c r="AP89" s="302"/>
      <c r="AQ89" s="294"/>
      <c r="AR89" s="295"/>
      <c r="AS89" s="301"/>
      <c r="AT89" s="302"/>
      <c r="AU89" s="294"/>
      <c r="AV89" s="294"/>
      <c r="AW89" s="294"/>
      <c r="AX89" s="294"/>
      <c r="AY89" s="295"/>
      <c r="AZ89" s="302"/>
      <c r="BA89" s="293"/>
      <c r="BB89" s="294"/>
      <c r="BC89" s="294"/>
      <c r="BD89" s="294"/>
      <c r="BE89" s="294"/>
      <c r="BF89" s="294"/>
      <c r="BG89" s="294"/>
      <c r="BH89" s="294"/>
      <c r="BI89" s="294"/>
      <c r="BJ89" s="294"/>
      <c r="BK89" s="301"/>
      <c r="BL89" s="302"/>
      <c r="BM89" s="294"/>
      <c r="BN89" s="294"/>
      <c r="BO89" s="294"/>
      <c r="BP89" s="294"/>
      <c r="BQ89" s="301"/>
      <c r="BR89" s="56">
        <f>SUM(B89:BQ89)</f>
        <v>0</v>
      </c>
    </row>
    <row r="90" spans="1:70">
      <c r="A90" s="241">
        <v>16</v>
      </c>
      <c r="B90" s="241"/>
      <c r="C90" s="241"/>
      <c r="D90" s="241"/>
      <c r="E90" s="302"/>
      <c r="F90" s="294"/>
      <c r="G90" s="294"/>
      <c r="H90" s="295"/>
      <c r="I90" s="301"/>
      <c r="J90" s="302"/>
      <c r="K90" s="294"/>
      <c r="L90" s="294"/>
      <c r="M90" s="301"/>
      <c r="N90" s="302"/>
      <c r="O90" s="294"/>
      <c r="P90" s="294"/>
      <c r="Q90" s="294"/>
      <c r="R90" s="294"/>
      <c r="S90" s="302"/>
      <c r="T90" s="294"/>
      <c r="U90" s="294"/>
      <c r="V90" s="294"/>
      <c r="W90" s="294"/>
      <c r="X90" s="302"/>
      <c r="Y90" s="294"/>
      <c r="Z90" s="294"/>
      <c r="AA90" s="294"/>
      <c r="AB90" s="294"/>
      <c r="AC90" s="294"/>
      <c r="AD90" s="294"/>
      <c r="AE90" s="294"/>
      <c r="AF90" s="294"/>
      <c r="AG90" s="294"/>
      <c r="AH90" s="302"/>
      <c r="AI90" s="294"/>
      <c r="AJ90" s="294"/>
      <c r="AK90" s="294"/>
      <c r="AL90" s="294"/>
      <c r="AM90" s="294"/>
      <c r="AN90" s="294"/>
      <c r="AO90" s="294"/>
      <c r="AP90" s="302"/>
      <c r="AQ90" s="294"/>
      <c r="AR90" s="295"/>
      <c r="AS90" s="301"/>
      <c r="AT90" s="302"/>
      <c r="AU90" s="294"/>
      <c r="AV90" s="294"/>
      <c r="AW90" s="294"/>
      <c r="AX90" s="294"/>
      <c r="AY90" s="295"/>
      <c r="AZ90" s="302"/>
      <c r="BA90" s="293"/>
      <c r="BB90" s="294"/>
      <c r="BC90" s="294"/>
      <c r="BD90" s="294"/>
      <c r="BE90" s="294"/>
      <c r="BF90" s="294"/>
      <c r="BG90" s="294"/>
      <c r="BH90" s="294"/>
      <c r="BI90" s="294"/>
      <c r="BJ90" s="294"/>
      <c r="BK90" s="301"/>
      <c r="BL90" s="302"/>
      <c r="BM90" s="294"/>
      <c r="BN90" s="294"/>
      <c r="BO90" s="294"/>
      <c r="BP90" s="294"/>
      <c r="BQ90" s="301"/>
      <c r="BR90" s="56">
        <f>SUM(B90:BQ90)</f>
        <v>0</v>
      </c>
    </row>
    <row r="91" spans="1:70">
      <c r="A91" s="241">
        <v>17</v>
      </c>
      <c r="B91" s="241"/>
      <c r="C91" s="241"/>
      <c r="D91" s="241"/>
      <c r="E91" s="302"/>
      <c r="F91" s="294"/>
      <c r="G91" s="294"/>
      <c r="H91" s="295"/>
      <c r="I91" s="301"/>
      <c r="J91" s="302"/>
      <c r="K91" s="294"/>
      <c r="L91" s="294"/>
      <c r="M91" s="301"/>
      <c r="N91" s="302"/>
      <c r="O91" s="294"/>
      <c r="P91" s="294"/>
      <c r="Q91" s="294"/>
      <c r="R91" s="294"/>
      <c r="S91" s="302"/>
      <c r="T91" s="294"/>
      <c r="U91" s="294"/>
      <c r="V91" s="294"/>
      <c r="W91" s="294"/>
      <c r="X91" s="302"/>
      <c r="Y91" s="294"/>
      <c r="Z91" s="294"/>
      <c r="AA91" s="294"/>
      <c r="AB91" s="294"/>
      <c r="AC91" s="294"/>
      <c r="AD91" s="294"/>
      <c r="AE91" s="294"/>
      <c r="AF91" s="294"/>
      <c r="AG91" s="294"/>
      <c r="AH91" s="302"/>
      <c r="AI91" s="294"/>
      <c r="AJ91" s="294"/>
      <c r="AK91" s="294"/>
      <c r="AL91" s="294"/>
      <c r="AM91" s="294"/>
      <c r="AN91" s="294"/>
      <c r="AO91" s="294"/>
      <c r="AP91" s="302"/>
      <c r="AQ91" s="294"/>
      <c r="AR91" s="295"/>
      <c r="AS91" s="301"/>
      <c r="AT91" s="302"/>
      <c r="AU91" s="294"/>
      <c r="AV91" s="294"/>
      <c r="AW91" s="294"/>
      <c r="AX91" s="294"/>
      <c r="AY91" s="295"/>
      <c r="AZ91" s="302"/>
      <c r="BA91" s="293"/>
      <c r="BB91" s="294"/>
      <c r="BC91" s="294"/>
      <c r="BD91" s="294"/>
      <c r="BE91" s="294"/>
      <c r="BF91" s="294"/>
      <c r="BG91" s="294"/>
      <c r="BH91" s="294"/>
      <c r="BI91" s="294"/>
      <c r="BJ91" s="294"/>
      <c r="BK91" s="301"/>
      <c r="BL91" s="302"/>
      <c r="BM91" s="294"/>
      <c r="BN91" s="294"/>
      <c r="BO91" s="294"/>
      <c r="BP91" s="294"/>
      <c r="BQ91" s="301"/>
      <c r="BR91" s="56">
        <f>SUM(B91:BQ91)</f>
        <v>0</v>
      </c>
    </row>
    <row r="92" spans="1:70">
      <c r="A92" s="241">
        <v>18</v>
      </c>
      <c r="B92" s="241"/>
      <c r="C92" s="241"/>
      <c r="D92" s="241"/>
      <c r="E92" s="302"/>
      <c r="F92" s="294"/>
      <c r="G92" s="294"/>
      <c r="H92" s="295"/>
      <c r="I92" s="301"/>
      <c r="J92" s="302"/>
      <c r="K92" s="294"/>
      <c r="L92" s="294"/>
      <c r="M92" s="301"/>
      <c r="N92" s="302"/>
      <c r="O92" s="294"/>
      <c r="P92" s="294"/>
      <c r="Q92" s="294"/>
      <c r="R92" s="294"/>
      <c r="S92" s="302"/>
      <c r="T92" s="294"/>
      <c r="U92" s="294"/>
      <c r="V92" s="294"/>
      <c r="W92" s="294"/>
      <c r="X92" s="302"/>
      <c r="Y92" s="294"/>
      <c r="Z92" s="294"/>
      <c r="AA92" s="294"/>
      <c r="AB92" s="294"/>
      <c r="AC92" s="294"/>
      <c r="AD92" s="294"/>
      <c r="AE92" s="294"/>
      <c r="AF92" s="294"/>
      <c r="AG92" s="294"/>
      <c r="AH92" s="302"/>
      <c r="AI92" s="294"/>
      <c r="AJ92" s="294"/>
      <c r="AK92" s="294"/>
      <c r="AL92" s="294"/>
      <c r="AM92" s="294"/>
      <c r="AN92" s="294"/>
      <c r="AO92" s="294"/>
      <c r="AP92" s="302"/>
      <c r="AQ92" s="294"/>
      <c r="AR92" s="295"/>
      <c r="AS92" s="301"/>
      <c r="AT92" s="302"/>
      <c r="AU92" s="294"/>
      <c r="AV92" s="294"/>
      <c r="AW92" s="294"/>
      <c r="AX92" s="294"/>
      <c r="AY92" s="295"/>
      <c r="AZ92" s="302"/>
      <c r="BA92" s="293"/>
      <c r="BB92" s="294"/>
      <c r="BC92" s="294"/>
      <c r="BD92" s="294"/>
      <c r="BE92" s="294"/>
      <c r="BF92" s="294"/>
      <c r="BG92" s="294"/>
      <c r="BH92" s="294"/>
      <c r="BI92" s="294"/>
      <c r="BJ92" s="294"/>
      <c r="BK92" s="301"/>
      <c r="BL92" s="302"/>
      <c r="BM92" s="294"/>
      <c r="BN92" s="294"/>
      <c r="BO92" s="294"/>
      <c r="BP92" s="294"/>
      <c r="BQ92" s="301"/>
      <c r="BR92" s="56">
        <f>SUM(B92:BQ92)</f>
        <v>0</v>
      </c>
    </row>
    <row r="93" spans="1:70">
      <c r="A93" s="241">
        <v>19</v>
      </c>
      <c r="B93" s="241"/>
      <c r="C93" s="241"/>
      <c r="D93" s="241"/>
      <c r="E93" s="302"/>
      <c r="F93" s="294"/>
      <c r="G93" s="294"/>
      <c r="H93" s="295"/>
      <c r="I93" s="301"/>
      <c r="J93" s="302"/>
      <c r="K93" s="294"/>
      <c r="L93" s="294"/>
      <c r="M93" s="301"/>
      <c r="N93" s="302"/>
      <c r="O93" s="294"/>
      <c r="P93" s="294"/>
      <c r="Q93" s="294"/>
      <c r="R93" s="294"/>
      <c r="S93" s="302"/>
      <c r="T93" s="294"/>
      <c r="U93" s="294"/>
      <c r="V93" s="294"/>
      <c r="W93" s="294"/>
      <c r="X93" s="302"/>
      <c r="Y93" s="294"/>
      <c r="Z93" s="294"/>
      <c r="AA93" s="294"/>
      <c r="AB93" s="294"/>
      <c r="AC93" s="294"/>
      <c r="AD93" s="294"/>
      <c r="AE93" s="294"/>
      <c r="AF93" s="294"/>
      <c r="AG93" s="294"/>
      <c r="AH93" s="302"/>
      <c r="AI93" s="294"/>
      <c r="AJ93" s="294"/>
      <c r="AK93" s="294"/>
      <c r="AL93" s="294"/>
      <c r="AM93" s="294"/>
      <c r="AN93" s="294"/>
      <c r="AO93" s="294"/>
      <c r="AP93" s="302"/>
      <c r="AQ93" s="294"/>
      <c r="AR93" s="295"/>
      <c r="AS93" s="301"/>
      <c r="AT93" s="302"/>
      <c r="AU93" s="294"/>
      <c r="AV93" s="294"/>
      <c r="AW93" s="294"/>
      <c r="AX93" s="294"/>
      <c r="AY93" s="295"/>
      <c r="AZ93" s="302"/>
      <c r="BA93" s="293"/>
      <c r="BB93" s="294"/>
      <c r="BC93" s="294"/>
      <c r="BD93" s="294"/>
      <c r="BE93" s="294"/>
      <c r="BF93" s="294"/>
      <c r="BG93" s="294"/>
      <c r="BH93" s="294"/>
      <c r="BI93" s="294"/>
      <c r="BJ93" s="294"/>
      <c r="BK93" s="301"/>
      <c r="BL93" s="302"/>
      <c r="BM93" s="294"/>
      <c r="BN93" s="294"/>
      <c r="BO93" s="294"/>
      <c r="BP93" s="294"/>
      <c r="BQ93" s="301"/>
      <c r="BR93" s="56">
        <f>SUM(B93:BQ93)</f>
        <v>0</v>
      </c>
    </row>
    <row r="94" spans="1:70">
      <c r="A94" s="241">
        <v>20</v>
      </c>
      <c r="B94" s="241"/>
      <c r="C94" s="241"/>
      <c r="D94" s="241"/>
      <c r="E94" s="302"/>
      <c r="F94" s="294"/>
      <c r="G94" s="294"/>
      <c r="H94" s="295"/>
      <c r="I94" s="301"/>
      <c r="J94" s="302"/>
      <c r="K94" s="294"/>
      <c r="L94" s="294"/>
      <c r="M94" s="301"/>
      <c r="N94" s="302"/>
      <c r="O94" s="294"/>
      <c r="P94" s="294"/>
      <c r="Q94" s="294"/>
      <c r="R94" s="294"/>
      <c r="S94" s="302"/>
      <c r="T94" s="294"/>
      <c r="U94" s="294"/>
      <c r="V94" s="294"/>
      <c r="W94" s="294"/>
      <c r="X94" s="302"/>
      <c r="Y94" s="294"/>
      <c r="Z94" s="294"/>
      <c r="AA94" s="294"/>
      <c r="AB94" s="294"/>
      <c r="AC94" s="294"/>
      <c r="AD94" s="294"/>
      <c r="AE94" s="294"/>
      <c r="AF94" s="294"/>
      <c r="AG94" s="294"/>
      <c r="AH94" s="302"/>
      <c r="AI94" s="294"/>
      <c r="AJ94" s="294"/>
      <c r="AK94" s="294"/>
      <c r="AL94" s="294"/>
      <c r="AM94" s="294"/>
      <c r="AN94" s="294"/>
      <c r="AO94" s="294"/>
      <c r="AP94" s="302"/>
      <c r="AQ94" s="294"/>
      <c r="AR94" s="295"/>
      <c r="AS94" s="301"/>
      <c r="AT94" s="302"/>
      <c r="AU94" s="294"/>
      <c r="AV94" s="294"/>
      <c r="AW94" s="294"/>
      <c r="AX94" s="294"/>
      <c r="AY94" s="295"/>
      <c r="AZ94" s="302"/>
      <c r="BA94" s="293"/>
      <c r="BB94" s="294"/>
      <c r="BC94" s="294"/>
      <c r="BD94" s="294"/>
      <c r="BE94" s="294"/>
      <c r="BF94" s="294"/>
      <c r="BG94" s="294"/>
      <c r="BH94" s="294"/>
      <c r="BI94" s="294"/>
      <c r="BJ94" s="294"/>
      <c r="BK94" s="301"/>
      <c r="BL94" s="302"/>
      <c r="BM94" s="294"/>
      <c r="BN94" s="294"/>
      <c r="BO94" s="294"/>
      <c r="BP94" s="294"/>
      <c r="BQ94" s="301"/>
      <c r="BR94" s="56">
        <f>SUM(B94:BQ94)</f>
        <v>0</v>
      </c>
    </row>
    <row r="95" spans="1:70">
      <c r="A95" s="241">
        <v>21</v>
      </c>
      <c r="B95" s="241"/>
      <c r="C95" s="241"/>
      <c r="D95" s="241"/>
      <c r="E95" s="302"/>
      <c r="F95" s="294"/>
      <c r="G95" s="294"/>
      <c r="H95" s="295"/>
      <c r="I95" s="301"/>
      <c r="J95" s="302"/>
      <c r="K95" s="294"/>
      <c r="L95" s="294"/>
      <c r="M95" s="301"/>
      <c r="N95" s="302"/>
      <c r="O95" s="294"/>
      <c r="P95" s="294"/>
      <c r="Q95" s="294"/>
      <c r="R95" s="294"/>
      <c r="S95" s="302"/>
      <c r="T95" s="294"/>
      <c r="U95" s="294"/>
      <c r="V95" s="294"/>
      <c r="W95" s="294"/>
      <c r="X95" s="302"/>
      <c r="Y95" s="294"/>
      <c r="Z95" s="294"/>
      <c r="AA95" s="294"/>
      <c r="AB95" s="294"/>
      <c r="AC95" s="294"/>
      <c r="AD95" s="294"/>
      <c r="AE95" s="294"/>
      <c r="AF95" s="294"/>
      <c r="AG95" s="294"/>
      <c r="AH95" s="302"/>
      <c r="AI95" s="294"/>
      <c r="AJ95" s="294"/>
      <c r="AK95" s="294"/>
      <c r="AL95" s="294"/>
      <c r="AM95" s="294"/>
      <c r="AN95" s="294"/>
      <c r="AO95" s="294"/>
      <c r="AP95" s="302"/>
      <c r="AQ95" s="294"/>
      <c r="AR95" s="295"/>
      <c r="AS95" s="301"/>
      <c r="AT95" s="302"/>
      <c r="AU95" s="294"/>
      <c r="AV95" s="294"/>
      <c r="AW95" s="294"/>
      <c r="AX95" s="294"/>
      <c r="AY95" s="295"/>
      <c r="AZ95" s="302"/>
      <c r="BA95" s="293"/>
      <c r="BB95" s="294"/>
      <c r="BC95" s="294"/>
      <c r="BD95" s="294"/>
      <c r="BE95" s="294"/>
      <c r="BF95" s="294"/>
      <c r="BG95" s="294"/>
      <c r="BH95" s="294"/>
      <c r="BI95" s="294"/>
      <c r="BJ95" s="294"/>
      <c r="BK95" s="301"/>
      <c r="BL95" s="302"/>
      <c r="BM95" s="294"/>
      <c r="BN95" s="294"/>
      <c r="BO95" s="294"/>
      <c r="BP95" s="294"/>
      <c r="BQ95" s="301"/>
      <c r="BR95" s="56">
        <f>SUM(B95:BQ95)</f>
        <v>0</v>
      </c>
    </row>
    <row r="96" spans="1:70" s="1" customFormat="1">
      <c r="A96" s="241">
        <v>22</v>
      </c>
      <c r="B96" s="241"/>
      <c r="C96" s="241"/>
      <c r="D96" s="241"/>
      <c r="E96" s="302"/>
      <c r="F96" s="294"/>
      <c r="G96" s="294"/>
      <c r="H96" s="295"/>
      <c r="I96" s="301"/>
      <c r="J96" s="302"/>
      <c r="K96" s="294"/>
      <c r="L96" s="294"/>
      <c r="M96" s="301"/>
      <c r="N96" s="302"/>
      <c r="O96" s="294"/>
      <c r="P96" s="294"/>
      <c r="Q96" s="294"/>
      <c r="R96" s="294"/>
      <c r="S96" s="302"/>
      <c r="T96" s="294"/>
      <c r="U96" s="294"/>
      <c r="V96" s="294"/>
      <c r="W96" s="294"/>
      <c r="X96" s="302"/>
      <c r="Y96" s="294"/>
      <c r="Z96" s="294"/>
      <c r="AA96" s="294"/>
      <c r="AB96" s="294"/>
      <c r="AC96" s="294"/>
      <c r="AD96" s="294"/>
      <c r="AE96" s="294"/>
      <c r="AF96" s="294"/>
      <c r="AG96" s="294"/>
      <c r="AH96" s="302"/>
      <c r="AI96" s="294"/>
      <c r="AJ96" s="294"/>
      <c r="AK96" s="294"/>
      <c r="AL96" s="294"/>
      <c r="AM96" s="294"/>
      <c r="AN96" s="294"/>
      <c r="AO96" s="294"/>
      <c r="AP96" s="302"/>
      <c r="AQ96" s="294"/>
      <c r="AR96" s="295"/>
      <c r="AS96" s="301"/>
      <c r="AT96" s="302"/>
      <c r="AU96" s="294"/>
      <c r="AV96" s="294"/>
      <c r="AW96" s="294"/>
      <c r="AX96" s="294"/>
      <c r="AY96" s="295"/>
      <c r="AZ96" s="302"/>
      <c r="BA96" s="293"/>
      <c r="BB96" s="294"/>
      <c r="BC96" s="294"/>
      <c r="BD96" s="294"/>
      <c r="BE96" s="294"/>
      <c r="BF96" s="294"/>
      <c r="BG96" s="294"/>
      <c r="BH96" s="294"/>
      <c r="BI96" s="294"/>
      <c r="BJ96" s="294"/>
      <c r="BK96" s="301"/>
      <c r="BL96" s="302"/>
      <c r="BM96" s="294"/>
      <c r="BN96" s="294"/>
      <c r="BO96" s="294"/>
      <c r="BP96" s="294"/>
      <c r="BQ96" s="301"/>
      <c r="BR96" s="56">
        <f>SUM(B96:BQ96)</f>
        <v>0</v>
      </c>
    </row>
    <row r="97" spans="1:72">
      <c r="A97" s="241">
        <v>23</v>
      </c>
      <c r="B97" s="241"/>
      <c r="C97" s="241"/>
      <c r="D97" s="241"/>
      <c r="E97" s="302"/>
      <c r="F97" s="294"/>
      <c r="G97" s="294"/>
      <c r="H97" s="295"/>
      <c r="I97" s="301"/>
      <c r="J97" s="302"/>
      <c r="K97" s="294"/>
      <c r="L97" s="294"/>
      <c r="M97" s="301"/>
      <c r="N97" s="302"/>
      <c r="O97" s="294"/>
      <c r="P97" s="294"/>
      <c r="Q97" s="294"/>
      <c r="R97" s="294"/>
      <c r="S97" s="302"/>
      <c r="T97" s="294"/>
      <c r="U97" s="294"/>
      <c r="V97" s="294"/>
      <c r="W97" s="294"/>
      <c r="X97" s="302"/>
      <c r="Y97" s="294"/>
      <c r="Z97" s="294"/>
      <c r="AA97" s="294"/>
      <c r="AB97" s="294"/>
      <c r="AC97" s="294"/>
      <c r="AD97" s="294"/>
      <c r="AE97" s="294"/>
      <c r="AF97" s="294"/>
      <c r="AG97" s="294"/>
      <c r="AH97" s="302"/>
      <c r="AI97" s="294"/>
      <c r="AJ97" s="294"/>
      <c r="AK97" s="294"/>
      <c r="AL97" s="294"/>
      <c r="AM97" s="294"/>
      <c r="AN97" s="294"/>
      <c r="AO97" s="294"/>
      <c r="AP97" s="302"/>
      <c r="AQ97" s="294"/>
      <c r="AR97" s="295"/>
      <c r="AS97" s="301"/>
      <c r="AT97" s="302"/>
      <c r="AU97" s="294"/>
      <c r="AV97" s="294"/>
      <c r="AW97" s="294"/>
      <c r="AX97" s="294"/>
      <c r="AY97" s="295"/>
      <c r="AZ97" s="302"/>
      <c r="BA97" s="293"/>
      <c r="BB97" s="294"/>
      <c r="BC97" s="294"/>
      <c r="BD97" s="294"/>
      <c r="BE97" s="294"/>
      <c r="BF97" s="294"/>
      <c r="BG97" s="294"/>
      <c r="BH97" s="294"/>
      <c r="BI97" s="294"/>
      <c r="BJ97" s="294"/>
      <c r="BK97" s="301"/>
      <c r="BL97" s="302"/>
      <c r="BM97" s="294"/>
      <c r="BN97" s="294"/>
      <c r="BO97" s="294"/>
      <c r="BP97" s="294"/>
      <c r="BQ97" s="301"/>
      <c r="BR97" s="56">
        <f>SUM(B97:BQ97)</f>
        <v>0</v>
      </c>
    </row>
    <row r="98" spans="1:72">
      <c r="A98" s="241">
        <v>24</v>
      </c>
      <c r="B98" s="241"/>
      <c r="C98" s="241"/>
      <c r="D98" s="241"/>
      <c r="E98" s="302"/>
      <c r="F98" s="294"/>
      <c r="G98" s="294"/>
      <c r="H98" s="295"/>
      <c r="I98" s="301"/>
      <c r="J98" s="302"/>
      <c r="K98" s="294"/>
      <c r="L98" s="294"/>
      <c r="M98" s="301"/>
      <c r="N98" s="302"/>
      <c r="O98" s="294"/>
      <c r="P98" s="294"/>
      <c r="Q98" s="294"/>
      <c r="R98" s="294"/>
      <c r="S98" s="302"/>
      <c r="T98" s="294"/>
      <c r="U98" s="294"/>
      <c r="V98" s="294"/>
      <c r="W98" s="294"/>
      <c r="X98" s="302"/>
      <c r="Y98" s="294"/>
      <c r="Z98" s="294"/>
      <c r="AA98" s="294"/>
      <c r="AB98" s="294"/>
      <c r="AC98" s="294"/>
      <c r="AD98" s="294"/>
      <c r="AE98" s="294"/>
      <c r="AF98" s="294"/>
      <c r="AG98" s="294"/>
      <c r="AH98" s="302"/>
      <c r="AI98" s="294"/>
      <c r="AJ98" s="294"/>
      <c r="AK98" s="294"/>
      <c r="AL98" s="294"/>
      <c r="AM98" s="294"/>
      <c r="AN98" s="294"/>
      <c r="AO98" s="294"/>
      <c r="AP98" s="302"/>
      <c r="AQ98" s="294"/>
      <c r="AR98" s="295"/>
      <c r="AS98" s="301"/>
      <c r="AT98" s="302"/>
      <c r="AU98" s="294"/>
      <c r="AV98" s="294"/>
      <c r="AW98" s="294"/>
      <c r="AX98" s="294"/>
      <c r="AY98" s="295"/>
      <c r="AZ98" s="302"/>
      <c r="BA98" s="293"/>
      <c r="BB98" s="294"/>
      <c r="BC98" s="294"/>
      <c r="BD98" s="294"/>
      <c r="BE98" s="294"/>
      <c r="BF98" s="294"/>
      <c r="BG98" s="294"/>
      <c r="BH98" s="294"/>
      <c r="BI98" s="294"/>
      <c r="BJ98" s="294"/>
      <c r="BK98" s="301"/>
      <c r="BL98" s="302"/>
      <c r="BM98" s="294"/>
      <c r="BN98" s="294"/>
      <c r="BO98" s="294"/>
      <c r="BP98" s="294"/>
      <c r="BQ98" s="301"/>
      <c r="BR98" s="56">
        <f>SUM(B98:BQ98)</f>
        <v>0</v>
      </c>
    </row>
    <row r="99" spans="1:72">
      <c r="A99" s="241">
        <v>25</v>
      </c>
      <c r="B99" s="241"/>
      <c r="C99" s="241"/>
      <c r="D99" s="241"/>
      <c r="E99" s="302"/>
      <c r="F99" s="294"/>
      <c r="G99" s="294"/>
      <c r="H99" s="295"/>
      <c r="I99" s="301"/>
      <c r="J99" s="302"/>
      <c r="K99" s="294"/>
      <c r="L99" s="294"/>
      <c r="M99" s="301"/>
      <c r="N99" s="302"/>
      <c r="O99" s="294"/>
      <c r="P99" s="294"/>
      <c r="Q99" s="294"/>
      <c r="R99" s="294"/>
      <c r="S99" s="302"/>
      <c r="T99" s="294"/>
      <c r="U99" s="294"/>
      <c r="V99" s="294"/>
      <c r="W99" s="294"/>
      <c r="X99" s="302"/>
      <c r="Y99" s="294"/>
      <c r="Z99" s="294"/>
      <c r="AA99" s="294"/>
      <c r="AB99" s="294"/>
      <c r="AC99" s="294"/>
      <c r="AD99" s="294"/>
      <c r="AE99" s="294"/>
      <c r="AF99" s="294"/>
      <c r="AG99" s="294"/>
      <c r="AH99" s="302"/>
      <c r="AI99" s="294"/>
      <c r="AJ99" s="294"/>
      <c r="AK99" s="294"/>
      <c r="AL99" s="294"/>
      <c r="AM99" s="294"/>
      <c r="AN99" s="294"/>
      <c r="AO99" s="294"/>
      <c r="AP99" s="302"/>
      <c r="AQ99" s="294"/>
      <c r="AR99" s="295"/>
      <c r="AS99" s="301"/>
      <c r="AT99" s="302"/>
      <c r="AU99" s="294"/>
      <c r="AV99" s="294"/>
      <c r="AW99" s="294"/>
      <c r="AX99" s="294"/>
      <c r="AY99" s="295"/>
      <c r="AZ99" s="302"/>
      <c r="BA99" s="293"/>
      <c r="BB99" s="294"/>
      <c r="BC99" s="294"/>
      <c r="BD99" s="294"/>
      <c r="BE99" s="294"/>
      <c r="BF99" s="294"/>
      <c r="BG99" s="294"/>
      <c r="BH99" s="294"/>
      <c r="BI99" s="294"/>
      <c r="BJ99" s="294"/>
      <c r="BK99" s="301"/>
      <c r="BL99" s="302"/>
      <c r="BM99" s="294"/>
      <c r="BN99" s="294"/>
      <c r="BO99" s="294"/>
      <c r="BP99" s="294"/>
      <c r="BQ99" s="301"/>
      <c r="BR99" s="56">
        <f>SUM(B99:BQ99)</f>
        <v>0</v>
      </c>
    </row>
    <row r="100" spans="1:72">
      <c r="A100" s="241">
        <v>26</v>
      </c>
      <c r="B100" s="241"/>
      <c r="C100" s="241"/>
      <c r="D100" s="241"/>
      <c r="E100" s="302"/>
      <c r="F100" s="294"/>
      <c r="G100" s="294"/>
      <c r="H100" s="295"/>
      <c r="I100" s="301"/>
      <c r="J100" s="302"/>
      <c r="K100" s="294"/>
      <c r="L100" s="294"/>
      <c r="M100" s="301"/>
      <c r="N100" s="302"/>
      <c r="O100" s="294"/>
      <c r="P100" s="294"/>
      <c r="Q100" s="294"/>
      <c r="R100" s="294"/>
      <c r="S100" s="302"/>
      <c r="T100" s="294"/>
      <c r="U100" s="294"/>
      <c r="V100" s="294"/>
      <c r="W100" s="294"/>
      <c r="X100" s="302"/>
      <c r="Y100" s="294"/>
      <c r="Z100" s="294"/>
      <c r="AA100" s="294"/>
      <c r="AB100" s="294"/>
      <c r="AC100" s="294"/>
      <c r="AD100" s="294"/>
      <c r="AE100" s="294"/>
      <c r="AF100" s="294"/>
      <c r="AG100" s="294"/>
      <c r="AH100" s="302"/>
      <c r="AI100" s="294"/>
      <c r="AJ100" s="294"/>
      <c r="AK100" s="294"/>
      <c r="AL100" s="294"/>
      <c r="AM100" s="294"/>
      <c r="AN100" s="294"/>
      <c r="AO100" s="294"/>
      <c r="AP100" s="302"/>
      <c r="AQ100" s="294"/>
      <c r="AR100" s="295"/>
      <c r="AS100" s="301"/>
      <c r="AT100" s="302"/>
      <c r="AU100" s="294"/>
      <c r="AV100" s="294"/>
      <c r="AW100" s="294"/>
      <c r="AX100" s="294"/>
      <c r="AY100" s="295"/>
      <c r="AZ100" s="302"/>
      <c r="BA100" s="293"/>
      <c r="BB100" s="294"/>
      <c r="BC100" s="294"/>
      <c r="BD100" s="294"/>
      <c r="BE100" s="294"/>
      <c r="BF100" s="294"/>
      <c r="BG100" s="294"/>
      <c r="BH100" s="294"/>
      <c r="BI100" s="294"/>
      <c r="BJ100" s="294"/>
      <c r="BK100" s="301"/>
      <c r="BL100" s="302"/>
      <c r="BM100" s="294"/>
      <c r="BN100" s="294"/>
      <c r="BO100" s="294"/>
      <c r="BP100" s="294"/>
      <c r="BQ100" s="301"/>
      <c r="BR100" s="56">
        <f>SUM(B100:BQ100)</f>
        <v>0</v>
      </c>
    </row>
    <row r="101" spans="1:72">
      <c r="A101" s="241">
        <v>27</v>
      </c>
      <c r="B101" s="241"/>
      <c r="C101" s="241"/>
      <c r="D101" s="241"/>
      <c r="E101" s="302"/>
      <c r="F101" s="294"/>
      <c r="G101" s="294"/>
      <c r="H101" s="295"/>
      <c r="I101" s="301"/>
      <c r="J101" s="302"/>
      <c r="K101" s="294"/>
      <c r="L101" s="294"/>
      <c r="M101" s="301"/>
      <c r="N101" s="302"/>
      <c r="O101" s="294"/>
      <c r="P101" s="294"/>
      <c r="Q101" s="294"/>
      <c r="R101" s="294"/>
      <c r="S101" s="302"/>
      <c r="T101" s="294"/>
      <c r="U101" s="294"/>
      <c r="V101" s="294"/>
      <c r="W101" s="294"/>
      <c r="X101" s="302"/>
      <c r="Y101" s="294"/>
      <c r="Z101" s="294"/>
      <c r="AA101" s="294"/>
      <c r="AB101" s="294"/>
      <c r="AC101" s="294"/>
      <c r="AD101" s="294"/>
      <c r="AE101" s="294"/>
      <c r="AF101" s="294"/>
      <c r="AG101" s="294"/>
      <c r="AH101" s="302"/>
      <c r="AI101" s="294"/>
      <c r="AJ101" s="294"/>
      <c r="AK101" s="294"/>
      <c r="AL101" s="294"/>
      <c r="AM101" s="294"/>
      <c r="AN101" s="294"/>
      <c r="AO101" s="294"/>
      <c r="AP101" s="302"/>
      <c r="AQ101" s="294"/>
      <c r="AR101" s="295"/>
      <c r="AS101" s="301"/>
      <c r="AT101" s="302"/>
      <c r="AU101" s="294"/>
      <c r="AV101" s="294"/>
      <c r="AW101" s="294"/>
      <c r="AX101" s="294"/>
      <c r="AY101" s="295"/>
      <c r="AZ101" s="302"/>
      <c r="BA101" s="293"/>
      <c r="BB101" s="294"/>
      <c r="BC101" s="294"/>
      <c r="BD101" s="294"/>
      <c r="BE101" s="294"/>
      <c r="BF101" s="294"/>
      <c r="BG101" s="294"/>
      <c r="BH101" s="294"/>
      <c r="BI101" s="294"/>
      <c r="BJ101" s="294"/>
      <c r="BK101" s="301"/>
      <c r="BL101" s="302"/>
      <c r="BM101" s="294"/>
      <c r="BN101" s="294"/>
      <c r="BO101" s="294"/>
      <c r="BP101" s="294"/>
      <c r="BQ101" s="301"/>
      <c r="BR101" s="56">
        <f>SUM(B101:BQ101)</f>
        <v>0</v>
      </c>
    </row>
    <row r="102" spans="1:72">
      <c r="A102" s="241">
        <v>28</v>
      </c>
      <c r="B102" s="241"/>
      <c r="C102" s="241"/>
      <c r="D102" s="241"/>
      <c r="E102" s="302"/>
      <c r="F102" s="294"/>
      <c r="G102" s="294"/>
      <c r="H102" s="295"/>
      <c r="I102" s="301"/>
      <c r="J102" s="302"/>
      <c r="K102" s="294"/>
      <c r="L102" s="294"/>
      <c r="M102" s="301"/>
      <c r="N102" s="302"/>
      <c r="O102" s="294"/>
      <c r="P102" s="294"/>
      <c r="Q102" s="294"/>
      <c r="R102" s="294"/>
      <c r="S102" s="302"/>
      <c r="T102" s="294"/>
      <c r="U102" s="294"/>
      <c r="V102" s="294"/>
      <c r="W102" s="294"/>
      <c r="X102" s="302"/>
      <c r="Y102" s="294"/>
      <c r="Z102" s="294"/>
      <c r="AA102" s="294"/>
      <c r="AB102" s="294"/>
      <c r="AC102" s="294"/>
      <c r="AD102" s="294"/>
      <c r="AE102" s="294"/>
      <c r="AF102" s="294"/>
      <c r="AG102" s="294"/>
      <c r="AH102" s="302"/>
      <c r="AI102" s="294"/>
      <c r="AJ102" s="294"/>
      <c r="AK102" s="294"/>
      <c r="AL102" s="294"/>
      <c r="AM102" s="294"/>
      <c r="AN102" s="294"/>
      <c r="AO102" s="294"/>
      <c r="AP102" s="302"/>
      <c r="AQ102" s="294"/>
      <c r="AR102" s="295"/>
      <c r="AS102" s="301"/>
      <c r="AT102" s="302"/>
      <c r="AU102" s="294"/>
      <c r="AV102" s="294"/>
      <c r="AW102" s="294"/>
      <c r="AX102" s="294"/>
      <c r="AY102" s="295"/>
      <c r="AZ102" s="302"/>
      <c r="BA102" s="293"/>
      <c r="BB102" s="294"/>
      <c r="BC102" s="294"/>
      <c r="BD102" s="294"/>
      <c r="BE102" s="294"/>
      <c r="BF102" s="294"/>
      <c r="BG102" s="294"/>
      <c r="BH102" s="294"/>
      <c r="BI102" s="294"/>
      <c r="BJ102" s="294"/>
      <c r="BK102" s="301"/>
      <c r="BL102" s="302"/>
      <c r="BM102" s="294"/>
      <c r="BN102" s="294"/>
      <c r="BO102" s="294"/>
      <c r="BP102" s="294"/>
      <c r="BQ102" s="301"/>
      <c r="BR102" s="56">
        <f>SUM(B102:BQ102)</f>
        <v>0</v>
      </c>
    </row>
    <row r="103" spans="1:72" s="1" customFormat="1">
      <c r="A103" s="241">
        <v>29</v>
      </c>
      <c r="B103" s="241"/>
      <c r="C103" s="241"/>
      <c r="D103" s="241"/>
      <c r="E103" s="302"/>
      <c r="F103" s="294"/>
      <c r="G103" s="294"/>
      <c r="H103" s="295"/>
      <c r="I103" s="301"/>
      <c r="J103" s="302"/>
      <c r="K103" s="294"/>
      <c r="L103" s="294"/>
      <c r="M103" s="301"/>
      <c r="N103" s="302"/>
      <c r="O103" s="294"/>
      <c r="P103" s="294"/>
      <c r="Q103" s="294"/>
      <c r="R103" s="294"/>
      <c r="S103" s="302"/>
      <c r="T103" s="294"/>
      <c r="U103" s="294"/>
      <c r="V103" s="294"/>
      <c r="W103" s="294"/>
      <c r="X103" s="302"/>
      <c r="Y103" s="294"/>
      <c r="Z103" s="294"/>
      <c r="AA103" s="294"/>
      <c r="AB103" s="294"/>
      <c r="AC103" s="294"/>
      <c r="AD103" s="294"/>
      <c r="AE103" s="294"/>
      <c r="AF103" s="294"/>
      <c r="AG103" s="294"/>
      <c r="AH103" s="302"/>
      <c r="AI103" s="294"/>
      <c r="AJ103" s="294"/>
      <c r="AK103" s="294"/>
      <c r="AL103" s="294"/>
      <c r="AM103" s="294"/>
      <c r="AN103" s="294"/>
      <c r="AO103" s="294"/>
      <c r="AP103" s="302"/>
      <c r="AQ103" s="294"/>
      <c r="AR103" s="295"/>
      <c r="AS103" s="301"/>
      <c r="AT103" s="302"/>
      <c r="AU103" s="294"/>
      <c r="AV103" s="294"/>
      <c r="AW103" s="294"/>
      <c r="AX103" s="294"/>
      <c r="AY103" s="295"/>
      <c r="AZ103" s="302"/>
      <c r="BA103" s="293"/>
      <c r="BB103" s="294"/>
      <c r="BC103" s="294"/>
      <c r="BD103" s="294"/>
      <c r="BE103" s="294"/>
      <c r="BF103" s="294"/>
      <c r="BG103" s="294"/>
      <c r="BH103" s="294"/>
      <c r="BI103" s="294"/>
      <c r="BJ103" s="294"/>
      <c r="BK103" s="301"/>
      <c r="BL103" s="302"/>
      <c r="BM103" s="294"/>
      <c r="BN103" s="294"/>
      <c r="BO103" s="294"/>
      <c r="BP103" s="294"/>
      <c r="BQ103" s="301"/>
      <c r="BR103" s="56">
        <f>SUM(B103:BQ103)</f>
        <v>0</v>
      </c>
    </row>
    <row r="104" spans="1:72">
      <c r="A104" s="241">
        <v>30</v>
      </c>
      <c r="B104" s="241"/>
      <c r="C104" s="241"/>
      <c r="D104" s="241"/>
      <c r="E104" s="302"/>
      <c r="F104" s="294"/>
      <c r="G104" s="294"/>
      <c r="H104" s="295"/>
      <c r="I104" s="301"/>
      <c r="J104" s="302"/>
      <c r="K104" s="294"/>
      <c r="L104" s="294"/>
      <c r="M104" s="301"/>
      <c r="N104" s="302"/>
      <c r="O104" s="294"/>
      <c r="P104" s="294"/>
      <c r="Q104" s="294"/>
      <c r="R104" s="294"/>
      <c r="S104" s="302"/>
      <c r="T104" s="294"/>
      <c r="U104" s="294"/>
      <c r="V104" s="294"/>
      <c r="W104" s="294"/>
      <c r="X104" s="302"/>
      <c r="Y104" s="294"/>
      <c r="Z104" s="294"/>
      <c r="AA104" s="294"/>
      <c r="AB104" s="294"/>
      <c r="AC104" s="294"/>
      <c r="AD104" s="294"/>
      <c r="AE104" s="294"/>
      <c r="AF104" s="294"/>
      <c r="AG104" s="294"/>
      <c r="AH104" s="302"/>
      <c r="AI104" s="294"/>
      <c r="AJ104" s="294"/>
      <c r="AK104" s="294"/>
      <c r="AL104" s="294"/>
      <c r="AM104" s="294"/>
      <c r="AN104" s="294"/>
      <c r="AO104" s="294"/>
      <c r="AP104" s="302"/>
      <c r="AQ104" s="294"/>
      <c r="AR104" s="295"/>
      <c r="AS104" s="301"/>
      <c r="AT104" s="302"/>
      <c r="AU104" s="294"/>
      <c r="AV104" s="294"/>
      <c r="AW104" s="294"/>
      <c r="AX104" s="294"/>
      <c r="AY104" s="295"/>
      <c r="AZ104" s="302"/>
      <c r="BA104" s="293"/>
      <c r="BB104" s="294"/>
      <c r="BC104" s="294"/>
      <c r="BD104" s="294"/>
      <c r="BE104" s="294"/>
      <c r="BF104" s="294"/>
      <c r="BG104" s="294"/>
      <c r="BH104" s="294"/>
      <c r="BI104" s="294"/>
      <c r="BJ104" s="294"/>
      <c r="BK104" s="301"/>
      <c r="BL104" s="302"/>
      <c r="BM104" s="294"/>
      <c r="BN104" s="294"/>
      <c r="BO104" s="294"/>
      <c r="BP104" s="294"/>
      <c r="BQ104" s="301"/>
      <c r="BR104" s="56">
        <f>SUM(B104:BQ104)</f>
        <v>0</v>
      </c>
    </row>
    <row r="105" spans="1:72">
      <c r="A105" s="241">
        <v>31</v>
      </c>
      <c r="B105" s="315"/>
      <c r="C105" s="315"/>
      <c r="D105" s="315"/>
      <c r="E105" s="321"/>
      <c r="F105" s="317"/>
      <c r="G105" s="317"/>
      <c r="H105" s="318"/>
      <c r="I105" s="325"/>
      <c r="J105" s="321"/>
      <c r="K105" s="317"/>
      <c r="L105" s="317"/>
      <c r="M105" s="325"/>
      <c r="N105" s="321"/>
      <c r="O105" s="317"/>
      <c r="P105" s="317"/>
      <c r="Q105" s="317"/>
      <c r="R105" s="317"/>
      <c r="S105" s="321"/>
      <c r="T105" s="317"/>
      <c r="U105" s="317"/>
      <c r="V105" s="317"/>
      <c r="W105" s="317"/>
      <c r="X105" s="321"/>
      <c r="Y105" s="317"/>
      <c r="Z105" s="317"/>
      <c r="AA105" s="317"/>
      <c r="AB105" s="317"/>
      <c r="AC105" s="317"/>
      <c r="AD105" s="317"/>
      <c r="AE105" s="317"/>
      <c r="AF105" s="317"/>
      <c r="AG105" s="317"/>
      <c r="AH105" s="321"/>
      <c r="AI105" s="317"/>
      <c r="AJ105" s="317"/>
      <c r="AK105" s="317"/>
      <c r="AL105" s="317"/>
      <c r="AM105" s="317"/>
      <c r="AN105" s="317"/>
      <c r="AO105" s="317"/>
      <c r="AP105" s="321"/>
      <c r="AQ105" s="317"/>
      <c r="AR105" s="318"/>
      <c r="AS105" s="325"/>
      <c r="AT105" s="321"/>
      <c r="AU105" s="317"/>
      <c r="AV105" s="317"/>
      <c r="AW105" s="317"/>
      <c r="AX105" s="317"/>
      <c r="AY105" s="318"/>
      <c r="AZ105" s="302"/>
      <c r="BA105" s="293"/>
      <c r="BB105" s="294"/>
      <c r="BC105" s="294"/>
      <c r="BD105" s="294"/>
      <c r="BE105" s="294"/>
      <c r="BF105" s="294"/>
      <c r="BG105" s="294"/>
      <c r="BH105" s="294"/>
      <c r="BI105" s="294"/>
      <c r="BJ105" s="294"/>
      <c r="BK105" s="301"/>
      <c r="BL105" s="321"/>
      <c r="BM105" s="317"/>
      <c r="BN105" s="317"/>
      <c r="BO105" s="317"/>
      <c r="BP105" s="317"/>
      <c r="BQ105" s="325"/>
      <c r="BR105" s="56">
        <f>SUM(B105:BQ105)</f>
        <v>0</v>
      </c>
    </row>
    <row r="106" spans="1:72">
      <c r="A106" s="295"/>
      <c r="B106" s="112">
        <f t="shared" ref="B106:E106" si="42">SUM(B75:B105)</f>
        <v>0</v>
      </c>
      <c r="C106" s="209">
        <f t="shared" si="42"/>
        <v>0</v>
      </c>
      <c r="D106" s="209">
        <f t="shared" si="42"/>
        <v>0</v>
      </c>
      <c r="E106" s="209">
        <f t="shared" si="42"/>
        <v>0</v>
      </c>
      <c r="F106" s="209">
        <f t="shared" ref="F106:BK106" si="43">SUM(F75:F105)</f>
        <v>0</v>
      </c>
      <c r="G106" s="209">
        <f t="shared" si="43"/>
        <v>0</v>
      </c>
      <c r="H106" s="209">
        <f t="shared" si="43"/>
        <v>0</v>
      </c>
      <c r="I106" s="209">
        <f t="shared" si="43"/>
        <v>0</v>
      </c>
      <c r="J106" s="209">
        <f t="shared" si="43"/>
        <v>0</v>
      </c>
      <c r="K106" s="209">
        <f t="shared" si="43"/>
        <v>0</v>
      </c>
      <c r="L106" s="209">
        <f t="shared" si="43"/>
        <v>0</v>
      </c>
      <c r="M106" s="209">
        <f t="shared" si="43"/>
        <v>0</v>
      </c>
      <c r="N106" s="209">
        <f t="shared" si="43"/>
        <v>0</v>
      </c>
      <c r="O106" s="209">
        <f t="shared" si="43"/>
        <v>0</v>
      </c>
      <c r="P106" s="209">
        <f t="shared" si="43"/>
        <v>0</v>
      </c>
      <c r="Q106" s="209">
        <f t="shared" si="43"/>
        <v>0</v>
      </c>
      <c r="R106" s="209">
        <f t="shared" si="43"/>
        <v>0</v>
      </c>
      <c r="S106" s="209">
        <f t="shared" si="43"/>
        <v>0</v>
      </c>
      <c r="T106" s="209">
        <f t="shared" si="43"/>
        <v>0</v>
      </c>
      <c r="U106" s="209">
        <f t="shared" si="43"/>
        <v>0</v>
      </c>
      <c r="V106" s="209">
        <f t="shared" si="43"/>
        <v>0</v>
      </c>
      <c r="W106" s="209">
        <f t="shared" si="43"/>
        <v>0</v>
      </c>
      <c r="X106" s="209">
        <f t="shared" si="43"/>
        <v>0</v>
      </c>
      <c r="Y106" s="209">
        <f t="shared" si="43"/>
        <v>0</v>
      </c>
      <c r="Z106" s="209">
        <f t="shared" si="43"/>
        <v>0</v>
      </c>
      <c r="AA106" s="209">
        <f t="shared" si="43"/>
        <v>0</v>
      </c>
      <c r="AB106" s="209">
        <f t="shared" si="43"/>
        <v>0</v>
      </c>
      <c r="AC106" s="209">
        <f t="shared" si="43"/>
        <v>0</v>
      </c>
      <c r="AD106" s="209">
        <f t="shared" si="43"/>
        <v>0</v>
      </c>
      <c r="AE106" s="209">
        <f t="shared" si="43"/>
        <v>0</v>
      </c>
      <c r="AF106" s="209">
        <f t="shared" si="43"/>
        <v>0</v>
      </c>
      <c r="AG106" s="209">
        <f t="shared" si="43"/>
        <v>0</v>
      </c>
      <c r="AH106" s="209">
        <f t="shared" si="43"/>
        <v>0</v>
      </c>
      <c r="AI106" s="209">
        <f t="shared" si="43"/>
        <v>0</v>
      </c>
      <c r="AJ106" s="209">
        <f t="shared" si="43"/>
        <v>0</v>
      </c>
      <c r="AK106" s="209">
        <f t="shared" si="43"/>
        <v>0</v>
      </c>
      <c r="AL106" s="209">
        <f t="shared" si="43"/>
        <v>0</v>
      </c>
      <c r="AM106" s="209">
        <f t="shared" si="43"/>
        <v>0</v>
      </c>
      <c r="AN106" s="209">
        <f t="shared" si="43"/>
        <v>0</v>
      </c>
      <c r="AO106" s="209">
        <f t="shared" si="43"/>
        <v>0</v>
      </c>
      <c r="AP106" s="209">
        <f t="shared" si="43"/>
        <v>0</v>
      </c>
      <c r="AQ106" s="209">
        <f t="shared" si="43"/>
        <v>0</v>
      </c>
      <c r="AR106" s="209">
        <f t="shared" si="43"/>
        <v>0</v>
      </c>
      <c r="AS106" s="209">
        <f t="shared" si="43"/>
        <v>0</v>
      </c>
      <c r="AT106" s="209">
        <f t="shared" ref="AT106:AV106" si="44">SUM(AT75:AT105)</f>
        <v>0</v>
      </c>
      <c r="AU106" s="209">
        <f t="shared" si="44"/>
        <v>0</v>
      </c>
      <c r="AV106" s="209">
        <f t="shared" si="44"/>
        <v>0</v>
      </c>
      <c r="AW106" s="209">
        <f t="shared" ref="AW106:AY106" si="45">SUM(AW75:AW105)</f>
        <v>0</v>
      </c>
      <c r="AX106" s="209">
        <f t="shared" si="45"/>
        <v>0</v>
      </c>
      <c r="AY106" s="326">
        <f t="shared" si="45"/>
        <v>0</v>
      </c>
      <c r="AZ106" s="34">
        <f t="shared" si="43"/>
        <v>0</v>
      </c>
      <c r="BA106" s="34">
        <f t="shared" si="43"/>
        <v>0</v>
      </c>
      <c r="BB106" s="34">
        <f t="shared" si="43"/>
        <v>0</v>
      </c>
      <c r="BC106" s="34">
        <f t="shared" si="43"/>
        <v>0</v>
      </c>
      <c r="BD106" s="34">
        <f t="shared" si="43"/>
        <v>0</v>
      </c>
      <c r="BE106" s="34">
        <f t="shared" si="43"/>
        <v>0</v>
      </c>
      <c r="BF106" s="34">
        <f t="shared" si="43"/>
        <v>0</v>
      </c>
      <c r="BG106" s="34">
        <f t="shared" si="43"/>
        <v>0</v>
      </c>
      <c r="BH106" s="34">
        <f t="shared" si="43"/>
        <v>0</v>
      </c>
      <c r="BI106" s="34">
        <f t="shared" si="43"/>
        <v>0</v>
      </c>
      <c r="BJ106" s="34">
        <f t="shared" si="43"/>
        <v>0</v>
      </c>
      <c r="BK106" s="34">
        <f t="shared" si="43"/>
        <v>0</v>
      </c>
      <c r="BL106" s="112">
        <f t="shared" ref="BJ106:BN106" si="46">SUM(BL75:BL105)</f>
        <v>0</v>
      </c>
      <c r="BM106" s="209">
        <f t="shared" si="46"/>
        <v>0</v>
      </c>
      <c r="BN106" s="209">
        <f t="shared" si="46"/>
        <v>0</v>
      </c>
      <c r="BO106" s="209">
        <f t="shared" ref="BO106:BR106" si="47">SUM(BO75:BO105)</f>
        <v>0</v>
      </c>
      <c r="BP106" s="209">
        <f t="shared" si="47"/>
        <v>0</v>
      </c>
      <c r="BQ106" s="210">
        <f t="shared" si="47"/>
        <v>0</v>
      </c>
      <c r="BR106" s="56">
        <f t="shared" si="47"/>
        <v>0</v>
      </c>
    </row>
    <row r="108" spans="1:72" ht="15.75" thickBot="1">
      <c r="A108" s="436" t="s">
        <v>2</v>
      </c>
      <c r="B108" s="440" t="s">
        <v>45</v>
      </c>
      <c r="C108" s="441"/>
      <c r="D108" s="441"/>
      <c r="E108" s="440" t="s">
        <v>46</v>
      </c>
      <c r="F108" s="441"/>
      <c r="G108" s="441"/>
      <c r="H108" s="441"/>
      <c r="I108" s="442"/>
      <c r="J108" s="441" t="s">
        <v>47</v>
      </c>
      <c r="K108" s="441"/>
      <c r="L108" s="441"/>
      <c r="M108" s="441"/>
      <c r="N108" s="431" t="s">
        <v>48</v>
      </c>
      <c r="O108" s="432"/>
      <c r="P108" s="432"/>
      <c r="Q108" s="432"/>
      <c r="R108" s="432"/>
      <c r="S108" s="431" t="s">
        <v>49</v>
      </c>
      <c r="T108" s="432"/>
      <c r="U108" s="432"/>
      <c r="V108" s="432"/>
      <c r="W108" s="433"/>
      <c r="X108" s="431" t="s">
        <v>50</v>
      </c>
      <c r="Y108" s="432"/>
      <c r="Z108" s="432"/>
      <c r="AA108" s="432"/>
      <c r="AB108" s="432"/>
      <c r="AC108" s="432"/>
      <c r="AD108" s="432"/>
      <c r="AE108" s="432"/>
      <c r="AF108" s="432"/>
      <c r="AG108" s="433"/>
      <c r="AH108" s="431" t="s">
        <v>51</v>
      </c>
      <c r="AI108" s="432"/>
      <c r="AJ108" s="432"/>
      <c r="AK108" s="432"/>
      <c r="AL108" s="432"/>
      <c r="AM108" s="432"/>
      <c r="AN108" s="432"/>
      <c r="AO108" s="433"/>
      <c r="AP108" s="432" t="s">
        <v>52</v>
      </c>
      <c r="AQ108" s="432"/>
      <c r="AR108" s="432"/>
      <c r="AS108" s="432"/>
      <c r="AT108" s="431" t="s">
        <v>53</v>
      </c>
      <c r="AU108" s="432"/>
      <c r="AV108" s="432"/>
      <c r="AW108" s="432"/>
      <c r="AX108" s="432"/>
      <c r="AY108" s="433"/>
      <c r="AZ108" s="431" t="s">
        <v>54</v>
      </c>
      <c r="BA108" s="432"/>
      <c r="BB108" s="432"/>
      <c r="BC108" s="432"/>
      <c r="BD108" s="432"/>
      <c r="BE108" s="432"/>
      <c r="BF108" s="432"/>
      <c r="BG108" s="432"/>
      <c r="BH108" s="432"/>
      <c r="BI108" s="432"/>
      <c r="BJ108" s="432"/>
      <c r="BK108" s="433"/>
      <c r="BL108" s="431" t="s">
        <v>55</v>
      </c>
      <c r="BM108" s="432"/>
      <c r="BN108" s="432"/>
      <c r="BO108" s="432"/>
      <c r="BP108" s="432"/>
      <c r="BQ108" s="433"/>
      <c r="BR108" s="430" t="s">
        <v>56</v>
      </c>
    </row>
    <row r="109" spans="1:72">
      <c r="A109" s="436"/>
      <c r="B109" s="291" t="s">
        <v>39</v>
      </c>
      <c r="C109" s="292" t="s">
        <v>39</v>
      </c>
      <c r="D109" s="300" t="s">
        <v>39</v>
      </c>
      <c r="E109" s="291" t="s">
        <v>39</v>
      </c>
      <c r="F109" s="292" t="s">
        <v>39</v>
      </c>
      <c r="G109" s="292" t="s">
        <v>39</v>
      </c>
      <c r="H109" s="292" t="s">
        <v>39</v>
      </c>
      <c r="I109" s="292" t="s">
        <v>39</v>
      </c>
      <c r="J109" s="292" t="s">
        <v>39</v>
      </c>
      <c r="K109" s="292" t="s">
        <v>39</v>
      </c>
      <c r="L109" s="292" t="s">
        <v>39</v>
      </c>
      <c r="M109" s="300" t="s">
        <v>39</v>
      </c>
      <c r="N109" s="291" t="s">
        <v>39</v>
      </c>
      <c r="O109" s="292" t="s">
        <v>39</v>
      </c>
      <c r="P109" s="292" t="s">
        <v>39</v>
      </c>
      <c r="Q109" s="292" t="s">
        <v>39</v>
      </c>
      <c r="R109" s="300" t="s">
        <v>39</v>
      </c>
      <c r="S109" s="291" t="s">
        <v>39</v>
      </c>
      <c r="T109" s="292" t="s">
        <v>39</v>
      </c>
      <c r="U109" s="292" t="s">
        <v>39</v>
      </c>
      <c r="V109" s="292" t="s">
        <v>39</v>
      </c>
      <c r="W109" s="292" t="s">
        <v>39</v>
      </c>
      <c r="X109" s="307" t="s">
        <v>39</v>
      </c>
      <c r="Y109" s="292" t="s">
        <v>41</v>
      </c>
      <c r="Z109" s="300" t="s">
        <v>39</v>
      </c>
      <c r="AA109" s="292" t="s">
        <v>41</v>
      </c>
      <c r="AB109" s="300" t="s">
        <v>39</v>
      </c>
      <c r="AC109" s="292" t="s">
        <v>41</v>
      </c>
      <c r="AD109" s="300" t="s">
        <v>39</v>
      </c>
      <c r="AE109" s="292" t="s">
        <v>41</v>
      </c>
      <c r="AF109" s="300" t="s">
        <v>39</v>
      </c>
      <c r="AG109" s="292" t="s">
        <v>41</v>
      </c>
      <c r="AH109" s="307" t="s">
        <v>39</v>
      </c>
      <c r="AI109" s="292" t="s">
        <v>40</v>
      </c>
      <c r="AJ109" s="300" t="s">
        <v>39</v>
      </c>
      <c r="AK109" s="292" t="s">
        <v>40</v>
      </c>
      <c r="AL109" s="300" t="s">
        <v>39</v>
      </c>
      <c r="AM109" s="292" t="s">
        <v>40</v>
      </c>
      <c r="AN109" s="300" t="s">
        <v>39</v>
      </c>
      <c r="AO109" s="292" t="s">
        <v>40</v>
      </c>
      <c r="AP109" s="300" t="s">
        <v>39</v>
      </c>
      <c r="AQ109" s="300" t="s">
        <v>39</v>
      </c>
      <c r="AR109" s="300" t="s">
        <v>39</v>
      </c>
      <c r="AS109" s="300" t="s">
        <v>39</v>
      </c>
      <c r="AT109" s="309" t="s">
        <v>39</v>
      </c>
      <c r="AU109" s="310" t="s">
        <v>39</v>
      </c>
      <c r="AV109" s="310" t="s">
        <v>39</v>
      </c>
      <c r="AW109" s="310" t="s">
        <v>39</v>
      </c>
      <c r="AX109" s="310" t="s">
        <v>39</v>
      </c>
      <c r="AY109" s="314" t="s">
        <v>39</v>
      </c>
      <c r="AZ109" s="311" t="s">
        <v>39</v>
      </c>
      <c r="BA109" s="312" t="s">
        <v>40</v>
      </c>
      <c r="BB109" s="312" t="s">
        <v>41</v>
      </c>
      <c r="BC109" s="311" t="s">
        <v>39</v>
      </c>
      <c r="BD109" s="312" t="s">
        <v>40</v>
      </c>
      <c r="BE109" s="312" t="s">
        <v>41</v>
      </c>
      <c r="BF109" s="311" t="s">
        <v>39</v>
      </c>
      <c r="BG109" s="312" t="s">
        <v>40</v>
      </c>
      <c r="BH109" s="312" t="s">
        <v>41</v>
      </c>
      <c r="BI109" s="311" t="s">
        <v>39</v>
      </c>
      <c r="BJ109" s="312" t="s">
        <v>40</v>
      </c>
      <c r="BK109" s="312" t="s">
        <v>41</v>
      </c>
      <c r="BL109" s="309" t="s">
        <v>39</v>
      </c>
      <c r="BM109" s="310" t="s">
        <v>39</v>
      </c>
      <c r="BN109" s="310" t="s">
        <v>39</v>
      </c>
      <c r="BO109" s="310" t="s">
        <v>39</v>
      </c>
      <c r="BP109" s="310" t="s">
        <v>39</v>
      </c>
      <c r="BQ109" s="314" t="s">
        <v>39</v>
      </c>
      <c r="BR109" s="430"/>
    </row>
    <row r="110" spans="1:72">
      <c r="A110" s="241">
        <v>1</v>
      </c>
      <c r="B110" s="281">
        <f>+B75+B40+B4</f>
        <v>0</v>
      </c>
      <c r="C110" s="281">
        <f t="shared" ref="C110:D110" si="48">+C75+C40+C4</f>
        <v>0</v>
      </c>
      <c r="D110" s="322">
        <f t="shared" si="48"/>
        <v>0</v>
      </c>
      <c r="E110" s="323">
        <f>+E40+E4+E75</f>
        <v>0</v>
      </c>
      <c r="F110" s="324">
        <f t="shared" ref="F110:BK110" si="49">+F40+F4+F75</f>
        <v>0</v>
      </c>
      <c r="G110" s="324">
        <f t="shared" si="49"/>
        <v>0</v>
      </c>
      <c r="H110" s="324">
        <f t="shared" si="49"/>
        <v>0</v>
      </c>
      <c r="I110" s="327">
        <f t="shared" si="49"/>
        <v>0</v>
      </c>
      <c r="J110" s="328">
        <f t="shared" si="49"/>
        <v>0</v>
      </c>
      <c r="K110" s="324">
        <f t="shared" si="49"/>
        <v>0</v>
      </c>
      <c r="L110" s="324">
        <f t="shared" si="49"/>
        <v>0</v>
      </c>
      <c r="M110" s="329">
        <f t="shared" si="49"/>
        <v>0</v>
      </c>
      <c r="N110" s="323">
        <f t="shared" si="49"/>
        <v>0</v>
      </c>
      <c r="O110" s="324">
        <f t="shared" si="49"/>
        <v>0</v>
      </c>
      <c r="P110" s="324">
        <f t="shared" ref="P110:S110" si="50">+P40+P4+P75</f>
        <v>0</v>
      </c>
      <c r="Q110" s="324">
        <f t="shared" si="50"/>
        <v>0</v>
      </c>
      <c r="R110" s="329">
        <f t="shared" si="50"/>
        <v>0</v>
      </c>
      <c r="S110" s="323">
        <f t="shared" si="50"/>
        <v>0</v>
      </c>
      <c r="T110" s="324">
        <f t="shared" si="49"/>
        <v>0</v>
      </c>
      <c r="U110" s="324">
        <f t="shared" si="49"/>
        <v>0</v>
      </c>
      <c r="V110" s="324">
        <f t="shared" si="49"/>
        <v>0</v>
      </c>
      <c r="W110" s="327">
        <f t="shared" si="49"/>
        <v>0</v>
      </c>
      <c r="X110" s="323">
        <f t="shared" ref="X110:AI110" si="51">+X40+X4+X75</f>
        <v>0</v>
      </c>
      <c r="Y110" s="324">
        <f t="shared" si="51"/>
        <v>0</v>
      </c>
      <c r="Z110" s="324">
        <f t="shared" si="51"/>
        <v>0</v>
      </c>
      <c r="AA110" s="324">
        <f t="shared" si="51"/>
        <v>0</v>
      </c>
      <c r="AB110" s="324">
        <f t="shared" si="51"/>
        <v>0</v>
      </c>
      <c r="AC110" s="324">
        <f t="shared" si="51"/>
        <v>0</v>
      </c>
      <c r="AD110" s="324">
        <f t="shared" si="51"/>
        <v>0</v>
      </c>
      <c r="AE110" s="324">
        <f t="shared" si="51"/>
        <v>0</v>
      </c>
      <c r="AF110" s="324">
        <f t="shared" si="51"/>
        <v>0</v>
      </c>
      <c r="AG110" s="327">
        <f t="shared" si="51"/>
        <v>0</v>
      </c>
      <c r="AH110" s="323">
        <f t="shared" si="51"/>
        <v>0</v>
      </c>
      <c r="AI110" s="324">
        <f t="shared" si="51"/>
        <v>0</v>
      </c>
      <c r="AJ110" s="324">
        <f t="shared" si="49"/>
        <v>0</v>
      </c>
      <c r="AK110" s="324">
        <f t="shared" si="49"/>
        <v>0</v>
      </c>
      <c r="AL110" s="324">
        <f t="shared" si="49"/>
        <v>0</v>
      </c>
      <c r="AM110" s="324">
        <f t="shared" si="49"/>
        <v>0</v>
      </c>
      <c r="AN110" s="324">
        <f t="shared" si="49"/>
        <v>0</v>
      </c>
      <c r="AO110" s="327">
        <f t="shared" si="49"/>
        <v>0</v>
      </c>
      <c r="AP110" s="328">
        <f t="shared" si="49"/>
        <v>0</v>
      </c>
      <c r="AQ110" s="324">
        <f t="shared" si="49"/>
        <v>0</v>
      </c>
      <c r="AR110" s="324">
        <f t="shared" si="49"/>
        <v>0</v>
      </c>
      <c r="AS110" s="329">
        <f t="shared" si="49"/>
        <v>0</v>
      </c>
      <c r="AT110" s="323">
        <f t="shared" ref="AT110:AY110" si="52">+AT40+AT4+AT75</f>
        <v>0</v>
      </c>
      <c r="AU110" s="324">
        <f t="shared" si="52"/>
        <v>0</v>
      </c>
      <c r="AV110" s="324">
        <f t="shared" si="52"/>
        <v>0</v>
      </c>
      <c r="AW110" s="324">
        <f t="shared" si="52"/>
        <v>0</v>
      </c>
      <c r="AX110" s="324">
        <f t="shared" si="52"/>
        <v>0</v>
      </c>
      <c r="AY110" s="327">
        <f t="shared" si="52"/>
        <v>0</v>
      </c>
      <c r="AZ110" s="331">
        <f t="shared" si="49"/>
        <v>0</v>
      </c>
      <c r="BA110" s="331">
        <f t="shared" si="49"/>
        <v>0</v>
      </c>
      <c r="BB110" s="331">
        <f t="shared" si="49"/>
        <v>0</v>
      </c>
      <c r="BC110" s="331">
        <f t="shared" si="49"/>
        <v>0</v>
      </c>
      <c r="BD110" s="331">
        <f t="shared" si="49"/>
        <v>0</v>
      </c>
      <c r="BE110" s="331">
        <f t="shared" si="49"/>
        <v>0</v>
      </c>
      <c r="BF110" s="331">
        <f t="shared" si="49"/>
        <v>0</v>
      </c>
      <c r="BG110" s="331">
        <f t="shared" si="49"/>
        <v>0</v>
      </c>
      <c r="BH110" s="331">
        <f t="shared" si="49"/>
        <v>0</v>
      </c>
      <c r="BI110" s="331">
        <f>+BI40+BI4+BI75</f>
        <v>0</v>
      </c>
      <c r="BJ110" s="331">
        <f t="shared" si="49"/>
        <v>0</v>
      </c>
      <c r="BK110" s="331">
        <f t="shared" si="49"/>
        <v>0</v>
      </c>
      <c r="BL110" s="323">
        <f t="shared" ref="BL110:BQ110" si="53">+BL40+BL4+BL75</f>
        <v>0</v>
      </c>
      <c r="BM110" s="324">
        <f t="shared" si="53"/>
        <v>0</v>
      </c>
      <c r="BN110" s="324">
        <f t="shared" si="53"/>
        <v>0</v>
      </c>
      <c r="BO110" s="324">
        <f t="shared" si="53"/>
        <v>0</v>
      </c>
      <c r="BP110" s="324">
        <f t="shared" si="53"/>
        <v>0</v>
      </c>
      <c r="BQ110" s="327">
        <f t="shared" si="53"/>
        <v>0</v>
      </c>
      <c r="BR110" s="333">
        <f>SUM(B110:BQ110)</f>
        <v>0</v>
      </c>
      <c r="BT110">
        <f>+BR110-BUS!DF115</f>
        <v>0</v>
      </c>
    </row>
    <row r="111" spans="1:72">
      <c r="A111" s="241">
        <v>2</v>
      </c>
      <c r="B111" s="281">
        <f t="shared" ref="B111:D111" si="54">+B76+B41+B5</f>
        <v>0</v>
      </c>
      <c r="C111" s="281">
        <f t="shared" si="54"/>
        <v>0</v>
      </c>
      <c r="D111" s="322">
        <f t="shared" si="54"/>
        <v>0</v>
      </c>
      <c r="E111" s="323">
        <f t="shared" ref="E111:BH111" si="55">+E41+E5+E76</f>
        <v>0</v>
      </c>
      <c r="F111" s="324">
        <f t="shared" si="55"/>
        <v>0</v>
      </c>
      <c r="G111" s="324">
        <f t="shared" si="55"/>
        <v>0</v>
      </c>
      <c r="H111" s="324">
        <f t="shared" si="55"/>
        <v>0</v>
      </c>
      <c r="I111" s="327">
        <f t="shared" si="55"/>
        <v>0</v>
      </c>
      <c r="J111" s="328">
        <f t="shared" si="55"/>
        <v>0</v>
      </c>
      <c r="K111" s="324">
        <f t="shared" si="55"/>
        <v>0</v>
      </c>
      <c r="L111" s="324">
        <f t="shared" si="55"/>
        <v>0</v>
      </c>
      <c r="M111" s="329">
        <f t="shared" si="55"/>
        <v>0</v>
      </c>
      <c r="N111" s="323">
        <f t="shared" si="55"/>
        <v>0</v>
      </c>
      <c r="O111" s="324">
        <f t="shared" si="55"/>
        <v>0</v>
      </c>
      <c r="P111" s="324">
        <f t="shared" si="55"/>
        <v>0</v>
      </c>
      <c r="Q111" s="324">
        <f t="shared" si="55"/>
        <v>0</v>
      </c>
      <c r="R111" s="329">
        <f t="shared" si="55"/>
        <v>0</v>
      </c>
      <c r="S111" s="323">
        <f t="shared" si="55"/>
        <v>0</v>
      </c>
      <c r="T111" s="324">
        <f t="shared" si="55"/>
        <v>0</v>
      </c>
      <c r="U111" s="324">
        <f t="shared" si="55"/>
        <v>0</v>
      </c>
      <c r="V111" s="324">
        <f t="shared" si="55"/>
        <v>0</v>
      </c>
      <c r="W111" s="327">
        <f t="shared" si="55"/>
        <v>0</v>
      </c>
      <c r="X111" s="323">
        <f t="shared" si="55"/>
        <v>0</v>
      </c>
      <c r="Y111" s="324">
        <f t="shared" si="55"/>
        <v>0</v>
      </c>
      <c r="Z111" s="324">
        <f t="shared" si="55"/>
        <v>0</v>
      </c>
      <c r="AA111" s="324">
        <f t="shared" si="55"/>
        <v>0</v>
      </c>
      <c r="AB111" s="324">
        <f t="shared" si="55"/>
        <v>0</v>
      </c>
      <c r="AC111" s="324">
        <f t="shared" si="55"/>
        <v>0</v>
      </c>
      <c r="AD111" s="324">
        <f t="shared" si="55"/>
        <v>0</v>
      </c>
      <c r="AE111" s="324">
        <f t="shared" si="55"/>
        <v>0</v>
      </c>
      <c r="AF111" s="324">
        <f t="shared" si="55"/>
        <v>0</v>
      </c>
      <c r="AG111" s="327">
        <f t="shared" si="55"/>
        <v>0</v>
      </c>
      <c r="AH111" s="323">
        <f t="shared" si="55"/>
        <v>0</v>
      </c>
      <c r="AI111" s="324">
        <f t="shared" si="55"/>
        <v>0</v>
      </c>
      <c r="AJ111" s="324">
        <f t="shared" si="55"/>
        <v>0</v>
      </c>
      <c r="AK111" s="324">
        <f t="shared" si="55"/>
        <v>0</v>
      </c>
      <c r="AL111" s="324">
        <f t="shared" si="55"/>
        <v>0</v>
      </c>
      <c r="AM111" s="324">
        <f t="shared" si="55"/>
        <v>0</v>
      </c>
      <c r="AN111" s="324">
        <f t="shared" si="55"/>
        <v>0</v>
      </c>
      <c r="AO111" s="327">
        <f t="shared" si="55"/>
        <v>0</v>
      </c>
      <c r="AP111" s="328">
        <f t="shared" si="55"/>
        <v>0</v>
      </c>
      <c r="AQ111" s="324">
        <f t="shared" si="55"/>
        <v>0</v>
      </c>
      <c r="AR111" s="324">
        <f t="shared" si="55"/>
        <v>0</v>
      </c>
      <c r="AS111" s="329">
        <f t="shared" si="55"/>
        <v>0</v>
      </c>
      <c r="AT111" s="323">
        <f t="shared" ref="AT111:BK111" si="56">+AT41+AT5+AT76</f>
        <v>0</v>
      </c>
      <c r="AU111" s="324">
        <f t="shared" si="56"/>
        <v>0</v>
      </c>
      <c r="AV111" s="324">
        <f t="shared" si="56"/>
        <v>0</v>
      </c>
      <c r="AW111" s="324">
        <f t="shared" si="56"/>
        <v>0</v>
      </c>
      <c r="AX111" s="324">
        <f t="shared" si="56"/>
        <v>0</v>
      </c>
      <c r="AY111" s="327">
        <f t="shared" si="56"/>
        <v>0</v>
      </c>
      <c r="AZ111" s="331">
        <f t="shared" si="56"/>
        <v>0</v>
      </c>
      <c r="BA111" s="331">
        <f t="shared" si="56"/>
        <v>0</v>
      </c>
      <c r="BB111" s="331">
        <f t="shared" si="56"/>
        <v>0</v>
      </c>
      <c r="BC111" s="331">
        <f t="shared" si="56"/>
        <v>0</v>
      </c>
      <c r="BD111" s="331">
        <f t="shared" si="56"/>
        <v>0</v>
      </c>
      <c r="BE111" s="331">
        <f t="shared" si="56"/>
        <v>0</v>
      </c>
      <c r="BF111" s="331">
        <f t="shared" si="56"/>
        <v>0</v>
      </c>
      <c r="BG111" s="331">
        <f t="shared" si="56"/>
        <v>0</v>
      </c>
      <c r="BH111" s="331">
        <f t="shared" si="56"/>
        <v>0</v>
      </c>
      <c r="BI111" s="331">
        <f t="shared" si="56"/>
        <v>0</v>
      </c>
      <c r="BJ111" s="331">
        <f t="shared" si="56"/>
        <v>0</v>
      </c>
      <c r="BK111" s="331">
        <f t="shared" si="56"/>
        <v>0</v>
      </c>
      <c r="BL111" s="323">
        <f t="shared" ref="BJ111:BQ111" si="57">+BL41+BL5+BL76</f>
        <v>0</v>
      </c>
      <c r="BM111" s="324">
        <f t="shared" si="57"/>
        <v>0</v>
      </c>
      <c r="BN111" s="324">
        <f t="shared" si="57"/>
        <v>0</v>
      </c>
      <c r="BO111" s="324">
        <f t="shared" si="57"/>
        <v>0</v>
      </c>
      <c r="BP111" s="324">
        <f t="shared" si="57"/>
        <v>0</v>
      </c>
      <c r="BQ111" s="327">
        <f t="shared" si="57"/>
        <v>0</v>
      </c>
      <c r="BR111" s="333">
        <f>SUM(B111:BQ111)</f>
        <v>0</v>
      </c>
      <c r="BT111">
        <f>+BR111-BUS!DF116</f>
        <v>0</v>
      </c>
    </row>
    <row r="112" spans="1:72">
      <c r="A112" s="241">
        <v>3</v>
      </c>
      <c r="B112" s="281">
        <f t="shared" ref="B112:D112" si="58">+B77+B42+B6</f>
        <v>0</v>
      </c>
      <c r="C112" s="281">
        <f t="shared" si="58"/>
        <v>0</v>
      </c>
      <c r="D112" s="322">
        <f t="shared" si="58"/>
        <v>0</v>
      </c>
      <c r="E112" s="323">
        <f t="shared" ref="E112:BH112" si="59">+E42+E6+E77</f>
        <v>0</v>
      </c>
      <c r="F112" s="324">
        <f t="shared" si="59"/>
        <v>0</v>
      </c>
      <c r="G112" s="324">
        <f t="shared" si="59"/>
        <v>0</v>
      </c>
      <c r="H112" s="324">
        <f t="shared" si="59"/>
        <v>0</v>
      </c>
      <c r="I112" s="327">
        <f t="shared" si="59"/>
        <v>0</v>
      </c>
      <c r="J112" s="328">
        <f t="shared" si="59"/>
        <v>0</v>
      </c>
      <c r="K112" s="324">
        <f t="shared" si="59"/>
        <v>0</v>
      </c>
      <c r="L112" s="324">
        <f t="shared" si="59"/>
        <v>0</v>
      </c>
      <c r="M112" s="329">
        <f t="shared" si="59"/>
        <v>0</v>
      </c>
      <c r="N112" s="323">
        <f t="shared" si="59"/>
        <v>0</v>
      </c>
      <c r="O112" s="324">
        <f t="shared" si="59"/>
        <v>0</v>
      </c>
      <c r="P112" s="324">
        <f t="shared" si="59"/>
        <v>0</v>
      </c>
      <c r="Q112" s="324">
        <f t="shared" si="59"/>
        <v>0</v>
      </c>
      <c r="R112" s="329">
        <f t="shared" si="59"/>
        <v>0</v>
      </c>
      <c r="S112" s="323">
        <f t="shared" si="59"/>
        <v>0</v>
      </c>
      <c r="T112" s="324">
        <f t="shared" si="59"/>
        <v>0</v>
      </c>
      <c r="U112" s="324">
        <f t="shared" si="59"/>
        <v>0</v>
      </c>
      <c r="V112" s="324">
        <f t="shared" si="59"/>
        <v>0</v>
      </c>
      <c r="W112" s="327">
        <f t="shared" si="59"/>
        <v>0</v>
      </c>
      <c r="X112" s="323">
        <f t="shared" si="59"/>
        <v>0</v>
      </c>
      <c r="Y112" s="324">
        <f t="shared" si="59"/>
        <v>0</v>
      </c>
      <c r="Z112" s="324">
        <f t="shared" si="59"/>
        <v>0</v>
      </c>
      <c r="AA112" s="324">
        <f t="shared" si="59"/>
        <v>0</v>
      </c>
      <c r="AB112" s="324">
        <f t="shared" si="59"/>
        <v>0</v>
      </c>
      <c r="AC112" s="324">
        <f t="shared" si="59"/>
        <v>0</v>
      </c>
      <c r="AD112" s="324">
        <f t="shared" si="59"/>
        <v>0</v>
      </c>
      <c r="AE112" s="324">
        <f t="shared" si="59"/>
        <v>0</v>
      </c>
      <c r="AF112" s="324">
        <f t="shared" si="59"/>
        <v>0</v>
      </c>
      <c r="AG112" s="327">
        <f t="shared" si="59"/>
        <v>0</v>
      </c>
      <c r="AH112" s="323">
        <f t="shared" si="59"/>
        <v>0</v>
      </c>
      <c r="AI112" s="324">
        <f t="shared" si="59"/>
        <v>0</v>
      </c>
      <c r="AJ112" s="324">
        <f t="shared" si="59"/>
        <v>0</v>
      </c>
      <c r="AK112" s="324">
        <f t="shared" si="59"/>
        <v>0</v>
      </c>
      <c r="AL112" s="324">
        <f t="shared" si="59"/>
        <v>0</v>
      </c>
      <c r="AM112" s="324">
        <f t="shared" si="59"/>
        <v>0</v>
      </c>
      <c r="AN112" s="324">
        <f t="shared" si="59"/>
        <v>0</v>
      </c>
      <c r="AO112" s="327">
        <f t="shared" si="59"/>
        <v>0</v>
      </c>
      <c r="AP112" s="328">
        <f t="shared" si="59"/>
        <v>0</v>
      </c>
      <c r="AQ112" s="324">
        <f t="shared" si="59"/>
        <v>0</v>
      </c>
      <c r="AR112" s="324">
        <f t="shared" si="59"/>
        <v>0</v>
      </c>
      <c r="AS112" s="329">
        <f t="shared" si="59"/>
        <v>0</v>
      </c>
      <c r="AT112" s="323">
        <f t="shared" ref="AT112:BK112" si="60">+AT42+AT6+AT77</f>
        <v>0</v>
      </c>
      <c r="AU112" s="324">
        <f t="shared" si="60"/>
        <v>0</v>
      </c>
      <c r="AV112" s="324">
        <f t="shared" si="60"/>
        <v>0</v>
      </c>
      <c r="AW112" s="324">
        <f t="shared" si="60"/>
        <v>0</v>
      </c>
      <c r="AX112" s="324">
        <f t="shared" si="60"/>
        <v>0</v>
      </c>
      <c r="AY112" s="327">
        <f t="shared" si="60"/>
        <v>0</v>
      </c>
      <c r="AZ112" s="331">
        <f t="shared" si="60"/>
        <v>0</v>
      </c>
      <c r="BA112" s="331">
        <f t="shared" si="60"/>
        <v>0</v>
      </c>
      <c r="BB112" s="331">
        <f t="shared" si="60"/>
        <v>0</v>
      </c>
      <c r="BC112" s="331">
        <f t="shared" si="60"/>
        <v>0</v>
      </c>
      <c r="BD112" s="331">
        <f t="shared" si="60"/>
        <v>0</v>
      </c>
      <c r="BE112" s="331">
        <f t="shared" si="60"/>
        <v>0</v>
      </c>
      <c r="BF112" s="331">
        <f t="shared" si="60"/>
        <v>0</v>
      </c>
      <c r="BG112" s="331">
        <f t="shared" si="60"/>
        <v>0</v>
      </c>
      <c r="BH112" s="331">
        <f t="shared" si="60"/>
        <v>0</v>
      </c>
      <c r="BI112" s="331">
        <f t="shared" si="60"/>
        <v>0</v>
      </c>
      <c r="BJ112" s="331">
        <f t="shared" si="60"/>
        <v>0</v>
      </c>
      <c r="BK112" s="331">
        <f t="shared" si="60"/>
        <v>0</v>
      </c>
      <c r="BL112" s="323">
        <f t="shared" ref="BJ112:BQ112" si="61">+BL42+BL6+BL77</f>
        <v>0</v>
      </c>
      <c r="BM112" s="324">
        <f t="shared" si="61"/>
        <v>0</v>
      </c>
      <c r="BN112" s="324">
        <f t="shared" si="61"/>
        <v>0</v>
      </c>
      <c r="BO112" s="324">
        <f t="shared" si="61"/>
        <v>0</v>
      </c>
      <c r="BP112" s="324">
        <f t="shared" si="61"/>
        <v>0</v>
      </c>
      <c r="BQ112" s="327">
        <f t="shared" si="61"/>
        <v>0</v>
      </c>
      <c r="BR112" s="333">
        <f>SUM(B112:BQ112)</f>
        <v>0</v>
      </c>
      <c r="BT112">
        <f>+BR112-BUS!DF117</f>
        <v>0</v>
      </c>
    </row>
    <row r="113" spans="1:72">
      <c r="A113" s="241">
        <v>4</v>
      </c>
      <c r="B113" s="281">
        <f t="shared" ref="B113:D113" si="62">+B78+B43+B7</f>
        <v>0</v>
      </c>
      <c r="C113" s="281">
        <f t="shared" si="62"/>
        <v>0</v>
      </c>
      <c r="D113" s="322">
        <f t="shared" si="62"/>
        <v>0</v>
      </c>
      <c r="E113" s="323">
        <f t="shared" ref="E113:BH113" si="63">+E43+E7+E78</f>
        <v>0</v>
      </c>
      <c r="F113" s="324">
        <f t="shared" si="63"/>
        <v>0</v>
      </c>
      <c r="G113" s="324">
        <f t="shared" si="63"/>
        <v>0</v>
      </c>
      <c r="H113" s="324">
        <f t="shared" si="63"/>
        <v>0</v>
      </c>
      <c r="I113" s="327">
        <f t="shared" si="63"/>
        <v>0</v>
      </c>
      <c r="J113" s="328">
        <f t="shared" si="63"/>
        <v>0</v>
      </c>
      <c r="K113" s="324">
        <f t="shared" si="63"/>
        <v>0</v>
      </c>
      <c r="L113" s="324">
        <f t="shared" si="63"/>
        <v>0</v>
      </c>
      <c r="M113" s="329">
        <f t="shared" si="63"/>
        <v>0</v>
      </c>
      <c r="N113" s="323">
        <f t="shared" si="63"/>
        <v>0</v>
      </c>
      <c r="O113" s="324">
        <f t="shared" si="63"/>
        <v>0</v>
      </c>
      <c r="P113" s="324">
        <f t="shared" si="63"/>
        <v>0</v>
      </c>
      <c r="Q113" s="324">
        <f t="shared" si="63"/>
        <v>0</v>
      </c>
      <c r="R113" s="329">
        <f t="shared" si="63"/>
        <v>0</v>
      </c>
      <c r="S113" s="323">
        <f t="shared" si="63"/>
        <v>0</v>
      </c>
      <c r="T113" s="324">
        <f t="shared" si="63"/>
        <v>0</v>
      </c>
      <c r="U113" s="324">
        <f t="shared" si="63"/>
        <v>0</v>
      </c>
      <c r="V113" s="324">
        <f t="shared" si="63"/>
        <v>0</v>
      </c>
      <c r="W113" s="327">
        <f t="shared" si="63"/>
        <v>0</v>
      </c>
      <c r="X113" s="323">
        <f t="shared" si="63"/>
        <v>0</v>
      </c>
      <c r="Y113" s="324">
        <f t="shared" si="63"/>
        <v>0</v>
      </c>
      <c r="Z113" s="324">
        <f t="shared" si="63"/>
        <v>0</v>
      </c>
      <c r="AA113" s="324">
        <f t="shared" si="63"/>
        <v>0</v>
      </c>
      <c r="AB113" s="324">
        <f t="shared" si="63"/>
        <v>0</v>
      </c>
      <c r="AC113" s="324">
        <f t="shared" si="63"/>
        <v>0</v>
      </c>
      <c r="AD113" s="324">
        <f t="shared" si="63"/>
        <v>0</v>
      </c>
      <c r="AE113" s="324">
        <f t="shared" si="63"/>
        <v>0</v>
      </c>
      <c r="AF113" s="324">
        <f t="shared" si="63"/>
        <v>0</v>
      </c>
      <c r="AG113" s="327">
        <f t="shared" si="63"/>
        <v>0</v>
      </c>
      <c r="AH113" s="323">
        <f t="shared" si="63"/>
        <v>0</v>
      </c>
      <c r="AI113" s="324">
        <f t="shared" si="63"/>
        <v>0</v>
      </c>
      <c r="AJ113" s="324">
        <f t="shared" si="63"/>
        <v>0</v>
      </c>
      <c r="AK113" s="324">
        <f t="shared" si="63"/>
        <v>0</v>
      </c>
      <c r="AL113" s="324">
        <f t="shared" si="63"/>
        <v>0</v>
      </c>
      <c r="AM113" s="324">
        <f t="shared" si="63"/>
        <v>0</v>
      </c>
      <c r="AN113" s="324">
        <f t="shared" si="63"/>
        <v>0</v>
      </c>
      <c r="AO113" s="327">
        <f t="shared" si="63"/>
        <v>0</v>
      </c>
      <c r="AP113" s="328">
        <f t="shared" si="63"/>
        <v>0</v>
      </c>
      <c r="AQ113" s="324">
        <f t="shared" si="63"/>
        <v>0</v>
      </c>
      <c r="AR113" s="324">
        <f t="shared" si="63"/>
        <v>0</v>
      </c>
      <c r="AS113" s="329">
        <f t="shared" si="63"/>
        <v>0</v>
      </c>
      <c r="AT113" s="323">
        <f t="shared" ref="AT113:BK113" si="64">+AT43+AT7+AT78</f>
        <v>0</v>
      </c>
      <c r="AU113" s="324">
        <f t="shared" si="64"/>
        <v>0</v>
      </c>
      <c r="AV113" s="324">
        <f t="shared" si="64"/>
        <v>0</v>
      </c>
      <c r="AW113" s="324">
        <f t="shared" si="64"/>
        <v>0</v>
      </c>
      <c r="AX113" s="324">
        <f t="shared" si="64"/>
        <v>0</v>
      </c>
      <c r="AY113" s="327">
        <f t="shared" si="64"/>
        <v>0</v>
      </c>
      <c r="AZ113" s="331">
        <f t="shared" si="64"/>
        <v>0</v>
      </c>
      <c r="BA113" s="331">
        <f t="shared" si="64"/>
        <v>0</v>
      </c>
      <c r="BB113" s="331">
        <f t="shared" si="64"/>
        <v>0</v>
      </c>
      <c r="BC113" s="331">
        <f t="shared" si="64"/>
        <v>0</v>
      </c>
      <c r="BD113" s="331">
        <f t="shared" si="64"/>
        <v>0</v>
      </c>
      <c r="BE113" s="331">
        <f t="shared" si="64"/>
        <v>0</v>
      </c>
      <c r="BF113" s="331">
        <f t="shared" si="64"/>
        <v>0</v>
      </c>
      <c r="BG113" s="331">
        <f t="shared" si="64"/>
        <v>0</v>
      </c>
      <c r="BH113" s="331">
        <f t="shared" si="64"/>
        <v>0</v>
      </c>
      <c r="BI113" s="331">
        <f t="shared" si="64"/>
        <v>0</v>
      </c>
      <c r="BJ113" s="331">
        <f t="shared" si="64"/>
        <v>0</v>
      </c>
      <c r="BK113" s="331">
        <f t="shared" si="64"/>
        <v>0</v>
      </c>
      <c r="BL113" s="323">
        <f t="shared" ref="BJ113:BQ113" si="65">+BL43+BL7+BL78</f>
        <v>0</v>
      </c>
      <c r="BM113" s="324">
        <f t="shared" si="65"/>
        <v>0</v>
      </c>
      <c r="BN113" s="324">
        <f t="shared" si="65"/>
        <v>0</v>
      </c>
      <c r="BO113" s="324">
        <f t="shared" si="65"/>
        <v>0</v>
      </c>
      <c r="BP113" s="324">
        <f t="shared" si="65"/>
        <v>0</v>
      </c>
      <c r="BQ113" s="327">
        <f t="shared" si="65"/>
        <v>0</v>
      </c>
      <c r="BR113" s="333">
        <f>SUM(B113:BQ113)</f>
        <v>0</v>
      </c>
      <c r="BT113">
        <f>+BR113-BUS!DF118</f>
        <v>0</v>
      </c>
    </row>
    <row r="114" spans="1:72">
      <c r="A114" s="241">
        <v>5</v>
      </c>
      <c r="B114" s="281">
        <f t="shared" ref="B114:D114" si="66">+B79+B44+B8</f>
        <v>0</v>
      </c>
      <c r="C114" s="281">
        <f t="shared" si="66"/>
        <v>0</v>
      </c>
      <c r="D114" s="322">
        <f t="shared" si="66"/>
        <v>0</v>
      </c>
      <c r="E114" s="323">
        <f t="shared" ref="E114:BH114" si="67">+E44+E8+E79</f>
        <v>0</v>
      </c>
      <c r="F114" s="324">
        <f t="shared" si="67"/>
        <v>0</v>
      </c>
      <c r="G114" s="324">
        <f t="shared" si="67"/>
        <v>0</v>
      </c>
      <c r="H114" s="324">
        <f t="shared" si="67"/>
        <v>0</v>
      </c>
      <c r="I114" s="327">
        <f t="shared" si="67"/>
        <v>0</v>
      </c>
      <c r="J114" s="328">
        <f t="shared" si="67"/>
        <v>0</v>
      </c>
      <c r="K114" s="324">
        <f t="shared" si="67"/>
        <v>0</v>
      </c>
      <c r="L114" s="324">
        <f t="shared" si="67"/>
        <v>0</v>
      </c>
      <c r="M114" s="329">
        <f t="shared" si="67"/>
        <v>0</v>
      </c>
      <c r="N114" s="323">
        <f t="shared" si="67"/>
        <v>0</v>
      </c>
      <c r="O114" s="324">
        <f t="shared" si="67"/>
        <v>0</v>
      </c>
      <c r="P114" s="324">
        <f t="shared" si="67"/>
        <v>0</v>
      </c>
      <c r="Q114" s="324">
        <f t="shared" si="67"/>
        <v>0</v>
      </c>
      <c r="R114" s="329">
        <f t="shared" si="67"/>
        <v>0</v>
      </c>
      <c r="S114" s="323">
        <f t="shared" si="67"/>
        <v>0</v>
      </c>
      <c r="T114" s="324">
        <f t="shared" si="67"/>
        <v>0</v>
      </c>
      <c r="U114" s="324">
        <f t="shared" si="67"/>
        <v>0</v>
      </c>
      <c r="V114" s="324">
        <f t="shared" si="67"/>
        <v>0</v>
      </c>
      <c r="W114" s="327">
        <f t="shared" si="67"/>
        <v>0</v>
      </c>
      <c r="X114" s="323">
        <f t="shared" si="67"/>
        <v>0</v>
      </c>
      <c r="Y114" s="324">
        <f t="shared" si="67"/>
        <v>0</v>
      </c>
      <c r="Z114" s="324">
        <f t="shared" si="67"/>
        <v>0</v>
      </c>
      <c r="AA114" s="324">
        <f t="shared" si="67"/>
        <v>0</v>
      </c>
      <c r="AB114" s="324">
        <f t="shared" si="67"/>
        <v>0</v>
      </c>
      <c r="AC114" s="324">
        <f t="shared" si="67"/>
        <v>0</v>
      </c>
      <c r="AD114" s="324">
        <f t="shared" si="67"/>
        <v>0</v>
      </c>
      <c r="AE114" s="324">
        <f t="shared" si="67"/>
        <v>0</v>
      </c>
      <c r="AF114" s="324">
        <f t="shared" si="67"/>
        <v>0</v>
      </c>
      <c r="AG114" s="327">
        <f t="shared" si="67"/>
        <v>0</v>
      </c>
      <c r="AH114" s="323">
        <f t="shared" si="67"/>
        <v>0</v>
      </c>
      <c r="AI114" s="324">
        <f t="shared" si="67"/>
        <v>0</v>
      </c>
      <c r="AJ114" s="324">
        <f t="shared" si="67"/>
        <v>0</v>
      </c>
      <c r="AK114" s="324">
        <f t="shared" si="67"/>
        <v>0</v>
      </c>
      <c r="AL114" s="324">
        <f t="shared" si="67"/>
        <v>0</v>
      </c>
      <c r="AM114" s="324">
        <f t="shared" si="67"/>
        <v>0</v>
      </c>
      <c r="AN114" s="324">
        <f t="shared" si="67"/>
        <v>0</v>
      </c>
      <c r="AO114" s="327">
        <f t="shared" si="67"/>
        <v>0</v>
      </c>
      <c r="AP114" s="328">
        <f t="shared" si="67"/>
        <v>0</v>
      </c>
      <c r="AQ114" s="324">
        <f t="shared" si="67"/>
        <v>0</v>
      </c>
      <c r="AR114" s="324">
        <f t="shared" si="67"/>
        <v>0</v>
      </c>
      <c r="AS114" s="329">
        <f t="shared" si="67"/>
        <v>0</v>
      </c>
      <c r="AT114" s="323">
        <f t="shared" ref="AT114:BK114" si="68">+AT44+AT8+AT79</f>
        <v>0</v>
      </c>
      <c r="AU114" s="324">
        <f t="shared" si="68"/>
        <v>0</v>
      </c>
      <c r="AV114" s="324">
        <f t="shared" si="68"/>
        <v>0</v>
      </c>
      <c r="AW114" s="324">
        <f t="shared" si="68"/>
        <v>0</v>
      </c>
      <c r="AX114" s="324">
        <f t="shared" si="68"/>
        <v>0</v>
      </c>
      <c r="AY114" s="327">
        <f t="shared" si="68"/>
        <v>0</v>
      </c>
      <c r="AZ114" s="331">
        <f t="shared" si="68"/>
        <v>0</v>
      </c>
      <c r="BA114" s="331">
        <f t="shared" si="68"/>
        <v>0</v>
      </c>
      <c r="BB114" s="331">
        <f t="shared" si="68"/>
        <v>0</v>
      </c>
      <c r="BC114" s="331">
        <f t="shared" si="68"/>
        <v>0</v>
      </c>
      <c r="BD114" s="331">
        <f t="shared" si="68"/>
        <v>0</v>
      </c>
      <c r="BE114" s="331">
        <f t="shared" si="68"/>
        <v>0</v>
      </c>
      <c r="BF114" s="331">
        <f t="shared" si="68"/>
        <v>0</v>
      </c>
      <c r="BG114" s="331">
        <f t="shared" si="68"/>
        <v>0</v>
      </c>
      <c r="BH114" s="331">
        <f t="shared" si="68"/>
        <v>0</v>
      </c>
      <c r="BI114" s="331">
        <f t="shared" si="68"/>
        <v>0</v>
      </c>
      <c r="BJ114" s="331">
        <f t="shared" si="68"/>
        <v>0</v>
      </c>
      <c r="BK114" s="331">
        <f t="shared" si="68"/>
        <v>0</v>
      </c>
      <c r="BL114" s="323">
        <f t="shared" ref="BJ114:BQ114" si="69">+BL44+BL8+BL79</f>
        <v>0</v>
      </c>
      <c r="BM114" s="324">
        <f t="shared" si="69"/>
        <v>0</v>
      </c>
      <c r="BN114" s="324">
        <f t="shared" si="69"/>
        <v>0</v>
      </c>
      <c r="BO114" s="324">
        <f t="shared" si="69"/>
        <v>0</v>
      </c>
      <c r="BP114" s="324">
        <f t="shared" si="69"/>
        <v>0</v>
      </c>
      <c r="BQ114" s="327">
        <f t="shared" si="69"/>
        <v>0</v>
      </c>
      <c r="BR114" s="333">
        <f>SUM(B114:BQ114)</f>
        <v>0</v>
      </c>
      <c r="BT114">
        <f>+BR114-BUS!DF119</f>
        <v>0</v>
      </c>
    </row>
    <row r="115" spans="1:72">
      <c r="A115" s="241">
        <v>6</v>
      </c>
      <c r="B115" s="281">
        <f t="shared" ref="B115:D115" si="70">+B80+B45+B9</f>
        <v>0</v>
      </c>
      <c r="C115" s="281">
        <f t="shared" si="70"/>
        <v>0</v>
      </c>
      <c r="D115" s="322">
        <f t="shared" si="70"/>
        <v>0</v>
      </c>
      <c r="E115" s="323">
        <f t="shared" ref="E115:BH115" si="71">+E45+E9+E80</f>
        <v>0</v>
      </c>
      <c r="F115" s="324">
        <f t="shared" si="71"/>
        <v>0</v>
      </c>
      <c r="G115" s="324">
        <f t="shared" si="71"/>
        <v>0</v>
      </c>
      <c r="H115" s="324">
        <f t="shared" si="71"/>
        <v>0</v>
      </c>
      <c r="I115" s="327">
        <f t="shared" si="71"/>
        <v>0</v>
      </c>
      <c r="J115" s="328">
        <f t="shared" si="71"/>
        <v>0</v>
      </c>
      <c r="K115" s="324">
        <f t="shared" si="71"/>
        <v>0</v>
      </c>
      <c r="L115" s="324">
        <f t="shared" si="71"/>
        <v>0</v>
      </c>
      <c r="M115" s="329">
        <f t="shared" si="71"/>
        <v>0</v>
      </c>
      <c r="N115" s="323">
        <f t="shared" si="71"/>
        <v>0</v>
      </c>
      <c r="O115" s="324">
        <f t="shared" si="71"/>
        <v>0</v>
      </c>
      <c r="P115" s="324">
        <f t="shared" si="71"/>
        <v>0</v>
      </c>
      <c r="Q115" s="324">
        <f t="shared" si="71"/>
        <v>0</v>
      </c>
      <c r="R115" s="329">
        <f t="shared" si="71"/>
        <v>0</v>
      </c>
      <c r="S115" s="323">
        <f t="shared" si="71"/>
        <v>0</v>
      </c>
      <c r="T115" s="324">
        <f t="shared" si="71"/>
        <v>0</v>
      </c>
      <c r="U115" s="324">
        <f t="shared" si="71"/>
        <v>0</v>
      </c>
      <c r="V115" s="324">
        <f t="shared" si="71"/>
        <v>0</v>
      </c>
      <c r="W115" s="327">
        <f t="shared" si="71"/>
        <v>0</v>
      </c>
      <c r="X115" s="323">
        <f t="shared" si="71"/>
        <v>0</v>
      </c>
      <c r="Y115" s="324">
        <f t="shared" si="71"/>
        <v>0</v>
      </c>
      <c r="Z115" s="324">
        <f t="shared" si="71"/>
        <v>0</v>
      </c>
      <c r="AA115" s="324">
        <f t="shared" si="71"/>
        <v>0</v>
      </c>
      <c r="AB115" s="324">
        <f t="shared" si="71"/>
        <v>0</v>
      </c>
      <c r="AC115" s="324">
        <f t="shared" si="71"/>
        <v>0</v>
      </c>
      <c r="AD115" s="324">
        <f t="shared" si="71"/>
        <v>0</v>
      </c>
      <c r="AE115" s="324">
        <f t="shared" si="71"/>
        <v>0</v>
      </c>
      <c r="AF115" s="324">
        <f t="shared" si="71"/>
        <v>0</v>
      </c>
      <c r="AG115" s="327">
        <f t="shared" si="71"/>
        <v>0</v>
      </c>
      <c r="AH115" s="323">
        <f t="shared" si="71"/>
        <v>0</v>
      </c>
      <c r="AI115" s="324">
        <f t="shared" si="71"/>
        <v>0</v>
      </c>
      <c r="AJ115" s="324">
        <f t="shared" si="71"/>
        <v>0</v>
      </c>
      <c r="AK115" s="324">
        <f t="shared" si="71"/>
        <v>0</v>
      </c>
      <c r="AL115" s="324">
        <f t="shared" si="71"/>
        <v>0</v>
      </c>
      <c r="AM115" s="324">
        <f t="shared" si="71"/>
        <v>0</v>
      </c>
      <c r="AN115" s="324">
        <f t="shared" si="71"/>
        <v>0</v>
      </c>
      <c r="AO115" s="327">
        <f t="shared" si="71"/>
        <v>0</v>
      </c>
      <c r="AP115" s="328">
        <f t="shared" si="71"/>
        <v>0</v>
      </c>
      <c r="AQ115" s="324">
        <f t="shared" si="71"/>
        <v>0</v>
      </c>
      <c r="AR115" s="324">
        <f t="shared" si="71"/>
        <v>0</v>
      </c>
      <c r="AS115" s="329">
        <f t="shared" si="71"/>
        <v>0</v>
      </c>
      <c r="AT115" s="323">
        <f t="shared" ref="AT115:BK115" si="72">+AT45+AT9+AT80</f>
        <v>0</v>
      </c>
      <c r="AU115" s="324">
        <f t="shared" si="72"/>
        <v>0</v>
      </c>
      <c r="AV115" s="324">
        <f t="shared" si="72"/>
        <v>0</v>
      </c>
      <c r="AW115" s="324">
        <f t="shared" si="72"/>
        <v>0</v>
      </c>
      <c r="AX115" s="324">
        <f t="shared" si="72"/>
        <v>0</v>
      </c>
      <c r="AY115" s="327">
        <f t="shared" si="72"/>
        <v>0</v>
      </c>
      <c r="AZ115" s="331">
        <f t="shared" si="72"/>
        <v>0</v>
      </c>
      <c r="BA115" s="331">
        <f t="shared" si="72"/>
        <v>0</v>
      </c>
      <c r="BB115" s="331">
        <f t="shared" si="72"/>
        <v>0</v>
      </c>
      <c r="BC115" s="331">
        <f t="shared" si="72"/>
        <v>0</v>
      </c>
      <c r="BD115" s="331">
        <f t="shared" si="72"/>
        <v>0</v>
      </c>
      <c r="BE115" s="331">
        <f t="shared" si="72"/>
        <v>0</v>
      </c>
      <c r="BF115" s="331">
        <f t="shared" si="72"/>
        <v>0</v>
      </c>
      <c r="BG115" s="331">
        <f t="shared" si="72"/>
        <v>0</v>
      </c>
      <c r="BH115" s="331">
        <f t="shared" si="72"/>
        <v>0</v>
      </c>
      <c r="BI115" s="331">
        <f t="shared" si="72"/>
        <v>0</v>
      </c>
      <c r="BJ115" s="331">
        <f t="shared" si="72"/>
        <v>0</v>
      </c>
      <c r="BK115" s="331">
        <f t="shared" si="72"/>
        <v>0</v>
      </c>
      <c r="BL115" s="323">
        <f t="shared" ref="BJ115:BQ115" si="73">+BL45+BL9+BL80</f>
        <v>0</v>
      </c>
      <c r="BM115" s="324">
        <f t="shared" si="73"/>
        <v>0</v>
      </c>
      <c r="BN115" s="324">
        <f t="shared" si="73"/>
        <v>0</v>
      </c>
      <c r="BO115" s="324">
        <f t="shared" si="73"/>
        <v>0</v>
      </c>
      <c r="BP115" s="324">
        <f t="shared" si="73"/>
        <v>0</v>
      </c>
      <c r="BQ115" s="327">
        <f t="shared" si="73"/>
        <v>0</v>
      </c>
      <c r="BR115" s="333">
        <f>SUM(B115:BQ115)</f>
        <v>0</v>
      </c>
      <c r="BT115">
        <f>+BR115-BUS!DF120</f>
        <v>0</v>
      </c>
    </row>
    <row r="116" spans="1:72">
      <c r="A116" s="241">
        <v>7</v>
      </c>
      <c r="B116" s="281">
        <f t="shared" ref="B116:D116" si="74">+B81+B46+B10</f>
        <v>0</v>
      </c>
      <c r="C116" s="281">
        <f t="shared" si="74"/>
        <v>0</v>
      </c>
      <c r="D116" s="322">
        <f t="shared" si="74"/>
        <v>0</v>
      </c>
      <c r="E116" s="241">
        <f t="shared" ref="E116:BH116" si="75">+E46+E10+E81</f>
        <v>0</v>
      </c>
      <c r="F116" s="43">
        <f t="shared" si="75"/>
        <v>0</v>
      </c>
      <c r="G116" s="43">
        <f t="shared" si="75"/>
        <v>0</v>
      </c>
      <c r="H116" s="324">
        <f t="shared" si="75"/>
        <v>0</v>
      </c>
      <c r="I116" s="57">
        <f t="shared" si="75"/>
        <v>0</v>
      </c>
      <c r="J116" s="281">
        <f t="shared" si="75"/>
        <v>0</v>
      </c>
      <c r="K116" s="43">
        <f t="shared" si="75"/>
        <v>0</v>
      </c>
      <c r="L116" s="43">
        <f t="shared" si="75"/>
        <v>0</v>
      </c>
      <c r="M116" s="289">
        <f t="shared" si="75"/>
        <v>0</v>
      </c>
      <c r="N116" s="323">
        <f t="shared" si="75"/>
        <v>0</v>
      </c>
      <c r="O116" s="324">
        <f t="shared" si="75"/>
        <v>0</v>
      </c>
      <c r="P116" s="324">
        <f t="shared" si="75"/>
        <v>0</v>
      </c>
      <c r="Q116" s="324">
        <f t="shared" si="75"/>
        <v>0</v>
      </c>
      <c r="R116" s="329">
        <f t="shared" si="75"/>
        <v>0</v>
      </c>
      <c r="S116" s="323">
        <f t="shared" si="75"/>
        <v>0</v>
      </c>
      <c r="T116" s="324">
        <f t="shared" si="75"/>
        <v>0</v>
      </c>
      <c r="U116" s="324">
        <f t="shared" si="75"/>
        <v>0</v>
      </c>
      <c r="V116" s="324">
        <f t="shared" si="75"/>
        <v>0</v>
      </c>
      <c r="W116" s="327">
        <f t="shared" si="75"/>
        <v>0</v>
      </c>
      <c r="X116" s="323">
        <f t="shared" si="75"/>
        <v>0</v>
      </c>
      <c r="Y116" s="324">
        <f t="shared" si="75"/>
        <v>0</v>
      </c>
      <c r="Z116" s="324">
        <f t="shared" si="75"/>
        <v>0</v>
      </c>
      <c r="AA116" s="324">
        <f t="shared" si="75"/>
        <v>0</v>
      </c>
      <c r="AB116" s="324">
        <f t="shared" si="75"/>
        <v>0</v>
      </c>
      <c r="AC116" s="324">
        <f t="shared" si="75"/>
        <v>0</v>
      </c>
      <c r="AD116" s="324">
        <f t="shared" si="75"/>
        <v>0</v>
      </c>
      <c r="AE116" s="324">
        <f t="shared" si="75"/>
        <v>0</v>
      </c>
      <c r="AF116" s="324">
        <f t="shared" si="75"/>
        <v>0</v>
      </c>
      <c r="AG116" s="327">
        <f t="shared" si="75"/>
        <v>0</v>
      </c>
      <c r="AH116" s="241">
        <f t="shared" si="75"/>
        <v>0</v>
      </c>
      <c r="AI116" s="43">
        <f t="shared" si="75"/>
        <v>0</v>
      </c>
      <c r="AJ116" s="43">
        <f t="shared" si="75"/>
        <v>0</v>
      </c>
      <c r="AK116" s="43">
        <f t="shared" si="75"/>
        <v>0</v>
      </c>
      <c r="AL116" s="43">
        <f t="shared" si="75"/>
        <v>0</v>
      </c>
      <c r="AM116" s="43">
        <f t="shared" si="75"/>
        <v>0</v>
      </c>
      <c r="AN116" s="43">
        <f t="shared" si="75"/>
        <v>0</v>
      </c>
      <c r="AO116" s="57">
        <f t="shared" si="75"/>
        <v>0</v>
      </c>
      <c r="AP116" s="281">
        <f t="shared" si="75"/>
        <v>0</v>
      </c>
      <c r="AQ116" s="43">
        <f t="shared" si="75"/>
        <v>0</v>
      </c>
      <c r="AR116" s="324">
        <f t="shared" si="75"/>
        <v>0</v>
      </c>
      <c r="AS116" s="289">
        <f t="shared" si="75"/>
        <v>0</v>
      </c>
      <c r="AT116" s="241">
        <f t="shared" ref="AT116:BK116" si="76">+AT46+AT10+AT81</f>
        <v>0</v>
      </c>
      <c r="AU116" s="43">
        <f t="shared" si="76"/>
        <v>0</v>
      </c>
      <c r="AV116" s="43">
        <f t="shared" si="76"/>
        <v>0</v>
      </c>
      <c r="AW116" s="43">
        <f t="shared" si="76"/>
        <v>0</v>
      </c>
      <c r="AX116" s="43">
        <f t="shared" si="76"/>
        <v>0</v>
      </c>
      <c r="AY116" s="57">
        <f t="shared" si="76"/>
        <v>0</v>
      </c>
      <c r="AZ116" s="331">
        <f t="shared" si="76"/>
        <v>0</v>
      </c>
      <c r="BA116" s="331">
        <f t="shared" si="76"/>
        <v>0</v>
      </c>
      <c r="BB116" s="331">
        <f t="shared" si="76"/>
        <v>0</v>
      </c>
      <c r="BC116" s="331">
        <f t="shared" si="76"/>
        <v>0</v>
      </c>
      <c r="BD116" s="331">
        <f t="shared" si="76"/>
        <v>0</v>
      </c>
      <c r="BE116" s="331">
        <f t="shared" si="76"/>
        <v>0</v>
      </c>
      <c r="BF116" s="331">
        <f t="shared" si="76"/>
        <v>0</v>
      </c>
      <c r="BG116" s="331">
        <f t="shared" si="76"/>
        <v>0</v>
      </c>
      <c r="BH116" s="331">
        <f t="shared" si="76"/>
        <v>0</v>
      </c>
      <c r="BI116" s="331">
        <f t="shared" si="76"/>
        <v>0</v>
      </c>
      <c r="BJ116" s="331">
        <f t="shared" si="76"/>
        <v>0</v>
      </c>
      <c r="BK116" s="331">
        <f t="shared" si="76"/>
        <v>0</v>
      </c>
      <c r="BL116" s="241">
        <f t="shared" ref="BJ116:BQ116" si="77">+BL46+BL10+BL81</f>
        <v>0</v>
      </c>
      <c r="BM116" s="43">
        <f t="shared" si="77"/>
        <v>0</v>
      </c>
      <c r="BN116" s="43">
        <f t="shared" si="77"/>
        <v>0</v>
      </c>
      <c r="BO116" s="43">
        <f t="shared" si="77"/>
        <v>0</v>
      </c>
      <c r="BP116" s="43">
        <f t="shared" si="77"/>
        <v>0</v>
      </c>
      <c r="BQ116" s="57">
        <f t="shared" si="77"/>
        <v>0</v>
      </c>
      <c r="BR116" s="333">
        <f>SUM(B116:BQ116)</f>
        <v>0</v>
      </c>
      <c r="BT116">
        <f>+BR116-BUS!DF121</f>
        <v>0</v>
      </c>
    </row>
    <row r="117" spans="1:72">
      <c r="A117" s="241">
        <v>8</v>
      </c>
      <c r="B117" s="281">
        <f t="shared" ref="B117:D117" si="78">+B82+B47+B11</f>
        <v>0</v>
      </c>
      <c r="C117" s="281">
        <f t="shared" si="78"/>
        <v>0</v>
      </c>
      <c r="D117" s="322">
        <f t="shared" si="78"/>
        <v>0</v>
      </c>
      <c r="E117" s="241">
        <f t="shared" ref="E117:BH117" si="79">+E47+E11+E82</f>
        <v>0</v>
      </c>
      <c r="F117" s="43">
        <f t="shared" si="79"/>
        <v>0</v>
      </c>
      <c r="G117" s="43">
        <f t="shared" si="79"/>
        <v>0</v>
      </c>
      <c r="H117" s="324">
        <f t="shared" si="79"/>
        <v>0</v>
      </c>
      <c r="I117" s="57">
        <f t="shared" si="79"/>
        <v>0</v>
      </c>
      <c r="J117" s="281">
        <f t="shared" si="79"/>
        <v>0</v>
      </c>
      <c r="K117" s="43">
        <f t="shared" si="79"/>
        <v>0</v>
      </c>
      <c r="L117" s="43">
        <f t="shared" si="79"/>
        <v>0</v>
      </c>
      <c r="M117" s="289">
        <f t="shared" si="79"/>
        <v>0</v>
      </c>
      <c r="N117" s="323">
        <f t="shared" si="79"/>
        <v>0</v>
      </c>
      <c r="O117" s="324">
        <f t="shared" si="79"/>
        <v>0</v>
      </c>
      <c r="P117" s="324">
        <f t="shared" si="79"/>
        <v>0</v>
      </c>
      <c r="Q117" s="324">
        <f t="shared" si="79"/>
        <v>0</v>
      </c>
      <c r="R117" s="329">
        <f t="shared" si="79"/>
        <v>0</v>
      </c>
      <c r="S117" s="323">
        <f t="shared" si="79"/>
        <v>0</v>
      </c>
      <c r="T117" s="324">
        <f t="shared" si="79"/>
        <v>0</v>
      </c>
      <c r="U117" s="324">
        <f t="shared" si="79"/>
        <v>0</v>
      </c>
      <c r="V117" s="324">
        <f t="shared" si="79"/>
        <v>0</v>
      </c>
      <c r="W117" s="327">
        <f t="shared" si="79"/>
        <v>0</v>
      </c>
      <c r="X117" s="323">
        <f t="shared" si="79"/>
        <v>0</v>
      </c>
      <c r="Y117" s="324">
        <f t="shared" si="79"/>
        <v>0</v>
      </c>
      <c r="Z117" s="324">
        <f t="shared" si="79"/>
        <v>0</v>
      </c>
      <c r="AA117" s="324">
        <f t="shared" si="79"/>
        <v>0</v>
      </c>
      <c r="AB117" s="324">
        <f t="shared" si="79"/>
        <v>0</v>
      </c>
      <c r="AC117" s="324">
        <f t="shared" si="79"/>
        <v>0</v>
      </c>
      <c r="AD117" s="324">
        <f t="shared" si="79"/>
        <v>0</v>
      </c>
      <c r="AE117" s="324">
        <f t="shared" si="79"/>
        <v>0</v>
      </c>
      <c r="AF117" s="324">
        <f t="shared" si="79"/>
        <v>0</v>
      </c>
      <c r="AG117" s="327">
        <f t="shared" si="79"/>
        <v>0</v>
      </c>
      <c r="AH117" s="241">
        <f t="shared" si="79"/>
        <v>0</v>
      </c>
      <c r="AI117" s="43">
        <f t="shared" si="79"/>
        <v>0</v>
      </c>
      <c r="AJ117" s="43">
        <f t="shared" si="79"/>
        <v>0</v>
      </c>
      <c r="AK117" s="43">
        <f t="shared" si="79"/>
        <v>0</v>
      </c>
      <c r="AL117" s="43">
        <f t="shared" si="79"/>
        <v>0</v>
      </c>
      <c r="AM117" s="43">
        <f t="shared" si="79"/>
        <v>0</v>
      </c>
      <c r="AN117" s="43">
        <f t="shared" si="79"/>
        <v>0</v>
      </c>
      <c r="AO117" s="57">
        <f t="shared" si="79"/>
        <v>0</v>
      </c>
      <c r="AP117" s="281">
        <f t="shared" si="79"/>
        <v>0</v>
      </c>
      <c r="AQ117" s="43">
        <f t="shared" si="79"/>
        <v>0</v>
      </c>
      <c r="AR117" s="324">
        <f t="shared" si="79"/>
        <v>0</v>
      </c>
      <c r="AS117" s="289">
        <f t="shared" si="79"/>
        <v>0</v>
      </c>
      <c r="AT117" s="241">
        <f t="shared" ref="AT117:BK117" si="80">+AT47+AT11+AT82</f>
        <v>0</v>
      </c>
      <c r="AU117" s="43">
        <f t="shared" si="80"/>
        <v>0</v>
      </c>
      <c r="AV117" s="43">
        <f t="shared" si="80"/>
        <v>0</v>
      </c>
      <c r="AW117" s="43">
        <f t="shared" si="80"/>
        <v>0</v>
      </c>
      <c r="AX117" s="43">
        <f t="shared" si="80"/>
        <v>0</v>
      </c>
      <c r="AY117" s="57">
        <f t="shared" si="80"/>
        <v>0</v>
      </c>
      <c r="AZ117" s="331">
        <f t="shared" si="80"/>
        <v>0</v>
      </c>
      <c r="BA117" s="331">
        <f t="shared" si="80"/>
        <v>0</v>
      </c>
      <c r="BB117" s="331">
        <f t="shared" si="80"/>
        <v>0</v>
      </c>
      <c r="BC117" s="331">
        <f t="shared" si="80"/>
        <v>0</v>
      </c>
      <c r="BD117" s="331">
        <f t="shared" si="80"/>
        <v>0</v>
      </c>
      <c r="BE117" s="331">
        <f t="shared" si="80"/>
        <v>0</v>
      </c>
      <c r="BF117" s="331">
        <f t="shared" si="80"/>
        <v>0</v>
      </c>
      <c r="BG117" s="331">
        <f t="shared" si="80"/>
        <v>0</v>
      </c>
      <c r="BH117" s="331">
        <f t="shared" si="80"/>
        <v>0</v>
      </c>
      <c r="BI117" s="331">
        <f t="shared" si="80"/>
        <v>0</v>
      </c>
      <c r="BJ117" s="331">
        <f t="shared" si="80"/>
        <v>0</v>
      </c>
      <c r="BK117" s="331">
        <f t="shared" si="80"/>
        <v>0</v>
      </c>
      <c r="BL117" s="241">
        <f t="shared" ref="BJ117:BQ117" si="81">+BL47+BL11+BL82</f>
        <v>0</v>
      </c>
      <c r="BM117" s="43">
        <f t="shared" si="81"/>
        <v>0</v>
      </c>
      <c r="BN117" s="43">
        <f t="shared" si="81"/>
        <v>0</v>
      </c>
      <c r="BO117" s="43">
        <f t="shared" si="81"/>
        <v>0</v>
      </c>
      <c r="BP117" s="43">
        <f t="shared" si="81"/>
        <v>0</v>
      </c>
      <c r="BQ117" s="57">
        <f t="shared" si="81"/>
        <v>0</v>
      </c>
      <c r="BR117" s="333">
        <f>SUM(B117:BQ117)</f>
        <v>0</v>
      </c>
      <c r="BT117">
        <f>+BR117-BUS!DF122</f>
        <v>0</v>
      </c>
    </row>
    <row r="118" spans="1:72">
      <c r="A118" s="241">
        <v>9</v>
      </c>
      <c r="B118" s="281">
        <f t="shared" ref="B118:D118" si="82">+B83+B48+B12</f>
        <v>0</v>
      </c>
      <c r="C118" s="281">
        <f t="shared" si="82"/>
        <v>0</v>
      </c>
      <c r="D118" s="322">
        <f t="shared" si="82"/>
        <v>0</v>
      </c>
      <c r="E118" s="241">
        <f t="shared" ref="E118:BH118" si="83">+E48+E12+E83</f>
        <v>0</v>
      </c>
      <c r="F118" s="43">
        <f t="shared" si="83"/>
        <v>0</v>
      </c>
      <c r="G118" s="43">
        <f t="shared" si="83"/>
        <v>0</v>
      </c>
      <c r="H118" s="324">
        <f t="shared" si="83"/>
        <v>0</v>
      </c>
      <c r="I118" s="57">
        <f t="shared" si="83"/>
        <v>0</v>
      </c>
      <c r="J118" s="281">
        <f t="shared" si="83"/>
        <v>0</v>
      </c>
      <c r="K118" s="43">
        <f t="shared" si="83"/>
        <v>0</v>
      </c>
      <c r="L118" s="43">
        <f t="shared" si="83"/>
        <v>0</v>
      </c>
      <c r="M118" s="289">
        <f t="shared" si="83"/>
        <v>0</v>
      </c>
      <c r="N118" s="323">
        <f t="shared" si="83"/>
        <v>0</v>
      </c>
      <c r="O118" s="324">
        <f t="shared" si="83"/>
        <v>0</v>
      </c>
      <c r="P118" s="324">
        <f t="shared" si="83"/>
        <v>0</v>
      </c>
      <c r="Q118" s="324">
        <f t="shared" si="83"/>
        <v>0</v>
      </c>
      <c r="R118" s="329">
        <f t="shared" si="83"/>
        <v>0</v>
      </c>
      <c r="S118" s="323">
        <f t="shared" si="83"/>
        <v>0</v>
      </c>
      <c r="T118" s="324">
        <f t="shared" si="83"/>
        <v>0</v>
      </c>
      <c r="U118" s="324">
        <f t="shared" si="83"/>
        <v>0</v>
      </c>
      <c r="V118" s="324">
        <f t="shared" si="83"/>
        <v>0</v>
      </c>
      <c r="W118" s="327">
        <f t="shared" si="83"/>
        <v>0</v>
      </c>
      <c r="X118" s="323">
        <f t="shared" si="83"/>
        <v>0</v>
      </c>
      <c r="Y118" s="324">
        <f t="shared" si="83"/>
        <v>0</v>
      </c>
      <c r="Z118" s="324">
        <f t="shared" si="83"/>
        <v>0</v>
      </c>
      <c r="AA118" s="324">
        <f t="shared" si="83"/>
        <v>0</v>
      </c>
      <c r="AB118" s="324">
        <f t="shared" si="83"/>
        <v>0</v>
      </c>
      <c r="AC118" s="324">
        <f t="shared" si="83"/>
        <v>0</v>
      </c>
      <c r="AD118" s="324">
        <f t="shared" si="83"/>
        <v>0</v>
      </c>
      <c r="AE118" s="324">
        <f t="shared" si="83"/>
        <v>0</v>
      </c>
      <c r="AF118" s="324">
        <f t="shared" si="83"/>
        <v>0</v>
      </c>
      <c r="AG118" s="327">
        <f t="shared" si="83"/>
        <v>0</v>
      </c>
      <c r="AH118" s="241">
        <f t="shared" si="83"/>
        <v>0</v>
      </c>
      <c r="AI118" s="43">
        <f t="shared" si="83"/>
        <v>0</v>
      </c>
      <c r="AJ118" s="43">
        <f t="shared" si="83"/>
        <v>0</v>
      </c>
      <c r="AK118" s="43">
        <f t="shared" si="83"/>
        <v>0</v>
      </c>
      <c r="AL118" s="43">
        <f t="shared" si="83"/>
        <v>0</v>
      </c>
      <c r="AM118" s="43">
        <f t="shared" si="83"/>
        <v>0</v>
      </c>
      <c r="AN118" s="43">
        <f t="shared" si="83"/>
        <v>0</v>
      </c>
      <c r="AO118" s="57">
        <f t="shared" si="83"/>
        <v>0</v>
      </c>
      <c r="AP118" s="281">
        <f t="shared" si="83"/>
        <v>0</v>
      </c>
      <c r="AQ118" s="43">
        <f t="shared" si="83"/>
        <v>0</v>
      </c>
      <c r="AR118" s="324">
        <f t="shared" si="83"/>
        <v>0</v>
      </c>
      <c r="AS118" s="289">
        <f t="shared" si="83"/>
        <v>0</v>
      </c>
      <c r="AT118" s="241">
        <f t="shared" ref="AT118:BK118" si="84">+AT48+AT12+AT83</f>
        <v>0</v>
      </c>
      <c r="AU118" s="43">
        <f t="shared" si="84"/>
        <v>0</v>
      </c>
      <c r="AV118" s="43">
        <f t="shared" si="84"/>
        <v>0</v>
      </c>
      <c r="AW118" s="43">
        <f t="shared" si="84"/>
        <v>0</v>
      </c>
      <c r="AX118" s="43">
        <f t="shared" si="84"/>
        <v>0</v>
      </c>
      <c r="AY118" s="57">
        <f t="shared" si="84"/>
        <v>0</v>
      </c>
      <c r="AZ118" s="331">
        <f t="shared" si="84"/>
        <v>0</v>
      </c>
      <c r="BA118" s="331">
        <f t="shared" si="84"/>
        <v>0</v>
      </c>
      <c r="BB118" s="331">
        <f t="shared" si="84"/>
        <v>0</v>
      </c>
      <c r="BC118" s="331">
        <f t="shared" si="84"/>
        <v>0</v>
      </c>
      <c r="BD118" s="331">
        <f t="shared" si="84"/>
        <v>0</v>
      </c>
      <c r="BE118" s="331">
        <f t="shared" si="84"/>
        <v>0</v>
      </c>
      <c r="BF118" s="331">
        <f t="shared" si="84"/>
        <v>0</v>
      </c>
      <c r="BG118" s="331">
        <f t="shared" si="84"/>
        <v>0</v>
      </c>
      <c r="BH118" s="331">
        <f t="shared" si="84"/>
        <v>0</v>
      </c>
      <c r="BI118" s="331">
        <f t="shared" si="84"/>
        <v>0</v>
      </c>
      <c r="BJ118" s="331">
        <f t="shared" si="84"/>
        <v>0</v>
      </c>
      <c r="BK118" s="331">
        <f t="shared" si="84"/>
        <v>0</v>
      </c>
      <c r="BL118" s="241">
        <f t="shared" ref="BJ118:BQ118" si="85">+BL48+BL12+BL83</f>
        <v>0</v>
      </c>
      <c r="BM118" s="43">
        <f t="shared" si="85"/>
        <v>0</v>
      </c>
      <c r="BN118" s="43">
        <f t="shared" si="85"/>
        <v>0</v>
      </c>
      <c r="BO118" s="43">
        <f t="shared" si="85"/>
        <v>0</v>
      </c>
      <c r="BP118" s="43">
        <f t="shared" si="85"/>
        <v>0</v>
      </c>
      <c r="BQ118" s="57">
        <f t="shared" si="85"/>
        <v>0</v>
      </c>
      <c r="BR118" s="333">
        <f>SUM(B118:BQ118)</f>
        <v>0</v>
      </c>
      <c r="BT118">
        <f>+BR118-BUS!DF123</f>
        <v>0</v>
      </c>
    </row>
    <row r="119" spans="1:72">
      <c r="A119" s="241">
        <v>10</v>
      </c>
      <c r="B119" s="281">
        <f t="shared" ref="B119:D119" si="86">+B84+B49+B13</f>
        <v>0</v>
      </c>
      <c r="C119" s="281">
        <f t="shared" si="86"/>
        <v>0</v>
      </c>
      <c r="D119" s="322">
        <f t="shared" si="86"/>
        <v>0</v>
      </c>
      <c r="E119" s="241">
        <f t="shared" ref="E119:BH119" si="87">+E49+E13+E84</f>
        <v>0</v>
      </c>
      <c r="F119" s="43">
        <f t="shared" si="87"/>
        <v>0</v>
      </c>
      <c r="G119" s="43">
        <f t="shared" si="87"/>
        <v>0</v>
      </c>
      <c r="H119" s="324">
        <f t="shared" si="87"/>
        <v>0</v>
      </c>
      <c r="I119" s="57">
        <f t="shared" si="87"/>
        <v>0</v>
      </c>
      <c r="J119" s="281">
        <f t="shared" si="87"/>
        <v>0</v>
      </c>
      <c r="K119" s="43">
        <f t="shared" si="87"/>
        <v>0</v>
      </c>
      <c r="L119" s="43">
        <f t="shared" si="87"/>
        <v>0</v>
      </c>
      <c r="M119" s="289">
        <f t="shared" si="87"/>
        <v>0</v>
      </c>
      <c r="N119" s="323">
        <f t="shared" si="87"/>
        <v>0</v>
      </c>
      <c r="O119" s="324">
        <f t="shared" si="87"/>
        <v>0</v>
      </c>
      <c r="P119" s="324">
        <f t="shared" si="87"/>
        <v>0</v>
      </c>
      <c r="Q119" s="324">
        <f t="shared" si="87"/>
        <v>0</v>
      </c>
      <c r="R119" s="329">
        <f t="shared" si="87"/>
        <v>0</v>
      </c>
      <c r="S119" s="323">
        <f t="shared" si="87"/>
        <v>0</v>
      </c>
      <c r="T119" s="324">
        <f t="shared" si="87"/>
        <v>0</v>
      </c>
      <c r="U119" s="324">
        <f t="shared" si="87"/>
        <v>0</v>
      </c>
      <c r="V119" s="324">
        <f t="shared" si="87"/>
        <v>0</v>
      </c>
      <c r="W119" s="327">
        <f t="shared" si="87"/>
        <v>0</v>
      </c>
      <c r="X119" s="323">
        <f t="shared" si="87"/>
        <v>0</v>
      </c>
      <c r="Y119" s="324">
        <f t="shared" si="87"/>
        <v>0</v>
      </c>
      <c r="Z119" s="324">
        <f t="shared" si="87"/>
        <v>0</v>
      </c>
      <c r="AA119" s="324">
        <f t="shared" si="87"/>
        <v>0</v>
      </c>
      <c r="AB119" s="324">
        <f t="shared" si="87"/>
        <v>0</v>
      </c>
      <c r="AC119" s="324">
        <f t="shared" si="87"/>
        <v>0</v>
      </c>
      <c r="AD119" s="324">
        <f t="shared" si="87"/>
        <v>0</v>
      </c>
      <c r="AE119" s="324">
        <f t="shared" si="87"/>
        <v>0</v>
      </c>
      <c r="AF119" s="324">
        <f t="shared" si="87"/>
        <v>0</v>
      </c>
      <c r="AG119" s="327">
        <f t="shared" si="87"/>
        <v>0</v>
      </c>
      <c r="AH119" s="241">
        <f t="shared" si="87"/>
        <v>0</v>
      </c>
      <c r="AI119" s="43">
        <f t="shared" si="87"/>
        <v>0</v>
      </c>
      <c r="AJ119" s="43">
        <f t="shared" si="87"/>
        <v>0</v>
      </c>
      <c r="AK119" s="43">
        <f t="shared" si="87"/>
        <v>0</v>
      </c>
      <c r="AL119" s="43">
        <f t="shared" si="87"/>
        <v>0</v>
      </c>
      <c r="AM119" s="43">
        <f t="shared" si="87"/>
        <v>0</v>
      </c>
      <c r="AN119" s="43">
        <f t="shared" si="87"/>
        <v>0</v>
      </c>
      <c r="AO119" s="57">
        <f t="shared" si="87"/>
        <v>0</v>
      </c>
      <c r="AP119" s="281">
        <f t="shared" si="87"/>
        <v>0</v>
      </c>
      <c r="AQ119" s="43">
        <f t="shared" si="87"/>
        <v>0</v>
      </c>
      <c r="AR119" s="324">
        <f t="shared" si="87"/>
        <v>0</v>
      </c>
      <c r="AS119" s="289">
        <f t="shared" si="87"/>
        <v>0</v>
      </c>
      <c r="AT119" s="241">
        <f t="shared" ref="AT119:BK119" si="88">+AT49+AT13+AT84</f>
        <v>0</v>
      </c>
      <c r="AU119" s="43">
        <f t="shared" si="88"/>
        <v>0</v>
      </c>
      <c r="AV119" s="43">
        <f t="shared" si="88"/>
        <v>0</v>
      </c>
      <c r="AW119" s="43">
        <f t="shared" si="88"/>
        <v>0</v>
      </c>
      <c r="AX119" s="43">
        <f t="shared" si="88"/>
        <v>0</v>
      </c>
      <c r="AY119" s="57">
        <f t="shared" si="88"/>
        <v>0</v>
      </c>
      <c r="AZ119" s="331">
        <f t="shared" si="88"/>
        <v>0</v>
      </c>
      <c r="BA119" s="331">
        <f t="shared" si="88"/>
        <v>0</v>
      </c>
      <c r="BB119" s="331">
        <f t="shared" si="88"/>
        <v>0</v>
      </c>
      <c r="BC119" s="331">
        <f t="shared" si="88"/>
        <v>0</v>
      </c>
      <c r="BD119" s="331">
        <f t="shared" si="88"/>
        <v>0</v>
      </c>
      <c r="BE119" s="331">
        <f t="shared" si="88"/>
        <v>0</v>
      </c>
      <c r="BF119" s="331">
        <f t="shared" si="88"/>
        <v>0</v>
      </c>
      <c r="BG119" s="331">
        <f t="shared" si="88"/>
        <v>0</v>
      </c>
      <c r="BH119" s="331">
        <f t="shared" si="88"/>
        <v>0</v>
      </c>
      <c r="BI119" s="331">
        <f t="shared" si="88"/>
        <v>0</v>
      </c>
      <c r="BJ119" s="331">
        <f t="shared" si="88"/>
        <v>0</v>
      </c>
      <c r="BK119" s="331">
        <f t="shared" si="88"/>
        <v>0</v>
      </c>
      <c r="BL119" s="241">
        <f t="shared" ref="BJ119:BQ119" si="89">+BL49+BL13+BL84</f>
        <v>0</v>
      </c>
      <c r="BM119" s="43">
        <f t="shared" si="89"/>
        <v>0</v>
      </c>
      <c r="BN119" s="43">
        <f t="shared" si="89"/>
        <v>0</v>
      </c>
      <c r="BO119" s="43">
        <f t="shared" si="89"/>
        <v>0</v>
      </c>
      <c r="BP119" s="43">
        <f t="shared" si="89"/>
        <v>0</v>
      </c>
      <c r="BQ119" s="57">
        <f t="shared" si="89"/>
        <v>0</v>
      </c>
      <c r="BR119" s="333">
        <f>SUM(B119:BQ119)</f>
        <v>0</v>
      </c>
      <c r="BT119">
        <f>+BR119-BUS!DF124</f>
        <v>0</v>
      </c>
    </row>
    <row r="120" spans="1:72">
      <c r="A120" s="241">
        <v>11</v>
      </c>
      <c r="B120" s="281">
        <f t="shared" ref="B120:D120" si="90">+B85+B50+B14</f>
        <v>0</v>
      </c>
      <c r="C120" s="281">
        <f t="shared" si="90"/>
        <v>0</v>
      </c>
      <c r="D120" s="322">
        <f t="shared" si="90"/>
        <v>0</v>
      </c>
      <c r="E120" s="241">
        <f t="shared" ref="E120:BH120" si="91">+E50+E14+E85</f>
        <v>0</v>
      </c>
      <c r="F120" s="43">
        <f t="shared" si="91"/>
        <v>0</v>
      </c>
      <c r="G120" s="43">
        <f t="shared" si="91"/>
        <v>0</v>
      </c>
      <c r="H120" s="324">
        <f t="shared" si="91"/>
        <v>0</v>
      </c>
      <c r="I120" s="57">
        <f t="shared" si="91"/>
        <v>0</v>
      </c>
      <c r="J120" s="281">
        <f t="shared" si="91"/>
        <v>0</v>
      </c>
      <c r="K120" s="43">
        <f t="shared" si="91"/>
        <v>0</v>
      </c>
      <c r="L120" s="43">
        <f t="shared" si="91"/>
        <v>0</v>
      </c>
      <c r="M120" s="289">
        <f t="shared" si="91"/>
        <v>0</v>
      </c>
      <c r="N120" s="323">
        <f t="shared" si="91"/>
        <v>0</v>
      </c>
      <c r="O120" s="324">
        <f t="shared" si="91"/>
        <v>0</v>
      </c>
      <c r="P120" s="324">
        <f t="shared" si="91"/>
        <v>0</v>
      </c>
      <c r="Q120" s="324">
        <f t="shared" si="91"/>
        <v>0</v>
      </c>
      <c r="R120" s="329">
        <f t="shared" si="91"/>
        <v>0</v>
      </c>
      <c r="S120" s="323">
        <f t="shared" si="91"/>
        <v>0</v>
      </c>
      <c r="T120" s="324">
        <f t="shared" si="91"/>
        <v>0</v>
      </c>
      <c r="U120" s="324">
        <f t="shared" si="91"/>
        <v>0</v>
      </c>
      <c r="V120" s="324">
        <f t="shared" si="91"/>
        <v>0</v>
      </c>
      <c r="W120" s="327">
        <f t="shared" si="91"/>
        <v>0</v>
      </c>
      <c r="X120" s="323">
        <f t="shared" si="91"/>
        <v>0</v>
      </c>
      <c r="Y120" s="324">
        <f t="shared" si="91"/>
        <v>0</v>
      </c>
      <c r="Z120" s="324">
        <f t="shared" si="91"/>
        <v>0</v>
      </c>
      <c r="AA120" s="324">
        <f t="shared" si="91"/>
        <v>0</v>
      </c>
      <c r="AB120" s="324">
        <f t="shared" si="91"/>
        <v>0</v>
      </c>
      <c r="AC120" s="324">
        <f t="shared" si="91"/>
        <v>0</v>
      </c>
      <c r="AD120" s="324">
        <f t="shared" si="91"/>
        <v>0</v>
      </c>
      <c r="AE120" s="324">
        <f t="shared" si="91"/>
        <v>0</v>
      </c>
      <c r="AF120" s="324">
        <f t="shared" si="91"/>
        <v>0</v>
      </c>
      <c r="AG120" s="327">
        <f t="shared" si="91"/>
        <v>0</v>
      </c>
      <c r="AH120" s="241">
        <f t="shared" si="91"/>
        <v>0</v>
      </c>
      <c r="AI120" s="43">
        <f t="shared" si="91"/>
        <v>0</v>
      </c>
      <c r="AJ120" s="43">
        <f t="shared" si="91"/>
        <v>0</v>
      </c>
      <c r="AK120" s="43">
        <f t="shared" si="91"/>
        <v>0</v>
      </c>
      <c r="AL120" s="43">
        <f t="shared" si="91"/>
        <v>0</v>
      </c>
      <c r="AM120" s="43">
        <f t="shared" si="91"/>
        <v>0</v>
      </c>
      <c r="AN120" s="43">
        <f t="shared" si="91"/>
        <v>0</v>
      </c>
      <c r="AO120" s="57">
        <f t="shared" si="91"/>
        <v>0</v>
      </c>
      <c r="AP120" s="281">
        <f t="shared" si="91"/>
        <v>0</v>
      </c>
      <c r="AQ120" s="43">
        <f t="shared" si="91"/>
        <v>0</v>
      </c>
      <c r="AR120" s="324">
        <f t="shared" si="91"/>
        <v>0</v>
      </c>
      <c r="AS120" s="289">
        <f t="shared" si="91"/>
        <v>0</v>
      </c>
      <c r="AT120" s="241">
        <f t="shared" ref="AT120:BK120" si="92">+AT50+AT14+AT85</f>
        <v>0</v>
      </c>
      <c r="AU120" s="43">
        <f t="shared" si="92"/>
        <v>0</v>
      </c>
      <c r="AV120" s="43">
        <f t="shared" si="92"/>
        <v>0</v>
      </c>
      <c r="AW120" s="43">
        <f t="shared" si="92"/>
        <v>0</v>
      </c>
      <c r="AX120" s="43">
        <f t="shared" si="92"/>
        <v>0</v>
      </c>
      <c r="AY120" s="57">
        <f t="shared" si="92"/>
        <v>0</v>
      </c>
      <c r="AZ120" s="331">
        <f t="shared" si="92"/>
        <v>0</v>
      </c>
      <c r="BA120" s="331">
        <f t="shared" si="92"/>
        <v>0</v>
      </c>
      <c r="BB120" s="331">
        <f t="shared" si="92"/>
        <v>0</v>
      </c>
      <c r="BC120" s="331">
        <f t="shared" si="92"/>
        <v>0</v>
      </c>
      <c r="BD120" s="331">
        <f t="shared" si="92"/>
        <v>0</v>
      </c>
      <c r="BE120" s="331">
        <f t="shared" si="92"/>
        <v>0</v>
      </c>
      <c r="BF120" s="331">
        <f t="shared" si="92"/>
        <v>0</v>
      </c>
      <c r="BG120" s="331">
        <f t="shared" si="92"/>
        <v>0</v>
      </c>
      <c r="BH120" s="331">
        <f t="shared" si="92"/>
        <v>0</v>
      </c>
      <c r="BI120" s="331">
        <f t="shared" si="92"/>
        <v>0</v>
      </c>
      <c r="BJ120" s="331">
        <f t="shared" si="92"/>
        <v>0</v>
      </c>
      <c r="BK120" s="331">
        <f t="shared" si="92"/>
        <v>0</v>
      </c>
      <c r="BL120" s="241">
        <f t="shared" ref="BJ120:BQ120" si="93">+BL50+BL14+BL85</f>
        <v>0</v>
      </c>
      <c r="BM120" s="43">
        <f t="shared" si="93"/>
        <v>0</v>
      </c>
      <c r="BN120" s="43">
        <f t="shared" si="93"/>
        <v>0</v>
      </c>
      <c r="BO120" s="43">
        <f t="shared" si="93"/>
        <v>0</v>
      </c>
      <c r="BP120" s="43">
        <f t="shared" si="93"/>
        <v>0</v>
      </c>
      <c r="BQ120" s="57">
        <f t="shared" si="93"/>
        <v>0</v>
      </c>
      <c r="BR120" s="333">
        <f>SUM(B120:BQ120)</f>
        <v>0</v>
      </c>
      <c r="BT120">
        <f>+BR120-BUS!DF125</f>
        <v>0</v>
      </c>
    </row>
    <row r="121" spans="1:72">
      <c r="A121" s="241">
        <v>12</v>
      </c>
      <c r="B121" s="281">
        <f t="shared" ref="B121:D121" si="94">+B86+B51+B15</f>
        <v>0</v>
      </c>
      <c r="C121" s="281">
        <f t="shared" si="94"/>
        <v>0</v>
      </c>
      <c r="D121" s="322">
        <f t="shared" si="94"/>
        <v>0</v>
      </c>
      <c r="E121" s="241">
        <f t="shared" ref="E121:BH121" si="95">+E51+E15+E86</f>
        <v>0</v>
      </c>
      <c r="F121" s="43">
        <f t="shared" si="95"/>
        <v>0</v>
      </c>
      <c r="G121" s="43">
        <f t="shared" si="95"/>
        <v>0</v>
      </c>
      <c r="H121" s="324">
        <f t="shared" si="95"/>
        <v>0</v>
      </c>
      <c r="I121" s="57">
        <f t="shared" si="95"/>
        <v>0</v>
      </c>
      <c r="J121" s="281">
        <f t="shared" si="95"/>
        <v>0</v>
      </c>
      <c r="K121" s="43">
        <f t="shared" si="95"/>
        <v>0</v>
      </c>
      <c r="L121" s="43">
        <f t="shared" si="95"/>
        <v>0</v>
      </c>
      <c r="M121" s="289">
        <f t="shared" si="95"/>
        <v>0</v>
      </c>
      <c r="N121" s="323">
        <f t="shared" si="95"/>
        <v>0</v>
      </c>
      <c r="O121" s="324">
        <f t="shared" si="95"/>
        <v>0</v>
      </c>
      <c r="P121" s="324">
        <f t="shared" si="95"/>
        <v>0</v>
      </c>
      <c r="Q121" s="324">
        <f t="shared" si="95"/>
        <v>0</v>
      </c>
      <c r="R121" s="329">
        <f t="shared" si="95"/>
        <v>0</v>
      </c>
      <c r="S121" s="323">
        <f t="shared" si="95"/>
        <v>0</v>
      </c>
      <c r="T121" s="324">
        <f t="shared" si="95"/>
        <v>0</v>
      </c>
      <c r="U121" s="324">
        <f t="shared" si="95"/>
        <v>0</v>
      </c>
      <c r="V121" s="324">
        <f t="shared" si="95"/>
        <v>0</v>
      </c>
      <c r="W121" s="327">
        <f t="shared" si="95"/>
        <v>0</v>
      </c>
      <c r="X121" s="323">
        <f t="shared" si="95"/>
        <v>0</v>
      </c>
      <c r="Y121" s="324">
        <f t="shared" si="95"/>
        <v>0</v>
      </c>
      <c r="Z121" s="324">
        <f t="shared" si="95"/>
        <v>0</v>
      </c>
      <c r="AA121" s="324">
        <f t="shared" si="95"/>
        <v>0</v>
      </c>
      <c r="AB121" s="324">
        <f t="shared" si="95"/>
        <v>0</v>
      </c>
      <c r="AC121" s="324">
        <f t="shared" si="95"/>
        <v>0</v>
      </c>
      <c r="AD121" s="324">
        <f t="shared" si="95"/>
        <v>0</v>
      </c>
      <c r="AE121" s="324">
        <f t="shared" si="95"/>
        <v>0</v>
      </c>
      <c r="AF121" s="324">
        <f t="shared" si="95"/>
        <v>0</v>
      </c>
      <c r="AG121" s="327">
        <f t="shared" si="95"/>
        <v>0</v>
      </c>
      <c r="AH121" s="241">
        <f t="shared" si="95"/>
        <v>0</v>
      </c>
      <c r="AI121" s="43">
        <f t="shared" si="95"/>
        <v>0</v>
      </c>
      <c r="AJ121" s="43">
        <f t="shared" si="95"/>
        <v>0</v>
      </c>
      <c r="AK121" s="43">
        <f t="shared" si="95"/>
        <v>0</v>
      </c>
      <c r="AL121" s="43">
        <f t="shared" si="95"/>
        <v>0</v>
      </c>
      <c r="AM121" s="43">
        <f t="shared" si="95"/>
        <v>0</v>
      </c>
      <c r="AN121" s="43">
        <f t="shared" si="95"/>
        <v>0</v>
      </c>
      <c r="AO121" s="57">
        <f t="shared" si="95"/>
        <v>0</v>
      </c>
      <c r="AP121" s="281">
        <f t="shared" si="95"/>
        <v>0</v>
      </c>
      <c r="AQ121" s="43">
        <f t="shared" si="95"/>
        <v>0</v>
      </c>
      <c r="AR121" s="324">
        <f t="shared" si="95"/>
        <v>0</v>
      </c>
      <c r="AS121" s="289">
        <f t="shared" si="95"/>
        <v>0</v>
      </c>
      <c r="AT121" s="241">
        <f t="shared" ref="AT121:BK121" si="96">+AT51+AT15+AT86</f>
        <v>0</v>
      </c>
      <c r="AU121" s="43">
        <f t="shared" si="96"/>
        <v>0</v>
      </c>
      <c r="AV121" s="43">
        <f t="shared" si="96"/>
        <v>0</v>
      </c>
      <c r="AW121" s="43">
        <f t="shared" si="96"/>
        <v>0</v>
      </c>
      <c r="AX121" s="43">
        <f t="shared" si="96"/>
        <v>0</v>
      </c>
      <c r="AY121" s="57">
        <f t="shared" si="96"/>
        <v>0</v>
      </c>
      <c r="AZ121" s="331">
        <f t="shared" si="96"/>
        <v>0</v>
      </c>
      <c r="BA121" s="331">
        <f t="shared" si="96"/>
        <v>0</v>
      </c>
      <c r="BB121" s="331">
        <f t="shared" si="96"/>
        <v>0</v>
      </c>
      <c r="BC121" s="331">
        <f t="shared" si="96"/>
        <v>0</v>
      </c>
      <c r="BD121" s="331">
        <f t="shared" si="96"/>
        <v>0</v>
      </c>
      <c r="BE121" s="331">
        <f t="shared" si="96"/>
        <v>0</v>
      </c>
      <c r="BF121" s="331">
        <f t="shared" si="96"/>
        <v>0</v>
      </c>
      <c r="BG121" s="331">
        <f t="shared" si="96"/>
        <v>0</v>
      </c>
      <c r="BH121" s="331">
        <f t="shared" si="96"/>
        <v>0</v>
      </c>
      <c r="BI121" s="331">
        <f t="shared" si="96"/>
        <v>0</v>
      </c>
      <c r="BJ121" s="331">
        <f t="shared" si="96"/>
        <v>0</v>
      </c>
      <c r="BK121" s="331">
        <f t="shared" si="96"/>
        <v>0</v>
      </c>
      <c r="BL121" s="241">
        <f t="shared" ref="BJ121:BQ121" si="97">+BL51+BL15+BL86</f>
        <v>0</v>
      </c>
      <c r="BM121" s="43">
        <f t="shared" si="97"/>
        <v>0</v>
      </c>
      <c r="BN121" s="43">
        <f t="shared" si="97"/>
        <v>0</v>
      </c>
      <c r="BO121" s="43">
        <f t="shared" si="97"/>
        <v>0</v>
      </c>
      <c r="BP121" s="43">
        <f t="shared" si="97"/>
        <v>0</v>
      </c>
      <c r="BQ121" s="57">
        <f t="shared" si="97"/>
        <v>0</v>
      </c>
      <c r="BR121" s="333">
        <f>SUM(B121:BQ121)</f>
        <v>0</v>
      </c>
      <c r="BT121">
        <f>+BR121-BUS!DF126</f>
        <v>0</v>
      </c>
    </row>
    <row r="122" spans="1:72">
      <c r="A122" s="241">
        <v>13</v>
      </c>
      <c r="B122" s="281">
        <f t="shared" ref="B122:D122" si="98">+B87+B52+B16</f>
        <v>0</v>
      </c>
      <c r="C122" s="281">
        <f t="shared" si="98"/>
        <v>0</v>
      </c>
      <c r="D122" s="322">
        <f t="shared" si="98"/>
        <v>0</v>
      </c>
      <c r="E122" s="241">
        <f t="shared" ref="E122:BH122" si="99">+E52+E16+E87</f>
        <v>0</v>
      </c>
      <c r="F122" s="43">
        <f t="shared" si="99"/>
        <v>0</v>
      </c>
      <c r="G122" s="43">
        <f t="shared" si="99"/>
        <v>0</v>
      </c>
      <c r="H122" s="324">
        <f t="shared" si="99"/>
        <v>0</v>
      </c>
      <c r="I122" s="57">
        <f t="shared" si="99"/>
        <v>0</v>
      </c>
      <c r="J122" s="281">
        <f t="shared" si="99"/>
        <v>0</v>
      </c>
      <c r="K122" s="43">
        <f t="shared" si="99"/>
        <v>0</v>
      </c>
      <c r="L122" s="43">
        <f t="shared" si="99"/>
        <v>0</v>
      </c>
      <c r="M122" s="289">
        <f t="shared" si="99"/>
        <v>0</v>
      </c>
      <c r="N122" s="323">
        <f t="shared" si="99"/>
        <v>0</v>
      </c>
      <c r="O122" s="324">
        <f t="shared" si="99"/>
        <v>0</v>
      </c>
      <c r="P122" s="324">
        <f t="shared" si="99"/>
        <v>0</v>
      </c>
      <c r="Q122" s="324">
        <f t="shared" si="99"/>
        <v>0</v>
      </c>
      <c r="R122" s="329">
        <f t="shared" si="99"/>
        <v>0</v>
      </c>
      <c r="S122" s="323">
        <f t="shared" si="99"/>
        <v>0</v>
      </c>
      <c r="T122" s="324">
        <f t="shared" si="99"/>
        <v>0</v>
      </c>
      <c r="U122" s="324">
        <f t="shared" si="99"/>
        <v>0</v>
      </c>
      <c r="V122" s="324">
        <f t="shared" si="99"/>
        <v>0</v>
      </c>
      <c r="W122" s="327">
        <f t="shared" si="99"/>
        <v>0</v>
      </c>
      <c r="X122" s="323">
        <f t="shared" si="99"/>
        <v>0</v>
      </c>
      <c r="Y122" s="324">
        <f t="shared" si="99"/>
        <v>0</v>
      </c>
      <c r="Z122" s="324">
        <f t="shared" si="99"/>
        <v>0</v>
      </c>
      <c r="AA122" s="324">
        <f t="shared" si="99"/>
        <v>0</v>
      </c>
      <c r="AB122" s="324">
        <f t="shared" si="99"/>
        <v>0</v>
      </c>
      <c r="AC122" s="324">
        <f t="shared" si="99"/>
        <v>0</v>
      </c>
      <c r="AD122" s="324">
        <f t="shared" si="99"/>
        <v>0</v>
      </c>
      <c r="AE122" s="324">
        <f t="shared" si="99"/>
        <v>0</v>
      </c>
      <c r="AF122" s="324">
        <f t="shared" si="99"/>
        <v>0</v>
      </c>
      <c r="AG122" s="327">
        <f t="shared" si="99"/>
        <v>0</v>
      </c>
      <c r="AH122" s="241">
        <f t="shared" si="99"/>
        <v>0</v>
      </c>
      <c r="AI122" s="43">
        <f t="shared" si="99"/>
        <v>0</v>
      </c>
      <c r="AJ122" s="43">
        <f t="shared" si="99"/>
        <v>0</v>
      </c>
      <c r="AK122" s="43">
        <f t="shared" si="99"/>
        <v>0</v>
      </c>
      <c r="AL122" s="43">
        <f t="shared" si="99"/>
        <v>0</v>
      </c>
      <c r="AM122" s="43">
        <f t="shared" si="99"/>
        <v>0</v>
      </c>
      <c r="AN122" s="43">
        <f t="shared" si="99"/>
        <v>0</v>
      </c>
      <c r="AO122" s="57">
        <f t="shared" si="99"/>
        <v>0</v>
      </c>
      <c r="AP122" s="281">
        <f t="shared" si="99"/>
        <v>0</v>
      </c>
      <c r="AQ122" s="43">
        <f t="shared" si="99"/>
        <v>0</v>
      </c>
      <c r="AR122" s="324">
        <f t="shared" si="99"/>
        <v>0</v>
      </c>
      <c r="AS122" s="289">
        <f t="shared" si="99"/>
        <v>0</v>
      </c>
      <c r="AT122" s="241">
        <f t="shared" ref="AT122:BK122" si="100">+AT52+AT16+AT87</f>
        <v>0</v>
      </c>
      <c r="AU122" s="43">
        <f t="shared" si="100"/>
        <v>0</v>
      </c>
      <c r="AV122" s="43">
        <f t="shared" si="100"/>
        <v>0</v>
      </c>
      <c r="AW122" s="43">
        <f t="shared" si="100"/>
        <v>0</v>
      </c>
      <c r="AX122" s="43">
        <f t="shared" si="100"/>
        <v>0</v>
      </c>
      <c r="AY122" s="57">
        <f t="shared" si="100"/>
        <v>0</v>
      </c>
      <c r="AZ122" s="331">
        <f t="shared" si="100"/>
        <v>0</v>
      </c>
      <c r="BA122" s="331">
        <f t="shared" si="100"/>
        <v>0</v>
      </c>
      <c r="BB122" s="331">
        <f t="shared" si="100"/>
        <v>0</v>
      </c>
      <c r="BC122" s="331">
        <f t="shared" si="100"/>
        <v>0</v>
      </c>
      <c r="BD122" s="331">
        <f t="shared" si="100"/>
        <v>0</v>
      </c>
      <c r="BE122" s="331">
        <f t="shared" si="100"/>
        <v>0</v>
      </c>
      <c r="BF122" s="331">
        <f t="shared" si="100"/>
        <v>0</v>
      </c>
      <c r="BG122" s="331">
        <f t="shared" si="100"/>
        <v>0</v>
      </c>
      <c r="BH122" s="331">
        <f t="shared" si="100"/>
        <v>0</v>
      </c>
      <c r="BI122" s="331">
        <f t="shared" si="100"/>
        <v>0</v>
      </c>
      <c r="BJ122" s="331">
        <f t="shared" si="100"/>
        <v>0</v>
      </c>
      <c r="BK122" s="331">
        <f t="shared" si="100"/>
        <v>0</v>
      </c>
      <c r="BL122" s="241">
        <f t="shared" ref="BJ122:BQ122" si="101">+BL52+BL16+BL87</f>
        <v>0</v>
      </c>
      <c r="BM122" s="43">
        <f t="shared" si="101"/>
        <v>0</v>
      </c>
      <c r="BN122" s="43">
        <f t="shared" si="101"/>
        <v>0</v>
      </c>
      <c r="BO122" s="43">
        <f t="shared" si="101"/>
        <v>0</v>
      </c>
      <c r="BP122" s="43">
        <f t="shared" si="101"/>
        <v>0</v>
      </c>
      <c r="BQ122" s="57">
        <f t="shared" si="101"/>
        <v>0</v>
      </c>
      <c r="BR122" s="333">
        <f>SUM(B122:BQ122)</f>
        <v>0</v>
      </c>
      <c r="BT122">
        <f>+BR122-BUS!DF127</f>
        <v>0</v>
      </c>
    </row>
    <row r="123" spans="1:72">
      <c r="A123" s="241">
        <v>14</v>
      </c>
      <c r="B123" s="281">
        <f t="shared" ref="B123:D123" si="102">+B88+B53+B17</f>
        <v>0</v>
      </c>
      <c r="C123" s="281">
        <f t="shared" si="102"/>
        <v>0</v>
      </c>
      <c r="D123" s="322">
        <f t="shared" si="102"/>
        <v>0</v>
      </c>
      <c r="E123" s="241">
        <f t="shared" ref="E123:BH123" si="103">+E53+E17+E88</f>
        <v>0</v>
      </c>
      <c r="F123" s="43">
        <f t="shared" si="103"/>
        <v>0</v>
      </c>
      <c r="G123" s="43">
        <f t="shared" si="103"/>
        <v>0</v>
      </c>
      <c r="H123" s="324">
        <f t="shared" si="103"/>
        <v>0</v>
      </c>
      <c r="I123" s="57">
        <f t="shared" si="103"/>
        <v>0</v>
      </c>
      <c r="J123" s="281">
        <f t="shared" si="103"/>
        <v>0</v>
      </c>
      <c r="K123" s="43">
        <f t="shared" si="103"/>
        <v>0</v>
      </c>
      <c r="L123" s="43">
        <f t="shared" si="103"/>
        <v>0</v>
      </c>
      <c r="M123" s="289">
        <f t="shared" si="103"/>
        <v>0</v>
      </c>
      <c r="N123" s="323">
        <f t="shared" si="103"/>
        <v>0</v>
      </c>
      <c r="O123" s="324">
        <f t="shared" si="103"/>
        <v>0</v>
      </c>
      <c r="P123" s="324">
        <f t="shared" si="103"/>
        <v>0</v>
      </c>
      <c r="Q123" s="324">
        <f t="shared" si="103"/>
        <v>0</v>
      </c>
      <c r="R123" s="329">
        <f t="shared" si="103"/>
        <v>0</v>
      </c>
      <c r="S123" s="323">
        <f t="shared" si="103"/>
        <v>0</v>
      </c>
      <c r="T123" s="324">
        <f t="shared" si="103"/>
        <v>0</v>
      </c>
      <c r="U123" s="324">
        <f t="shared" si="103"/>
        <v>0</v>
      </c>
      <c r="V123" s="324">
        <f t="shared" si="103"/>
        <v>0</v>
      </c>
      <c r="W123" s="327">
        <f t="shared" si="103"/>
        <v>0</v>
      </c>
      <c r="X123" s="323">
        <f t="shared" si="103"/>
        <v>0</v>
      </c>
      <c r="Y123" s="324">
        <f t="shared" si="103"/>
        <v>0</v>
      </c>
      <c r="Z123" s="324">
        <f t="shared" si="103"/>
        <v>0</v>
      </c>
      <c r="AA123" s="324">
        <f t="shared" si="103"/>
        <v>0</v>
      </c>
      <c r="AB123" s="324">
        <f t="shared" si="103"/>
        <v>0</v>
      </c>
      <c r="AC123" s="324">
        <f t="shared" si="103"/>
        <v>0</v>
      </c>
      <c r="AD123" s="324">
        <f t="shared" si="103"/>
        <v>0</v>
      </c>
      <c r="AE123" s="324">
        <f t="shared" si="103"/>
        <v>0</v>
      </c>
      <c r="AF123" s="324">
        <f t="shared" si="103"/>
        <v>0</v>
      </c>
      <c r="AG123" s="327">
        <f t="shared" si="103"/>
        <v>0</v>
      </c>
      <c r="AH123" s="241">
        <f t="shared" si="103"/>
        <v>0</v>
      </c>
      <c r="AI123" s="43">
        <f t="shared" si="103"/>
        <v>0</v>
      </c>
      <c r="AJ123" s="43">
        <f t="shared" si="103"/>
        <v>0</v>
      </c>
      <c r="AK123" s="43">
        <f t="shared" si="103"/>
        <v>0</v>
      </c>
      <c r="AL123" s="43">
        <f t="shared" si="103"/>
        <v>0</v>
      </c>
      <c r="AM123" s="43">
        <f t="shared" si="103"/>
        <v>0</v>
      </c>
      <c r="AN123" s="43">
        <f t="shared" si="103"/>
        <v>0</v>
      </c>
      <c r="AO123" s="57">
        <f t="shared" si="103"/>
        <v>0</v>
      </c>
      <c r="AP123" s="281">
        <f t="shared" si="103"/>
        <v>0</v>
      </c>
      <c r="AQ123" s="43">
        <f t="shared" si="103"/>
        <v>0</v>
      </c>
      <c r="AR123" s="324">
        <f t="shared" si="103"/>
        <v>0</v>
      </c>
      <c r="AS123" s="289">
        <f t="shared" si="103"/>
        <v>0</v>
      </c>
      <c r="AT123" s="241">
        <f t="shared" ref="AT123:BK123" si="104">+AT53+AT17+AT88</f>
        <v>0</v>
      </c>
      <c r="AU123" s="43">
        <f t="shared" si="104"/>
        <v>0</v>
      </c>
      <c r="AV123" s="43">
        <f t="shared" si="104"/>
        <v>0</v>
      </c>
      <c r="AW123" s="43">
        <f t="shared" si="104"/>
        <v>0</v>
      </c>
      <c r="AX123" s="43">
        <f t="shared" si="104"/>
        <v>0</v>
      </c>
      <c r="AY123" s="57">
        <f t="shared" si="104"/>
        <v>0</v>
      </c>
      <c r="AZ123" s="331">
        <f t="shared" si="104"/>
        <v>0</v>
      </c>
      <c r="BA123" s="331">
        <f t="shared" si="104"/>
        <v>0</v>
      </c>
      <c r="BB123" s="331">
        <f t="shared" si="104"/>
        <v>0</v>
      </c>
      <c r="BC123" s="331">
        <f t="shared" si="104"/>
        <v>0</v>
      </c>
      <c r="BD123" s="331">
        <f t="shared" si="104"/>
        <v>0</v>
      </c>
      <c r="BE123" s="331">
        <f t="shared" si="104"/>
        <v>0</v>
      </c>
      <c r="BF123" s="331">
        <f t="shared" si="104"/>
        <v>0</v>
      </c>
      <c r="BG123" s="331">
        <f t="shared" si="104"/>
        <v>0</v>
      </c>
      <c r="BH123" s="331">
        <f t="shared" si="104"/>
        <v>0</v>
      </c>
      <c r="BI123" s="331">
        <f t="shared" si="104"/>
        <v>0</v>
      </c>
      <c r="BJ123" s="331">
        <f t="shared" si="104"/>
        <v>0</v>
      </c>
      <c r="BK123" s="331">
        <f t="shared" si="104"/>
        <v>0</v>
      </c>
      <c r="BL123" s="241">
        <f t="shared" ref="BJ123:BQ123" si="105">+BL53+BL17+BL88</f>
        <v>0</v>
      </c>
      <c r="BM123" s="43">
        <f t="shared" si="105"/>
        <v>0</v>
      </c>
      <c r="BN123" s="43">
        <f t="shared" si="105"/>
        <v>0</v>
      </c>
      <c r="BO123" s="43">
        <f t="shared" si="105"/>
        <v>0</v>
      </c>
      <c r="BP123" s="43">
        <f t="shared" si="105"/>
        <v>0</v>
      </c>
      <c r="BQ123" s="57">
        <f t="shared" si="105"/>
        <v>0</v>
      </c>
      <c r="BR123" s="333">
        <f>SUM(B123:BQ123)</f>
        <v>0</v>
      </c>
      <c r="BT123">
        <f>+BR123-BUS!DF128</f>
        <v>0</v>
      </c>
    </row>
    <row r="124" spans="1:72">
      <c r="A124" s="241">
        <v>15</v>
      </c>
      <c r="B124" s="281">
        <f t="shared" ref="B124:D124" si="106">+B89+B54+B18</f>
        <v>0</v>
      </c>
      <c r="C124" s="281">
        <f t="shared" si="106"/>
        <v>0</v>
      </c>
      <c r="D124" s="322">
        <f t="shared" si="106"/>
        <v>0</v>
      </c>
      <c r="E124" s="241">
        <f t="shared" ref="E124:BH124" si="107">+E54+E18+E89</f>
        <v>0</v>
      </c>
      <c r="F124" s="43">
        <f t="shared" si="107"/>
        <v>0</v>
      </c>
      <c r="G124" s="43">
        <f t="shared" si="107"/>
        <v>0</v>
      </c>
      <c r="H124" s="324">
        <f t="shared" si="107"/>
        <v>0</v>
      </c>
      <c r="I124" s="57">
        <f t="shared" si="107"/>
        <v>0</v>
      </c>
      <c r="J124" s="281">
        <f t="shared" si="107"/>
        <v>0</v>
      </c>
      <c r="K124" s="43">
        <f t="shared" si="107"/>
        <v>0</v>
      </c>
      <c r="L124" s="43">
        <f t="shared" si="107"/>
        <v>0</v>
      </c>
      <c r="M124" s="289">
        <f t="shared" si="107"/>
        <v>0</v>
      </c>
      <c r="N124" s="323">
        <f t="shared" si="107"/>
        <v>0</v>
      </c>
      <c r="O124" s="324">
        <f t="shared" si="107"/>
        <v>0</v>
      </c>
      <c r="P124" s="324">
        <f t="shared" si="107"/>
        <v>0</v>
      </c>
      <c r="Q124" s="324">
        <f t="shared" si="107"/>
        <v>0</v>
      </c>
      <c r="R124" s="329">
        <f t="shared" si="107"/>
        <v>0</v>
      </c>
      <c r="S124" s="323">
        <f t="shared" si="107"/>
        <v>0</v>
      </c>
      <c r="T124" s="324">
        <f t="shared" si="107"/>
        <v>0</v>
      </c>
      <c r="U124" s="324">
        <f t="shared" si="107"/>
        <v>0</v>
      </c>
      <c r="V124" s="324">
        <f t="shared" si="107"/>
        <v>0</v>
      </c>
      <c r="W124" s="327">
        <f t="shared" si="107"/>
        <v>0</v>
      </c>
      <c r="X124" s="323">
        <f t="shared" si="107"/>
        <v>0</v>
      </c>
      <c r="Y124" s="324">
        <f t="shared" si="107"/>
        <v>0</v>
      </c>
      <c r="Z124" s="324">
        <f t="shared" si="107"/>
        <v>0</v>
      </c>
      <c r="AA124" s="324">
        <f t="shared" si="107"/>
        <v>0</v>
      </c>
      <c r="AB124" s="324">
        <f t="shared" si="107"/>
        <v>0</v>
      </c>
      <c r="AC124" s="324">
        <f t="shared" si="107"/>
        <v>0</v>
      </c>
      <c r="AD124" s="324">
        <f t="shared" si="107"/>
        <v>0</v>
      </c>
      <c r="AE124" s="324">
        <f t="shared" si="107"/>
        <v>0</v>
      </c>
      <c r="AF124" s="324">
        <f t="shared" si="107"/>
        <v>0</v>
      </c>
      <c r="AG124" s="327">
        <f t="shared" si="107"/>
        <v>0</v>
      </c>
      <c r="AH124" s="241">
        <f t="shared" si="107"/>
        <v>0</v>
      </c>
      <c r="AI124" s="43">
        <f t="shared" si="107"/>
        <v>0</v>
      </c>
      <c r="AJ124" s="43">
        <f t="shared" si="107"/>
        <v>0</v>
      </c>
      <c r="AK124" s="43">
        <f t="shared" si="107"/>
        <v>0</v>
      </c>
      <c r="AL124" s="43">
        <f t="shared" si="107"/>
        <v>0</v>
      </c>
      <c r="AM124" s="43">
        <f t="shared" si="107"/>
        <v>0</v>
      </c>
      <c r="AN124" s="43">
        <f t="shared" si="107"/>
        <v>0</v>
      </c>
      <c r="AO124" s="57">
        <f t="shared" si="107"/>
        <v>0</v>
      </c>
      <c r="AP124" s="281">
        <f t="shared" si="107"/>
        <v>0</v>
      </c>
      <c r="AQ124" s="43">
        <f t="shared" si="107"/>
        <v>0</v>
      </c>
      <c r="AR124" s="324">
        <f t="shared" si="107"/>
        <v>0</v>
      </c>
      <c r="AS124" s="289">
        <f t="shared" si="107"/>
        <v>0</v>
      </c>
      <c r="AT124" s="241">
        <f t="shared" ref="AT124:BK124" si="108">+AT54+AT18+AT89</f>
        <v>0</v>
      </c>
      <c r="AU124" s="43">
        <f t="shared" si="108"/>
        <v>0</v>
      </c>
      <c r="AV124" s="43">
        <f t="shared" si="108"/>
        <v>0</v>
      </c>
      <c r="AW124" s="43">
        <f t="shared" si="108"/>
        <v>0</v>
      </c>
      <c r="AX124" s="43">
        <f t="shared" si="108"/>
        <v>0</v>
      </c>
      <c r="AY124" s="57">
        <f t="shared" si="108"/>
        <v>0</v>
      </c>
      <c r="AZ124" s="331">
        <f t="shared" si="108"/>
        <v>0</v>
      </c>
      <c r="BA124" s="331">
        <f t="shared" si="108"/>
        <v>0</v>
      </c>
      <c r="BB124" s="331">
        <f t="shared" si="108"/>
        <v>0</v>
      </c>
      <c r="BC124" s="331">
        <f t="shared" si="108"/>
        <v>0</v>
      </c>
      <c r="BD124" s="331">
        <f t="shared" si="108"/>
        <v>0</v>
      </c>
      <c r="BE124" s="331">
        <f t="shared" si="108"/>
        <v>0</v>
      </c>
      <c r="BF124" s="331">
        <f t="shared" si="108"/>
        <v>0</v>
      </c>
      <c r="BG124" s="331">
        <f t="shared" si="108"/>
        <v>0</v>
      </c>
      <c r="BH124" s="331">
        <f t="shared" si="108"/>
        <v>0</v>
      </c>
      <c r="BI124" s="331">
        <f t="shared" si="108"/>
        <v>0</v>
      </c>
      <c r="BJ124" s="331">
        <f t="shared" si="108"/>
        <v>0</v>
      </c>
      <c r="BK124" s="331">
        <f t="shared" si="108"/>
        <v>0</v>
      </c>
      <c r="BL124" s="241">
        <f t="shared" ref="BJ124:BQ124" si="109">+BL54+BL18+BL89</f>
        <v>0</v>
      </c>
      <c r="BM124" s="43">
        <f t="shared" si="109"/>
        <v>0</v>
      </c>
      <c r="BN124" s="43">
        <f t="shared" si="109"/>
        <v>0</v>
      </c>
      <c r="BO124" s="43">
        <f t="shared" si="109"/>
        <v>0</v>
      </c>
      <c r="BP124" s="43">
        <f t="shared" si="109"/>
        <v>0</v>
      </c>
      <c r="BQ124" s="57">
        <f t="shared" si="109"/>
        <v>0</v>
      </c>
      <c r="BR124" s="333">
        <f>SUM(B124:BQ124)</f>
        <v>0</v>
      </c>
      <c r="BT124">
        <f>+BR124-BUS!DF129</f>
        <v>0</v>
      </c>
    </row>
    <row r="125" spans="1:72">
      <c r="A125" s="241">
        <v>16</v>
      </c>
      <c r="B125" s="281">
        <f t="shared" ref="B125:D125" si="110">+B90+B55+B19</f>
        <v>0</v>
      </c>
      <c r="C125" s="281">
        <f t="shared" si="110"/>
        <v>0</v>
      </c>
      <c r="D125" s="322">
        <f t="shared" si="110"/>
        <v>0</v>
      </c>
      <c r="E125" s="241">
        <f t="shared" ref="E125:BH125" si="111">+E55+E19+E90</f>
        <v>0</v>
      </c>
      <c r="F125" s="43">
        <f t="shared" si="111"/>
        <v>0</v>
      </c>
      <c r="G125" s="43">
        <f t="shared" si="111"/>
        <v>0</v>
      </c>
      <c r="H125" s="324">
        <f t="shared" si="111"/>
        <v>0</v>
      </c>
      <c r="I125" s="57">
        <f t="shared" si="111"/>
        <v>0</v>
      </c>
      <c r="J125" s="281">
        <f t="shared" si="111"/>
        <v>0</v>
      </c>
      <c r="K125" s="43">
        <f t="shared" si="111"/>
        <v>0</v>
      </c>
      <c r="L125" s="43">
        <f t="shared" si="111"/>
        <v>0</v>
      </c>
      <c r="M125" s="289">
        <f t="shared" si="111"/>
        <v>0</v>
      </c>
      <c r="N125" s="323">
        <f t="shared" si="111"/>
        <v>0</v>
      </c>
      <c r="O125" s="324">
        <f t="shared" si="111"/>
        <v>0</v>
      </c>
      <c r="P125" s="324">
        <f t="shared" si="111"/>
        <v>0</v>
      </c>
      <c r="Q125" s="324">
        <f t="shared" si="111"/>
        <v>0</v>
      </c>
      <c r="R125" s="329">
        <f t="shared" si="111"/>
        <v>0</v>
      </c>
      <c r="S125" s="323">
        <f t="shared" si="111"/>
        <v>0</v>
      </c>
      <c r="T125" s="324">
        <f t="shared" si="111"/>
        <v>0</v>
      </c>
      <c r="U125" s="324">
        <f t="shared" si="111"/>
        <v>0</v>
      </c>
      <c r="V125" s="324">
        <f t="shared" si="111"/>
        <v>0</v>
      </c>
      <c r="W125" s="327">
        <f t="shared" si="111"/>
        <v>0</v>
      </c>
      <c r="X125" s="323">
        <f t="shared" si="111"/>
        <v>0</v>
      </c>
      <c r="Y125" s="324">
        <f t="shared" si="111"/>
        <v>0</v>
      </c>
      <c r="Z125" s="324">
        <f t="shared" si="111"/>
        <v>0</v>
      </c>
      <c r="AA125" s="324">
        <f t="shared" si="111"/>
        <v>0</v>
      </c>
      <c r="AB125" s="324">
        <f t="shared" si="111"/>
        <v>0</v>
      </c>
      <c r="AC125" s="324">
        <f t="shared" si="111"/>
        <v>0</v>
      </c>
      <c r="AD125" s="324">
        <f t="shared" si="111"/>
        <v>0</v>
      </c>
      <c r="AE125" s="324">
        <f t="shared" si="111"/>
        <v>0</v>
      </c>
      <c r="AF125" s="324">
        <f t="shared" si="111"/>
        <v>0</v>
      </c>
      <c r="AG125" s="327">
        <f t="shared" si="111"/>
        <v>0</v>
      </c>
      <c r="AH125" s="241">
        <f t="shared" si="111"/>
        <v>0</v>
      </c>
      <c r="AI125" s="43">
        <f t="shared" si="111"/>
        <v>0</v>
      </c>
      <c r="AJ125" s="43">
        <f t="shared" si="111"/>
        <v>0</v>
      </c>
      <c r="AK125" s="43">
        <f t="shared" si="111"/>
        <v>0</v>
      </c>
      <c r="AL125" s="43">
        <f t="shared" si="111"/>
        <v>0</v>
      </c>
      <c r="AM125" s="43">
        <f t="shared" si="111"/>
        <v>0</v>
      </c>
      <c r="AN125" s="43">
        <f t="shared" si="111"/>
        <v>0</v>
      </c>
      <c r="AO125" s="57">
        <f t="shared" si="111"/>
        <v>0</v>
      </c>
      <c r="AP125" s="281">
        <f t="shared" si="111"/>
        <v>0</v>
      </c>
      <c r="AQ125" s="43">
        <f t="shared" si="111"/>
        <v>0</v>
      </c>
      <c r="AR125" s="324">
        <f t="shared" si="111"/>
        <v>0</v>
      </c>
      <c r="AS125" s="289">
        <f t="shared" si="111"/>
        <v>0</v>
      </c>
      <c r="AT125" s="241">
        <f t="shared" ref="AT125:BK125" si="112">+AT55+AT19+AT90</f>
        <v>0</v>
      </c>
      <c r="AU125" s="43">
        <f t="shared" si="112"/>
        <v>0</v>
      </c>
      <c r="AV125" s="43">
        <f t="shared" si="112"/>
        <v>0</v>
      </c>
      <c r="AW125" s="43">
        <f t="shared" si="112"/>
        <v>0</v>
      </c>
      <c r="AX125" s="43">
        <f t="shared" si="112"/>
        <v>0</v>
      </c>
      <c r="AY125" s="57">
        <f t="shared" si="112"/>
        <v>0</v>
      </c>
      <c r="AZ125" s="331">
        <f t="shared" si="112"/>
        <v>0</v>
      </c>
      <c r="BA125" s="331">
        <f t="shared" si="112"/>
        <v>0</v>
      </c>
      <c r="BB125" s="331">
        <f t="shared" si="112"/>
        <v>0</v>
      </c>
      <c r="BC125" s="331">
        <f t="shared" si="112"/>
        <v>0</v>
      </c>
      <c r="BD125" s="331">
        <f t="shared" si="112"/>
        <v>0</v>
      </c>
      <c r="BE125" s="331">
        <f t="shared" si="112"/>
        <v>0</v>
      </c>
      <c r="BF125" s="331">
        <f t="shared" si="112"/>
        <v>0</v>
      </c>
      <c r="BG125" s="331">
        <f t="shared" si="112"/>
        <v>0</v>
      </c>
      <c r="BH125" s="331">
        <f t="shared" si="112"/>
        <v>0</v>
      </c>
      <c r="BI125" s="331">
        <f t="shared" si="112"/>
        <v>0</v>
      </c>
      <c r="BJ125" s="331">
        <f t="shared" si="112"/>
        <v>0</v>
      </c>
      <c r="BK125" s="331">
        <f t="shared" si="112"/>
        <v>0</v>
      </c>
      <c r="BL125" s="241">
        <f t="shared" ref="BJ125:BQ125" si="113">+BL55+BL19+BL90</f>
        <v>0</v>
      </c>
      <c r="BM125" s="43">
        <f t="shared" si="113"/>
        <v>0</v>
      </c>
      <c r="BN125" s="43">
        <f t="shared" si="113"/>
        <v>0</v>
      </c>
      <c r="BO125" s="43">
        <f t="shared" si="113"/>
        <v>0</v>
      </c>
      <c r="BP125" s="43">
        <f t="shared" si="113"/>
        <v>0</v>
      </c>
      <c r="BQ125" s="57">
        <f t="shared" si="113"/>
        <v>0</v>
      </c>
      <c r="BR125" s="333">
        <f>SUM(B125:BQ125)</f>
        <v>0</v>
      </c>
      <c r="BT125">
        <f>+BR125-BUS!DF130</f>
        <v>0</v>
      </c>
    </row>
    <row r="126" spans="1:72">
      <c r="A126" s="241">
        <v>17</v>
      </c>
      <c r="B126" s="281">
        <f t="shared" ref="B126:D126" si="114">+B91+B56+B20</f>
        <v>0</v>
      </c>
      <c r="C126" s="281">
        <f t="shared" si="114"/>
        <v>0</v>
      </c>
      <c r="D126" s="322">
        <f t="shared" si="114"/>
        <v>0</v>
      </c>
      <c r="E126" s="241">
        <f t="shared" ref="E126:BH126" si="115">+E56+E20+E91</f>
        <v>0</v>
      </c>
      <c r="F126" s="43">
        <f t="shared" si="115"/>
        <v>0</v>
      </c>
      <c r="G126" s="43">
        <f t="shared" si="115"/>
        <v>0</v>
      </c>
      <c r="H126" s="324">
        <f t="shared" si="115"/>
        <v>0</v>
      </c>
      <c r="I126" s="57">
        <f t="shared" si="115"/>
        <v>0</v>
      </c>
      <c r="J126" s="281">
        <f t="shared" si="115"/>
        <v>0</v>
      </c>
      <c r="K126" s="43">
        <f t="shared" si="115"/>
        <v>0</v>
      </c>
      <c r="L126" s="43">
        <f t="shared" si="115"/>
        <v>0</v>
      </c>
      <c r="M126" s="289">
        <f t="shared" si="115"/>
        <v>0</v>
      </c>
      <c r="N126" s="323">
        <f t="shared" si="115"/>
        <v>0</v>
      </c>
      <c r="O126" s="324">
        <f t="shared" si="115"/>
        <v>0</v>
      </c>
      <c r="P126" s="324">
        <f t="shared" si="115"/>
        <v>0</v>
      </c>
      <c r="Q126" s="324">
        <f t="shared" si="115"/>
        <v>0</v>
      </c>
      <c r="R126" s="329">
        <f t="shared" si="115"/>
        <v>0</v>
      </c>
      <c r="S126" s="323">
        <f t="shared" si="115"/>
        <v>0</v>
      </c>
      <c r="T126" s="324">
        <f t="shared" si="115"/>
        <v>0</v>
      </c>
      <c r="U126" s="324">
        <f t="shared" si="115"/>
        <v>0</v>
      </c>
      <c r="V126" s="324">
        <f t="shared" si="115"/>
        <v>0</v>
      </c>
      <c r="W126" s="327">
        <f t="shared" si="115"/>
        <v>0</v>
      </c>
      <c r="X126" s="323">
        <f t="shared" si="115"/>
        <v>0</v>
      </c>
      <c r="Y126" s="324">
        <f t="shared" si="115"/>
        <v>0</v>
      </c>
      <c r="Z126" s="324">
        <f t="shared" si="115"/>
        <v>0</v>
      </c>
      <c r="AA126" s="324">
        <f t="shared" si="115"/>
        <v>0</v>
      </c>
      <c r="AB126" s="324">
        <f t="shared" si="115"/>
        <v>0</v>
      </c>
      <c r="AC126" s="324">
        <f t="shared" si="115"/>
        <v>0</v>
      </c>
      <c r="AD126" s="324">
        <f t="shared" si="115"/>
        <v>0</v>
      </c>
      <c r="AE126" s="324">
        <f t="shared" si="115"/>
        <v>0</v>
      </c>
      <c r="AF126" s="324">
        <f t="shared" si="115"/>
        <v>0</v>
      </c>
      <c r="AG126" s="327">
        <f t="shared" si="115"/>
        <v>0</v>
      </c>
      <c r="AH126" s="241">
        <f t="shared" si="115"/>
        <v>0</v>
      </c>
      <c r="AI126" s="43">
        <f t="shared" si="115"/>
        <v>0</v>
      </c>
      <c r="AJ126" s="43">
        <f t="shared" si="115"/>
        <v>0</v>
      </c>
      <c r="AK126" s="43">
        <f t="shared" si="115"/>
        <v>0</v>
      </c>
      <c r="AL126" s="43">
        <f t="shared" si="115"/>
        <v>0</v>
      </c>
      <c r="AM126" s="43">
        <f t="shared" si="115"/>
        <v>0</v>
      </c>
      <c r="AN126" s="43">
        <f t="shared" si="115"/>
        <v>0</v>
      </c>
      <c r="AO126" s="57">
        <f t="shared" si="115"/>
        <v>0</v>
      </c>
      <c r="AP126" s="281">
        <f t="shared" si="115"/>
        <v>0</v>
      </c>
      <c r="AQ126" s="43">
        <f t="shared" si="115"/>
        <v>0</v>
      </c>
      <c r="AR126" s="324">
        <f t="shared" si="115"/>
        <v>0</v>
      </c>
      <c r="AS126" s="289">
        <f t="shared" si="115"/>
        <v>0</v>
      </c>
      <c r="AT126" s="241">
        <f t="shared" ref="AT126:BK126" si="116">+AT56+AT20+AT91</f>
        <v>0</v>
      </c>
      <c r="AU126" s="43">
        <f t="shared" si="116"/>
        <v>0</v>
      </c>
      <c r="AV126" s="43">
        <f t="shared" si="116"/>
        <v>0</v>
      </c>
      <c r="AW126" s="43">
        <f t="shared" si="116"/>
        <v>0</v>
      </c>
      <c r="AX126" s="43">
        <f t="shared" si="116"/>
        <v>0</v>
      </c>
      <c r="AY126" s="57">
        <f t="shared" si="116"/>
        <v>0</v>
      </c>
      <c r="AZ126" s="331">
        <f t="shared" si="116"/>
        <v>0</v>
      </c>
      <c r="BA126" s="331">
        <f t="shared" si="116"/>
        <v>0</v>
      </c>
      <c r="BB126" s="331">
        <f t="shared" si="116"/>
        <v>0</v>
      </c>
      <c r="BC126" s="331">
        <f t="shared" si="116"/>
        <v>0</v>
      </c>
      <c r="BD126" s="331">
        <f t="shared" si="116"/>
        <v>0</v>
      </c>
      <c r="BE126" s="331">
        <f t="shared" si="116"/>
        <v>0</v>
      </c>
      <c r="BF126" s="331">
        <f t="shared" si="116"/>
        <v>0</v>
      </c>
      <c r="BG126" s="331">
        <f t="shared" si="116"/>
        <v>0</v>
      </c>
      <c r="BH126" s="331">
        <f t="shared" si="116"/>
        <v>0</v>
      </c>
      <c r="BI126" s="331">
        <f t="shared" si="116"/>
        <v>0</v>
      </c>
      <c r="BJ126" s="331">
        <f t="shared" si="116"/>
        <v>0</v>
      </c>
      <c r="BK126" s="331">
        <f t="shared" si="116"/>
        <v>0</v>
      </c>
      <c r="BL126" s="241">
        <f t="shared" ref="BJ126:BQ126" si="117">+BL56+BL20+BL91</f>
        <v>0</v>
      </c>
      <c r="BM126" s="43">
        <f t="shared" si="117"/>
        <v>0</v>
      </c>
      <c r="BN126" s="43">
        <f t="shared" si="117"/>
        <v>0</v>
      </c>
      <c r="BO126" s="43">
        <f t="shared" si="117"/>
        <v>0</v>
      </c>
      <c r="BP126" s="43">
        <f t="shared" si="117"/>
        <v>0</v>
      </c>
      <c r="BQ126" s="57">
        <f t="shared" si="117"/>
        <v>0</v>
      </c>
      <c r="BR126" s="333">
        <f>SUM(B126:BQ126)</f>
        <v>0</v>
      </c>
      <c r="BT126">
        <f>+BR126-BUS!DF131</f>
        <v>0</v>
      </c>
    </row>
    <row r="127" spans="1:72">
      <c r="A127" s="241">
        <v>18</v>
      </c>
      <c r="B127" s="281">
        <f t="shared" ref="B127:D127" si="118">+B92+B57+B21</f>
        <v>0</v>
      </c>
      <c r="C127" s="281">
        <f t="shared" si="118"/>
        <v>0</v>
      </c>
      <c r="D127" s="322">
        <f t="shared" si="118"/>
        <v>0</v>
      </c>
      <c r="E127" s="241">
        <f t="shared" ref="E127:BH127" si="119">+E57+E21+E92</f>
        <v>0</v>
      </c>
      <c r="F127" s="43">
        <f t="shared" si="119"/>
        <v>0</v>
      </c>
      <c r="G127" s="43">
        <f t="shared" si="119"/>
        <v>0</v>
      </c>
      <c r="H127" s="324">
        <f t="shared" si="119"/>
        <v>0</v>
      </c>
      <c r="I127" s="57">
        <f t="shared" si="119"/>
        <v>0</v>
      </c>
      <c r="J127" s="281">
        <f t="shared" si="119"/>
        <v>0</v>
      </c>
      <c r="K127" s="43">
        <f t="shared" si="119"/>
        <v>0</v>
      </c>
      <c r="L127" s="43">
        <f t="shared" si="119"/>
        <v>0</v>
      </c>
      <c r="M127" s="289">
        <f t="shared" si="119"/>
        <v>0</v>
      </c>
      <c r="N127" s="323">
        <f t="shared" si="119"/>
        <v>0</v>
      </c>
      <c r="O127" s="324">
        <f t="shared" si="119"/>
        <v>0</v>
      </c>
      <c r="P127" s="324">
        <f t="shared" si="119"/>
        <v>0</v>
      </c>
      <c r="Q127" s="324">
        <f t="shared" si="119"/>
        <v>0</v>
      </c>
      <c r="R127" s="329">
        <f t="shared" si="119"/>
        <v>0</v>
      </c>
      <c r="S127" s="323">
        <f t="shared" si="119"/>
        <v>0</v>
      </c>
      <c r="T127" s="324">
        <f t="shared" si="119"/>
        <v>0</v>
      </c>
      <c r="U127" s="324">
        <f t="shared" si="119"/>
        <v>0</v>
      </c>
      <c r="V127" s="324">
        <f t="shared" si="119"/>
        <v>0</v>
      </c>
      <c r="W127" s="327">
        <f t="shared" si="119"/>
        <v>0</v>
      </c>
      <c r="X127" s="323">
        <f t="shared" si="119"/>
        <v>0</v>
      </c>
      <c r="Y127" s="324">
        <f t="shared" si="119"/>
        <v>0</v>
      </c>
      <c r="Z127" s="324">
        <f t="shared" si="119"/>
        <v>0</v>
      </c>
      <c r="AA127" s="324">
        <f t="shared" si="119"/>
        <v>0</v>
      </c>
      <c r="AB127" s="324">
        <f t="shared" si="119"/>
        <v>0</v>
      </c>
      <c r="AC127" s="324">
        <f t="shared" si="119"/>
        <v>0</v>
      </c>
      <c r="AD127" s="324">
        <f t="shared" si="119"/>
        <v>0</v>
      </c>
      <c r="AE127" s="324">
        <f t="shared" si="119"/>
        <v>0</v>
      </c>
      <c r="AF127" s="324">
        <f t="shared" si="119"/>
        <v>0</v>
      </c>
      <c r="AG127" s="327">
        <f t="shared" si="119"/>
        <v>0</v>
      </c>
      <c r="AH127" s="241">
        <f t="shared" si="119"/>
        <v>0</v>
      </c>
      <c r="AI127" s="43">
        <f t="shared" si="119"/>
        <v>0</v>
      </c>
      <c r="AJ127" s="43">
        <f t="shared" si="119"/>
        <v>0</v>
      </c>
      <c r="AK127" s="43">
        <f t="shared" si="119"/>
        <v>0</v>
      </c>
      <c r="AL127" s="43">
        <f t="shared" si="119"/>
        <v>0</v>
      </c>
      <c r="AM127" s="43">
        <f t="shared" si="119"/>
        <v>0</v>
      </c>
      <c r="AN127" s="43">
        <f t="shared" si="119"/>
        <v>0</v>
      </c>
      <c r="AO127" s="57">
        <f t="shared" si="119"/>
        <v>0</v>
      </c>
      <c r="AP127" s="281">
        <f t="shared" si="119"/>
        <v>0</v>
      </c>
      <c r="AQ127" s="43">
        <f t="shared" si="119"/>
        <v>0</v>
      </c>
      <c r="AR127" s="324">
        <f t="shared" si="119"/>
        <v>0</v>
      </c>
      <c r="AS127" s="289">
        <f t="shared" si="119"/>
        <v>0</v>
      </c>
      <c r="AT127" s="241">
        <f t="shared" ref="AT127:BK127" si="120">+AT57+AT21+AT92</f>
        <v>0</v>
      </c>
      <c r="AU127" s="43">
        <f t="shared" si="120"/>
        <v>0</v>
      </c>
      <c r="AV127" s="43">
        <f t="shared" si="120"/>
        <v>0</v>
      </c>
      <c r="AW127" s="43">
        <f t="shared" si="120"/>
        <v>0</v>
      </c>
      <c r="AX127" s="43">
        <f t="shared" si="120"/>
        <v>0</v>
      </c>
      <c r="AY127" s="57">
        <f t="shared" si="120"/>
        <v>0</v>
      </c>
      <c r="AZ127" s="331">
        <f t="shared" si="120"/>
        <v>0</v>
      </c>
      <c r="BA127" s="331">
        <f t="shared" si="120"/>
        <v>0</v>
      </c>
      <c r="BB127" s="331">
        <f t="shared" si="120"/>
        <v>0</v>
      </c>
      <c r="BC127" s="331">
        <f t="shared" si="120"/>
        <v>0</v>
      </c>
      <c r="BD127" s="331">
        <f t="shared" si="120"/>
        <v>0</v>
      </c>
      <c r="BE127" s="331">
        <f t="shared" si="120"/>
        <v>0</v>
      </c>
      <c r="BF127" s="331">
        <f t="shared" si="120"/>
        <v>0</v>
      </c>
      <c r="BG127" s="331">
        <f t="shared" si="120"/>
        <v>0</v>
      </c>
      <c r="BH127" s="331">
        <f t="shared" si="120"/>
        <v>0</v>
      </c>
      <c r="BI127" s="331">
        <f t="shared" si="120"/>
        <v>0</v>
      </c>
      <c r="BJ127" s="331">
        <f t="shared" si="120"/>
        <v>0</v>
      </c>
      <c r="BK127" s="331">
        <f t="shared" si="120"/>
        <v>0</v>
      </c>
      <c r="BL127" s="241">
        <f t="shared" ref="BJ127:BQ127" si="121">+BL57+BL21+BL92</f>
        <v>0</v>
      </c>
      <c r="BM127" s="43">
        <f t="shared" si="121"/>
        <v>0</v>
      </c>
      <c r="BN127" s="43">
        <f t="shared" si="121"/>
        <v>0</v>
      </c>
      <c r="BO127" s="43">
        <f t="shared" si="121"/>
        <v>0</v>
      </c>
      <c r="BP127" s="43">
        <f t="shared" si="121"/>
        <v>0</v>
      </c>
      <c r="BQ127" s="57">
        <f t="shared" si="121"/>
        <v>0</v>
      </c>
      <c r="BR127" s="333">
        <f>SUM(B127:BQ127)</f>
        <v>0</v>
      </c>
      <c r="BT127">
        <f>+BR127-BUS!DF132</f>
        <v>0</v>
      </c>
    </row>
    <row r="128" spans="1:72">
      <c r="A128" s="241">
        <v>19</v>
      </c>
      <c r="B128" s="281">
        <f t="shared" ref="B128:D128" si="122">+B93+B58+B22</f>
        <v>0</v>
      </c>
      <c r="C128" s="281">
        <f t="shared" si="122"/>
        <v>0</v>
      </c>
      <c r="D128" s="322">
        <f t="shared" si="122"/>
        <v>0</v>
      </c>
      <c r="E128" s="241">
        <f t="shared" ref="E128:BH128" si="123">+E58+E22+E93</f>
        <v>0</v>
      </c>
      <c r="F128" s="43">
        <f t="shared" si="123"/>
        <v>0</v>
      </c>
      <c r="G128" s="43">
        <f t="shared" si="123"/>
        <v>0</v>
      </c>
      <c r="H128" s="324">
        <f t="shared" si="123"/>
        <v>0</v>
      </c>
      <c r="I128" s="57">
        <f t="shared" si="123"/>
        <v>0</v>
      </c>
      <c r="J128" s="281">
        <f t="shared" si="123"/>
        <v>0</v>
      </c>
      <c r="K128" s="43">
        <f t="shared" si="123"/>
        <v>0</v>
      </c>
      <c r="L128" s="43">
        <f t="shared" si="123"/>
        <v>0</v>
      </c>
      <c r="M128" s="289">
        <f t="shared" si="123"/>
        <v>0</v>
      </c>
      <c r="N128" s="323">
        <f t="shared" si="123"/>
        <v>0</v>
      </c>
      <c r="O128" s="324">
        <f t="shared" si="123"/>
        <v>0</v>
      </c>
      <c r="P128" s="324">
        <f t="shared" si="123"/>
        <v>0</v>
      </c>
      <c r="Q128" s="324">
        <f t="shared" si="123"/>
        <v>0</v>
      </c>
      <c r="R128" s="329">
        <f t="shared" si="123"/>
        <v>0</v>
      </c>
      <c r="S128" s="323">
        <f t="shared" si="123"/>
        <v>0</v>
      </c>
      <c r="T128" s="324">
        <f t="shared" si="123"/>
        <v>0</v>
      </c>
      <c r="U128" s="324">
        <f t="shared" si="123"/>
        <v>0</v>
      </c>
      <c r="V128" s="324">
        <f t="shared" si="123"/>
        <v>0</v>
      </c>
      <c r="W128" s="327">
        <f t="shared" si="123"/>
        <v>0</v>
      </c>
      <c r="X128" s="323">
        <f t="shared" si="123"/>
        <v>0</v>
      </c>
      <c r="Y128" s="324">
        <f t="shared" si="123"/>
        <v>0</v>
      </c>
      <c r="Z128" s="324">
        <f t="shared" si="123"/>
        <v>0</v>
      </c>
      <c r="AA128" s="324">
        <f t="shared" si="123"/>
        <v>0</v>
      </c>
      <c r="AB128" s="324">
        <f t="shared" si="123"/>
        <v>0</v>
      </c>
      <c r="AC128" s="324">
        <f t="shared" si="123"/>
        <v>0</v>
      </c>
      <c r="AD128" s="324">
        <f t="shared" si="123"/>
        <v>0</v>
      </c>
      <c r="AE128" s="324">
        <f t="shared" si="123"/>
        <v>0</v>
      </c>
      <c r="AF128" s="324">
        <f t="shared" si="123"/>
        <v>0</v>
      </c>
      <c r="AG128" s="327">
        <f t="shared" si="123"/>
        <v>0</v>
      </c>
      <c r="AH128" s="241">
        <f t="shared" si="123"/>
        <v>0</v>
      </c>
      <c r="AI128" s="43">
        <f t="shared" si="123"/>
        <v>0</v>
      </c>
      <c r="AJ128" s="43">
        <f t="shared" si="123"/>
        <v>0</v>
      </c>
      <c r="AK128" s="43">
        <f t="shared" si="123"/>
        <v>0</v>
      </c>
      <c r="AL128" s="43">
        <f t="shared" si="123"/>
        <v>0</v>
      </c>
      <c r="AM128" s="43">
        <f t="shared" si="123"/>
        <v>0</v>
      </c>
      <c r="AN128" s="43">
        <f t="shared" si="123"/>
        <v>0</v>
      </c>
      <c r="AO128" s="57">
        <f t="shared" si="123"/>
        <v>0</v>
      </c>
      <c r="AP128" s="281">
        <f t="shared" si="123"/>
        <v>0</v>
      </c>
      <c r="AQ128" s="43">
        <f t="shared" si="123"/>
        <v>0</v>
      </c>
      <c r="AR128" s="324">
        <f t="shared" si="123"/>
        <v>0</v>
      </c>
      <c r="AS128" s="289">
        <f t="shared" si="123"/>
        <v>0</v>
      </c>
      <c r="AT128" s="241">
        <f t="shared" ref="AT128:BK128" si="124">+AT58+AT22+AT93</f>
        <v>0</v>
      </c>
      <c r="AU128" s="43">
        <f t="shared" si="124"/>
        <v>0</v>
      </c>
      <c r="AV128" s="43">
        <f t="shared" si="124"/>
        <v>0</v>
      </c>
      <c r="AW128" s="43">
        <f t="shared" si="124"/>
        <v>0</v>
      </c>
      <c r="AX128" s="43">
        <f t="shared" si="124"/>
        <v>0</v>
      </c>
      <c r="AY128" s="57">
        <f t="shared" si="124"/>
        <v>0</v>
      </c>
      <c r="AZ128" s="331">
        <f t="shared" si="124"/>
        <v>0</v>
      </c>
      <c r="BA128" s="331">
        <f t="shared" si="124"/>
        <v>0</v>
      </c>
      <c r="BB128" s="331">
        <f t="shared" si="124"/>
        <v>0</v>
      </c>
      <c r="BC128" s="331">
        <f t="shared" si="124"/>
        <v>0</v>
      </c>
      <c r="BD128" s="331">
        <f t="shared" si="124"/>
        <v>0</v>
      </c>
      <c r="BE128" s="331">
        <f t="shared" si="124"/>
        <v>0</v>
      </c>
      <c r="BF128" s="331">
        <f t="shared" si="124"/>
        <v>0</v>
      </c>
      <c r="BG128" s="331">
        <f t="shared" si="124"/>
        <v>0</v>
      </c>
      <c r="BH128" s="331">
        <f t="shared" si="124"/>
        <v>0</v>
      </c>
      <c r="BI128" s="331">
        <f t="shared" si="124"/>
        <v>0</v>
      </c>
      <c r="BJ128" s="331">
        <f t="shared" si="124"/>
        <v>0</v>
      </c>
      <c r="BK128" s="331">
        <f t="shared" si="124"/>
        <v>0</v>
      </c>
      <c r="BL128" s="241">
        <f t="shared" ref="BJ128:BQ128" si="125">+BL58+BL22+BL93</f>
        <v>0</v>
      </c>
      <c r="BM128" s="43">
        <f t="shared" si="125"/>
        <v>0</v>
      </c>
      <c r="BN128" s="43">
        <f t="shared" si="125"/>
        <v>0</v>
      </c>
      <c r="BO128" s="43">
        <f t="shared" si="125"/>
        <v>0</v>
      </c>
      <c r="BP128" s="43">
        <f t="shared" si="125"/>
        <v>0</v>
      </c>
      <c r="BQ128" s="57">
        <f t="shared" si="125"/>
        <v>0</v>
      </c>
      <c r="BR128" s="333">
        <f>SUM(B128:BQ128)</f>
        <v>0</v>
      </c>
      <c r="BT128">
        <f>+BR128-BUS!DF133</f>
        <v>0</v>
      </c>
    </row>
    <row r="129" spans="1:72">
      <c r="A129" s="241">
        <v>20</v>
      </c>
      <c r="B129" s="281">
        <f t="shared" ref="B129:D129" si="126">+B94+B59+B23</f>
        <v>0</v>
      </c>
      <c r="C129" s="281">
        <f t="shared" si="126"/>
        <v>0</v>
      </c>
      <c r="D129" s="322">
        <f t="shared" si="126"/>
        <v>0</v>
      </c>
      <c r="E129" s="241">
        <f t="shared" ref="E129:BH129" si="127">+E59+E23+E94</f>
        <v>0</v>
      </c>
      <c r="F129" s="43">
        <f t="shared" si="127"/>
        <v>0</v>
      </c>
      <c r="G129" s="43">
        <f t="shared" si="127"/>
        <v>0</v>
      </c>
      <c r="H129" s="324">
        <f t="shared" si="127"/>
        <v>0</v>
      </c>
      <c r="I129" s="57">
        <f t="shared" si="127"/>
        <v>0</v>
      </c>
      <c r="J129" s="281">
        <f t="shared" si="127"/>
        <v>0</v>
      </c>
      <c r="K129" s="43">
        <f t="shared" si="127"/>
        <v>0</v>
      </c>
      <c r="L129" s="43">
        <f t="shared" si="127"/>
        <v>0</v>
      </c>
      <c r="M129" s="289">
        <f t="shared" si="127"/>
        <v>0</v>
      </c>
      <c r="N129" s="323">
        <f t="shared" si="127"/>
        <v>0</v>
      </c>
      <c r="O129" s="324">
        <f t="shared" si="127"/>
        <v>0</v>
      </c>
      <c r="P129" s="324">
        <f t="shared" si="127"/>
        <v>0</v>
      </c>
      <c r="Q129" s="324">
        <f t="shared" si="127"/>
        <v>0</v>
      </c>
      <c r="R129" s="329">
        <f t="shared" si="127"/>
        <v>0</v>
      </c>
      <c r="S129" s="323">
        <f t="shared" si="127"/>
        <v>0</v>
      </c>
      <c r="T129" s="324">
        <f t="shared" si="127"/>
        <v>0</v>
      </c>
      <c r="U129" s="324">
        <f t="shared" si="127"/>
        <v>0</v>
      </c>
      <c r="V129" s="324">
        <f t="shared" si="127"/>
        <v>0</v>
      </c>
      <c r="W129" s="327">
        <f t="shared" si="127"/>
        <v>0</v>
      </c>
      <c r="X129" s="323">
        <f t="shared" si="127"/>
        <v>0</v>
      </c>
      <c r="Y129" s="324">
        <f t="shared" si="127"/>
        <v>0</v>
      </c>
      <c r="Z129" s="324">
        <f t="shared" si="127"/>
        <v>0</v>
      </c>
      <c r="AA129" s="324">
        <f t="shared" si="127"/>
        <v>0</v>
      </c>
      <c r="AB129" s="324">
        <f t="shared" si="127"/>
        <v>0</v>
      </c>
      <c r="AC129" s="324">
        <f t="shared" si="127"/>
        <v>0</v>
      </c>
      <c r="AD129" s="324">
        <f t="shared" si="127"/>
        <v>0</v>
      </c>
      <c r="AE129" s="324">
        <f t="shared" si="127"/>
        <v>0</v>
      </c>
      <c r="AF129" s="324">
        <f t="shared" si="127"/>
        <v>0</v>
      </c>
      <c r="AG129" s="327">
        <f t="shared" si="127"/>
        <v>0</v>
      </c>
      <c r="AH129" s="241">
        <f t="shared" si="127"/>
        <v>0</v>
      </c>
      <c r="AI129" s="43">
        <f t="shared" si="127"/>
        <v>0</v>
      </c>
      <c r="AJ129" s="43">
        <f t="shared" si="127"/>
        <v>0</v>
      </c>
      <c r="AK129" s="43">
        <f t="shared" si="127"/>
        <v>0</v>
      </c>
      <c r="AL129" s="43">
        <f t="shared" si="127"/>
        <v>0</v>
      </c>
      <c r="AM129" s="43">
        <f t="shared" si="127"/>
        <v>0</v>
      </c>
      <c r="AN129" s="43">
        <f t="shared" si="127"/>
        <v>0</v>
      </c>
      <c r="AO129" s="57">
        <f t="shared" si="127"/>
        <v>0</v>
      </c>
      <c r="AP129" s="281">
        <f t="shared" si="127"/>
        <v>0</v>
      </c>
      <c r="AQ129" s="43">
        <f t="shared" si="127"/>
        <v>0</v>
      </c>
      <c r="AR129" s="324">
        <f t="shared" si="127"/>
        <v>0</v>
      </c>
      <c r="AS129" s="289">
        <f t="shared" si="127"/>
        <v>0</v>
      </c>
      <c r="AT129" s="241">
        <f t="shared" ref="AT129:BK129" si="128">+AT59+AT23+AT94</f>
        <v>0</v>
      </c>
      <c r="AU129" s="43">
        <f t="shared" si="128"/>
        <v>0</v>
      </c>
      <c r="AV129" s="43">
        <f t="shared" si="128"/>
        <v>0</v>
      </c>
      <c r="AW129" s="43">
        <f t="shared" si="128"/>
        <v>0</v>
      </c>
      <c r="AX129" s="43">
        <f t="shared" si="128"/>
        <v>0</v>
      </c>
      <c r="AY129" s="57">
        <f t="shared" si="128"/>
        <v>0</v>
      </c>
      <c r="AZ129" s="331">
        <f t="shared" si="128"/>
        <v>0</v>
      </c>
      <c r="BA129" s="331">
        <f t="shared" si="128"/>
        <v>0</v>
      </c>
      <c r="BB129" s="331">
        <f t="shared" si="128"/>
        <v>0</v>
      </c>
      <c r="BC129" s="331">
        <f t="shared" si="128"/>
        <v>0</v>
      </c>
      <c r="BD129" s="331">
        <f t="shared" si="128"/>
        <v>0</v>
      </c>
      <c r="BE129" s="331">
        <f t="shared" si="128"/>
        <v>0</v>
      </c>
      <c r="BF129" s="331">
        <f t="shared" si="128"/>
        <v>0</v>
      </c>
      <c r="BG129" s="331">
        <f t="shared" si="128"/>
        <v>0</v>
      </c>
      <c r="BH129" s="331">
        <f t="shared" si="128"/>
        <v>0</v>
      </c>
      <c r="BI129" s="331">
        <f t="shared" si="128"/>
        <v>0</v>
      </c>
      <c r="BJ129" s="331">
        <f t="shared" si="128"/>
        <v>0</v>
      </c>
      <c r="BK129" s="331">
        <f t="shared" si="128"/>
        <v>0</v>
      </c>
      <c r="BL129" s="241">
        <f t="shared" ref="BJ129:BQ129" si="129">+BL59+BL23+BL94</f>
        <v>0</v>
      </c>
      <c r="BM129" s="43">
        <f t="shared" si="129"/>
        <v>0</v>
      </c>
      <c r="BN129" s="43">
        <f t="shared" si="129"/>
        <v>0</v>
      </c>
      <c r="BO129" s="43">
        <f t="shared" si="129"/>
        <v>0</v>
      </c>
      <c r="BP129" s="43">
        <f t="shared" si="129"/>
        <v>0</v>
      </c>
      <c r="BQ129" s="57">
        <f t="shared" si="129"/>
        <v>0</v>
      </c>
      <c r="BR129" s="333">
        <f>SUM(B129:BQ129)</f>
        <v>0</v>
      </c>
      <c r="BT129">
        <f>+BR129-BUS!DF134</f>
        <v>0</v>
      </c>
    </row>
    <row r="130" spans="1:72">
      <c r="A130" s="241">
        <v>21</v>
      </c>
      <c r="B130" s="281">
        <f t="shared" ref="B130:D130" si="130">+B95+B60+B24</f>
        <v>0</v>
      </c>
      <c r="C130" s="281">
        <f t="shared" si="130"/>
        <v>0</v>
      </c>
      <c r="D130" s="322">
        <f t="shared" si="130"/>
        <v>0</v>
      </c>
      <c r="E130" s="241">
        <f t="shared" ref="E130:BH130" si="131">+E60+E24+E95</f>
        <v>0</v>
      </c>
      <c r="F130" s="43">
        <f t="shared" si="131"/>
        <v>0</v>
      </c>
      <c r="G130" s="43">
        <f t="shared" si="131"/>
        <v>0</v>
      </c>
      <c r="H130" s="324">
        <f t="shared" si="131"/>
        <v>0</v>
      </c>
      <c r="I130" s="57">
        <f t="shared" si="131"/>
        <v>0</v>
      </c>
      <c r="J130" s="281">
        <f t="shared" si="131"/>
        <v>0</v>
      </c>
      <c r="K130" s="43">
        <f t="shared" si="131"/>
        <v>0</v>
      </c>
      <c r="L130" s="43">
        <f t="shared" si="131"/>
        <v>0</v>
      </c>
      <c r="M130" s="289">
        <f t="shared" si="131"/>
        <v>0</v>
      </c>
      <c r="N130" s="323">
        <f t="shared" si="131"/>
        <v>0</v>
      </c>
      <c r="O130" s="324">
        <f t="shared" si="131"/>
        <v>0</v>
      </c>
      <c r="P130" s="324">
        <f t="shared" si="131"/>
        <v>0</v>
      </c>
      <c r="Q130" s="324">
        <f t="shared" si="131"/>
        <v>0</v>
      </c>
      <c r="R130" s="329">
        <f t="shared" si="131"/>
        <v>0</v>
      </c>
      <c r="S130" s="323">
        <f t="shared" si="131"/>
        <v>0</v>
      </c>
      <c r="T130" s="324">
        <f t="shared" si="131"/>
        <v>0</v>
      </c>
      <c r="U130" s="324">
        <f t="shared" si="131"/>
        <v>0</v>
      </c>
      <c r="V130" s="324">
        <f t="shared" si="131"/>
        <v>0</v>
      </c>
      <c r="W130" s="327">
        <f t="shared" si="131"/>
        <v>0</v>
      </c>
      <c r="X130" s="323">
        <f t="shared" si="131"/>
        <v>0</v>
      </c>
      <c r="Y130" s="324">
        <f t="shared" si="131"/>
        <v>0</v>
      </c>
      <c r="Z130" s="324">
        <f t="shared" si="131"/>
        <v>0</v>
      </c>
      <c r="AA130" s="324">
        <f t="shared" si="131"/>
        <v>0</v>
      </c>
      <c r="AB130" s="324">
        <f t="shared" si="131"/>
        <v>0</v>
      </c>
      <c r="AC130" s="324">
        <f t="shared" si="131"/>
        <v>0</v>
      </c>
      <c r="AD130" s="324">
        <f t="shared" si="131"/>
        <v>0</v>
      </c>
      <c r="AE130" s="324">
        <f t="shared" si="131"/>
        <v>0</v>
      </c>
      <c r="AF130" s="324">
        <f t="shared" si="131"/>
        <v>0</v>
      </c>
      <c r="AG130" s="327">
        <f t="shared" si="131"/>
        <v>0</v>
      </c>
      <c r="AH130" s="241">
        <f t="shared" si="131"/>
        <v>0</v>
      </c>
      <c r="AI130" s="43">
        <f t="shared" si="131"/>
        <v>0</v>
      </c>
      <c r="AJ130" s="43">
        <f t="shared" si="131"/>
        <v>0</v>
      </c>
      <c r="AK130" s="43">
        <f t="shared" si="131"/>
        <v>0</v>
      </c>
      <c r="AL130" s="43">
        <f t="shared" si="131"/>
        <v>0</v>
      </c>
      <c r="AM130" s="43">
        <f t="shared" si="131"/>
        <v>0</v>
      </c>
      <c r="AN130" s="43">
        <f t="shared" si="131"/>
        <v>0</v>
      </c>
      <c r="AO130" s="57">
        <f t="shared" si="131"/>
        <v>0</v>
      </c>
      <c r="AP130" s="281">
        <f t="shared" si="131"/>
        <v>0</v>
      </c>
      <c r="AQ130" s="43">
        <f t="shared" si="131"/>
        <v>0</v>
      </c>
      <c r="AR130" s="324">
        <f t="shared" si="131"/>
        <v>0</v>
      </c>
      <c r="AS130" s="289">
        <f t="shared" si="131"/>
        <v>0</v>
      </c>
      <c r="AT130" s="241">
        <f t="shared" ref="AT130:BK130" si="132">+AT60+AT24+AT95</f>
        <v>0</v>
      </c>
      <c r="AU130" s="43">
        <f t="shared" si="132"/>
        <v>0</v>
      </c>
      <c r="AV130" s="43">
        <f t="shared" si="132"/>
        <v>0</v>
      </c>
      <c r="AW130" s="43">
        <f t="shared" si="132"/>
        <v>0</v>
      </c>
      <c r="AX130" s="43">
        <f t="shared" si="132"/>
        <v>0</v>
      </c>
      <c r="AY130" s="57">
        <f t="shared" si="132"/>
        <v>0</v>
      </c>
      <c r="AZ130" s="331">
        <f t="shared" si="132"/>
        <v>0</v>
      </c>
      <c r="BA130" s="331">
        <f t="shared" si="132"/>
        <v>0</v>
      </c>
      <c r="BB130" s="331">
        <f t="shared" si="132"/>
        <v>0</v>
      </c>
      <c r="BC130" s="331">
        <f t="shared" si="132"/>
        <v>0</v>
      </c>
      <c r="BD130" s="331">
        <f t="shared" si="132"/>
        <v>0</v>
      </c>
      <c r="BE130" s="331">
        <f t="shared" si="132"/>
        <v>0</v>
      </c>
      <c r="BF130" s="331">
        <f t="shared" si="132"/>
        <v>0</v>
      </c>
      <c r="BG130" s="331">
        <f t="shared" si="132"/>
        <v>0</v>
      </c>
      <c r="BH130" s="331">
        <f t="shared" si="132"/>
        <v>0</v>
      </c>
      <c r="BI130" s="331">
        <f t="shared" si="132"/>
        <v>0</v>
      </c>
      <c r="BJ130" s="331">
        <f t="shared" si="132"/>
        <v>0</v>
      </c>
      <c r="BK130" s="331">
        <f t="shared" si="132"/>
        <v>0</v>
      </c>
      <c r="BL130" s="241">
        <f t="shared" ref="BJ130:BQ130" si="133">+BL60+BL24+BL95</f>
        <v>0</v>
      </c>
      <c r="BM130" s="43">
        <f t="shared" si="133"/>
        <v>0</v>
      </c>
      <c r="BN130" s="43">
        <f t="shared" si="133"/>
        <v>0</v>
      </c>
      <c r="BO130" s="43">
        <f t="shared" si="133"/>
        <v>0</v>
      </c>
      <c r="BP130" s="43">
        <f t="shared" si="133"/>
        <v>0</v>
      </c>
      <c r="BQ130" s="57">
        <f t="shared" si="133"/>
        <v>0</v>
      </c>
      <c r="BR130" s="333">
        <f>SUM(B130:BQ130)</f>
        <v>0</v>
      </c>
      <c r="BT130">
        <f>+BR130-BUS!DF135</f>
        <v>0</v>
      </c>
    </row>
    <row r="131" spans="1:72">
      <c r="A131" s="241">
        <v>22</v>
      </c>
      <c r="B131" s="281">
        <f t="shared" ref="B131:D131" si="134">+B96+B61+B25</f>
        <v>0</v>
      </c>
      <c r="C131" s="281">
        <f t="shared" si="134"/>
        <v>0</v>
      </c>
      <c r="D131" s="322">
        <f t="shared" si="134"/>
        <v>0</v>
      </c>
      <c r="E131" s="241">
        <f t="shared" ref="E131:BH131" si="135">+E61+E25+E96</f>
        <v>0</v>
      </c>
      <c r="F131" s="43">
        <f t="shared" si="135"/>
        <v>0</v>
      </c>
      <c r="G131" s="43">
        <f t="shared" si="135"/>
        <v>0</v>
      </c>
      <c r="H131" s="324">
        <f t="shared" si="135"/>
        <v>0</v>
      </c>
      <c r="I131" s="57">
        <f t="shared" si="135"/>
        <v>0</v>
      </c>
      <c r="J131" s="281">
        <f t="shared" si="135"/>
        <v>0</v>
      </c>
      <c r="K131" s="43">
        <f t="shared" si="135"/>
        <v>0</v>
      </c>
      <c r="L131" s="43">
        <f t="shared" si="135"/>
        <v>0</v>
      </c>
      <c r="M131" s="289">
        <f t="shared" si="135"/>
        <v>0</v>
      </c>
      <c r="N131" s="323">
        <f t="shared" si="135"/>
        <v>0</v>
      </c>
      <c r="O131" s="324">
        <f t="shared" si="135"/>
        <v>0</v>
      </c>
      <c r="P131" s="324">
        <f t="shared" si="135"/>
        <v>0</v>
      </c>
      <c r="Q131" s="324">
        <f t="shared" si="135"/>
        <v>0</v>
      </c>
      <c r="R131" s="329">
        <f t="shared" si="135"/>
        <v>0</v>
      </c>
      <c r="S131" s="323">
        <f t="shared" si="135"/>
        <v>0</v>
      </c>
      <c r="T131" s="324">
        <f t="shared" si="135"/>
        <v>0</v>
      </c>
      <c r="U131" s="324">
        <f t="shared" si="135"/>
        <v>0</v>
      </c>
      <c r="V131" s="324">
        <f t="shared" si="135"/>
        <v>0</v>
      </c>
      <c r="W131" s="327">
        <f t="shared" si="135"/>
        <v>0</v>
      </c>
      <c r="X131" s="323">
        <f t="shared" si="135"/>
        <v>0</v>
      </c>
      <c r="Y131" s="324">
        <f t="shared" si="135"/>
        <v>0</v>
      </c>
      <c r="Z131" s="324">
        <f t="shared" si="135"/>
        <v>0</v>
      </c>
      <c r="AA131" s="324">
        <f t="shared" si="135"/>
        <v>0</v>
      </c>
      <c r="AB131" s="324">
        <f t="shared" si="135"/>
        <v>0</v>
      </c>
      <c r="AC131" s="324">
        <f t="shared" si="135"/>
        <v>0</v>
      </c>
      <c r="AD131" s="324">
        <f t="shared" si="135"/>
        <v>0</v>
      </c>
      <c r="AE131" s="324">
        <f t="shared" si="135"/>
        <v>0</v>
      </c>
      <c r="AF131" s="324">
        <f t="shared" si="135"/>
        <v>0</v>
      </c>
      <c r="AG131" s="327">
        <f t="shared" si="135"/>
        <v>0</v>
      </c>
      <c r="AH131" s="241">
        <f t="shared" si="135"/>
        <v>0</v>
      </c>
      <c r="AI131" s="43">
        <f t="shared" si="135"/>
        <v>0</v>
      </c>
      <c r="AJ131" s="43">
        <f t="shared" si="135"/>
        <v>0</v>
      </c>
      <c r="AK131" s="43">
        <f t="shared" si="135"/>
        <v>0</v>
      </c>
      <c r="AL131" s="43">
        <f t="shared" si="135"/>
        <v>0</v>
      </c>
      <c r="AM131" s="43">
        <f t="shared" si="135"/>
        <v>0</v>
      </c>
      <c r="AN131" s="43">
        <f t="shared" si="135"/>
        <v>0</v>
      </c>
      <c r="AO131" s="57">
        <f t="shared" si="135"/>
        <v>0</v>
      </c>
      <c r="AP131" s="281">
        <f t="shared" si="135"/>
        <v>0</v>
      </c>
      <c r="AQ131" s="43">
        <f t="shared" si="135"/>
        <v>0</v>
      </c>
      <c r="AR131" s="324">
        <f t="shared" si="135"/>
        <v>0</v>
      </c>
      <c r="AS131" s="289">
        <f t="shared" si="135"/>
        <v>0</v>
      </c>
      <c r="AT131" s="241">
        <f t="shared" ref="AT131:BK131" si="136">+AT61+AT25+AT96</f>
        <v>0</v>
      </c>
      <c r="AU131" s="43">
        <f t="shared" si="136"/>
        <v>0</v>
      </c>
      <c r="AV131" s="43">
        <f t="shared" si="136"/>
        <v>0</v>
      </c>
      <c r="AW131" s="43">
        <f t="shared" si="136"/>
        <v>0</v>
      </c>
      <c r="AX131" s="43">
        <f t="shared" si="136"/>
        <v>0</v>
      </c>
      <c r="AY131" s="57">
        <f t="shared" si="136"/>
        <v>0</v>
      </c>
      <c r="AZ131" s="331">
        <f t="shared" si="136"/>
        <v>0</v>
      </c>
      <c r="BA131" s="331">
        <f t="shared" si="136"/>
        <v>0</v>
      </c>
      <c r="BB131" s="331">
        <f t="shared" si="136"/>
        <v>0</v>
      </c>
      <c r="BC131" s="331">
        <f t="shared" si="136"/>
        <v>0</v>
      </c>
      <c r="BD131" s="331">
        <f t="shared" si="136"/>
        <v>0</v>
      </c>
      <c r="BE131" s="331">
        <f t="shared" si="136"/>
        <v>0</v>
      </c>
      <c r="BF131" s="331">
        <f t="shared" si="136"/>
        <v>0</v>
      </c>
      <c r="BG131" s="331">
        <f t="shared" si="136"/>
        <v>0</v>
      </c>
      <c r="BH131" s="331">
        <f t="shared" si="136"/>
        <v>0</v>
      </c>
      <c r="BI131" s="331">
        <f t="shared" si="136"/>
        <v>0</v>
      </c>
      <c r="BJ131" s="331">
        <f t="shared" si="136"/>
        <v>0</v>
      </c>
      <c r="BK131" s="331">
        <f t="shared" si="136"/>
        <v>0</v>
      </c>
      <c r="BL131" s="241">
        <f t="shared" ref="BJ131:BQ131" si="137">+BL61+BL25+BL96</f>
        <v>0</v>
      </c>
      <c r="BM131" s="43">
        <f t="shared" si="137"/>
        <v>0</v>
      </c>
      <c r="BN131" s="43">
        <f t="shared" si="137"/>
        <v>0</v>
      </c>
      <c r="BO131" s="43">
        <f t="shared" si="137"/>
        <v>0</v>
      </c>
      <c r="BP131" s="43">
        <f t="shared" si="137"/>
        <v>0</v>
      </c>
      <c r="BQ131" s="57">
        <f t="shared" si="137"/>
        <v>0</v>
      </c>
      <c r="BR131" s="333">
        <f>SUM(B131:BQ131)</f>
        <v>0</v>
      </c>
      <c r="BT131">
        <f>+BR131-BUS!DF136</f>
        <v>0</v>
      </c>
    </row>
    <row r="132" spans="1:72">
      <c r="A132" s="241">
        <v>23</v>
      </c>
      <c r="B132" s="281">
        <f t="shared" ref="B132:D132" si="138">+B97+B62+B26</f>
        <v>0</v>
      </c>
      <c r="C132" s="281">
        <f t="shared" si="138"/>
        <v>0</v>
      </c>
      <c r="D132" s="322">
        <f t="shared" si="138"/>
        <v>0</v>
      </c>
      <c r="E132" s="241">
        <f t="shared" ref="E132:BH132" si="139">+E62+E26+E97</f>
        <v>0</v>
      </c>
      <c r="F132" s="43">
        <f t="shared" si="139"/>
        <v>0</v>
      </c>
      <c r="G132" s="43">
        <f t="shared" si="139"/>
        <v>0</v>
      </c>
      <c r="H132" s="324">
        <f t="shared" si="139"/>
        <v>0</v>
      </c>
      <c r="I132" s="57">
        <f t="shared" si="139"/>
        <v>0</v>
      </c>
      <c r="J132" s="281">
        <f t="shared" si="139"/>
        <v>0</v>
      </c>
      <c r="K132" s="43">
        <f t="shared" si="139"/>
        <v>0</v>
      </c>
      <c r="L132" s="43">
        <f t="shared" si="139"/>
        <v>0</v>
      </c>
      <c r="M132" s="289">
        <f t="shared" si="139"/>
        <v>0</v>
      </c>
      <c r="N132" s="323">
        <f t="shared" si="139"/>
        <v>0</v>
      </c>
      <c r="O132" s="324">
        <f t="shared" si="139"/>
        <v>0</v>
      </c>
      <c r="P132" s="324">
        <f t="shared" si="139"/>
        <v>0</v>
      </c>
      <c r="Q132" s="324">
        <f t="shared" si="139"/>
        <v>0</v>
      </c>
      <c r="R132" s="329">
        <f t="shared" si="139"/>
        <v>0</v>
      </c>
      <c r="S132" s="323">
        <f t="shared" si="139"/>
        <v>0</v>
      </c>
      <c r="T132" s="324">
        <f t="shared" si="139"/>
        <v>0</v>
      </c>
      <c r="U132" s="324">
        <f t="shared" si="139"/>
        <v>0</v>
      </c>
      <c r="V132" s="324">
        <f t="shared" si="139"/>
        <v>0</v>
      </c>
      <c r="W132" s="327">
        <f t="shared" si="139"/>
        <v>0</v>
      </c>
      <c r="X132" s="323">
        <f t="shared" si="139"/>
        <v>0</v>
      </c>
      <c r="Y132" s="324">
        <f t="shared" si="139"/>
        <v>0</v>
      </c>
      <c r="Z132" s="324">
        <f t="shared" si="139"/>
        <v>0</v>
      </c>
      <c r="AA132" s="324">
        <f t="shared" si="139"/>
        <v>0</v>
      </c>
      <c r="AB132" s="324">
        <f t="shared" si="139"/>
        <v>0</v>
      </c>
      <c r="AC132" s="324">
        <f t="shared" si="139"/>
        <v>0</v>
      </c>
      <c r="AD132" s="324">
        <f t="shared" si="139"/>
        <v>0</v>
      </c>
      <c r="AE132" s="324">
        <f t="shared" si="139"/>
        <v>0</v>
      </c>
      <c r="AF132" s="324">
        <f t="shared" si="139"/>
        <v>0</v>
      </c>
      <c r="AG132" s="327">
        <f t="shared" si="139"/>
        <v>0</v>
      </c>
      <c r="AH132" s="241">
        <f t="shared" si="139"/>
        <v>0</v>
      </c>
      <c r="AI132" s="43">
        <f t="shared" si="139"/>
        <v>0</v>
      </c>
      <c r="AJ132" s="43">
        <f t="shared" si="139"/>
        <v>0</v>
      </c>
      <c r="AK132" s="43">
        <f t="shared" si="139"/>
        <v>0</v>
      </c>
      <c r="AL132" s="43">
        <f t="shared" si="139"/>
        <v>0</v>
      </c>
      <c r="AM132" s="43">
        <f t="shared" si="139"/>
        <v>0</v>
      </c>
      <c r="AN132" s="43">
        <f t="shared" si="139"/>
        <v>0</v>
      </c>
      <c r="AO132" s="57">
        <f t="shared" si="139"/>
        <v>0</v>
      </c>
      <c r="AP132" s="281">
        <f t="shared" si="139"/>
        <v>0</v>
      </c>
      <c r="AQ132" s="43">
        <f t="shared" si="139"/>
        <v>0</v>
      </c>
      <c r="AR132" s="324">
        <f t="shared" si="139"/>
        <v>0</v>
      </c>
      <c r="AS132" s="289">
        <f t="shared" si="139"/>
        <v>0</v>
      </c>
      <c r="AT132" s="241">
        <f t="shared" ref="AT132:BK132" si="140">+AT62+AT26+AT97</f>
        <v>0</v>
      </c>
      <c r="AU132" s="43">
        <f t="shared" si="140"/>
        <v>0</v>
      </c>
      <c r="AV132" s="43">
        <f t="shared" si="140"/>
        <v>0</v>
      </c>
      <c r="AW132" s="43">
        <f t="shared" si="140"/>
        <v>0</v>
      </c>
      <c r="AX132" s="43">
        <f t="shared" si="140"/>
        <v>0</v>
      </c>
      <c r="AY132" s="57">
        <f t="shared" si="140"/>
        <v>0</v>
      </c>
      <c r="AZ132" s="331">
        <f t="shared" si="140"/>
        <v>0</v>
      </c>
      <c r="BA132" s="331">
        <f t="shared" si="140"/>
        <v>0</v>
      </c>
      <c r="BB132" s="331">
        <f t="shared" si="140"/>
        <v>0</v>
      </c>
      <c r="BC132" s="331">
        <f t="shared" si="140"/>
        <v>0</v>
      </c>
      <c r="BD132" s="331">
        <f t="shared" si="140"/>
        <v>0</v>
      </c>
      <c r="BE132" s="331">
        <f t="shared" si="140"/>
        <v>0</v>
      </c>
      <c r="BF132" s="331">
        <f t="shared" si="140"/>
        <v>0</v>
      </c>
      <c r="BG132" s="331">
        <f t="shared" si="140"/>
        <v>0</v>
      </c>
      <c r="BH132" s="331">
        <f t="shared" si="140"/>
        <v>0</v>
      </c>
      <c r="BI132" s="331">
        <f t="shared" si="140"/>
        <v>0</v>
      </c>
      <c r="BJ132" s="331">
        <f t="shared" si="140"/>
        <v>0</v>
      </c>
      <c r="BK132" s="331">
        <f t="shared" si="140"/>
        <v>0</v>
      </c>
      <c r="BL132" s="241">
        <f t="shared" ref="BJ132:BQ132" si="141">+BL62+BL26+BL97</f>
        <v>0</v>
      </c>
      <c r="BM132" s="43">
        <f t="shared" si="141"/>
        <v>0</v>
      </c>
      <c r="BN132" s="43">
        <f t="shared" si="141"/>
        <v>0</v>
      </c>
      <c r="BO132" s="43">
        <f t="shared" si="141"/>
        <v>0</v>
      </c>
      <c r="BP132" s="43">
        <f t="shared" si="141"/>
        <v>0</v>
      </c>
      <c r="BQ132" s="57">
        <f t="shared" si="141"/>
        <v>0</v>
      </c>
      <c r="BR132" s="333">
        <f>SUM(B132:BQ132)</f>
        <v>0</v>
      </c>
      <c r="BT132">
        <f>+BR132-BUS!DF137</f>
        <v>0</v>
      </c>
    </row>
    <row r="133" spans="1:72">
      <c r="A133" s="241">
        <v>24</v>
      </c>
      <c r="B133" s="281">
        <f t="shared" ref="B133:D133" si="142">+B98+B63+B27</f>
        <v>0</v>
      </c>
      <c r="C133" s="281">
        <f t="shared" si="142"/>
        <v>0</v>
      </c>
      <c r="D133" s="322">
        <f t="shared" si="142"/>
        <v>0</v>
      </c>
      <c r="E133" s="241">
        <f t="shared" ref="E133:BH133" si="143">+E63+E27+E98</f>
        <v>0</v>
      </c>
      <c r="F133" s="43">
        <f t="shared" si="143"/>
        <v>0</v>
      </c>
      <c r="G133" s="43">
        <f t="shared" si="143"/>
        <v>0</v>
      </c>
      <c r="H133" s="324">
        <f t="shared" si="143"/>
        <v>0</v>
      </c>
      <c r="I133" s="57">
        <f t="shared" si="143"/>
        <v>0</v>
      </c>
      <c r="J133" s="281">
        <f t="shared" si="143"/>
        <v>0</v>
      </c>
      <c r="K133" s="43">
        <f t="shared" si="143"/>
        <v>0</v>
      </c>
      <c r="L133" s="43">
        <f t="shared" si="143"/>
        <v>0</v>
      </c>
      <c r="M133" s="289">
        <f t="shared" si="143"/>
        <v>0</v>
      </c>
      <c r="N133" s="323">
        <f t="shared" si="143"/>
        <v>0</v>
      </c>
      <c r="O133" s="324">
        <f t="shared" si="143"/>
        <v>0</v>
      </c>
      <c r="P133" s="324">
        <f t="shared" si="143"/>
        <v>0</v>
      </c>
      <c r="Q133" s="324">
        <f t="shared" si="143"/>
        <v>0</v>
      </c>
      <c r="R133" s="329">
        <f t="shared" si="143"/>
        <v>0</v>
      </c>
      <c r="S133" s="323">
        <f t="shared" si="143"/>
        <v>0</v>
      </c>
      <c r="T133" s="324">
        <f t="shared" si="143"/>
        <v>0</v>
      </c>
      <c r="U133" s="324">
        <f t="shared" si="143"/>
        <v>0</v>
      </c>
      <c r="V133" s="324">
        <f t="shared" si="143"/>
        <v>0</v>
      </c>
      <c r="W133" s="327">
        <f t="shared" si="143"/>
        <v>0</v>
      </c>
      <c r="X133" s="323">
        <f t="shared" si="143"/>
        <v>0</v>
      </c>
      <c r="Y133" s="324">
        <f t="shared" si="143"/>
        <v>0</v>
      </c>
      <c r="Z133" s="324">
        <f t="shared" si="143"/>
        <v>0</v>
      </c>
      <c r="AA133" s="324">
        <f t="shared" si="143"/>
        <v>0</v>
      </c>
      <c r="AB133" s="324">
        <f t="shared" si="143"/>
        <v>0</v>
      </c>
      <c r="AC133" s="324">
        <f t="shared" si="143"/>
        <v>0</v>
      </c>
      <c r="AD133" s="324">
        <f t="shared" si="143"/>
        <v>0</v>
      </c>
      <c r="AE133" s="324">
        <f t="shared" si="143"/>
        <v>0</v>
      </c>
      <c r="AF133" s="324">
        <f t="shared" si="143"/>
        <v>0</v>
      </c>
      <c r="AG133" s="327">
        <f t="shared" si="143"/>
        <v>0</v>
      </c>
      <c r="AH133" s="241">
        <f t="shared" si="143"/>
        <v>0</v>
      </c>
      <c r="AI133" s="43">
        <f t="shared" si="143"/>
        <v>0</v>
      </c>
      <c r="AJ133" s="43">
        <f t="shared" si="143"/>
        <v>0</v>
      </c>
      <c r="AK133" s="43">
        <f t="shared" si="143"/>
        <v>0</v>
      </c>
      <c r="AL133" s="43">
        <f t="shared" si="143"/>
        <v>0</v>
      </c>
      <c r="AM133" s="43">
        <f t="shared" si="143"/>
        <v>0</v>
      </c>
      <c r="AN133" s="43">
        <f t="shared" si="143"/>
        <v>0</v>
      </c>
      <c r="AO133" s="57">
        <f t="shared" si="143"/>
        <v>0</v>
      </c>
      <c r="AP133" s="281">
        <f t="shared" si="143"/>
        <v>0</v>
      </c>
      <c r="AQ133" s="43">
        <f t="shared" si="143"/>
        <v>0</v>
      </c>
      <c r="AR133" s="324">
        <f t="shared" si="143"/>
        <v>0</v>
      </c>
      <c r="AS133" s="289">
        <f t="shared" si="143"/>
        <v>0</v>
      </c>
      <c r="AT133" s="241">
        <f t="shared" ref="AT133:BK133" si="144">+AT63+AT27+AT98</f>
        <v>0</v>
      </c>
      <c r="AU133" s="43">
        <f t="shared" si="144"/>
        <v>0</v>
      </c>
      <c r="AV133" s="43">
        <f t="shared" si="144"/>
        <v>0</v>
      </c>
      <c r="AW133" s="43">
        <f t="shared" si="144"/>
        <v>0</v>
      </c>
      <c r="AX133" s="43">
        <f t="shared" si="144"/>
        <v>0</v>
      </c>
      <c r="AY133" s="57">
        <f t="shared" si="144"/>
        <v>0</v>
      </c>
      <c r="AZ133" s="331">
        <f t="shared" si="144"/>
        <v>0</v>
      </c>
      <c r="BA133" s="331">
        <f t="shared" si="144"/>
        <v>0</v>
      </c>
      <c r="BB133" s="331">
        <f t="shared" si="144"/>
        <v>0</v>
      </c>
      <c r="BC133" s="331">
        <f t="shared" si="144"/>
        <v>0</v>
      </c>
      <c r="BD133" s="331">
        <f t="shared" si="144"/>
        <v>0</v>
      </c>
      <c r="BE133" s="331">
        <f t="shared" si="144"/>
        <v>0</v>
      </c>
      <c r="BF133" s="331">
        <f t="shared" si="144"/>
        <v>0</v>
      </c>
      <c r="BG133" s="331">
        <f t="shared" si="144"/>
        <v>0</v>
      </c>
      <c r="BH133" s="331">
        <f t="shared" si="144"/>
        <v>0</v>
      </c>
      <c r="BI133" s="331">
        <f t="shared" si="144"/>
        <v>0</v>
      </c>
      <c r="BJ133" s="331">
        <f t="shared" si="144"/>
        <v>0</v>
      </c>
      <c r="BK133" s="331">
        <f t="shared" si="144"/>
        <v>0</v>
      </c>
      <c r="BL133" s="241">
        <f t="shared" ref="BJ133:BQ133" si="145">+BL63+BL27+BL98</f>
        <v>0</v>
      </c>
      <c r="BM133" s="43">
        <f t="shared" si="145"/>
        <v>0</v>
      </c>
      <c r="BN133" s="43">
        <f t="shared" si="145"/>
        <v>0</v>
      </c>
      <c r="BO133" s="43">
        <f t="shared" si="145"/>
        <v>0</v>
      </c>
      <c r="BP133" s="43">
        <f t="shared" si="145"/>
        <v>0</v>
      </c>
      <c r="BQ133" s="57">
        <f t="shared" si="145"/>
        <v>0</v>
      </c>
      <c r="BR133" s="333">
        <f>SUM(B133:BQ133)</f>
        <v>0</v>
      </c>
      <c r="BT133">
        <f>+BR133-BUS!DF138</f>
        <v>0</v>
      </c>
    </row>
    <row r="134" spans="1:72">
      <c r="A134" s="241">
        <v>25</v>
      </c>
      <c r="B134" s="281">
        <f t="shared" ref="B134:D134" si="146">+B99+B64+B28</f>
        <v>0</v>
      </c>
      <c r="C134" s="281">
        <f t="shared" si="146"/>
        <v>0</v>
      </c>
      <c r="D134" s="322">
        <f t="shared" si="146"/>
        <v>0</v>
      </c>
      <c r="E134" s="241">
        <f t="shared" ref="E134:BH134" si="147">+E64+E28+E99</f>
        <v>0</v>
      </c>
      <c r="F134" s="43">
        <f t="shared" si="147"/>
        <v>0</v>
      </c>
      <c r="G134" s="43">
        <f t="shared" si="147"/>
        <v>0</v>
      </c>
      <c r="H134" s="324">
        <f t="shared" si="147"/>
        <v>0</v>
      </c>
      <c r="I134" s="57">
        <f t="shared" si="147"/>
        <v>0</v>
      </c>
      <c r="J134" s="281">
        <f t="shared" si="147"/>
        <v>0</v>
      </c>
      <c r="K134" s="43">
        <f t="shared" si="147"/>
        <v>0</v>
      </c>
      <c r="L134" s="43">
        <f t="shared" si="147"/>
        <v>0</v>
      </c>
      <c r="M134" s="289">
        <f t="shared" si="147"/>
        <v>0</v>
      </c>
      <c r="N134" s="323">
        <f t="shared" si="147"/>
        <v>0</v>
      </c>
      <c r="O134" s="324">
        <f t="shared" si="147"/>
        <v>0</v>
      </c>
      <c r="P134" s="324">
        <f t="shared" si="147"/>
        <v>0</v>
      </c>
      <c r="Q134" s="324">
        <f t="shared" si="147"/>
        <v>0</v>
      </c>
      <c r="R134" s="329">
        <f t="shared" si="147"/>
        <v>0</v>
      </c>
      <c r="S134" s="323">
        <f t="shared" si="147"/>
        <v>0</v>
      </c>
      <c r="T134" s="324">
        <f t="shared" si="147"/>
        <v>0</v>
      </c>
      <c r="U134" s="324">
        <f t="shared" si="147"/>
        <v>0</v>
      </c>
      <c r="V134" s="324">
        <f t="shared" si="147"/>
        <v>0</v>
      </c>
      <c r="W134" s="327">
        <f t="shared" si="147"/>
        <v>0</v>
      </c>
      <c r="X134" s="323">
        <f t="shared" si="147"/>
        <v>0</v>
      </c>
      <c r="Y134" s="324">
        <f t="shared" si="147"/>
        <v>0</v>
      </c>
      <c r="Z134" s="324">
        <f t="shared" si="147"/>
        <v>0</v>
      </c>
      <c r="AA134" s="324">
        <f t="shared" si="147"/>
        <v>0</v>
      </c>
      <c r="AB134" s="324">
        <f t="shared" si="147"/>
        <v>0</v>
      </c>
      <c r="AC134" s="324">
        <f t="shared" si="147"/>
        <v>0</v>
      </c>
      <c r="AD134" s="324">
        <f t="shared" si="147"/>
        <v>0</v>
      </c>
      <c r="AE134" s="324">
        <f t="shared" si="147"/>
        <v>0</v>
      </c>
      <c r="AF134" s="324">
        <f t="shared" si="147"/>
        <v>0</v>
      </c>
      <c r="AG134" s="327">
        <f t="shared" si="147"/>
        <v>0</v>
      </c>
      <c r="AH134" s="241">
        <f t="shared" si="147"/>
        <v>0</v>
      </c>
      <c r="AI134" s="43">
        <f t="shared" si="147"/>
        <v>0</v>
      </c>
      <c r="AJ134" s="43">
        <f t="shared" si="147"/>
        <v>0</v>
      </c>
      <c r="AK134" s="43">
        <f t="shared" si="147"/>
        <v>0</v>
      </c>
      <c r="AL134" s="43">
        <f t="shared" si="147"/>
        <v>0</v>
      </c>
      <c r="AM134" s="43">
        <f t="shared" si="147"/>
        <v>0</v>
      </c>
      <c r="AN134" s="43">
        <f t="shared" si="147"/>
        <v>0</v>
      </c>
      <c r="AO134" s="57">
        <f t="shared" si="147"/>
        <v>0</v>
      </c>
      <c r="AP134" s="281">
        <f t="shared" si="147"/>
        <v>0</v>
      </c>
      <c r="AQ134" s="43">
        <f t="shared" si="147"/>
        <v>0</v>
      </c>
      <c r="AR134" s="324">
        <f t="shared" si="147"/>
        <v>0</v>
      </c>
      <c r="AS134" s="289">
        <f t="shared" si="147"/>
        <v>0</v>
      </c>
      <c r="AT134" s="241">
        <f t="shared" ref="AT134:BK134" si="148">+AT64+AT28+AT99</f>
        <v>0</v>
      </c>
      <c r="AU134" s="43">
        <f t="shared" si="148"/>
        <v>0</v>
      </c>
      <c r="AV134" s="43">
        <f t="shared" si="148"/>
        <v>0</v>
      </c>
      <c r="AW134" s="43">
        <f t="shared" si="148"/>
        <v>0</v>
      </c>
      <c r="AX134" s="43">
        <f t="shared" si="148"/>
        <v>0</v>
      </c>
      <c r="AY134" s="57">
        <f t="shared" si="148"/>
        <v>0</v>
      </c>
      <c r="AZ134" s="331">
        <f t="shared" si="148"/>
        <v>0</v>
      </c>
      <c r="BA134" s="331">
        <f t="shared" si="148"/>
        <v>0</v>
      </c>
      <c r="BB134" s="331">
        <f t="shared" si="148"/>
        <v>0</v>
      </c>
      <c r="BC134" s="331">
        <f t="shared" si="148"/>
        <v>0</v>
      </c>
      <c r="BD134" s="331">
        <f t="shared" si="148"/>
        <v>0</v>
      </c>
      <c r="BE134" s="331">
        <f t="shared" si="148"/>
        <v>0</v>
      </c>
      <c r="BF134" s="331">
        <f t="shared" si="148"/>
        <v>0</v>
      </c>
      <c r="BG134" s="331">
        <f t="shared" si="148"/>
        <v>0</v>
      </c>
      <c r="BH134" s="331">
        <f t="shared" si="148"/>
        <v>0</v>
      </c>
      <c r="BI134" s="331">
        <f t="shared" si="148"/>
        <v>0</v>
      </c>
      <c r="BJ134" s="331">
        <f t="shared" si="148"/>
        <v>0</v>
      </c>
      <c r="BK134" s="331">
        <f t="shared" si="148"/>
        <v>0</v>
      </c>
      <c r="BL134" s="241">
        <f t="shared" ref="BJ134:BQ134" si="149">+BL64+BL28+BL99</f>
        <v>0</v>
      </c>
      <c r="BM134" s="43">
        <f t="shared" si="149"/>
        <v>0</v>
      </c>
      <c r="BN134" s="43">
        <f t="shared" si="149"/>
        <v>0</v>
      </c>
      <c r="BO134" s="43">
        <f t="shared" si="149"/>
        <v>0</v>
      </c>
      <c r="BP134" s="43">
        <f t="shared" si="149"/>
        <v>0</v>
      </c>
      <c r="BQ134" s="57">
        <f t="shared" si="149"/>
        <v>0</v>
      </c>
      <c r="BR134" s="333">
        <f>SUM(B134:BQ134)</f>
        <v>0</v>
      </c>
      <c r="BT134">
        <f>+BR134-BUS!DF139</f>
        <v>0</v>
      </c>
    </row>
    <row r="135" spans="1:72">
      <c r="A135" s="241">
        <v>26</v>
      </c>
      <c r="B135" s="281">
        <f t="shared" ref="B135:D135" si="150">+B100+B65+B29</f>
        <v>0</v>
      </c>
      <c r="C135" s="281">
        <f t="shared" si="150"/>
        <v>0</v>
      </c>
      <c r="D135" s="322">
        <f t="shared" si="150"/>
        <v>0</v>
      </c>
      <c r="E135" s="241">
        <f t="shared" ref="E135:BH135" si="151">+E65+E29+E100</f>
        <v>0</v>
      </c>
      <c r="F135" s="43">
        <f t="shared" si="151"/>
        <v>0</v>
      </c>
      <c r="G135" s="43">
        <f t="shared" si="151"/>
        <v>0</v>
      </c>
      <c r="H135" s="324">
        <f t="shared" si="151"/>
        <v>0</v>
      </c>
      <c r="I135" s="57">
        <f t="shared" si="151"/>
        <v>0</v>
      </c>
      <c r="J135" s="281">
        <f t="shared" si="151"/>
        <v>0</v>
      </c>
      <c r="K135" s="43">
        <f t="shared" si="151"/>
        <v>0</v>
      </c>
      <c r="L135" s="43">
        <f t="shared" si="151"/>
        <v>0</v>
      </c>
      <c r="M135" s="289">
        <f t="shared" si="151"/>
        <v>0</v>
      </c>
      <c r="N135" s="323">
        <f t="shared" si="151"/>
        <v>0</v>
      </c>
      <c r="O135" s="324">
        <f t="shared" si="151"/>
        <v>0</v>
      </c>
      <c r="P135" s="324">
        <f t="shared" si="151"/>
        <v>0</v>
      </c>
      <c r="Q135" s="324">
        <f t="shared" si="151"/>
        <v>0</v>
      </c>
      <c r="R135" s="329">
        <f t="shared" si="151"/>
        <v>0</v>
      </c>
      <c r="S135" s="323">
        <f t="shared" si="151"/>
        <v>0</v>
      </c>
      <c r="T135" s="324">
        <f t="shared" si="151"/>
        <v>0</v>
      </c>
      <c r="U135" s="324">
        <f t="shared" si="151"/>
        <v>0</v>
      </c>
      <c r="V135" s="324">
        <f t="shared" si="151"/>
        <v>0</v>
      </c>
      <c r="W135" s="327">
        <f t="shared" si="151"/>
        <v>0</v>
      </c>
      <c r="X135" s="323">
        <f t="shared" si="151"/>
        <v>0</v>
      </c>
      <c r="Y135" s="324">
        <f t="shared" si="151"/>
        <v>0</v>
      </c>
      <c r="Z135" s="324">
        <f t="shared" si="151"/>
        <v>0</v>
      </c>
      <c r="AA135" s="324">
        <f t="shared" si="151"/>
        <v>0</v>
      </c>
      <c r="AB135" s="324">
        <f t="shared" si="151"/>
        <v>0</v>
      </c>
      <c r="AC135" s="324">
        <f t="shared" si="151"/>
        <v>0</v>
      </c>
      <c r="AD135" s="324">
        <f t="shared" si="151"/>
        <v>0</v>
      </c>
      <c r="AE135" s="324">
        <f t="shared" si="151"/>
        <v>0</v>
      </c>
      <c r="AF135" s="324">
        <f t="shared" si="151"/>
        <v>0</v>
      </c>
      <c r="AG135" s="327">
        <f t="shared" si="151"/>
        <v>0</v>
      </c>
      <c r="AH135" s="241">
        <f t="shared" si="151"/>
        <v>0</v>
      </c>
      <c r="AI135" s="43">
        <f t="shared" si="151"/>
        <v>0</v>
      </c>
      <c r="AJ135" s="43">
        <f t="shared" si="151"/>
        <v>0</v>
      </c>
      <c r="AK135" s="43">
        <f t="shared" si="151"/>
        <v>0</v>
      </c>
      <c r="AL135" s="43">
        <f t="shared" si="151"/>
        <v>0</v>
      </c>
      <c r="AM135" s="43">
        <f t="shared" si="151"/>
        <v>0</v>
      </c>
      <c r="AN135" s="43">
        <f t="shared" si="151"/>
        <v>0</v>
      </c>
      <c r="AO135" s="57">
        <f t="shared" si="151"/>
        <v>0</v>
      </c>
      <c r="AP135" s="281">
        <f t="shared" si="151"/>
        <v>0</v>
      </c>
      <c r="AQ135" s="43">
        <f t="shared" si="151"/>
        <v>0</v>
      </c>
      <c r="AR135" s="324">
        <f t="shared" si="151"/>
        <v>0</v>
      </c>
      <c r="AS135" s="289">
        <f t="shared" si="151"/>
        <v>0</v>
      </c>
      <c r="AT135" s="241">
        <f t="shared" ref="AT135:BK135" si="152">+AT65+AT29+AT100</f>
        <v>0</v>
      </c>
      <c r="AU135" s="43">
        <f t="shared" si="152"/>
        <v>0</v>
      </c>
      <c r="AV135" s="43">
        <f t="shared" si="152"/>
        <v>0</v>
      </c>
      <c r="AW135" s="43">
        <f t="shared" si="152"/>
        <v>0</v>
      </c>
      <c r="AX135" s="43">
        <f t="shared" si="152"/>
        <v>0</v>
      </c>
      <c r="AY135" s="57">
        <f t="shared" si="152"/>
        <v>0</v>
      </c>
      <c r="AZ135" s="331">
        <f t="shared" si="152"/>
        <v>0</v>
      </c>
      <c r="BA135" s="331">
        <f t="shared" si="152"/>
        <v>0</v>
      </c>
      <c r="BB135" s="331">
        <f t="shared" si="152"/>
        <v>0</v>
      </c>
      <c r="BC135" s="331">
        <f t="shared" si="152"/>
        <v>0</v>
      </c>
      <c r="BD135" s="331">
        <f t="shared" si="152"/>
        <v>0</v>
      </c>
      <c r="BE135" s="331">
        <f t="shared" si="152"/>
        <v>0</v>
      </c>
      <c r="BF135" s="331">
        <f t="shared" si="152"/>
        <v>0</v>
      </c>
      <c r="BG135" s="331">
        <f t="shared" si="152"/>
        <v>0</v>
      </c>
      <c r="BH135" s="331">
        <f t="shared" si="152"/>
        <v>0</v>
      </c>
      <c r="BI135" s="331">
        <f t="shared" si="152"/>
        <v>0</v>
      </c>
      <c r="BJ135" s="331">
        <f t="shared" si="152"/>
        <v>0</v>
      </c>
      <c r="BK135" s="331">
        <f t="shared" si="152"/>
        <v>0</v>
      </c>
      <c r="BL135" s="241">
        <f t="shared" ref="BJ135:BQ135" si="153">+BL65+BL29+BL100</f>
        <v>0</v>
      </c>
      <c r="BM135" s="43">
        <f t="shared" si="153"/>
        <v>0</v>
      </c>
      <c r="BN135" s="43">
        <f t="shared" si="153"/>
        <v>0</v>
      </c>
      <c r="BO135" s="43">
        <f t="shared" si="153"/>
        <v>0</v>
      </c>
      <c r="BP135" s="43">
        <f t="shared" si="153"/>
        <v>0</v>
      </c>
      <c r="BQ135" s="57">
        <f t="shared" si="153"/>
        <v>0</v>
      </c>
      <c r="BR135" s="333">
        <f>SUM(B135:BQ135)</f>
        <v>0</v>
      </c>
      <c r="BT135">
        <f>+BR135-BUS!DF140</f>
        <v>0</v>
      </c>
    </row>
    <row r="136" spans="1:72">
      <c r="A136" s="241">
        <v>27</v>
      </c>
      <c r="B136" s="281">
        <f t="shared" ref="B136:D136" si="154">+B101+B66+B30</f>
        <v>0</v>
      </c>
      <c r="C136" s="281">
        <f t="shared" si="154"/>
        <v>0</v>
      </c>
      <c r="D136" s="322">
        <f t="shared" si="154"/>
        <v>0</v>
      </c>
      <c r="E136" s="241">
        <f t="shared" ref="E136:BH136" si="155">+E66+E30+E101</f>
        <v>0</v>
      </c>
      <c r="F136" s="43">
        <f t="shared" si="155"/>
        <v>0</v>
      </c>
      <c r="G136" s="43">
        <f t="shared" si="155"/>
        <v>0</v>
      </c>
      <c r="H136" s="324">
        <f t="shared" si="155"/>
        <v>0</v>
      </c>
      <c r="I136" s="57">
        <f t="shared" si="155"/>
        <v>0</v>
      </c>
      <c r="J136" s="281">
        <f t="shared" si="155"/>
        <v>0</v>
      </c>
      <c r="K136" s="43">
        <f t="shared" si="155"/>
        <v>0</v>
      </c>
      <c r="L136" s="43">
        <f t="shared" si="155"/>
        <v>0</v>
      </c>
      <c r="M136" s="289">
        <f t="shared" si="155"/>
        <v>0</v>
      </c>
      <c r="N136" s="323">
        <f t="shared" si="155"/>
        <v>0</v>
      </c>
      <c r="O136" s="324">
        <f t="shared" si="155"/>
        <v>0</v>
      </c>
      <c r="P136" s="324">
        <f t="shared" si="155"/>
        <v>0</v>
      </c>
      <c r="Q136" s="324">
        <f t="shared" si="155"/>
        <v>0</v>
      </c>
      <c r="R136" s="329">
        <f t="shared" si="155"/>
        <v>0</v>
      </c>
      <c r="S136" s="323">
        <f t="shared" si="155"/>
        <v>0</v>
      </c>
      <c r="T136" s="324">
        <f t="shared" si="155"/>
        <v>0</v>
      </c>
      <c r="U136" s="324">
        <f t="shared" si="155"/>
        <v>0</v>
      </c>
      <c r="V136" s="324">
        <f t="shared" si="155"/>
        <v>0</v>
      </c>
      <c r="W136" s="327">
        <f t="shared" si="155"/>
        <v>0</v>
      </c>
      <c r="X136" s="323">
        <f t="shared" si="155"/>
        <v>0</v>
      </c>
      <c r="Y136" s="324">
        <f t="shared" si="155"/>
        <v>0</v>
      </c>
      <c r="Z136" s="324">
        <f t="shared" si="155"/>
        <v>0</v>
      </c>
      <c r="AA136" s="324">
        <f t="shared" si="155"/>
        <v>0</v>
      </c>
      <c r="AB136" s="324">
        <f t="shared" si="155"/>
        <v>0</v>
      </c>
      <c r="AC136" s="324">
        <f t="shared" si="155"/>
        <v>0</v>
      </c>
      <c r="AD136" s="324">
        <f t="shared" si="155"/>
        <v>0</v>
      </c>
      <c r="AE136" s="324">
        <f t="shared" si="155"/>
        <v>0</v>
      </c>
      <c r="AF136" s="324">
        <f t="shared" si="155"/>
        <v>0</v>
      </c>
      <c r="AG136" s="327">
        <f t="shared" si="155"/>
        <v>0</v>
      </c>
      <c r="AH136" s="241">
        <f t="shared" si="155"/>
        <v>0</v>
      </c>
      <c r="AI136" s="43">
        <f t="shared" si="155"/>
        <v>0</v>
      </c>
      <c r="AJ136" s="43">
        <f t="shared" si="155"/>
        <v>0</v>
      </c>
      <c r="AK136" s="43">
        <f t="shared" si="155"/>
        <v>0</v>
      </c>
      <c r="AL136" s="43">
        <f t="shared" si="155"/>
        <v>0</v>
      </c>
      <c r="AM136" s="43">
        <f t="shared" si="155"/>
        <v>0</v>
      </c>
      <c r="AN136" s="43">
        <f t="shared" si="155"/>
        <v>0</v>
      </c>
      <c r="AO136" s="57">
        <f t="shared" si="155"/>
        <v>0</v>
      </c>
      <c r="AP136" s="281">
        <f t="shared" si="155"/>
        <v>0</v>
      </c>
      <c r="AQ136" s="43">
        <f t="shared" si="155"/>
        <v>0</v>
      </c>
      <c r="AR136" s="324">
        <f t="shared" si="155"/>
        <v>0</v>
      </c>
      <c r="AS136" s="289">
        <f t="shared" si="155"/>
        <v>0</v>
      </c>
      <c r="AT136" s="241">
        <f t="shared" ref="AT136:BK136" si="156">+AT66+AT30+AT101</f>
        <v>0</v>
      </c>
      <c r="AU136" s="43">
        <f t="shared" si="156"/>
        <v>0</v>
      </c>
      <c r="AV136" s="43">
        <f t="shared" si="156"/>
        <v>0</v>
      </c>
      <c r="AW136" s="43">
        <f t="shared" si="156"/>
        <v>0</v>
      </c>
      <c r="AX136" s="43">
        <f t="shared" si="156"/>
        <v>0</v>
      </c>
      <c r="AY136" s="57">
        <f t="shared" si="156"/>
        <v>0</v>
      </c>
      <c r="AZ136" s="331">
        <f t="shared" si="156"/>
        <v>0</v>
      </c>
      <c r="BA136" s="331">
        <f t="shared" si="156"/>
        <v>0</v>
      </c>
      <c r="BB136" s="331">
        <f t="shared" si="156"/>
        <v>0</v>
      </c>
      <c r="BC136" s="331">
        <f t="shared" si="156"/>
        <v>0</v>
      </c>
      <c r="BD136" s="331">
        <f t="shared" si="156"/>
        <v>0</v>
      </c>
      <c r="BE136" s="331">
        <f t="shared" si="156"/>
        <v>0</v>
      </c>
      <c r="BF136" s="331">
        <f t="shared" si="156"/>
        <v>0</v>
      </c>
      <c r="BG136" s="331">
        <f t="shared" si="156"/>
        <v>0</v>
      </c>
      <c r="BH136" s="331">
        <f t="shared" si="156"/>
        <v>0</v>
      </c>
      <c r="BI136" s="331">
        <f t="shared" si="156"/>
        <v>0</v>
      </c>
      <c r="BJ136" s="331">
        <f t="shared" si="156"/>
        <v>0</v>
      </c>
      <c r="BK136" s="331">
        <f t="shared" si="156"/>
        <v>0</v>
      </c>
      <c r="BL136" s="241">
        <f t="shared" ref="BJ136:BQ136" si="157">+BL66+BL30+BL101</f>
        <v>0</v>
      </c>
      <c r="BM136" s="43">
        <f t="shared" si="157"/>
        <v>0</v>
      </c>
      <c r="BN136" s="43">
        <f t="shared" si="157"/>
        <v>0</v>
      </c>
      <c r="BO136" s="43">
        <f t="shared" si="157"/>
        <v>0</v>
      </c>
      <c r="BP136" s="43">
        <f t="shared" si="157"/>
        <v>0</v>
      </c>
      <c r="BQ136" s="57">
        <f t="shared" si="157"/>
        <v>0</v>
      </c>
      <c r="BR136" s="333">
        <f>SUM(B136:BQ136)</f>
        <v>0</v>
      </c>
      <c r="BT136">
        <f>+BR136-BUS!DF141</f>
        <v>0</v>
      </c>
    </row>
    <row r="137" spans="1:72">
      <c r="A137" s="241">
        <v>28</v>
      </c>
      <c r="B137" s="281">
        <f t="shared" ref="B137:D137" si="158">+B102+B67+B31</f>
        <v>0</v>
      </c>
      <c r="C137" s="281">
        <f t="shared" si="158"/>
        <v>0</v>
      </c>
      <c r="D137" s="322">
        <f t="shared" si="158"/>
        <v>0</v>
      </c>
      <c r="E137" s="241">
        <f t="shared" ref="E137:BH137" si="159">+E67+E31+E102</f>
        <v>0</v>
      </c>
      <c r="F137" s="43">
        <f t="shared" si="159"/>
        <v>0</v>
      </c>
      <c r="G137" s="43">
        <f t="shared" si="159"/>
        <v>0</v>
      </c>
      <c r="H137" s="324">
        <f t="shared" si="159"/>
        <v>0</v>
      </c>
      <c r="I137" s="57">
        <f t="shared" si="159"/>
        <v>0</v>
      </c>
      <c r="J137" s="281">
        <f t="shared" si="159"/>
        <v>0</v>
      </c>
      <c r="K137" s="43">
        <f t="shared" si="159"/>
        <v>0</v>
      </c>
      <c r="L137" s="43">
        <f t="shared" si="159"/>
        <v>0</v>
      </c>
      <c r="M137" s="289">
        <f t="shared" si="159"/>
        <v>0</v>
      </c>
      <c r="N137" s="323">
        <f t="shared" si="159"/>
        <v>0</v>
      </c>
      <c r="O137" s="324">
        <f t="shared" si="159"/>
        <v>0</v>
      </c>
      <c r="P137" s="324">
        <f t="shared" si="159"/>
        <v>0</v>
      </c>
      <c r="Q137" s="324">
        <f t="shared" si="159"/>
        <v>0</v>
      </c>
      <c r="R137" s="329">
        <f t="shared" si="159"/>
        <v>0</v>
      </c>
      <c r="S137" s="323">
        <f t="shared" si="159"/>
        <v>0</v>
      </c>
      <c r="T137" s="324">
        <f t="shared" si="159"/>
        <v>0</v>
      </c>
      <c r="U137" s="324">
        <f t="shared" si="159"/>
        <v>0</v>
      </c>
      <c r="V137" s="324">
        <f t="shared" si="159"/>
        <v>0</v>
      </c>
      <c r="W137" s="327">
        <f t="shared" si="159"/>
        <v>0</v>
      </c>
      <c r="X137" s="323">
        <f t="shared" si="159"/>
        <v>0</v>
      </c>
      <c r="Y137" s="324">
        <f t="shared" si="159"/>
        <v>0</v>
      </c>
      <c r="Z137" s="324">
        <f t="shared" si="159"/>
        <v>0</v>
      </c>
      <c r="AA137" s="324">
        <f t="shared" si="159"/>
        <v>0</v>
      </c>
      <c r="AB137" s="324">
        <f t="shared" si="159"/>
        <v>0</v>
      </c>
      <c r="AC137" s="324">
        <f t="shared" si="159"/>
        <v>0</v>
      </c>
      <c r="AD137" s="324">
        <f t="shared" si="159"/>
        <v>0</v>
      </c>
      <c r="AE137" s="324">
        <f t="shared" si="159"/>
        <v>0</v>
      </c>
      <c r="AF137" s="324">
        <f t="shared" si="159"/>
        <v>0</v>
      </c>
      <c r="AG137" s="327">
        <f t="shared" si="159"/>
        <v>0</v>
      </c>
      <c r="AH137" s="241">
        <f t="shared" si="159"/>
        <v>0</v>
      </c>
      <c r="AI137" s="43">
        <f t="shared" si="159"/>
        <v>0</v>
      </c>
      <c r="AJ137" s="43">
        <f t="shared" si="159"/>
        <v>0</v>
      </c>
      <c r="AK137" s="43">
        <f t="shared" si="159"/>
        <v>0</v>
      </c>
      <c r="AL137" s="43">
        <f t="shared" si="159"/>
        <v>0</v>
      </c>
      <c r="AM137" s="43">
        <f t="shared" si="159"/>
        <v>0</v>
      </c>
      <c r="AN137" s="43">
        <f t="shared" si="159"/>
        <v>0</v>
      </c>
      <c r="AO137" s="57">
        <f t="shared" si="159"/>
        <v>0</v>
      </c>
      <c r="AP137" s="281">
        <f t="shared" si="159"/>
        <v>0</v>
      </c>
      <c r="AQ137" s="43">
        <f t="shared" si="159"/>
        <v>0</v>
      </c>
      <c r="AR137" s="324">
        <f t="shared" si="159"/>
        <v>0</v>
      </c>
      <c r="AS137" s="289">
        <f t="shared" si="159"/>
        <v>0</v>
      </c>
      <c r="AT137" s="241">
        <f t="shared" ref="AT137:BK137" si="160">+AT67+AT31+AT102</f>
        <v>0</v>
      </c>
      <c r="AU137" s="43">
        <f t="shared" si="160"/>
        <v>0</v>
      </c>
      <c r="AV137" s="43">
        <f t="shared" si="160"/>
        <v>0</v>
      </c>
      <c r="AW137" s="43">
        <f t="shared" si="160"/>
        <v>0</v>
      </c>
      <c r="AX137" s="43">
        <f t="shared" si="160"/>
        <v>0</v>
      </c>
      <c r="AY137" s="57">
        <f t="shared" si="160"/>
        <v>0</v>
      </c>
      <c r="AZ137" s="331">
        <f t="shared" si="160"/>
        <v>0</v>
      </c>
      <c r="BA137" s="331">
        <f t="shared" si="160"/>
        <v>0</v>
      </c>
      <c r="BB137" s="331">
        <f t="shared" si="160"/>
        <v>0</v>
      </c>
      <c r="BC137" s="331">
        <f t="shared" si="160"/>
        <v>0</v>
      </c>
      <c r="BD137" s="331">
        <f t="shared" si="160"/>
        <v>0</v>
      </c>
      <c r="BE137" s="331">
        <f t="shared" si="160"/>
        <v>0</v>
      </c>
      <c r="BF137" s="331">
        <f t="shared" si="160"/>
        <v>0</v>
      </c>
      <c r="BG137" s="331">
        <f t="shared" si="160"/>
        <v>0</v>
      </c>
      <c r="BH137" s="331">
        <f t="shared" si="160"/>
        <v>0</v>
      </c>
      <c r="BI137" s="331">
        <f t="shared" si="160"/>
        <v>0</v>
      </c>
      <c r="BJ137" s="331">
        <f t="shared" si="160"/>
        <v>0</v>
      </c>
      <c r="BK137" s="331">
        <f t="shared" si="160"/>
        <v>0</v>
      </c>
      <c r="BL137" s="241">
        <f t="shared" ref="BJ137:BQ137" si="161">+BL67+BL31+BL102</f>
        <v>0</v>
      </c>
      <c r="BM137" s="43">
        <f t="shared" si="161"/>
        <v>0</v>
      </c>
      <c r="BN137" s="43">
        <f t="shared" si="161"/>
        <v>0</v>
      </c>
      <c r="BO137" s="43">
        <f t="shared" si="161"/>
        <v>0</v>
      </c>
      <c r="BP137" s="43">
        <f t="shared" si="161"/>
        <v>0</v>
      </c>
      <c r="BQ137" s="57">
        <f t="shared" si="161"/>
        <v>0</v>
      </c>
      <c r="BR137" s="333">
        <f>SUM(B137:BQ137)</f>
        <v>0</v>
      </c>
      <c r="BT137">
        <f>+BR137-BUS!DF142</f>
        <v>0</v>
      </c>
    </row>
    <row r="138" spans="1:72">
      <c r="A138" s="241">
        <v>29</v>
      </c>
      <c r="B138" s="281">
        <f t="shared" ref="B138:D138" si="162">+B103+B68+B32</f>
        <v>0</v>
      </c>
      <c r="C138" s="281">
        <f t="shared" si="162"/>
        <v>0</v>
      </c>
      <c r="D138" s="322">
        <f t="shared" si="162"/>
        <v>0</v>
      </c>
      <c r="E138" s="241">
        <f t="shared" ref="E138:BH138" si="163">+E68+E32+E103</f>
        <v>0</v>
      </c>
      <c r="F138" s="43">
        <f t="shared" si="163"/>
        <v>0</v>
      </c>
      <c r="G138" s="43">
        <f t="shared" si="163"/>
        <v>0</v>
      </c>
      <c r="H138" s="324">
        <f t="shared" si="163"/>
        <v>0</v>
      </c>
      <c r="I138" s="57">
        <f t="shared" si="163"/>
        <v>0</v>
      </c>
      <c r="J138" s="281">
        <f t="shared" si="163"/>
        <v>0</v>
      </c>
      <c r="K138" s="43">
        <f t="shared" si="163"/>
        <v>0</v>
      </c>
      <c r="L138" s="43">
        <f t="shared" si="163"/>
        <v>0</v>
      </c>
      <c r="M138" s="289">
        <f t="shared" si="163"/>
        <v>0</v>
      </c>
      <c r="N138" s="323">
        <f t="shared" si="163"/>
        <v>0</v>
      </c>
      <c r="O138" s="324">
        <f t="shared" si="163"/>
        <v>0</v>
      </c>
      <c r="P138" s="324">
        <f t="shared" si="163"/>
        <v>0</v>
      </c>
      <c r="Q138" s="324">
        <f t="shared" si="163"/>
        <v>0</v>
      </c>
      <c r="R138" s="329">
        <f t="shared" si="163"/>
        <v>0</v>
      </c>
      <c r="S138" s="323">
        <f t="shared" si="163"/>
        <v>0</v>
      </c>
      <c r="T138" s="324">
        <f t="shared" si="163"/>
        <v>0</v>
      </c>
      <c r="U138" s="324">
        <f t="shared" si="163"/>
        <v>0</v>
      </c>
      <c r="V138" s="324">
        <f t="shared" si="163"/>
        <v>0</v>
      </c>
      <c r="W138" s="327">
        <f t="shared" si="163"/>
        <v>0</v>
      </c>
      <c r="X138" s="323">
        <f t="shared" si="163"/>
        <v>0</v>
      </c>
      <c r="Y138" s="324">
        <f t="shared" si="163"/>
        <v>0</v>
      </c>
      <c r="Z138" s="324">
        <f t="shared" si="163"/>
        <v>0</v>
      </c>
      <c r="AA138" s="324">
        <f t="shared" si="163"/>
        <v>0</v>
      </c>
      <c r="AB138" s="324">
        <f t="shared" si="163"/>
        <v>0</v>
      </c>
      <c r="AC138" s="324">
        <f t="shared" si="163"/>
        <v>0</v>
      </c>
      <c r="AD138" s="324">
        <f t="shared" si="163"/>
        <v>0</v>
      </c>
      <c r="AE138" s="324">
        <f t="shared" si="163"/>
        <v>0</v>
      </c>
      <c r="AF138" s="324">
        <f t="shared" si="163"/>
        <v>0</v>
      </c>
      <c r="AG138" s="327">
        <f t="shared" si="163"/>
        <v>0</v>
      </c>
      <c r="AH138" s="241">
        <f t="shared" si="163"/>
        <v>0</v>
      </c>
      <c r="AI138" s="43">
        <f t="shared" si="163"/>
        <v>0</v>
      </c>
      <c r="AJ138" s="43">
        <f t="shared" si="163"/>
        <v>0</v>
      </c>
      <c r="AK138" s="43">
        <f t="shared" si="163"/>
        <v>0</v>
      </c>
      <c r="AL138" s="43">
        <f t="shared" si="163"/>
        <v>0</v>
      </c>
      <c r="AM138" s="43">
        <f t="shared" si="163"/>
        <v>0</v>
      </c>
      <c r="AN138" s="43">
        <f t="shared" si="163"/>
        <v>0</v>
      </c>
      <c r="AO138" s="57">
        <f t="shared" si="163"/>
        <v>0</v>
      </c>
      <c r="AP138" s="281">
        <f t="shared" si="163"/>
        <v>0</v>
      </c>
      <c r="AQ138" s="43">
        <f t="shared" si="163"/>
        <v>0</v>
      </c>
      <c r="AR138" s="324">
        <f t="shared" si="163"/>
        <v>0</v>
      </c>
      <c r="AS138" s="289">
        <f t="shared" si="163"/>
        <v>0</v>
      </c>
      <c r="AT138" s="241">
        <f t="shared" ref="AT138:BK138" si="164">+AT68+AT32+AT103</f>
        <v>0</v>
      </c>
      <c r="AU138" s="43">
        <f t="shared" si="164"/>
        <v>0</v>
      </c>
      <c r="AV138" s="43">
        <f t="shared" si="164"/>
        <v>0</v>
      </c>
      <c r="AW138" s="43">
        <f t="shared" si="164"/>
        <v>0</v>
      </c>
      <c r="AX138" s="43">
        <f t="shared" si="164"/>
        <v>0</v>
      </c>
      <c r="AY138" s="57">
        <f t="shared" si="164"/>
        <v>0</v>
      </c>
      <c r="AZ138" s="331">
        <f t="shared" si="164"/>
        <v>0</v>
      </c>
      <c r="BA138" s="331">
        <f t="shared" si="164"/>
        <v>0</v>
      </c>
      <c r="BB138" s="331">
        <f t="shared" si="164"/>
        <v>0</v>
      </c>
      <c r="BC138" s="331">
        <f t="shared" si="164"/>
        <v>0</v>
      </c>
      <c r="BD138" s="331">
        <f t="shared" si="164"/>
        <v>0</v>
      </c>
      <c r="BE138" s="331">
        <f t="shared" si="164"/>
        <v>0</v>
      </c>
      <c r="BF138" s="331">
        <f t="shared" si="164"/>
        <v>0</v>
      </c>
      <c r="BG138" s="331">
        <f t="shared" si="164"/>
        <v>0</v>
      </c>
      <c r="BH138" s="331">
        <f t="shared" si="164"/>
        <v>0</v>
      </c>
      <c r="BI138" s="331">
        <f t="shared" si="164"/>
        <v>0</v>
      </c>
      <c r="BJ138" s="331">
        <f t="shared" si="164"/>
        <v>0</v>
      </c>
      <c r="BK138" s="331">
        <f t="shared" si="164"/>
        <v>0</v>
      </c>
      <c r="BL138" s="241">
        <f t="shared" ref="BJ138:BQ138" si="165">+BL68+BL32+BL103</f>
        <v>0</v>
      </c>
      <c r="BM138" s="43">
        <f t="shared" si="165"/>
        <v>0</v>
      </c>
      <c r="BN138" s="43">
        <f t="shared" si="165"/>
        <v>0</v>
      </c>
      <c r="BO138" s="43">
        <f t="shared" si="165"/>
        <v>0</v>
      </c>
      <c r="BP138" s="43">
        <f t="shared" si="165"/>
        <v>0</v>
      </c>
      <c r="BQ138" s="57">
        <f t="shared" si="165"/>
        <v>0</v>
      </c>
      <c r="BR138" s="333">
        <f>SUM(B138:BQ138)</f>
        <v>0</v>
      </c>
      <c r="BT138">
        <f>+BR138-BUS!DF143</f>
        <v>0</v>
      </c>
    </row>
    <row r="139" spans="1:72">
      <c r="A139" s="241">
        <v>30</v>
      </c>
      <c r="B139" s="281">
        <f t="shared" ref="B139:D139" si="166">+B104+B69+B33</f>
        <v>0</v>
      </c>
      <c r="C139" s="281">
        <f t="shared" si="166"/>
        <v>0</v>
      </c>
      <c r="D139" s="322">
        <f t="shared" si="166"/>
        <v>0</v>
      </c>
      <c r="E139" s="241">
        <f t="shared" ref="E139:BH139" si="167">+E69+E33+E104</f>
        <v>0</v>
      </c>
      <c r="F139" s="43">
        <f t="shared" si="167"/>
        <v>0</v>
      </c>
      <c r="G139" s="43">
        <f t="shared" si="167"/>
        <v>0</v>
      </c>
      <c r="H139" s="324">
        <f t="shared" si="167"/>
        <v>0</v>
      </c>
      <c r="I139" s="57">
        <f t="shared" si="167"/>
        <v>0</v>
      </c>
      <c r="J139" s="281">
        <f t="shared" si="167"/>
        <v>0</v>
      </c>
      <c r="K139" s="43">
        <f t="shared" si="167"/>
        <v>0</v>
      </c>
      <c r="L139" s="43">
        <f t="shared" si="167"/>
        <v>0</v>
      </c>
      <c r="M139" s="289">
        <f t="shared" si="167"/>
        <v>0</v>
      </c>
      <c r="N139" s="323">
        <f t="shared" si="167"/>
        <v>0</v>
      </c>
      <c r="O139" s="324">
        <f t="shared" si="167"/>
        <v>0</v>
      </c>
      <c r="P139" s="324">
        <f t="shared" si="167"/>
        <v>0</v>
      </c>
      <c r="Q139" s="324">
        <f t="shared" si="167"/>
        <v>0</v>
      </c>
      <c r="R139" s="329">
        <f t="shared" si="167"/>
        <v>0</v>
      </c>
      <c r="S139" s="323">
        <f t="shared" si="167"/>
        <v>0</v>
      </c>
      <c r="T139" s="324">
        <f t="shared" si="167"/>
        <v>0</v>
      </c>
      <c r="U139" s="324">
        <f t="shared" si="167"/>
        <v>0</v>
      </c>
      <c r="V139" s="324">
        <f t="shared" si="167"/>
        <v>0</v>
      </c>
      <c r="W139" s="327">
        <f t="shared" si="167"/>
        <v>0</v>
      </c>
      <c r="X139" s="323">
        <f t="shared" si="167"/>
        <v>0</v>
      </c>
      <c r="Y139" s="324">
        <f t="shared" si="167"/>
        <v>0</v>
      </c>
      <c r="Z139" s="324">
        <f t="shared" si="167"/>
        <v>0</v>
      </c>
      <c r="AA139" s="324">
        <f t="shared" si="167"/>
        <v>0</v>
      </c>
      <c r="AB139" s="324">
        <f t="shared" si="167"/>
        <v>0</v>
      </c>
      <c r="AC139" s="324">
        <f t="shared" si="167"/>
        <v>0</v>
      </c>
      <c r="AD139" s="324">
        <f t="shared" si="167"/>
        <v>0</v>
      </c>
      <c r="AE139" s="324">
        <f t="shared" si="167"/>
        <v>0</v>
      </c>
      <c r="AF139" s="324">
        <f t="shared" si="167"/>
        <v>0</v>
      </c>
      <c r="AG139" s="327">
        <f t="shared" si="167"/>
        <v>0</v>
      </c>
      <c r="AH139" s="241">
        <f t="shared" si="167"/>
        <v>0</v>
      </c>
      <c r="AI139" s="43">
        <f t="shared" si="167"/>
        <v>0</v>
      </c>
      <c r="AJ139" s="43">
        <f t="shared" si="167"/>
        <v>0</v>
      </c>
      <c r="AK139" s="43">
        <f t="shared" si="167"/>
        <v>0</v>
      </c>
      <c r="AL139" s="43">
        <f t="shared" si="167"/>
        <v>0</v>
      </c>
      <c r="AM139" s="43">
        <f t="shared" si="167"/>
        <v>0</v>
      </c>
      <c r="AN139" s="43">
        <f t="shared" si="167"/>
        <v>0</v>
      </c>
      <c r="AO139" s="57">
        <f t="shared" si="167"/>
        <v>0</v>
      </c>
      <c r="AP139" s="281">
        <f t="shared" si="167"/>
        <v>0</v>
      </c>
      <c r="AQ139" s="43">
        <f t="shared" si="167"/>
        <v>0</v>
      </c>
      <c r="AR139" s="324">
        <f t="shared" si="167"/>
        <v>0</v>
      </c>
      <c r="AS139" s="289">
        <f t="shared" si="167"/>
        <v>0</v>
      </c>
      <c r="AT139" s="241">
        <f t="shared" ref="AT139:BK139" si="168">+AT69+AT33+AT104</f>
        <v>0</v>
      </c>
      <c r="AU139" s="43">
        <f t="shared" si="168"/>
        <v>0</v>
      </c>
      <c r="AV139" s="43">
        <f t="shared" si="168"/>
        <v>0</v>
      </c>
      <c r="AW139" s="43">
        <f t="shared" si="168"/>
        <v>0</v>
      </c>
      <c r="AX139" s="43">
        <f t="shared" si="168"/>
        <v>0</v>
      </c>
      <c r="AY139" s="57">
        <f t="shared" si="168"/>
        <v>0</v>
      </c>
      <c r="AZ139" s="331">
        <f t="shared" si="168"/>
        <v>0</v>
      </c>
      <c r="BA139" s="331">
        <f t="shared" si="168"/>
        <v>0</v>
      </c>
      <c r="BB139" s="331">
        <f t="shared" si="168"/>
        <v>0</v>
      </c>
      <c r="BC139" s="331">
        <f t="shared" si="168"/>
        <v>0</v>
      </c>
      <c r="BD139" s="331">
        <f t="shared" si="168"/>
        <v>0</v>
      </c>
      <c r="BE139" s="331">
        <f t="shared" si="168"/>
        <v>0</v>
      </c>
      <c r="BF139" s="331">
        <f t="shared" si="168"/>
        <v>0</v>
      </c>
      <c r="BG139" s="331">
        <f t="shared" si="168"/>
        <v>0</v>
      </c>
      <c r="BH139" s="331">
        <f t="shared" si="168"/>
        <v>0</v>
      </c>
      <c r="BI139" s="331">
        <f t="shared" si="168"/>
        <v>0</v>
      </c>
      <c r="BJ139" s="331">
        <f t="shared" si="168"/>
        <v>0</v>
      </c>
      <c r="BK139" s="331">
        <f t="shared" si="168"/>
        <v>0</v>
      </c>
      <c r="BL139" s="241">
        <f t="shared" ref="BJ139:BQ139" si="169">+BL69+BL33+BL104</f>
        <v>0</v>
      </c>
      <c r="BM139" s="43">
        <f t="shared" si="169"/>
        <v>0</v>
      </c>
      <c r="BN139" s="43">
        <f t="shared" si="169"/>
        <v>0</v>
      </c>
      <c r="BO139" s="43">
        <f t="shared" si="169"/>
        <v>0</v>
      </c>
      <c r="BP139" s="43">
        <f t="shared" si="169"/>
        <v>0</v>
      </c>
      <c r="BQ139" s="57">
        <f t="shared" si="169"/>
        <v>0</v>
      </c>
      <c r="BR139" s="333">
        <f>SUM(B139:BQ139)</f>
        <v>0</v>
      </c>
      <c r="BT139">
        <f>+BR139-BUS!DF144</f>
        <v>0</v>
      </c>
    </row>
    <row r="140" spans="1:72">
      <c r="A140" s="241">
        <v>31</v>
      </c>
      <c r="B140" s="288">
        <f t="shared" ref="B140:D140" si="170">+B105+B70+B34</f>
        <v>0</v>
      </c>
      <c r="C140" s="288">
        <f t="shared" si="170"/>
        <v>0</v>
      </c>
      <c r="D140" s="334">
        <f t="shared" si="170"/>
        <v>0</v>
      </c>
      <c r="E140" s="315">
        <f t="shared" ref="E140:BH140" si="171">+E70+E34+E105</f>
        <v>0</v>
      </c>
      <c r="F140" s="282">
        <f t="shared" si="171"/>
        <v>0</v>
      </c>
      <c r="G140" s="282">
        <f t="shared" si="171"/>
        <v>0</v>
      </c>
      <c r="H140" s="324">
        <f t="shared" si="171"/>
        <v>0</v>
      </c>
      <c r="I140" s="337">
        <f t="shared" si="171"/>
        <v>0</v>
      </c>
      <c r="J140" s="288">
        <f t="shared" si="171"/>
        <v>0</v>
      </c>
      <c r="K140" s="282">
        <f t="shared" si="171"/>
        <v>0</v>
      </c>
      <c r="L140" s="282">
        <f t="shared" si="171"/>
        <v>0</v>
      </c>
      <c r="M140" s="338">
        <f t="shared" si="171"/>
        <v>0</v>
      </c>
      <c r="N140" s="323">
        <f t="shared" si="171"/>
        <v>0</v>
      </c>
      <c r="O140" s="324">
        <f t="shared" si="171"/>
        <v>0</v>
      </c>
      <c r="P140" s="324">
        <f t="shared" si="171"/>
        <v>0</v>
      </c>
      <c r="Q140" s="324">
        <f t="shared" si="171"/>
        <v>0</v>
      </c>
      <c r="R140" s="329">
        <f t="shared" si="171"/>
        <v>0</v>
      </c>
      <c r="S140" s="323">
        <f t="shared" si="171"/>
        <v>0</v>
      </c>
      <c r="T140" s="324">
        <f t="shared" si="171"/>
        <v>0</v>
      </c>
      <c r="U140" s="324">
        <f t="shared" si="171"/>
        <v>0</v>
      </c>
      <c r="V140" s="324">
        <f t="shared" si="171"/>
        <v>0</v>
      </c>
      <c r="W140" s="327">
        <f t="shared" si="171"/>
        <v>0</v>
      </c>
      <c r="X140" s="323">
        <f t="shared" si="171"/>
        <v>0</v>
      </c>
      <c r="Y140" s="324">
        <f t="shared" si="171"/>
        <v>0</v>
      </c>
      <c r="Z140" s="324">
        <f t="shared" si="171"/>
        <v>0</v>
      </c>
      <c r="AA140" s="324">
        <f t="shared" si="171"/>
        <v>0</v>
      </c>
      <c r="AB140" s="324">
        <f t="shared" si="171"/>
        <v>0</v>
      </c>
      <c r="AC140" s="324">
        <f t="shared" si="171"/>
        <v>0</v>
      </c>
      <c r="AD140" s="324">
        <f t="shared" si="171"/>
        <v>0</v>
      </c>
      <c r="AE140" s="324">
        <f t="shared" si="171"/>
        <v>0</v>
      </c>
      <c r="AF140" s="324">
        <f t="shared" si="171"/>
        <v>0</v>
      </c>
      <c r="AG140" s="327">
        <f t="shared" si="171"/>
        <v>0</v>
      </c>
      <c r="AH140" s="315">
        <f t="shared" si="171"/>
        <v>0</v>
      </c>
      <c r="AI140" s="282">
        <f t="shared" si="171"/>
        <v>0</v>
      </c>
      <c r="AJ140" s="282">
        <f t="shared" si="171"/>
        <v>0</v>
      </c>
      <c r="AK140" s="282">
        <f t="shared" si="171"/>
        <v>0</v>
      </c>
      <c r="AL140" s="282">
        <f t="shared" si="171"/>
        <v>0</v>
      </c>
      <c r="AM140" s="282">
        <f t="shared" si="171"/>
        <v>0</v>
      </c>
      <c r="AN140" s="282">
        <f t="shared" si="171"/>
        <v>0</v>
      </c>
      <c r="AO140" s="337">
        <f t="shared" si="171"/>
        <v>0</v>
      </c>
      <c r="AP140" s="288">
        <f t="shared" si="171"/>
        <v>0</v>
      </c>
      <c r="AQ140" s="282">
        <f t="shared" si="171"/>
        <v>0</v>
      </c>
      <c r="AR140" s="324">
        <f t="shared" si="171"/>
        <v>0</v>
      </c>
      <c r="AS140" s="338">
        <f t="shared" si="171"/>
        <v>0</v>
      </c>
      <c r="AT140" s="315">
        <f t="shared" ref="AT140:BK140" si="172">+AT70+AT34+AT105</f>
        <v>0</v>
      </c>
      <c r="AU140" s="282">
        <f t="shared" si="172"/>
        <v>0</v>
      </c>
      <c r="AV140" s="282">
        <f t="shared" si="172"/>
        <v>0</v>
      </c>
      <c r="AW140" s="282">
        <f t="shared" si="172"/>
        <v>0</v>
      </c>
      <c r="AX140" s="282">
        <f t="shared" si="172"/>
        <v>0</v>
      </c>
      <c r="AY140" s="337">
        <f t="shared" si="172"/>
        <v>0</v>
      </c>
      <c r="AZ140" s="331">
        <f t="shared" si="172"/>
        <v>0</v>
      </c>
      <c r="BA140" s="331">
        <f t="shared" si="172"/>
        <v>0</v>
      </c>
      <c r="BB140" s="331">
        <f t="shared" si="172"/>
        <v>0</v>
      </c>
      <c r="BC140" s="331">
        <f t="shared" si="172"/>
        <v>0</v>
      </c>
      <c r="BD140" s="331">
        <f t="shared" si="172"/>
        <v>0</v>
      </c>
      <c r="BE140" s="331">
        <f t="shared" si="172"/>
        <v>0</v>
      </c>
      <c r="BF140" s="331">
        <f t="shared" si="172"/>
        <v>0</v>
      </c>
      <c r="BG140" s="331">
        <f t="shared" si="172"/>
        <v>0</v>
      </c>
      <c r="BH140" s="331">
        <f t="shared" si="172"/>
        <v>0</v>
      </c>
      <c r="BI140" s="331">
        <f t="shared" si="172"/>
        <v>0</v>
      </c>
      <c r="BJ140" s="331">
        <f t="shared" si="172"/>
        <v>0</v>
      </c>
      <c r="BK140" s="331">
        <f t="shared" si="172"/>
        <v>0</v>
      </c>
      <c r="BL140" s="315">
        <f t="shared" ref="BJ140:BQ140" si="173">+BL70+BL34+BL105</f>
        <v>0</v>
      </c>
      <c r="BM140" s="282">
        <f t="shared" si="173"/>
        <v>0</v>
      </c>
      <c r="BN140" s="282">
        <f t="shared" si="173"/>
        <v>0</v>
      </c>
      <c r="BO140" s="282">
        <f t="shared" si="173"/>
        <v>0</v>
      </c>
      <c r="BP140" s="282">
        <f t="shared" si="173"/>
        <v>0</v>
      </c>
      <c r="BQ140" s="337">
        <f t="shared" si="173"/>
        <v>0</v>
      </c>
      <c r="BR140" s="333">
        <f>SUM(B140:BQ140)</f>
        <v>0</v>
      </c>
      <c r="BT140">
        <f>+BR140-BUS!DF145</f>
        <v>0</v>
      </c>
    </row>
    <row r="141" spans="1:72">
      <c r="A141" s="295"/>
      <c r="B141" s="112">
        <f t="shared" ref="B141:E141" si="174">SUM(B110:B140)</f>
        <v>0</v>
      </c>
      <c r="C141" s="209">
        <f t="shared" si="174"/>
        <v>0</v>
      </c>
      <c r="D141" s="326">
        <f t="shared" si="174"/>
        <v>0</v>
      </c>
      <c r="E141" s="112">
        <f t="shared" si="174"/>
        <v>0</v>
      </c>
      <c r="F141" s="209">
        <f t="shared" ref="F141" si="175">SUM(F110:F140)</f>
        <v>0</v>
      </c>
      <c r="G141" s="209">
        <f t="shared" ref="G141:H141" si="176">SUM(G110:G140)</f>
        <v>0</v>
      </c>
      <c r="H141" s="209">
        <f t="shared" si="176"/>
        <v>0</v>
      </c>
      <c r="I141" s="210">
        <f t="shared" ref="I141" si="177">SUM(I110:I140)</f>
        <v>0</v>
      </c>
      <c r="J141" s="123">
        <f t="shared" ref="J141" si="178">SUM(J110:J140)</f>
        <v>0</v>
      </c>
      <c r="K141" s="209">
        <f t="shared" ref="K141" si="179">SUM(K110:K140)</f>
        <v>0</v>
      </c>
      <c r="L141" s="209">
        <f t="shared" ref="L141" si="180">SUM(L110:L140)</f>
        <v>0</v>
      </c>
      <c r="M141" s="326">
        <f t="shared" ref="M141" si="181">SUM(M110:M140)</f>
        <v>0</v>
      </c>
      <c r="N141" s="112">
        <f t="shared" ref="N141" si="182">SUM(N110:N140)</f>
        <v>0</v>
      </c>
      <c r="O141" s="209">
        <f t="shared" ref="O141" si="183">SUM(O110:O140)</f>
        <v>0</v>
      </c>
      <c r="P141" s="209">
        <f t="shared" ref="P141" si="184">SUM(P110:P140)</f>
        <v>0</v>
      </c>
      <c r="Q141" s="209">
        <f t="shared" ref="Q141" si="185">SUM(Q110:Q140)</f>
        <v>0</v>
      </c>
      <c r="R141" s="210">
        <f t="shared" ref="R141" si="186">SUM(R110:R140)</f>
        <v>0</v>
      </c>
      <c r="S141" s="123">
        <f t="shared" ref="S141" si="187">SUM(S110:S140)</f>
        <v>0</v>
      </c>
      <c r="T141" s="209">
        <f t="shared" ref="T141:V141" si="188">SUM(T110:T140)</f>
        <v>0</v>
      </c>
      <c r="U141" s="209">
        <f t="shared" si="188"/>
        <v>0</v>
      </c>
      <c r="V141" s="209">
        <f t="shared" si="188"/>
        <v>0</v>
      </c>
      <c r="W141" s="326">
        <f t="shared" ref="W141" si="189">SUM(W110:W140)</f>
        <v>0</v>
      </c>
      <c r="X141" s="112">
        <f t="shared" ref="X141" si="190">SUM(X110:X140)</f>
        <v>0</v>
      </c>
      <c r="Y141" s="209">
        <f t="shared" ref="Y141" si="191">SUM(Y110:Y140)</f>
        <v>0</v>
      </c>
      <c r="Z141" s="209">
        <f t="shared" ref="Z141" si="192">SUM(Z110:Z140)</f>
        <v>0</v>
      </c>
      <c r="AA141" s="209">
        <f t="shared" ref="AA141" si="193">SUM(AA110:AA140)</f>
        <v>0</v>
      </c>
      <c r="AB141" s="209">
        <f t="shared" ref="AB141" si="194">SUM(AB110:AB140)</f>
        <v>0</v>
      </c>
      <c r="AC141" s="209">
        <f t="shared" ref="AC141:AE141" si="195">SUM(AC110:AC140)</f>
        <v>0</v>
      </c>
      <c r="AD141" s="209">
        <f t="shared" si="195"/>
        <v>0</v>
      </c>
      <c r="AE141" s="209">
        <f t="shared" si="195"/>
        <v>0</v>
      </c>
      <c r="AF141" s="209">
        <f t="shared" ref="AF141" si="196">SUM(AF110:AF140)</f>
        <v>0</v>
      </c>
      <c r="AG141" s="210">
        <f t="shared" ref="AG141" si="197">SUM(AG110:AG140)</f>
        <v>0</v>
      </c>
      <c r="AH141" s="112">
        <f t="shared" ref="AH141" si="198">SUM(AH110:AH140)</f>
        <v>0</v>
      </c>
      <c r="AI141" s="209">
        <f t="shared" ref="AI141" si="199">SUM(AI110:AI140)</f>
        <v>0</v>
      </c>
      <c r="AJ141" s="209">
        <f t="shared" ref="AJ141" si="200">SUM(AJ110:AJ140)</f>
        <v>0</v>
      </c>
      <c r="AK141" s="209">
        <f t="shared" ref="AK141" si="201">SUM(AK110:AK140)</f>
        <v>0</v>
      </c>
      <c r="AL141" s="209">
        <f t="shared" ref="AL141" si="202">SUM(AL110:AL140)</f>
        <v>0</v>
      </c>
      <c r="AM141" s="209">
        <f t="shared" ref="AM141" si="203">SUM(AM110:AM140)</f>
        <v>0</v>
      </c>
      <c r="AN141" s="209">
        <f t="shared" ref="AN141" si="204">SUM(AN110:AN140)</f>
        <v>0</v>
      </c>
      <c r="AO141" s="210">
        <f t="shared" ref="AO141" si="205">SUM(AO110:AO140)</f>
        <v>0</v>
      </c>
      <c r="AP141" s="123">
        <f t="shared" ref="AP141" si="206">SUM(AP110:AP140)</f>
        <v>0</v>
      </c>
      <c r="AQ141" s="209">
        <f t="shared" ref="AQ141:AR141" si="207">SUM(AQ110:AQ140)</f>
        <v>0</v>
      </c>
      <c r="AR141" s="209">
        <f t="shared" si="207"/>
        <v>0</v>
      </c>
      <c r="AS141" s="326">
        <f t="shared" ref="AS141:AY141" si="208">SUM(AS110:AS140)</f>
        <v>0</v>
      </c>
      <c r="AT141" s="112">
        <f t="shared" si="208"/>
        <v>0</v>
      </c>
      <c r="AU141" s="209">
        <f t="shared" si="208"/>
        <v>0</v>
      </c>
      <c r="AV141" s="209">
        <f t="shared" si="208"/>
        <v>0</v>
      </c>
      <c r="AW141" s="209">
        <f t="shared" si="208"/>
        <v>0</v>
      </c>
      <c r="AX141" s="209">
        <f t="shared" si="208"/>
        <v>0</v>
      </c>
      <c r="AY141" s="210">
        <f t="shared" si="208"/>
        <v>0</v>
      </c>
      <c r="AZ141" s="112">
        <f>SUM(AZ110:AZ140)</f>
        <v>0</v>
      </c>
      <c r="BA141" s="112">
        <f t="shared" ref="BA141:BK141" si="209">SUM(BA110:BA140)</f>
        <v>0</v>
      </c>
      <c r="BB141" s="112">
        <f t="shared" si="209"/>
        <v>0</v>
      </c>
      <c r="BC141" s="112">
        <f t="shared" si="209"/>
        <v>0</v>
      </c>
      <c r="BD141" s="112">
        <f t="shared" si="209"/>
        <v>0</v>
      </c>
      <c r="BE141" s="112">
        <f t="shared" si="209"/>
        <v>0</v>
      </c>
      <c r="BF141" s="112">
        <f t="shared" si="209"/>
        <v>0</v>
      </c>
      <c r="BG141" s="112">
        <f t="shared" si="209"/>
        <v>0</v>
      </c>
      <c r="BH141" s="112">
        <f t="shared" si="209"/>
        <v>0</v>
      </c>
      <c r="BI141" s="112">
        <f t="shared" si="209"/>
        <v>0</v>
      </c>
      <c r="BJ141" s="112">
        <f t="shared" si="209"/>
        <v>0</v>
      </c>
      <c r="BK141" s="112">
        <f t="shared" si="209"/>
        <v>0</v>
      </c>
      <c r="BL141" s="112">
        <f t="shared" ref="BJ141:BR141" si="210">SUM(BL110:BL140)</f>
        <v>0</v>
      </c>
      <c r="BM141" s="209">
        <f t="shared" si="210"/>
        <v>0</v>
      </c>
      <c r="BN141" s="209">
        <f t="shared" si="210"/>
        <v>0</v>
      </c>
      <c r="BO141" s="209">
        <f t="shared" si="210"/>
        <v>0</v>
      </c>
      <c r="BP141" s="209">
        <f t="shared" si="210"/>
        <v>0</v>
      </c>
      <c r="BQ141" s="210">
        <f t="shared" si="210"/>
        <v>0</v>
      </c>
      <c r="BR141" s="56">
        <f t="shared" si="210"/>
        <v>0</v>
      </c>
      <c r="BT141">
        <f>+BR141-BUS!DF146</f>
        <v>0</v>
      </c>
    </row>
    <row r="145" spans="1:70">
      <c r="A145" s="436" t="s">
        <v>2</v>
      </c>
      <c r="B145" s="440" t="s">
        <v>45</v>
      </c>
      <c r="C145" s="441"/>
      <c r="D145" s="441"/>
      <c r="E145" s="440" t="s">
        <v>46</v>
      </c>
      <c r="F145" s="441"/>
      <c r="G145" s="441"/>
      <c r="H145" s="441"/>
      <c r="I145" s="442"/>
      <c r="J145" s="441" t="s">
        <v>47</v>
      </c>
      <c r="K145" s="441"/>
      <c r="L145" s="441"/>
      <c r="M145" s="442"/>
      <c r="N145" s="431" t="s">
        <v>48</v>
      </c>
      <c r="O145" s="432"/>
      <c r="P145" s="432"/>
      <c r="Q145" s="432"/>
      <c r="R145" s="433"/>
      <c r="S145" s="431" t="s">
        <v>49</v>
      </c>
      <c r="T145" s="432"/>
      <c r="U145" s="432"/>
      <c r="V145" s="432"/>
      <c r="W145" s="433"/>
      <c r="X145" s="431" t="s">
        <v>50</v>
      </c>
      <c r="Y145" s="432"/>
      <c r="Z145" s="432"/>
      <c r="AA145" s="432"/>
      <c r="AB145" s="432"/>
      <c r="AC145" s="432"/>
      <c r="AD145" s="432"/>
      <c r="AE145" s="432"/>
      <c r="AF145" s="432"/>
      <c r="AG145" s="433"/>
      <c r="AH145" s="432" t="s">
        <v>51</v>
      </c>
      <c r="AI145" s="432"/>
      <c r="AJ145" s="432"/>
      <c r="AK145" s="432"/>
      <c r="AL145" s="432"/>
      <c r="AM145" s="432"/>
      <c r="AN145" s="432"/>
      <c r="AO145" s="432"/>
      <c r="AP145" s="431" t="s">
        <v>52</v>
      </c>
      <c r="AQ145" s="432"/>
      <c r="AR145" s="432"/>
      <c r="AS145" s="433"/>
      <c r="AT145" s="431" t="s">
        <v>53</v>
      </c>
      <c r="AU145" s="432"/>
      <c r="AV145" s="432"/>
      <c r="AW145" s="432"/>
      <c r="AX145" s="432"/>
      <c r="AY145" s="433"/>
      <c r="AZ145" s="437" t="s">
        <v>54</v>
      </c>
      <c r="BA145" s="438"/>
      <c r="BB145" s="438"/>
      <c r="BC145" s="438"/>
      <c r="BD145" s="438"/>
      <c r="BE145" s="438"/>
      <c r="BF145" s="438"/>
      <c r="BG145" s="438"/>
      <c r="BH145" s="438"/>
      <c r="BI145" s="438"/>
      <c r="BJ145" s="438"/>
      <c r="BK145" s="439"/>
      <c r="BL145" s="431" t="s">
        <v>55</v>
      </c>
      <c r="BM145" s="432"/>
      <c r="BN145" s="432"/>
      <c r="BO145" s="432"/>
      <c r="BP145" s="432"/>
      <c r="BQ145" s="433"/>
      <c r="BR145" s="430" t="s">
        <v>56</v>
      </c>
    </row>
    <row r="146" spans="1:70">
      <c r="A146" s="436"/>
      <c r="B146" s="291" t="s">
        <v>39</v>
      </c>
      <c r="C146" s="292" t="s">
        <v>39</v>
      </c>
      <c r="D146" s="300" t="s">
        <v>39</v>
      </c>
      <c r="E146" s="291" t="s">
        <v>39</v>
      </c>
      <c r="F146" s="292" t="s">
        <v>39</v>
      </c>
      <c r="G146" s="292" t="s">
        <v>39</v>
      </c>
      <c r="H146" s="292" t="s">
        <v>39</v>
      </c>
      <c r="I146" s="292" t="s">
        <v>39</v>
      </c>
      <c r="J146" s="292" t="s">
        <v>39</v>
      </c>
      <c r="K146" s="292" t="s">
        <v>39</v>
      </c>
      <c r="L146" s="292" t="s">
        <v>39</v>
      </c>
      <c r="M146" s="292" t="s">
        <v>39</v>
      </c>
      <c r="N146" s="291" t="s">
        <v>39</v>
      </c>
      <c r="O146" s="292" t="s">
        <v>39</v>
      </c>
      <c r="P146" s="292" t="s">
        <v>39</v>
      </c>
      <c r="Q146" s="292" t="s">
        <v>39</v>
      </c>
      <c r="R146" s="292" t="s">
        <v>39</v>
      </c>
      <c r="S146" s="291" t="s">
        <v>39</v>
      </c>
      <c r="T146" s="292" t="s">
        <v>39</v>
      </c>
      <c r="U146" s="292" t="s">
        <v>39</v>
      </c>
      <c r="V146" s="292" t="s">
        <v>39</v>
      </c>
      <c r="W146" s="292" t="s">
        <v>39</v>
      </c>
      <c r="X146" s="307" t="s">
        <v>39</v>
      </c>
      <c r="Y146" s="292" t="s">
        <v>41</v>
      </c>
      <c r="Z146" s="300" t="s">
        <v>39</v>
      </c>
      <c r="AA146" s="292" t="s">
        <v>41</v>
      </c>
      <c r="AB146" s="300" t="s">
        <v>39</v>
      </c>
      <c r="AC146" s="292" t="s">
        <v>41</v>
      </c>
      <c r="AD146" s="300" t="s">
        <v>39</v>
      </c>
      <c r="AE146" s="292" t="s">
        <v>41</v>
      </c>
      <c r="AF146" s="300" t="s">
        <v>39</v>
      </c>
      <c r="AG146" s="292" t="s">
        <v>41</v>
      </c>
      <c r="AH146" s="300" t="s">
        <v>39</v>
      </c>
      <c r="AI146" s="292" t="s">
        <v>40</v>
      </c>
      <c r="AJ146" s="300" t="s">
        <v>39</v>
      </c>
      <c r="AK146" s="292" t="s">
        <v>40</v>
      </c>
      <c r="AL146" s="300" t="s">
        <v>39</v>
      </c>
      <c r="AM146" s="292" t="s">
        <v>40</v>
      </c>
      <c r="AN146" s="300" t="s">
        <v>39</v>
      </c>
      <c r="AO146" s="300" t="s">
        <v>40</v>
      </c>
      <c r="AP146" s="307" t="s">
        <v>39</v>
      </c>
      <c r="AQ146" s="300" t="s">
        <v>39</v>
      </c>
      <c r="AR146" s="300" t="s">
        <v>39</v>
      </c>
      <c r="AS146" s="292" t="s">
        <v>39</v>
      </c>
      <c r="AT146" s="309" t="s">
        <v>39</v>
      </c>
      <c r="AU146" s="310" t="s">
        <v>39</v>
      </c>
      <c r="AV146" s="310" t="s">
        <v>39</v>
      </c>
      <c r="AW146" s="310" t="s">
        <v>39</v>
      </c>
      <c r="AX146" s="310" t="s">
        <v>39</v>
      </c>
      <c r="AY146" s="298" t="s">
        <v>39</v>
      </c>
      <c r="AZ146" s="311" t="s">
        <v>39</v>
      </c>
      <c r="BA146" s="312" t="s">
        <v>40</v>
      </c>
      <c r="BB146" s="312" t="s">
        <v>41</v>
      </c>
      <c r="BC146" s="311" t="s">
        <v>39</v>
      </c>
      <c r="BD146" s="312" t="s">
        <v>40</v>
      </c>
      <c r="BE146" s="312" t="s">
        <v>41</v>
      </c>
      <c r="BF146" s="311" t="s">
        <v>39</v>
      </c>
      <c r="BG146" s="312" t="s">
        <v>40</v>
      </c>
      <c r="BH146" s="312" t="s">
        <v>41</v>
      </c>
      <c r="BI146" s="311" t="s">
        <v>39</v>
      </c>
      <c r="BJ146" s="312" t="s">
        <v>40</v>
      </c>
      <c r="BK146" s="312" t="s">
        <v>41</v>
      </c>
      <c r="BL146" s="309" t="s">
        <v>39</v>
      </c>
      <c r="BM146" s="310" t="s">
        <v>39</v>
      </c>
      <c r="BN146" s="310" t="s">
        <v>39</v>
      </c>
      <c r="BO146" s="310" t="s">
        <v>39</v>
      </c>
      <c r="BP146" s="310" t="s">
        <v>39</v>
      </c>
      <c r="BQ146" s="314" t="s">
        <v>39</v>
      </c>
      <c r="BR146" s="430"/>
    </row>
    <row r="147" spans="1:70" ht="15.75" thickBot="1">
      <c r="A147" s="241">
        <v>1</v>
      </c>
      <c r="B147" s="281">
        <f t="shared" ref="B147:M147" si="211">+B110/20</f>
        <v>0</v>
      </c>
      <c r="C147" s="281">
        <f t="shared" si="211"/>
        <v>0</v>
      </c>
      <c r="D147" s="281">
        <f t="shared" si="211"/>
        <v>0</v>
      </c>
      <c r="E147" s="323">
        <f t="shared" si="211"/>
        <v>0</v>
      </c>
      <c r="F147" s="324">
        <f t="shared" si="211"/>
        <v>0</v>
      </c>
      <c r="G147" s="324">
        <f t="shared" si="211"/>
        <v>0</v>
      </c>
      <c r="H147" s="324">
        <f t="shared" si="211"/>
        <v>0</v>
      </c>
      <c r="I147" s="327">
        <f t="shared" si="211"/>
        <v>0</v>
      </c>
      <c r="J147" s="339">
        <f t="shared" si="211"/>
        <v>0</v>
      </c>
      <c r="K147" s="340">
        <f t="shared" si="211"/>
        <v>0</v>
      </c>
      <c r="L147" s="340">
        <f t="shared" si="211"/>
        <v>0</v>
      </c>
      <c r="M147" s="341">
        <f t="shared" si="211"/>
        <v>0</v>
      </c>
      <c r="N147" s="323">
        <f t="shared" ref="N147:R156" si="212">N110/20</f>
        <v>0</v>
      </c>
      <c r="O147" s="328">
        <f t="shared" si="212"/>
        <v>0</v>
      </c>
      <c r="P147" s="328">
        <f t="shared" si="212"/>
        <v>0</v>
      </c>
      <c r="Q147" s="328">
        <f t="shared" si="212"/>
        <v>0</v>
      </c>
      <c r="R147" s="342">
        <f t="shared" si="212"/>
        <v>0</v>
      </c>
      <c r="S147" s="323">
        <f t="shared" ref="S147:X156" si="213">+S110/20</f>
        <v>0</v>
      </c>
      <c r="T147" s="328">
        <f t="shared" si="213"/>
        <v>0</v>
      </c>
      <c r="U147" s="328">
        <f t="shared" si="213"/>
        <v>0</v>
      </c>
      <c r="V147" s="328">
        <f t="shared" si="213"/>
        <v>0</v>
      </c>
      <c r="W147" s="342">
        <f t="shared" si="213"/>
        <v>0</v>
      </c>
      <c r="X147" s="323">
        <f t="shared" si="213"/>
        <v>0</v>
      </c>
      <c r="Y147" s="324">
        <f t="shared" ref="Y147:Y177" si="214">+Y110/30</f>
        <v>0</v>
      </c>
      <c r="Z147" s="324">
        <f t="shared" ref="Z147:Z177" si="215">+Z110/20</f>
        <v>0</v>
      </c>
      <c r="AA147" s="324">
        <f t="shared" ref="AA147:AA177" si="216">+AA110/30</f>
        <v>0</v>
      </c>
      <c r="AB147" s="324">
        <f t="shared" ref="AB147:AB177" si="217">+AB110/20</f>
        <v>0</v>
      </c>
      <c r="AC147" s="324">
        <f t="shared" ref="AC147:AC177" si="218">+AC110/30</f>
        <v>0</v>
      </c>
      <c r="AD147" s="324">
        <f t="shared" ref="AD147:AD177" si="219">+AD110/20</f>
        <v>0</v>
      </c>
      <c r="AE147" s="324">
        <f t="shared" ref="AE147:AE177" si="220">+AE110/30</f>
        <v>0</v>
      </c>
      <c r="AF147" s="324">
        <f t="shared" ref="AF147:AF177" si="221">+AF110/20</f>
        <v>0</v>
      </c>
      <c r="AG147" s="327">
        <f t="shared" ref="AG147:AG177" si="222">+AG110/30</f>
        <v>0</v>
      </c>
      <c r="AH147" s="339">
        <f t="shared" ref="AH147:AH177" si="223">+AH110/20</f>
        <v>0</v>
      </c>
      <c r="AI147" s="347">
        <f t="shared" ref="AI147:AI177" si="224">+AI110/25</f>
        <v>0</v>
      </c>
      <c r="AJ147" s="340">
        <f t="shared" ref="AJ147:AJ177" si="225">+AJ110/20</f>
        <v>0</v>
      </c>
      <c r="AK147" s="347">
        <f t="shared" ref="AK147:AK177" si="226">+AK110/25</f>
        <v>0</v>
      </c>
      <c r="AL147" s="340">
        <f t="shared" ref="AL147:AL177" si="227">+AL110/20</f>
        <v>0</v>
      </c>
      <c r="AM147" s="347">
        <f t="shared" ref="AM147:AM177" si="228">+AM110/25</f>
        <v>0</v>
      </c>
      <c r="AN147" s="340">
        <f t="shared" ref="AN147:AN177" si="229">+AN110/20</f>
        <v>0</v>
      </c>
      <c r="AO147" s="350">
        <f t="shared" ref="AO147:AO177" si="230">+AO110/25</f>
        <v>0</v>
      </c>
      <c r="AP147" s="339">
        <f t="shared" ref="AP147:BK147" si="231">+AP110/20</f>
        <v>0</v>
      </c>
      <c r="AQ147" s="347">
        <f t="shared" si="231"/>
        <v>0</v>
      </c>
      <c r="AR147" s="347">
        <f t="shared" si="231"/>
        <v>0</v>
      </c>
      <c r="AS147" s="351">
        <f t="shared" si="231"/>
        <v>0</v>
      </c>
      <c r="AT147" s="323">
        <f t="shared" si="231"/>
        <v>0</v>
      </c>
      <c r="AU147" s="328">
        <f t="shared" si="231"/>
        <v>0</v>
      </c>
      <c r="AV147" s="328">
        <f t="shared" si="231"/>
        <v>0</v>
      </c>
      <c r="AW147" s="328">
        <f t="shared" si="231"/>
        <v>0</v>
      </c>
      <c r="AX147" s="328">
        <f t="shared" si="231"/>
        <v>0</v>
      </c>
      <c r="AY147" s="355">
        <f t="shared" si="231"/>
        <v>0</v>
      </c>
      <c r="AZ147" s="323">
        <f t="shared" si="231"/>
        <v>0</v>
      </c>
      <c r="BA147" s="323">
        <f t="shared" si="231"/>
        <v>0</v>
      </c>
      <c r="BB147" s="323">
        <f t="shared" si="231"/>
        <v>0</v>
      </c>
      <c r="BC147" s="323">
        <f t="shared" si="231"/>
        <v>0</v>
      </c>
      <c r="BD147" s="323">
        <f t="shared" si="231"/>
        <v>0</v>
      </c>
      <c r="BE147" s="323">
        <f t="shared" si="231"/>
        <v>0</v>
      </c>
      <c r="BF147" s="323">
        <f t="shared" si="231"/>
        <v>0</v>
      </c>
      <c r="BG147" s="323">
        <f t="shared" si="231"/>
        <v>0</v>
      </c>
      <c r="BH147" s="323">
        <f t="shared" si="231"/>
        <v>0</v>
      </c>
      <c r="BI147" s="323">
        <f>+BI110/20</f>
        <v>0</v>
      </c>
      <c r="BJ147" s="323">
        <f t="shared" si="231"/>
        <v>0</v>
      </c>
      <c r="BK147" s="323">
        <f t="shared" si="231"/>
        <v>0</v>
      </c>
      <c r="BL147" s="323">
        <f t="shared" ref="BL147:BQ156" si="232">+BL110/20</f>
        <v>0</v>
      </c>
      <c r="BM147" s="328">
        <f t="shared" si="232"/>
        <v>0</v>
      </c>
      <c r="BN147" s="328">
        <f t="shared" si="232"/>
        <v>0</v>
      </c>
      <c r="BO147" s="328">
        <f t="shared" si="232"/>
        <v>0</v>
      </c>
      <c r="BP147" s="328">
        <f t="shared" si="232"/>
        <v>0</v>
      </c>
      <c r="BQ147" s="342">
        <f t="shared" si="232"/>
        <v>0</v>
      </c>
      <c r="BR147" s="356">
        <f>SUM(H147:BQ147)</f>
        <v>0</v>
      </c>
    </row>
    <row r="148" spans="1:70" ht="15.75" thickBot="1">
      <c r="A148" s="241">
        <v>2</v>
      </c>
      <c r="B148" s="281">
        <f t="shared" ref="B148:M148" si="233">+B111/20</f>
        <v>0</v>
      </c>
      <c r="C148" s="281">
        <f t="shared" si="233"/>
        <v>0</v>
      </c>
      <c r="D148" s="281">
        <f t="shared" si="233"/>
        <v>0</v>
      </c>
      <c r="E148" s="323">
        <f t="shared" si="233"/>
        <v>0</v>
      </c>
      <c r="F148" s="324">
        <f t="shared" si="233"/>
        <v>0</v>
      </c>
      <c r="G148" s="324">
        <f t="shared" si="233"/>
        <v>0</v>
      </c>
      <c r="H148" s="324">
        <f t="shared" si="233"/>
        <v>0</v>
      </c>
      <c r="I148" s="327">
        <f t="shared" si="233"/>
        <v>0</v>
      </c>
      <c r="J148" s="323">
        <f t="shared" si="233"/>
        <v>0</v>
      </c>
      <c r="K148" s="328">
        <f t="shared" si="233"/>
        <v>0</v>
      </c>
      <c r="L148" s="328">
        <f t="shared" si="233"/>
        <v>0</v>
      </c>
      <c r="M148" s="342">
        <f t="shared" si="233"/>
        <v>0</v>
      </c>
      <c r="N148" s="323">
        <f t="shared" si="212"/>
        <v>0</v>
      </c>
      <c r="O148" s="328">
        <f t="shared" si="212"/>
        <v>0</v>
      </c>
      <c r="P148" s="328">
        <f t="shared" si="212"/>
        <v>0</v>
      </c>
      <c r="Q148" s="328">
        <f t="shared" si="212"/>
        <v>0</v>
      </c>
      <c r="R148" s="342">
        <f t="shared" si="212"/>
        <v>0</v>
      </c>
      <c r="S148" s="323">
        <f t="shared" si="213"/>
        <v>0</v>
      </c>
      <c r="T148" s="328">
        <f t="shared" si="213"/>
        <v>0</v>
      </c>
      <c r="U148" s="328">
        <f t="shared" si="213"/>
        <v>0</v>
      </c>
      <c r="V148" s="328">
        <f t="shared" si="213"/>
        <v>0</v>
      </c>
      <c r="W148" s="342">
        <f t="shared" si="213"/>
        <v>0</v>
      </c>
      <c r="X148" s="323">
        <f t="shared" si="213"/>
        <v>0</v>
      </c>
      <c r="Y148" s="324">
        <f t="shared" si="214"/>
        <v>0</v>
      </c>
      <c r="Z148" s="324">
        <f t="shared" si="215"/>
        <v>0</v>
      </c>
      <c r="AA148" s="324">
        <f t="shared" si="216"/>
        <v>0</v>
      </c>
      <c r="AB148" s="324">
        <f t="shared" si="217"/>
        <v>0</v>
      </c>
      <c r="AC148" s="324">
        <f t="shared" si="218"/>
        <v>0</v>
      </c>
      <c r="AD148" s="324">
        <f t="shared" si="219"/>
        <v>0</v>
      </c>
      <c r="AE148" s="324">
        <f t="shared" si="220"/>
        <v>0</v>
      </c>
      <c r="AF148" s="324">
        <f t="shared" si="221"/>
        <v>0</v>
      </c>
      <c r="AG148" s="327">
        <f t="shared" si="222"/>
        <v>0</v>
      </c>
      <c r="AH148" s="323">
        <f t="shared" si="223"/>
        <v>0</v>
      </c>
      <c r="AI148" s="324">
        <f t="shared" si="224"/>
        <v>0</v>
      </c>
      <c r="AJ148" s="328">
        <f t="shared" si="225"/>
        <v>0</v>
      </c>
      <c r="AK148" s="324">
        <f t="shared" si="226"/>
        <v>0</v>
      </c>
      <c r="AL148" s="328">
        <f t="shared" si="227"/>
        <v>0</v>
      </c>
      <c r="AM148" s="324">
        <f t="shared" si="228"/>
        <v>0</v>
      </c>
      <c r="AN148" s="328">
        <f t="shared" si="229"/>
        <v>0</v>
      </c>
      <c r="AO148" s="329">
        <f t="shared" si="230"/>
        <v>0</v>
      </c>
      <c r="AP148" s="323">
        <f t="shared" ref="AP148:BK148" si="234">+AP111/20</f>
        <v>0</v>
      </c>
      <c r="AQ148" s="324">
        <f t="shared" si="234"/>
        <v>0</v>
      </c>
      <c r="AR148" s="347">
        <f t="shared" si="234"/>
        <v>0</v>
      </c>
      <c r="AS148" s="327">
        <f t="shared" si="234"/>
        <v>0</v>
      </c>
      <c r="AT148" s="323">
        <f t="shared" si="234"/>
        <v>0</v>
      </c>
      <c r="AU148" s="328">
        <f t="shared" si="234"/>
        <v>0</v>
      </c>
      <c r="AV148" s="328">
        <f t="shared" si="234"/>
        <v>0</v>
      </c>
      <c r="AW148" s="328">
        <f t="shared" si="234"/>
        <v>0</v>
      </c>
      <c r="AX148" s="328">
        <f t="shared" si="234"/>
        <v>0</v>
      </c>
      <c r="AY148" s="355">
        <f t="shared" si="234"/>
        <v>0</v>
      </c>
      <c r="AZ148" s="323">
        <f t="shared" si="234"/>
        <v>0</v>
      </c>
      <c r="BA148" s="323">
        <f t="shared" si="234"/>
        <v>0</v>
      </c>
      <c r="BB148" s="323">
        <f t="shared" si="234"/>
        <v>0</v>
      </c>
      <c r="BC148" s="323">
        <f t="shared" si="234"/>
        <v>0</v>
      </c>
      <c r="BD148" s="323">
        <f t="shared" si="234"/>
        <v>0</v>
      </c>
      <c r="BE148" s="323">
        <f t="shared" si="234"/>
        <v>0</v>
      </c>
      <c r="BF148" s="323">
        <f t="shared" si="234"/>
        <v>0</v>
      </c>
      <c r="BG148" s="323">
        <f t="shared" si="234"/>
        <v>0</v>
      </c>
      <c r="BH148" s="323">
        <f t="shared" si="234"/>
        <v>0</v>
      </c>
      <c r="BI148" s="323">
        <f t="shared" si="234"/>
        <v>0</v>
      </c>
      <c r="BJ148" s="323">
        <f t="shared" si="234"/>
        <v>0</v>
      </c>
      <c r="BK148" s="323">
        <f t="shared" si="234"/>
        <v>0</v>
      </c>
      <c r="BL148" s="323">
        <f t="shared" si="232"/>
        <v>0</v>
      </c>
      <c r="BM148" s="328">
        <f t="shared" si="232"/>
        <v>0</v>
      </c>
      <c r="BN148" s="328">
        <f t="shared" si="232"/>
        <v>0</v>
      </c>
      <c r="BO148" s="328">
        <f t="shared" si="232"/>
        <v>0</v>
      </c>
      <c r="BP148" s="328">
        <f t="shared" si="232"/>
        <v>0</v>
      </c>
      <c r="BQ148" s="342">
        <f t="shared" si="232"/>
        <v>0</v>
      </c>
      <c r="BR148" s="356">
        <f>SUM(H148:BQ148)</f>
        <v>0</v>
      </c>
    </row>
    <row r="149" spans="1:70" ht="15.75" thickBot="1">
      <c r="A149" s="241">
        <v>3</v>
      </c>
      <c r="B149" s="281">
        <f t="shared" ref="B149:M149" si="235">+B112/20</f>
        <v>0</v>
      </c>
      <c r="C149" s="281">
        <f t="shared" si="235"/>
        <v>0</v>
      </c>
      <c r="D149" s="281">
        <f t="shared" si="235"/>
        <v>0</v>
      </c>
      <c r="E149" s="323">
        <f t="shared" si="235"/>
        <v>0</v>
      </c>
      <c r="F149" s="324">
        <f t="shared" si="235"/>
        <v>0</v>
      </c>
      <c r="G149" s="324">
        <f t="shared" si="235"/>
        <v>0</v>
      </c>
      <c r="H149" s="324">
        <f t="shared" si="235"/>
        <v>0</v>
      </c>
      <c r="I149" s="327">
        <f t="shared" si="235"/>
        <v>0</v>
      </c>
      <c r="J149" s="323">
        <f t="shared" si="235"/>
        <v>0</v>
      </c>
      <c r="K149" s="328">
        <f t="shared" si="235"/>
        <v>0</v>
      </c>
      <c r="L149" s="328">
        <f t="shared" si="235"/>
        <v>0</v>
      </c>
      <c r="M149" s="342">
        <f t="shared" si="235"/>
        <v>0</v>
      </c>
      <c r="N149" s="323">
        <f t="shared" si="212"/>
        <v>0</v>
      </c>
      <c r="O149" s="328">
        <f t="shared" si="212"/>
        <v>0</v>
      </c>
      <c r="P149" s="328">
        <f t="shared" si="212"/>
        <v>0</v>
      </c>
      <c r="Q149" s="328">
        <f t="shared" si="212"/>
        <v>0</v>
      </c>
      <c r="R149" s="342">
        <f t="shared" si="212"/>
        <v>0</v>
      </c>
      <c r="S149" s="323">
        <f t="shared" si="213"/>
        <v>0</v>
      </c>
      <c r="T149" s="328">
        <f t="shared" si="213"/>
        <v>0</v>
      </c>
      <c r="U149" s="328">
        <f t="shared" si="213"/>
        <v>0</v>
      </c>
      <c r="V149" s="328">
        <f t="shared" si="213"/>
        <v>0</v>
      </c>
      <c r="W149" s="342">
        <f t="shared" si="213"/>
        <v>0</v>
      </c>
      <c r="X149" s="323">
        <f t="shared" si="213"/>
        <v>0</v>
      </c>
      <c r="Y149" s="324">
        <f t="shared" si="214"/>
        <v>0</v>
      </c>
      <c r="Z149" s="324">
        <f t="shared" si="215"/>
        <v>0</v>
      </c>
      <c r="AA149" s="324">
        <f t="shared" si="216"/>
        <v>0</v>
      </c>
      <c r="AB149" s="324">
        <f t="shared" si="217"/>
        <v>0</v>
      </c>
      <c r="AC149" s="324">
        <f t="shared" si="218"/>
        <v>0</v>
      </c>
      <c r="AD149" s="324">
        <f t="shared" si="219"/>
        <v>0</v>
      </c>
      <c r="AE149" s="324">
        <f t="shared" si="220"/>
        <v>0</v>
      </c>
      <c r="AF149" s="324">
        <f t="shared" si="221"/>
        <v>0</v>
      </c>
      <c r="AG149" s="327">
        <f t="shared" si="222"/>
        <v>0</v>
      </c>
      <c r="AH149" s="323">
        <f t="shared" si="223"/>
        <v>0</v>
      </c>
      <c r="AI149" s="324">
        <f t="shared" si="224"/>
        <v>0</v>
      </c>
      <c r="AJ149" s="328">
        <f t="shared" si="225"/>
        <v>0</v>
      </c>
      <c r="AK149" s="324">
        <f t="shared" si="226"/>
        <v>0</v>
      </c>
      <c r="AL149" s="328">
        <f t="shared" si="227"/>
        <v>0</v>
      </c>
      <c r="AM149" s="324">
        <f t="shared" si="228"/>
        <v>0</v>
      </c>
      <c r="AN149" s="328">
        <f t="shared" si="229"/>
        <v>0</v>
      </c>
      <c r="AO149" s="329">
        <f t="shared" si="230"/>
        <v>0</v>
      </c>
      <c r="AP149" s="323">
        <f t="shared" ref="AP149:BK149" si="236">+AP112/20</f>
        <v>0</v>
      </c>
      <c r="AQ149" s="324">
        <f t="shared" si="236"/>
        <v>0</v>
      </c>
      <c r="AR149" s="347">
        <f t="shared" si="236"/>
        <v>0</v>
      </c>
      <c r="AS149" s="327">
        <f t="shared" si="236"/>
        <v>0</v>
      </c>
      <c r="AT149" s="323">
        <f t="shared" si="236"/>
        <v>0</v>
      </c>
      <c r="AU149" s="328">
        <f t="shared" si="236"/>
        <v>0</v>
      </c>
      <c r="AV149" s="328">
        <f t="shared" si="236"/>
        <v>0</v>
      </c>
      <c r="AW149" s="328">
        <f t="shared" si="236"/>
        <v>0</v>
      </c>
      <c r="AX149" s="328">
        <f t="shared" si="236"/>
        <v>0</v>
      </c>
      <c r="AY149" s="355">
        <f t="shared" si="236"/>
        <v>0</v>
      </c>
      <c r="AZ149" s="323">
        <f t="shared" si="236"/>
        <v>0</v>
      </c>
      <c r="BA149" s="323">
        <f t="shared" si="236"/>
        <v>0</v>
      </c>
      <c r="BB149" s="323">
        <f t="shared" si="236"/>
        <v>0</v>
      </c>
      <c r="BC149" s="323">
        <f t="shared" si="236"/>
        <v>0</v>
      </c>
      <c r="BD149" s="323">
        <f t="shared" si="236"/>
        <v>0</v>
      </c>
      <c r="BE149" s="323">
        <f t="shared" si="236"/>
        <v>0</v>
      </c>
      <c r="BF149" s="323">
        <f t="shared" si="236"/>
        <v>0</v>
      </c>
      <c r="BG149" s="323">
        <f t="shared" si="236"/>
        <v>0</v>
      </c>
      <c r="BH149" s="323">
        <f t="shared" si="236"/>
        <v>0</v>
      </c>
      <c r="BI149" s="323">
        <f t="shared" si="236"/>
        <v>0</v>
      </c>
      <c r="BJ149" s="323">
        <f t="shared" si="236"/>
        <v>0</v>
      </c>
      <c r="BK149" s="323">
        <f t="shared" si="236"/>
        <v>0</v>
      </c>
      <c r="BL149" s="323">
        <f t="shared" si="232"/>
        <v>0</v>
      </c>
      <c r="BM149" s="328">
        <f t="shared" si="232"/>
        <v>0</v>
      </c>
      <c r="BN149" s="328">
        <f t="shared" si="232"/>
        <v>0</v>
      </c>
      <c r="BO149" s="328">
        <f t="shared" si="232"/>
        <v>0</v>
      </c>
      <c r="BP149" s="328">
        <f t="shared" si="232"/>
        <v>0</v>
      </c>
      <c r="BQ149" s="342">
        <f t="shared" si="232"/>
        <v>0</v>
      </c>
      <c r="BR149" s="356">
        <f>SUM(H149:BQ149)</f>
        <v>0</v>
      </c>
    </row>
    <row r="150" spans="1:70" ht="15.75" thickBot="1">
      <c r="A150" s="241">
        <v>4</v>
      </c>
      <c r="B150" s="281">
        <f t="shared" ref="B150:M150" si="237">+B113/20</f>
        <v>0</v>
      </c>
      <c r="C150" s="281">
        <f t="shared" si="237"/>
        <v>0</v>
      </c>
      <c r="D150" s="281">
        <f t="shared" si="237"/>
        <v>0</v>
      </c>
      <c r="E150" s="323">
        <f t="shared" si="237"/>
        <v>0</v>
      </c>
      <c r="F150" s="324">
        <f t="shared" si="237"/>
        <v>0</v>
      </c>
      <c r="G150" s="324">
        <f t="shared" si="237"/>
        <v>0</v>
      </c>
      <c r="H150" s="324">
        <f t="shared" si="237"/>
        <v>0</v>
      </c>
      <c r="I150" s="327">
        <f t="shared" si="237"/>
        <v>0</v>
      </c>
      <c r="J150" s="323">
        <f t="shared" si="237"/>
        <v>0</v>
      </c>
      <c r="K150" s="328">
        <f t="shared" si="237"/>
        <v>0</v>
      </c>
      <c r="L150" s="328">
        <f t="shared" si="237"/>
        <v>0</v>
      </c>
      <c r="M150" s="342">
        <f t="shared" si="237"/>
        <v>0</v>
      </c>
      <c r="N150" s="323">
        <f t="shared" si="212"/>
        <v>0</v>
      </c>
      <c r="O150" s="328">
        <f t="shared" si="212"/>
        <v>0</v>
      </c>
      <c r="P150" s="328">
        <f t="shared" si="212"/>
        <v>0</v>
      </c>
      <c r="Q150" s="328">
        <f t="shared" si="212"/>
        <v>0</v>
      </c>
      <c r="R150" s="342">
        <f t="shared" si="212"/>
        <v>0</v>
      </c>
      <c r="S150" s="323">
        <f t="shared" si="213"/>
        <v>0</v>
      </c>
      <c r="T150" s="328">
        <f t="shared" si="213"/>
        <v>0</v>
      </c>
      <c r="U150" s="328">
        <f t="shared" si="213"/>
        <v>0</v>
      </c>
      <c r="V150" s="328">
        <f t="shared" si="213"/>
        <v>0</v>
      </c>
      <c r="W150" s="342">
        <f t="shared" si="213"/>
        <v>0</v>
      </c>
      <c r="X150" s="323">
        <f t="shared" si="213"/>
        <v>0</v>
      </c>
      <c r="Y150" s="324">
        <f t="shared" si="214"/>
        <v>0</v>
      </c>
      <c r="Z150" s="324">
        <f t="shared" si="215"/>
        <v>0</v>
      </c>
      <c r="AA150" s="324">
        <f t="shared" si="216"/>
        <v>0</v>
      </c>
      <c r="AB150" s="324">
        <f t="shared" si="217"/>
        <v>0</v>
      </c>
      <c r="AC150" s="324">
        <f t="shared" si="218"/>
        <v>0</v>
      </c>
      <c r="AD150" s="324">
        <f t="shared" si="219"/>
        <v>0</v>
      </c>
      <c r="AE150" s="324">
        <f t="shared" si="220"/>
        <v>0</v>
      </c>
      <c r="AF150" s="324">
        <f t="shared" si="221"/>
        <v>0</v>
      </c>
      <c r="AG150" s="327">
        <f t="shared" si="222"/>
        <v>0</v>
      </c>
      <c r="AH150" s="323">
        <f t="shared" si="223"/>
        <v>0</v>
      </c>
      <c r="AI150" s="324">
        <f t="shared" si="224"/>
        <v>0</v>
      </c>
      <c r="AJ150" s="328">
        <f t="shared" si="225"/>
        <v>0</v>
      </c>
      <c r="AK150" s="324">
        <f t="shared" si="226"/>
        <v>0</v>
      </c>
      <c r="AL150" s="328">
        <f t="shared" si="227"/>
        <v>0</v>
      </c>
      <c r="AM150" s="324">
        <f t="shared" si="228"/>
        <v>0</v>
      </c>
      <c r="AN150" s="328">
        <f t="shared" si="229"/>
        <v>0</v>
      </c>
      <c r="AO150" s="329">
        <f t="shared" si="230"/>
        <v>0</v>
      </c>
      <c r="AP150" s="323">
        <f t="shared" ref="AP150:BK150" si="238">+AP113/20</f>
        <v>0</v>
      </c>
      <c r="AQ150" s="324">
        <f t="shared" si="238"/>
        <v>0</v>
      </c>
      <c r="AR150" s="347">
        <f t="shared" si="238"/>
        <v>0</v>
      </c>
      <c r="AS150" s="327">
        <f t="shared" si="238"/>
        <v>0</v>
      </c>
      <c r="AT150" s="323">
        <f t="shared" si="238"/>
        <v>0</v>
      </c>
      <c r="AU150" s="328">
        <f t="shared" si="238"/>
        <v>0</v>
      </c>
      <c r="AV150" s="328">
        <f t="shared" si="238"/>
        <v>0</v>
      </c>
      <c r="AW150" s="328">
        <f t="shared" si="238"/>
        <v>0</v>
      </c>
      <c r="AX150" s="328">
        <f t="shared" si="238"/>
        <v>0</v>
      </c>
      <c r="AY150" s="355">
        <f t="shared" si="238"/>
        <v>0</v>
      </c>
      <c r="AZ150" s="323">
        <f t="shared" si="238"/>
        <v>0</v>
      </c>
      <c r="BA150" s="323">
        <f t="shared" si="238"/>
        <v>0</v>
      </c>
      <c r="BB150" s="323">
        <f t="shared" si="238"/>
        <v>0</v>
      </c>
      <c r="BC150" s="323">
        <f t="shared" si="238"/>
        <v>0</v>
      </c>
      <c r="BD150" s="323">
        <f t="shared" si="238"/>
        <v>0</v>
      </c>
      <c r="BE150" s="323">
        <f t="shared" si="238"/>
        <v>0</v>
      </c>
      <c r="BF150" s="323">
        <f t="shared" si="238"/>
        <v>0</v>
      </c>
      <c r="BG150" s="323">
        <f t="shared" si="238"/>
        <v>0</v>
      </c>
      <c r="BH150" s="323">
        <f t="shared" si="238"/>
        <v>0</v>
      </c>
      <c r="BI150" s="323">
        <f t="shared" si="238"/>
        <v>0</v>
      </c>
      <c r="BJ150" s="323">
        <f t="shared" si="238"/>
        <v>0</v>
      </c>
      <c r="BK150" s="323">
        <f t="shared" si="238"/>
        <v>0</v>
      </c>
      <c r="BL150" s="323">
        <f t="shared" si="232"/>
        <v>0</v>
      </c>
      <c r="BM150" s="328">
        <f t="shared" si="232"/>
        <v>0</v>
      </c>
      <c r="BN150" s="328">
        <f t="shared" si="232"/>
        <v>0</v>
      </c>
      <c r="BO150" s="328">
        <f t="shared" si="232"/>
        <v>0</v>
      </c>
      <c r="BP150" s="328">
        <f t="shared" si="232"/>
        <v>0</v>
      </c>
      <c r="BQ150" s="342">
        <f t="shared" si="232"/>
        <v>0</v>
      </c>
      <c r="BR150" s="356">
        <f>SUM(H150:BQ150)</f>
        <v>0</v>
      </c>
    </row>
    <row r="151" spans="1:70" ht="15.75" thickBot="1">
      <c r="A151" s="241">
        <v>5</v>
      </c>
      <c r="B151" s="281">
        <f t="shared" ref="B151:M151" si="239">+B114/20</f>
        <v>0</v>
      </c>
      <c r="C151" s="281">
        <f t="shared" si="239"/>
        <v>0</v>
      </c>
      <c r="D151" s="281">
        <f t="shared" si="239"/>
        <v>0</v>
      </c>
      <c r="E151" s="323">
        <f t="shared" si="239"/>
        <v>0</v>
      </c>
      <c r="F151" s="324">
        <f t="shared" si="239"/>
        <v>0</v>
      </c>
      <c r="G151" s="324">
        <f t="shared" si="239"/>
        <v>0</v>
      </c>
      <c r="H151" s="324">
        <f t="shared" si="239"/>
        <v>0</v>
      </c>
      <c r="I151" s="327">
        <f t="shared" si="239"/>
        <v>0</v>
      </c>
      <c r="J151" s="323">
        <f t="shared" si="239"/>
        <v>0</v>
      </c>
      <c r="K151" s="328">
        <f t="shared" si="239"/>
        <v>0</v>
      </c>
      <c r="L151" s="328">
        <f t="shared" si="239"/>
        <v>0</v>
      </c>
      <c r="M151" s="342">
        <f t="shared" si="239"/>
        <v>0</v>
      </c>
      <c r="N151" s="323">
        <f t="shared" si="212"/>
        <v>0</v>
      </c>
      <c r="O151" s="328">
        <f t="shared" si="212"/>
        <v>0</v>
      </c>
      <c r="P151" s="328">
        <f t="shared" si="212"/>
        <v>0</v>
      </c>
      <c r="Q151" s="328">
        <f t="shared" si="212"/>
        <v>0</v>
      </c>
      <c r="R151" s="342">
        <f t="shared" si="212"/>
        <v>0</v>
      </c>
      <c r="S151" s="323">
        <f t="shared" si="213"/>
        <v>0</v>
      </c>
      <c r="T151" s="328">
        <f t="shared" si="213"/>
        <v>0</v>
      </c>
      <c r="U151" s="328">
        <f t="shared" si="213"/>
        <v>0</v>
      </c>
      <c r="V151" s="328">
        <f t="shared" si="213"/>
        <v>0</v>
      </c>
      <c r="W151" s="342">
        <f t="shared" si="213"/>
        <v>0</v>
      </c>
      <c r="X151" s="323">
        <f t="shared" si="213"/>
        <v>0</v>
      </c>
      <c r="Y151" s="324">
        <f t="shared" si="214"/>
        <v>0</v>
      </c>
      <c r="Z151" s="324">
        <f t="shared" si="215"/>
        <v>0</v>
      </c>
      <c r="AA151" s="324">
        <f t="shared" si="216"/>
        <v>0</v>
      </c>
      <c r="AB151" s="324">
        <f t="shared" si="217"/>
        <v>0</v>
      </c>
      <c r="AC151" s="324">
        <f t="shared" si="218"/>
        <v>0</v>
      </c>
      <c r="AD151" s="324">
        <f t="shared" si="219"/>
        <v>0</v>
      </c>
      <c r="AE151" s="324">
        <f t="shared" si="220"/>
        <v>0</v>
      </c>
      <c r="AF151" s="324">
        <f t="shared" si="221"/>
        <v>0</v>
      </c>
      <c r="AG151" s="327">
        <f t="shared" si="222"/>
        <v>0</v>
      </c>
      <c r="AH151" s="323">
        <f t="shared" si="223"/>
        <v>0</v>
      </c>
      <c r="AI151" s="324">
        <f t="shared" si="224"/>
        <v>0</v>
      </c>
      <c r="AJ151" s="328">
        <f t="shared" si="225"/>
        <v>0</v>
      </c>
      <c r="AK151" s="324">
        <f t="shared" si="226"/>
        <v>0</v>
      </c>
      <c r="AL151" s="328">
        <f t="shared" si="227"/>
        <v>0</v>
      </c>
      <c r="AM151" s="324">
        <f t="shared" si="228"/>
        <v>0</v>
      </c>
      <c r="AN151" s="328">
        <f t="shared" si="229"/>
        <v>0</v>
      </c>
      <c r="AO151" s="329">
        <f t="shared" si="230"/>
        <v>0</v>
      </c>
      <c r="AP151" s="323">
        <f t="shared" ref="AP151:BK151" si="240">+AP114/20</f>
        <v>0</v>
      </c>
      <c r="AQ151" s="324">
        <f t="shared" si="240"/>
        <v>0</v>
      </c>
      <c r="AR151" s="347">
        <f t="shared" si="240"/>
        <v>0</v>
      </c>
      <c r="AS151" s="327">
        <f t="shared" si="240"/>
        <v>0</v>
      </c>
      <c r="AT151" s="323">
        <f t="shared" si="240"/>
        <v>0</v>
      </c>
      <c r="AU151" s="328">
        <f t="shared" si="240"/>
        <v>0</v>
      </c>
      <c r="AV151" s="328">
        <f t="shared" si="240"/>
        <v>0</v>
      </c>
      <c r="AW151" s="328">
        <f t="shared" si="240"/>
        <v>0</v>
      </c>
      <c r="AX151" s="328">
        <f t="shared" si="240"/>
        <v>0</v>
      </c>
      <c r="AY151" s="355">
        <f t="shared" si="240"/>
        <v>0</v>
      </c>
      <c r="AZ151" s="323">
        <f t="shared" si="240"/>
        <v>0</v>
      </c>
      <c r="BA151" s="323">
        <f t="shared" si="240"/>
        <v>0</v>
      </c>
      <c r="BB151" s="323">
        <f t="shared" si="240"/>
        <v>0</v>
      </c>
      <c r="BC151" s="323">
        <f t="shared" si="240"/>
        <v>0</v>
      </c>
      <c r="BD151" s="323">
        <f t="shared" si="240"/>
        <v>0</v>
      </c>
      <c r="BE151" s="323">
        <f t="shared" si="240"/>
        <v>0</v>
      </c>
      <c r="BF151" s="323">
        <f t="shared" si="240"/>
        <v>0</v>
      </c>
      <c r="BG151" s="323">
        <f t="shared" si="240"/>
        <v>0</v>
      </c>
      <c r="BH151" s="323">
        <f t="shared" si="240"/>
        <v>0</v>
      </c>
      <c r="BI151" s="323">
        <f t="shared" si="240"/>
        <v>0</v>
      </c>
      <c r="BJ151" s="323">
        <f t="shared" si="240"/>
        <v>0</v>
      </c>
      <c r="BK151" s="323">
        <f t="shared" si="240"/>
        <v>0</v>
      </c>
      <c r="BL151" s="323">
        <f t="shared" si="232"/>
        <v>0</v>
      </c>
      <c r="BM151" s="328">
        <f t="shared" si="232"/>
        <v>0</v>
      </c>
      <c r="BN151" s="328">
        <f t="shared" si="232"/>
        <v>0</v>
      </c>
      <c r="BO151" s="328">
        <f t="shared" si="232"/>
        <v>0</v>
      </c>
      <c r="BP151" s="328">
        <f t="shared" si="232"/>
        <v>0</v>
      </c>
      <c r="BQ151" s="342">
        <f t="shared" si="232"/>
        <v>0</v>
      </c>
      <c r="BR151" s="356">
        <f>SUM(H151:BQ151)</f>
        <v>0</v>
      </c>
    </row>
    <row r="152" spans="1:70" ht="15.75" thickBot="1">
      <c r="A152" s="241">
        <v>6</v>
      </c>
      <c r="B152" s="281">
        <f t="shared" ref="B152:M152" si="241">+B115/20</f>
        <v>0</v>
      </c>
      <c r="C152" s="281">
        <f t="shared" si="241"/>
        <v>0</v>
      </c>
      <c r="D152" s="281">
        <f t="shared" si="241"/>
        <v>0</v>
      </c>
      <c r="E152" s="323">
        <f t="shared" si="241"/>
        <v>0</v>
      </c>
      <c r="F152" s="324">
        <f t="shared" si="241"/>
        <v>0</v>
      </c>
      <c r="G152" s="324">
        <f t="shared" si="241"/>
        <v>0</v>
      </c>
      <c r="H152" s="324">
        <f t="shared" si="241"/>
        <v>0</v>
      </c>
      <c r="I152" s="327">
        <f t="shared" si="241"/>
        <v>0</v>
      </c>
      <c r="J152" s="323">
        <f t="shared" si="241"/>
        <v>0</v>
      </c>
      <c r="K152" s="328">
        <f t="shared" si="241"/>
        <v>0</v>
      </c>
      <c r="L152" s="328">
        <f t="shared" si="241"/>
        <v>0</v>
      </c>
      <c r="M152" s="342">
        <f t="shared" si="241"/>
        <v>0</v>
      </c>
      <c r="N152" s="323">
        <f t="shared" si="212"/>
        <v>0</v>
      </c>
      <c r="O152" s="328">
        <f t="shared" si="212"/>
        <v>0</v>
      </c>
      <c r="P152" s="328">
        <f t="shared" si="212"/>
        <v>0</v>
      </c>
      <c r="Q152" s="328">
        <f t="shared" si="212"/>
        <v>0</v>
      </c>
      <c r="R152" s="342">
        <f t="shared" si="212"/>
        <v>0</v>
      </c>
      <c r="S152" s="323">
        <f t="shared" si="213"/>
        <v>0</v>
      </c>
      <c r="T152" s="328">
        <f t="shared" si="213"/>
        <v>0</v>
      </c>
      <c r="U152" s="328">
        <f t="shared" si="213"/>
        <v>0</v>
      </c>
      <c r="V152" s="328">
        <f t="shared" si="213"/>
        <v>0</v>
      </c>
      <c r="W152" s="342">
        <f t="shared" si="213"/>
        <v>0</v>
      </c>
      <c r="X152" s="323">
        <f t="shared" si="213"/>
        <v>0</v>
      </c>
      <c r="Y152" s="324">
        <f t="shared" si="214"/>
        <v>0</v>
      </c>
      <c r="Z152" s="324">
        <f t="shared" si="215"/>
        <v>0</v>
      </c>
      <c r="AA152" s="324">
        <f t="shared" si="216"/>
        <v>0</v>
      </c>
      <c r="AB152" s="324">
        <f t="shared" si="217"/>
        <v>0</v>
      </c>
      <c r="AC152" s="324">
        <f t="shared" si="218"/>
        <v>0</v>
      </c>
      <c r="AD152" s="324">
        <f t="shared" si="219"/>
        <v>0</v>
      </c>
      <c r="AE152" s="324">
        <f t="shared" si="220"/>
        <v>0</v>
      </c>
      <c r="AF152" s="324">
        <f t="shared" si="221"/>
        <v>0</v>
      </c>
      <c r="AG152" s="327">
        <f t="shared" si="222"/>
        <v>0</v>
      </c>
      <c r="AH152" s="323">
        <f t="shared" si="223"/>
        <v>0</v>
      </c>
      <c r="AI152" s="324">
        <f t="shared" si="224"/>
        <v>0</v>
      </c>
      <c r="AJ152" s="328">
        <f t="shared" si="225"/>
        <v>0</v>
      </c>
      <c r="AK152" s="324">
        <f t="shared" si="226"/>
        <v>0</v>
      </c>
      <c r="AL152" s="328">
        <f t="shared" si="227"/>
        <v>0</v>
      </c>
      <c r="AM152" s="324">
        <f t="shared" si="228"/>
        <v>0</v>
      </c>
      <c r="AN152" s="328">
        <f t="shared" si="229"/>
        <v>0</v>
      </c>
      <c r="AO152" s="329">
        <f t="shared" si="230"/>
        <v>0</v>
      </c>
      <c r="AP152" s="323">
        <f t="shared" ref="AP152:BK152" si="242">+AP115/20</f>
        <v>0</v>
      </c>
      <c r="AQ152" s="324">
        <f t="shared" si="242"/>
        <v>0</v>
      </c>
      <c r="AR152" s="347">
        <f t="shared" si="242"/>
        <v>0</v>
      </c>
      <c r="AS152" s="327">
        <f t="shared" si="242"/>
        <v>0</v>
      </c>
      <c r="AT152" s="323">
        <f t="shared" si="242"/>
        <v>0</v>
      </c>
      <c r="AU152" s="328">
        <f t="shared" si="242"/>
        <v>0</v>
      </c>
      <c r="AV152" s="328">
        <f t="shared" si="242"/>
        <v>0</v>
      </c>
      <c r="AW152" s="328">
        <f t="shared" si="242"/>
        <v>0</v>
      </c>
      <c r="AX152" s="328">
        <f t="shared" si="242"/>
        <v>0</v>
      </c>
      <c r="AY152" s="355">
        <f t="shared" si="242"/>
        <v>0</v>
      </c>
      <c r="AZ152" s="323">
        <f t="shared" si="242"/>
        <v>0</v>
      </c>
      <c r="BA152" s="323">
        <f t="shared" si="242"/>
        <v>0</v>
      </c>
      <c r="BB152" s="323">
        <f t="shared" si="242"/>
        <v>0</v>
      </c>
      <c r="BC152" s="323">
        <f t="shared" si="242"/>
        <v>0</v>
      </c>
      <c r="BD152" s="323">
        <f t="shared" si="242"/>
        <v>0</v>
      </c>
      <c r="BE152" s="323">
        <f t="shared" si="242"/>
        <v>0</v>
      </c>
      <c r="BF152" s="323">
        <f t="shared" si="242"/>
        <v>0</v>
      </c>
      <c r="BG152" s="323">
        <f t="shared" si="242"/>
        <v>0</v>
      </c>
      <c r="BH152" s="323">
        <f t="shared" si="242"/>
        <v>0</v>
      </c>
      <c r="BI152" s="323">
        <f t="shared" si="242"/>
        <v>0</v>
      </c>
      <c r="BJ152" s="323">
        <f t="shared" si="242"/>
        <v>0</v>
      </c>
      <c r="BK152" s="323">
        <f t="shared" si="242"/>
        <v>0</v>
      </c>
      <c r="BL152" s="323">
        <f t="shared" si="232"/>
        <v>0</v>
      </c>
      <c r="BM152" s="328">
        <f t="shared" si="232"/>
        <v>0</v>
      </c>
      <c r="BN152" s="328">
        <f t="shared" si="232"/>
        <v>0</v>
      </c>
      <c r="BO152" s="328">
        <f t="shared" si="232"/>
        <v>0</v>
      </c>
      <c r="BP152" s="328">
        <f t="shared" si="232"/>
        <v>0</v>
      </c>
      <c r="BQ152" s="342">
        <f t="shared" si="232"/>
        <v>0</v>
      </c>
      <c r="BR152" s="356">
        <f>SUM(H152:BQ152)</f>
        <v>0</v>
      </c>
    </row>
    <row r="153" spans="1:70" ht="15.75" thickBot="1">
      <c r="A153" s="241">
        <v>7</v>
      </c>
      <c r="B153" s="281">
        <f t="shared" ref="B153:M153" si="243">+B116/20</f>
        <v>0</v>
      </c>
      <c r="C153" s="281">
        <f t="shared" si="243"/>
        <v>0</v>
      </c>
      <c r="D153" s="281">
        <f t="shared" si="243"/>
        <v>0</v>
      </c>
      <c r="E153" s="323">
        <f t="shared" si="243"/>
        <v>0</v>
      </c>
      <c r="F153" s="324">
        <f t="shared" si="243"/>
        <v>0</v>
      </c>
      <c r="G153" s="324">
        <f t="shared" si="243"/>
        <v>0</v>
      </c>
      <c r="H153" s="324">
        <f t="shared" si="243"/>
        <v>0</v>
      </c>
      <c r="I153" s="327">
        <f t="shared" si="243"/>
        <v>0</v>
      </c>
      <c r="J153" s="323">
        <f t="shared" si="243"/>
        <v>0</v>
      </c>
      <c r="K153" s="328">
        <f t="shared" si="243"/>
        <v>0</v>
      </c>
      <c r="L153" s="328">
        <f t="shared" si="243"/>
        <v>0</v>
      </c>
      <c r="M153" s="342">
        <f t="shared" si="243"/>
        <v>0</v>
      </c>
      <c r="N153" s="323">
        <f t="shared" si="212"/>
        <v>0</v>
      </c>
      <c r="O153" s="328">
        <f t="shared" si="212"/>
        <v>0</v>
      </c>
      <c r="P153" s="328">
        <f t="shared" si="212"/>
        <v>0</v>
      </c>
      <c r="Q153" s="328">
        <f t="shared" si="212"/>
        <v>0</v>
      </c>
      <c r="R153" s="342">
        <f t="shared" si="212"/>
        <v>0</v>
      </c>
      <c r="S153" s="323">
        <f t="shared" si="213"/>
        <v>0</v>
      </c>
      <c r="T153" s="328">
        <f t="shared" si="213"/>
        <v>0</v>
      </c>
      <c r="U153" s="328">
        <f t="shared" si="213"/>
        <v>0</v>
      </c>
      <c r="V153" s="328">
        <f t="shared" si="213"/>
        <v>0</v>
      </c>
      <c r="W153" s="342">
        <f t="shared" si="213"/>
        <v>0</v>
      </c>
      <c r="X153" s="323">
        <f t="shared" si="213"/>
        <v>0</v>
      </c>
      <c r="Y153" s="324">
        <f t="shared" si="214"/>
        <v>0</v>
      </c>
      <c r="Z153" s="324">
        <f t="shared" si="215"/>
        <v>0</v>
      </c>
      <c r="AA153" s="324">
        <f t="shared" si="216"/>
        <v>0</v>
      </c>
      <c r="AB153" s="324">
        <f t="shared" si="217"/>
        <v>0</v>
      </c>
      <c r="AC153" s="324">
        <f t="shared" si="218"/>
        <v>0</v>
      </c>
      <c r="AD153" s="324">
        <f t="shared" si="219"/>
        <v>0</v>
      </c>
      <c r="AE153" s="324">
        <f t="shared" si="220"/>
        <v>0</v>
      </c>
      <c r="AF153" s="324">
        <f t="shared" si="221"/>
        <v>0</v>
      </c>
      <c r="AG153" s="327">
        <f t="shared" si="222"/>
        <v>0</v>
      </c>
      <c r="AH153" s="323">
        <f t="shared" si="223"/>
        <v>0</v>
      </c>
      <c r="AI153" s="324">
        <f t="shared" si="224"/>
        <v>0</v>
      </c>
      <c r="AJ153" s="328">
        <f t="shared" si="225"/>
        <v>0</v>
      </c>
      <c r="AK153" s="324">
        <f t="shared" si="226"/>
        <v>0</v>
      </c>
      <c r="AL153" s="328">
        <f t="shared" si="227"/>
        <v>0</v>
      </c>
      <c r="AM153" s="324">
        <f t="shared" si="228"/>
        <v>0</v>
      </c>
      <c r="AN153" s="328">
        <f t="shared" si="229"/>
        <v>0</v>
      </c>
      <c r="AO153" s="329">
        <f t="shared" si="230"/>
        <v>0</v>
      </c>
      <c r="AP153" s="323">
        <f t="shared" ref="AP153:BK153" si="244">+AP116/20</f>
        <v>0</v>
      </c>
      <c r="AQ153" s="324">
        <f t="shared" si="244"/>
        <v>0</v>
      </c>
      <c r="AR153" s="347">
        <f t="shared" si="244"/>
        <v>0</v>
      </c>
      <c r="AS153" s="327">
        <f t="shared" si="244"/>
        <v>0</v>
      </c>
      <c r="AT153" s="323">
        <f t="shared" si="244"/>
        <v>0</v>
      </c>
      <c r="AU153" s="328">
        <f t="shared" si="244"/>
        <v>0</v>
      </c>
      <c r="AV153" s="328">
        <f t="shared" si="244"/>
        <v>0</v>
      </c>
      <c r="AW153" s="328">
        <f t="shared" si="244"/>
        <v>0</v>
      </c>
      <c r="AX153" s="328">
        <f t="shared" si="244"/>
        <v>0</v>
      </c>
      <c r="AY153" s="355">
        <f t="shared" si="244"/>
        <v>0</v>
      </c>
      <c r="AZ153" s="323">
        <f t="shared" si="244"/>
        <v>0</v>
      </c>
      <c r="BA153" s="323">
        <f t="shared" si="244"/>
        <v>0</v>
      </c>
      <c r="BB153" s="323">
        <f t="shared" si="244"/>
        <v>0</v>
      </c>
      <c r="BC153" s="323">
        <f t="shared" si="244"/>
        <v>0</v>
      </c>
      <c r="BD153" s="323">
        <f t="shared" si="244"/>
        <v>0</v>
      </c>
      <c r="BE153" s="323">
        <f t="shared" si="244"/>
        <v>0</v>
      </c>
      <c r="BF153" s="323">
        <f t="shared" si="244"/>
        <v>0</v>
      </c>
      <c r="BG153" s="323">
        <f t="shared" si="244"/>
        <v>0</v>
      </c>
      <c r="BH153" s="323">
        <f t="shared" si="244"/>
        <v>0</v>
      </c>
      <c r="BI153" s="323">
        <f t="shared" si="244"/>
        <v>0</v>
      </c>
      <c r="BJ153" s="323">
        <f t="shared" si="244"/>
        <v>0</v>
      </c>
      <c r="BK153" s="323">
        <f t="shared" si="244"/>
        <v>0</v>
      </c>
      <c r="BL153" s="323">
        <f t="shared" si="232"/>
        <v>0</v>
      </c>
      <c r="BM153" s="328">
        <f t="shared" si="232"/>
        <v>0</v>
      </c>
      <c r="BN153" s="328">
        <f t="shared" si="232"/>
        <v>0</v>
      </c>
      <c r="BO153" s="328">
        <f t="shared" si="232"/>
        <v>0</v>
      </c>
      <c r="BP153" s="328">
        <f t="shared" si="232"/>
        <v>0</v>
      </c>
      <c r="BQ153" s="342">
        <f t="shared" si="232"/>
        <v>0</v>
      </c>
      <c r="BR153" s="356">
        <f>SUM(H153:BQ153)</f>
        <v>0</v>
      </c>
    </row>
    <row r="154" spans="1:70" ht="15.75" thickBot="1">
      <c r="A154" s="241">
        <v>8</v>
      </c>
      <c r="B154" s="281">
        <f t="shared" ref="B154:M154" si="245">+B117/20</f>
        <v>0</v>
      </c>
      <c r="C154" s="281">
        <f t="shared" si="245"/>
        <v>0</v>
      </c>
      <c r="D154" s="281">
        <f t="shared" si="245"/>
        <v>0</v>
      </c>
      <c r="E154" s="323">
        <f t="shared" si="245"/>
        <v>0</v>
      </c>
      <c r="F154" s="324">
        <f t="shared" si="245"/>
        <v>0</v>
      </c>
      <c r="G154" s="324">
        <f t="shared" si="245"/>
        <v>0</v>
      </c>
      <c r="H154" s="324">
        <f t="shared" si="245"/>
        <v>0</v>
      </c>
      <c r="I154" s="327">
        <f t="shared" si="245"/>
        <v>0</v>
      </c>
      <c r="J154" s="323">
        <f t="shared" si="245"/>
        <v>0</v>
      </c>
      <c r="K154" s="328">
        <f t="shared" si="245"/>
        <v>0</v>
      </c>
      <c r="L154" s="328">
        <f t="shared" si="245"/>
        <v>0</v>
      </c>
      <c r="M154" s="342">
        <f t="shared" si="245"/>
        <v>0</v>
      </c>
      <c r="N154" s="323">
        <f t="shared" si="212"/>
        <v>0</v>
      </c>
      <c r="O154" s="328">
        <f t="shared" si="212"/>
        <v>0</v>
      </c>
      <c r="P154" s="328">
        <f t="shared" si="212"/>
        <v>0</v>
      </c>
      <c r="Q154" s="328">
        <f t="shared" si="212"/>
        <v>0</v>
      </c>
      <c r="R154" s="342">
        <f t="shared" si="212"/>
        <v>0</v>
      </c>
      <c r="S154" s="323">
        <f t="shared" si="213"/>
        <v>0</v>
      </c>
      <c r="T154" s="328">
        <f t="shared" si="213"/>
        <v>0</v>
      </c>
      <c r="U154" s="328">
        <f t="shared" si="213"/>
        <v>0</v>
      </c>
      <c r="V154" s="328">
        <f t="shared" si="213"/>
        <v>0</v>
      </c>
      <c r="W154" s="342">
        <f t="shared" si="213"/>
        <v>0</v>
      </c>
      <c r="X154" s="323">
        <f t="shared" si="213"/>
        <v>0</v>
      </c>
      <c r="Y154" s="324">
        <f t="shared" si="214"/>
        <v>0</v>
      </c>
      <c r="Z154" s="324">
        <f t="shared" si="215"/>
        <v>0</v>
      </c>
      <c r="AA154" s="324">
        <f t="shared" si="216"/>
        <v>0</v>
      </c>
      <c r="AB154" s="324">
        <f t="shared" si="217"/>
        <v>0</v>
      </c>
      <c r="AC154" s="324">
        <f t="shared" si="218"/>
        <v>0</v>
      </c>
      <c r="AD154" s="324">
        <f t="shared" si="219"/>
        <v>0</v>
      </c>
      <c r="AE154" s="324">
        <f t="shared" si="220"/>
        <v>0</v>
      </c>
      <c r="AF154" s="324">
        <f t="shared" si="221"/>
        <v>0</v>
      </c>
      <c r="AG154" s="327">
        <f t="shared" si="222"/>
        <v>0</v>
      </c>
      <c r="AH154" s="323">
        <f t="shared" si="223"/>
        <v>0</v>
      </c>
      <c r="AI154" s="324">
        <f t="shared" si="224"/>
        <v>0</v>
      </c>
      <c r="AJ154" s="328">
        <f t="shared" si="225"/>
        <v>0</v>
      </c>
      <c r="AK154" s="324">
        <f t="shared" si="226"/>
        <v>0</v>
      </c>
      <c r="AL154" s="328">
        <f t="shared" si="227"/>
        <v>0</v>
      </c>
      <c r="AM154" s="324">
        <f t="shared" si="228"/>
        <v>0</v>
      </c>
      <c r="AN154" s="328">
        <f t="shared" si="229"/>
        <v>0</v>
      </c>
      <c r="AO154" s="329">
        <f t="shared" si="230"/>
        <v>0</v>
      </c>
      <c r="AP154" s="323">
        <f t="shared" ref="AP154:BK154" si="246">+AP117/20</f>
        <v>0</v>
      </c>
      <c r="AQ154" s="324">
        <f t="shared" si="246"/>
        <v>0</v>
      </c>
      <c r="AR154" s="347">
        <f t="shared" si="246"/>
        <v>0</v>
      </c>
      <c r="AS154" s="327">
        <f t="shared" si="246"/>
        <v>0</v>
      </c>
      <c r="AT154" s="323">
        <f t="shared" si="246"/>
        <v>0</v>
      </c>
      <c r="AU154" s="328">
        <f t="shared" si="246"/>
        <v>0</v>
      </c>
      <c r="AV154" s="328">
        <f t="shared" si="246"/>
        <v>0</v>
      </c>
      <c r="AW154" s="328">
        <f t="shared" si="246"/>
        <v>0</v>
      </c>
      <c r="AX154" s="328">
        <f t="shared" si="246"/>
        <v>0</v>
      </c>
      <c r="AY154" s="355">
        <f t="shared" si="246"/>
        <v>0</v>
      </c>
      <c r="AZ154" s="323">
        <f t="shared" si="246"/>
        <v>0</v>
      </c>
      <c r="BA154" s="323">
        <f t="shared" si="246"/>
        <v>0</v>
      </c>
      <c r="BB154" s="323">
        <f t="shared" si="246"/>
        <v>0</v>
      </c>
      <c r="BC154" s="323">
        <f t="shared" si="246"/>
        <v>0</v>
      </c>
      <c r="BD154" s="323">
        <f t="shared" si="246"/>
        <v>0</v>
      </c>
      <c r="BE154" s="323">
        <f t="shared" si="246"/>
        <v>0</v>
      </c>
      <c r="BF154" s="323">
        <f t="shared" si="246"/>
        <v>0</v>
      </c>
      <c r="BG154" s="323">
        <f t="shared" si="246"/>
        <v>0</v>
      </c>
      <c r="BH154" s="323">
        <f t="shared" si="246"/>
        <v>0</v>
      </c>
      <c r="BI154" s="323">
        <f t="shared" si="246"/>
        <v>0</v>
      </c>
      <c r="BJ154" s="323">
        <f t="shared" si="246"/>
        <v>0</v>
      </c>
      <c r="BK154" s="323">
        <f t="shared" si="246"/>
        <v>0</v>
      </c>
      <c r="BL154" s="323">
        <f t="shared" si="232"/>
        <v>0</v>
      </c>
      <c r="BM154" s="328">
        <f t="shared" si="232"/>
        <v>0</v>
      </c>
      <c r="BN154" s="328">
        <f t="shared" si="232"/>
        <v>0</v>
      </c>
      <c r="BO154" s="328">
        <f t="shared" si="232"/>
        <v>0</v>
      </c>
      <c r="BP154" s="328">
        <f t="shared" si="232"/>
        <v>0</v>
      </c>
      <c r="BQ154" s="342">
        <f t="shared" si="232"/>
        <v>0</v>
      </c>
      <c r="BR154" s="356">
        <f>SUM(H154:BQ154)</f>
        <v>0</v>
      </c>
    </row>
    <row r="155" spans="1:70" ht="15.75" thickBot="1">
      <c r="A155" s="241">
        <v>9</v>
      </c>
      <c r="B155" s="281">
        <f t="shared" ref="B155:M155" si="247">+B118/20</f>
        <v>0</v>
      </c>
      <c r="C155" s="281">
        <f t="shared" si="247"/>
        <v>0</v>
      </c>
      <c r="D155" s="281">
        <f t="shared" si="247"/>
        <v>0</v>
      </c>
      <c r="E155" s="323">
        <f t="shared" si="247"/>
        <v>0</v>
      </c>
      <c r="F155" s="324">
        <f t="shared" si="247"/>
        <v>0</v>
      </c>
      <c r="G155" s="324">
        <f t="shared" si="247"/>
        <v>0</v>
      </c>
      <c r="H155" s="324">
        <f t="shared" si="247"/>
        <v>0</v>
      </c>
      <c r="I155" s="327">
        <f t="shared" si="247"/>
        <v>0</v>
      </c>
      <c r="J155" s="323">
        <f t="shared" si="247"/>
        <v>0</v>
      </c>
      <c r="K155" s="328">
        <f t="shared" si="247"/>
        <v>0</v>
      </c>
      <c r="L155" s="328">
        <f t="shared" si="247"/>
        <v>0</v>
      </c>
      <c r="M155" s="342">
        <f t="shared" si="247"/>
        <v>0</v>
      </c>
      <c r="N155" s="323">
        <f t="shared" si="212"/>
        <v>0</v>
      </c>
      <c r="O155" s="328">
        <f t="shared" si="212"/>
        <v>0</v>
      </c>
      <c r="P155" s="328">
        <f t="shared" si="212"/>
        <v>0</v>
      </c>
      <c r="Q155" s="328">
        <f t="shared" si="212"/>
        <v>0</v>
      </c>
      <c r="R155" s="342">
        <f t="shared" si="212"/>
        <v>0</v>
      </c>
      <c r="S155" s="323">
        <f t="shared" si="213"/>
        <v>0</v>
      </c>
      <c r="T155" s="328">
        <f t="shared" si="213"/>
        <v>0</v>
      </c>
      <c r="U155" s="328">
        <f t="shared" si="213"/>
        <v>0</v>
      </c>
      <c r="V155" s="328">
        <f t="shared" si="213"/>
        <v>0</v>
      </c>
      <c r="W155" s="342">
        <f t="shared" si="213"/>
        <v>0</v>
      </c>
      <c r="X155" s="323">
        <f t="shared" si="213"/>
        <v>0</v>
      </c>
      <c r="Y155" s="324">
        <f t="shared" si="214"/>
        <v>0</v>
      </c>
      <c r="Z155" s="324">
        <f t="shared" si="215"/>
        <v>0</v>
      </c>
      <c r="AA155" s="324">
        <f t="shared" si="216"/>
        <v>0</v>
      </c>
      <c r="AB155" s="324">
        <f t="shared" si="217"/>
        <v>0</v>
      </c>
      <c r="AC155" s="324">
        <f t="shared" si="218"/>
        <v>0</v>
      </c>
      <c r="AD155" s="324">
        <f t="shared" si="219"/>
        <v>0</v>
      </c>
      <c r="AE155" s="324">
        <f t="shared" si="220"/>
        <v>0</v>
      </c>
      <c r="AF155" s="324">
        <f t="shared" si="221"/>
        <v>0</v>
      </c>
      <c r="AG155" s="327">
        <f t="shared" si="222"/>
        <v>0</v>
      </c>
      <c r="AH155" s="323">
        <f t="shared" si="223"/>
        <v>0</v>
      </c>
      <c r="AI155" s="324">
        <f t="shared" si="224"/>
        <v>0</v>
      </c>
      <c r="AJ155" s="328">
        <f t="shared" si="225"/>
        <v>0</v>
      </c>
      <c r="AK155" s="324">
        <f t="shared" si="226"/>
        <v>0</v>
      </c>
      <c r="AL155" s="328">
        <f t="shared" si="227"/>
        <v>0</v>
      </c>
      <c r="AM155" s="324">
        <f t="shared" si="228"/>
        <v>0</v>
      </c>
      <c r="AN155" s="328">
        <f t="shared" si="229"/>
        <v>0</v>
      </c>
      <c r="AO155" s="329">
        <f t="shared" si="230"/>
        <v>0</v>
      </c>
      <c r="AP155" s="323">
        <f t="shared" ref="AP155:BK155" si="248">+AP118/20</f>
        <v>0</v>
      </c>
      <c r="AQ155" s="324">
        <f t="shared" si="248"/>
        <v>0</v>
      </c>
      <c r="AR155" s="347">
        <f t="shared" si="248"/>
        <v>0</v>
      </c>
      <c r="AS155" s="327">
        <f t="shared" si="248"/>
        <v>0</v>
      </c>
      <c r="AT155" s="323">
        <f t="shared" si="248"/>
        <v>0</v>
      </c>
      <c r="AU155" s="328">
        <f t="shared" si="248"/>
        <v>0</v>
      </c>
      <c r="AV155" s="328">
        <f t="shared" si="248"/>
        <v>0</v>
      </c>
      <c r="AW155" s="328">
        <f t="shared" si="248"/>
        <v>0</v>
      </c>
      <c r="AX155" s="328">
        <f t="shared" si="248"/>
        <v>0</v>
      </c>
      <c r="AY155" s="355">
        <f t="shared" si="248"/>
        <v>0</v>
      </c>
      <c r="AZ155" s="323">
        <f t="shared" si="248"/>
        <v>0</v>
      </c>
      <c r="BA155" s="323">
        <f t="shared" si="248"/>
        <v>0</v>
      </c>
      <c r="BB155" s="323">
        <f t="shared" si="248"/>
        <v>0</v>
      </c>
      <c r="BC155" s="323">
        <f t="shared" si="248"/>
        <v>0</v>
      </c>
      <c r="BD155" s="323">
        <f t="shared" si="248"/>
        <v>0</v>
      </c>
      <c r="BE155" s="323">
        <f t="shared" si="248"/>
        <v>0</v>
      </c>
      <c r="BF155" s="323">
        <f t="shared" si="248"/>
        <v>0</v>
      </c>
      <c r="BG155" s="323">
        <f t="shared" si="248"/>
        <v>0</v>
      </c>
      <c r="BH155" s="323">
        <f t="shared" si="248"/>
        <v>0</v>
      </c>
      <c r="BI155" s="323">
        <f t="shared" si="248"/>
        <v>0</v>
      </c>
      <c r="BJ155" s="323">
        <f t="shared" si="248"/>
        <v>0</v>
      </c>
      <c r="BK155" s="323">
        <f t="shared" si="248"/>
        <v>0</v>
      </c>
      <c r="BL155" s="323">
        <f t="shared" si="232"/>
        <v>0</v>
      </c>
      <c r="BM155" s="328">
        <f t="shared" si="232"/>
        <v>0</v>
      </c>
      <c r="BN155" s="328">
        <f t="shared" si="232"/>
        <v>0</v>
      </c>
      <c r="BO155" s="328">
        <f t="shared" si="232"/>
        <v>0</v>
      </c>
      <c r="BP155" s="328">
        <f t="shared" si="232"/>
        <v>0</v>
      </c>
      <c r="BQ155" s="342">
        <f t="shared" si="232"/>
        <v>0</v>
      </c>
      <c r="BR155" s="356">
        <f>SUM(H155:BQ155)</f>
        <v>0</v>
      </c>
    </row>
    <row r="156" spans="1:70" ht="15.75" thickBot="1">
      <c r="A156" s="241">
        <v>10</v>
      </c>
      <c r="B156" s="281">
        <f t="shared" ref="B156:M156" si="249">+B119/20</f>
        <v>0</v>
      </c>
      <c r="C156" s="281">
        <f t="shared" si="249"/>
        <v>0</v>
      </c>
      <c r="D156" s="281">
        <f t="shared" si="249"/>
        <v>0</v>
      </c>
      <c r="E156" s="323">
        <f t="shared" si="249"/>
        <v>0</v>
      </c>
      <c r="F156" s="324">
        <f t="shared" si="249"/>
        <v>0</v>
      </c>
      <c r="G156" s="324">
        <f t="shared" si="249"/>
        <v>0</v>
      </c>
      <c r="H156" s="324">
        <f t="shared" si="249"/>
        <v>0</v>
      </c>
      <c r="I156" s="327">
        <f t="shared" si="249"/>
        <v>0</v>
      </c>
      <c r="J156" s="323">
        <f t="shared" si="249"/>
        <v>0</v>
      </c>
      <c r="K156" s="328">
        <f t="shared" si="249"/>
        <v>0</v>
      </c>
      <c r="L156" s="328">
        <f t="shared" si="249"/>
        <v>0</v>
      </c>
      <c r="M156" s="342">
        <f t="shared" si="249"/>
        <v>0</v>
      </c>
      <c r="N156" s="323">
        <f t="shared" si="212"/>
        <v>0</v>
      </c>
      <c r="O156" s="328">
        <f t="shared" si="212"/>
        <v>0</v>
      </c>
      <c r="P156" s="328">
        <f t="shared" si="212"/>
        <v>0</v>
      </c>
      <c r="Q156" s="328">
        <f t="shared" si="212"/>
        <v>0</v>
      </c>
      <c r="R156" s="342">
        <f t="shared" si="212"/>
        <v>0</v>
      </c>
      <c r="S156" s="323">
        <f t="shared" si="213"/>
        <v>0</v>
      </c>
      <c r="T156" s="328">
        <f t="shared" si="213"/>
        <v>0</v>
      </c>
      <c r="U156" s="328">
        <f t="shared" si="213"/>
        <v>0</v>
      </c>
      <c r="V156" s="328">
        <f t="shared" si="213"/>
        <v>0</v>
      </c>
      <c r="W156" s="342">
        <f t="shared" si="213"/>
        <v>0</v>
      </c>
      <c r="X156" s="323">
        <f t="shared" si="213"/>
        <v>0</v>
      </c>
      <c r="Y156" s="324">
        <f t="shared" si="214"/>
        <v>0</v>
      </c>
      <c r="Z156" s="324">
        <f t="shared" si="215"/>
        <v>0</v>
      </c>
      <c r="AA156" s="324">
        <f t="shared" si="216"/>
        <v>0</v>
      </c>
      <c r="AB156" s="324">
        <f t="shared" si="217"/>
        <v>0</v>
      </c>
      <c r="AC156" s="324">
        <f t="shared" si="218"/>
        <v>0</v>
      </c>
      <c r="AD156" s="324">
        <f t="shared" si="219"/>
        <v>0</v>
      </c>
      <c r="AE156" s="324">
        <f t="shared" si="220"/>
        <v>0</v>
      </c>
      <c r="AF156" s="324">
        <f t="shared" si="221"/>
        <v>0</v>
      </c>
      <c r="AG156" s="327">
        <f t="shared" si="222"/>
        <v>0</v>
      </c>
      <c r="AH156" s="323">
        <f t="shared" si="223"/>
        <v>0</v>
      </c>
      <c r="AI156" s="324">
        <f t="shared" si="224"/>
        <v>0</v>
      </c>
      <c r="AJ156" s="328">
        <f t="shared" si="225"/>
        <v>0</v>
      </c>
      <c r="AK156" s="324">
        <f t="shared" si="226"/>
        <v>0</v>
      </c>
      <c r="AL156" s="328">
        <f t="shared" si="227"/>
        <v>0</v>
      </c>
      <c r="AM156" s="324">
        <f t="shared" si="228"/>
        <v>0</v>
      </c>
      <c r="AN156" s="328">
        <f t="shared" si="229"/>
        <v>0</v>
      </c>
      <c r="AO156" s="329">
        <f t="shared" si="230"/>
        <v>0</v>
      </c>
      <c r="AP156" s="323">
        <f t="shared" ref="AP156:BK156" si="250">+AP119/20</f>
        <v>0</v>
      </c>
      <c r="AQ156" s="324">
        <f t="shared" si="250"/>
        <v>0</v>
      </c>
      <c r="AR156" s="347">
        <f t="shared" si="250"/>
        <v>0</v>
      </c>
      <c r="AS156" s="327">
        <f t="shared" si="250"/>
        <v>0</v>
      </c>
      <c r="AT156" s="323">
        <f t="shared" si="250"/>
        <v>0</v>
      </c>
      <c r="AU156" s="328">
        <f t="shared" si="250"/>
        <v>0</v>
      </c>
      <c r="AV156" s="328">
        <f t="shared" si="250"/>
        <v>0</v>
      </c>
      <c r="AW156" s="328">
        <f t="shared" si="250"/>
        <v>0</v>
      </c>
      <c r="AX156" s="328">
        <f t="shared" si="250"/>
        <v>0</v>
      </c>
      <c r="AY156" s="355">
        <f t="shared" si="250"/>
        <v>0</v>
      </c>
      <c r="AZ156" s="323">
        <f t="shared" si="250"/>
        <v>0</v>
      </c>
      <c r="BA156" s="323">
        <f t="shared" si="250"/>
        <v>0</v>
      </c>
      <c r="BB156" s="323">
        <f t="shared" si="250"/>
        <v>0</v>
      </c>
      <c r="BC156" s="323">
        <f t="shared" si="250"/>
        <v>0</v>
      </c>
      <c r="BD156" s="323">
        <f t="shared" si="250"/>
        <v>0</v>
      </c>
      <c r="BE156" s="323">
        <f t="shared" si="250"/>
        <v>0</v>
      </c>
      <c r="BF156" s="323">
        <f t="shared" si="250"/>
        <v>0</v>
      </c>
      <c r="BG156" s="323">
        <f t="shared" si="250"/>
        <v>0</v>
      </c>
      <c r="BH156" s="323">
        <f t="shared" si="250"/>
        <v>0</v>
      </c>
      <c r="BI156" s="323">
        <f t="shared" si="250"/>
        <v>0</v>
      </c>
      <c r="BJ156" s="323">
        <f t="shared" si="250"/>
        <v>0</v>
      </c>
      <c r="BK156" s="323">
        <f t="shared" si="250"/>
        <v>0</v>
      </c>
      <c r="BL156" s="323">
        <f t="shared" si="232"/>
        <v>0</v>
      </c>
      <c r="BM156" s="328">
        <f t="shared" si="232"/>
        <v>0</v>
      </c>
      <c r="BN156" s="328">
        <f t="shared" si="232"/>
        <v>0</v>
      </c>
      <c r="BO156" s="328">
        <f t="shared" si="232"/>
        <v>0</v>
      </c>
      <c r="BP156" s="328">
        <f t="shared" si="232"/>
        <v>0</v>
      </c>
      <c r="BQ156" s="342">
        <f t="shared" si="232"/>
        <v>0</v>
      </c>
      <c r="BR156" s="356">
        <f>SUM(H156:BQ156)</f>
        <v>0</v>
      </c>
    </row>
    <row r="157" spans="1:70" ht="15.75" thickBot="1">
      <c r="A157" s="241">
        <v>11</v>
      </c>
      <c r="B157" s="281">
        <f t="shared" ref="B157:M157" si="251">+B120/20</f>
        <v>0</v>
      </c>
      <c r="C157" s="281">
        <f t="shared" si="251"/>
        <v>0</v>
      </c>
      <c r="D157" s="281">
        <f t="shared" si="251"/>
        <v>0</v>
      </c>
      <c r="E157" s="323">
        <f t="shared" si="251"/>
        <v>0</v>
      </c>
      <c r="F157" s="324">
        <f t="shared" si="251"/>
        <v>0</v>
      </c>
      <c r="G157" s="324">
        <f t="shared" si="251"/>
        <v>0</v>
      </c>
      <c r="H157" s="324">
        <f t="shared" si="251"/>
        <v>0</v>
      </c>
      <c r="I157" s="327">
        <f t="shared" si="251"/>
        <v>0</v>
      </c>
      <c r="J157" s="323">
        <f t="shared" si="251"/>
        <v>0</v>
      </c>
      <c r="K157" s="328">
        <f t="shared" si="251"/>
        <v>0</v>
      </c>
      <c r="L157" s="328">
        <f t="shared" si="251"/>
        <v>0</v>
      </c>
      <c r="M157" s="342">
        <f t="shared" si="251"/>
        <v>0</v>
      </c>
      <c r="N157" s="323">
        <f t="shared" ref="N157:R166" si="252">N120/20</f>
        <v>0</v>
      </c>
      <c r="O157" s="328">
        <f t="shared" si="252"/>
        <v>0</v>
      </c>
      <c r="P157" s="328">
        <f t="shared" si="252"/>
        <v>0</v>
      </c>
      <c r="Q157" s="328">
        <f t="shared" si="252"/>
        <v>0</v>
      </c>
      <c r="R157" s="342">
        <f t="shared" si="252"/>
        <v>0</v>
      </c>
      <c r="S157" s="323">
        <f t="shared" ref="S157:X166" si="253">+S120/20</f>
        <v>0</v>
      </c>
      <c r="T157" s="328">
        <f t="shared" si="253"/>
        <v>0</v>
      </c>
      <c r="U157" s="328">
        <f t="shared" si="253"/>
        <v>0</v>
      </c>
      <c r="V157" s="328">
        <f t="shared" si="253"/>
        <v>0</v>
      </c>
      <c r="W157" s="342">
        <f t="shared" si="253"/>
        <v>0</v>
      </c>
      <c r="X157" s="323">
        <f t="shared" si="253"/>
        <v>0</v>
      </c>
      <c r="Y157" s="324">
        <f t="shared" si="214"/>
        <v>0</v>
      </c>
      <c r="Z157" s="324">
        <f t="shared" si="215"/>
        <v>0</v>
      </c>
      <c r="AA157" s="324">
        <f t="shared" si="216"/>
        <v>0</v>
      </c>
      <c r="AB157" s="324">
        <f t="shared" si="217"/>
        <v>0</v>
      </c>
      <c r="AC157" s="324">
        <f t="shared" si="218"/>
        <v>0</v>
      </c>
      <c r="AD157" s="324">
        <f t="shared" si="219"/>
        <v>0</v>
      </c>
      <c r="AE157" s="324">
        <f t="shared" si="220"/>
        <v>0</v>
      </c>
      <c r="AF157" s="324">
        <f t="shared" si="221"/>
        <v>0</v>
      </c>
      <c r="AG157" s="327">
        <f t="shared" si="222"/>
        <v>0</v>
      </c>
      <c r="AH157" s="323">
        <f t="shared" si="223"/>
        <v>0</v>
      </c>
      <c r="AI157" s="324">
        <f t="shared" si="224"/>
        <v>0</v>
      </c>
      <c r="AJ157" s="328">
        <f t="shared" si="225"/>
        <v>0</v>
      </c>
      <c r="AK157" s="324">
        <f t="shared" si="226"/>
        <v>0</v>
      </c>
      <c r="AL157" s="328">
        <f t="shared" si="227"/>
        <v>0</v>
      </c>
      <c r="AM157" s="324">
        <f t="shared" si="228"/>
        <v>0</v>
      </c>
      <c r="AN157" s="328">
        <f t="shared" si="229"/>
        <v>0</v>
      </c>
      <c r="AO157" s="329">
        <f t="shared" si="230"/>
        <v>0</v>
      </c>
      <c r="AP157" s="323">
        <f t="shared" ref="AP157:BK157" si="254">+AP120/20</f>
        <v>0</v>
      </c>
      <c r="AQ157" s="324">
        <f t="shared" si="254"/>
        <v>0</v>
      </c>
      <c r="AR157" s="347">
        <f t="shared" si="254"/>
        <v>0</v>
      </c>
      <c r="AS157" s="327">
        <f t="shared" si="254"/>
        <v>0</v>
      </c>
      <c r="AT157" s="323">
        <f t="shared" si="254"/>
        <v>0</v>
      </c>
      <c r="AU157" s="328">
        <f t="shared" si="254"/>
        <v>0</v>
      </c>
      <c r="AV157" s="328">
        <f t="shared" si="254"/>
        <v>0</v>
      </c>
      <c r="AW157" s="328">
        <f t="shared" si="254"/>
        <v>0</v>
      </c>
      <c r="AX157" s="328">
        <f t="shared" si="254"/>
        <v>0</v>
      </c>
      <c r="AY157" s="355">
        <f t="shared" si="254"/>
        <v>0</v>
      </c>
      <c r="AZ157" s="323">
        <f t="shared" si="254"/>
        <v>0</v>
      </c>
      <c r="BA157" s="323">
        <f t="shared" si="254"/>
        <v>0</v>
      </c>
      <c r="BB157" s="323">
        <f t="shared" si="254"/>
        <v>0</v>
      </c>
      <c r="BC157" s="323">
        <f t="shared" si="254"/>
        <v>0</v>
      </c>
      <c r="BD157" s="323">
        <f t="shared" si="254"/>
        <v>0</v>
      </c>
      <c r="BE157" s="323">
        <f t="shared" si="254"/>
        <v>0</v>
      </c>
      <c r="BF157" s="323">
        <f t="shared" si="254"/>
        <v>0</v>
      </c>
      <c r="BG157" s="323">
        <f t="shared" si="254"/>
        <v>0</v>
      </c>
      <c r="BH157" s="323">
        <f t="shared" si="254"/>
        <v>0</v>
      </c>
      <c r="BI157" s="323">
        <f t="shared" si="254"/>
        <v>0</v>
      </c>
      <c r="BJ157" s="323">
        <f t="shared" si="254"/>
        <v>0</v>
      </c>
      <c r="BK157" s="323">
        <f t="shared" si="254"/>
        <v>0</v>
      </c>
      <c r="BL157" s="323">
        <f t="shared" ref="BL157:BQ166" si="255">+BL120/20</f>
        <v>0</v>
      </c>
      <c r="BM157" s="328">
        <f t="shared" si="255"/>
        <v>0</v>
      </c>
      <c r="BN157" s="328">
        <f t="shared" si="255"/>
        <v>0</v>
      </c>
      <c r="BO157" s="328">
        <f t="shared" si="255"/>
        <v>0</v>
      </c>
      <c r="BP157" s="328">
        <f t="shared" si="255"/>
        <v>0</v>
      </c>
      <c r="BQ157" s="342">
        <f t="shared" si="255"/>
        <v>0</v>
      </c>
      <c r="BR157" s="356">
        <f>SUM(H157:BQ157)</f>
        <v>0</v>
      </c>
    </row>
    <row r="158" spans="1:70" ht="15.75" thickBot="1">
      <c r="A158" s="241">
        <v>12</v>
      </c>
      <c r="B158" s="281">
        <f t="shared" ref="B158:M158" si="256">+B121/20</f>
        <v>0</v>
      </c>
      <c r="C158" s="281">
        <f t="shared" si="256"/>
        <v>0</v>
      </c>
      <c r="D158" s="281">
        <f t="shared" si="256"/>
        <v>0</v>
      </c>
      <c r="E158" s="323">
        <f t="shared" si="256"/>
        <v>0</v>
      </c>
      <c r="F158" s="324">
        <f t="shared" si="256"/>
        <v>0</v>
      </c>
      <c r="G158" s="324">
        <f t="shared" si="256"/>
        <v>0</v>
      </c>
      <c r="H158" s="324">
        <f t="shared" si="256"/>
        <v>0</v>
      </c>
      <c r="I158" s="327">
        <f t="shared" si="256"/>
        <v>0</v>
      </c>
      <c r="J158" s="323">
        <f t="shared" si="256"/>
        <v>0</v>
      </c>
      <c r="K158" s="328">
        <f t="shared" si="256"/>
        <v>0</v>
      </c>
      <c r="L158" s="328">
        <f t="shared" si="256"/>
        <v>0</v>
      </c>
      <c r="M158" s="342">
        <f t="shared" si="256"/>
        <v>0</v>
      </c>
      <c r="N158" s="323">
        <f t="shared" si="252"/>
        <v>0</v>
      </c>
      <c r="O158" s="328">
        <f t="shared" si="252"/>
        <v>0</v>
      </c>
      <c r="P158" s="328">
        <f t="shared" si="252"/>
        <v>0</v>
      </c>
      <c r="Q158" s="328">
        <f t="shared" si="252"/>
        <v>0</v>
      </c>
      <c r="R158" s="342">
        <f t="shared" si="252"/>
        <v>0</v>
      </c>
      <c r="S158" s="323">
        <f t="shared" si="253"/>
        <v>0</v>
      </c>
      <c r="T158" s="328">
        <f t="shared" si="253"/>
        <v>0</v>
      </c>
      <c r="U158" s="328">
        <f t="shared" si="253"/>
        <v>0</v>
      </c>
      <c r="V158" s="328">
        <f t="shared" si="253"/>
        <v>0</v>
      </c>
      <c r="W158" s="342">
        <f t="shared" si="253"/>
        <v>0</v>
      </c>
      <c r="X158" s="323">
        <f t="shared" si="253"/>
        <v>0</v>
      </c>
      <c r="Y158" s="324">
        <f t="shared" si="214"/>
        <v>0</v>
      </c>
      <c r="Z158" s="324">
        <f t="shared" si="215"/>
        <v>0</v>
      </c>
      <c r="AA158" s="324">
        <f t="shared" si="216"/>
        <v>0</v>
      </c>
      <c r="AB158" s="324">
        <f t="shared" si="217"/>
        <v>0</v>
      </c>
      <c r="AC158" s="324">
        <f t="shared" si="218"/>
        <v>0</v>
      </c>
      <c r="AD158" s="324">
        <f t="shared" si="219"/>
        <v>0</v>
      </c>
      <c r="AE158" s="324">
        <f t="shared" si="220"/>
        <v>0</v>
      </c>
      <c r="AF158" s="324">
        <f t="shared" si="221"/>
        <v>0</v>
      </c>
      <c r="AG158" s="327">
        <f t="shared" si="222"/>
        <v>0</v>
      </c>
      <c r="AH158" s="323">
        <f t="shared" si="223"/>
        <v>0</v>
      </c>
      <c r="AI158" s="324">
        <f t="shared" si="224"/>
        <v>0</v>
      </c>
      <c r="AJ158" s="328">
        <f t="shared" si="225"/>
        <v>0</v>
      </c>
      <c r="AK158" s="324">
        <f t="shared" si="226"/>
        <v>0</v>
      </c>
      <c r="AL158" s="328">
        <f t="shared" si="227"/>
        <v>0</v>
      </c>
      <c r="AM158" s="324">
        <f t="shared" si="228"/>
        <v>0</v>
      </c>
      <c r="AN158" s="328">
        <f t="shared" si="229"/>
        <v>0</v>
      </c>
      <c r="AO158" s="329">
        <f t="shared" si="230"/>
        <v>0</v>
      </c>
      <c r="AP158" s="323">
        <f t="shared" ref="AP158:BK158" si="257">+AP121/20</f>
        <v>0</v>
      </c>
      <c r="AQ158" s="324">
        <f t="shared" si="257"/>
        <v>0</v>
      </c>
      <c r="AR158" s="347">
        <f t="shared" si="257"/>
        <v>0</v>
      </c>
      <c r="AS158" s="327">
        <f t="shared" si="257"/>
        <v>0</v>
      </c>
      <c r="AT158" s="323">
        <f t="shared" si="257"/>
        <v>0</v>
      </c>
      <c r="AU158" s="328">
        <f t="shared" si="257"/>
        <v>0</v>
      </c>
      <c r="AV158" s="328">
        <f t="shared" si="257"/>
        <v>0</v>
      </c>
      <c r="AW158" s="328">
        <f t="shared" si="257"/>
        <v>0</v>
      </c>
      <c r="AX158" s="328">
        <f t="shared" si="257"/>
        <v>0</v>
      </c>
      <c r="AY158" s="355">
        <f t="shared" si="257"/>
        <v>0</v>
      </c>
      <c r="AZ158" s="323">
        <f t="shared" si="257"/>
        <v>0</v>
      </c>
      <c r="BA158" s="323">
        <f t="shared" si="257"/>
        <v>0</v>
      </c>
      <c r="BB158" s="323">
        <f t="shared" si="257"/>
        <v>0</v>
      </c>
      <c r="BC158" s="323">
        <f t="shared" si="257"/>
        <v>0</v>
      </c>
      <c r="BD158" s="323">
        <f t="shared" si="257"/>
        <v>0</v>
      </c>
      <c r="BE158" s="323">
        <f t="shared" si="257"/>
        <v>0</v>
      </c>
      <c r="BF158" s="323">
        <f t="shared" si="257"/>
        <v>0</v>
      </c>
      <c r="BG158" s="323">
        <f t="shared" si="257"/>
        <v>0</v>
      </c>
      <c r="BH158" s="323">
        <f t="shared" si="257"/>
        <v>0</v>
      </c>
      <c r="BI158" s="323">
        <f t="shared" si="257"/>
        <v>0</v>
      </c>
      <c r="BJ158" s="323">
        <f t="shared" si="257"/>
        <v>0</v>
      </c>
      <c r="BK158" s="323">
        <f t="shared" si="257"/>
        <v>0</v>
      </c>
      <c r="BL158" s="323">
        <f t="shared" si="255"/>
        <v>0</v>
      </c>
      <c r="BM158" s="328">
        <f t="shared" si="255"/>
        <v>0</v>
      </c>
      <c r="BN158" s="328">
        <f t="shared" si="255"/>
        <v>0</v>
      </c>
      <c r="BO158" s="328">
        <f t="shared" si="255"/>
        <v>0</v>
      </c>
      <c r="BP158" s="328">
        <f t="shared" si="255"/>
        <v>0</v>
      </c>
      <c r="BQ158" s="342">
        <f t="shared" si="255"/>
        <v>0</v>
      </c>
      <c r="BR158" s="356">
        <f>SUM(H158:BQ158)</f>
        <v>0</v>
      </c>
    </row>
    <row r="159" spans="1:70" ht="15.75" thickBot="1">
      <c r="A159" s="241">
        <v>13</v>
      </c>
      <c r="B159" s="281">
        <f t="shared" ref="B159:M159" si="258">+B122/20</f>
        <v>0</v>
      </c>
      <c r="C159" s="281">
        <f t="shared" si="258"/>
        <v>0</v>
      </c>
      <c r="D159" s="281">
        <f t="shared" si="258"/>
        <v>0</v>
      </c>
      <c r="E159" s="323">
        <f t="shared" si="258"/>
        <v>0</v>
      </c>
      <c r="F159" s="324">
        <f t="shared" si="258"/>
        <v>0</v>
      </c>
      <c r="G159" s="324">
        <f t="shared" si="258"/>
        <v>0</v>
      </c>
      <c r="H159" s="324">
        <f t="shared" si="258"/>
        <v>0</v>
      </c>
      <c r="I159" s="327">
        <f t="shared" si="258"/>
        <v>0</v>
      </c>
      <c r="J159" s="323">
        <f t="shared" si="258"/>
        <v>0</v>
      </c>
      <c r="K159" s="328">
        <f t="shared" si="258"/>
        <v>0</v>
      </c>
      <c r="L159" s="328">
        <f t="shared" si="258"/>
        <v>0</v>
      </c>
      <c r="M159" s="342">
        <f t="shared" si="258"/>
        <v>0</v>
      </c>
      <c r="N159" s="323">
        <f t="shared" si="252"/>
        <v>0</v>
      </c>
      <c r="O159" s="328">
        <f t="shared" si="252"/>
        <v>0</v>
      </c>
      <c r="P159" s="328">
        <f t="shared" si="252"/>
        <v>0</v>
      </c>
      <c r="Q159" s="328">
        <f t="shared" si="252"/>
        <v>0</v>
      </c>
      <c r="R159" s="342">
        <f t="shared" si="252"/>
        <v>0</v>
      </c>
      <c r="S159" s="323">
        <f t="shared" si="253"/>
        <v>0</v>
      </c>
      <c r="T159" s="328">
        <f t="shared" si="253"/>
        <v>0</v>
      </c>
      <c r="U159" s="328">
        <f t="shared" si="253"/>
        <v>0</v>
      </c>
      <c r="V159" s="328">
        <f t="shared" si="253"/>
        <v>0</v>
      </c>
      <c r="W159" s="342">
        <f t="shared" si="253"/>
        <v>0</v>
      </c>
      <c r="X159" s="323">
        <f t="shared" si="253"/>
        <v>0</v>
      </c>
      <c r="Y159" s="324">
        <f t="shared" si="214"/>
        <v>0</v>
      </c>
      <c r="Z159" s="324">
        <f t="shared" si="215"/>
        <v>0</v>
      </c>
      <c r="AA159" s="324">
        <f t="shared" si="216"/>
        <v>0</v>
      </c>
      <c r="AB159" s="324">
        <f t="shared" si="217"/>
        <v>0</v>
      </c>
      <c r="AC159" s="324">
        <f t="shared" si="218"/>
        <v>0</v>
      </c>
      <c r="AD159" s="324">
        <f t="shared" si="219"/>
        <v>0</v>
      </c>
      <c r="AE159" s="324">
        <f t="shared" si="220"/>
        <v>0</v>
      </c>
      <c r="AF159" s="324">
        <f t="shared" si="221"/>
        <v>0</v>
      </c>
      <c r="AG159" s="327">
        <f t="shared" si="222"/>
        <v>0</v>
      </c>
      <c r="AH159" s="323">
        <f t="shared" si="223"/>
        <v>0</v>
      </c>
      <c r="AI159" s="324">
        <f t="shared" si="224"/>
        <v>0</v>
      </c>
      <c r="AJ159" s="328">
        <f t="shared" si="225"/>
        <v>0</v>
      </c>
      <c r="AK159" s="324">
        <f t="shared" si="226"/>
        <v>0</v>
      </c>
      <c r="AL159" s="328">
        <f t="shared" si="227"/>
        <v>0</v>
      </c>
      <c r="AM159" s="324">
        <f t="shared" si="228"/>
        <v>0</v>
      </c>
      <c r="AN159" s="328">
        <f t="shared" si="229"/>
        <v>0</v>
      </c>
      <c r="AO159" s="329">
        <f t="shared" si="230"/>
        <v>0</v>
      </c>
      <c r="AP159" s="323">
        <f t="shared" ref="AP159:BK159" si="259">+AP122/20</f>
        <v>0</v>
      </c>
      <c r="AQ159" s="324">
        <f t="shared" si="259"/>
        <v>0</v>
      </c>
      <c r="AR159" s="347">
        <f t="shared" si="259"/>
        <v>0</v>
      </c>
      <c r="AS159" s="327">
        <f t="shared" si="259"/>
        <v>0</v>
      </c>
      <c r="AT159" s="323">
        <f t="shared" si="259"/>
        <v>0</v>
      </c>
      <c r="AU159" s="328">
        <f t="shared" si="259"/>
        <v>0</v>
      </c>
      <c r="AV159" s="328">
        <f t="shared" si="259"/>
        <v>0</v>
      </c>
      <c r="AW159" s="328">
        <f t="shared" si="259"/>
        <v>0</v>
      </c>
      <c r="AX159" s="328">
        <f t="shared" si="259"/>
        <v>0</v>
      </c>
      <c r="AY159" s="355">
        <f t="shared" si="259"/>
        <v>0</v>
      </c>
      <c r="AZ159" s="323">
        <f t="shared" si="259"/>
        <v>0</v>
      </c>
      <c r="BA159" s="323">
        <f t="shared" si="259"/>
        <v>0</v>
      </c>
      <c r="BB159" s="323">
        <f t="shared" si="259"/>
        <v>0</v>
      </c>
      <c r="BC159" s="323">
        <f t="shared" si="259"/>
        <v>0</v>
      </c>
      <c r="BD159" s="323">
        <f t="shared" si="259"/>
        <v>0</v>
      </c>
      <c r="BE159" s="323">
        <f t="shared" si="259"/>
        <v>0</v>
      </c>
      <c r="BF159" s="323">
        <f t="shared" si="259"/>
        <v>0</v>
      </c>
      <c r="BG159" s="323">
        <f t="shared" si="259"/>
        <v>0</v>
      </c>
      <c r="BH159" s="323">
        <f t="shared" si="259"/>
        <v>0</v>
      </c>
      <c r="BI159" s="323">
        <f t="shared" si="259"/>
        <v>0</v>
      </c>
      <c r="BJ159" s="323">
        <f t="shared" si="259"/>
        <v>0</v>
      </c>
      <c r="BK159" s="323">
        <f t="shared" si="259"/>
        <v>0</v>
      </c>
      <c r="BL159" s="323">
        <f t="shared" si="255"/>
        <v>0</v>
      </c>
      <c r="BM159" s="328">
        <f t="shared" si="255"/>
        <v>0</v>
      </c>
      <c r="BN159" s="328">
        <f t="shared" si="255"/>
        <v>0</v>
      </c>
      <c r="BO159" s="328">
        <f t="shared" si="255"/>
        <v>0</v>
      </c>
      <c r="BP159" s="328">
        <f t="shared" si="255"/>
        <v>0</v>
      </c>
      <c r="BQ159" s="342">
        <f t="shared" si="255"/>
        <v>0</v>
      </c>
      <c r="BR159" s="356">
        <f>SUM(H159:BQ159)</f>
        <v>0</v>
      </c>
    </row>
    <row r="160" spans="1:70" ht="15.75" thickBot="1">
      <c r="A160" s="241">
        <v>14</v>
      </c>
      <c r="B160" s="281">
        <f t="shared" ref="B160:M160" si="260">+B123/20</f>
        <v>0</v>
      </c>
      <c r="C160" s="281">
        <f t="shared" si="260"/>
        <v>0</v>
      </c>
      <c r="D160" s="281">
        <f t="shared" si="260"/>
        <v>0</v>
      </c>
      <c r="E160" s="323">
        <f t="shared" si="260"/>
        <v>0</v>
      </c>
      <c r="F160" s="324">
        <f t="shared" si="260"/>
        <v>0</v>
      </c>
      <c r="G160" s="324">
        <f t="shared" si="260"/>
        <v>0</v>
      </c>
      <c r="H160" s="324">
        <f t="shared" si="260"/>
        <v>0</v>
      </c>
      <c r="I160" s="327">
        <f t="shared" si="260"/>
        <v>0</v>
      </c>
      <c r="J160" s="323">
        <f t="shared" si="260"/>
        <v>0</v>
      </c>
      <c r="K160" s="328">
        <f t="shared" si="260"/>
        <v>0</v>
      </c>
      <c r="L160" s="328">
        <f t="shared" si="260"/>
        <v>0</v>
      </c>
      <c r="M160" s="342">
        <f t="shared" si="260"/>
        <v>0</v>
      </c>
      <c r="N160" s="323">
        <f t="shared" si="252"/>
        <v>0</v>
      </c>
      <c r="O160" s="328">
        <f t="shared" si="252"/>
        <v>0</v>
      </c>
      <c r="P160" s="328">
        <f t="shared" si="252"/>
        <v>0</v>
      </c>
      <c r="Q160" s="328">
        <f t="shared" si="252"/>
        <v>0</v>
      </c>
      <c r="R160" s="342">
        <f t="shared" si="252"/>
        <v>0</v>
      </c>
      <c r="S160" s="323">
        <f t="shared" si="253"/>
        <v>0</v>
      </c>
      <c r="T160" s="328">
        <f t="shared" si="253"/>
        <v>0</v>
      </c>
      <c r="U160" s="328">
        <f t="shared" si="253"/>
        <v>0</v>
      </c>
      <c r="V160" s="328">
        <f t="shared" si="253"/>
        <v>0</v>
      </c>
      <c r="W160" s="342">
        <f t="shared" si="253"/>
        <v>0</v>
      </c>
      <c r="X160" s="323">
        <f t="shared" si="253"/>
        <v>0</v>
      </c>
      <c r="Y160" s="324">
        <f t="shared" si="214"/>
        <v>0</v>
      </c>
      <c r="Z160" s="324">
        <f t="shared" si="215"/>
        <v>0</v>
      </c>
      <c r="AA160" s="324">
        <f t="shared" si="216"/>
        <v>0</v>
      </c>
      <c r="AB160" s="324">
        <f t="shared" si="217"/>
        <v>0</v>
      </c>
      <c r="AC160" s="324">
        <f t="shared" si="218"/>
        <v>0</v>
      </c>
      <c r="AD160" s="324">
        <f t="shared" si="219"/>
        <v>0</v>
      </c>
      <c r="AE160" s="324">
        <f t="shared" si="220"/>
        <v>0</v>
      </c>
      <c r="AF160" s="324">
        <f t="shared" si="221"/>
        <v>0</v>
      </c>
      <c r="AG160" s="327">
        <f t="shared" si="222"/>
        <v>0</v>
      </c>
      <c r="AH160" s="323">
        <f t="shared" si="223"/>
        <v>0</v>
      </c>
      <c r="AI160" s="324">
        <f t="shared" si="224"/>
        <v>0</v>
      </c>
      <c r="AJ160" s="328">
        <f t="shared" si="225"/>
        <v>0</v>
      </c>
      <c r="AK160" s="324">
        <f t="shared" si="226"/>
        <v>0</v>
      </c>
      <c r="AL160" s="328">
        <f t="shared" si="227"/>
        <v>0</v>
      </c>
      <c r="AM160" s="324">
        <f t="shared" si="228"/>
        <v>0</v>
      </c>
      <c r="AN160" s="328">
        <f t="shared" si="229"/>
        <v>0</v>
      </c>
      <c r="AO160" s="329">
        <f t="shared" si="230"/>
        <v>0</v>
      </c>
      <c r="AP160" s="323">
        <f t="shared" ref="AP160:BK160" si="261">+AP123/20</f>
        <v>0</v>
      </c>
      <c r="AQ160" s="324">
        <f t="shared" si="261"/>
        <v>0</v>
      </c>
      <c r="AR160" s="347">
        <f t="shared" si="261"/>
        <v>0</v>
      </c>
      <c r="AS160" s="327">
        <f t="shared" si="261"/>
        <v>0</v>
      </c>
      <c r="AT160" s="323">
        <f t="shared" si="261"/>
        <v>0</v>
      </c>
      <c r="AU160" s="328">
        <f t="shared" si="261"/>
        <v>0</v>
      </c>
      <c r="AV160" s="328">
        <f t="shared" si="261"/>
        <v>0</v>
      </c>
      <c r="AW160" s="328">
        <f t="shared" si="261"/>
        <v>0</v>
      </c>
      <c r="AX160" s="328">
        <f t="shared" si="261"/>
        <v>0</v>
      </c>
      <c r="AY160" s="355">
        <f t="shared" si="261"/>
        <v>0</v>
      </c>
      <c r="AZ160" s="323">
        <f t="shared" si="261"/>
        <v>0</v>
      </c>
      <c r="BA160" s="323">
        <f t="shared" si="261"/>
        <v>0</v>
      </c>
      <c r="BB160" s="323">
        <f t="shared" si="261"/>
        <v>0</v>
      </c>
      <c r="BC160" s="323">
        <f t="shared" si="261"/>
        <v>0</v>
      </c>
      <c r="BD160" s="323">
        <f t="shared" si="261"/>
        <v>0</v>
      </c>
      <c r="BE160" s="323">
        <f t="shared" si="261"/>
        <v>0</v>
      </c>
      <c r="BF160" s="323">
        <f t="shared" si="261"/>
        <v>0</v>
      </c>
      <c r="BG160" s="323">
        <f t="shared" si="261"/>
        <v>0</v>
      </c>
      <c r="BH160" s="323">
        <f t="shared" si="261"/>
        <v>0</v>
      </c>
      <c r="BI160" s="323">
        <f t="shared" si="261"/>
        <v>0</v>
      </c>
      <c r="BJ160" s="323">
        <f t="shared" si="261"/>
        <v>0</v>
      </c>
      <c r="BK160" s="323">
        <f t="shared" si="261"/>
        <v>0</v>
      </c>
      <c r="BL160" s="323">
        <f t="shared" si="255"/>
        <v>0</v>
      </c>
      <c r="BM160" s="328">
        <f t="shared" si="255"/>
        <v>0</v>
      </c>
      <c r="BN160" s="328">
        <f t="shared" si="255"/>
        <v>0</v>
      </c>
      <c r="BO160" s="328">
        <f t="shared" si="255"/>
        <v>0</v>
      </c>
      <c r="BP160" s="328">
        <f t="shared" si="255"/>
        <v>0</v>
      </c>
      <c r="BQ160" s="342">
        <f t="shared" si="255"/>
        <v>0</v>
      </c>
      <c r="BR160" s="356">
        <f>SUM(H160:BQ160)</f>
        <v>0</v>
      </c>
    </row>
    <row r="161" spans="1:70" ht="15.75" thickBot="1">
      <c r="A161" s="241">
        <v>15</v>
      </c>
      <c r="B161" s="281">
        <f t="shared" ref="B161:M161" si="262">+B124/20</f>
        <v>0</v>
      </c>
      <c r="C161" s="281">
        <f t="shared" si="262"/>
        <v>0</v>
      </c>
      <c r="D161" s="281">
        <f t="shared" si="262"/>
        <v>0</v>
      </c>
      <c r="E161" s="323">
        <f t="shared" si="262"/>
        <v>0</v>
      </c>
      <c r="F161" s="324">
        <f t="shared" si="262"/>
        <v>0</v>
      </c>
      <c r="G161" s="324">
        <f t="shared" si="262"/>
        <v>0</v>
      </c>
      <c r="H161" s="324">
        <f t="shared" si="262"/>
        <v>0</v>
      </c>
      <c r="I161" s="327">
        <f t="shared" si="262"/>
        <v>0</v>
      </c>
      <c r="J161" s="323">
        <f t="shared" si="262"/>
        <v>0</v>
      </c>
      <c r="K161" s="328">
        <f t="shared" si="262"/>
        <v>0</v>
      </c>
      <c r="L161" s="328">
        <f t="shared" si="262"/>
        <v>0</v>
      </c>
      <c r="M161" s="342">
        <f t="shared" si="262"/>
        <v>0</v>
      </c>
      <c r="N161" s="323">
        <f t="shared" si="252"/>
        <v>0</v>
      </c>
      <c r="O161" s="328">
        <f t="shared" si="252"/>
        <v>0</v>
      </c>
      <c r="P161" s="328">
        <f t="shared" si="252"/>
        <v>0</v>
      </c>
      <c r="Q161" s="328">
        <f t="shared" si="252"/>
        <v>0</v>
      </c>
      <c r="R161" s="342">
        <f t="shared" si="252"/>
        <v>0</v>
      </c>
      <c r="S161" s="323">
        <f t="shared" si="253"/>
        <v>0</v>
      </c>
      <c r="T161" s="328">
        <f t="shared" si="253"/>
        <v>0</v>
      </c>
      <c r="U161" s="328">
        <f t="shared" si="253"/>
        <v>0</v>
      </c>
      <c r="V161" s="328">
        <f t="shared" si="253"/>
        <v>0</v>
      </c>
      <c r="W161" s="342">
        <f t="shared" si="253"/>
        <v>0</v>
      </c>
      <c r="X161" s="323">
        <f t="shared" si="253"/>
        <v>0</v>
      </c>
      <c r="Y161" s="324">
        <f t="shared" si="214"/>
        <v>0</v>
      </c>
      <c r="Z161" s="324">
        <f t="shared" si="215"/>
        <v>0</v>
      </c>
      <c r="AA161" s="324">
        <f t="shared" si="216"/>
        <v>0</v>
      </c>
      <c r="AB161" s="324">
        <f t="shared" si="217"/>
        <v>0</v>
      </c>
      <c r="AC161" s="324">
        <f t="shared" si="218"/>
        <v>0</v>
      </c>
      <c r="AD161" s="324">
        <f t="shared" si="219"/>
        <v>0</v>
      </c>
      <c r="AE161" s="324">
        <f t="shared" si="220"/>
        <v>0</v>
      </c>
      <c r="AF161" s="324">
        <f t="shared" si="221"/>
        <v>0</v>
      </c>
      <c r="AG161" s="327">
        <f t="shared" si="222"/>
        <v>0</v>
      </c>
      <c r="AH161" s="323">
        <f t="shared" si="223"/>
        <v>0</v>
      </c>
      <c r="AI161" s="324">
        <f t="shared" si="224"/>
        <v>0</v>
      </c>
      <c r="AJ161" s="328">
        <f t="shared" si="225"/>
        <v>0</v>
      </c>
      <c r="AK161" s="324">
        <f t="shared" si="226"/>
        <v>0</v>
      </c>
      <c r="AL161" s="328">
        <f t="shared" si="227"/>
        <v>0</v>
      </c>
      <c r="AM161" s="324">
        <f t="shared" si="228"/>
        <v>0</v>
      </c>
      <c r="AN161" s="328">
        <f t="shared" si="229"/>
        <v>0</v>
      </c>
      <c r="AO161" s="329">
        <f t="shared" si="230"/>
        <v>0</v>
      </c>
      <c r="AP161" s="323">
        <f t="shared" ref="AP161:BK161" si="263">+AP124/20</f>
        <v>0</v>
      </c>
      <c r="AQ161" s="324">
        <f t="shared" si="263"/>
        <v>0</v>
      </c>
      <c r="AR161" s="347">
        <f t="shared" si="263"/>
        <v>0</v>
      </c>
      <c r="AS161" s="327">
        <f t="shared" si="263"/>
        <v>0</v>
      </c>
      <c r="AT161" s="323">
        <f t="shared" si="263"/>
        <v>0</v>
      </c>
      <c r="AU161" s="328">
        <f t="shared" si="263"/>
        <v>0</v>
      </c>
      <c r="AV161" s="328">
        <f t="shared" si="263"/>
        <v>0</v>
      </c>
      <c r="AW161" s="328">
        <f t="shared" si="263"/>
        <v>0</v>
      </c>
      <c r="AX161" s="328">
        <f t="shared" si="263"/>
        <v>0</v>
      </c>
      <c r="AY161" s="355">
        <f t="shared" si="263"/>
        <v>0</v>
      </c>
      <c r="AZ161" s="323">
        <f t="shared" si="263"/>
        <v>0</v>
      </c>
      <c r="BA161" s="323">
        <f t="shared" si="263"/>
        <v>0</v>
      </c>
      <c r="BB161" s="323">
        <f t="shared" si="263"/>
        <v>0</v>
      </c>
      <c r="BC161" s="323">
        <f t="shared" si="263"/>
        <v>0</v>
      </c>
      <c r="BD161" s="323">
        <f t="shared" si="263"/>
        <v>0</v>
      </c>
      <c r="BE161" s="323">
        <f t="shared" si="263"/>
        <v>0</v>
      </c>
      <c r="BF161" s="323">
        <f t="shared" si="263"/>
        <v>0</v>
      </c>
      <c r="BG161" s="323">
        <f t="shared" si="263"/>
        <v>0</v>
      </c>
      <c r="BH161" s="323">
        <f t="shared" si="263"/>
        <v>0</v>
      </c>
      <c r="BI161" s="323">
        <f t="shared" si="263"/>
        <v>0</v>
      </c>
      <c r="BJ161" s="323">
        <f t="shared" si="263"/>
        <v>0</v>
      </c>
      <c r="BK161" s="323">
        <f t="shared" si="263"/>
        <v>0</v>
      </c>
      <c r="BL161" s="323">
        <f t="shared" si="255"/>
        <v>0</v>
      </c>
      <c r="BM161" s="328">
        <f t="shared" si="255"/>
        <v>0</v>
      </c>
      <c r="BN161" s="328">
        <f t="shared" si="255"/>
        <v>0</v>
      </c>
      <c r="BO161" s="328">
        <f t="shared" si="255"/>
        <v>0</v>
      </c>
      <c r="BP161" s="328">
        <f t="shared" si="255"/>
        <v>0</v>
      </c>
      <c r="BQ161" s="342">
        <f t="shared" si="255"/>
        <v>0</v>
      </c>
      <c r="BR161" s="356">
        <f>SUM(H161:BQ161)</f>
        <v>0</v>
      </c>
    </row>
    <row r="162" spans="1:70" ht="15.75" thickBot="1">
      <c r="A162" s="241">
        <v>16</v>
      </c>
      <c r="B162" s="281">
        <f t="shared" ref="B162:M162" si="264">+B125/20</f>
        <v>0</v>
      </c>
      <c r="C162" s="281">
        <f t="shared" si="264"/>
        <v>0</v>
      </c>
      <c r="D162" s="281">
        <f t="shared" si="264"/>
        <v>0</v>
      </c>
      <c r="E162" s="323">
        <f t="shared" si="264"/>
        <v>0</v>
      </c>
      <c r="F162" s="324">
        <f t="shared" si="264"/>
        <v>0</v>
      </c>
      <c r="G162" s="324">
        <f t="shared" si="264"/>
        <v>0</v>
      </c>
      <c r="H162" s="324">
        <f t="shared" si="264"/>
        <v>0</v>
      </c>
      <c r="I162" s="327">
        <f t="shared" si="264"/>
        <v>0</v>
      </c>
      <c r="J162" s="323">
        <f t="shared" si="264"/>
        <v>0</v>
      </c>
      <c r="K162" s="328">
        <f t="shared" si="264"/>
        <v>0</v>
      </c>
      <c r="L162" s="328">
        <f t="shared" si="264"/>
        <v>0</v>
      </c>
      <c r="M162" s="342">
        <f t="shared" si="264"/>
        <v>0</v>
      </c>
      <c r="N162" s="323">
        <f t="shared" si="252"/>
        <v>0</v>
      </c>
      <c r="O162" s="328">
        <f t="shared" si="252"/>
        <v>0</v>
      </c>
      <c r="P162" s="328">
        <f t="shared" si="252"/>
        <v>0</v>
      </c>
      <c r="Q162" s="328">
        <f t="shared" si="252"/>
        <v>0</v>
      </c>
      <c r="R162" s="342">
        <f t="shared" si="252"/>
        <v>0</v>
      </c>
      <c r="S162" s="323">
        <f t="shared" si="253"/>
        <v>0</v>
      </c>
      <c r="T162" s="328">
        <f t="shared" si="253"/>
        <v>0</v>
      </c>
      <c r="U162" s="328">
        <f t="shared" si="253"/>
        <v>0</v>
      </c>
      <c r="V162" s="328">
        <f t="shared" si="253"/>
        <v>0</v>
      </c>
      <c r="W162" s="342">
        <f t="shared" si="253"/>
        <v>0</v>
      </c>
      <c r="X162" s="323">
        <f t="shared" si="253"/>
        <v>0</v>
      </c>
      <c r="Y162" s="324">
        <f t="shared" si="214"/>
        <v>0</v>
      </c>
      <c r="Z162" s="324">
        <f t="shared" si="215"/>
        <v>0</v>
      </c>
      <c r="AA162" s="324">
        <f t="shared" si="216"/>
        <v>0</v>
      </c>
      <c r="AB162" s="324">
        <f t="shared" si="217"/>
        <v>0</v>
      </c>
      <c r="AC162" s="324">
        <f t="shared" si="218"/>
        <v>0</v>
      </c>
      <c r="AD162" s="324">
        <f t="shared" si="219"/>
        <v>0</v>
      </c>
      <c r="AE162" s="324">
        <f t="shared" si="220"/>
        <v>0</v>
      </c>
      <c r="AF162" s="324">
        <f t="shared" si="221"/>
        <v>0</v>
      </c>
      <c r="AG162" s="327">
        <f t="shared" si="222"/>
        <v>0</v>
      </c>
      <c r="AH162" s="323">
        <f t="shared" si="223"/>
        <v>0</v>
      </c>
      <c r="AI162" s="324">
        <f t="shared" si="224"/>
        <v>0</v>
      </c>
      <c r="AJ162" s="328">
        <f t="shared" si="225"/>
        <v>0</v>
      </c>
      <c r="AK162" s="324">
        <f t="shared" si="226"/>
        <v>0</v>
      </c>
      <c r="AL162" s="328">
        <f t="shared" si="227"/>
        <v>0</v>
      </c>
      <c r="AM162" s="324">
        <f t="shared" si="228"/>
        <v>0</v>
      </c>
      <c r="AN162" s="328">
        <f t="shared" si="229"/>
        <v>0</v>
      </c>
      <c r="AO162" s="329">
        <f t="shared" si="230"/>
        <v>0</v>
      </c>
      <c r="AP162" s="323">
        <f t="shared" ref="AP162:BK162" si="265">+AP125/20</f>
        <v>0</v>
      </c>
      <c r="AQ162" s="324">
        <f t="shared" si="265"/>
        <v>0</v>
      </c>
      <c r="AR162" s="347">
        <f t="shared" si="265"/>
        <v>0</v>
      </c>
      <c r="AS162" s="327">
        <f t="shared" si="265"/>
        <v>0</v>
      </c>
      <c r="AT162" s="323">
        <f t="shared" si="265"/>
        <v>0</v>
      </c>
      <c r="AU162" s="328">
        <f t="shared" si="265"/>
        <v>0</v>
      </c>
      <c r="AV162" s="328">
        <f t="shared" si="265"/>
        <v>0</v>
      </c>
      <c r="AW162" s="328">
        <f t="shared" si="265"/>
        <v>0</v>
      </c>
      <c r="AX162" s="328">
        <f t="shared" si="265"/>
        <v>0</v>
      </c>
      <c r="AY162" s="355">
        <f t="shared" si="265"/>
        <v>0</v>
      </c>
      <c r="AZ162" s="323">
        <f t="shared" si="265"/>
        <v>0</v>
      </c>
      <c r="BA162" s="323">
        <f t="shared" si="265"/>
        <v>0</v>
      </c>
      <c r="BB162" s="323">
        <f t="shared" si="265"/>
        <v>0</v>
      </c>
      <c r="BC162" s="323">
        <f t="shared" si="265"/>
        <v>0</v>
      </c>
      <c r="BD162" s="323">
        <f t="shared" si="265"/>
        <v>0</v>
      </c>
      <c r="BE162" s="323">
        <f t="shared" si="265"/>
        <v>0</v>
      </c>
      <c r="BF162" s="323">
        <f t="shared" si="265"/>
        <v>0</v>
      </c>
      <c r="BG162" s="323">
        <f t="shared" si="265"/>
        <v>0</v>
      </c>
      <c r="BH162" s="323">
        <f t="shared" si="265"/>
        <v>0</v>
      </c>
      <c r="BI162" s="323">
        <f t="shared" si="265"/>
        <v>0</v>
      </c>
      <c r="BJ162" s="323">
        <f t="shared" si="265"/>
        <v>0</v>
      </c>
      <c r="BK162" s="323">
        <f t="shared" si="265"/>
        <v>0</v>
      </c>
      <c r="BL162" s="323">
        <f t="shared" si="255"/>
        <v>0</v>
      </c>
      <c r="BM162" s="328">
        <f t="shared" si="255"/>
        <v>0</v>
      </c>
      <c r="BN162" s="328">
        <f t="shared" si="255"/>
        <v>0</v>
      </c>
      <c r="BO162" s="328">
        <f t="shared" si="255"/>
        <v>0</v>
      </c>
      <c r="BP162" s="328">
        <f t="shared" si="255"/>
        <v>0</v>
      </c>
      <c r="BQ162" s="342">
        <f t="shared" si="255"/>
        <v>0</v>
      </c>
      <c r="BR162" s="356">
        <f>SUM(H162:BQ162)</f>
        <v>0</v>
      </c>
    </row>
    <row r="163" spans="1:70" ht="15.75" thickBot="1">
      <c r="A163" s="241">
        <v>17</v>
      </c>
      <c r="B163" s="281">
        <f t="shared" ref="B163:M163" si="266">+B126/20</f>
        <v>0</v>
      </c>
      <c r="C163" s="281">
        <f t="shared" si="266"/>
        <v>0</v>
      </c>
      <c r="D163" s="281">
        <f t="shared" si="266"/>
        <v>0</v>
      </c>
      <c r="E163" s="323">
        <f t="shared" si="266"/>
        <v>0</v>
      </c>
      <c r="F163" s="324">
        <f t="shared" si="266"/>
        <v>0</v>
      </c>
      <c r="G163" s="324">
        <f t="shared" si="266"/>
        <v>0</v>
      </c>
      <c r="H163" s="324">
        <f t="shared" si="266"/>
        <v>0</v>
      </c>
      <c r="I163" s="327">
        <f t="shared" si="266"/>
        <v>0</v>
      </c>
      <c r="J163" s="323">
        <f t="shared" si="266"/>
        <v>0</v>
      </c>
      <c r="K163" s="328">
        <f t="shared" si="266"/>
        <v>0</v>
      </c>
      <c r="L163" s="328">
        <f t="shared" si="266"/>
        <v>0</v>
      </c>
      <c r="M163" s="342">
        <f t="shared" si="266"/>
        <v>0</v>
      </c>
      <c r="N163" s="323">
        <f t="shared" si="252"/>
        <v>0</v>
      </c>
      <c r="O163" s="328">
        <f t="shared" si="252"/>
        <v>0</v>
      </c>
      <c r="P163" s="328">
        <f t="shared" si="252"/>
        <v>0</v>
      </c>
      <c r="Q163" s="328">
        <f t="shared" si="252"/>
        <v>0</v>
      </c>
      <c r="R163" s="342">
        <f t="shared" si="252"/>
        <v>0</v>
      </c>
      <c r="S163" s="323">
        <f t="shared" si="253"/>
        <v>0</v>
      </c>
      <c r="T163" s="328">
        <f t="shared" si="253"/>
        <v>0</v>
      </c>
      <c r="U163" s="328">
        <f t="shared" si="253"/>
        <v>0</v>
      </c>
      <c r="V163" s="328">
        <f t="shared" si="253"/>
        <v>0</v>
      </c>
      <c r="W163" s="342">
        <f t="shared" si="253"/>
        <v>0</v>
      </c>
      <c r="X163" s="323">
        <f t="shared" si="253"/>
        <v>0</v>
      </c>
      <c r="Y163" s="324">
        <f t="shared" si="214"/>
        <v>0</v>
      </c>
      <c r="Z163" s="324">
        <f t="shared" si="215"/>
        <v>0</v>
      </c>
      <c r="AA163" s="324">
        <f t="shared" si="216"/>
        <v>0</v>
      </c>
      <c r="AB163" s="324">
        <f t="shared" si="217"/>
        <v>0</v>
      </c>
      <c r="AC163" s="324">
        <f t="shared" si="218"/>
        <v>0</v>
      </c>
      <c r="AD163" s="324">
        <f t="shared" si="219"/>
        <v>0</v>
      </c>
      <c r="AE163" s="324">
        <f t="shared" si="220"/>
        <v>0</v>
      </c>
      <c r="AF163" s="324">
        <f t="shared" si="221"/>
        <v>0</v>
      </c>
      <c r="AG163" s="327">
        <f t="shared" si="222"/>
        <v>0</v>
      </c>
      <c r="AH163" s="323">
        <f t="shared" si="223"/>
        <v>0</v>
      </c>
      <c r="AI163" s="324">
        <f t="shared" si="224"/>
        <v>0</v>
      </c>
      <c r="AJ163" s="328">
        <f t="shared" si="225"/>
        <v>0</v>
      </c>
      <c r="AK163" s="324">
        <f t="shared" si="226"/>
        <v>0</v>
      </c>
      <c r="AL163" s="328">
        <f t="shared" si="227"/>
        <v>0</v>
      </c>
      <c r="AM163" s="324">
        <f t="shared" si="228"/>
        <v>0</v>
      </c>
      <c r="AN163" s="328">
        <f t="shared" si="229"/>
        <v>0</v>
      </c>
      <c r="AO163" s="329">
        <f t="shared" si="230"/>
        <v>0</v>
      </c>
      <c r="AP163" s="323">
        <f t="shared" ref="AP163:BK163" si="267">+AP126/20</f>
        <v>0</v>
      </c>
      <c r="AQ163" s="324">
        <f t="shared" si="267"/>
        <v>0</v>
      </c>
      <c r="AR163" s="347">
        <f t="shared" si="267"/>
        <v>0</v>
      </c>
      <c r="AS163" s="327">
        <f t="shared" si="267"/>
        <v>0</v>
      </c>
      <c r="AT163" s="323">
        <f t="shared" si="267"/>
        <v>0</v>
      </c>
      <c r="AU163" s="328">
        <f t="shared" si="267"/>
        <v>0</v>
      </c>
      <c r="AV163" s="328">
        <f t="shared" si="267"/>
        <v>0</v>
      </c>
      <c r="AW163" s="328">
        <f t="shared" si="267"/>
        <v>0</v>
      </c>
      <c r="AX163" s="328">
        <f t="shared" si="267"/>
        <v>0</v>
      </c>
      <c r="AY163" s="355">
        <f t="shared" si="267"/>
        <v>0</v>
      </c>
      <c r="AZ163" s="323">
        <f t="shared" si="267"/>
        <v>0</v>
      </c>
      <c r="BA163" s="323">
        <f t="shared" si="267"/>
        <v>0</v>
      </c>
      <c r="BB163" s="323">
        <f t="shared" si="267"/>
        <v>0</v>
      </c>
      <c r="BC163" s="323">
        <f t="shared" si="267"/>
        <v>0</v>
      </c>
      <c r="BD163" s="323">
        <f t="shared" si="267"/>
        <v>0</v>
      </c>
      <c r="BE163" s="323">
        <f t="shared" si="267"/>
        <v>0</v>
      </c>
      <c r="BF163" s="323">
        <f t="shared" si="267"/>
        <v>0</v>
      </c>
      <c r="BG163" s="323">
        <f t="shared" si="267"/>
        <v>0</v>
      </c>
      <c r="BH163" s="323">
        <f t="shared" si="267"/>
        <v>0</v>
      </c>
      <c r="BI163" s="323">
        <f t="shared" si="267"/>
        <v>0</v>
      </c>
      <c r="BJ163" s="323">
        <f t="shared" si="267"/>
        <v>0</v>
      </c>
      <c r="BK163" s="323">
        <f t="shared" si="267"/>
        <v>0</v>
      </c>
      <c r="BL163" s="323">
        <f t="shared" si="255"/>
        <v>0</v>
      </c>
      <c r="BM163" s="328">
        <f t="shared" si="255"/>
        <v>0</v>
      </c>
      <c r="BN163" s="328">
        <f t="shared" si="255"/>
        <v>0</v>
      </c>
      <c r="BO163" s="328">
        <f t="shared" si="255"/>
        <v>0</v>
      </c>
      <c r="BP163" s="328">
        <f t="shared" si="255"/>
        <v>0</v>
      </c>
      <c r="BQ163" s="342">
        <f t="shared" si="255"/>
        <v>0</v>
      </c>
      <c r="BR163" s="356">
        <f>SUM(H163:BQ163)</f>
        <v>0</v>
      </c>
    </row>
    <row r="164" spans="1:70" ht="15.75" thickBot="1">
      <c r="A164" s="241">
        <v>18</v>
      </c>
      <c r="B164" s="281">
        <f t="shared" ref="B164:M164" si="268">+B127/20</f>
        <v>0</v>
      </c>
      <c r="C164" s="281">
        <f t="shared" si="268"/>
        <v>0</v>
      </c>
      <c r="D164" s="281">
        <f t="shared" si="268"/>
        <v>0</v>
      </c>
      <c r="E164" s="323">
        <f t="shared" si="268"/>
        <v>0</v>
      </c>
      <c r="F164" s="324">
        <f t="shared" si="268"/>
        <v>0</v>
      </c>
      <c r="G164" s="324">
        <f t="shared" si="268"/>
        <v>0</v>
      </c>
      <c r="H164" s="324">
        <f t="shared" si="268"/>
        <v>0</v>
      </c>
      <c r="I164" s="327">
        <f t="shared" si="268"/>
        <v>0</v>
      </c>
      <c r="J164" s="323">
        <f t="shared" si="268"/>
        <v>0</v>
      </c>
      <c r="K164" s="328">
        <f t="shared" si="268"/>
        <v>0</v>
      </c>
      <c r="L164" s="328">
        <f t="shared" si="268"/>
        <v>0</v>
      </c>
      <c r="M164" s="342">
        <f t="shared" si="268"/>
        <v>0</v>
      </c>
      <c r="N164" s="323">
        <f t="shared" si="252"/>
        <v>0</v>
      </c>
      <c r="O164" s="328">
        <f t="shared" si="252"/>
        <v>0</v>
      </c>
      <c r="P164" s="328">
        <f t="shared" si="252"/>
        <v>0</v>
      </c>
      <c r="Q164" s="328">
        <f t="shared" si="252"/>
        <v>0</v>
      </c>
      <c r="R164" s="342">
        <f t="shared" si="252"/>
        <v>0</v>
      </c>
      <c r="S164" s="323">
        <f t="shared" si="253"/>
        <v>0</v>
      </c>
      <c r="T164" s="328">
        <f t="shared" si="253"/>
        <v>0</v>
      </c>
      <c r="U164" s="328">
        <f t="shared" si="253"/>
        <v>0</v>
      </c>
      <c r="V164" s="328">
        <f t="shared" si="253"/>
        <v>0</v>
      </c>
      <c r="W164" s="342">
        <f t="shared" si="253"/>
        <v>0</v>
      </c>
      <c r="X164" s="323">
        <f t="shared" si="253"/>
        <v>0</v>
      </c>
      <c r="Y164" s="324">
        <f t="shared" si="214"/>
        <v>0</v>
      </c>
      <c r="Z164" s="324">
        <f t="shared" si="215"/>
        <v>0</v>
      </c>
      <c r="AA164" s="324">
        <f t="shared" si="216"/>
        <v>0</v>
      </c>
      <c r="AB164" s="324">
        <f t="shared" si="217"/>
        <v>0</v>
      </c>
      <c r="AC164" s="324">
        <f t="shared" si="218"/>
        <v>0</v>
      </c>
      <c r="AD164" s="324">
        <f t="shared" si="219"/>
        <v>0</v>
      </c>
      <c r="AE164" s="324">
        <f t="shared" si="220"/>
        <v>0</v>
      </c>
      <c r="AF164" s="324">
        <f t="shared" si="221"/>
        <v>0</v>
      </c>
      <c r="AG164" s="327">
        <f t="shared" si="222"/>
        <v>0</v>
      </c>
      <c r="AH164" s="323">
        <f t="shared" si="223"/>
        <v>0</v>
      </c>
      <c r="AI164" s="324">
        <f t="shared" si="224"/>
        <v>0</v>
      </c>
      <c r="AJ164" s="328">
        <f t="shared" si="225"/>
        <v>0</v>
      </c>
      <c r="AK164" s="324">
        <f t="shared" si="226"/>
        <v>0</v>
      </c>
      <c r="AL164" s="328">
        <f t="shared" si="227"/>
        <v>0</v>
      </c>
      <c r="AM164" s="324">
        <f t="shared" si="228"/>
        <v>0</v>
      </c>
      <c r="AN164" s="328">
        <f t="shared" si="229"/>
        <v>0</v>
      </c>
      <c r="AO164" s="329">
        <f t="shared" si="230"/>
        <v>0</v>
      </c>
      <c r="AP164" s="323">
        <f t="shared" ref="AP164:BK164" si="269">+AP127/20</f>
        <v>0</v>
      </c>
      <c r="AQ164" s="324">
        <f t="shared" si="269"/>
        <v>0</v>
      </c>
      <c r="AR164" s="347">
        <f t="shared" si="269"/>
        <v>0</v>
      </c>
      <c r="AS164" s="327">
        <f t="shared" si="269"/>
        <v>0</v>
      </c>
      <c r="AT164" s="323">
        <f t="shared" si="269"/>
        <v>0</v>
      </c>
      <c r="AU164" s="328">
        <f t="shared" si="269"/>
        <v>0</v>
      </c>
      <c r="AV164" s="328">
        <f t="shared" si="269"/>
        <v>0</v>
      </c>
      <c r="AW164" s="328">
        <f t="shared" si="269"/>
        <v>0</v>
      </c>
      <c r="AX164" s="328">
        <f t="shared" si="269"/>
        <v>0</v>
      </c>
      <c r="AY164" s="355">
        <f t="shared" si="269"/>
        <v>0</v>
      </c>
      <c r="AZ164" s="323">
        <f t="shared" si="269"/>
        <v>0</v>
      </c>
      <c r="BA164" s="323">
        <f t="shared" si="269"/>
        <v>0</v>
      </c>
      <c r="BB164" s="323">
        <f t="shared" si="269"/>
        <v>0</v>
      </c>
      <c r="BC164" s="323">
        <f t="shared" si="269"/>
        <v>0</v>
      </c>
      <c r="BD164" s="323">
        <f t="shared" si="269"/>
        <v>0</v>
      </c>
      <c r="BE164" s="323">
        <f t="shared" si="269"/>
        <v>0</v>
      </c>
      <c r="BF164" s="323">
        <f t="shared" si="269"/>
        <v>0</v>
      </c>
      <c r="BG164" s="323">
        <f t="shared" si="269"/>
        <v>0</v>
      </c>
      <c r="BH164" s="323">
        <f t="shared" si="269"/>
        <v>0</v>
      </c>
      <c r="BI164" s="323">
        <f t="shared" si="269"/>
        <v>0</v>
      </c>
      <c r="BJ164" s="323">
        <f t="shared" si="269"/>
        <v>0</v>
      </c>
      <c r="BK164" s="323">
        <f t="shared" si="269"/>
        <v>0</v>
      </c>
      <c r="BL164" s="323">
        <f t="shared" si="255"/>
        <v>0</v>
      </c>
      <c r="BM164" s="328">
        <f t="shared" si="255"/>
        <v>0</v>
      </c>
      <c r="BN164" s="328">
        <f t="shared" si="255"/>
        <v>0</v>
      </c>
      <c r="BO164" s="328">
        <f t="shared" si="255"/>
        <v>0</v>
      </c>
      <c r="BP164" s="328">
        <f t="shared" si="255"/>
        <v>0</v>
      </c>
      <c r="BQ164" s="342">
        <f t="shared" si="255"/>
        <v>0</v>
      </c>
      <c r="BR164" s="356">
        <f>SUM(H164:BQ164)</f>
        <v>0</v>
      </c>
    </row>
    <row r="165" spans="1:70" ht="15.75" thickBot="1">
      <c r="A165" s="241">
        <v>19</v>
      </c>
      <c r="B165" s="281">
        <f t="shared" ref="B165:M165" si="270">+B128/20</f>
        <v>0</v>
      </c>
      <c r="C165" s="281">
        <f t="shared" si="270"/>
        <v>0</v>
      </c>
      <c r="D165" s="281">
        <f t="shared" si="270"/>
        <v>0</v>
      </c>
      <c r="E165" s="323">
        <f t="shared" si="270"/>
        <v>0</v>
      </c>
      <c r="F165" s="324">
        <f t="shared" si="270"/>
        <v>0</v>
      </c>
      <c r="G165" s="324">
        <f t="shared" si="270"/>
        <v>0</v>
      </c>
      <c r="H165" s="324">
        <f t="shared" si="270"/>
        <v>0</v>
      </c>
      <c r="I165" s="327">
        <f t="shared" si="270"/>
        <v>0</v>
      </c>
      <c r="J165" s="323">
        <f t="shared" si="270"/>
        <v>0</v>
      </c>
      <c r="K165" s="328">
        <f t="shared" si="270"/>
        <v>0</v>
      </c>
      <c r="L165" s="328">
        <f t="shared" si="270"/>
        <v>0</v>
      </c>
      <c r="M165" s="342">
        <f t="shared" si="270"/>
        <v>0</v>
      </c>
      <c r="N165" s="323">
        <f t="shared" si="252"/>
        <v>0</v>
      </c>
      <c r="O165" s="328">
        <f t="shared" si="252"/>
        <v>0</v>
      </c>
      <c r="P165" s="328">
        <f t="shared" si="252"/>
        <v>0</v>
      </c>
      <c r="Q165" s="328">
        <f t="shared" si="252"/>
        <v>0</v>
      </c>
      <c r="R165" s="342">
        <f t="shared" si="252"/>
        <v>0</v>
      </c>
      <c r="S165" s="323">
        <f t="shared" si="253"/>
        <v>0</v>
      </c>
      <c r="T165" s="328">
        <f t="shared" si="253"/>
        <v>0</v>
      </c>
      <c r="U165" s="328">
        <f t="shared" si="253"/>
        <v>0</v>
      </c>
      <c r="V165" s="328">
        <f t="shared" si="253"/>
        <v>0</v>
      </c>
      <c r="W165" s="342">
        <f t="shared" si="253"/>
        <v>0</v>
      </c>
      <c r="X165" s="323">
        <f t="shared" si="253"/>
        <v>0</v>
      </c>
      <c r="Y165" s="324">
        <f t="shared" si="214"/>
        <v>0</v>
      </c>
      <c r="Z165" s="324">
        <f t="shared" si="215"/>
        <v>0</v>
      </c>
      <c r="AA165" s="324">
        <f t="shared" si="216"/>
        <v>0</v>
      </c>
      <c r="AB165" s="324">
        <f t="shared" si="217"/>
        <v>0</v>
      </c>
      <c r="AC165" s="324">
        <f t="shared" si="218"/>
        <v>0</v>
      </c>
      <c r="AD165" s="324">
        <f t="shared" si="219"/>
        <v>0</v>
      </c>
      <c r="AE165" s="324">
        <f t="shared" si="220"/>
        <v>0</v>
      </c>
      <c r="AF165" s="324">
        <f t="shared" si="221"/>
        <v>0</v>
      </c>
      <c r="AG165" s="327">
        <f t="shared" si="222"/>
        <v>0</v>
      </c>
      <c r="AH165" s="323">
        <f t="shared" si="223"/>
        <v>0</v>
      </c>
      <c r="AI165" s="324">
        <f t="shared" si="224"/>
        <v>0</v>
      </c>
      <c r="AJ165" s="328">
        <f t="shared" si="225"/>
        <v>0</v>
      </c>
      <c r="AK165" s="324">
        <f t="shared" si="226"/>
        <v>0</v>
      </c>
      <c r="AL165" s="328">
        <f t="shared" si="227"/>
        <v>0</v>
      </c>
      <c r="AM165" s="324">
        <f t="shared" si="228"/>
        <v>0</v>
      </c>
      <c r="AN165" s="328">
        <f t="shared" si="229"/>
        <v>0</v>
      </c>
      <c r="AO165" s="329">
        <f t="shared" si="230"/>
        <v>0</v>
      </c>
      <c r="AP165" s="323">
        <f t="shared" ref="AP165:BK165" si="271">+AP128/20</f>
        <v>0</v>
      </c>
      <c r="AQ165" s="324">
        <f t="shared" si="271"/>
        <v>0</v>
      </c>
      <c r="AR165" s="347">
        <f t="shared" si="271"/>
        <v>0</v>
      </c>
      <c r="AS165" s="327">
        <f t="shared" si="271"/>
        <v>0</v>
      </c>
      <c r="AT165" s="323">
        <f t="shared" si="271"/>
        <v>0</v>
      </c>
      <c r="AU165" s="328">
        <f t="shared" si="271"/>
        <v>0</v>
      </c>
      <c r="AV165" s="328">
        <f t="shared" si="271"/>
        <v>0</v>
      </c>
      <c r="AW165" s="328">
        <f t="shared" si="271"/>
        <v>0</v>
      </c>
      <c r="AX165" s="328">
        <f t="shared" si="271"/>
        <v>0</v>
      </c>
      <c r="AY165" s="355">
        <f t="shared" si="271"/>
        <v>0</v>
      </c>
      <c r="AZ165" s="323">
        <f t="shared" si="271"/>
        <v>0</v>
      </c>
      <c r="BA165" s="323">
        <f t="shared" si="271"/>
        <v>0</v>
      </c>
      <c r="BB165" s="323">
        <f t="shared" si="271"/>
        <v>0</v>
      </c>
      <c r="BC165" s="323">
        <f t="shared" si="271"/>
        <v>0</v>
      </c>
      <c r="BD165" s="323">
        <f t="shared" si="271"/>
        <v>0</v>
      </c>
      <c r="BE165" s="323">
        <f t="shared" si="271"/>
        <v>0</v>
      </c>
      <c r="BF165" s="323">
        <f t="shared" si="271"/>
        <v>0</v>
      </c>
      <c r="BG165" s="323">
        <f t="shared" si="271"/>
        <v>0</v>
      </c>
      <c r="BH165" s="323">
        <f t="shared" si="271"/>
        <v>0</v>
      </c>
      <c r="BI165" s="323">
        <f t="shared" si="271"/>
        <v>0</v>
      </c>
      <c r="BJ165" s="323">
        <f t="shared" si="271"/>
        <v>0</v>
      </c>
      <c r="BK165" s="323">
        <f t="shared" si="271"/>
        <v>0</v>
      </c>
      <c r="BL165" s="323">
        <f t="shared" si="255"/>
        <v>0</v>
      </c>
      <c r="BM165" s="328">
        <f t="shared" si="255"/>
        <v>0</v>
      </c>
      <c r="BN165" s="328">
        <f t="shared" si="255"/>
        <v>0</v>
      </c>
      <c r="BO165" s="328">
        <f t="shared" si="255"/>
        <v>0</v>
      </c>
      <c r="BP165" s="328">
        <f t="shared" si="255"/>
        <v>0</v>
      </c>
      <c r="BQ165" s="342">
        <f t="shared" si="255"/>
        <v>0</v>
      </c>
      <c r="BR165" s="356">
        <f>SUM(H165:BQ165)</f>
        <v>0</v>
      </c>
    </row>
    <row r="166" spans="1:70" ht="15.75" thickBot="1">
      <c r="A166" s="241">
        <v>20</v>
      </c>
      <c r="B166" s="281">
        <f t="shared" ref="B166:M166" si="272">+B129/20</f>
        <v>0</v>
      </c>
      <c r="C166" s="281">
        <f t="shared" si="272"/>
        <v>0</v>
      </c>
      <c r="D166" s="281">
        <f t="shared" si="272"/>
        <v>0</v>
      </c>
      <c r="E166" s="323">
        <f t="shared" si="272"/>
        <v>0</v>
      </c>
      <c r="F166" s="324">
        <f t="shared" si="272"/>
        <v>0</v>
      </c>
      <c r="G166" s="324">
        <f t="shared" si="272"/>
        <v>0</v>
      </c>
      <c r="H166" s="324">
        <f t="shared" si="272"/>
        <v>0</v>
      </c>
      <c r="I166" s="327">
        <f t="shared" si="272"/>
        <v>0</v>
      </c>
      <c r="J166" s="323">
        <f t="shared" si="272"/>
        <v>0</v>
      </c>
      <c r="K166" s="328">
        <f t="shared" si="272"/>
        <v>0</v>
      </c>
      <c r="L166" s="328">
        <f t="shared" si="272"/>
        <v>0</v>
      </c>
      <c r="M166" s="342">
        <f t="shared" si="272"/>
        <v>0</v>
      </c>
      <c r="N166" s="323">
        <f t="shared" si="252"/>
        <v>0</v>
      </c>
      <c r="O166" s="328">
        <f t="shared" si="252"/>
        <v>0</v>
      </c>
      <c r="P166" s="328">
        <f t="shared" si="252"/>
        <v>0</v>
      </c>
      <c r="Q166" s="328">
        <f t="shared" si="252"/>
        <v>0</v>
      </c>
      <c r="R166" s="342">
        <f t="shared" si="252"/>
        <v>0</v>
      </c>
      <c r="S166" s="323">
        <f t="shared" si="253"/>
        <v>0</v>
      </c>
      <c r="T166" s="328">
        <f t="shared" si="253"/>
        <v>0</v>
      </c>
      <c r="U166" s="328">
        <f t="shared" si="253"/>
        <v>0</v>
      </c>
      <c r="V166" s="328">
        <f t="shared" si="253"/>
        <v>0</v>
      </c>
      <c r="W166" s="342">
        <f t="shared" si="253"/>
        <v>0</v>
      </c>
      <c r="X166" s="323">
        <f t="shared" si="253"/>
        <v>0</v>
      </c>
      <c r="Y166" s="324">
        <f t="shared" si="214"/>
        <v>0</v>
      </c>
      <c r="Z166" s="324">
        <f t="shared" si="215"/>
        <v>0</v>
      </c>
      <c r="AA166" s="324">
        <f t="shared" si="216"/>
        <v>0</v>
      </c>
      <c r="AB166" s="324">
        <f t="shared" si="217"/>
        <v>0</v>
      </c>
      <c r="AC166" s="324">
        <f t="shared" si="218"/>
        <v>0</v>
      </c>
      <c r="AD166" s="324">
        <f t="shared" si="219"/>
        <v>0</v>
      </c>
      <c r="AE166" s="324">
        <f t="shared" si="220"/>
        <v>0</v>
      </c>
      <c r="AF166" s="324">
        <f t="shared" si="221"/>
        <v>0</v>
      </c>
      <c r="AG166" s="327">
        <f t="shared" si="222"/>
        <v>0</v>
      </c>
      <c r="AH166" s="323">
        <f t="shared" si="223"/>
        <v>0</v>
      </c>
      <c r="AI166" s="324">
        <f t="shared" si="224"/>
        <v>0</v>
      </c>
      <c r="AJ166" s="328">
        <f t="shared" si="225"/>
        <v>0</v>
      </c>
      <c r="AK166" s="324">
        <f t="shared" si="226"/>
        <v>0</v>
      </c>
      <c r="AL166" s="328">
        <f t="shared" si="227"/>
        <v>0</v>
      </c>
      <c r="AM166" s="324">
        <f t="shared" si="228"/>
        <v>0</v>
      </c>
      <c r="AN166" s="328">
        <f t="shared" si="229"/>
        <v>0</v>
      </c>
      <c r="AO166" s="329">
        <f t="shared" si="230"/>
        <v>0</v>
      </c>
      <c r="AP166" s="323">
        <f t="shared" ref="AP166:BK166" si="273">+AP129/20</f>
        <v>0</v>
      </c>
      <c r="AQ166" s="324">
        <f t="shared" si="273"/>
        <v>0</v>
      </c>
      <c r="AR166" s="347">
        <f t="shared" si="273"/>
        <v>0</v>
      </c>
      <c r="AS166" s="327">
        <f t="shared" si="273"/>
        <v>0</v>
      </c>
      <c r="AT166" s="323">
        <f t="shared" si="273"/>
        <v>0</v>
      </c>
      <c r="AU166" s="328">
        <f t="shared" si="273"/>
        <v>0</v>
      </c>
      <c r="AV166" s="328">
        <f t="shared" si="273"/>
        <v>0</v>
      </c>
      <c r="AW166" s="328">
        <f t="shared" si="273"/>
        <v>0</v>
      </c>
      <c r="AX166" s="328">
        <f t="shared" si="273"/>
        <v>0</v>
      </c>
      <c r="AY166" s="355">
        <f t="shared" si="273"/>
        <v>0</v>
      </c>
      <c r="AZ166" s="323">
        <f t="shared" si="273"/>
        <v>0</v>
      </c>
      <c r="BA166" s="323">
        <f t="shared" si="273"/>
        <v>0</v>
      </c>
      <c r="BB166" s="323">
        <f t="shared" si="273"/>
        <v>0</v>
      </c>
      <c r="BC166" s="323">
        <f t="shared" si="273"/>
        <v>0</v>
      </c>
      <c r="BD166" s="323">
        <f t="shared" si="273"/>
        <v>0</v>
      </c>
      <c r="BE166" s="323">
        <f t="shared" si="273"/>
        <v>0</v>
      </c>
      <c r="BF166" s="323">
        <f t="shared" si="273"/>
        <v>0</v>
      </c>
      <c r="BG166" s="323">
        <f t="shared" si="273"/>
        <v>0</v>
      </c>
      <c r="BH166" s="323">
        <f t="shared" si="273"/>
        <v>0</v>
      </c>
      <c r="BI166" s="323">
        <f t="shared" si="273"/>
        <v>0</v>
      </c>
      <c r="BJ166" s="323">
        <f t="shared" si="273"/>
        <v>0</v>
      </c>
      <c r="BK166" s="323">
        <f t="shared" si="273"/>
        <v>0</v>
      </c>
      <c r="BL166" s="323">
        <f t="shared" si="255"/>
        <v>0</v>
      </c>
      <c r="BM166" s="328">
        <f t="shared" si="255"/>
        <v>0</v>
      </c>
      <c r="BN166" s="328">
        <f t="shared" si="255"/>
        <v>0</v>
      </c>
      <c r="BO166" s="328">
        <f t="shared" si="255"/>
        <v>0</v>
      </c>
      <c r="BP166" s="328">
        <f t="shared" si="255"/>
        <v>0</v>
      </c>
      <c r="BQ166" s="342">
        <f t="shared" si="255"/>
        <v>0</v>
      </c>
      <c r="BR166" s="356">
        <f>SUM(H166:BQ166)</f>
        <v>0</v>
      </c>
    </row>
    <row r="167" spans="1:70" ht="15.75" thickBot="1">
      <c r="A167" s="241">
        <v>21</v>
      </c>
      <c r="B167" s="281">
        <f t="shared" ref="B167:M167" si="274">+B130/20</f>
        <v>0</v>
      </c>
      <c r="C167" s="281">
        <f t="shared" si="274"/>
        <v>0</v>
      </c>
      <c r="D167" s="281">
        <f t="shared" si="274"/>
        <v>0</v>
      </c>
      <c r="E167" s="323">
        <f t="shared" si="274"/>
        <v>0</v>
      </c>
      <c r="F167" s="324">
        <f t="shared" si="274"/>
        <v>0</v>
      </c>
      <c r="G167" s="324">
        <f t="shared" si="274"/>
        <v>0</v>
      </c>
      <c r="H167" s="324">
        <f t="shared" si="274"/>
        <v>0</v>
      </c>
      <c r="I167" s="327">
        <f t="shared" si="274"/>
        <v>0</v>
      </c>
      <c r="J167" s="323">
        <f t="shared" si="274"/>
        <v>0</v>
      </c>
      <c r="K167" s="328">
        <f t="shared" si="274"/>
        <v>0</v>
      </c>
      <c r="L167" s="328">
        <f t="shared" si="274"/>
        <v>0</v>
      </c>
      <c r="M167" s="342">
        <f t="shared" si="274"/>
        <v>0</v>
      </c>
      <c r="N167" s="323">
        <f t="shared" ref="N167:R176" si="275">N130/20</f>
        <v>0</v>
      </c>
      <c r="O167" s="328">
        <f t="shared" si="275"/>
        <v>0</v>
      </c>
      <c r="P167" s="328">
        <f t="shared" si="275"/>
        <v>0</v>
      </c>
      <c r="Q167" s="328">
        <f t="shared" si="275"/>
        <v>0</v>
      </c>
      <c r="R167" s="342">
        <f t="shared" si="275"/>
        <v>0</v>
      </c>
      <c r="S167" s="323">
        <f t="shared" ref="S167:X176" si="276">+S130/20</f>
        <v>0</v>
      </c>
      <c r="T167" s="328">
        <f t="shared" si="276"/>
        <v>0</v>
      </c>
      <c r="U167" s="328">
        <f t="shared" si="276"/>
        <v>0</v>
      </c>
      <c r="V167" s="328">
        <f t="shared" si="276"/>
        <v>0</v>
      </c>
      <c r="W167" s="342">
        <f t="shared" si="276"/>
        <v>0</v>
      </c>
      <c r="X167" s="323">
        <f t="shared" si="276"/>
        <v>0</v>
      </c>
      <c r="Y167" s="324">
        <f t="shared" si="214"/>
        <v>0</v>
      </c>
      <c r="Z167" s="324">
        <f t="shared" si="215"/>
        <v>0</v>
      </c>
      <c r="AA167" s="324">
        <f t="shared" si="216"/>
        <v>0</v>
      </c>
      <c r="AB167" s="324">
        <f t="shared" si="217"/>
        <v>0</v>
      </c>
      <c r="AC167" s="324">
        <f t="shared" si="218"/>
        <v>0</v>
      </c>
      <c r="AD167" s="324">
        <f t="shared" si="219"/>
        <v>0</v>
      </c>
      <c r="AE167" s="324">
        <f t="shared" si="220"/>
        <v>0</v>
      </c>
      <c r="AF167" s="324">
        <f t="shared" si="221"/>
        <v>0</v>
      </c>
      <c r="AG167" s="327">
        <f t="shared" si="222"/>
        <v>0</v>
      </c>
      <c r="AH167" s="323">
        <f t="shared" si="223"/>
        <v>0</v>
      </c>
      <c r="AI167" s="324">
        <f t="shared" si="224"/>
        <v>0</v>
      </c>
      <c r="AJ167" s="328">
        <f t="shared" si="225"/>
        <v>0</v>
      </c>
      <c r="AK167" s="324">
        <f t="shared" si="226"/>
        <v>0</v>
      </c>
      <c r="AL167" s="328">
        <f t="shared" si="227"/>
        <v>0</v>
      </c>
      <c r="AM167" s="324">
        <f t="shared" si="228"/>
        <v>0</v>
      </c>
      <c r="AN167" s="328">
        <f t="shared" si="229"/>
        <v>0</v>
      </c>
      <c r="AO167" s="329">
        <f t="shared" si="230"/>
        <v>0</v>
      </c>
      <c r="AP167" s="323">
        <f t="shared" ref="AP167:BK167" si="277">+AP130/20</f>
        <v>0</v>
      </c>
      <c r="AQ167" s="324">
        <f t="shared" si="277"/>
        <v>0</v>
      </c>
      <c r="AR167" s="347">
        <f t="shared" si="277"/>
        <v>0</v>
      </c>
      <c r="AS167" s="327">
        <f t="shared" si="277"/>
        <v>0</v>
      </c>
      <c r="AT167" s="323">
        <f t="shared" si="277"/>
        <v>0</v>
      </c>
      <c r="AU167" s="328">
        <f t="shared" si="277"/>
        <v>0</v>
      </c>
      <c r="AV167" s="328">
        <f t="shared" si="277"/>
        <v>0</v>
      </c>
      <c r="AW167" s="328">
        <f t="shared" si="277"/>
        <v>0</v>
      </c>
      <c r="AX167" s="328">
        <f t="shared" si="277"/>
        <v>0</v>
      </c>
      <c r="AY167" s="355">
        <f t="shared" si="277"/>
        <v>0</v>
      </c>
      <c r="AZ167" s="323">
        <f t="shared" si="277"/>
        <v>0</v>
      </c>
      <c r="BA167" s="323">
        <f t="shared" si="277"/>
        <v>0</v>
      </c>
      <c r="BB167" s="323">
        <f t="shared" si="277"/>
        <v>0</v>
      </c>
      <c r="BC167" s="323">
        <f t="shared" si="277"/>
        <v>0</v>
      </c>
      <c r="BD167" s="323">
        <f t="shared" si="277"/>
        <v>0</v>
      </c>
      <c r="BE167" s="323">
        <f t="shared" si="277"/>
        <v>0</v>
      </c>
      <c r="BF167" s="323">
        <f t="shared" si="277"/>
        <v>0</v>
      </c>
      <c r="BG167" s="323">
        <f t="shared" si="277"/>
        <v>0</v>
      </c>
      <c r="BH167" s="323">
        <f t="shared" si="277"/>
        <v>0</v>
      </c>
      <c r="BI167" s="323">
        <f t="shared" si="277"/>
        <v>0</v>
      </c>
      <c r="BJ167" s="323">
        <f t="shared" si="277"/>
        <v>0</v>
      </c>
      <c r="BK167" s="323">
        <f t="shared" si="277"/>
        <v>0</v>
      </c>
      <c r="BL167" s="323">
        <f t="shared" ref="BL167:BQ176" si="278">+BL130/20</f>
        <v>0</v>
      </c>
      <c r="BM167" s="328">
        <f t="shared" si="278"/>
        <v>0</v>
      </c>
      <c r="BN167" s="328">
        <f t="shared" si="278"/>
        <v>0</v>
      </c>
      <c r="BO167" s="328">
        <f t="shared" si="278"/>
        <v>0</v>
      </c>
      <c r="BP167" s="328">
        <f t="shared" si="278"/>
        <v>0</v>
      </c>
      <c r="BQ167" s="342">
        <f t="shared" si="278"/>
        <v>0</v>
      </c>
      <c r="BR167" s="356">
        <f>SUM(H167:BQ167)</f>
        <v>0</v>
      </c>
    </row>
    <row r="168" spans="1:70" ht="15.75" thickBot="1">
      <c r="A168" s="241">
        <v>22</v>
      </c>
      <c r="B168" s="281">
        <f t="shared" ref="B168:M168" si="279">+B131/20</f>
        <v>0</v>
      </c>
      <c r="C168" s="281">
        <f t="shared" si="279"/>
        <v>0</v>
      </c>
      <c r="D168" s="281">
        <f t="shared" si="279"/>
        <v>0</v>
      </c>
      <c r="E168" s="323">
        <f t="shared" si="279"/>
        <v>0</v>
      </c>
      <c r="F168" s="324">
        <f t="shared" si="279"/>
        <v>0</v>
      </c>
      <c r="G168" s="324">
        <f t="shared" si="279"/>
        <v>0</v>
      </c>
      <c r="H168" s="324">
        <f t="shared" si="279"/>
        <v>0</v>
      </c>
      <c r="I168" s="327">
        <f t="shared" si="279"/>
        <v>0</v>
      </c>
      <c r="J168" s="323">
        <f t="shared" si="279"/>
        <v>0</v>
      </c>
      <c r="K168" s="328">
        <f t="shared" si="279"/>
        <v>0</v>
      </c>
      <c r="L168" s="328">
        <f t="shared" si="279"/>
        <v>0</v>
      </c>
      <c r="M168" s="342">
        <f t="shared" si="279"/>
        <v>0</v>
      </c>
      <c r="N168" s="323">
        <f t="shared" si="275"/>
        <v>0</v>
      </c>
      <c r="O168" s="328">
        <f t="shared" si="275"/>
        <v>0</v>
      </c>
      <c r="P168" s="328">
        <f t="shared" si="275"/>
        <v>0</v>
      </c>
      <c r="Q168" s="328">
        <f t="shared" si="275"/>
        <v>0</v>
      </c>
      <c r="R168" s="342">
        <f t="shared" si="275"/>
        <v>0</v>
      </c>
      <c r="S168" s="323">
        <f t="shared" si="276"/>
        <v>0</v>
      </c>
      <c r="T168" s="328">
        <f t="shared" si="276"/>
        <v>0</v>
      </c>
      <c r="U168" s="328">
        <f t="shared" si="276"/>
        <v>0</v>
      </c>
      <c r="V168" s="328">
        <f t="shared" si="276"/>
        <v>0</v>
      </c>
      <c r="W168" s="342">
        <f t="shared" si="276"/>
        <v>0</v>
      </c>
      <c r="X168" s="323">
        <f t="shared" si="276"/>
        <v>0</v>
      </c>
      <c r="Y168" s="324">
        <f t="shared" si="214"/>
        <v>0</v>
      </c>
      <c r="Z168" s="324">
        <f t="shared" si="215"/>
        <v>0</v>
      </c>
      <c r="AA168" s="324">
        <f t="shared" si="216"/>
        <v>0</v>
      </c>
      <c r="AB168" s="324">
        <f t="shared" si="217"/>
        <v>0</v>
      </c>
      <c r="AC168" s="324">
        <f t="shared" si="218"/>
        <v>0</v>
      </c>
      <c r="AD168" s="324">
        <f t="shared" si="219"/>
        <v>0</v>
      </c>
      <c r="AE168" s="324">
        <f t="shared" si="220"/>
        <v>0</v>
      </c>
      <c r="AF168" s="324">
        <f t="shared" si="221"/>
        <v>0</v>
      </c>
      <c r="AG168" s="327">
        <f t="shared" si="222"/>
        <v>0</v>
      </c>
      <c r="AH168" s="323">
        <f t="shared" si="223"/>
        <v>0</v>
      </c>
      <c r="AI168" s="324">
        <f t="shared" si="224"/>
        <v>0</v>
      </c>
      <c r="AJ168" s="328">
        <f t="shared" si="225"/>
        <v>0</v>
      </c>
      <c r="AK168" s="324">
        <f t="shared" si="226"/>
        <v>0</v>
      </c>
      <c r="AL168" s="328">
        <f t="shared" si="227"/>
        <v>0</v>
      </c>
      <c r="AM168" s="324">
        <f t="shared" si="228"/>
        <v>0</v>
      </c>
      <c r="AN168" s="328">
        <f t="shared" si="229"/>
        <v>0</v>
      </c>
      <c r="AO168" s="329">
        <f t="shared" si="230"/>
        <v>0</v>
      </c>
      <c r="AP168" s="323">
        <f t="shared" ref="AP168:BK168" si="280">+AP131/20</f>
        <v>0</v>
      </c>
      <c r="AQ168" s="324">
        <f t="shared" si="280"/>
        <v>0</v>
      </c>
      <c r="AR168" s="347">
        <f t="shared" si="280"/>
        <v>0</v>
      </c>
      <c r="AS168" s="327">
        <f t="shared" si="280"/>
        <v>0</v>
      </c>
      <c r="AT168" s="323">
        <f t="shared" si="280"/>
        <v>0</v>
      </c>
      <c r="AU168" s="328">
        <f t="shared" si="280"/>
        <v>0</v>
      </c>
      <c r="AV168" s="328">
        <f t="shared" si="280"/>
        <v>0</v>
      </c>
      <c r="AW168" s="328">
        <f t="shared" si="280"/>
        <v>0</v>
      </c>
      <c r="AX168" s="328">
        <f t="shared" si="280"/>
        <v>0</v>
      </c>
      <c r="AY168" s="355">
        <f t="shared" si="280"/>
        <v>0</v>
      </c>
      <c r="AZ168" s="323">
        <f t="shared" si="280"/>
        <v>0</v>
      </c>
      <c r="BA168" s="323">
        <f t="shared" si="280"/>
        <v>0</v>
      </c>
      <c r="BB168" s="323">
        <f t="shared" si="280"/>
        <v>0</v>
      </c>
      <c r="BC168" s="323">
        <f t="shared" si="280"/>
        <v>0</v>
      </c>
      <c r="BD168" s="323">
        <f t="shared" si="280"/>
        <v>0</v>
      </c>
      <c r="BE168" s="323">
        <f t="shared" si="280"/>
        <v>0</v>
      </c>
      <c r="BF168" s="323">
        <f t="shared" si="280"/>
        <v>0</v>
      </c>
      <c r="BG168" s="323">
        <f t="shared" si="280"/>
        <v>0</v>
      </c>
      <c r="BH168" s="323">
        <f t="shared" si="280"/>
        <v>0</v>
      </c>
      <c r="BI168" s="323">
        <f t="shared" si="280"/>
        <v>0</v>
      </c>
      <c r="BJ168" s="323">
        <f t="shared" si="280"/>
        <v>0</v>
      </c>
      <c r="BK168" s="323">
        <f t="shared" si="280"/>
        <v>0</v>
      </c>
      <c r="BL168" s="323">
        <f t="shared" si="278"/>
        <v>0</v>
      </c>
      <c r="BM168" s="328">
        <f t="shared" si="278"/>
        <v>0</v>
      </c>
      <c r="BN168" s="328">
        <f t="shared" si="278"/>
        <v>0</v>
      </c>
      <c r="BO168" s="328">
        <f t="shared" si="278"/>
        <v>0</v>
      </c>
      <c r="BP168" s="328">
        <f t="shared" si="278"/>
        <v>0</v>
      </c>
      <c r="BQ168" s="342">
        <f t="shared" si="278"/>
        <v>0</v>
      </c>
      <c r="BR168" s="356">
        <f>SUM(H168:BQ168)</f>
        <v>0</v>
      </c>
    </row>
    <row r="169" spans="1:70" ht="15.75" thickBot="1">
      <c r="A169" s="241">
        <v>23</v>
      </c>
      <c r="B169" s="281">
        <f t="shared" ref="B169:M169" si="281">+B132/20</f>
        <v>0</v>
      </c>
      <c r="C169" s="281">
        <f t="shared" si="281"/>
        <v>0</v>
      </c>
      <c r="D169" s="281">
        <f t="shared" si="281"/>
        <v>0</v>
      </c>
      <c r="E169" s="323">
        <f t="shared" si="281"/>
        <v>0</v>
      </c>
      <c r="F169" s="324">
        <f t="shared" si="281"/>
        <v>0</v>
      </c>
      <c r="G169" s="324">
        <f t="shared" si="281"/>
        <v>0</v>
      </c>
      <c r="H169" s="324">
        <f t="shared" si="281"/>
        <v>0</v>
      </c>
      <c r="I169" s="327">
        <f t="shared" si="281"/>
        <v>0</v>
      </c>
      <c r="J169" s="323">
        <f t="shared" si="281"/>
        <v>0</v>
      </c>
      <c r="K169" s="328">
        <f t="shared" si="281"/>
        <v>0</v>
      </c>
      <c r="L169" s="328">
        <f t="shared" si="281"/>
        <v>0</v>
      </c>
      <c r="M169" s="342">
        <f t="shared" si="281"/>
        <v>0</v>
      </c>
      <c r="N169" s="323">
        <f t="shared" si="275"/>
        <v>0</v>
      </c>
      <c r="O169" s="328">
        <f t="shared" si="275"/>
        <v>0</v>
      </c>
      <c r="P169" s="328">
        <f t="shared" si="275"/>
        <v>0</v>
      </c>
      <c r="Q169" s="328">
        <f t="shared" si="275"/>
        <v>0</v>
      </c>
      <c r="R169" s="342">
        <f t="shared" si="275"/>
        <v>0</v>
      </c>
      <c r="S169" s="323">
        <f t="shared" si="276"/>
        <v>0</v>
      </c>
      <c r="T169" s="328">
        <f t="shared" si="276"/>
        <v>0</v>
      </c>
      <c r="U169" s="328">
        <f t="shared" si="276"/>
        <v>0</v>
      </c>
      <c r="V169" s="328">
        <f t="shared" si="276"/>
        <v>0</v>
      </c>
      <c r="W169" s="342">
        <f t="shared" si="276"/>
        <v>0</v>
      </c>
      <c r="X169" s="323">
        <f t="shared" si="276"/>
        <v>0</v>
      </c>
      <c r="Y169" s="324">
        <f t="shared" si="214"/>
        <v>0</v>
      </c>
      <c r="Z169" s="324">
        <f t="shared" si="215"/>
        <v>0</v>
      </c>
      <c r="AA169" s="324">
        <f t="shared" si="216"/>
        <v>0</v>
      </c>
      <c r="AB169" s="324">
        <f t="shared" si="217"/>
        <v>0</v>
      </c>
      <c r="AC169" s="324">
        <f t="shared" si="218"/>
        <v>0</v>
      </c>
      <c r="AD169" s="324">
        <f t="shared" si="219"/>
        <v>0</v>
      </c>
      <c r="AE169" s="324">
        <f t="shared" si="220"/>
        <v>0</v>
      </c>
      <c r="AF169" s="324">
        <f t="shared" si="221"/>
        <v>0</v>
      </c>
      <c r="AG169" s="327">
        <f t="shared" si="222"/>
        <v>0</v>
      </c>
      <c r="AH169" s="323">
        <f t="shared" si="223"/>
        <v>0</v>
      </c>
      <c r="AI169" s="324">
        <f t="shared" si="224"/>
        <v>0</v>
      </c>
      <c r="AJ169" s="328">
        <f t="shared" si="225"/>
        <v>0</v>
      </c>
      <c r="AK169" s="324">
        <f t="shared" si="226"/>
        <v>0</v>
      </c>
      <c r="AL169" s="328">
        <f t="shared" si="227"/>
        <v>0</v>
      </c>
      <c r="AM169" s="324">
        <f t="shared" si="228"/>
        <v>0</v>
      </c>
      <c r="AN169" s="328">
        <f t="shared" si="229"/>
        <v>0</v>
      </c>
      <c r="AO169" s="329">
        <f t="shared" si="230"/>
        <v>0</v>
      </c>
      <c r="AP169" s="323">
        <f t="shared" ref="AP169:BK169" si="282">+AP132/20</f>
        <v>0</v>
      </c>
      <c r="AQ169" s="324">
        <f t="shared" si="282"/>
        <v>0</v>
      </c>
      <c r="AR169" s="347">
        <f t="shared" si="282"/>
        <v>0</v>
      </c>
      <c r="AS169" s="327">
        <f t="shared" si="282"/>
        <v>0</v>
      </c>
      <c r="AT169" s="323">
        <f t="shared" si="282"/>
        <v>0</v>
      </c>
      <c r="AU169" s="328">
        <f t="shared" si="282"/>
        <v>0</v>
      </c>
      <c r="AV169" s="328">
        <f t="shared" si="282"/>
        <v>0</v>
      </c>
      <c r="AW169" s="328">
        <f t="shared" si="282"/>
        <v>0</v>
      </c>
      <c r="AX169" s="328">
        <f t="shared" si="282"/>
        <v>0</v>
      </c>
      <c r="AY169" s="355">
        <f t="shared" si="282"/>
        <v>0</v>
      </c>
      <c r="AZ169" s="323">
        <f t="shared" si="282"/>
        <v>0</v>
      </c>
      <c r="BA169" s="323">
        <f t="shared" si="282"/>
        <v>0</v>
      </c>
      <c r="BB169" s="323">
        <f t="shared" si="282"/>
        <v>0</v>
      </c>
      <c r="BC169" s="323">
        <f t="shared" si="282"/>
        <v>0</v>
      </c>
      <c r="BD169" s="323">
        <f t="shared" si="282"/>
        <v>0</v>
      </c>
      <c r="BE169" s="323">
        <f t="shared" si="282"/>
        <v>0</v>
      </c>
      <c r="BF169" s="323">
        <f t="shared" si="282"/>
        <v>0</v>
      </c>
      <c r="BG169" s="323">
        <f t="shared" si="282"/>
        <v>0</v>
      </c>
      <c r="BH169" s="323">
        <f t="shared" si="282"/>
        <v>0</v>
      </c>
      <c r="BI169" s="323">
        <f t="shared" si="282"/>
        <v>0</v>
      </c>
      <c r="BJ169" s="323">
        <f t="shared" si="282"/>
        <v>0</v>
      </c>
      <c r="BK169" s="323">
        <f t="shared" si="282"/>
        <v>0</v>
      </c>
      <c r="BL169" s="323">
        <f t="shared" si="278"/>
        <v>0</v>
      </c>
      <c r="BM169" s="328">
        <f t="shared" si="278"/>
        <v>0</v>
      </c>
      <c r="BN169" s="328">
        <f t="shared" si="278"/>
        <v>0</v>
      </c>
      <c r="BO169" s="328">
        <f t="shared" si="278"/>
        <v>0</v>
      </c>
      <c r="BP169" s="328">
        <f t="shared" si="278"/>
        <v>0</v>
      </c>
      <c r="BQ169" s="342">
        <f t="shared" si="278"/>
        <v>0</v>
      </c>
      <c r="BR169" s="356">
        <f>SUM(H169:BQ169)</f>
        <v>0</v>
      </c>
    </row>
    <row r="170" spans="1:70" ht="15.75" thickBot="1">
      <c r="A170" s="241">
        <v>24</v>
      </c>
      <c r="B170" s="281">
        <f t="shared" ref="B170:M170" si="283">+B133/20</f>
        <v>0</v>
      </c>
      <c r="C170" s="281">
        <f t="shared" si="283"/>
        <v>0</v>
      </c>
      <c r="D170" s="281">
        <f t="shared" si="283"/>
        <v>0</v>
      </c>
      <c r="E170" s="323">
        <f t="shared" si="283"/>
        <v>0</v>
      </c>
      <c r="F170" s="324">
        <f t="shared" si="283"/>
        <v>0</v>
      </c>
      <c r="G170" s="324">
        <f t="shared" si="283"/>
        <v>0</v>
      </c>
      <c r="H170" s="324">
        <f t="shared" si="283"/>
        <v>0</v>
      </c>
      <c r="I170" s="327">
        <f t="shared" si="283"/>
        <v>0</v>
      </c>
      <c r="J170" s="323">
        <f t="shared" si="283"/>
        <v>0</v>
      </c>
      <c r="K170" s="328">
        <f t="shared" si="283"/>
        <v>0</v>
      </c>
      <c r="L170" s="328">
        <f t="shared" si="283"/>
        <v>0</v>
      </c>
      <c r="M170" s="342">
        <f t="shared" si="283"/>
        <v>0</v>
      </c>
      <c r="N170" s="323">
        <f t="shared" si="275"/>
        <v>0</v>
      </c>
      <c r="O170" s="328">
        <f t="shared" si="275"/>
        <v>0</v>
      </c>
      <c r="P170" s="328">
        <f t="shared" si="275"/>
        <v>0</v>
      </c>
      <c r="Q170" s="328">
        <f t="shared" si="275"/>
        <v>0</v>
      </c>
      <c r="R170" s="342">
        <f t="shared" si="275"/>
        <v>0</v>
      </c>
      <c r="S170" s="323">
        <f t="shared" si="276"/>
        <v>0</v>
      </c>
      <c r="T170" s="328">
        <f t="shared" si="276"/>
        <v>0</v>
      </c>
      <c r="U170" s="328">
        <f t="shared" si="276"/>
        <v>0</v>
      </c>
      <c r="V170" s="328">
        <f t="shared" si="276"/>
        <v>0</v>
      </c>
      <c r="W170" s="342">
        <f t="shared" si="276"/>
        <v>0</v>
      </c>
      <c r="X170" s="323">
        <f t="shared" si="276"/>
        <v>0</v>
      </c>
      <c r="Y170" s="324">
        <f t="shared" si="214"/>
        <v>0</v>
      </c>
      <c r="Z170" s="324">
        <f t="shared" si="215"/>
        <v>0</v>
      </c>
      <c r="AA170" s="324">
        <f t="shared" si="216"/>
        <v>0</v>
      </c>
      <c r="AB170" s="324">
        <f t="shared" si="217"/>
        <v>0</v>
      </c>
      <c r="AC170" s="324">
        <f t="shared" si="218"/>
        <v>0</v>
      </c>
      <c r="AD170" s="324">
        <f t="shared" si="219"/>
        <v>0</v>
      </c>
      <c r="AE170" s="324">
        <f t="shared" si="220"/>
        <v>0</v>
      </c>
      <c r="AF170" s="324">
        <f t="shared" si="221"/>
        <v>0</v>
      </c>
      <c r="AG170" s="327">
        <f t="shared" si="222"/>
        <v>0</v>
      </c>
      <c r="AH170" s="323">
        <f t="shared" si="223"/>
        <v>0</v>
      </c>
      <c r="AI170" s="324">
        <f t="shared" si="224"/>
        <v>0</v>
      </c>
      <c r="AJ170" s="328">
        <f t="shared" si="225"/>
        <v>0</v>
      </c>
      <c r="AK170" s="324">
        <f t="shared" si="226"/>
        <v>0</v>
      </c>
      <c r="AL170" s="328">
        <f t="shared" si="227"/>
        <v>0</v>
      </c>
      <c r="AM170" s="324">
        <f t="shared" si="228"/>
        <v>0</v>
      </c>
      <c r="AN170" s="328">
        <f t="shared" si="229"/>
        <v>0</v>
      </c>
      <c r="AO170" s="329">
        <f t="shared" si="230"/>
        <v>0</v>
      </c>
      <c r="AP170" s="323">
        <f t="shared" ref="AP170:BK170" si="284">+AP133/20</f>
        <v>0</v>
      </c>
      <c r="AQ170" s="324">
        <f t="shared" si="284"/>
        <v>0</v>
      </c>
      <c r="AR170" s="347">
        <f t="shared" si="284"/>
        <v>0</v>
      </c>
      <c r="AS170" s="327">
        <f t="shared" si="284"/>
        <v>0</v>
      </c>
      <c r="AT170" s="323">
        <f t="shared" si="284"/>
        <v>0</v>
      </c>
      <c r="AU170" s="328">
        <f t="shared" si="284"/>
        <v>0</v>
      </c>
      <c r="AV170" s="328">
        <f t="shared" si="284"/>
        <v>0</v>
      </c>
      <c r="AW170" s="328">
        <f t="shared" si="284"/>
        <v>0</v>
      </c>
      <c r="AX170" s="328">
        <f t="shared" si="284"/>
        <v>0</v>
      </c>
      <c r="AY170" s="355">
        <f t="shared" si="284"/>
        <v>0</v>
      </c>
      <c r="AZ170" s="323">
        <f t="shared" si="284"/>
        <v>0</v>
      </c>
      <c r="BA170" s="323">
        <f t="shared" si="284"/>
        <v>0</v>
      </c>
      <c r="BB170" s="323">
        <f t="shared" si="284"/>
        <v>0</v>
      </c>
      <c r="BC170" s="323">
        <f t="shared" si="284"/>
        <v>0</v>
      </c>
      <c r="BD170" s="323">
        <f t="shared" si="284"/>
        <v>0</v>
      </c>
      <c r="BE170" s="323">
        <f t="shared" si="284"/>
        <v>0</v>
      </c>
      <c r="BF170" s="323">
        <f t="shared" si="284"/>
        <v>0</v>
      </c>
      <c r="BG170" s="323">
        <f t="shared" si="284"/>
        <v>0</v>
      </c>
      <c r="BH170" s="323">
        <f t="shared" si="284"/>
        <v>0</v>
      </c>
      <c r="BI170" s="323">
        <f t="shared" si="284"/>
        <v>0</v>
      </c>
      <c r="BJ170" s="323">
        <f t="shared" si="284"/>
        <v>0</v>
      </c>
      <c r="BK170" s="323">
        <f t="shared" si="284"/>
        <v>0</v>
      </c>
      <c r="BL170" s="323">
        <f t="shared" si="278"/>
        <v>0</v>
      </c>
      <c r="BM170" s="328">
        <f t="shared" si="278"/>
        <v>0</v>
      </c>
      <c r="BN170" s="328">
        <f t="shared" si="278"/>
        <v>0</v>
      </c>
      <c r="BO170" s="328">
        <f t="shared" si="278"/>
        <v>0</v>
      </c>
      <c r="BP170" s="328">
        <f t="shared" si="278"/>
        <v>0</v>
      </c>
      <c r="BQ170" s="342">
        <f t="shared" si="278"/>
        <v>0</v>
      </c>
      <c r="BR170" s="356">
        <f>SUM(H170:BQ170)</f>
        <v>0</v>
      </c>
    </row>
    <row r="171" spans="1:70" ht="15.75" thickBot="1">
      <c r="A171" s="241">
        <v>25</v>
      </c>
      <c r="B171" s="281">
        <f t="shared" ref="B171:M171" si="285">+B134/20</f>
        <v>0</v>
      </c>
      <c r="C171" s="281">
        <f t="shared" si="285"/>
        <v>0</v>
      </c>
      <c r="D171" s="281">
        <f t="shared" si="285"/>
        <v>0</v>
      </c>
      <c r="E171" s="323">
        <f t="shared" si="285"/>
        <v>0</v>
      </c>
      <c r="F171" s="324">
        <f t="shared" si="285"/>
        <v>0</v>
      </c>
      <c r="G171" s="324">
        <f t="shared" si="285"/>
        <v>0</v>
      </c>
      <c r="H171" s="324">
        <f t="shared" si="285"/>
        <v>0</v>
      </c>
      <c r="I171" s="327">
        <f t="shared" si="285"/>
        <v>0</v>
      </c>
      <c r="J171" s="323">
        <f t="shared" si="285"/>
        <v>0</v>
      </c>
      <c r="K171" s="328">
        <f t="shared" si="285"/>
        <v>0</v>
      </c>
      <c r="L171" s="328">
        <f t="shared" si="285"/>
        <v>0</v>
      </c>
      <c r="M171" s="342">
        <f t="shared" si="285"/>
        <v>0</v>
      </c>
      <c r="N171" s="323">
        <f t="shared" si="275"/>
        <v>0</v>
      </c>
      <c r="O171" s="328">
        <f t="shared" si="275"/>
        <v>0</v>
      </c>
      <c r="P171" s="328">
        <f t="shared" si="275"/>
        <v>0</v>
      </c>
      <c r="Q171" s="328">
        <f t="shared" si="275"/>
        <v>0</v>
      </c>
      <c r="R171" s="342">
        <f t="shared" si="275"/>
        <v>0</v>
      </c>
      <c r="S171" s="323">
        <f t="shared" si="276"/>
        <v>0</v>
      </c>
      <c r="T171" s="328">
        <f t="shared" si="276"/>
        <v>0</v>
      </c>
      <c r="U171" s="328">
        <f t="shared" si="276"/>
        <v>0</v>
      </c>
      <c r="V171" s="328">
        <f t="shared" si="276"/>
        <v>0</v>
      </c>
      <c r="W171" s="342">
        <f t="shared" si="276"/>
        <v>0</v>
      </c>
      <c r="X171" s="323">
        <f t="shared" si="276"/>
        <v>0</v>
      </c>
      <c r="Y171" s="324">
        <f t="shared" si="214"/>
        <v>0</v>
      </c>
      <c r="Z171" s="324">
        <f t="shared" si="215"/>
        <v>0</v>
      </c>
      <c r="AA171" s="324">
        <f t="shared" si="216"/>
        <v>0</v>
      </c>
      <c r="AB171" s="324">
        <f t="shared" si="217"/>
        <v>0</v>
      </c>
      <c r="AC171" s="324">
        <f t="shared" si="218"/>
        <v>0</v>
      </c>
      <c r="AD171" s="324">
        <f t="shared" si="219"/>
        <v>0</v>
      </c>
      <c r="AE171" s="324">
        <f t="shared" si="220"/>
        <v>0</v>
      </c>
      <c r="AF171" s="324">
        <f t="shared" si="221"/>
        <v>0</v>
      </c>
      <c r="AG171" s="327">
        <f t="shared" si="222"/>
        <v>0</v>
      </c>
      <c r="AH171" s="323">
        <f t="shared" si="223"/>
        <v>0</v>
      </c>
      <c r="AI171" s="324">
        <f t="shared" si="224"/>
        <v>0</v>
      </c>
      <c r="AJ171" s="328">
        <f t="shared" si="225"/>
        <v>0</v>
      </c>
      <c r="AK171" s="324">
        <f t="shared" si="226"/>
        <v>0</v>
      </c>
      <c r="AL171" s="328">
        <f t="shared" si="227"/>
        <v>0</v>
      </c>
      <c r="AM171" s="324">
        <f t="shared" si="228"/>
        <v>0</v>
      </c>
      <c r="AN171" s="328">
        <f t="shared" si="229"/>
        <v>0</v>
      </c>
      <c r="AO171" s="329">
        <f t="shared" si="230"/>
        <v>0</v>
      </c>
      <c r="AP171" s="323">
        <f t="shared" ref="AP171:BK171" si="286">+AP134/20</f>
        <v>0</v>
      </c>
      <c r="AQ171" s="324">
        <f t="shared" si="286"/>
        <v>0</v>
      </c>
      <c r="AR171" s="347">
        <f t="shared" si="286"/>
        <v>0</v>
      </c>
      <c r="AS171" s="327">
        <f t="shared" si="286"/>
        <v>0</v>
      </c>
      <c r="AT171" s="323">
        <f t="shared" si="286"/>
        <v>0</v>
      </c>
      <c r="AU171" s="328">
        <f t="shared" si="286"/>
        <v>0</v>
      </c>
      <c r="AV171" s="328">
        <f t="shared" si="286"/>
        <v>0</v>
      </c>
      <c r="AW171" s="328">
        <f t="shared" si="286"/>
        <v>0</v>
      </c>
      <c r="AX171" s="328">
        <f t="shared" si="286"/>
        <v>0</v>
      </c>
      <c r="AY171" s="355">
        <f t="shared" si="286"/>
        <v>0</v>
      </c>
      <c r="AZ171" s="323">
        <f t="shared" si="286"/>
        <v>0</v>
      </c>
      <c r="BA171" s="323">
        <f t="shared" si="286"/>
        <v>0</v>
      </c>
      <c r="BB171" s="323">
        <f t="shared" si="286"/>
        <v>0</v>
      </c>
      <c r="BC171" s="323">
        <f t="shared" si="286"/>
        <v>0</v>
      </c>
      <c r="BD171" s="323">
        <f t="shared" si="286"/>
        <v>0</v>
      </c>
      <c r="BE171" s="323">
        <f t="shared" si="286"/>
        <v>0</v>
      </c>
      <c r="BF171" s="323">
        <f t="shared" si="286"/>
        <v>0</v>
      </c>
      <c r="BG171" s="323">
        <f t="shared" si="286"/>
        <v>0</v>
      </c>
      <c r="BH171" s="323">
        <f t="shared" si="286"/>
        <v>0</v>
      </c>
      <c r="BI171" s="323">
        <f t="shared" si="286"/>
        <v>0</v>
      </c>
      <c r="BJ171" s="323">
        <f t="shared" si="286"/>
        <v>0</v>
      </c>
      <c r="BK171" s="323">
        <f t="shared" si="286"/>
        <v>0</v>
      </c>
      <c r="BL171" s="323">
        <f t="shared" si="278"/>
        <v>0</v>
      </c>
      <c r="BM171" s="328">
        <f t="shared" si="278"/>
        <v>0</v>
      </c>
      <c r="BN171" s="328">
        <f t="shared" si="278"/>
        <v>0</v>
      </c>
      <c r="BO171" s="328">
        <f t="shared" si="278"/>
        <v>0</v>
      </c>
      <c r="BP171" s="328">
        <f t="shared" si="278"/>
        <v>0</v>
      </c>
      <c r="BQ171" s="342">
        <f t="shared" si="278"/>
        <v>0</v>
      </c>
      <c r="BR171" s="356">
        <f>SUM(H171:BQ171)</f>
        <v>0</v>
      </c>
    </row>
    <row r="172" spans="1:70" ht="15.75" thickBot="1">
      <c r="A172" s="241">
        <v>26</v>
      </c>
      <c r="B172" s="281">
        <f t="shared" ref="B172:M172" si="287">+B135/20</f>
        <v>0</v>
      </c>
      <c r="C172" s="281">
        <f t="shared" si="287"/>
        <v>0</v>
      </c>
      <c r="D172" s="281">
        <f t="shared" si="287"/>
        <v>0</v>
      </c>
      <c r="E172" s="323">
        <f t="shared" si="287"/>
        <v>0</v>
      </c>
      <c r="F172" s="324">
        <f t="shared" si="287"/>
        <v>0</v>
      </c>
      <c r="G172" s="324">
        <f t="shared" si="287"/>
        <v>0</v>
      </c>
      <c r="H172" s="324">
        <f t="shared" si="287"/>
        <v>0</v>
      </c>
      <c r="I172" s="327">
        <f t="shared" si="287"/>
        <v>0</v>
      </c>
      <c r="J172" s="323">
        <f t="shared" si="287"/>
        <v>0</v>
      </c>
      <c r="K172" s="328">
        <f t="shared" si="287"/>
        <v>0</v>
      </c>
      <c r="L172" s="328">
        <f t="shared" si="287"/>
        <v>0</v>
      </c>
      <c r="M172" s="342">
        <f t="shared" si="287"/>
        <v>0</v>
      </c>
      <c r="N172" s="323">
        <f t="shared" si="275"/>
        <v>0</v>
      </c>
      <c r="O172" s="328">
        <f t="shared" si="275"/>
        <v>0</v>
      </c>
      <c r="P172" s="328">
        <f t="shared" si="275"/>
        <v>0</v>
      </c>
      <c r="Q172" s="328">
        <f t="shared" si="275"/>
        <v>0</v>
      </c>
      <c r="R172" s="342">
        <f t="shared" si="275"/>
        <v>0</v>
      </c>
      <c r="S172" s="323">
        <f t="shared" si="276"/>
        <v>0</v>
      </c>
      <c r="T172" s="328">
        <f t="shared" si="276"/>
        <v>0</v>
      </c>
      <c r="U172" s="328">
        <f t="shared" si="276"/>
        <v>0</v>
      </c>
      <c r="V172" s="328">
        <f t="shared" si="276"/>
        <v>0</v>
      </c>
      <c r="W172" s="342">
        <f t="shared" si="276"/>
        <v>0</v>
      </c>
      <c r="X172" s="323">
        <f t="shared" si="276"/>
        <v>0</v>
      </c>
      <c r="Y172" s="324">
        <f t="shared" si="214"/>
        <v>0</v>
      </c>
      <c r="Z172" s="324">
        <f t="shared" si="215"/>
        <v>0</v>
      </c>
      <c r="AA172" s="324">
        <f t="shared" si="216"/>
        <v>0</v>
      </c>
      <c r="AB172" s="324">
        <f t="shared" si="217"/>
        <v>0</v>
      </c>
      <c r="AC172" s="324">
        <f t="shared" si="218"/>
        <v>0</v>
      </c>
      <c r="AD172" s="324">
        <f t="shared" si="219"/>
        <v>0</v>
      </c>
      <c r="AE172" s="324">
        <f t="shared" si="220"/>
        <v>0</v>
      </c>
      <c r="AF172" s="324">
        <f t="shared" si="221"/>
        <v>0</v>
      </c>
      <c r="AG172" s="327">
        <f t="shared" si="222"/>
        <v>0</v>
      </c>
      <c r="AH172" s="323">
        <f t="shared" si="223"/>
        <v>0</v>
      </c>
      <c r="AI172" s="324">
        <f t="shared" si="224"/>
        <v>0</v>
      </c>
      <c r="AJ172" s="328">
        <f t="shared" si="225"/>
        <v>0</v>
      </c>
      <c r="AK172" s="324">
        <f t="shared" si="226"/>
        <v>0</v>
      </c>
      <c r="AL172" s="328">
        <f t="shared" si="227"/>
        <v>0</v>
      </c>
      <c r="AM172" s="324">
        <f t="shared" si="228"/>
        <v>0</v>
      </c>
      <c r="AN172" s="328">
        <f t="shared" si="229"/>
        <v>0</v>
      </c>
      <c r="AO172" s="329">
        <f t="shared" si="230"/>
        <v>0</v>
      </c>
      <c r="AP172" s="323">
        <f t="shared" ref="AP172:BK172" si="288">+AP135/20</f>
        <v>0</v>
      </c>
      <c r="AQ172" s="324">
        <f t="shared" si="288"/>
        <v>0</v>
      </c>
      <c r="AR172" s="347">
        <f t="shared" si="288"/>
        <v>0</v>
      </c>
      <c r="AS172" s="327">
        <f t="shared" si="288"/>
        <v>0</v>
      </c>
      <c r="AT172" s="323">
        <f t="shared" si="288"/>
        <v>0</v>
      </c>
      <c r="AU172" s="328">
        <f t="shared" si="288"/>
        <v>0</v>
      </c>
      <c r="AV172" s="328">
        <f t="shared" si="288"/>
        <v>0</v>
      </c>
      <c r="AW172" s="328">
        <f t="shared" si="288"/>
        <v>0</v>
      </c>
      <c r="AX172" s="328">
        <f t="shared" si="288"/>
        <v>0</v>
      </c>
      <c r="AY172" s="355">
        <f t="shared" si="288"/>
        <v>0</v>
      </c>
      <c r="AZ172" s="323">
        <f t="shared" si="288"/>
        <v>0</v>
      </c>
      <c r="BA172" s="323">
        <f t="shared" si="288"/>
        <v>0</v>
      </c>
      <c r="BB172" s="323">
        <f t="shared" si="288"/>
        <v>0</v>
      </c>
      <c r="BC172" s="323">
        <f t="shared" si="288"/>
        <v>0</v>
      </c>
      <c r="BD172" s="323">
        <f t="shared" si="288"/>
        <v>0</v>
      </c>
      <c r="BE172" s="323">
        <f t="shared" si="288"/>
        <v>0</v>
      </c>
      <c r="BF172" s="323">
        <f t="shared" si="288"/>
        <v>0</v>
      </c>
      <c r="BG172" s="323">
        <f t="shared" si="288"/>
        <v>0</v>
      </c>
      <c r="BH172" s="323">
        <f t="shared" si="288"/>
        <v>0</v>
      </c>
      <c r="BI172" s="323">
        <f t="shared" si="288"/>
        <v>0</v>
      </c>
      <c r="BJ172" s="323">
        <f t="shared" si="288"/>
        <v>0</v>
      </c>
      <c r="BK172" s="323">
        <f t="shared" si="288"/>
        <v>0</v>
      </c>
      <c r="BL172" s="323">
        <f t="shared" si="278"/>
        <v>0</v>
      </c>
      <c r="BM172" s="328">
        <f t="shared" si="278"/>
        <v>0</v>
      </c>
      <c r="BN172" s="328">
        <f t="shared" si="278"/>
        <v>0</v>
      </c>
      <c r="BO172" s="328">
        <f t="shared" si="278"/>
        <v>0</v>
      </c>
      <c r="BP172" s="328">
        <f t="shared" si="278"/>
        <v>0</v>
      </c>
      <c r="BQ172" s="342">
        <f t="shared" si="278"/>
        <v>0</v>
      </c>
      <c r="BR172" s="356">
        <f>SUM(H172:BQ172)</f>
        <v>0</v>
      </c>
    </row>
    <row r="173" spans="1:70" ht="15.75" thickBot="1">
      <c r="A173" s="241">
        <v>27</v>
      </c>
      <c r="B173" s="281">
        <f t="shared" ref="B173:M173" si="289">+B136/20</f>
        <v>0</v>
      </c>
      <c r="C173" s="281">
        <f t="shared" si="289"/>
        <v>0</v>
      </c>
      <c r="D173" s="281">
        <f t="shared" si="289"/>
        <v>0</v>
      </c>
      <c r="E173" s="323">
        <f t="shared" si="289"/>
        <v>0</v>
      </c>
      <c r="F173" s="324">
        <f t="shared" si="289"/>
        <v>0</v>
      </c>
      <c r="G173" s="324">
        <f t="shared" si="289"/>
        <v>0</v>
      </c>
      <c r="H173" s="324">
        <f t="shared" si="289"/>
        <v>0</v>
      </c>
      <c r="I173" s="327">
        <f t="shared" si="289"/>
        <v>0</v>
      </c>
      <c r="J173" s="323">
        <f t="shared" si="289"/>
        <v>0</v>
      </c>
      <c r="K173" s="328">
        <f t="shared" si="289"/>
        <v>0</v>
      </c>
      <c r="L173" s="328">
        <f t="shared" si="289"/>
        <v>0</v>
      </c>
      <c r="M173" s="342">
        <f t="shared" si="289"/>
        <v>0</v>
      </c>
      <c r="N173" s="323">
        <f t="shared" si="275"/>
        <v>0</v>
      </c>
      <c r="O173" s="328">
        <f t="shared" si="275"/>
        <v>0</v>
      </c>
      <c r="P173" s="328">
        <f t="shared" si="275"/>
        <v>0</v>
      </c>
      <c r="Q173" s="328">
        <f t="shared" si="275"/>
        <v>0</v>
      </c>
      <c r="R173" s="342">
        <f t="shared" si="275"/>
        <v>0</v>
      </c>
      <c r="S173" s="323">
        <f t="shared" si="276"/>
        <v>0</v>
      </c>
      <c r="T173" s="328">
        <f t="shared" si="276"/>
        <v>0</v>
      </c>
      <c r="U173" s="328">
        <f t="shared" si="276"/>
        <v>0</v>
      </c>
      <c r="V173" s="328">
        <f t="shared" si="276"/>
        <v>0</v>
      </c>
      <c r="W173" s="342">
        <f t="shared" si="276"/>
        <v>0</v>
      </c>
      <c r="X173" s="323">
        <f t="shared" si="276"/>
        <v>0</v>
      </c>
      <c r="Y173" s="324">
        <f t="shared" si="214"/>
        <v>0</v>
      </c>
      <c r="Z173" s="324">
        <f t="shared" si="215"/>
        <v>0</v>
      </c>
      <c r="AA173" s="324">
        <f t="shared" si="216"/>
        <v>0</v>
      </c>
      <c r="AB173" s="324">
        <f t="shared" si="217"/>
        <v>0</v>
      </c>
      <c r="AC173" s="324">
        <f t="shared" si="218"/>
        <v>0</v>
      </c>
      <c r="AD173" s="324">
        <f t="shared" si="219"/>
        <v>0</v>
      </c>
      <c r="AE173" s="324">
        <f t="shared" si="220"/>
        <v>0</v>
      </c>
      <c r="AF173" s="324">
        <f t="shared" si="221"/>
        <v>0</v>
      </c>
      <c r="AG173" s="327">
        <f t="shared" si="222"/>
        <v>0</v>
      </c>
      <c r="AH173" s="323">
        <f t="shared" si="223"/>
        <v>0</v>
      </c>
      <c r="AI173" s="324">
        <f t="shared" si="224"/>
        <v>0</v>
      </c>
      <c r="AJ173" s="328">
        <f t="shared" si="225"/>
        <v>0</v>
      </c>
      <c r="AK173" s="324">
        <f t="shared" si="226"/>
        <v>0</v>
      </c>
      <c r="AL173" s="328">
        <f t="shared" si="227"/>
        <v>0</v>
      </c>
      <c r="AM173" s="324">
        <f t="shared" si="228"/>
        <v>0</v>
      </c>
      <c r="AN173" s="328">
        <f t="shared" si="229"/>
        <v>0</v>
      </c>
      <c r="AO173" s="329">
        <f t="shared" si="230"/>
        <v>0</v>
      </c>
      <c r="AP173" s="323">
        <f t="shared" ref="AP173:BK173" si="290">+AP136/20</f>
        <v>0</v>
      </c>
      <c r="AQ173" s="324">
        <f t="shared" si="290"/>
        <v>0</v>
      </c>
      <c r="AR173" s="347">
        <f t="shared" si="290"/>
        <v>0</v>
      </c>
      <c r="AS173" s="327">
        <f t="shared" si="290"/>
        <v>0</v>
      </c>
      <c r="AT173" s="323">
        <f t="shared" si="290"/>
        <v>0</v>
      </c>
      <c r="AU173" s="328">
        <f t="shared" si="290"/>
        <v>0</v>
      </c>
      <c r="AV173" s="328">
        <f t="shared" si="290"/>
        <v>0</v>
      </c>
      <c r="AW173" s="328">
        <f t="shared" si="290"/>
        <v>0</v>
      </c>
      <c r="AX173" s="328">
        <f t="shared" si="290"/>
        <v>0</v>
      </c>
      <c r="AY173" s="355">
        <f t="shared" si="290"/>
        <v>0</v>
      </c>
      <c r="AZ173" s="323">
        <f t="shared" si="290"/>
        <v>0</v>
      </c>
      <c r="BA173" s="323">
        <f t="shared" si="290"/>
        <v>0</v>
      </c>
      <c r="BB173" s="323">
        <f t="shared" si="290"/>
        <v>0</v>
      </c>
      <c r="BC173" s="323">
        <f t="shared" si="290"/>
        <v>0</v>
      </c>
      <c r="BD173" s="323">
        <f t="shared" si="290"/>
        <v>0</v>
      </c>
      <c r="BE173" s="323">
        <f t="shared" si="290"/>
        <v>0</v>
      </c>
      <c r="BF173" s="323">
        <f t="shared" si="290"/>
        <v>0</v>
      </c>
      <c r="BG173" s="323">
        <f t="shared" si="290"/>
        <v>0</v>
      </c>
      <c r="BH173" s="323">
        <f t="shared" si="290"/>
        <v>0</v>
      </c>
      <c r="BI173" s="323">
        <f t="shared" si="290"/>
        <v>0</v>
      </c>
      <c r="BJ173" s="323">
        <f t="shared" si="290"/>
        <v>0</v>
      </c>
      <c r="BK173" s="323">
        <f t="shared" si="290"/>
        <v>0</v>
      </c>
      <c r="BL173" s="323">
        <f t="shared" si="278"/>
        <v>0</v>
      </c>
      <c r="BM173" s="328">
        <f t="shared" si="278"/>
        <v>0</v>
      </c>
      <c r="BN173" s="328">
        <f t="shared" si="278"/>
        <v>0</v>
      </c>
      <c r="BO173" s="328">
        <f t="shared" si="278"/>
        <v>0</v>
      </c>
      <c r="BP173" s="328">
        <f t="shared" si="278"/>
        <v>0</v>
      </c>
      <c r="BQ173" s="342">
        <f t="shared" si="278"/>
        <v>0</v>
      </c>
      <c r="BR173" s="356">
        <f>SUM(H173:BQ173)</f>
        <v>0</v>
      </c>
    </row>
    <row r="174" spans="1:70" ht="15.75" thickBot="1">
      <c r="A174" s="241">
        <v>28</v>
      </c>
      <c r="B174" s="281">
        <f t="shared" ref="B174:M174" si="291">+B137/20</f>
        <v>0</v>
      </c>
      <c r="C174" s="281">
        <f t="shared" si="291"/>
        <v>0</v>
      </c>
      <c r="D174" s="281">
        <f t="shared" si="291"/>
        <v>0</v>
      </c>
      <c r="E174" s="323">
        <f t="shared" si="291"/>
        <v>0</v>
      </c>
      <c r="F174" s="324">
        <f t="shared" si="291"/>
        <v>0</v>
      </c>
      <c r="G174" s="324">
        <f t="shared" si="291"/>
        <v>0</v>
      </c>
      <c r="H174" s="324">
        <f t="shared" si="291"/>
        <v>0</v>
      </c>
      <c r="I174" s="327">
        <f t="shared" si="291"/>
        <v>0</v>
      </c>
      <c r="J174" s="323">
        <f t="shared" si="291"/>
        <v>0</v>
      </c>
      <c r="K174" s="328">
        <f t="shared" si="291"/>
        <v>0</v>
      </c>
      <c r="L174" s="328">
        <f t="shared" si="291"/>
        <v>0</v>
      </c>
      <c r="M174" s="342">
        <f t="shared" si="291"/>
        <v>0</v>
      </c>
      <c r="N174" s="323">
        <f t="shared" si="275"/>
        <v>0</v>
      </c>
      <c r="O174" s="328">
        <f t="shared" si="275"/>
        <v>0</v>
      </c>
      <c r="P174" s="328">
        <f t="shared" si="275"/>
        <v>0</v>
      </c>
      <c r="Q174" s="328">
        <f t="shared" si="275"/>
        <v>0</v>
      </c>
      <c r="R174" s="342">
        <f t="shared" si="275"/>
        <v>0</v>
      </c>
      <c r="S174" s="323">
        <f t="shared" si="276"/>
        <v>0</v>
      </c>
      <c r="T174" s="328">
        <f t="shared" si="276"/>
        <v>0</v>
      </c>
      <c r="U174" s="328">
        <f t="shared" si="276"/>
        <v>0</v>
      </c>
      <c r="V174" s="328">
        <f t="shared" si="276"/>
        <v>0</v>
      </c>
      <c r="W174" s="342">
        <f t="shared" si="276"/>
        <v>0</v>
      </c>
      <c r="X174" s="323">
        <f t="shared" si="276"/>
        <v>0</v>
      </c>
      <c r="Y174" s="324">
        <f t="shared" si="214"/>
        <v>0</v>
      </c>
      <c r="Z174" s="324">
        <f t="shared" si="215"/>
        <v>0</v>
      </c>
      <c r="AA174" s="324">
        <f t="shared" si="216"/>
        <v>0</v>
      </c>
      <c r="AB174" s="324">
        <f t="shared" si="217"/>
        <v>0</v>
      </c>
      <c r="AC174" s="324">
        <f t="shared" si="218"/>
        <v>0</v>
      </c>
      <c r="AD174" s="324">
        <f t="shared" si="219"/>
        <v>0</v>
      </c>
      <c r="AE174" s="324">
        <f t="shared" si="220"/>
        <v>0</v>
      </c>
      <c r="AF174" s="324">
        <f t="shared" si="221"/>
        <v>0</v>
      </c>
      <c r="AG174" s="327">
        <f t="shared" si="222"/>
        <v>0</v>
      </c>
      <c r="AH174" s="323">
        <f t="shared" si="223"/>
        <v>0</v>
      </c>
      <c r="AI174" s="324">
        <f t="shared" si="224"/>
        <v>0</v>
      </c>
      <c r="AJ174" s="328">
        <f t="shared" si="225"/>
        <v>0</v>
      </c>
      <c r="AK174" s="324">
        <f t="shared" si="226"/>
        <v>0</v>
      </c>
      <c r="AL174" s="328">
        <f t="shared" si="227"/>
        <v>0</v>
      </c>
      <c r="AM174" s="324">
        <f t="shared" si="228"/>
        <v>0</v>
      </c>
      <c r="AN174" s="328">
        <f t="shared" si="229"/>
        <v>0</v>
      </c>
      <c r="AO174" s="329">
        <f t="shared" si="230"/>
        <v>0</v>
      </c>
      <c r="AP174" s="323">
        <f t="shared" ref="AP174:BK174" si="292">+AP137/20</f>
        <v>0</v>
      </c>
      <c r="AQ174" s="324">
        <f t="shared" si="292"/>
        <v>0</v>
      </c>
      <c r="AR174" s="347">
        <f t="shared" si="292"/>
        <v>0</v>
      </c>
      <c r="AS174" s="327">
        <f t="shared" si="292"/>
        <v>0</v>
      </c>
      <c r="AT174" s="323">
        <f t="shared" si="292"/>
        <v>0</v>
      </c>
      <c r="AU174" s="328">
        <f t="shared" si="292"/>
        <v>0</v>
      </c>
      <c r="AV174" s="328">
        <f t="shared" si="292"/>
        <v>0</v>
      </c>
      <c r="AW174" s="328">
        <f t="shared" si="292"/>
        <v>0</v>
      </c>
      <c r="AX174" s="328">
        <f t="shared" si="292"/>
        <v>0</v>
      </c>
      <c r="AY174" s="355">
        <f t="shared" si="292"/>
        <v>0</v>
      </c>
      <c r="AZ174" s="323">
        <f t="shared" si="292"/>
        <v>0</v>
      </c>
      <c r="BA174" s="323">
        <f t="shared" si="292"/>
        <v>0</v>
      </c>
      <c r="BB174" s="323">
        <f t="shared" si="292"/>
        <v>0</v>
      </c>
      <c r="BC174" s="323">
        <f t="shared" si="292"/>
        <v>0</v>
      </c>
      <c r="BD174" s="323">
        <f t="shared" si="292"/>
        <v>0</v>
      </c>
      <c r="BE174" s="323">
        <f t="shared" si="292"/>
        <v>0</v>
      </c>
      <c r="BF174" s="323">
        <f t="shared" si="292"/>
        <v>0</v>
      </c>
      <c r="BG174" s="323">
        <f t="shared" si="292"/>
        <v>0</v>
      </c>
      <c r="BH174" s="323">
        <f t="shared" si="292"/>
        <v>0</v>
      </c>
      <c r="BI174" s="323">
        <f t="shared" si="292"/>
        <v>0</v>
      </c>
      <c r="BJ174" s="323">
        <f t="shared" si="292"/>
        <v>0</v>
      </c>
      <c r="BK174" s="323">
        <f t="shared" si="292"/>
        <v>0</v>
      </c>
      <c r="BL174" s="323">
        <f t="shared" si="278"/>
        <v>0</v>
      </c>
      <c r="BM174" s="328">
        <f t="shared" si="278"/>
        <v>0</v>
      </c>
      <c r="BN174" s="328">
        <f t="shared" si="278"/>
        <v>0</v>
      </c>
      <c r="BO174" s="328">
        <f t="shared" si="278"/>
        <v>0</v>
      </c>
      <c r="BP174" s="328">
        <f t="shared" si="278"/>
        <v>0</v>
      </c>
      <c r="BQ174" s="342">
        <f t="shared" si="278"/>
        <v>0</v>
      </c>
      <c r="BR174" s="356">
        <f>SUM(H174:BQ174)</f>
        <v>0</v>
      </c>
    </row>
    <row r="175" spans="1:70" ht="15.75" thickBot="1">
      <c r="A175" s="241">
        <v>29</v>
      </c>
      <c r="B175" s="281">
        <f t="shared" ref="B175:M175" si="293">+B138/20</f>
        <v>0</v>
      </c>
      <c r="C175" s="281">
        <f t="shared" si="293"/>
        <v>0</v>
      </c>
      <c r="D175" s="281">
        <f t="shared" si="293"/>
        <v>0</v>
      </c>
      <c r="E175" s="323">
        <f t="shared" si="293"/>
        <v>0</v>
      </c>
      <c r="F175" s="324">
        <f t="shared" si="293"/>
        <v>0</v>
      </c>
      <c r="G175" s="324">
        <f t="shared" si="293"/>
        <v>0</v>
      </c>
      <c r="H175" s="324">
        <f t="shared" si="293"/>
        <v>0</v>
      </c>
      <c r="I175" s="327">
        <f t="shared" si="293"/>
        <v>0</v>
      </c>
      <c r="J175" s="323">
        <f t="shared" si="293"/>
        <v>0</v>
      </c>
      <c r="K175" s="328">
        <f t="shared" si="293"/>
        <v>0</v>
      </c>
      <c r="L175" s="328">
        <f t="shared" si="293"/>
        <v>0</v>
      </c>
      <c r="M175" s="342">
        <f t="shared" si="293"/>
        <v>0</v>
      </c>
      <c r="N175" s="323">
        <f t="shared" si="275"/>
        <v>0</v>
      </c>
      <c r="O175" s="328">
        <f t="shared" si="275"/>
        <v>0</v>
      </c>
      <c r="P175" s="328">
        <f t="shared" si="275"/>
        <v>0</v>
      </c>
      <c r="Q175" s="328">
        <f t="shared" si="275"/>
        <v>0</v>
      </c>
      <c r="R175" s="342">
        <f t="shared" si="275"/>
        <v>0</v>
      </c>
      <c r="S175" s="323">
        <f t="shared" si="276"/>
        <v>0</v>
      </c>
      <c r="T175" s="328">
        <f t="shared" si="276"/>
        <v>0</v>
      </c>
      <c r="U175" s="328">
        <f t="shared" si="276"/>
        <v>0</v>
      </c>
      <c r="V175" s="328">
        <f t="shared" si="276"/>
        <v>0</v>
      </c>
      <c r="W175" s="342">
        <f t="shared" si="276"/>
        <v>0</v>
      </c>
      <c r="X175" s="323">
        <f t="shared" si="276"/>
        <v>0</v>
      </c>
      <c r="Y175" s="324">
        <f t="shared" si="214"/>
        <v>0</v>
      </c>
      <c r="Z175" s="324">
        <f t="shared" si="215"/>
        <v>0</v>
      </c>
      <c r="AA175" s="324">
        <f t="shared" si="216"/>
        <v>0</v>
      </c>
      <c r="AB175" s="324">
        <f t="shared" si="217"/>
        <v>0</v>
      </c>
      <c r="AC175" s="324">
        <f t="shared" si="218"/>
        <v>0</v>
      </c>
      <c r="AD175" s="324">
        <f t="shared" si="219"/>
        <v>0</v>
      </c>
      <c r="AE175" s="324">
        <f t="shared" si="220"/>
        <v>0</v>
      </c>
      <c r="AF175" s="324">
        <f t="shared" si="221"/>
        <v>0</v>
      </c>
      <c r="AG175" s="327">
        <f t="shared" si="222"/>
        <v>0</v>
      </c>
      <c r="AH175" s="323">
        <f t="shared" si="223"/>
        <v>0</v>
      </c>
      <c r="AI175" s="324">
        <f t="shared" si="224"/>
        <v>0</v>
      </c>
      <c r="AJ175" s="328">
        <f t="shared" si="225"/>
        <v>0</v>
      </c>
      <c r="AK175" s="324">
        <f t="shared" si="226"/>
        <v>0</v>
      </c>
      <c r="AL175" s="328">
        <f t="shared" si="227"/>
        <v>0</v>
      </c>
      <c r="AM175" s="324">
        <f t="shared" si="228"/>
        <v>0</v>
      </c>
      <c r="AN175" s="328">
        <f t="shared" si="229"/>
        <v>0</v>
      </c>
      <c r="AO175" s="329">
        <f t="shared" si="230"/>
        <v>0</v>
      </c>
      <c r="AP175" s="323">
        <f t="shared" ref="AP175:BK175" si="294">+AP138/20</f>
        <v>0</v>
      </c>
      <c r="AQ175" s="324">
        <f t="shared" si="294"/>
        <v>0</v>
      </c>
      <c r="AR175" s="347">
        <f t="shared" si="294"/>
        <v>0</v>
      </c>
      <c r="AS175" s="327">
        <f t="shared" si="294"/>
        <v>0</v>
      </c>
      <c r="AT175" s="323">
        <f t="shared" si="294"/>
        <v>0</v>
      </c>
      <c r="AU175" s="328">
        <f t="shared" si="294"/>
        <v>0</v>
      </c>
      <c r="AV175" s="328">
        <f t="shared" si="294"/>
        <v>0</v>
      </c>
      <c r="AW175" s="328">
        <f t="shared" si="294"/>
        <v>0</v>
      </c>
      <c r="AX175" s="328">
        <f t="shared" si="294"/>
        <v>0</v>
      </c>
      <c r="AY175" s="355">
        <f t="shared" si="294"/>
        <v>0</v>
      </c>
      <c r="AZ175" s="323">
        <f t="shared" si="294"/>
        <v>0</v>
      </c>
      <c r="BA175" s="323">
        <f t="shared" si="294"/>
        <v>0</v>
      </c>
      <c r="BB175" s="323">
        <f t="shared" si="294"/>
        <v>0</v>
      </c>
      <c r="BC175" s="323">
        <f t="shared" si="294"/>
        <v>0</v>
      </c>
      <c r="BD175" s="323">
        <f t="shared" si="294"/>
        <v>0</v>
      </c>
      <c r="BE175" s="323">
        <f t="shared" si="294"/>
        <v>0</v>
      </c>
      <c r="BF175" s="323">
        <f t="shared" si="294"/>
        <v>0</v>
      </c>
      <c r="BG175" s="323">
        <f t="shared" si="294"/>
        <v>0</v>
      </c>
      <c r="BH175" s="323">
        <f t="shared" si="294"/>
        <v>0</v>
      </c>
      <c r="BI175" s="323">
        <f t="shared" si="294"/>
        <v>0</v>
      </c>
      <c r="BJ175" s="323">
        <f t="shared" si="294"/>
        <v>0</v>
      </c>
      <c r="BK175" s="323">
        <f t="shared" si="294"/>
        <v>0</v>
      </c>
      <c r="BL175" s="323">
        <f t="shared" si="278"/>
        <v>0</v>
      </c>
      <c r="BM175" s="328">
        <f t="shared" si="278"/>
        <v>0</v>
      </c>
      <c r="BN175" s="328">
        <f t="shared" si="278"/>
        <v>0</v>
      </c>
      <c r="BO175" s="328">
        <f t="shared" si="278"/>
        <v>0</v>
      </c>
      <c r="BP175" s="328">
        <f t="shared" si="278"/>
        <v>0</v>
      </c>
      <c r="BQ175" s="342">
        <f t="shared" si="278"/>
        <v>0</v>
      </c>
      <c r="BR175" s="356">
        <f>SUM(H175:BQ175)</f>
        <v>0</v>
      </c>
    </row>
    <row r="176" spans="1:70" ht="15.75" thickBot="1">
      <c r="A176" s="241">
        <v>30</v>
      </c>
      <c r="B176" s="281">
        <f t="shared" ref="B176:M176" si="295">+B139/20</f>
        <v>0</v>
      </c>
      <c r="C176" s="281">
        <f t="shared" si="295"/>
        <v>0</v>
      </c>
      <c r="D176" s="281">
        <f t="shared" si="295"/>
        <v>0</v>
      </c>
      <c r="E176" s="323">
        <f t="shared" si="295"/>
        <v>0</v>
      </c>
      <c r="F176" s="324">
        <f t="shared" si="295"/>
        <v>0</v>
      </c>
      <c r="G176" s="324">
        <f t="shared" si="295"/>
        <v>0</v>
      </c>
      <c r="H176" s="324">
        <f t="shared" si="295"/>
        <v>0</v>
      </c>
      <c r="I176" s="327">
        <f t="shared" si="295"/>
        <v>0</v>
      </c>
      <c r="J176" s="323">
        <f t="shared" si="295"/>
        <v>0</v>
      </c>
      <c r="K176" s="328">
        <f t="shared" si="295"/>
        <v>0</v>
      </c>
      <c r="L176" s="328">
        <f t="shared" si="295"/>
        <v>0</v>
      </c>
      <c r="M176" s="342">
        <f t="shared" si="295"/>
        <v>0</v>
      </c>
      <c r="N176" s="323">
        <f t="shared" si="275"/>
        <v>0</v>
      </c>
      <c r="O176" s="328">
        <f t="shared" si="275"/>
        <v>0</v>
      </c>
      <c r="P176" s="328">
        <f t="shared" si="275"/>
        <v>0</v>
      </c>
      <c r="Q176" s="328">
        <f t="shared" si="275"/>
        <v>0</v>
      </c>
      <c r="R176" s="342">
        <f t="shared" si="275"/>
        <v>0</v>
      </c>
      <c r="S176" s="323">
        <f t="shared" si="276"/>
        <v>0</v>
      </c>
      <c r="T176" s="328">
        <f t="shared" si="276"/>
        <v>0</v>
      </c>
      <c r="U176" s="328">
        <f t="shared" si="276"/>
        <v>0</v>
      </c>
      <c r="V176" s="328">
        <f t="shared" si="276"/>
        <v>0</v>
      </c>
      <c r="W176" s="342">
        <f t="shared" si="276"/>
        <v>0</v>
      </c>
      <c r="X176" s="323">
        <f t="shared" si="276"/>
        <v>0</v>
      </c>
      <c r="Y176" s="324">
        <f t="shared" si="214"/>
        <v>0</v>
      </c>
      <c r="Z176" s="324">
        <f t="shared" si="215"/>
        <v>0</v>
      </c>
      <c r="AA176" s="324">
        <f t="shared" si="216"/>
        <v>0</v>
      </c>
      <c r="AB176" s="324">
        <f t="shared" si="217"/>
        <v>0</v>
      </c>
      <c r="AC176" s="324">
        <f t="shared" si="218"/>
        <v>0</v>
      </c>
      <c r="AD176" s="324">
        <f t="shared" si="219"/>
        <v>0</v>
      </c>
      <c r="AE176" s="324">
        <f t="shared" si="220"/>
        <v>0</v>
      </c>
      <c r="AF176" s="324">
        <f t="shared" si="221"/>
        <v>0</v>
      </c>
      <c r="AG176" s="327">
        <f t="shared" si="222"/>
        <v>0</v>
      </c>
      <c r="AH176" s="323">
        <f t="shared" si="223"/>
        <v>0</v>
      </c>
      <c r="AI176" s="324">
        <f t="shared" si="224"/>
        <v>0</v>
      </c>
      <c r="AJ176" s="328">
        <f t="shared" si="225"/>
        <v>0</v>
      </c>
      <c r="AK176" s="324">
        <f t="shared" si="226"/>
        <v>0</v>
      </c>
      <c r="AL176" s="328">
        <f t="shared" si="227"/>
        <v>0</v>
      </c>
      <c r="AM176" s="324">
        <f t="shared" si="228"/>
        <v>0</v>
      </c>
      <c r="AN176" s="328">
        <f t="shared" si="229"/>
        <v>0</v>
      </c>
      <c r="AO176" s="329">
        <f t="shared" si="230"/>
        <v>0</v>
      </c>
      <c r="AP176" s="323">
        <f t="shared" ref="AP176:BK176" si="296">+AP139/20</f>
        <v>0</v>
      </c>
      <c r="AQ176" s="324">
        <f t="shared" si="296"/>
        <v>0</v>
      </c>
      <c r="AR176" s="347">
        <f t="shared" si="296"/>
        <v>0</v>
      </c>
      <c r="AS176" s="327">
        <f t="shared" si="296"/>
        <v>0</v>
      </c>
      <c r="AT176" s="323">
        <f t="shared" si="296"/>
        <v>0</v>
      </c>
      <c r="AU176" s="328">
        <f t="shared" si="296"/>
        <v>0</v>
      </c>
      <c r="AV176" s="328">
        <f t="shared" si="296"/>
        <v>0</v>
      </c>
      <c r="AW176" s="328">
        <f t="shared" si="296"/>
        <v>0</v>
      </c>
      <c r="AX176" s="328">
        <f t="shared" si="296"/>
        <v>0</v>
      </c>
      <c r="AY176" s="355">
        <f t="shared" si="296"/>
        <v>0</v>
      </c>
      <c r="AZ176" s="323">
        <f t="shared" si="296"/>
        <v>0</v>
      </c>
      <c r="BA176" s="323">
        <f t="shared" si="296"/>
        <v>0</v>
      </c>
      <c r="BB176" s="323">
        <f t="shared" si="296"/>
        <v>0</v>
      </c>
      <c r="BC176" s="323">
        <f t="shared" si="296"/>
        <v>0</v>
      </c>
      <c r="BD176" s="323">
        <f t="shared" si="296"/>
        <v>0</v>
      </c>
      <c r="BE176" s="323">
        <f t="shared" si="296"/>
        <v>0</v>
      </c>
      <c r="BF176" s="323">
        <f t="shared" si="296"/>
        <v>0</v>
      </c>
      <c r="BG176" s="323">
        <f t="shared" si="296"/>
        <v>0</v>
      </c>
      <c r="BH176" s="323">
        <f t="shared" si="296"/>
        <v>0</v>
      </c>
      <c r="BI176" s="323">
        <f t="shared" si="296"/>
        <v>0</v>
      </c>
      <c r="BJ176" s="323">
        <f t="shared" si="296"/>
        <v>0</v>
      </c>
      <c r="BK176" s="323">
        <f t="shared" si="296"/>
        <v>0</v>
      </c>
      <c r="BL176" s="323">
        <f t="shared" si="278"/>
        <v>0</v>
      </c>
      <c r="BM176" s="328">
        <f t="shared" si="278"/>
        <v>0</v>
      </c>
      <c r="BN176" s="328">
        <f t="shared" si="278"/>
        <v>0</v>
      </c>
      <c r="BO176" s="328">
        <f t="shared" si="278"/>
        <v>0</v>
      </c>
      <c r="BP176" s="328">
        <f t="shared" si="278"/>
        <v>0</v>
      </c>
      <c r="BQ176" s="342">
        <f t="shared" si="278"/>
        <v>0</v>
      </c>
      <c r="BR176" s="356">
        <f>SUM(H176:BQ176)</f>
        <v>0</v>
      </c>
    </row>
    <row r="177" spans="1:70" ht="15.75" thickBot="1">
      <c r="A177" s="241">
        <v>31</v>
      </c>
      <c r="B177" s="281">
        <f t="shared" ref="B177:M177" si="297">+B140/20</f>
        <v>0</v>
      </c>
      <c r="C177" s="281">
        <f t="shared" si="297"/>
        <v>0</v>
      </c>
      <c r="D177" s="281">
        <f t="shared" si="297"/>
        <v>0</v>
      </c>
      <c r="E177" s="323">
        <f t="shared" si="297"/>
        <v>0</v>
      </c>
      <c r="F177" s="324">
        <f t="shared" si="297"/>
        <v>0</v>
      </c>
      <c r="G177" s="324">
        <f t="shared" si="297"/>
        <v>0</v>
      </c>
      <c r="H177" s="324">
        <f t="shared" si="297"/>
        <v>0</v>
      </c>
      <c r="I177" s="327">
        <f t="shared" si="297"/>
        <v>0</v>
      </c>
      <c r="J177" s="343">
        <f t="shared" si="297"/>
        <v>0</v>
      </c>
      <c r="K177" s="344">
        <f t="shared" si="297"/>
        <v>0</v>
      </c>
      <c r="L177" s="344">
        <f t="shared" si="297"/>
        <v>0</v>
      </c>
      <c r="M177" s="345">
        <f t="shared" si="297"/>
        <v>0</v>
      </c>
      <c r="N177" s="323">
        <f t="shared" ref="N177:R177" si="298">N140/20</f>
        <v>0</v>
      </c>
      <c r="O177" s="328">
        <f t="shared" si="298"/>
        <v>0</v>
      </c>
      <c r="P177" s="328">
        <f t="shared" si="298"/>
        <v>0</v>
      </c>
      <c r="Q177" s="328">
        <f t="shared" si="298"/>
        <v>0</v>
      </c>
      <c r="R177" s="342">
        <f t="shared" si="298"/>
        <v>0</v>
      </c>
      <c r="S177" s="323">
        <f t="shared" ref="S177:X177" si="299">+S140/20</f>
        <v>0</v>
      </c>
      <c r="T177" s="328">
        <f t="shared" si="299"/>
        <v>0</v>
      </c>
      <c r="U177" s="328">
        <f t="shared" si="299"/>
        <v>0</v>
      </c>
      <c r="V177" s="328">
        <f t="shared" si="299"/>
        <v>0</v>
      </c>
      <c r="W177" s="342">
        <f t="shared" si="299"/>
        <v>0</v>
      </c>
      <c r="X177" s="323">
        <f t="shared" si="299"/>
        <v>0</v>
      </c>
      <c r="Y177" s="324">
        <f t="shared" si="214"/>
        <v>0</v>
      </c>
      <c r="Z177" s="324">
        <f t="shared" si="215"/>
        <v>0</v>
      </c>
      <c r="AA177" s="324">
        <f t="shared" si="216"/>
        <v>0</v>
      </c>
      <c r="AB177" s="324">
        <f t="shared" si="217"/>
        <v>0</v>
      </c>
      <c r="AC177" s="324">
        <f t="shared" si="218"/>
        <v>0</v>
      </c>
      <c r="AD177" s="324">
        <f t="shared" si="219"/>
        <v>0</v>
      </c>
      <c r="AE177" s="324">
        <f t="shared" si="220"/>
        <v>0</v>
      </c>
      <c r="AF177" s="324">
        <f t="shared" si="221"/>
        <v>0</v>
      </c>
      <c r="AG177" s="327">
        <f t="shared" si="222"/>
        <v>0</v>
      </c>
      <c r="AH177" s="343">
        <f t="shared" si="223"/>
        <v>0</v>
      </c>
      <c r="AI177" s="348">
        <f t="shared" si="224"/>
        <v>0</v>
      </c>
      <c r="AJ177" s="344">
        <f t="shared" si="225"/>
        <v>0</v>
      </c>
      <c r="AK177" s="348">
        <f t="shared" si="226"/>
        <v>0</v>
      </c>
      <c r="AL177" s="344">
        <f t="shared" si="227"/>
        <v>0</v>
      </c>
      <c r="AM177" s="348">
        <f t="shared" si="228"/>
        <v>0</v>
      </c>
      <c r="AN177" s="344">
        <f t="shared" si="229"/>
        <v>0</v>
      </c>
      <c r="AO177" s="352">
        <f t="shared" si="230"/>
        <v>0</v>
      </c>
      <c r="AP177" s="343">
        <f t="shared" ref="AP177:BK177" si="300">+AP140/20</f>
        <v>0</v>
      </c>
      <c r="AQ177" s="348">
        <f t="shared" si="300"/>
        <v>0</v>
      </c>
      <c r="AR177" s="347">
        <f t="shared" si="300"/>
        <v>0</v>
      </c>
      <c r="AS177" s="353">
        <f t="shared" si="300"/>
        <v>0</v>
      </c>
      <c r="AT177" s="323">
        <f t="shared" si="300"/>
        <v>0</v>
      </c>
      <c r="AU177" s="328">
        <f t="shared" si="300"/>
        <v>0</v>
      </c>
      <c r="AV177" s="328">
        <f t="shared" si="300"/>
        <v>0</v>
      </c>
      <c r="AW177" s="328">
        <f t="shared" si="300"/>
        <v>0</v>
      </c>
      <c r="AX177" s="328">
        <f t="shared" si="300"/>
        <v>0</v>
      </c>
      <c r="AY177" s="355">
        <f t="shared" si="300"/>
        <v>0</v>
      </c>
      <c r="AZ177" s="323">
        <f t="shared" si="300"/>
        <v>0</v>
      </c>
      <c r="BA177" s="323">
        <f t="shared" si="300"/>
        <v>0</v>
      </c>
      <c r="BB177" s="323">
        <f t="shared" si="300"/>
        <v>0</v>
      </c>
      <c r="BC177" s="323">
        <f t="shared" si="300"/>
        <v>0</v>
      </c>
      <c r="BD177" s="323">
        <f t="shared" si="300"/>
        <v>0</v>
      </c>
      <c r="BE177" s="323">
        <f t="shared" si="300"/>
        <v>0</v>
      </c>
      <c r="BF177" s="323">
        <f t="shared" si="300"/>
        <v>0</v>
      </c>
      <c r="BG177" s="323">
        <f t="shared" si="300"/>
        <v>0</v>
      </c>
      <c r="BH177" s="323">
        <f t="shared" si="300"/>
        <v>0</v>
      </c>
      <c r="BI177" s="323">
        <f>+BI140/20</f>
        <v>0</v>
      </c>
      <c r="BJ177" s="323">
        <f t="shared" si="300"/>
        <v>0</v>
      </c>
      <c r="BK177" s="323">
        <f t="shared" si="300"/>
        <v>0</v>
      </c>
      <c r="BL177" s="323">
        <f t="shared" ref="BL177:BQ177" si="301">+BL140/20</f>
        <v>0</v>
      </c>
      <c r="BM177" s="328">
        <f t="shared" si="301"/>
        <v>0</v>
      </c>
      <c r="BN177" s="328">
        <f t="shared" si="301"/>
        <v>0</v>
      </c>
      <c r="BO177" s="328">
        <f t="shared" si="301"/>
        <v>0</v>
      </c>
      <c r="BP177" s="328">
        <f t="shared" si="301"/>
        <v>0</v>
      </c>
      <c r="BQ177" s="342">
        <f t="shared" si="301"/>
        <v>0</v>
      </c>
      <c r="BR177" s="356">
        <f>SUM(H177:BQ177)</f>
        <v>0</v>
      </c>
    </row>
    <row r="178" spans="1:70" ht="15.75" thickBot="1">
      <c r="A178" s="294"/>
      <c r="B178" s="154">
        <f t="shared" ref="B178:D178" si="302">SUM(B147:B177)</f>
        <v>0</v>
      </c>
      <c r="C178" s="154">
        <f t="shared" si="302"/>
        <v>0</v>
      </c>
      <c r="D178" s="137">
        <f t="shared" si="302"/>
        <v>0</v>
      </c>
      <c r="E178" s="335">
        <f t="shared" ref="E178:BK178" si="303">SUM(E147:E177)</f>
        <v>0</v>
      </c>
      <c r="F178" s="336">
        <f t="shared" si="303"/>
        <v>0</v>
      </c>
      <c r="G178" s="336">
        <f t="shared" si="303"/>
        <v>0</v>
      </c>
      <c r="H178" s="336">
        <f t="shared" si="303"/>
        <v>0</v>
      </c>
      <c r="I178" s="346">
        <f t="shared" si="303"/>
        <v>0</v>
      </c>
      <c r="J178" s="112">
        <f t="shared" si="303"/>
        <v>0</v>
      </c>
      <c r="K178" s="209">
        <f t="shared" si="303"/>
        <v>0</v>
      </c>
      <c r="L178" s="209">
        <f t="shared" si="303"/>
        <v>0</v>
      </c>
      <c r="M178" s="210">
        <f t="shared" si="303"/>
        <v>0</v>
      </c>
      <c r="N178" s="335">
        <f t="shared" si="303"/>
        <v>0</v>
      </c>
      <c r="O178" s="336">
        <f t="shared" si="303"/>
        <v>0</v>
      </c>
      <c r="P178" s="336">
        <f t="shared" si="303"/>
        <v>0</v>
      </c>
      <c r="Q178" s="336">
        <f t="shared" si="303"/>
        <v>0</v>
      </c>
      <c r="R178" s="346">
        <f t="shared" si="303"/>
        <v>0</v>
      </c>
      <c r="S178" s="335">
        <f t="shared" si="303"/>
        <v>0</v>
      </c>
      <c r="T178" s="336">
        <f t="shared" si="303"/>
        <v>0</v>
      </c>
      <c r="U178" s="336">
        <f t="shared" si="303"/>
        <v>0</v>
      </c>
      <c r="V178" s="336">
        <f t="shared" si="303"/>
        <v>0</v>
      </c>
      <c r="W178" s="346">
        <f t="shared" si="303"/>
        <v>0</v>
      </c>
      <c r="X178" s="335">
        <f t="shared" si="303"/>
        <v>0</v>
      </c>
      <c r="Y178" s="336">
        <f t="shared" si="303"/>
        <v>0</v>
      </c>
      <c r="Z178" s="336">
        <f t="shared" si="303"/>
        <v>0</v>
      </c>
      <c r="AA178" s="336">
        <f t="shared" si="303"/>
        <v>0</v>
      </c>
      <c r="AB178" s="336">
        <f t="shared" si="303"/>
        <v>0</v>
      </c>
      <c r="AC178" s="336">
        <f t="shared" si="303"/>
        <v>0</v>
      </c>
      <c r="AD178" s="336">
        <f t="shared" si="303"/>
        <v>0</v>
      </c>
      <c r="AE178" s="336">
        <f t="shared" si="303"/>
        <v>0</v>
      </c>
      <c r="AF178" s="336">
        <f t="shared" si="303"/>
        <v>0</v>
      </c>
      <c r="AG178" s="346">
        <f t="shared" si="303"/>
        <v>0</v>
      </c>
      <c r="AH178" s="349">
        <f t="shared" si="303"/>
        <v>0</v>
      </c>
      <c r="AI178" s="280">
        <f t="shared" si="303"/>
        <v>0</v>
      </c>
      <c r="AJ178" s="280">
        <f t="shared" si="303"/>
        <v>0</v>
      </c>
      <c r="AK178" s="280">
        <f t="shared" si="303"/>
        <v>0</v>
      </c>
      <c r="AL178" s="280">
        <f t="shared" si="303"/>
        <v>0</v>
      </c>
      <c r="AM178" s="280">
        <f t="shared" si="303"/>
        <v>0</v>
      </c>
      <c r="AN178" s="280">
        <f t="shared" si="303"/>
        <v>0</v>
      </c>
      <c r="AO178" s="354">
        <f t="shared" si="303"/>
        <v>0</v>
      </c>
      <c r="AP178" s="34">
        <f t="shared" si="303"/>
        <v>0</v>
      </c>
      <c r="AQ178" s="330">
        <f t="shared" si="303"/>
        <v>0</v>
      </c>
      <c r="AR178" s="330">
        <f t="shared" si="303"/>
        <v>0</v>
      </c>
      <c r="AS178" s="332">
        <f t="shared" si="303"/>
        <v>0</v>
      </c>
      <c r="AT178" s="335">
        <f t="shared" ref="AT178:AY178" si="304">SUM(AT147:AT177)</f>
        <v>0</v>
      </c>
      <c r="AU178" s="336">
        <f t="shared" si="304"/>
        <v>0</v>
      </c>
      <c r="AV178" s="336">
        <f t="shared" si="304"/>
        <v>0</v>
      </c>
      <c r="AW178" s="336">
        <f t="shared" si="304"/>
        <v>0</v>
      </c>
      <c r="AX178" s="336">
        <f t="shared" si="304"/>
        <v>0</v>
      </c>
      <c r="AY178" s="346">
        <f t="shared" si="304"/>
        <v>0</v>
      </c>
      <c r="AZ178" s="349">
        <f t="shared" si="303"/>
        <v>0</v>
      </c>
      <c r="BA178" s="349">
        <f t="shared" si="303"/>
        <v>0</v>
      </c>
      <c r="BB178" s="349">
        <f t="shared" si="303"/>
        <v>0</v>
      </c>
      <c r="BC178" s="349">
        <f t="shared" si="303"/>
        <v>0</v>
      </c>
      <c r="BD178" s="349">
        <f t="shared" si="303"/>
        <v>0</v>
      </c>
      <c r="BE178" s="349">
        <f t="shared" si="303"/>
        <v>0</v>
      </c>
      <c r="BF178" s="349">
        <f t="shared" si="303"/>
        <v>0</v>
      </c>
      <c r="BG178" s="349">
        <f t="shared" si="303"/>
        <v>0</v>
      </c>
      <c r="BH178" s="349">
        <f t="shared" si="303"/>
        <v>0</v>
      </c>
      <c r="BI178" s="349">
        <f t="shared" si="303"/>
        <v>0</v>
      </c>
      <c r="BJ178" s="349">
        <f t="shared" si="303"/>
        <v>0</v>
      </c>
      <c r="BK178" s="349">
        <f t="shared" si="303"/>
        <v>0</v>
      </c>
      <c r="BL178" s="335">
        <f t="shared" ref="BL178:BR178" si="305">SUM(BL147:BL177)</f>
        <v>0</v>
      </c>
      <c r="BM178" s="336">
        <f t="shared" si="305"/>
        <v>0</v>
      </c>
      <c r="BN178" s="336">
        <f t="shared" si="305"/>
        <v>0</v>
      </c>
      <c r="BO178" s="336">
        <f t="shared" si="305"/>
        <v>0</v>
      </c>
      <c r="BP178" s="336">
        <f t="shared" si="305"/>
        <v>0</v>
      </c>
      <c r="BQ178" s="346">
        <f t="shared" si="305"/>
        <v>0</v>
      </c>
      <c r="BR178" s="357">
        <f t="shared" si="305"/>
        <v>0</v>
      </c>
    </row>
  </sheetData>
  <mergeCells count="68">
    <mergeCell ref="AH2:AO2"/>
    <mergeCell ref="AP2:AS2"/>
    <mergeCell ref="AT2:AY2"/>
    <mergeCell ref="A1:B1"/>
    <mergeCell ref="B2:D2"/>
    <mergeCell ref="E2:I2"/>
    <mergeCell ref="J2:M2"/>
    <mergeCell ref="N2:R2"/>
    <mergeCell ref="AZ2:BK2"/>
    <mergeCell ref="BL2:BQ2"/>
    <mergeCell ref="E37:F37"/>
    <mergeCell ref="B38:D38"/>
    <mergeCell ref="E38:I38"/>
    <mergeCell ref="J38:M38"/>
    <mergeCell ref="N38:R38"/>
    <mergeCell ref="S38:W38"/>
    <mergeCell ref="X38:AG38"/>
    <mergeCell ref="AH38:AO38"/>
    <mergeCell ref="AP38:AS38"/>
    <mergeCell ref="AT38:AY38"/>
    <mergeCell ref="AZ38:BK38"/>
    <mergeCell ref="BL38:BQ38"/>
    <mergeCell ref="S2:W2"/>
    <mergeCell ref="X2:AG2"/>
    <mergeCell ref="AP73:AS73"/>
    <mergeCell ref="AT73:AY73"/>
    <mergeCell ref="E72:F72"/>
    <mergeCell ref="B73:D73"/>
    <mergeCell ref="E73:I73"/>
    <mergeCell ref="J73:M73"/>
    <mergeCell ref="N73:R73"/>
    <mergeCell ref="AZ73:BK73"/>
    <mergeCell ref="BL73:BQ73"/>
    <mergeCell ref="B108:D108"/>
    <mergeCell ref="E108:I108"/>
    <mergeCell ref="J108:M108"/>
    <mergeCell ref="N108:R108"/>
    <mergeCell ref="S108:W108"/>
    <mergeCell ref="X108:AG108"/>
    <mergeCell ref="AH108:AO108"/>
    <mergeCell ref="AP108:AS108"/>
    <mergeCell ref="AT108:AY108"/>
    <mergeCell ref="AZ108:BK108"/>
    <mergeCell ref="BL108:BQ108"/>
    <mergeCell ref="S73:W73"/>
    <mergeCell ref="X73:AG73"/>
    <mergeCell ref="AH73:AO73"/>
    <mergeCell ref="BL145:BQ145"/>
    <mergeCell ref="A2:A3"/>
    <mergeCell ref="A38:A39"/>
    <mergeCell ref="A73:A74"/>
    <mergeCell ref="A108:A109"/>
    <mergeCell ref="A145:A146"/>
    <mergeCell ref="X145:AG145"/>
    <mergeCell ref="AH145:AO145"/>
    <mergeCell ref="AP145:AS145"/>
    <mergeCell ref="AT145:AY145"/>
    <mergeCell ref="AZ145:BK145"/>
    <mergeCell ref="B145:D145"/>
    <mergeCell ref="E145:I145"/>
    <mergeCell ref="J145:M145"/>
    <mergeCell ref="N145:R145"/>
    <mergeCell ref="S145:W145"/>
    <mergeCell ref="BR2:BR3"/>
    <mergeCell ref="BR38:BR39"/>
    <mergeCell ref="BR73:BR74"/>
    <mergeCell ref="BR108:BR109"/>
    <mergeCell ref="BR145:BR146"/>
  </mergeCells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DG41"/>
  <sheetViews>
    <sheetView topLeftCell="S1" zoomScale="64" zoomScaleNormal="64" workbookViewId="0">
      <selection activeCell="DG35" sqref="DG35"/>
    </sheetView>
  </sheetViews>
  <sheetFormatPr baseColWidth="10" defaultColWidth="11.42578125" defaultRowHeight="15"/>
  <cols>
    <col min="1" max="1" width="5.7109375" customWidth="1"/>
    <col min="2" max="29" width="4.28515625" customWidth="1"/>
    <col min="30" max="30" width="7.28515625" customWidth="1"/>
    <col min="31" max="36" width="4.28515625" customWidth="1"/>
    <col min="37" max="37" width="10" customWidth="1"/>
    <col min="38" max="38" width="5.7109375" customWidth="1"/>
    <col min="39" max="73" width="4.28515625" customWidth="1"/>
    <col min="74" max="74" width="10" customWidth="1"/>
    <col min="75" max="75" width="5.7109375" customWidth="1"/>
    <col min="76" max="77" width="4.28515625" customWidth="1"/>
    <col min="78" max="78" width="5" customWidth="1"/>
    <col min="79" max="79" width="4.28515625" customWidth="1"/>
    <col min="80" max="80" width="5" customWidth="1"/>
    <col min="81" max="91" width="4.28515625" customWidth="1"/>
    <col min="92" max="92" width="5" customWidth="1"/>
    <col min="93" max="99" width="4.28515625" customWidth="1"/>
    <col min="100" max="101" width="5" customWidth="1"/>
    <col min="102" max="110" width="4.28515625" customWidth="1"/>
    <col min="111" max="111" width="6.5703125" customWidth="1"/>
  </cols>
  <sheetData>
    <row r="3" spans="1:111" ht="23.25">
      <c r="A3" s="461" t="s">
        <v>58</v>
      </c>
      <c r="B3" s="462"/>
      <c r="C3" s="462"/>
      <c r="D3" s="462"/>
      <c r="E3" s="462"/>
      <c r="F3" s="463"/>
      <c r="AL3" s="464" t="s">
        <v>42</v>
      </c>
      <c r="AM3" s="465"/>
      <c r="AN3" s="465"/>
      <c r="AO3" s="465"/>
      <c r="AP3" s="465"/>
      <c r="AQ3" s="466"/>
      <c r="BW3" s="464" t="s">
        <v>43</v>
      </c>
      <c r="BX3" s="465"/>
      <c r="BY3" s="465"/>
      <c r="BZ3" s="465"/>
      <c r="CA3" s="465"/>
      <c r="CB3" s="466"/>
    </row>
    <row r="4" spans="1:111">
      <c r="A4" s="280" t="s">
        <v>2</v>
      </c>
      <c r="B4" s="280" t="s">
        <v>3</v>
      </c>
      <c r="C4" s="280" t="s">
        <v>4</v>
      </c>
      <c r="D4" s="280" t="s">
        <v>5</v>
      </c>
      <c r="E4" s="280" t="s">
        <v>6</v>
      </c>
      <c r="F4" s="280" t="s">
        <v>7</v>
      </c>
      <c r="G4" s="154" t="s">
        <v>8</v>
      </c>
      <c r="H4" s="154" t="s">
        <v>9</v>
      </c>
      <c r="I4" s="154" t="s">
        <v>10</v>
      </c>
      <c r="J4" s="154" t="s">
        <v>11</v>
      </c>
      <c r="K4" s="154" t="s">
        <v>12</v>
      </c>
      <c r="L4" s="154" t="s">
        <v>13</v>
      </c>
      <c r="M4" s="154" t="s">
        <v>14</v>
      </c>
      <c r="N4" s="154" t="s">
        <v>15</v>
      </c>
      <c r="O4" s="154" t="s">
        <v>16</v>
      </c>
      <c r="P4" s="154" t="s">
        <v>17</v>
      </c>
      <c r="Q4" s="154" t="s">
        <v>18</v>
      </c>
      <c r="R4" s="154" t="s">
        <v>19</v>
      </c>
      <c r="S4" s="154" t="s">
        <v>20</v>
      </c>
      <c r="T4" s="154" t="s">
        <v>21</v>
      </c>
      <c r="U4" s="154" t="s">
        <v>22</v>
      </c>
      <c r="V4" s="154" t="s">
        <v>23</v>
      </c>
      <c r="W4" s="154" t="s">
        <v>24</v>
      </c>
      <c r="X4" s="154" t="s">
        <v>25</v>
      </c>
      <c r="Y4" s="154" t="s">
        <v>26</v>
      </c>
      <c r="Z4" s="154" t="s">
        <v>27</v>
      </c>
      <c r="AA4" s="154" t="s">
        <v>28</v>
      </c>
      <c r="AB4" s="154" t="s">
        <v>29</v>
      </c>
      <c r="AC4" s="154" t="s">
        <v>30</v>
      </c>
      <c r="AD4" s="154" t="s">
        <v>31</v>
      </c>
      <c r="AE4" s="154" t="s">
        <v>32</v>
      </c>
      <c r="AF4" s="154" t="s">
        <v>33</v>
      </c>
      <c r="AG4" s="154" t="s">
        <v>34</v>
      </c>
      <c r="AH4" s="154" t="s">
        <v>35</v>
      </c>
      <c r="AI4" s="154" t="s">
        <v>36</v>
      </c>
      <c r="AJ4" s="154" t="s">
        <v>37</v>
      </c>
      <c r="AK4" s="283" t="s">
        <v>56</v>
      </c>
      <c r="AL4" s="284" t="s">
        <v>2</v>
      </c>
      <c r="AM4" s="280" t="s">
        <v>3</v>
      </c>
      <c r="AN4" s="280" t="s">
        <v>4</v>
      </c>
      <c r="AO4" s="280" t="s">
        <v>5</v>
      </c>
      <c r="AP4" s="280" t="s">
        <v>6</v>
      </c>
      <c r="AQ4" s="280" t="s">
        <v>7</v>
      </c>
      <c r="AR4" s="154" t="s">
        <v>8</v>
      </c>
      <c r="AS4" s="154" t="s">
        <v>9</v>
      </c>
      <c r="AT4" s="154" t="s">
        <v>10</v>
      </c>
      <c r="AU4" s="154" t="s">
        <v>11</v>
      </c>
      <c r="AV4" s="154" t="s">
        <v>12</v>
      </c>
      <c r="AW4" s="154" t="s">
        <v>13</v>
      </c>
      <c r="AX4" s="154" t="s">
        <v>14</v>
      </c>
      <c r="AY4" s="154" t="s">
        <v>15</v>
      </c>
      <c r="AZ4" s="154" t="s">
        <v>16</v>
      </c>
      <c r="BA4" s="154" t="s">
        <v>17</v>
      </c>
      <c r="BB4" s="154" t="s">
        <v>18</v>
      </c>
      <c r="BC4" s="154" t="s">
        <v>19</v>
      </c>
      <c r="BD4" s="154" t="s">
        <v>20</v>
      </c>
      <c r="BE4" s="154" t="s">
        <v>21</v>
      </c>
      <c r="BF4" s="154" t="s">
        <v>22</v>
      </c>
      <c r="BG4" s="154" t="s">
        <v>23</v>
      </c>
      <c r="BH4" s="154" t="s">
        <v>24</v>
      </c>
      <c r="BI4" s="154" t="s">
        <v>25</v>
      </c>
      <c r="BJ4" s="154" t="s">
        <v>26</v>
      </c>
      <c r="BK4" s="154" t="s">
        <v>27</v>
      </c>
      <c r="BL4" s="154" t="s">
        <v>28</v>
      </c>
      <c r="BM4" s="154" t="s">
        <v>29</v>
      </c>
      <c r="BN4" s="154" t="s">
        <v>30</v>
      </c>
      <c r="BO4" s="154" t="s">
        <v>31</v>
      </c>
      <c r="BP4" s="154" t="s">
        <v>32</v>
      </c>
      <c r="BQ4" s="154" t="s">
        <v>33</v>
      </c>
      <c r="BR4" s="154" t="s">
        <v>34</v>
      </c>
      <c r="BS4" s="154" t="s">
        <v>35</v>
      </c>
      <c r="BT4" s="154" t="s">
        <v>36</v>
      </c>
      <c r="BU4" s="154" t="s">
        <v>37</v>
      </c>
      <c r="BV4" s="283" t="s">
        <v>56</v>
      </c>
      <c r="BW4" s="284" t="s">
        <v>2</v>
      </c>
      <c r="BX4" s="280" t="s">
        <v>3</v>
      </c>
      <c r="BY4" s="280" t="s">
        <v>4</v>
      </c>
      <c r="BZ4" s="280" t="s">
        <v>5</v>
      </c>
      <c r="CA4" s="280" t="s">
        <v>6</v>
      </c>
      <c r="CB4" s="280" t="s">
        <v>7</v>
      </c>
      <c r="CC4" s="154" t="s">
        <v>8</v>
      </c>
      <c r="CD4" s="154" t="s">
        <v>9</v>
      </c>
      <c r="CE4" s="154" t="s">
        <v>10</v>
      </c>
      <c r="CF4" s="154" t="s">
        <v>11</v>
      </c>
      <c r="CG4" s="154" t="s">
        <v>12</v>
      </c>
      <c r="CH4" s="154" t="s">
        <v>13</v>
      </c>
      <c r="CI4" s="154" t="s">
        <v>14</v>
      </c>
      <c r="CJ4" s="154" t="s">
        <v>15</v>
      </c>
      <c r="CK4" s="154" t="s">
        <v>16</v>
      </c>
      <c r="CL4" s="154" t="s">
        <v>17</v>
      </c>
      <c r="CM4" s="154" t="s">
        <v>18</v>
      </c>
      <c r="CN4" s="154" t="s">
        <v>19</v>
      </c>
      <c r="CO4" s="154" t="s">
        <v>20</v>
      </c>
      <c r="CP4" s="154" t="s">
        <v>21</v>
      </c>
      <c r="CQ4" s="154" t="s">
        <v>22</v>
      </c>
      <c r="CR4" s="154" t="s">
        <v>23</v>
      </c>
      <c r="CS4" s="154" t="s">
        <v>24</v>
      </c>
      <c r="CT4" s="154" t="s">
        <v>25</v>
      </c>
      <c r="CU4" s="154" t="s">
        <v>26</v>
      </c>
      <c r="CV4" s="154" t="s">
        <v>27</v>
      </c>
      <c r="CW4" s="154" t="s">
        <v>28</v>
      </c>
      <c r="CX4" s="154" t="s">
        <v>29</v>
      </c>
      <c r="CY4" s="154" t="s">
        <v>30</v>
      </c>
      <c r="CZ4" s="154" t="s">
        <v>31</v>
      </c>
      <c r="DA4" s="154" t="s">
        <v>32</v>
      </c>
      <c r="DB4" s="154" t="s">
        <v>33</v>
      </c>
      <c r="DC4" s="154" t="s">
        <v>34</v>
      </c>
      <c r="DD4" s="154" t="s">
        <v>35</v>
      </c>
      <c r="DE4" s="154" t="s">
        <v>36</v>
      </c>
      <c r="DF4" s="154" t="s">
        <v>37</v>
      </c>
      <c r="DG4" s="283" t="s">
        <v>56</v>
      </c>
    </row>
    <row r="5" spans="1:111">
      <c r="A5" s="154">
        <v>1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  <c r="AE5" s="43"/>
      <c r="AF5" s="43"/>
      <c r="AG5" s="43"/>
      <c r="AH5" s="194"/>
      <c r="AI5" s="194"/>
      <c r="AJ5" s="194"/>
      <c r="AK5" s="285">
        <f>SUM(B5:AJ5)</f>
        <v>0</v>
      </c>
      <c r="AL5" s="286">
        <v>1</v>
      </c>
      <c r="AM5" s="281"/>
      <c r="AN5" s="43"/>
      <c r="AO5" s="43"/>
      <c r="AP5" s="43"/>
      <c r="AQ5" s="43"/>
      <c r="AR5" s="43"/>
      <c r="AS5" s="43"/>
      <c r="AT5" s="43"/>
      <c r="AU5" s="43"/>
      <c r="AV5" s="43"/>
      <c r="AW5" s="43"/>
      <c r="AX5" s="43"/>
      <c r="AY5" s="43"/>
      <c r="AZ5" s="43"/>
      <c r="BA5" s="43"/>
      <c r="BB5" s="43"/>
      <c r="BC5" s="43"/>
      <c r="BD5" s="43"/>
      <c r="BE5" s="43"/>
      <c r="BF5" s="43"/>
      <c r="BG5" s="43"/>
      <c r="BH5" s="43"/>
      <c r="BI5" s="43"/>
      <c r="BJ5" s="43"/>
      <c r="BK5" s="43"/>
      <c r="BL5" s="43"/>
      <c r="BM5" s="43"/>
      <c r="BN5" s="43"/>
      <c r="BO5" s="43"/>
      <c r="BP5" s="289"/>
      <c r="BQ5" s="289"/>
      <c r="BR5" s="289"/>
      <c r="BS5" s="289"/>
      <c r="BT5" s="289"/>
      <c r="BU5" s="289"/>
      <c r="BV5" s="290">
        <f>SUM(AM5:BU5)</f>
        <v>0</v>
      </c>
      <c r="BW5" s="286">
        <v>1</v>
      </c>
      <c r="BX5" s="281"/>
      <c r="BY5" s="43"/>
      <c r="BZ5" s="43"/>
      <c r="CA5" s="43"/>
      <c r="CB5" s="43"/>
      <c r="CC5" s="43"/>
      <c r="CD5" s="43"/>
      <c r="CE5" s="43"/>
      <c r="CF5" s="43"/>
      <c r="CG5" s="43"/>
      <c r="CH5" s="43"/>
      <c r="CI5" s="43"/>
      <c r="CJ5" s="43"/>
      <c r="CK5" s="43"/>
      <c r="CL5" s="43"/>
      <c r="CM5" s="43"/>
      <c r="CN5" s="43"/>
      <c r="CO5" s="43"/>
      <c r="CP5" s="43"/>
      <c r="CQ5" s="43"/>
      <c r="CR5" s="43"/>
      <c r="CS5" s="43"/>
      <c r="CT5" s="43"/>
      <c r="CU5" s="43"/>
      <c r="CV5" s="43"/>
      <c r="CW5" s="43"/>
      <c r="CX5" s="43"/>
      <c r="CY5" s="43"/>
      <c r="CZ5" s="43"/>
      <c r="DA5" s="289"/>
      <c r="DB5" s="289"/>
      <c r="DC5" s="289"/>
      <c r="DD5" s="289"/>
      <c r="DE5" s="289"/>
      <c r="DF5" s="289"/>
      <c r="DG5" s="290">
        <f>SUM(BX5:DF5)</f>
        <v>0</v>
      </c>
    </row>
    <row r="6" spans="1:111" s="1" customFormat="1">
      <c r="A6" s="154">
        <v>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  <c r="Y6" s="43"/>
      <c r="Z6" s="43"/>
      <c r="AA6" s="43"/>
      <c r="AB6" s="43"/>
      <c r="AC6" s="43"/>
      <c r="AD6" s="43"/>
      <c r="AE6" s="43"/>
      <c r="AF6" s="43"/>
      <c r="AG6" s="43"/>
      <c r="AH6" s="194"/>
      <c r="AI6" s="194"/>
      <c r="AJ6" s="194"/>
      <c r="AK6" s="285">
        <f t="shared" ref="AK6:AK35" si="0">SUM(B6:AJ6)</f>
        <v>0</v>
      </c>
      <c r="AL6" s="287">
        <v>2</v>
      </c>
      <c r="AM6" s="281"/>
      <c r="AN6" s="43"/>
      <c r="AO6" s="43"/>
      <c r="AP6" s="43"/>
      <c r="AQ6" s="43"/>
      <c r="AR6" s="43"/>
      <c r="AS6" s="43"/>
      <c r="AT6" s="43"/>
      <c r="AU6" s="43"/>
      <c r="AV6" s="43"/>
      <c r="AW6" s="43"/>
      <c r="AX6" s="43"/>
      <c r="AY6" s="43"/>
      <c r="AZ6" s="43"/>
      <c r="BA6" s="43"/>
      <c r="BB6" s="43"/>
      <c r="BC6" s="43"/>
      <c r="BD6" s="43"/>
      <c r="BE6" s="43"/>
      <c r="BF6" s="43"/>
      <c r="BG6" s="43"/>
      <c r="BH6" s="43"/>
      <c r="BI6" s="43"/>
      <c r="BJ6" s="43"/>
      <c r="BK6" s="43"/>
      <c r="BL6" s="43"/>
      <c r="BM6" s="43"/>
      <c r="BN6" s="43"/>
      <c r="BO6" s="43"/>
      <c r="BP6" s="289"/>
      <c r="BQ6" s="289"/>
      <c r="BR6" s="289"/>
      <c r="BS6" s="289"/>
      <c r="BT6" s="289"/>
      <c r="BU6" s="289"/>
      <c r="BV6" s="290">
        <f t="shared" ref="BV6:BV35" si="1">SUM(AM6:BU6)</f>
        <v>0</v>
      </c>
      <c r="BW6" s="286">
        <v>2</v>
      </c>
      <c r="BX6" s="281"/>
      <c r="BY6" s="43"/>
      <c r="BZ6" s="43"/>
      <c r="CA6" s="43"/>
      <c r="CB6" s="43"/>
      <c r="CC6" s="43"/>
      <c r="CD6" s="43"/>
      <c r="CE6" s="43"/>
      <c r="CF6" s="43"/>
      <c r="CG6" s="43"/>
      <c r="CH6" s="43"/>
      <c r="CI6" s="43"/>
      <c r="CJ6" s="43"/>
      <c r="CK6" s="43"/>
      <c r="CL6" s="43"/>
      <c r="CM6" s="43"/>
      <c r="CN6" s="43"/>
      <c r="CO6" s="43"/>
      <c r="CP6" s="43"/>
      <c r="CQ6" s="43"/>
      <c r="CR6" s="43"/>
      <c r="CS6" s="43"/>
      <c r="CT6" s="43"/>
      <c r="CU6" s="43"/>
      <c r="CV6" s="43"/>
      <c r="CW6" s="43"/>
      <c r="CX6" s="43"/>
      <c r="CY6" s="43"/>
      <c r="CZ6" s="43"/>
      <c r="DA6" s="289"/>
      <c r="DB6" s="289"/>
      <c r="DC6" s="289"/>
      <c r="DD6" s="289"/>
      <c r="DE6" s="289"/>
      <c r="DF6" s="289"/>
      <c r="DG6" s="290">
        <f t="shared" ref="DG6:DG35" si="2">SUM(BX6:DF6)</f>
        <v>0</v>
      </c>
    </row>
    <row r="7" spans="1:111">
      <c r="A7" s="154">
        <v>3</v>
      </c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  <c r="AE7" s="43"/>
      <c r="AF7" s="43"/>
      <c r="AG7" s="43"/>
      <c r="AH7" s="194"/>
      <c r="AI7" s="194"/>
      <c r="AJ7" s="194"/>
      <c r="AK7" s="285">
        <f t="shared" si="0"/>
        <v>0</v>
      </c>
      <c r="AL7" s="287">
        <v>3</v>
      </c>
      <c r="AM7" s="281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  <c r="BF7" s="43"/>
      <c r="BG7" s="43"/>
      <c r="BH7" s="43"/>
      <c r="BI7" s="43"/>
      <c r="BJ7" s="43"/>
      <c r="BK7" s="43"/>
      <c r="BL7" s="43"/>
      <c r="BM7" s="43"/>
      <c r="BN7" s="43"/>
      <c r="BO7" s="43"/>
      <c r="BP7" s="289"/>
      <c r="BQ7" s="289"/>
      <c r="BR7" s="289"/>
      <c r="BS7" s="289"/>
      <c r="BT7" s="289"/>
      <c r="BU7" s="289"/>
      <c r="BV7" s="290">
        <f t="shared" si="1"/>
        <v>0</v>
      </c>
      <c r="BW7" s="286">
        <v>3</v>
      </c>
      <c r="BX7" s="281"/>
      <c r="BY7" s="43"/>
      <c r="BZ7" s="43"/>
      <c r="CA7" s="43"/>
      <c r="CB7" s="43"/>
      <c r="CC7" s="43"/>
      <c r="CD7" s="43"/>
      <c r="CE7" s="43"/>
      <c r="CF7" s="43"/>
      <c r="CG7" s="43"/>
      <c r="CH7" s="43"/>
      <c r="CI7" s="43"/>
      <c r="CJ7" s="43"/>
      <c r="CK7" s="43"/>
      <c r="CL7" s="43"/>
      <c r="CM7" s="43"/>
      <c r="CN7" s="43"/>
      <c r="CO7" s="43"/>
      <c r="CP7" s="43"/>
      <c r="CQ7" s="43"/>
      <c r="CR7" s="43"/>
      <c r="CS7" s="43"/>
      <c r="CT7" s="43"/>
      <c r="CU7" s="43"/>
      <c r="CV7" s="43"/>
      <c r="CW7" s="43"/>
      <c r="CX7" s="43"/>
      <c r="CY7" s="43"/>
      <c r="CZ7" s="43"/>
      <c r="DA7" s="289"/>
      <c r="DB7" s="289"/>
      <c r="DC7" s="289"/>
      <c r="DD7" s="289"/>
      <c r="DE7" s="289"/>
      <c r="DF7" s="289"/>
      <c r="DG7" s="290">
        <f t="shared" si="2"/>
        <v>0</v>
      </c>
    </row>
    <row r="8" spans="1:111">
      <c r="A8" s="154">
        <v>4</v>
      </c>
      <c r="B8" s="281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  <c r="Y8" s="43"/>
      <c r="Z8" s="43"/>
      <c r="AA8" s="43"/>
      <c r="AB8" s="43"/>
      <c r="AC8" s="43"/>
      <c r="AD8" s="43"/>
      <c r="AE8" s="43"/>
      <c r="AF8" s="43"/>
      <c r="AG8" s="43"/>
      <c r="AH8" s="194"/>
      <c r="AI8" s="194"/>
      <c r="AJ8" s="194"/>
      <c r="AK8" s="285">
        <f t="shared" si="0"/>
        <v>0</v>
      </c>
      <c r="AL8" s="286">
        <v>4</v>
      </c>
      <c r="AM8" s="281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  <c r="BF8" s="43"/>
      <c r="BG8" s="43"/>
      <c r="BH8" s="43"/>
      <c r="BI8" s="43"/>
      <c r="BJ8" s="43"/>
      <c r="BK8" s="43"/>
      <c r="BL8" s="43"/>
      <c r="BM8" s="43"/>
      <c r="BN8" s="43"/>
      <c r="BO8" s="43"/>
      <c r="BP8" s="289"/>
      <c r="BQ8" s="289"/>
      <c r="BR8" s="289"/>
      <c r="BS8" s="289"/>
      <c r="BT8" s="289"/>
      <c r="BU8" s="289"/>
      <c r="BV8" s="290">
        <f t="shared" si="1"/>
        <v>0</v>
      </c>
      <c r="BW8" s="286">
        <v>4</v>
      </c>
      <c r="BX8" s="281"/>
      <c r="BY8" s="43"/>
      <c r="BZ8" s="43"/>
      <c r="CA8" s="43"/>
      <c r="CB8" s="43"/>
      <c r="CC8" s="43"/>
      <c r="CD8" s="43"/>
      <c r="CE8" s="43"/>
      <c r="CF8" s="43"/>
      <c r="CG8" s="43"/>
      <c r="CH8" s="43"/>
      <c r="CI8" s="43"/>
      <c r="CJ8" s="43"/>
      <c r="CK8" s="43"/>
      <c r="CL8" s="43"/>
      <c r="CM8" s="43"/>
      <c r="CN8" s="43"/>
      <c r="CO8" s="43"/>
      <c r="CP8" s="43"/>
      <c r="CQ8" s="43"/>
      <c r="CR8" s="43"/>
      <c r="CS8" s="43"/>
      <c r="CT8" s="43"/>
      <c r="CU8" s="43"/>
      <c r="CV8" s="43"/>
      <c r="CW8" s="43"/>
      <c r="CX8" s="43"/>
      <c r="CY8" s="43"/>
      <c r="CZ8" s="43"/>
      <c r="DA8" s="289"/>
      <c r="DB8" s="289"/>
      <c r="DC8" s="289"/>
      <c r="DD8" s="289"/>
      <c r="DE8" s="289"/>
      <c r="DF8" s="289"/>
      <c r="DG8" s="290">
        <f t="shared" si="2"/>
        <v>0</v>
      </c>
    </row>
    <row r="9" spans="1:111">
      <c r="A9" s="154">
        <v>5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  <c r="Y9" s="43"/>
      <c r="Z9" s="43"/>
      <c r="AA9" s="43"/>
      <c r="AB9" s="43"/>
      <c r="AC9" s="43"/>
      <c r="AD9" s="43"/>
      <c r="AE9" s="43"/>
      <c r="AF9" s="43"/>
      <c r="AG9" s="43"/>
      <c r="AH9" s="194"/>
      <c r="AI9" s="194"/>
      <c r="AJ9" s="194"/>
      <c r="AK9" s="285">
        <f t="shared" si="0"/>
        <v>0</v>
      </c>
      <c r="AL9" s="287">
        <v>5</v>
      </c>
      <c r="AM9" s="281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289"/>
      <c r="BQ9" s="289"/>
      <c r="BR9" s="289"/>
      <c r="BS9" s="289"/>
      <c r="BT9" s="289"/>
      <c r="BU9" s="289"/>
      <c r="BV9" s="290">
        <f t="shared" si="1"/>
        <v>0</v>
      </c>
      <c r="BW9" s="286">
        <v>5</v>
      </c>
      <c r="BX9" s="281"/>
      <c r="BY9" s="43"/>
      <c r="BZ9" s="43"/>
      <c r="CA9" s="43"/>
      <c r="CB9" s="43"/>
      <c r="CC9" s="43"/>
      <c r="CD9" s="43"/>
      <c r="CE9" s="43"/>
      <c r="CF9" s="43"/>
      <c r="CG9" s="43"/>
      <c r="CH9" s="43"/>
      <c r="CI9" s="43"/>
      <c r="CJ9" s="43"/>
      <c r="CK9" s="43"/>
      <c r="CL9" s="43"/>
      <c r="CM9" s="43"/>
      <c r="CN9" s="43"/>
      <c r="CO9" s="43"/>
      <c r="CP9" s="43"/>
      <c r="CQ9" s="43"/>
      <c r="CR9" s="43"/>
      <c r="CS9" s="43"/>
      <c r="CT9" s="43"/>
      <c r="CU9" s="43"/>
      <c r="CV9" s="43"/>
      <c r="CW9" s="43"/>
      <c r="CX9" s="43"/>
      <c r="CY9" s="43"/>
      <c r="CZ9" s="43"/>
      <c r="DA9" s="289"/>
      <c r="DB9" s="289"/>
      <c r="DC9" s="289"/>
      <c r="DD9" s="289"/>
      <c r="DE9" s="289"/>
      <c r="DF9" s="289"/>
      <c r="DG9" s="290">
        <f t="shared" si="2"/>
        <v>0</v>
      </c>
    </row>
    <row r="10" spans="1:111">
      <c r="A10" s="154">
        <v>6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  <c r="AC10" s="43"/>
      <c r="AD10" s="43"/>
      <c r="AE10" s="43"/>
      <c r="AF10" s="43"/>
      <c r="AG10" s="43"/>
      <c r="AH10" s="194"/>
      <c r="AI10" s="194"/>
      <c r="AJ10" s="194"/>
      <c r="AK10" s="285">
        <f t="shared" si="0"/>
        <v>0</v>
      </c>
      <c r="AL10" s="287">
        <v>6</v>
      </c>
      <c r="AM10" s="281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289"/>
      <c r="BQ10" s="289"/>
      <c r="BR10" s="289"/>
      <c r="BS10" s="289"/>
      <c r="BT10" s="289"/>
      <c r="BU10" s="289"/>
      <c r="BV10" s="290">
        <f t="shared" si="1"/>
        <v>0</v>
      </c>
      <c r="BW10" s="286">
        <v>6</v>
      </c>
      <c r="BX10" s="281"/>
      <c r="BY10" s="43"/>
      <c r="BZ10" s="43"/>
      <c r="CA10" s="43"/>
      <c r="CB10" s="43"/>
      <c r="CC10" s="43"/>
      <c r="CD10" s="43"/>
      <c r="CE10" s="43"/>
      <c r="CF10" s="43"/>
      <c r="CG10" s="43"/>
      <c r="CH10" s="43"/>
      <c r="CI10" s="43"/>
      <c r="CJ10" s="43"/>
      <c r="CK10" s="43"/>
      <c r="CL10" s="43"/>
      <c r="CM10" s="43"/>
      <c r="CN10" s="43"/>
      <c r="CO10" s="43"/>
      <c r="CP10" s="43"/>
      <c r="CQ10" s="43"/>
      <c r="CR10" s="43"/>
      <c r="CS10" s="43"/>
      <c r="CT10" s="43"/>
      <c r="CU10" s="43"/>
      <c r="CV10" s="43"/>
      <c r="CW10" s="43"/>
      <c r="CX10" s="43"/>
      <c r="CY10" s="43"/>
      <c r="CZ10" s="43"/>
      <c r="DA10" s="289"/>
      <c r="DB10" s="289"/>
      <c r="DC10" s="289"/>
      <c r="DD10" s="289"/>
      <c r="DE10" s="289"/>
      <c r="DF10" s="289"/>
      <c r="DG10" s="290">
        <f t="shared" si="2"/>
        <v>0</v>
      </c>
    </row>
    <row r="11" spans="1:111" s="1" customFormat="1">
      <c r="A11" s="154">
        <v>7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  <c r="AC11" s="43"/>
      <c r="AD11" s="43"/>
      <c r="AE11" s="43"/>
      <c r="AF11" s="43"/>
      <c r="AG11" s="43"/>
      <c r="AH11" s="194"/>
      <c r="AI11" s="194"/>
      <c r="AJ11" s="194"/>
      <c r="AK11" s="285">
        <f t="shared" si="0"/>
        <v>0</v>
      </c>
      <c r="AL11" s="286">
        <v>7</v>
      </c>
      <c r="AM11" s="281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289"/>
      <c r="BQ11" s="289"/>
      <c r="BR11" s="289"/>
      <c r="BS11" s="289"/>
      <c r="BT11" s="289"/>
      <c r="BU11" s="289"/>
      <c r="BV11" s="290">
        <f t="shared" si="1"/>
        <v>0</v>
      </c>
      <c r="BW11" s="286">
        <v>7</v>
      </c>
      <c r="BX11" s="281"/>
      <c r="BY11" s="43"/>
      <c r="BZ11" s="43"/>
      <c r="CA11" s="43"/>
      <c r="CB11" s="43"/>
      <c r="CC11" s="43"/>
      <c r="CD11" s="43"/>
      <c r="CE11" s="43"/>
      <c r="CF11" s="43"/>
      <c r="CG11" s="43"/>
      <c r="CH11" s="43"/>
      <c r="CI11" s="43"/>
      <c r="CJ11" s="43"/>
      <c r="CK11" s="43"/>
      <c r="CL11" s="43"/>
      <c r="CM11" s="43"/>
      <c r="CN11" s="43"/>
      <c r="CO11" s="43"/>
      <c r="CP11" s="43"/>
      <c r="CQ11" s="43"/>
      <c r="CR11" s="43"/>
      <c r="CS11" s="43"/>
      <c r="CT11" s="43"/>
      <c r="CU11" s="43"/>
      <c r="CV11" s="43"/>
      <c r="CW11" s="43"/>
      <c r="CX11" s="43"/>
      <c r="CY11" s="43"/>
      <c r="CZ11" s="43"/>
      <c r="DA11" s="289"/>
      <c r="DB11" s="289"/>
      <c r="DC11" s="289"/>
      <c r="DD11" s="289"/>
      <c r="DE11" s="289"/>
      <c r="DF11" s="289"/>
      <c r="DG11" s="290">
        <f t="shared" si="2"/>
        <v>0</v>
      </c>
    </row>
    <row r="12" spans="1:111" s="1" customFormat="1">
      <c r="A12" s="154">
        <v>8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3"/>
      <c r="AC12" s="43"/>
      <c r="AD12" s="43"/>
      <c r="AE12" s="43"/>
      <c r="AF12" s="43"/>
      <c r="AG12" s="43"/>
      <c r="AH12" s="194"/>
      <c r="AI12" s="194"/>
      <c r="AJ12" s="194"/>
      <c r="AK12" s="285">
        <f t="shared" si="0"/>
        <v>0</v>
      </c>
      <c r="AL12" s="287">
        <v>8</v>
      </c>
      <c r="AM12" s="281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289"/>
      <c r="BQ12" s="289"/>
      <c r="BR12" s="289"/>
      <c r="BS12" s="289"/>
      <c r="BT12" s="289"/>
      <c r="BU12" s="289"/>
      <c r="BV12" s="290">
        <f t="shared" si="1"/>
        <v>0</v>
      </c>
      <c r="BW12" s="286">
        <v>8</v>
      </c>
      <c r="BX12" s="281"/>
      <c r="BY12" s="43"/>
      <c r="BZ12" s="43"/>
      <c r="CA12" s="43"/>
      <c r="CB12" s="43"/>
      <c r="CC12" s="43"/>
      <c r="CD12" s="43"/>
      <c r="CE12" s="43"/>
      <c r="CF12" s="43"/>
      <c r="CG12" s="43"/>
      <c r="CH12" s="43"/>
      <c r="CI12" s="43"/>
      <c r="CJ12" s="43"/>
      <c r="CK12" s="43"/>
      <c r="CL12" s="43"/>
      <c r="CM12" s="43"/>
      <c r="CN12" s="43"/>
      <c r="CO12" s="43"/>
      <c r="CP12" s="43"/>
      <c r="CQ12" s="43"/>
      <c r="CR12" s="43"/>
      <c r="CS12" s="43"/>
      <c r="CT12" s="43"/>
      <c r="CU12" s="43"/>
      <c r="CV12" s="43"/>
      <c r="CW12" s="43"/>
      <c r="CX12" s="43"/>
      <c r="CY12" s="43"/>
      <c r="CZ12" s="43"/>
      <c r="DA12" s="289"/>
      <c r="DB12" s="289"/>
      <c r="DC12" s="289"/>
      <c r="DD12" s="289"/>
      <c r="DE12" s="289"/>
      <c r="DF12" s="289"/>
      <c r="DG12" s="290">
        <f t="shared" si="2"/>
        <v>0</v>
      </c>
    </row>
    <row r="13" spans="1:111">
      <c r="A13" s="154">
        <v>9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194"/>
      <c r="AI13" s="194"/>
      <c r="AJ13" s="194"/>
      <c r="AK13" s="285">
        <f t="shared" si="0"/>
        <v>0</v>
      </c>
      <c r="AL13" s="287">
        <v>9</v>
      </c>
      <c r="AM13" s="281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289"/>
      <c r="BQ13" s="289"/>
      <c r="BR13" s="289"/>
      <c r="BS13" s="289"/>
      <c r="BT13" s="289"/>
      <c r="BU13" s="289"/>
      <c r="BV13" s="290">
        <f t="shared" si="1"/>
        <v>0</v>
      </c>
      <c r="BW13" s="286">
        <v>9</v>
      </c>
      <c r="BX13" s="281"/>
      <c r="BY13" s="43"/>
      <c r="BZ13" s="43"/>
      <c r="CA13" s="43"/>
      <c r="CB13" s="43"/>
      <c r="CC13" s="43"/>
      <c r="CD13" s="43"/>
      <c r="CE13" s="43"/>
      <c r="CF13" s="43"/>
      <c r="CG13" s="43"/>
      <c r="CH13" s="43"/>
      <c r="CI13" s="43"/>
      <c r="CJ13" s="43"/>
      <c r="CK13" s="43"/>
      <c r="CL13" s="43"/>
      <c r="CM13" s="43"/>
      <c r="CN13" s="43"/>
      <c r="CO13" s="43"/>
      <c r="CP13" s="43"/>
      <c r="CQ13" s="43"/>
      <c r="CR13" s="43"/>
      <c r="CS13" s="43"/>
      <c r="CT13" s="43"/>
      <c r="CU13" s="43"/>
      <c r="CV13" s="43"/>
      <c r="CW13" s="43"/>
      <c r="CX13" s="43"/>
      <c r="CY13" s="43"/>
      <c r="CZ13" s="43"/>
      <c r="DA13" s="289"/>
      <c r="DB13" s="289"/>
      <c r="DC13" s="289"/>
      <c r="DD13" s="289"/>
      <c r="DE13" s="289"/>
      <c r="DF13" s="289"/>
      <c r="DG13" s="290">
        <f t="shared" si="2"/>
        <v>0</v>
      </c>
    </row>
    <row r="14" spans="1:111">
      <c r="A14" s="154">
        <v>10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194"/>
      <c r="AI14" s="194"/>
      <c r="AJ14" s="194"/>
      <c r="AK14" s="285">
        <f t="shared" si="0"/>
        <v>0</v>
      </c>
      <c r="AL14" s="286">
        <v>10</v>
      </c>
      <c r="AM14" s="281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289"/>
      <c r="BQ14" s="289"/>
      <c r="BR14" s="289"/>
      <c r="BS14" s="289"/>
      <c r="BT14" s="289"/>
      <c r="BU14" s="289"/>
      <c r="BV14" s="290">
        <f t="shared" si="1"/>
        <v>0</v>
      </c>
      <c r="BW14" s="286">
        <v>10</v>
      </c>
      <c r="BX14" s="281"/>
      <c r="BY14" s="43"/>
      <c r="BZ14" s="43"/>
      <c r="CA14" s="43"/>
      <c r="CB14" s="43"/>
      <c r="CC14" s="43"/>
      <c r="CD14" s="43"/>
      <c r="CE14" s="43"/>
      <c r="CF14" s="43"/>
      <c r="CG14" s="43"/>
      <c r="CH14" s="43"/>
      <c r="CI14" s="43"/>
      <c r="CJ14" s="43"/>
      <c r="CK14" s="43"/>
      <c r="CL14" s="43"/>
      <c r="CM14" s="43"/>
      <c r="CN14" s="43"/>
      <c r="CO14" s="43"/>
      <c r="CP14" s="43"/>
      <c r="CQ14" s="43"/>
      <c r="CR14" s="43"/>
      <c r="CS14" s="43"/>
      <c r="CT14" s="43"/>
      <c r="CU14" s="43"/>
      <c r="CV14" s="43"/>
      <c r="CW14" s="43"/>
      <c r="CX14" s="43"/>
      <c r="CY14" s="43"/>
      <c r="CZ14" s="43"/>
      <c r="DA14" s="289"/>
      <c r="DB14" s="289"/>
      <c r="DC14" s="289"/>
      <c r="DD14" s="289"/>
      <c r="DE14" s="289"/>
      <c r="DF14" s="289"/>
      <c r="DG14" s="290">
        <f t="shared" si="2"/>
        <v>0</v>
      </c>
    </row>
    <row r="15" spans="1:111">
      <c r="A15" s="154">
        <v>11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  <c r="Y15" s="43"/>
      <c r="Z15" s="43"/>
      <c r="AA15" s="43"/>
      <c r="AB15" s="43"/>
      <c r="AC15" s="43"/>
      <c r="AD15" s="43"/>
      <c r="AE15" s="43"/>
      <c r="AF15" s="43"/>
      <c r="AG15" s="43"/>
      <c r="AH15" s="194"/>
      <c r="AI15" s="194"/>
      <c r="AJ15" s="194"/>
      <c r="AK15" s="285">
        <f t="shared" si="0"/>
        <v>0</v>
      </c>
      <c r="AL15" s="287">
        <v>11</v>
      </c>
      <c r="AM15" s="281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289"/>
      <c r="BQ15" s="289"/>
      <c r="BR15" s="289"/>
      <c r="BS15" s="289"/>
      <c r="BT15" s="289"/>
      <c r="BU15" s="289"/>
      <c r="BV15" s="290">
        <f t="shared" si="1"/>
        <v>0</v>
      </c>
      <c r="BW15" s="286">
        <v>11</v>
      </c>
      <c r="BX15" s="281"/>
      <c r="BY15" s="43"/>
      <c r="BZ15" s="43"/>
      <c r="CA15" s="43"/>
      <c r="CB15" s="43"/>
      <c r="CC15" s="43"/>
      <c r="CD15" s="43"/>
      <c r="CE15" s="43"/>
      <c r="CF15" s="43"/>
      <c r="CG15" s="43"/>
      <c r="CH15" s="43"/>
      <c r="CI15" s="43"/>
      <c r="CJ15" s="43"/>
      <c r="CK15" s="43"/>
      <c r="CL15" s="43"/>
      <c r="CM15" s="43"/>
      <c r="CN15" s="43"/>
      <c r="CO15" s="43"/>
      <c r="CP15" s="43"/>
      <c r="CQ15" s="43"/>
      <c r="CR15" s="43"/>
      <c r="CS15" s="43"/>
      <c r="CT15" s="43"/>
      <c r="CU15" s="43"/>
      <c r="CV15" s="43"/>
      <c r="CW15" s="43"/>
      <c r="CX15" s="43"/>
      <c r="CY15" s="43"/>
      <c r="CZ15" s="43"/>
      <c r="DA15" s="289"/>
      <c r="DB15" s="289"/>
      <c r="DC15" s="289"/>
      <c r="DD15" s="289"/>
      <c r="DE15" s="289"/>
      <c r="DF15" s="289"/>
      <c r="DG15" s="290">
        <f t="shared" si="2"/>
        <v>0</v>
      </c>
    </row>
    <row r="16" spans="1:111">
      <c r="A16" s="154">
        <v>12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3"/>
      <c r="AC16" s="43"/>
      <c r="AD16" s="43"/>
      <c r="AE16" s="43"/>
      <c r="AF16" s="43"/>
      <c r="AG16" s="43"/>
      <c r="AH16" s="194"/>
      <c r="AI16" s="194"/>
      <c r="AJ16" s="194"/>
      <c r="AK16" s="285">
        <f t="shared" si="0"/>
        <v>0</v>
      </c>
      <c r="AL16" s="287">
        <v>12</v>
      </c>
      <c r="AM16" s="43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289"/>
      <c r="BQ16" s="289"/>
      <c r="BR16" s="289"/>
      <c r="BS16" s="289"/>
      <c r="BT16" s="289"/>
      <c r="BU16" s="289"/>
      <c r="BV16" s="290">
        <f t="shared" si="1"/>
        <v>0</v>
      </c>
      <c r="BW16" s="286">
        <v>12</v>
      </c>
      <c r="BX16" s="43"/>
      <c r="BY16" s="43"/>
      <c r="BZ16" s="43"/>
      <c r="CA16" s="43"/>
      <c r="CB16" s="43"/>
      <c r="CC16" s="43"/>
      <c r="CD16" s="43"/>
      <c r="CE16" s="43"/>
      <c r="CF16" s="43"/>
      <c r="CG16" s="43"/>
      <c r="CH16" s="43"/>
      <c r="CI16" s="43"/>
      <c r="CJ16" s="43"/>
      <c r="CK16" s="43"/>
      <c r="CL16" s="43"/>
      <c r="CM16" s="43"/>
      <c r="CN16" s="43"/>
      <c r="CO16" s="43"/>
      <c r="CP16" s="43"/>
      <c r="CQ16" s="43"/>
      <c r="CR16" s="43"/>
      <c r="CS16" s="43"/>
      <c r="CT16" s="43"/>
      <c r="CU16" s="43"/>
      <c r="CV16" s="43"/>
      <c r="CW16" s="43"/>
      <c r="CX16" s="43"/>
      <c r="CY16" s="43"/>
      <c r="CZ16" s="43"/>
      <c r="DA16" s="289"/>
      <c r="DB16" s="289"/>
      <c r="DC16" s="289"/>
      <c r="DD16" s="289"/>
      <c r="DE16" s="289"/>
      <c r="DF16" s="289"/>
      <c r="DG16" s="290">
        <f t="shared" si="2"/>
        <v>0</v>
      </c>
    </row>
    <row r="17" spans="1:111">
      <c r="A17" s="154">
        <v>13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  <c r="Y17" s="43"/>
      <c r="Z17" s="43"/>
      <c r="AA17" s="43"/>
      <c r="AB17" s="43"/>
      <c r="AC17" s="43"/>
      <c r="AD17" s="43"/>
      <c r="AE17" s="43"/>
      <c r="AF17" s="43"/>
      <c r="AG17" s="43"/>
      <c r="AH17" s="194"/>
      <c r="AI17" s="194"/>
      <c r="AJ17" s="194"/>
      <c r="AK17" s="285">
        <f t="shared" si="0"/>
        <v>0</v>
      </c>
      <c r="AL17" s="286">
        <v>13</v>
      </c>
      <c r="AM17" s="281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  <c r="BF17" s="43"/>
      <c r="BG17" s="43"/>
      <c r="BH17" s="43"/>
      <c r="BI17" s="43"/>
      <c r="BJ17" s="43"/>
      <c r="BK17" s="43"/>
      <c r="BL17" s="43"/>
      <c r="BM17" s="43"/>
      <c r="BN17" s="43"/>
      <c r="BO17" s="43"/>
      <c r="BP17" s="289"/>
      <c r="BQ17" s="289"/>
      <c r="BR17" s="289"/>
      <c r="BS17" s="289"/>
      <c r="BT17" s="289"/>
      <c r="BU17" s="289"/>
      <c r="BV17" s="290">
        <f t="shared" si="1"/>
        <v>0</v>
      </c>
      <c r="BW17" s="286">
        <v>13</v>
      </c>
      <c r="BX17" s="281"/>
      <c r="BY17" s="43"/>
      <c r="BZ17" s="43"/>
      <c r="CA17" s="43"/>
      <c r="CB17" s="43"/>
      <c r="CC17" s="43"/>
      <c r="CD17" s="43"/>
      <c r="CE17" s="43"/>
      <c r="CF17" s="43"/>
      <c r="CG17" s="43"/>
      <c r="CH17" s="43"/>
      <c r="CI17" s="43"/>
      <c r="CJ17" s="43"/>
      <c r="CK17" s="43"/>
      <c r="CL17" s="43"/>
      <c r="CM17" s="43"/>
      <c r="CN17" s="43"/>
      <c r="CO17" s="43"/>
      <c r="CP17" s="43"/>
      <c r="CQ17" s="43"/>
      <c r="CR17" s="43"/>
      <c r="CS17" s="43"/>
      <c r="CT17" s="43"/>
      <c r="CU17" s="43"/>
      <c r="CV17" s="43"/>
      <c r="CW17" s="43"/>
      <c r="CX17" s="43"/>
      <c r="CY17" s="43"/>
      <c r="CZ17" s="43"/>
      <c r="DA17" s="289"/>
      <c r="DB17" s="289"/>
      <c r="DC17" s="289"/>
      <c r="DD17" s="289"/>
      <c r="DE17" s="289"/>
      <c r="DF17" s="289"/>
      <c r="DG17" s="290">
        <f t="shared" si="2"/>
        <v>0</v>
      </c>
    </row>
    <row r="18" spans="1:111" s="1" customFormat="1">
      <c r="A18" s="154">
        <v>14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194"/>
      <c r="AI18" s="194"/>
      <c r="AJ18" s="194"/>
      <c r="AK18" s="285">
        <f t="shared" si="0"/>
        <v>0</v>
      </c>
      <c r="AL18" s="287">
        <v>14</v>
      </c>
      <c r="AM18" s="281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289"/>
      <c r="BQ18" s="289"/>
      <c r="BR18" s="289"/>
      <c r="BS18" s="289"/>
      <c r="BT18" s="289"/>
      <c r="BU18" s="289"/>
      <c r="BV18" s="290">
        <f t="shared" si="1"/>
        <v>0</v>
      </c>
      <c r="BW18" s="286">
        <v>14</v>
      </c>
      <c r="BX18" s="281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289"/>
      <c r="DB18" s="289"/>
      <c r="DC18" s="289"/>
      <c r="DD18" s="289"/>
      <c r="DE18" s="289"/>
      <c r="DF18" s="289"/>
      <c r="DG18" s="290">
        <f t="shared" si="2"/>
        <v>0</v>
      </c>
    </row>
    <row r="19" spans="1:111">
      <c r="A19" s="154">
        <v>15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3"/>
      <c r="AB19" s="43"/>
      <c r="AC19" s="43"/>
      <c r="AD19" s="43"/>
      <c r="AE19" s="43"/>
      <c r="AF19" s="43"/>
      <c r="AG19" s="43"/>
      <c r="AH19" s="194"/>
      <c r="AI19" s="194"/>
      <c r="AJ19" s="194"/>
      <c r="AK19" s="285">
        <f t="shared" si="0"/>
        <v>0</v>
      </c>
      <c r="AL19" s="287">
        <v>15</v>
      </c>
      <c r="AM19" s="281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  <c r="BF19" s="43"/>
      <c r="BG19" s="43"/>
      <c r="BH19" s="43"/>
      <c r="BI19" s="43"/>
      <c r="BJ19" s="43"/>
      <c r="BK19" s="43"/>
      <c r="BL19" s="43"/>
      <c r="BM19" s="43"/>
      <c r="BN19" s="43"/>
      <c r="BO19" s="43"/>
      <c r="BP19" s="289"/>
      <c r="BQ19" s="289"/>
      <c r="BR19" s="289"/>
      <c r="BS19" s="289"/>
      <c r="BT19" s="289"/>
      <c r="BU19" s="289"/>
      <c r="BV19" s="290">
        <f t="shared" si="1"/>
        <v>0</v>
      </c>
      <c r="BW19" s="286">
        <v>15</v>
      </c>
      <c r="BX19" s="281"/>
      <c r="BY19" s="43"/>
      <c r="BZ19" s="43"/>
      <c r="CA19" s="43"/>
      <c r="CB19" s="43"/>
      <c r="CC19" s="43"/>
      <c r="CD19" s="43"/>
      <c r="CE19" s="43"/>
      <c r="CF19" s="43"/>
      <c r="CG19" s="43"/>
      <c r="CH19" s="43"/>
      <c r="CI19" s="43"/>
      <c r="CJ19" s="43"/>
      <c r="CK19" s="43"/>
      <c r="CL19" s="43"/>
      <c r="CM19" s="43"/>
      <c r="CN19" s="43"/>
      <c r="CO19" s="43"/>
      <c r="CP19" s="43"/>
      <c r="CQ19" s="43"/>
      <c r="CR19" s="43"/>
      <c r="CS19" s="43"/>
      <c r="CT19" s="43"/>
      <c r="CU19" s="43"/>
      <c r="CV19" s="43"/>
      <c r="CW19" s="43"/>
      <c r="CX19" s="43"/>
      <c r="CY19" s="43"/>
      <c r="CZ19" s="43"/>
      <c r="DA19" s="289"/>
      <c r="DB19" s="289"/>
      <c r="DC19" s="289"/>
      <c r="DD19" s="289"/>
      <c r="DE19" s="289"/>
      <c r="DF19" s="289"/>
      <c r="DG19" s="290">
        <f t="shared" si="2"/>
        <v>0</v>
      </c>
    </row>
    <row r="20" spans="1:111">
      <c r="A20" s="154">
        <v>16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3"/>
      <c r="AC20" s="43"/>
      <c r="AD20" s="43"/>
      <c r="AE20" s="43"/>
      <c r="AF20" s="43"/>
      <c r="AG20" s="43"/>
      <c r="AH20" s="194"/>
      <c r="AI20" s="194"/>
      <c r="AJ20" s="194"/>
      <c r="AK20" s="285">
        <f t="shared" si="0"/>
        <v>0</v>
      </c>
      <c r="AL20" s="286">
        <v>16</v>
      </c>
      <c r="AM20" s="281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  <c r="BF20" s="43"/>
      <c r="BG20" s="43"/>
      <c r="BH20" s="43"/>
      <c r="BI20" s="43"/>
      <c r="BJ20" s="43"/>
      <c r="BK20" s="43"/>
      <c r="BL20" s="43"/>
      <c r="BM20" s="43"/>
      <c r="BN20" s="43"/>
      <c r="BO20" s="43"/>
      <c r="BP20" s="289"/>
      <c r="BQ20" s="289"/>
      <c r="BR20" s="289"/>
      <c r="BS20" s="289"/>
      <c r="BT20" s="289"/>
      <c r="BU20" s="289"/>
      <c r="BV20" s="290">
        <f t="shared" si="1"/>
        <v>0</v>
      </c>
      <c r="BW20" s="286">
        <v>16</v>
      </c>
      <c r="BX20" s="281"/>
      <c r="BY20" s="43"/>
      <c r="BZ20" s="43"/>
      <c r="CA20" s="43"/>
      <c r="CB20" s="43"/>
      <c r="CC20" s="43"/>
      <c r="CD20" s="43"/>
      <c r="CE20" s="43"/>
      <c r="CF20" s="43"/>
      <c r="CG20" s="43"/>
      <c r="CH20" s="43"/>
      <c r="CI20" s="43"/>
      <c r="CJ20" s="43"/>
      <c r="CK20" s="43"/>
      <c r="CL20" s="43"/>
      <c r="CM20" s="43"/>
      <c r="CN20" s="43"/>
      <c r="CO20" s="43"/>
      <c r="CP20" s="43"/>
      <c r="CQ20" s="43"/>
      <c r="CR20" s="43"/>
      <c r="CS20" s="43"/>
      <c r="CT20" s="43"/>
      <c r="CU20" s="43"/>
      <c r="CV20" s="43"/>
      <c r="CW20" s="43"/>
      <c r="CX20" s="43"/>
      <c r="CY20" s="43"/>
      <c r="CZ20" s="43"/>
      <c r="DA20" s="289"/>
      <c r="DB20" s="289"/>
      <c r="DC20" s="289"/>
      <c r="DD20" s="289"/>
      <c r="DE20" s="289"/>
      <c r="DF20" s="289"/>
      <c r="DG20" s="290">
        <f t="shared" si="2"/>
        <v>0</v>
      </c>
    </row>
    <row r="21" spans="1:111">
      <c r="A21" s="154">
        <v>17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  <c r="Y21" s="43"/>
      <c r="Z21" s="43"/>
      <c r="AA21" s="43"/>
      <c r="AB21" s="43"/>
      <c r="AC21" s="43"/>
      <c r="AD21" s="43"/>
      <c r="AE21" s="43"/>
      <c r="AF21" s="43"/>
      <c r="AG21" s="43"/>
      <c r="AH21" s="194"/>
      <c r="AI21" s="194"/>
      <c r="AJ21" s="194"/>
      <c r="AK21" s="285">
        <f t="shared" si="0"/>
        <v>0</v>
      </c>
      <c r="AL21" s="287">
        <v>17</v>
      </c>
      <c r="AM21" s="281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  <c r="BF21" s="43"/>
      <c r="BG21" s="43"/>
      <c r="BH21" s="43"/>
      <c r="BI21" s="43"/>
      <c r="BJ21" s="43"/>
      <c r="BK21" s="43"/>
      <c r="BL21" s="43"/>
      <c r="BM21" s="43"/>
      <c r="BN21" s="43"/>
      <c r="BO21" s="43"/>
      <c r="BP21" s="289"/>
      <c r="BQ21" s="289"/>
      <c r="BR21" s="289"/>
      <c r="BS21" s="289"/>
      <c r="BT21" s="289"/>
      <c r="BU21" s="289"/>
      <c r="BV21" s="290">
        <f t="shared" si="1"/>
        <v>0</v>
      </c>
      <c r="BW21" s="286">
        <v>17</v>
      </c>
      <c r="BX21" s="281"/>
      <c r="BY21" s="43"/>
      <c r="BZ21" s="43"/>
      <c r="CA21" s="43"/>
      <c r="CB21" s="43"/>
      <c r="CC21" s="43"/>
      <c r="CD21" s="43"/>
      <c r="CE21" s="43"/>
      <c r="CF21" s="43"/>
      <c r="CG21" s="43"/>
      <c r="CH21" s="43"/>
      <c r="CI21" s="43"/>
      <c r="CJ21" s="43"/>
      <c r="CK21" s="43"/>
      <c r="CL21" s="43"/>
      <c r="CM21" s="43"/>
      <c r="CN21" s="43"/>
      <c r="CO21" s="43"/>
      <c r="CP21" s="43"/>
      <c r="CQ21" s="43"/>
      <c r="CR21" s="43"/>
      <c r="CS21" s="43"/>
      <c r="CT21" s="43"/>
      <c r="CU21" s="43"/>
      <c r="CV21" s="43"/>
      <c r="CW21" s="43"/>
      <c r="CX21" s="43"/>
      <c r="CY21" s="43"/>
      <c r="CZ21" s="43"/>
      <c r="DA21" s="289"/>
      <c r="DB21" s="289"/>
      <c r="DC21" s="289"/>
      <c r="DD21" s="289"/>
      <c r="DE21" s="289"/>
      <c r="DF21" s="289"/>
      <c r="DG21" s="290">
        <f t="shared" si="2"/>
        <v>0</v>
      </c>
    </row>
    <row r="22" spans="1:111">
      <c r="A22" s="154">
        <v>18</v>
      </c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  <c r="Y22" s="43"/>
      <c r="Z22" s="43"/>
      <c r="AA22" s="43"/>
      <c r="AB22" s="43"/>
      <c r="AC22" s="43"/>
      <c r="AD22" s="43"/>
      <c r="AE22" s="43"/>
      <c r="AF22" s="43"/>
      <c r="AG22" s="43"/>
      <c r="AH22" s="194"/>
      <c r="AI22" s="194"/>
      <c r="AJ22" s="194"/>
      <c r="AK22" s="285">
        <f t="shared" si="0"/>
        <v>0</v>
      </c>
      <c r="AL22" s="287">
        <v>18</v>
      </c>
      <c r="AM22" s="281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  <c r="BF22" s="43"/>
      <c r="BG22" s="43"/>
      <c r="BH22" s="43"/>
      <c r="BI22" s="43"/>
      <c r="BJ22" s="43"/>
      <c r="BK22" s="43"/>
      <c r="BL22" s="43"/>
      <c r="BM22" s="43"/>
      <c r="BN22" s="43"/>
      <c r="BO22" s="43"/>
      <c r="BP22" s="289"/>
      <c r="BQ22" s="289"/>
      <c r="BR22" s="289"/>
      <c r="BS22" s="289"/>
      <c r="BT22" s="289"/>
      <c r="BU22" s="289"/>
      <c r="BV22" s="290">
        <f t="shared" si="1"/>
        <v>0</v>
      </c>
      <c r="BW22" s="286">
        <v>18</v>
      </c>
      <c r="BX22" s="281"/>
      <c r="BY22" s="43"/>
      <c r="BZ22" s="43"/>
      <c r="CA22" s="43"/>
      <c r="CB22" s="43"/>
      <c r="CC22" s="43"/>
      <c r="CD22" s="43"/>
      <c r="CE22" s="43"/>
      <c r="CF22" s="43"/>
      <c r="CG22" s="43"/>
      <c r="CH22" s="43"/>
      <c r="CI22" s="43"/>
      <c r="CJ22" s="43"/>
      <c r="CK22" s="43"/>
      <c r="CL22" s="43"/>
      <c r="CM22" s="43"/>
      <c r="CN22" s="43"/>
      <c r="CO22" s="43"/>
      <c r="CP22" s="43"/>
      <c r="CQ22" s="43"/>
      <c r="CR22" s="43"/>
      <c r="CS22" s="43"/>
      <c r="CT22" s="43"/>
      <c r="CU22" s="43"/>
      <c r="CV22" s="43"/>
      <c r="CW22" s="43"/>
      <c r="CX22" s="43"/>
      <c r="CY22" s="43"/>
      <c r="CZ22" s="43"/>
      <c r="DA22" s="289"/>
      <c r="DB22" s="289"/>
      <c r="DC22" s="289"/>
      <c r="DD22" s="289"/>
      <c r="DE22" s="289"/>
      <c r="DF22" s="289"/>
      <c r="DG22" s="290">
        <f t="shared" si="2"/>
        <v>0</v>
      </c>
    </row>
    <row r="23" spans="1:111">
      <c r="A23" s="154">
        <v>19</v>
      </c>
      <c r="B23" s="43"/>
      <c r="C23" s="43"/>
      <c r="D23" s="43"/>
      <c r="E23" s="43"/>
      <c r="F23" s="43"/>
      <c r="G23" s="43"/>
      <c r="H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  <c r="Y23" s="43"/>
      <c r="Z23" s="43"/>
      <c r="AA23" s="43"/>
      <c r="AB23" s="43"/>
      <c r="AC23" s="43"/>
      <c r="AD23" s="43"/>
      <c r="AE23" s="43"/>
      <c r="AF23" s="43"/>
      <c r="AG23" s="43"/>
      <c r="AH23" s="194"/>
      <c r="AI23" s="194"/>
      <c r="AJ23" s="194"/>
      <c r="AK23" s="285">
        <f t="shared" si="0"/>
        <v>0</v>
      </c>
      <c r="AL23" s="286">
        <v>19</v>
      </c>
      <c r="AM23" s="281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  <c r="BF23" s="43"/>
      <c r="BG23" s="43"/>
      <c r="BH23" s="43"/>
      <c r="BI23" s="43"/>
      <c r="BJ23" s="43"/>
      <c r="BK23" s="43"/>
      <c r="BL23" s="43"/>
      <c r="BM23" s="43"/>
      <c r="BN23" s="43"/>
      <c r="BO23" s="43"/>
      <c r="BP23" s="289"/>
      <c r="BQ23" s="289"/>
      <c r="BR23" s="289"/>
      <c r="BS23" s="289"/>
      <c r="BT23" s="289"/>
      <c r="BU23" s="289"/>
      <c r="BV23" s="290">
        <f t="shared" si="1"/>
        <v>0</v>
      </c>
      <c r="BW23" s="286">
        <v>19</v>
      </c>
      <c r="BX23" s="281"/>
      <c r="BY23" s="43"/>
      <c r="BZ23" s="43"/>
      <c r="CA23" s="43"/>
      <c r="CB23" s="43"/>
      <c r="CC23" s="43"/>
      <c r="CD23" s="43"/>
      <c r="CE23" s="43"/>
      <c r="CF23" s="43"/>
      <c r="CG23" s="43"/>
      <c r="CH23" s="43"/>
      <c r="CI23" s="43"/>
      <c r="CJ23" s="43"/>
      <c r="CK23" s="43"/>
      <c r="CL23" s="43"/>
      <c r="CM23" s="43"/>
      <c r="CN23" s="43"/>
      <c r="CO23" s="43"/>
      <c r="CP23" s="43"/>
      <c r="CQ23" s="43"/>
      <c r="CR23" s="43"/>
      <c r="CS23" s="43"/>
      <c r="CT23" s="43"/>
      <c r="CU23" s="43"/>
      <c r="CV23" s="43"/>
      <c r="CW23" s="43"/>
      <c r="CX23" s="43"/>
      <c r="CY23" s="43"/>
      <c r="CZ23" s="43"/>
      <c r="DA23" s="289"/>
      <c r="DB23" s="289"/>
      <c r="DC23" s="289"/>
      <c r="DD23" s="289"/>
      <c r="DE23" s="289"/>
      <c r="DF23" s="289"/>
      <c r="DG23" s="290">
        <f t="shared" si="2"/>
        <v>0</v>
      </c>
    </row>
    <row r="24" spans="1:111">
      <c r="A24" s="154">
        <v>20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  <c r="AE24" s="43"/>
      <c r="AF24" s="43"/>
      <c r="AG24" s="43"/>
      <c r="AH24" s="194"/>
      <c r="AI24" s="194"/>
      <c r="AJ24" s="194"/>
      <c r="AK24" s="285">
        <f t="shared" si="0"/>
        <v>0</v>
      </c>
      <c r="AL24" s="287">
        <v>20</v>
      </c>
      <c r="AM24" s="281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  <c r="BF24" s="43"/>
      <c r="BG24" s="43"/>
      <c r="BH24" s="43"/>
      <c r="BI24" s="43"/>
      <c r="BJ24" s="43"/>
      <c r="BK24" s="43"/>
      <c r="BL24" s="43"/>
      <c r="BM24" s="43"/>
      <c r="BN24" s="43"/>
      <c r="BO24" s="43"/>
      <c r="BP24" s="289"/>
      <c r="BQ24" s="289"/>
      <c r="BR24" s="289"/>
      <c r="BS24" s="289"/>
      <c r="BT24" s="289"/>
      <c r="BU24" s="289"/>
      <c r="BV24" s="290">
        <f t="shared" si="1"/>
        <v>0</v>
      </c>
      <c r="BW24" s="286">
        <v>20</v>
      </c>
      <c r="BX24" s="281"/>
      <c r="BY24" s="43"/>
      <c r="BZ24" s="43"/>
      <c r="CA24" s="43"/>
      <c r="CB24" s="43"/>
      <c r="CC24" s="43"/>
      <c r="CD24" s="43"/>
      <c r="CE24" s="43"/>
      <c r="CF24" s="43"/>
      <c r="CG24" s="43"/>
      <c r="CH24" s="43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  <c r="CU24" s="43"/>
      <c r="CV24" s="43"/>
      <c r="CW24" s="43"/>
      <c r="CX24" s="43"/>
      <c r="CY24" s="43"/>
      <c r="CZ24" s="43"/>
      <c r="DA24" s="289"/>
      <c r="DB24" s="289"/>
      <c r="DC24" s="289"/>
      <c r="DD24" s="289"/>
      <c r="DE24" s="289"/>
      <c r="DF24" s="289"/>
      <c r="DG24" s="290">
        <f t="shared" si="2"/>
        <v>0</v>
      </c>
    </row>
    <row r="25" spans="1:111">
      <c r="A25" s="154">
        <v>21</v>
      </c>
      <c r="B25" s="43"/>
      <c r="C25" s="43"/>
      <c r="D25" s="43"/>
      <c r="E25" s="43"/>
      <c r="F25" s="43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  <c r="AF25" s="43"/>
      <c r="AG25" s="43"/>
      <c r="AH25" s="194"/>
      <c r="AI25" s="194"/>
      <c r="AJ25" s="194"/>
      <c r="AK25" s="285">
        <f t="shared" si="0"/>
        <v>0</v>
      </c>
      <c r="AL25" s="287">
        <v>21</v>
      </c>
      <c r="AM25" s="281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  <c r="BF25" s="43"/>
      <c r="BG25" s="43"/>
      <c r="BH25" s="43"/>
      <c r="BI25" s="43"/>
      <c r="BJ25" s="43"/>
      <c r="BK25" s="43"/>
      <c r="BL25" s="43"/>
      <c r="BM25" s="43"/>
      <c r="BN25" s="43"/>
      <c r="BO25" s="43"/>
      <c r="BP25" s="289"/>
      <c r="BQ25" s="289"/>
      <c r="BR25" s="289"/>
      <c r="BS25" s="289"/>
      <c r="BT25" s="289"/>
      <c r="BU25" s="289"/>
      <c r="BV25" s="290">
        <f t="shared" si="1"/>
        <v>0</v>
      </c>
      <c r="BW25" s="286">
        <v>21</v>
      </c>
      <c r="BX25" s="281"/>
      <c r="BY25" s="43"/>
      <c r="BZ25" s="43"/>
      <c r="CA25" s="43"/>
      <c r="CB25" s="43"/>
      <c r="CC25" s="43"/>
      <c r="CD25" s="43"/>
      <c r="CE25" s="43"/>
      <c r="CF25" s="43"/>
      <c r="CG25" s="43"/>
      <c r="CH25" s="43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  <c r="CU25" s="43"/>
      <c r="CV25" s="43"/>
      <c r="CW25" s="43"/>
      <c r="CX25" s="43"/>
      <c r="CY25" s="43"/>
      <c r="CZ25" s="43"/>
      <c r="DA25" s="289"/>
      <c r="DB25" s="289"/>
      <c r="DC25" s="289"/>
      <c r="DD25" s="289"/>
      <c r="DE25" s="289"/>
      <c r="DF25" s="289"/>
      <c r="DG25" s="290">
        <f t="shared" si="2"/>
        <v>0</v>
      </c>
    </row>
    <row r="26" spans="1:111" s="1" customFormat="1">
      <c r="A26" s="154">
        <v>22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  <c r="AE26" s="43"/>
      <c r="AF26" s="43"/>
      <c r="AG26" s="43"/>
      <c r="AH26" s="194"/>
      <c r="AI26" s="194"/>
      <c r="AJ26" s="194"/>
      <c r="AK26" s="285">
        <f t="shared" si="0"/>
        <v>0</v>
      </c>
      <c r="AL26" s="286">
        <v>22</v>
      </c>
      <c r="AM26" s="281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  <c r="BF26" s="43"/>
      <c r="BG26" s="43"/>
      <c r="BH26" s="43"/>
      <c r="BI26" s="43"/>
      <c r="BJ26" s="43"/>
      <c r="BK26" s="43"/>
      <c r="BL26" s="43"/>
      <c r="BM26" s="43"/>
      <c r="BN26" s="43"/>
      <c r="BO26" s="43"/>
      <c r="BP26" s="289"/>
      <c r="BQ26" s="289"/>
      <c r="BR26" s="289"/>
      <c r="BS26" s="289"/>
      <c r="BT26" s="289"/>
      <c r="BU26" s="289"/>
      <c r="BV26" s="290">
        <f t="shared" si="1"/>
        <v>0</v>
      </c>
      <c r="BW26" s="286">
        <v>22</v>
      </c>
      <c r="BX26" s="281"/>
      <c r="BY26" s="43"/>
      <c r="BZ26" s="43"/>
      <c r="CA26" s="43"/>
      <c r="CB26" s="43"/>
      <c r="CC26" s="43"/>
      <c r="CD26" s="43"/>
      <c r="CE26" s="43"/>
      <c r="CF26" s="43"/>
      <c r="CG26" s="43"/>
      <c r="CH26" s="43"/>
      <c r="CI26" s="43"/>
      <c r="CJ26" s="43"/>
      <c r="CK26" s="43"/>
      <c r="CL26" s="43"/>
      <c r="CM26" s="43"/>
      <c r="CN26" s="43"/>
      <c r="CO26" s="43"/>
      <c r="CP26" s="43"/>
      <c r="CQ26" s="43"/>
      <c r="CR26" s="43"/>
      <c r="CS26" s="43"/>
      <c r="CT26" s="43"/>
      <c r="CU26" s="43"/>
      <c r="CV26" s="43"/>
      <c r="CW26" s="43"/>
      <c r="CX26" s="43"/>
      <c r="CY26" s="43"/>
      <c r="CZ26" s="43"/>
      <c r="DA26" s="289"/>
      <c r="DB26" s="289"/>
      <c r="DC26" s="289"/>
      <c r="DD26" s="289"/>
      <c r="DE26" s="289"/>
      <c r="DF26" s="289"/>
      <c r="DG26" s="290">
        <f t="shared" si="2"/>
        <v>0</v>
      </c>
    </row>
    <row r="27" spans="1:111">
      <c r="A27" s="154">
        <v>23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  <c r="AE27" s="43"/>
      <c r="AF27" s="43"/>
      <c r="AG27" s="43"/>
      <c r="AH27" s="194"/>
      <c r="AI27" s="194"/>
      <c r="AJ27" s="194"/>
      <c r="AK27" s="285">
        <f t="shared" si="0"/>
        <v>0</v>
      </c>
      <c r="AL27" s="287">
        <v>23</v>
      </c>
      <c r="AM27" s="43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  <c r="BF27" s="43"/>
      <c r="BG27" s="43"/>
      <c r="BH27" s="43"/>
      <c r="BI27" s="43"/>
      <c r="BJ27" s="43"/>
      <c r="BK27" s="43"/>
      <c r="BL27" s="43"/>
      <c r="BM27" s="43"/>
      <c r="BN27" s="43"/>
      <c r="BO27" s="43"/>
      <c r="BP27" s="289"/>
      <c r="BQ27" s="289"/>
      <c r="BR27" s="289"/>
      <c r="BS27" s="289"/>
      <c r="BT27" s="289"/>
      <c r="BU27" s="289"/>
      <c r="BV27" s="290">
        <f t="shared" si="1"/>
        <v>0</v>
      </c>
      <c r="BW27" s="286">
        <v>23</v>
      </c>
      <c r="BX27" s="281"/>
      <c r="BY27" s="43"/>
      <c r="BZ27" s="43"/>
      <c r="CA27" s="43"/>
      <c r="CB27" s="43"/>
      <c r="CC27" s="43"/>
      <c r="CD27" s="43"/>
      <c r="CE27" s="43"/>
      <c r="CF27" s="43"/>
      <c r="CG27" s="43"/>
      <c r="CH27" s="43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  <c r="CU27" s="43"/>
      <c r="CV27" s="43"/>
      <c r="CW27" s="43"/>
      <c r="CX27" s="43"/>
      <c r="CY27" s="43"/>
      <c r="CZ27" s="43"/>
      <c r="DA27" s="289"/>
      <c r="DB27" s="289"/>
      <c r="DC27" s="289"/>
      <c r="DD27" s="289"/>
      <c r="DE27" s="289"/>
      <c r="DF27" s="289"/>
      <c r="DG27" s="290">
        <f t="shared" si="2"/>
        <v>0</v>
      </c>
    </row>
    <row r="28" spans="1:111">
      <c r="A28" s="154">
        <v>24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  <c r="AE28" s="43"/>
      <c r="AF28" s="43"/>
      <c r="AG28" s="43"/>
      <c r="AH28" s="194"/>
      <c r="AI28" s="194"/>
      <c r="AJ28" s="194"/>
      <c r="AK28" s="285">
        <f t="shared" si="0"/>
        <v>0</v>
      </c>
      <c r="AL28" s="287">
        <v>24</v>
      </c>
      <c r="AM28" s="43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  <c r="BF28" s="43"/>
      <c r="BG28" s="43"/>
      <c r="BH28" s="43"/>
      <c r="BI28" s="43"/>
      <c r="BJ28" s="43"/>
      <c r="BK28" s="43"/>
      <c r="BL28" s="43"/>
      <c r="BM28" s="43"/>
      <c r="BN28" s="43"/>
      <c r="BO28" s="43"/>
      <c r="BP28" s="289"/>
      <c r="BQ28" s="289"/>
      <c r="BR28" s="289"/>
      <c r="BS28" s="289"/>
      <c r="BT28" s="289"/>
      <c r="BU28" s="289"/>
      <c r="BV28" s="290">
        <f t="shared" si="1"/>
        <v>0</v>
      </c>
      <c r="BW28" s="286">
        <v>24</v>
      </c>
      <c r="BX28" s="43"/>
      <c r="BY28" s="43"/>
      <c r="BZ28" s="43"/>
      <c r="CA28" s="43"/>
      <c r="CB28" s="43"/>
      <c r="CC28" s="43"/>
      <c r="CD28" s="43"/>
      <c r="CE28" s="43"/>
      <c r="CF28" s="43"/>
      <c r="CG28" s="43"/>
      <c r="CH28" s="43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  <c r="CU28" s="43"/>
      <c r="CV28" s="43"/>
      <c r="CW28" s="43"/>
      <c r="CX28" s="43"/>
      <c r="CY28" s="43"/>
      <c r="CZ28" s="43"/>
      <c r="DA28" s="289"/>
      <c r="DB28" s="289"/>
      <c r="DC28" s="289"/>
      <c r="DD28" s="289"/>
      <c r="DE28" s="289"/>
      <c r="DF28" s="289"/>
      <c r="DG28" s="290">
        <f t="shared" si="2"/>
        <v>0</v>
      </c>
    </row>
    <row r="29" spans="1:111">
      <c r="A29" s="154">
        <v>25</v>
      </c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  <c r="AE29" s="43"/>
      <c r="AF29" s="43"/>
      <c r="AG29" s="43"/>
      <c r="AH29" s="194"/>
      <c r="AI29" s="194"/>
      <c r="AJ29" s="194"/>
      <c r="AK29" s="285">
        <f t="shared" si="0"/>
        <v>0</v>
      </c>
      <c r="AL29" s="286">
        <v>25</v>
      </c>
      <c r="AM29" s="281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  <c r="BF29" s="43"/>
      <c r="BG29" s="43"/>
      <c r="BH29" s="43"/>
      <c r="BI29" s="43"/>
      <c r="BJ29" s="43"/>
      <c r="BK29" s="43"/>
      <c r="BL29" s="43"/>
      <c r="BM29" s="43"/>
      <c r="BN29" s="43"/>
      <c r="BO29" s="43"/>
      <c r="BP29" s="289"/>
      <c r="BQ29" s="289"/>
      <c r="BR29" s="289"/>
      <c r="BS29" s="289"/>
      <c r="BT29" s="289"/>
      <c r="BU29" s="289"/>
      <c r="BV29" s="290">
        <f t="shared" si="1"/>
        <v>0</v>
      </c>
      <c r="BW29" s="286">
        <v>25</v>
      </c>
      <c r="BX29" s="281"/>
      <c r="BY29" s="43"/>
      <c r="BZ29" s="43"/>
      <c r="CA29" s="43"/>
      <c r="CB29" s="43"/>
      <c r="CC29" s="43"/>
      <c r="CD29" s="43"/>
      <c r="CE29" s="43"/>
      <c r="CF29" s="43"/>
      <c r="CG29" s="43"/>
      <c r="CH29" s="43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  <c r="CU29" s="43"/>
      <c r="CV29" s="43"/>
      <c r="CW29" s="43"/>
      <c r="CX29" s="43"/>
      <c r="CY29" s="43"/>
      <c r="CZ29" s="43"/>
      <c r="DA29" s="289"/>
      <c r="DB29" s="289"/>
      <c r="DC29" s="289"/>
      <c r="DD29" s="289"/>
      <c r="DE29" s="289"/>
      <c r="DF29" s="289"/>
      <c r="DG29" s="290">
        <f t="shared" si="2"/>
        <v>0</v>
      </c>
    </row>
    <row r="30" spans="1:111">
      <c r="A30" s="154">
        <v>26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194"/>
      <c r="AI30" s="194"/>
      <c r="AJ30" s="194"/>
      <c r="AK30" s="285">
        <f t="shared" si="0"/>
        <v>0</v>
      </c>
      <c r="AL30" s="287">
        <v>26</v>
      </c>
      <c r="AM30" s="281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289"/>
      <c r="BQ30" s="289"/>
      <c r="BR30" s="289"/>
      <c r="BS30" s="289"/>
      <c r="BT30" s="289"/>
      <c r="BU30" s="289"/>
      <c r="BV30" s="290">
        <f t="shared" si="1"/>
        <v>0</v>
      </c>
      <c r="BW30" s="286">
        <v>26</v>
      </c>
      <c r="BX30" s="281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  <c r="CU30" s="43"/>
      <c r="CV30" s="43"/>
      <c r="CW30" s="43"/>
      <c r="CX30" s="43"/>
      <c r="CY30" s="43"/>
      <c r="CZ30" s="43"/>
      <c r="DA30" s="289"/>
      <c r="DB30" s="289"/>
      <c r="DC30" s="289"/>
      <c r="DD30" s="289"/>
      <c r="DE30" s="289"/>
      <c r="DF30" s="289"/>
      <c r="DG30" s="290">
        <f t="shared" si="2"/>
        <v>0</v>
      </c>
    </row>
    <row r="31" spans="1:111">
      <c r="A31" s="154">
        <v>27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  <c r="AE31" s="43"/>
      <c r="AF31" s="43"/>
      <c r="AG31" s="43"/>
      <c r="AH31" s="194"/>
      <c r="AI31" s="194"/>
      <c r="AJ31" s="194"/>
      <c r="AK31" s="285">
        <f t="shared" si="0"/>
        <v>0</v>
      </c>
      <c r="AL31" s="287">
        <v>27</v>
      </c>
      <c r="AM31" s="281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  <c r="BF31" s="43"/>
      <c r="BG31" s="43"/>
      <c r="BH31" s="43"/>
      <c r="BI31" s="43"/>
      <c r="BJ31" s="43"/>
      <c r="BK31" s="43"/>
      <c r="BL31" s="43"/>
      <c r="BM31" s="43"/>
      <c r="BN31" s="43"/>
      <c r="BO31" s="43"/>
      <c r="BP31" s="289"/>
      <c r="BQ31" s="289"/>
      <c r="BR31" s="289"/>
      <c r="BS31" s="289"/>
      <c r="BT31" s="289"/>
      <c r="BU31" s="289"/>
      <c r="BV31" s="290">
        <f t="shared" si="1"/>
        <v>0</v>
      </c>
      <c r="BW31" s="286">
        <v>27</v>
      </c>
      <c r="BX31" s="281"/>
      <c r="BY31" s="43"/>
      <c r="BZ31" s="43"/>
      <c r="CA31" s="43"/>
      <c r="CB31" s="43"/>
      <c r="CC31" s="43"/>
      <c r="CD31" s="43"/>
      <c r="CE31" s="43"/>
      <c r="CF31" s="43"/>
      <c r="CG31" s="43"/>
      <c r="CH31" s="43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  <c r="CU31" s="43"/>
      <c r="CV31" s="43"/>
      <c r="CW31" s="43"/>
      <c r="CX31" s="43"/>
      <c r="CY31" s="43"/>
      <c r="CZ31" s="43"/>
      <c r="DA31" s="289"/>
      <c r="DB31" s="289"/>
      <c r="DC31" s="289"/>
      <c r="DD31" s="289"/>
      <c r="DE31" s="289"/>
      <c r="DF31" s="289"/>
      <c r="DG31" s="290">
        <f t="shared" si="2"/>
        <v>0</v>
      </c>
    </row>
    <row r="32" spans="1:111">
      <c r="A32" s="154">
        <v>28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194"/>
      <c r="AI32" s="194"/>
      <c r="AJ32" s="194"/>
      <c r="AK32" s="285">
        <f t="shared" si="0"/>
        <v>0</v>
      </c>
      <c r="AL32" s="286">
        <v>28</v>
      </c>
      <c r="AM32" s="43"/>
      <c r="AN32" s="43"/>
      <c r="AO32" s="43"/>
      <c r="AP32" s="43"/>
      <c r="AQ32" s="43"/>
      <c r="AR32" s="43"/>
      <c r="AS32" s="43"/>
      <c r="AT32" s="43"/>
      <c r="AU32" s="43"/>
      <c r="AV32" s="43"/>
      <c r="AW32" s="43"/>
      <c r="AX32" s="43"/>
      <c r="AY32" s="43"/>
      <c r="AZ32" s="43"/>
      <c r="BA32" s="43"/>
      <c r="BB32" s="43"/>
      <c r="BC32" s="43"/>
      <c r="BD32" s="43"/>
      <c r="BE32" s="43"/>
      <c r="BF32" s="43"/>
      <c r="BG32" s="43"/>
      <c r="BH32" s="43"/>
      <c r="BI32" s="43"/>
      <c r="BJ32" s="43"/>
      <c r="BK32" s="43"/>
      <c r="BL32" s="43"/>
      <c r="BM32" s="43"/>
      <c r="BN32" s="43"/>
      <c r="BO32" s="43"/>
      <c r="BP32" s="289"/>
      <c r="BQ32" s="289"/>
      <c r="BR32" s="289"/>
      <c r="BS32" s="289"/>
      <c r="BT32" s="289"/>
      <c r="BU32" s="289"/>
      <c r="BV32" s="290">
        <f t="shared" si="1"/>
        <v>0</v>
      </c>
      <c r="BW32" s="286">
        <v>28</v>
      </c>
      <c r="BX32" s="43"/>
      <c r="BY32" s="43"/>
      <c r="BZ32" s="43"/>
      <c r="CA32" s="43"/>
      <c r="CB32" s="43"/>
      <c r="CC32" s="43"/>
      <c r="CD32" s="43"/>
      <c r="CE32" s="43"/>
      <c r="CF32" s="43"/>
      <c r="CG32" s="43"/>
      <c r="CH32" s="43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  <c r="CU32" s="43"/>
      <c r="CV32" s="43"/>
      <c r="CW32" s="43"/>
      <c r="CX32" s="43"/>
      <c r="CY32" s="43"/>
      <c r="CZ32" s="43"/>
      <c r="DA32" s="289"/>
      <c r="DB32" s="289"/>
      <c r="DC32" s="289"/>
      <c r="DD32" s="289"/>
      <c r="DE32" s="289"/>
      <c r="DF32" s="289"/>
      <c r="DG32" s="290">
        <f t="shared" si="2"/>
        <v>0</v>
      </c>
    </row>
    <row r="33" spans="1:111" s="1" customFormat="1">
      <c r="A33" s="154">
        <v>29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  <c r="AE33" s="43"/>
      <c r="AF33" s="43"/>
      <c r="AG33" s="43"/>
      <c r="AH33" s="194"/>
      <c r="AI33" s="194"/>
      <c r="AJ33" s="194"/>
      <c r="AK33" s="285">
        <f t="shared" si="0"/>
        <v>0</v>
      </c>
      <c r="AL33" s="287">
        <v>29</v>
      </c>
      <c r="AM33" s="281"/>
      <c r="AN33" s="43"/>
      <c r="AO33" s="43"/>
      <c r="AP33" s="43"/>
      <c r="AQ33" s="43"/>
      <c r="AR33" s="43"/>
      <c r="AS33" s="43"/>
      <c r="AT33" s="43"/>
      <c r="AU33" s="43"/>
      <c r="AV33" s="43"/>
      <c r="AW33" s="43"/>
      <c r="AX33" s="43"/>
      <c r="AY33" s="43"/>
      <c r="AZ33" s="43"/>
      <c r="BA33" s="43"/>
      <c r="BB33" s="43"/>
      <c r="BC33" s="43"/>
      <c r="BD33" s="43"/>
      <c r="BE33" s="43"/>
      <c r="BF33" s="43"/>
      <c r="BG33" s="43"/>
      <c r="BH33" s="43"/>
      <c r="BI33" s="43"/>
      <c r="BJ33" s="43"/>
      <c r="BK33" s="43"/>
      <c r="BL33" s="43"/>
      <c r="BM33" s="43"/>
      <c r="BN33" s="43"/>
      <c r="BO33" s="43"/>
      <c r="BP33" s="289"/>
      <c r="BQ33" s="289"/>
      <c r="BR33" s="289"/>
      <c r="BS33" s="289"/>
      <c r="BT33" s="289"/>
      <c r="BU33" s="289"/>
      <c r="BV33" s="290">
        <f t="shared" si="1"/>
        <v>0</v>
      </c>
      <c r="BW33" s="286">
        <v>29</v>
      </c>
      <c r="BX33" s="281"/>
      <c r="BY33" s="43"/>
      <c r="BZ33" s="43"/>
      <c r="CA33" s="43"/>
      <c r="CB33" s="43"/>
      <c r="CC33" s="43"/>
      <c r="CD33" s="43"/>
      <c r="CE33" s="43"/>
      <c r="CF33" s="43"/>
      <c r="CG33" s="43"/>
      <c r="CH33" s="43"/>
      <c r="CI33" s="43"/>
      <c r="CJ33" s="43"/>
      <c r="CK33" s="43"/>
      <c r="CL33" s="43"/>
      <c r="CM33" s="43"/>
      <c r="CN33" s="43"/>
      <c r="CO33" s="43"/>
      <c r="CP33" s="43"/>
      <c r="CQ33" s="43"/>
      <c r="CR33" s="43"/>
      <c r="CS33" s="43"/>
      <c r="CT33" s="43"/>
      <c r="CU33" s="43"/>
      <c r="CV33" s="43"/>
      <c r="CW33" s="43"/>
      <c r="CX33" s="43"/>
      <c r="CY33" s="43"/>
      <c r="CZ33" s="43"/>
      <c r="DA33" s="289"/>
      <c r="DB33" s="289"/>
      <c r="DC33" s="289"/>
      <c r="DD33" s="289"/>
      <c r="DE33" s="289"/>
      <c r="DF33" s="289"/>
      <c r="DG33" s="290">
        <f t="shared" si="2"/>
        <v>0</v>
      </c>
    </row>
    <row r="34" spans="1:111">
      <c r="A34" s="154">
        <v>30</v>
      </c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43"/>
      <c r="AE34" s="43"/>
      <c r="AF34" s="43"/>
      <c r="AG34" s="43"/>
      <c r="AH34" s="194"/>
      <c r="AI34" s="194"/>
      <c r="AJ34" s="194"/>
      <c r="AK34" s="285">
        <f t="shared" si="0"/>
        <v>0</v>
      </c>
      <c r="AL34" s="287">
        <v>30</v>
      </c>
      <c r="AM34" s="281"/>
      <c r="AN34" s="43"/>
      <c r="AO34" s="43"/>
      <c r="AP34" s="43"/>
      <c r="AQ34" s="43"/>
      <c r="AR34" s="43"/>
      <c r="AS34" s="43"/>
      <c r="AT34" s="43"/>
      <c r="AU34" s="43"/>
      <c r="AV34" s="43"/>
      <c r="AW34" s="43"/>
      <c r="AX34" s="43"/>
      <c r="AY34" s="43"/>
      <c r="AZ34" s="43"/>
      <c r="BA34" s="43"/>
      <c r="BB34" s="43"/>
      <c r="BC34" s="43"/>
      <c r="BD34" s="43"/>
      <c r="BE34" s="43"/>
      <c r="BF34" s="43"/>
      <c r="BG34" s="43"/>
      <c r="BH34" s="43"/>
      <c r="BI34" s="43"/>
      <c r="BJ34" s="43"/>
      <c r="BK34" s="43"/>
      <c r="BL34" s="43"/>
      <c r="BM34" s="43"/>
      <c r="BN34" s="43"/>
      <c r="BO34" s="43"/>
      <c r="BP34" s="289"/>
      <c r="BQ34" s="289"/>
      <c r="BR34" s="289"/>
      <c r="BS34" s="289"/>
      <c r="BT34" s="289"/>
      <c r="BU34" s="289"/>
      <c r="BV34" s="290">
        <f t="shared" si="1"/>
        <v>0</v>
      </c>
      <c r="BW34" s="286">
        <v>30</v>
      </c>
      <c r="BX34" s="281"/>
      <c r="BY34" s="43"/>
      <c r="BZ34" s="43"/>
      <c r="CA34" s="43"/>
      <c r="CB34" s="43"/>
      <c r="CC34" s="43"/>
      <c r="CD34" s="43"/>
      <c r="CE34" s="43"/>
      <c r="CF34" s="43"/>
      <c r="CG34" s="43"/>
      <c r="CH34" s="43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43"/>
      <c r="CU34" s="43"/>
      <c r="CV34" s="43"/>
      <c r="CW34" s="43"/>
      <c r="CX34" s="43"/>
      <c r="CY34" s="43"/>
      <c r="CZ34" s="43"/>
      <c r="DA34" s="289"/>
      <c r="DB34" s="289"/>
      <c r="DC34" s="289"/>
      <c r="DD34" s="289"/>
      <c r="DE34" s="289"/>
      <c r="DF34" s="289"/>
      <c r="DG34" s="290">
        <f t="shared" si="2"/>
        <v>0</v>
      </c>
    </row>
    <row r="35" spans="1:111">
      <c r="A35" s="154">
        <v>31</v>
      </c>
      <c r="B35" s="282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43"/>
      <c r="AE35" s="43"/>
      <c r="AF35" s="43"/>
      <c r="AG35" s="43"/>
      <c r="AH35" s="194"/>
      <c r="AI35" s="194"/>
      <c r="AJ35" s="194"/>
      <c r="AK35" s="285">
        <f t="shared" si="0"/>
        <v>0</v>
      </c>
      <c r="AL35" s="286">
        <v>31</v>
      </c>
      <c r="AM35" s="288"/>
      <c r="AN35" s="43"/>
      <c r="AO35" s="43"/>
      <c r="AP35" s="43"/>
      <c r="AQ35" s="43"/>
      <c r="AR35" s="43"/>
      <c r="AS35" s="43"/>
      <c r="AT35" s="43"/>
      <c r="AU35" s="43"/>
      <c r="AV35" s="43"/>
      <c r="AW35" s="43"/>
      <c r="AX35" s="43"/>
      <c r="AY35" s="43"/>
      <c r="AZ35" s="43"/>
      <c r="BA35" s="43"/>
      <c r="BB35" s="43"/>
      <c r="BC35" s="43"/>
      <c r="BD35" s="43"/>
      <c r="BE35" s="43"/>
      <c r="BF35" s="43"/>
      <c r="BG35" s="43"/>
      <c r="BH35" s="43"/>
      <c r="BI35" s="43"/>
      <c r="BJ35" s="43"/>
      <c r="BK35" s="43"/>
      <c r="BL35" s="43"/>
      <c r="BM35" s="43"/>
      <c r="BN35" s="43"/>
      <c r="BO35" s="43"/>
      <c r="BP35" s="289"/>
      <c r="BQ35" s="289"/>
      <c r="BR35" s="289"/>
      <c r="BS35" s="289"/>
      <c r="BT35" s="289"/>
      <c r="BU35" s="289"/>
      <c r="BV35" s="290">
        <f t="shared" si="1"/>
        <v>0</v>
      </c>
      <c r="BW35" s="286">
        <v>31</v>
      </c>
      <c r="BX35" s="288"/>
      <c r="BY35" s="43"/>
      <c r="BZ35" s="43"/>
      <c r="CA35" s="43"/>
      <c r="CB35" s="43"/>
      <c r="CC35" s="43"/>
      <c r="CD35" s="43"/>
      <c r="CE35" s="43"/>
      <c r="CF35" s="43"/>
      <c r="CG35" s="43"/>
      <c r="CH35" s="43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  <c r="CU35" s="43"/>
      <c r="CV35" s="43"/>
      <c r="CW35" s="43"/>
      <c r="CX35" s="43"/>
      <c r="CY35" s="43"/>
      <c r="CZ35" s="43"/>
      <c r="DA35" s="289"/>
      <c r="DB35" s="289"/>
      <c r="DC35" s="289"/>
      <c r="DD35" s="289"/>
      <c r="DE35" s="289"/>
      <c r="DF35" s="289"/>
      <c r="DG35" s="290">
        <f t="shared" si="2"/>
        <v>0</v>
      </c>
    </row>
    <row r="36" spans="1:111">
      <c r="A36" s="113" t="s">
        <v>59</v>
      </c>
      <c r="B36" s="113">
        <f>SUM(B5:B35)</f>
        <v>0</v>
      </c>
      <c r="C36" s="113">
        <f t="shared" ref="C36:AK36" si="3">SUM(C5:C35)</f>
        <v>0</v>
      </c>
      <c r="D36" s="113">
        <f t="shared" si="3"/>
        <v>0</v>
      </c>
      <c r="E36" s="113">
        <f t="shared" si="3"/>
        <v>0</v>
      </c>
      <c r="F36" s="113">
        <f t="shared" si="3"/>
        <v>0</v>
      </c>
      <c r="G36" s="113">
        <f t="shared" si="3"/>
        <v>0</v>
      </c>
      <c r="H36" s="113">
        <f t="shared" si="3"/>
        <v>0</v>
      </c>
      <c r="I36" s="113">
        <f t="shared" si="3"/>
        <v>0</v>
      </c>
      <c r="J36" s="113">
        <f t="shared" si="3"/>
        <v>0</v>
      </c>
      <c r="K36" s="113">
        <f t="shared" si="3"/>
        <v>0</v>
      </c>
      <c r="L36" s="113">
        <f t="shared" si="3"/>
        <v>0</v>
      </c>
      <c r="M36" s="113">
        <f t="shared" si="3"/>
        <v>0</v>
      </c>
      <c r="N36" s="113">
        <f t="shared" si="3"/>
        <v>0</v>
      </c>
      <c r="O36" s="113">
        <f t="shared" si="3"/>
        <v>0</v>
      </c>
      <c r="P36" s="113">
        <f t="shared" si="3"/>
        <v>0</v>
      </c>
      <c r="Q36" s="113">
        <f t="shared" si="3"/>
        <v>0</v>
      </c>
      <c r="R36" s="113">
        <f t="shared" si="3"/>
        <v>0</v>
      </c>
      <c r="S36" s="113">
        <f t="shared" si="3"/>
        <v>0</v>
      </c>
      <c r="T36" s="113">
        <f t="shared" si="3"/>
        <v>0</v>
      </c>
      <c r="U36" s="113">
        <f t="shared" si="3"/>
        <v>0</v>
      </c>
      <c r="V36" s="113">
        <f t="shared" si="3"/>
        <v>0</v>
      </c>
      <c r="W36" s="113">
        <f t="shared" si="3"/>
        <v>0</v>
      </c>
      <c r="X36" s="113">
        <f t="shared" si="3"/>
        <v>0</v>
      </c>
      <c r="Y36" s="113">
        <f t="shared" si="3"/>
        <v>0</v>
      </c>
      <c r="Z36" s="113">
        <f t="shared" si="3"/>
        <v>0</v>
      </c>
      <c r="AA36" s="113">
        <f t="shared" si="3"/>
        <v>0</v>
      </c>
      <c r="AB36" s="113">
        <f t="shared" si="3"/>
        <v>0</v>
      </c>
      <c r="AC36" s="113">
        <f t="shared" si="3"/>
        <v>0</v>
      </c>
      <c r="AD36" s="35">
        <f t="shared" si="3"/>
        <v>0</v>
      </c>
      <c r="AE36" s="35">
        <f t="shared" si="3"/>
        <v>0</v>
      </c>
      <c r="AF36" s="35">
        <f t="shared" si="3"/>
        <v>0</v>
      </c>
      <c r="AG36" s="35">
        <f t="shared" si="3"/>
        <v>0</v>
      </c>
      <c r="AH36" s="35">
        <f t="shared" si="3"/>
        <v>0</v>
      </c>
      <c r="AI36" s="35">
        <f t="shared" si="3"/>
        <v>0</v>
      </c>
      <c r="AJ36" s="35">
        <f t="shared" si="3"/>
        <v>0</v>
      </c>
      <c r="AK36" s="113">
        <f t="shared" si="3"/>
        <v>0</v>
      </c>
      <c r="AL36" s="113" t="s">
        <v>59</v>
      </c>
      <c r="AM36" s="113">
        <f>SUM(AM5:AM35)</f>
        <v>0</v>
      </c>
      <c r="AN36" s="113">
        <f t="shared" ref="AN36" si="4">SUM(AN5:AN35)</f>
        <v>0</v>
      </c>
      <c r="AO36" s="113">
        <f t="shared" ref="AO36" si="5">SUM(AO5:AO35)</f>
        <v>0</v>
      </c>
      <c r="AP36" s="113">
        <f t="shared" ref="AP36" si="6">SUM(AP5:AP35)</f>
        <v>0</v>
      </c>
      <c r="AQ36" s="113">
        <f t="shared" ref="AQ36" si="7">SUM(AQ5:AQ35)</f>
        <v>0</v>
      </c>
      <c r="AR36" s="113">
        <f t="shared" ref="AR36" si="8">SUM(AR5:AR35)</f>
        <v>0</v>
      </c>
      <c r="AS36" s="113">
        <f t="shared" ref="AS36" si="9">SUM(AS5:AS35)</f>
        <v>0</v>
      </c>
      <c r="AT36" s="113">
        <f t="shared" ref="AT36" si="10">SUM(AT5:AT35)</f>
        <v>0</v>
      </c>
      <c r="AU36" s="113">
        <f t="shared" ref="AU36" si="11">SUM(AU5:AU35)</f>
        <v>0</v>
      </c>
      <c r="AV36" s="113">
        <f t="shared" ref="AV36" si="12">SUM(AV5:AV35)</f>
        <v>0</v>
      </c>
      <c r="AW36" s="113">
        <f t="shared" ref="AW36" si="13">SUM(AW5:AW35)</f>
        <v>0</v>
      </c>
      <c r="AX36" s="113">
        <f t="shared" ref="AX36" si="14">SUM(AX5:AX35)</f>
        <v>0</v>
      </c>
      <c r="AY36" s="113">
        <f t="shared" ref="AY36" si="15">SUM(AY5:AY35)</f>
        <v>0</v>
      </c>
      <c r="AZ36" s="113">
        <f t="shared" ref="AZ36" si="16">SUM(AZ5:AZ35)</f>
        <v>0</v>
      </c>
      <c r="BA36" s="113">
        <f t="shared" ref="BA36" si="17">SUM(BA5:BA35)</f>
        <v>0</v>
      </c>
      <c r="BB36" s="113">
        <f t="shared" ref="BB36" si="18">SUM(BB5:BB35)</f>
        <v>0</v>
      </c>
      <c r="BC36" s="113">
        <f t="shared" ref="BC36" si="19">SUM(BC5:BC35)</f>
        <v>0</v>
      </c>
      <c r="BD36" s="113">
        <f t="shared" ref="BD36" si="20">SUM(BD5:BD35)</f>
        <v>0</v>
      </c>
      <c r="BE36" s="113">
        <f t="shared" ref="BE36" si="21">SUM(BE5:BE35)</f>
        <v>0</v>
      </c>
      <c r="BF36" s="113">
        <f t="shared" ref="BF36" si="22">SUM(BF5:BF35)</f>
        <v>0</v>
      </c>
      <c r="BG36" s="113">
        <f t="shared" ref="BG36" si="23">SUM(BG5:BG35)</f>
        <v>0</v>
      </c>
      <c r="BH36" s="113">
        <f t="shared" ref="BH36" si="24">SUM(BH5:BH35)</f>
        <v>0</v>
      </c>
      <c r="BI36" s="113">
        <f t="shared" ref="BI36" si="25">SUM(BI5:BI35)</f>
        <v>0</v>
      </c>
      <c r="BJ36" s="113">
        <f t="shared" ref="BJ36" si="26">SUM(BJ5:BJ35)</f>
        <v>0</v>
      </c>
      <c r="BK36" s="113">
        <f t="shared" ref="BK36" si="27">SUM(BK5:BK35)</f>
        <v>0</v>
      </c>
      <c r="BL36" s="113">
        <f t="shared" ref="BL36" si="28">SUM(BL5:BL35)</f>
        <v>0</v>
      </c>
      <c r="BM36" s="113">
        <f t="shared" ref="BM36" si="29">SUM(BM5:BM35)</f>
        <v>0</v>
      </c>
      <c r="BN36" s="113">
        <f t="shared" ref="BN36" si="30">SUM(BN5:BN35)</f>
        <v>0</v>
      </c>
      <c r="BO36" s="113">
        <f t="shared" ref="BO36" si="31">SUM(BO5:BO35)</f>
        <v>0</v>
      </c>
      <c r="BP36" s="113">
        <f t="shared" ref="BP36:BV36" si="32">SUM(BP5:BP35)</f>
        <v>0</v>
      </c>
      <c r="BQ36" s="113">
        <f t="shared" si="32"/>
        <v>0</v>
      </c>
      <c r="BR36" s="113">
        <f t="shared" si="32"/>
        <v>0</v>
      </c>
      <c r="BS36" s="113">
        <f t="shared" si="32"/>
        <v>0</v>
      </c>
      <c r="BT36" s="113">
        <f t="shared" si="32"/>
        <v>0</v>
      </c>
      <c r="BU36" s="113">
        <f t="shared" si="32"/>
        <v>0</v>
      </c>
      <c r="BV36" s="113">
        <f t="shared" si="32"/>
        <v>0</v>
      </c>
      <c r="BW36" s="113" t="s">
        <v>59</v>
      </c>
      <c r="BX36" s="113">
        <f>SUM(BX5:BX35)</f>
        <v>0</v>
      </c>
      <c r="BY36" s="113">
        <f t="shared" ref="BY36:DG36" si="33">SUM(BY5:BY35)</f>
        <v>0</v>
      </c>
      <c r="BZ36" s="113">
        <f t="shared" si="33"/>
        <v>0</v>
      </c>
      <c r="CA36" s="113">
        <f t="shared" si="33"/>
        <v>0</v>
      </c>
      <c r="CB36" s="113">
        <f t="shared" si="33"/>
        <v>0</v>
      </c>
      <c r="CC36" s="113">
        <f t="shared" si="33"/>
        <v>0</v>
      </c>
      <c r="CD36" s="113">
        <f t="shared" si="33"/>
        <v>0</v>
      </c>
      <c r="CE36" s="113">
        <f t="shared" si="33"/>
        <v>0</v>
      </c>
      <c r="CF36" s="113">
        <f t="shared" si="33"/>
        <v>0</v>
      </c>
      <c r="CG36" s="113">
        <f t="shared" si="33"/>
        <v>0</v>
      </c>
      <c r="CH36" s="113">
        <f t="shared" si="33"/>
        <v>0</v>
      </c>
      <c r="CI36" s="113">
        <f t="shared" si="33"/>
        <v>0</v>
      </c>
      <c r="CJ36" s="113">
        <f t="shared" si="33"/>
        <v>0</v>
      </c>
      <c r="CK36" s="113">
        <f t="shared" si="33"/>
        <v>0</v>
      </c>
      <c r="CL36" s="113">
        <f t="shared" si="33"/>
        <v>0</v>
      </c>
      <c r="CM36" s="113">
        <f t="shared" si="33"/>
        <v>0</v>
      </c>
      <c r="CN36" s="113">
        <f t="shared" si="33"/>
        <v>0</v>
      </c>
      <c r="CO36" s="113">
        <f t="shared" si="33"/>
        <v>0</v>
      </c>
      <c r="CP36" s="113">
        <f t="shared" si="33"/>
        <v>0</v>
      </c>
      <c r="CQ36" s="113">
        <f t="shared" si="33"/>
        <v>0</v>
      </c>
      <c r="CR36" s="113">
        <f t="shared" si="33"/>
        <v>0</v>
      </c>
      <c r="CS36" s="113">
        <f t="shared" si="33"/>
        <v>0</v>
      </c>
      <c r="CT36" s="113">
        <f t="shared" si="33"/>
        <v>0</v>
      </c>
      <c r="CU36" s="113">
        <f t="shared" si="33"/>
        <v>0</v>
      </c>
      <c r="CV36" s="113">
        <f t="shared" si="33"/>
        <v>0</v>
      </c>
      <c r="CW36" s="113">
        <f t="shared" si="33"/>
        <v>0</v>
      </c>
      <c r="CX36" s="113">
        <f t="shared" si="33"/>
        <v>0</v>
      </c>
      <c r="CY36" s="113">
        <f t="shared" si="33"/>
        <v>0</v>
      </c>
      <c r="CZ36" s="113">
        <f t="shared" si="33"/>
        <v>0</v>
      </c>
      <c r="DA36" s="113">
        <f t="shared" si="33"/>
        <v>0</v>
      </c>
      <c r="DB36" s="113">
        <f t="shared" si="33"/>
        <v>0</v>
      </c>
      <c r="DC36" s="113">
        <f t="shared" si="33"/>
        <v>0</v>
      </c>
      <c r="DD36" s="113">
        <f t="shared" si="33"/>
        <v>0</v>
      </c>
      <c r="DE36" s="113">
        <f t="shared" si="33"/>
        <v>0</v>
      </c>
      <c r="DF36" s="113">
        <f t="shared" si="33"/>
        <v>0</v>
      </c>
      <c r="DG36" s="113">
        <f t="shared" si="33"/>
        <v>0</v>
      </c>
    </row>
    <row r="38" spans="1:111" ht="15" customHeight="1">
      <c r="D38" s="449" t="s">
        <v>60</v>
      </c>
      <c r="E38" s="450"/>
      <c r="F38" s="450"/>
      <c r="G38" s="450"/>
      <c r="H38" s="450"/>
      <c r="I38" s="450"/>
      <c r="J38" s="450"/>
      <c r="K38" s="450"/>
      <c r="L38" s="451"/>
      <c r="M38" s="467">
        <f>+AK36+BV36+DG36</f>
        <v>0</v>
      </c>
      <c r="N38" s="468"/>
      <c r="O38" s="468"/>
      <c r="P38" s="468"/>
      <c r="Q38" s="468"/>
      <c r="R38" s="468"/>
      <c r="S38" s="468"/>
      <c r="T38" s="468"/>
      <c r="U38" s="469"/>
    </row>
    <row r="39" spans="1:111" ht="15.75" customHeight="1">
      <c r="D39" s="452"/>
      <c r="E39" s="453"/>
      <c r="F39" s="453"/>
      <c r="G39" s="453"/>
      <c r="H39" s="453"/>
      <c r="I39" s="453"/>
      <c r="J39" s="453"/>
      <c r="K39" s="453"/>
      <c r="L39" s="454"/>
      <c r="M39" s="470"/>
      <c r="N39" s="471"/>
      <c r="O39" s="471"/>
      <c r="P39" s="471"/>
      <c r="Q39" s="471"/>
      <c r="R39" s="471"/>
      <c r="S39" s="471"/>
      <c r="T39" s="471"/>
      <c r="U39" s="472"/>
    </row>
    <row r="40" spans="1:111" ht="15" customHeight="1">
      <c r="D40" s="449" t="s">
        <v>61</v>
      </c>
      <c r="E40" s="450"/>
      <c r="F40" s="450"/>
      <c r="G40" s="450"/>
      <c r="H40" s="450"/>
      <c r="I40" s="450"/>
      <c r="J40" s="450"/>
      <c r="K40" s="450"/>
      <c r="L40" s="451"/>
      <c r="M40" s="455">
        <f>+M38*200</f>
        <v>0</v>
      </c>
      <c r="N40" s="456"/>
      <c r="O40" s="456"/>
      <c r="P40" s="456"/>
      <c r="Q40" s="456"/>
      <c r="R40" s="456"/>
      <c r="S40" s="456"/>
      <c r="T40" s="456"/>
      <c r="U40" s="457"/>
    </row>
    <row r="41" spans="1:111" ht="15.75" customHeight="1">
      <c r="D41" s="452"/>
      <c r="E41" s="453"/>
      <c r="F41" s="453"/>
      <c r="G41" s="453"/>
      <c r="H41" s="453"/>
      <c r="I41" s="453"/>
      <c r="J41" s="453"/>
      <c r="K41" s="453"/>
      <c r="L41" s="454"/>
      <c r="M41" s="458"/>
      <c r="N41" s="459"/>
      <c r="O41" s="459"/>
      <c r="P41" s="459"/>
      <c r="Q41" s="459"/>
      <c r="R41" s="459"/>
      <c r="S41" s="459"/>
      <c r="T41" s="459"/>
      <c r="U41" s="460"/>
    </row>
  </sheetData>
  <mergeCells count="7">
    <mergeCell ref="D40:L41"/>
    <mergeCell ref="M40:U41"/>
    <mergeCell ref="A3:F3"/>
    <mergeCell ref="AL3:AQ3"/>
    <mergeCell ref="BW3:CB3"/>
    <mergeCell ref="D38:L39"/>
    <mergeCell ref="M38:U39"/>
  </mergeCells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U64"/>
  <sheetViews>
    <sheetView topLeftCell="DO1" zoomScale="64" zoomScaleNormal="64" workbookViewId="0">
      <selection activeCell="AB4" sqref="X4:AB4"/>
    </sheetView>
  </sheetViews>
  <sheetFormatPr baseColWidth="10" defaultColWidth="11.42578125" defaultRowHeight="15"/>
  <cols>
    <col min="1" max="1" width="3.7109375" customWidth="1"/>
    <col min="2" max="2" width="8.7109375" customWidth="1"/>
    <col min="3" max="4" width="6" customWidth="1"/>
    <col min="5" max="52" width="6.42578125" style="233" customWidth="1"/>
    <col min="53" max="53" width="6.5703125" customWidth="1"/>
    <col min="54" max="54" width="3.7109375" customWidth="1"/>
    <col min="55" max="55" width="5.7109375" customWidth="1"/>
    <col min="56" max="56" width="6.42578125" customWidth="1"/>
    <col min="57" max="57" width="8" customWidth="1"/>
    <col min="58" max="58" width="7.28515625" customWidth="1"/>
    <col min="59" max="59" width="5.5703125" customWidth="1"/>
    <col min="60" max="61" width="6" customWidth="1"/>
    <col min="62" max="62" width="5.5703125" customWidth="1"/>
    <col min="63" max="101" width="3.7109375" customWidth="1"/>
    <col min="102" max="105" width="6.42578125" style="233" customWidth="1"/>
    <col min="106" max="106" width="6.5703125" customWidth="1"/>
    <col min="107" max="107" width="3.7109375" customWidth="1"/>
    <col min="108" max="108" width="5.7109375" customWidth="1"/>
    <col min="109" max="109" width="7.28515625" customWidth="1"/>
    <col min="110" max="110" width="5.7109375" customWidth="1"/>
    <col min="111" max="146" width="6.42578125" customWidth="1"/>
    <col min="147" max="147" width="6.5703125" customWidth="1"/>
  </cols>
  <sheetData>
    <row r="2" spans="1:151">
      <c r="A2" s="507" t="s">
        <v>58</v>
      </c>
      <c r="B2" s="508"/>
      <c r="C2" s="508"/>
      <c r="D2" s="508"/>
      <c r="E2" s="508"/>
      <c r="F2" s="508"/>
      <c r="G2" s="508"/>
      <c r="H2" s="508"/>
      <c r="I2" s="509"/>
      <c r="BB2" s="507" t="s">
        <v>62</v>
      </c>
      <c r="BC2" s="508"/>
      <c r="BD2" s="508"/>
      <c r="BE2" s="508"/>
      <c r="BF2" s="508"/>
      <c r="BG2" s="508"/>
      <c r="BH2" s="508"/>
      <c r="BI2" s="508"/>
      <c r="BJ2" s="509"/>
      <c r="BK2" s="262"/>
      <c r="BL2" s="262"/>
      <c r="BM2" s="262"/>
      <c r="BN2" s="262"/>
      <c r="BO2" s="265"/>
      <c r="BP2" s="265"/>
      <c r="BQ2" s="265"/>
      <c r="BR2" s="265"/>
      <c r="BS2" s="265"/>
      <c r="BT2" s="262"/>
      <c r="BU2" s="262"/>
      <c r="BV2" s="262"/>
      <c r="BW2" s="262"/>
      <c r="BX2" s="262"/>
      <c r="BY2" s="262"/>
      <c r="BZ2" s="262"/>
      <c r="CA2" s="262"/>
      <c r="CB2" s="262"/>
      <c r="CC2" s="262"/>
      <c r="CD2" s="262"/>
      <c r="CE2" s="262"/>
      <c r="CF2" s="262"/>
      <c r="CG2" s="262"/>
      <c r="CH2" s="262"/>
      <c r="CI2" s="262"/>
      <c r="CJ2" s="262"/>
      <c r="CK2" s="262"/>
      <c r="CL2" s="262"/>
      <c r="CM2" s="262"/>
      <c r="CN2" s="262"/>
      <c r="CO2" s="262"/>
      <c r="CP2" s="262"/>
      <c r="CQ2" s="262"/>
      <c r="CR2" s="262"/>
      <c r="CS2" s="262"/>
      <c r="CT2" s="262"/>
      <c r="CU2" s="262"/>
      <c r="CV2" s="262"/>
      <c r="CW2" s="262"/>
      <c r="DB2" s="262"/>
      <c r="DC2" s="507" t="s">
        <v>43</v>
      </c>
      <c r="DD2" s="508"/>
      <c r="DE2" s="508"/>
      <c r="DF2" s="508"/>
      <c r="DG2" s="508"/>
      <c r="DH2" s="508"/>
      <c r="DI2" s="508"/>
      <c r="DJ2" s="509"/>
      <c r="DK2" s="262"/>
      <c r="DL2" s="262"/>
      <c r="DM2" s="262"/>
      <c r="DN2" s="262"/>
      <c r="DO2" s="262"/>
      <c r="DP2" s="262"/>
      <c r="DQ2" s="262"/>
      <c r="DR2" s="262"/>
      <c r="DS2" s="262"/>
      <c r="DT2" s="262"/>
      <c r="DU2" s="262"/>
      <c r="DV2" s="262"/>
      <c r="DW2" s="262"/>
      <c r="DX2" s="262"/>
      <c r="DY2" s="262"/>
      <c r="DZ2" s="262"/>
      <c r="EA2" s="262"/>
      <c r="EB2" s="262"/>
      <c r="EC2" s="262"/>
      <c r="ED2" s="262"/>
      <c r="EE2" s="262"/>
      <c r="EF2" s="262"/>
      <c r="EG2" s="262"/>
      <c r="EH2" s="262"/>
      <c r="EI2" s="262"/>
      <c r="EJ2" s="262"/>
      <c r="EK2" s="262"/>
      <c r="EL2" s="262"/>
      <c r="EM2" s="262"/>
      <c r="EN2" s="262"/>
      <c r="EO2" s="262"/>
      <c r="EP2" s="262"/>
      <c r="EQ2" s="262"/>
    </row>
    <row r="3" spans="1:151" ht="15.75" customHeight="1">
      <c r="A3" s="482" t="s">
        <v>2</v>
      </c>
      <c r="B3" s="494" t="s">
        <v>45</v>
      </c>
      <c r="C3" s="493"/>
      <c r="D3" s="495"/>
      <c r="E3" s="493" t="s">
        <v>46</v>
      </c>
      <c r="F3" s="493"/>
      <c r="G3" s="493"/>
      <c r="H3" s="493"/>
      <c r="I3" s="493"/>
      <c r="J3" s="494" t="s">
        <v>47</v>
      </c>
      <c r="K3" s="493"/>
      <c r="L3" s="493"/>
      <c r="M3" s="493"/>
      <c r="N3" s="504" t="s">
        <v>48</v>
      </c>
      <c r="O3" s="505"/>
      <c r="P3" s="505"/>
      <c r="Q3" s="505"/>
      <c r="R3" s="506"/>
      <c r="S3" s="493" t="s">
        <v>49</v>
      </c>
      <c r="T3" s="493"/>
      <c r="U3" s="493"/>
      <c r="V3" s="493"/>
      <c r="W3" s="493"/>
      <c r="X3" s="494" t="s">
        <v>50</v>
      </c>
      <c r="Y3" s="493"/>
      <c r="Z3" s="493"/>
      <c r="AA3" s="493"/>
      <c r="AB3" s="495"/>
      <c r="AC3" s="493" t="s">
        <v>51</v>
      </c>
      <c r="AD3" s="493"/>
      <c r="AE3" s="493"/>
      <c r="AF3" s="493"/>
      <c r="AG3" s="494" t="s">
        <v>63</v>
      </c>
      <c r="AH3" s="493"/>
      <c r="AI3" s="493"/>
      <c r="AJ3" s="495"/>
      <c r="AK3" s="496" t="s">
        <v>53</v>
      </c>
      <c r="AL3" s="497"/>
      <c r="AM3" s="500"/>
      <c r="AN3" s="500"/>
      <c r="AO3" s="500"/>
      <c r="AP3" s="498"/>
      <c r="AQ3" s="496" t="s">
        <v>54</v>
      </c>
      <c r="AR3" s="497"/>
      <c r="AS3" s="500"/>
      <c r="AT3" s="500"/>
      <c r="AU3" s="500"/>
      <c r="AV3" s="498"/>
      <c r="AW3" s="494" t="s">
        <v>64</v>
      </c>
      <c r="AX3" s="493"/>
      <c r="AY3" s="493"/>
      <c r="AZ3" s="495"/>
      <c r="BA3" s="439" t="s">
        <v>56</v>
      </c>
      <c r="BB3" s="485" t="s">
        <v>2</v>
      </c>
      <c r="BC3" s="501" t="s">
        <v>45</v>
      </c>
      <c r="BD3" s="502"/>
      <c r="BE3" s="503"/>
      <c r="BF3" s="494" t="s">
        <v>46</v>
      </c>
      <c r="BG3" s="493"/>
      <c r="BH3" s="493"/>
      <c r="BI3" s="493"/>
      <c r="BJ3" s="495"/>
      <c r="BK3" s="494" t="s">
        <v>47</v>
      </c>
      <c r="BL3" s="493"/>
      <c r="BM3" s="493"/>
      <c r="BN3" s="493"/>
      <c r="BO3" s="504" t="s">
        <v>48</v>
      </c>
      <c r="BP3" s="505"/>
      <c r="BQ3" s="505"/>
      <c r="BR3" s="505"/>
      <c r="BS3" s="506"/>
      <c r="BT3" s="502" t="s">
        <v>49</v>
      </c>
      <c r="BU3" s="502"/>
      <c r="BV3" s="502"/>
      <c r="BW3" s="502"/>
      <c r="BX3" s="503"/>
      <c r="BY3" s="494" t="s">
        <v>50</v>
      </c>
      <c r="BZ3" s="493"/>
      <c r="CA3" s="493"/>
      <c r="CB3" s="493"/>
      <c r="CC3" s="495"/>
      <c r="CD3" s="493" t="s">
        <v>51</v>
      </c>
      <c r="CE3" s="493"/>
      <c r="CF3" s="493"/>
      <c r="CG3" s="493"/>
      <c r="CH3" s="494" t="s">
        <v>63</v>
      </c>
      <c r="CI3" s="493"/>
      <c r="CJ3" s="493"/>
      <c r="CK3" s="495"/>
      <c r="CL3" s="499" t="s">
        <v>65</v>
      </c>
      <c r="CM3" s="497"/>
      <c r="CN3" s="500"/>
      <c r="CO3" s="500"/>
      <c r="CP3" s="500"/>
      <c r="CQ3" s="498"/>
      <c r="CR3" s="499" t="s">
        <v>66</v>
      </c>
      <c r="CS3" s="497"/>
      <c r="CT3" s="500"/>
      <c r="CU3" s="500"/>
      <c r="CV3" s="500"/>
      <c r="CW3" s="498"/>
      <c r="CX3" s="494" t="s">
        <v>64</v>
      </c>
      <c r="CY3" s="493"/>
      <c r="CZ3" s="493"/>
      <c r="DA3" s="495"/>
      <c r="DB3" s="439" t="s">
        <v>56</v>
      </c>
      <c r="DC3" s="485" t="s">
        <v>2</v>
      </c>
      <c r="DD3" s="501" t="s">
        <v>45</v>
      </c>
      <c r="DE3" s="502"/>
      <c r="DF3" s="503"/>
      <c r="DG3" s="494" t="s">
        <v>46</v>
      </c>
      <c r="DH3" s="493"/>
      <c r="DI3" s="493"/>
      <c r="DJ3" s="495"/>
      <c r="DK3" s="494" t="s">
        <v>47</v>
      </c>
      <c r="DL3" s="493"/>
      <c r="DM3" s="493"/>
      <c r="DN3" s="495"/>
      <c r="DO3" s="494" t="s">
        <v>48</v>
      </c>
      <c r="DP3" s="493"/>
      <c r="DQ3" s="493"/>
      <c r="DR3" s="495"/>
      <c r="DS3" s="494" t="s">
        <v>49</v>
      </c>
      <c r="DT3" s="493"/>
      <c r="DU3" s="495"/>
      <c r="DV3" s="494" t="s">
        <v>50</v>
      </c>
      <c r="DW3" s="493"/>
      <c r="DX3" s="493"/>
      <c r="DY3" s="493"/>
      <c r="DZ3" s="495"/>
      <c r="EA3" s="493" t="s">
        <v>51</v>
      </c>
      <c r="EB3" s="493"/>
      <c r="EC3" s="493"/>
      <c r="ED3" s="493"/>
      <c r="EE3" s="494" t="s">
        <v>63</v>
      </c>
      <c r="EF3" s="493"/>
      <c r="EG3" s="495"/>
      <c r="EH3" s="496" t="s">
        <v>53</v>
      </c>
      <c r="EI3" s="497"/>
      <c r="EJ3" s="498"/>
      <c r="EK3" s="496" t="s">
        <v>54</v>
      </c>
      <c r="EL3" s="497"/>
      <c r="EM3" s="498"/>
      <c r="EN3" s="496" t="s">
        <v>67</v>
      </c>
      <c r="EO3" s="497"/>
      <c r="EP3" s="498"/>
      <c r="EQ3" s="473" t="s">
        <v>56</v>
      </c>
      <c r="ES3" s="475" t="s">
        <v>68</v>
      </c>
      <c r="ET3" s="477" t="s">
        <v>69</v>
      </c>
      <c r="EU3" s="477" t="s">
        <v>70</v>
      </c>
    </row>
    <row r="4" spans="1:151">
      <c r="A4" s="483"/>
      <c r="B4" s="234" t="s">
        <v>71</v>
      </c>
      <c r="C4" s="235" t="s">
        <v>72</v>
      </c>
      <c r="D4" s="235" t="s">
        <v>73</v>
      </c>
      <c r="E4" s="235" t="s">
        <v>71</v>
      </c>
      <c r="F4" s="235" t="s">
        <v>72</v>
      </c>
      <c r="G4" s="235" t="s">
        <v>73</v>
      </c>
      <c r="H4" s="235" t="s">
        <v>74</v>
      </c>
      <c r="I4" s="235" t="s">
        <v>75</v>
      </c>
      <c r="J4" s="234" t="s">
        <v>71</v>
      </c>
      <c r="K4" s="235" t="s">
        <v>72</v>
      </c>
      <c r="L4" s="235" t="s">
        <v>73</v>
      </c>
      <c r="M4" s="235" t="s">
        <v>74</v>
      </c>
      <c r="N4" s="250" t="s">
        <v>71</v>
      </c>
      <c r="O4" s="251" t="s">
        <v>72</v>
      </c>
      <c r="P4" s="251" t="s">
        <v>73</v>
      </c>
      <c r="Q4" s="251" t="s">
        <v>74</v>
      </c>
      <c r="R4" s="255" t="s">
        <v>75</v>
      </c>
      <c r="S4" s="235" t="s">
        <v>71</v>
      </c>
      <c r="T4" s="235" t="s">
        <v>72</v>
      </c>
      <c r="U4" s="235" t="s">
        <v>73</v>
      </c>
      <c r="V4" s="235" t="s">
        <v>74</v>
      </c>
      <c r="W4" s="235" t="s">
        <v>75</v>
      </c>
      <c r="X4" s="234" t="s">
        <v>71</v>
      </c>
      <c r="Y4" s="235" t="s">
        <v>72</v>
      </c>
      <c r="Z4" s="235" t="s">
        <v>73</v>
      </c>
      <c r="AA4" s="235" t="s">
        <v>74</v>
      </c>
      <c r="AB4" s="235" t="s">
        <v>75</v>
      </c>
      <c r="AC4" s="235" t="s">
        <v>71</v>
      </c>
      <c r="AD4" s="235" t="s">
        <v>72</v>
      </c>
      <c r="AE4" s="235" t="s">
        <v>73</v>
      </c>
      <c r="AF4" s="235" t="s">
        <v>74</v>
      </c>
      <c r="AG4" s="234" t="s">
        <v>71</v>
      </c>
      <c r="AH4" s="235" t="s">
        <v>72</v>
      </c>
      <c r="AI4" s="235" t="s">
        <v>73</v>
      </c>
      <c r="AJ4" s="235" t="s">
        <v>74</v>
      </c>
      <c r="AK4" s="235" t="s">
        <v>71</v>
      </c>
      <c r="AL4" s="235" t="s">
        <v>72</v>
      </c>
      <c r="AM4" s="235" t="s">
        <v>73</v>
      </c>
      <c r="AN4" s="259" t="s">
        <v>74</v>
      </c>
      <c r="AO4" s="259" t="s">
        <v>75</v>
      </c>
      <c r="AP4" s="259" t="s">
        <v>76</v>
      </c>
      <c r="AQ4" s="235" t="s">
        <v>71</v>
      </c>
      <c r="AR4" s="235" t="s">
        <v>72</v>
      </c>
      <c r="AS4" s="235" t="s">
        <v>73</v>
      </c>
      <c r="AT4" s="259" t="s">
        <v>74</v>
      </c>
      <c r="AU4" s="259" t="s">
        <v>75</v>
      </c>
      <c r="AV4" s="259" t="s">
        <v>76</v>
      </c>
      <c r="AW4" s="234" t="s">
        <v>71</v>
      </c>
      <c r="AX4" s="235" t="s">
        <v>72</v>
      </c>
      <c r="AY4" s="235" t="s">
        <v>73</v>
      </c>
      <c r="AZ4" s="259" t="s">
        <v>74</v>
      </c>
      <c r="BA4" s="484"/>
      <c r="BB4" s="486"/>
      <c r="BC4" s="234" t="s">
        <v>71</v>
      </c>
      <c r="BD4" s="235" t="s">
        <v>72</v>
      </c>
      <c r="BE4" s="235" t="s">
        <v>73</v>
      </c>
      <c r="BF4" s="234" t="s">
        <v>71</v>
      </c>
      <c r="BG4" s="235" t="s">
        <v>72</v>
      </c>
      <c r="BH4" s="235" t="s">
        <v>73</v>
      </c>
      <c r="BI4" s="235" t="s">
        <v>74</v>
      </c>
      <c r="BJ4" s="259" t="s">
        <v>74</v>
      </c>
      <c r="BK4" s="234" t="s">
        <v>71</v>
      </c>
      <c r="BL4" s="235" t="s">
        <v>72</v>
      </c>
      <c r="BM4" s="235" t="s">
        <v>73</v>
      </c>
      <c r="BN4" s="235" t="s">
        <v>74</v>
      </c>
      <c r="BO4" s="266" t="s">
        <v>71</v>
      </c>
      <c r="BP4" s="267" t="s">
        <v>72</v>
      </c>
      <c r="BQ4" s="267" t="s">
        <v>73</v>
      </c>
      <c r="BR4" s="267" t="s">
        <v>74</v>
      </c>
      <c r="BS4" s="268" t="s">
        <v>77</v>
      </c>
      <c r="BT4" s="235" t="s">
        <v>71</v>
      </c>
      <c r="BU4" s="235" t="s">
        <v>72</v>
      </c>
      <c r="BV4" s="235" t="s">
        <v>73</v>
      </c>
      <c r="BW4" s="235" t="s">
        <v>74</v>
      </c>
      <c r="BX4" s="235" t="s">
        <v>75</v>
      </c>
      <c r="BY4" s="234" t="s">
        <v>71</v>
      </c>
      <c r="BZ4" s="235" t="s">
        <v>72</v>
      </c>
      <c r="CA4" s="235" t="s">
        <v>73</v>
      </c>
      <c r="CB4" s="235" t="s">
        <v>74</v>
      </c>
      <c r="CC4" s="259" t="s">
        <v>75</v>
      </c>
      <c r="CD4" s="235" t="s">
        <v>71</v>
      </c>
      <c r="CE4" s="235" t="s">
        <v>72</v>
      </c>
      <c r="CF4" s="235" t="s">
        <v>73</v>
      </c>
      <c r="CG4" s="235" t="s">
        <v>74</v>
      </c>
      <c r="CH4" s="234" t="s">
        <v>71</v>
      </c>
      <c r="CI4" s="235" t="s">
        <v>72</v>
      </c>
      <c r="CJ4" s="235" t="s">
        <v>73</v>
      </c>
      <c r="CK4" s="235" t="s">
        <v>74</v>
      </c>
      <c r="CL4" s="234" t="s">
        <v>71</v>
      </c>
      <c r="CM4" s="235" t="s">
        <v>72</v>
      </c>
      <c r="CN4" s="235" t="s">
        <v>73</v>
      </c>
      <c r="CO4" s="235" t="s">
        <v>74</v>
      </c>
      <c r="CP4" s="235" t="s">
        <v>75</v>
      </c>
      <c r="CQ4" s="235" t="s">
        <v>76</v>
      </c>
      <c r="CR4" s="234" t="s">
        <v>71</v>
      </c>
      <c r="CS4" s="235" t="s">
        <v>72</v>
      </c>
      <c r="CT4" s="235" t="s">
        <v>73</v>
      </c>
      <c r="CU4" s="235" t="s">
        <v>74</v>
      </c>
      <c r="CV4" s="235" t="s">
        <v>75</v>
      </c>
      <c r="CW4" s="235" t="s">
        <v>76</v>
      </c>
      <c r="CX4" s="234" t="s">
        <v>71</v>
      </c>
      <c r="CY4" s="235" t="s">
        <v>72</v>
      </c>
      <c r="CZ4" s="235" t="s">
        <v>73</v>
      </c>
      <c r="DA4" s="259" t="s">
        <v>74</v>
      </c>
      <c r="DB4" s="484"/>
      <c r="DC4" s="486"/>
      <c r="DD4" s="234" t="s">
        <v>71</v>
      </c>
      <c r="DE4" s="235" t="s">
        <v>72</v>
      </c>
      <c r="DF4" s="235" t="s">
        <v>73</v>
      </c>
      <c r="DG4" s="234" t="s">
        <v>71</v>
      </c>
      <c r="DH4" s="235" t="s">
        <v>72</v>
      </c>
      <c r="DI4" s="235" t="s">
        <v>73</v>
      </c>
      <c r="DJ4" s="259" t="s">
        <v>74</v>
      </c>
      <c r="DK4" s="234" t="s">
        <v>71</v>
      </c>
      <c r="DL4" s="235" t="s">
        <v>72</v>
      </c>
      <c r="DM4" s="235" t="s">
        <v>73</v>
      </c>
      <c r="DN4" s="259" t="s">
        <v>74</v>
      </c>
      <c r="DO4" s="234" t="s">
        <v>71</v>
      </c>
      <c r="DP4" s="235" t="s">
        <v>72</v>
      </c>
      <c r="DQ4" s="235" t="s">
        <v>73</v>
      </c>
      <c r="DR4" s="259" t="s">
        <v>74</v>
      </c>
      <c r="DS4" s="234" t="s">
        <v>71</v>
      </c>
      <c r="DT4" s="235" t="s">
        <v>72</v>
      </c>
      <c r="DU4" s="259" t="s">
        <v>73</v>
      </c>
      <c r="DV4" s="234" t="s">
        <v>71</v>
      </c>
      <c r="DW4" s="235" t="s">
        <v>72</v>
      </c>
      <c r="DX4" s="235" t="s">
        <v>73</v>
      </c>
      <c r="DY4" s="235"/>
      <c r="DZ4" s="259" t="s">
        <v>74</v>
      </c>
      <c r="EA4" s="235" t="s">
        <v>71</v>
      </c>
      <c r="EB4" s="235" t="s">
        <v>72</v>
      </c>
      <c r="EC4" s="235" t="s">
        <v>73</v>
      </c>
      <c r="ED4" s="235" t="s">
        <v>74</v>
      </c>
      <c r="EE4" s="234" t="s">
        <v>71</v>
      </c>
      <c r="EF4" s="235" t="s">
        <v>72</v>
      </c>
      <c r="EG4" s="259" t="s">
        <v>73</v>
      </c>
      <c r="EH4" s="235" t="s">
        <v>71</v>
      </c>
      <c r="EI4" s="235" t="s">
        <v>72</v>
      </c>
      <c r="EJ4" s="259" t="s">
        <v>73</v>
      </c>
      <c r="EK4" s="235" t="s">
        <v>71</v>
      </c>
      <c r="EL4" s="235" t="s">
        <v>72</v>
      </c>
      <c r="EM4" s="259" t="s">
        <v>73</v>
      </c>
      <c r="EN4" s="235" t="s">
        <v>71</v>
      </c>
      <c r="EO4" s="235" t="s">
        <v>72</v>
      </c>
      <c r="EP4" s="259" t="s">
        <v>73</v>
      </c>
      <c r="EQ4" s="474"/>
      <c r="ES4" s="476"/>
      <c r="ET4" s="478"/>
      <c r="EU4" s="478"/>
    </row>
    <row r="5" spans="1:151">
      <c r="A5" s="236">
        <v>1</v>
      </c>
      <c r="B5" s="120"/>
      <c r="C5" s="41"/>
      <c r="D5" s="122"/>
      <c r="E5" s="237"/>
      <c r="F5" s="238"/>
      <c r="G5" s="238"/>
      <c r="H5" s="239"/>
      <c r="I5" s="239"/>
      <c r="J5" s="252"/>
      <c r="K5" s="238"/>
      <c r="L5" s="238"/>
      <c r="M5" s="239"/>
      <c r="N5" s="253"/>
      <c r="O5" s="243"/>
      <c r="P5" s="243"/>
      <c r="Q5" s="243"/>
      <c r="R5" s="256"/>
      <c r="S5" s="237"/>
      <c r="T5" s="238"/>
      <c r="U5" s="239"/>
      <c r="V5" s="239"/>
      <c r="W5" s="239"/>
      <c r="X5" s="252"/>
      <c r="Y5" s="238"/>
      <c r="Z5" s="238"/>
      <c r="AA5" s="239"/>
      <c r="AB5" s="258"/>
      <c r="AC5" s="237"/>
      <c r="AD5" s="238"/>
      <c r="AE5" s="238"/>
      <c r="AF5" s="239"/>
      <c r="AG5" s="252"/>
      <c r="AH5" s="238"/>
      <c r="AI5" s="239"/>
      <c r="AJ5" s="258"/>
      <c r="AK5" s="237"/>
      <c r="AL5" s="238"/>
      <c r="AM5" s="238"/>
      <c r="AN5" s="238"/>
      <c r="AO5" s="239"/>
      <c r="AP5" s="258"/>
      <c r="AQ5" s="237"/>
      <c r="AR5" s="238"/>
      <c r="AS5" s="238"/>
      <c r="AT5" s="238"/>
      <c r="AU5" s="239"/>
      <c r="AV5" s="258"/>
      <c r="AW5" s="252"/>
      <c r="AX5" s="238"/>
      <c r="AY5" s="238"/>
      <c r="AZ5" s="258"/>
      <c r="BA5" s="260">
        <f t="shared" ref="BA5:BA35" si="0">SUM(B5:AV5)</f>
        <v>0</v>
      </c>
      <c r="BB5" s="236">
        <v>1</v>
      </c>
      <c r="BC5" s="120"/>
      <c r="BD5" s="41"/>
      <c r="BE5" s="122"/>
      <c r="BF5" s="263"/>
      <c r="BG5" s="264"/>
      <c r="BH5" s="264"/>
      <c r="BI5" s="264"/>
      <c r="BJ5" s="264"/>
      <c r="BK5" s="264"/>
      <c r="BL5" s="264"/>
      <c r="BM5" s="264"/>
      <c r="BN5" s="269"/>
      <c r="BO5" s="270"/>
      <c r="BP5" s="264"/>
      <c r="BQ5" s="264"/>
      <c r="BR5" s="264"/>
      <c r="BS5" s="271"/>
      <c r="BT5" s="263"/>
      <c r="BU5" s="264"/>
      <c r="BV5" s="264"/>
      <c r="BW5" s="264"/>
      <c r="BX5" s="264"/>
      <c r="BY5" s="239"/>
      <c r="BZ5" s="238"/>
      <c r="CA5" s="238"/>
      <c r="CB5" s="238"/>
      <c r="CC5" s="258"/>
      <c r="CD5" s="237"/>
      <c r="CE5" s="238"/>
      <c r="CF5" s="238"/>
      <c r="CG5" s="239"/>
      <c r="CH5" s="252"/>
      <c r="CI5" s="238"/>
      <c r="CJ5" s="239"/>
      <c r="CK5" s="258"/>
      <c r="CL5" s="252"/>
      <c r="CM5" s="238"/>
      <c r="CN5" s="239"/>
      <c r="CO5" s="239"/>
      <c r="CP5" s="239"/>
      <c r="CQ5" s="258"/>
      <c r="CR5" s="252"/>
      <c r="CS5" s="238"/>
      <c r="CT5" s="239"/>
      <c r="CU5" s="239"/>
      <c r="CV5" s="239"/>
      <c r="CW5" s="258"/>
      <c r="CX5" s="252"/>
      <c r="CY5" s="238"/>
      <c r="CZ5" s="238"/>
      <c r="DA5" s="258"/>
      <c r="DB5" s="260">
        <f t="shared" ref="DB5:DB35" si="1">SUM(BC5:CW5)</f>
        <v>0</v>
      </c>
      <c r="DC5" s="236">
        <v>1</v>
      </c>
      <c r="DD5" s="120"/>
      <c r="DE5" s="41"/>
      <c r="DF5" s="122"/>
      <c r="DG5" s="237"/>
      <c r="DH5" s="238"/>
      <c r="DI5" s="238"/>
      <c r="DJ5" s="258"/>
      <c r="DK5" s="252"/>
      <c r="DL5" s="238"/>
      <c r="DM5" s="238"/>
      <c r="DN5" s="258"/>
      <c r="DO5" s="252"/>
      <c r="DP5" s="238"/>
      <c r="DQ5" s="238"/>
      <c r="DR5" s="258"/>
      <c r="DS5" s="252"/>
      <c r="DT5" s="238"/>
      <c r="DU5" s="258"/>
      <c r="DV5" s="252"/>
      <c r="DW5" s="238"/>
      <c r="DX5" s="238"/>
      <c r="DY5" s="239"/>
      <c r="DZ5" s="258"/>
      <c r="EA5" s="237"/>
      <c r="EB5" s="238"/>
      <c r="EC5" s="238"/>
      <c r="ED5" s="239"/>
      <c r="EE5" s="252"/>
      <c r="EF5" s="238"/>
      <c r="EG5" s="258"/>
      <c r="EH5" s="252"/>
      <c r="EI5" s="238"/>
      <c r="EJ5" s="258"/>
      <c r="EK5" s="252"/>
      <c r="EL5" s="238"/>
      <c r="EM5" s="258"/>
      <c r="EN5" s="252"/>
      <c r="EO5" s="238"/>
      <c r="EP5" s="258"/>
      <c r="EQ5" s="260">
        <f t="shared" ref="EQ5:EQ35" si="2">SUM(DD5:EP5)</f>
        <v>0</v>
      </c>
      <c r="ES5" s="205">
        <f>+'RETAION-BUS'!AK5+'RETAION-BUS'!BV5+'RETAION-BUS'!DG5</f>
        <v>0</v>
      </c>
      <c r="ET5" s="204">
        <f t="shared" ref="ET5:ET35" si="3">+DB5+BA5+EQ5</f>
        <v>0</v>
      </c>
      <c r="EU5" s="276">
        <f>+ES5-ET5</f>
        <v>0</v>
      </c>
    </row>
    <row r="6" spans="1:151">
      <c r="A6" s="240">
        <v>2</v>
      </c>
      <c r="B6" s="241"/>
      <c r="C6" s="43"/>
      <c r="D6" s="57"/>
      <c r="E6" s="242"/>
      <c r="F6" s="243"/>
      <c r="G6" s="243"/>
      <c r="H6" s="244"/>
      <c r="I6" s="244"/>
      <c r="J6" s="253"/>
      <c r="K6" s="243"/>
      <c r="L6" s="243"/>
      <c r="M6" s="244"/>
      <c r="N6" s="253"/>
      <c r="O6" s="243"/>
      <c r="P6" s="243"/>
      <c r="Q6" s="243"/>
      <c r="R6" s="256"/>
      <c r="S6" s="242"/>
      <c r="T6" s="243"/>
      <c r="U6" s="244"/>
      <c r="V6" s="244"/>
      <c r="W6" s="244"/>
      <c r="X6" s="253"/>
      <c r="Y6" s="243"/>
      <c r="Z6" s="243"/>
      <c r="AA6" s="244"/>
      <c r="AB6" s="256"/>
      <c r="AC6" s="242"/>
      <c r="AD6" s="243"/>
      <c r="AE6" s="243"/>
      <c r="AF6" s="244"/>
      <c r="AG6" s="253"/>
      <c r="AH6" s="243"/>
      <c r="AI6" s="244"/>
      <c r="AJ6" s="256"/>
      <c r="AK6" s="242"/>
      <c r="AL6" s="243"/>
      <c r="AM6" s="243"/>
      <c r="AN6" s="243"/>
      <c r="AO6" s="244"/>
      <c r="AP6" s="256"/>
      <c r="AQ6" s="242"/>
      <c r="AR6" s="243"/>
      <c r="AS6" s="243"/>
      <c r="AT6" s="243"/>
      <c r="AU6" s="244"/>
      <c r="AV6" s="256"/>
      <c r="AW6" s="253"/>
      <c r="AX6" s="243"/>
      <c r="AY6" s="243"/>
      <c r="AZ6" s="256"/>
      <c r="BA6" s="260">
        <f t="shared" si="0"/>
        <v>0</v>
      </c>
      <c r="BB6" s="240">
        <v>2</v>
      </c>
      <c r="BC6" s="241"/>
      <c r="BD6" s="43"/>
      <c r="BE6" s="57"/>
      <c r="BF6" s="242"/>
      <c r="BG6" s="243"/>
      <c r="BH6" s="243"/>
      <c r="BI6" s="244"/>
      <c r="BJ6" s="256"/>
      <c r="BK6" s="253"/>
      <c r="BL6" s="243"/>
      <c r="BM6" s="243"/>
      <c r="BN6" s="244"/>
      <c r="BO6" s="253"/>
      <c r="BP6" s="243"/>
      <c r="BQ6" s="243"/>
      <c r="BR6" s="243"/>
      <c r="BS6" s="256"/>
      <c r="BT6" s="272"/>
      <c r="BU6" s="253"/>
      <c r="BV6" s="242"/>
      <c r="BW6" s="242"/>
      <c r="BX6" s="243"/>
      <c r="BY6" s="253"/>
      <c r="BZ6" s="243"/>
      <c r="CA6" s="243"/>
      <c r="CB6" s="243"/>
      <c r="CC6" s="256"/>
      <c r="CD6" s="242"/>
      <c r="CE6" s="243"/>
      <c r="CF6" s="243"/>
      <c r="CG6" s="244"/>
      <c r="CH6" s="253"/>
      <c r="CI6" s="243"/>
      <c r="CJ6" s="244"/>
      <c r="CK6" s="256"/>
      <c r="CL6" s="253"/>
      <c r="CM6" s="243"/>
      <c r="CN6" s="243"/>
      <c r="CO6" s="243"/>
      <c r="CP6" s="243"/>
      <c r="CQ6" s="256"/>
      <c r="CR6" s="253"/>
      <c r="CS6" s="243"/>
      <c r="CT6" s="243"/>
      <c r="CU6" s="243"/>
      <c r="CV6" s="243"/>
      <c r="CW6" s="256"/>
      <c r="CX6" s="253"/>
      <c r="CY6" s="243"/>
      <c r="CZ6" s="243"/>
      <c r="DA6" s="256"/>
      <c r="DB6" s="260">
        <f t="shared" si="1"/>
        <v>0</v>
      </c>
      <c r="DC6" s="273">
        <v>2</v>
      </c>
      <c r="DD6" s="241"/>
      <c r="DE6" s="43"/>
      <c r="DF6" s="57"/>
      <c r="DG6" s="242"/>
      <c r="DH6" s="243"/>
      <c r="DI6" s="243"/>
      <c r="DJ6" s="256"/>
      <c r="DK6" s="253"/>
      <c r="DL6" s="243"/>
      <c r="DM6" s="243"/>
      <c r="DN6" s="256"/>
      <c r="DO6" s="253"/>
      <c r="DP6" s="243"/>
      <c r="DQ6" s="243"/>
      <c r="DR6" s="256"/>
      <c r="DS6" s="253"/>
      <c r="DT6" s="243"/>
      <c r="DU6" s="256"/>
      <c r="DV6" s="253"/>
      <c r="DW6" s="243"/>
      <c r="DX6" s="243"/>
      <c r="DY6" s="244"/>
      <c r="DZ6" s="256"/>
      <c r="EA6" s="242"/>
      <c r="EB6" s="243"/>
      <c r="EC6" s="243"/>
      <c r="ED6" s="244"/>
      <c r="EE6" s="253"/>
      <c r="EF6" s="243"/>
      <c r="EG6" s="256"/>
      <c r="EH6" s="253"/>
      <c r="EI6" s="243"/>
      <c r="EJ6" s="256"/>
      <c r="EK6" s="253"/>
      <c r="EL6" s="243"/>
      <c r="EM6" s="256"/>
      <c r="EN6" s="253"/>
      <c r="EO6" s="243"/>
      <c r="EP6" s="256"/>
      <c r="EQ6" s="260">
        <f t="shared" si="2"/>
        <v>0</v>
      </c>
      <c r="ES6" s="205">
        <f>+'RETAION-BUS'!AK6+'RETAION-BUS'!BV6+'RETAION-BUS'!DG6</f>
        <v>0</v>
      </c>
      <c r="ET6" s="204">
        <f t="shared" si="3"/>
        <v>0</v>
      </c>
      <c r="EU6" s="277">
        <f t="shared" ref="EU6:EU35" si="4">+ES6-ET6</f>
        <v>0</v>
      </c>
    </row>
    <row r="7" spans="1:151">
      <c r="A7" s="245">
        <v>3</v>
      </c>
      <c r="B7" s="241"/>
      <c r="C7" s="43"/>
      <c r="D7" s="57"/>
      <c r="E7" s="242"/>
      <c r="F7" s="243"/>
      <c r="G7" s="243"/>
      <c r="H7" s="244"/>
      <c r="I7" s="244"/>
      <c r="J7" s="253"/>
      <c r="K7" s="243"/>
      <c r="L7" s="243"/>
      <c r="M7" s="244"/>
      <c r="N7" s="253"/>
      <c r="O7" s="243"/>
      <c r="P7" s="243"/>
      <c r="Q7" s="243"/>
      <c r="R7" s="256"/>
      <c r="S7" s="242"/>
      <c r="T7" s="243"/>
      <c r="U7" s="244"/>
      <c r="V7" s="244"/>
      <c r="W7" s="244"/>
      <c r="X7" s="253"/>
      <c r="Y7" s="243"/>
      <c r="Z7" s="243"/>
      <c r="AA7" s="244"/>
      <c r="AB7" s="256"/>
      <c r="AC7" s="242"/>
      <c r="AD7" s="243"/>
      <c r="AE7" s="243"/>
      <c r="AF7" s="244"/>
      <c r="AG7" s="253"/>
      <c r="AH7" s="243"/>
      <c r="AI7" s="244"/>
      <c r="AJ7" s="256"/>
      <c r="AK7" s="242"/>
      <c r="AL7" s="243"/>
      <c r="AM7" s="243"/>
      <c r="AN7" s="243"/>
      <c r="AO7" s="244"/>
      <c r="AP7" s="256"/>
      <c r="AQ7" s="242"/>
      <c r="AR7" s="243"/>
      <c r="AS7" s="243"/>
      <c r="AT7" s="243"/>
      <c r="AU7" s="244"/>
      <c r="AV7" s="256"/>
      <c r="AW7" s="253"/>
      <c r="AX7" s="243"/>
      <c r="AY7" s="243"/>
      <c r="AZ7" s="256"/>
      <c r="BA7" s="260">
        <f t="shared" si="0"/>
        <v>0</v>
      </c>
      <c r="BB7" s="245">
        <v>3</v>
      </c>
      <c r="BC7" s="241"/>
      <c r="BD7" s="43"/>
      <c r="BE7" s="57"/>
      <c r="BF7" s="242"/>
      <c r="BG7" s="243"/>
      <c r="BH7" s="243"/>
      <c r="BI7" s="244"/>
      <c r="BJ7" s="256"/>
      <c r="BK7" s="253"/>
      <c r="BL7" s="243"/>
      <c r="BM7" s="243"/>
      <c r="BN7" s="244"/>
      <c r="BO7" s="253"/>
      <c r="BP7" s="243"/>
      <c r="BQ7" s="243"/>
      <c r="BR7" s="243"/>
      <c r="BS7" s="256"/>
      <c r="BT7" s="242"/>
      <c r="BU7" s="243"/>
      <c r="BV7" s="244"/>
      <c r="BW7" s="244"/>
      <c r="BX7" s="256"/>
      <c r="BY7" s="253"/>
      <c r="BZ7" s="243"/>
      <c r="CA7" s="243"/>
      <c r="CB7" s="243"/>
      <c r="CC7" s="256"/>
      <c r="CD7" s="242"/>
      <c r="CE7" s="243"/>
      <c r="CF7" s="243"/>
      <c r="CG7" s="244"/>
      <c r="CH7" s="253"/>
      <c r="CI7" s="243"/>
      <c r="CJ7" s="244"/>
      <c r="CK7" s="256"/>
      <c r="CL7" s="253"/>
      <c r="CM7" s="243"/>
      <c r="CN7" s="244"/>
      <c r="CO7" s="244"/>
      <c r="CP7" s="244"/>
      <c r="CQ7" s="256"/>
      <c r="CR7" s="253"/>
      <c r="CS7" s="243"/>
      <c r="CT7" s="244"/>
      <c r="CU7" s="244"/>
      <c r="CV7" s="244"/>
      <c r="CW7" s="256"/>
      <c r="CX7" s="253"/>
      <c r="CY7" s="243"/>
      <c r="CZ7" s="243"/>
      <c r="DA7" s="256"/>
      <c r="DB7" s="260">
        <f t="shared" si="1"/>
        <v>0</v>
      </c>
      <c r="DC7" s="236">
        <v>3</v>
      </c>
      <c r="DD7" s="241"/>
      <c r="DE7" s="43"/>
      <c r="DF7" s="57"/>
      <c r="DG7" s="242"/>
      <c r="DH7" s="243"/>
      <c r="DI7" s="243"/>
      <c r="DJ7" s="256"/>
      <c r="DK7" s="253"/>
      <c r="DL7" s="243"/>
      <c r="DM7" s="243"/>
      <c r="DN7" s="256"/>
      <c r="DO7" s="253"/>
      <c r="DP7" s="243"/>
      <c r="DQ7" s="243"/>
      <c r="DR7" s="256"/>
      <c r="DS7" s="253"/>
      <c r="DT7" s="243"/>
      <c r="DU7" s="256"/>
      <c r="DV7" s="253"/>
      <c r="DW7" s="243"/>
      <c r="DX7" s="243"/>
      <c r="DY7" s="244"/>
      <c r="DZ7" s="256"/>
      <c r="EA7" s="242"/>
      <c r="EB7" s="243"/>
      <c r="EC7" s="243"/>
      <c r="ED7" s="244"/>
      <c r="EE7" s="253"/>
      <c r="EF7" s="243"/>
      <c r="EG7" s="256"/>
      <c r="EH7" s="253"/>
      <c r="EI7" s="243"/>
      <c r="EJ7" s="256"/>
      <c r="EK7" s="253"/>
      <c r="EL7" s="243"/>
      <c r="EM7" s="256"/>
      <c r="EN7" s="253"/>
      <c r="EO7" s="243"/>
      <c r="EP7" s="256"/>
      <c r="EQ7" s="260">
        <f t="shared" si="2"/>
        <v>0</v>
      </c>
      <c r="ES7" s="205">
        <f>+'RETAION-BUS'!AK7+'RETAION-BUS'!BV7+'RETAION-BUS'!DG7</f>
        <v>0</v>
      </c>
      <c r="ET7" s="204">
        <f t="shared" si="3"/>
        <v>0</v>
      </c>
      <c r="EU7" s="278">
        <f t="shared" si="4"/>
        <v>0</v>
      </c>
    </row>
    <row r="8" spans="1:151">
      <c r="A8" s="236">
        <v>4</v>
      </c>
      <c r="B8" s="241"/>
      <c r="C8" s="43"/>
      <c r="D8" s="57"/>
      <c r="E8" s="242"/>
      <c r="F8" s="243"/>
      <c r="G8" s="243"/>
      <c r="H8" s="244"/>
      <c r="I8" s="244"/>
      <c r="J8" s="253"/>
      <c r="K8" s="243"/>
      <c r="L8" s="243"/>
      <c r="M8" s="244"/>
      <c r="N8" s="253"/>
      <c r="O8" s="243"/>
      <c r="P8" s="243"/>
      <c r="Q8" s="243"/>
      <c r="R8" s="256"/>
      <c r="S8" s="242"/>
      <c r="T8" s="243"/>
      <c r="U8" s="244"/>
      <c r="V8" s="244"/>
      <c r="W8" s="244"/>
      <c r="X8" s="253"/>
      <c r="Y8" s="243"/>
      <c r="Z8" s="243"/>
      <c r="AA8" s="244"/>
      <c r="AB8" s="256"/>
      <c r="AC8" s="242"/>
      <c r="AD8" s="243"/>
      <c r="AE8" s="243"/>
      <c r="AF8" s="244"/>
      <c r="AG8" s="253"/>
      <c r="AH8" s="243"/>
      <c r="AI8" s="244"/>
      <c r="AJ8" s="256"/>
      <c r="AK8" s="242"/>
      <c r="AL8" s="243"/>
      <c r="AM8" s="243"/>
      <c r="AN8" s="243"/>
      <c r="AO8" s="244"/>
      <c r="AP8" s="256"/>
      <c r="AQ8" s="242"/>
      <c r="AR8" s="243"/>
      <c r="AS8" s="243"/>
      <c r="AT8" s="243"/>
      <c r="AU8" s="244"/>
      <c r="AV8" s="256"/>
      <c r="AW8" s="253"/>
      <c r="AX8" s="243"/>
      <c r="AY8" s="243"/>
      <c r="AZ8" s="256"/>
      <c r="BA8" s="260">
        <f t="shared" si="0"/>
        <v>0</v>
      </c>
      <c r="BB8" s="236">
        <v>4</v>
      </c>
      <c r="BC8" s="241"/>
      <c r="BD8" s="43"/>
      <c r="BE8" s="57"/>
      <c r="BF8" s="242"/>
      <c r="BG8" s="243"/>
      <c r="BH8" s="243"/>
      <c r="BI8" s="244"/>
      <c r="BJ8" s="256"/>
      <c r="BK8" s="253"/>
      <c r="BL8" s="243"/>
      <c r="BM8" s="243"/>
      <c r="BN8" s="244"/>
      <c r="BO8" s="253"/>
      <c r="BP8" s="243"/>
      <c r="BQ8" s="243"/>
      <c r="BR8" s="243"/>
      <c r="BS8" s="256"/>
      <c r="BT8" s="242"/>
      <c r="BU8" s="243"/>
      <c r="BV8" s="244"/>
      <c r="BW8" s="244"/>
      <c r="BX8" s="256"/>
      <c r="BY8" s="253"/>
      <c r="BZ8" s="243"/>
      <c r="CA8" s="243"/>
      <c r="CB8" s="243"/>
      <c r="CC8" s="256"/>
      <c r="CD8" s="242"/>
      <c r="CE8" s="243"/>
      <c r="CF8" s="243"/>
      <c r="CG8" s="244"/>
      <c r="CH8" s="253"/>
      <c r="CI8" s="243"/>
      <c r="CJ8" s="244"/>
      <c r="CK8" s="256"/>
      <c r="CL8" s="253"/>
      <c r="CM8" s="243"/>
      <c r="CN8" s="244"/>
      <c r="CO8" s="244"/>
      <c r="CP8" s="244"/>
      <c r="CQ8" s="256"/>
      <c r="CR8" s="253"/>
      <c r="CS8" s="243"/>
      <c r="CT8" s="244"/>
      <c r="CU8" s="244"/>
      <c r="CV8" s="244"/>
      <c r="CW8" s="256"/>
      <c r="CX8" s="253"/>
      <c r="CY8" s="243"/>
      <c r="CZ8" s="243"/>
      <c r="DA8" s="256"/>
      <c r="DB8" s="260">
        <f t="shared" si="1"/>
        <v>0</v>
      </c>
      <c r="DC8" s="236">
        <v>4</v>
      </c>
      <c r="DD8" s="241"/>
      <c r="DE8" s="43"/>
      <c r="DF8" s="57"/>
      <c r="DG8" s="242"/>
      <c r="DH8" s="243"/>
      <c r="DI8" s="243"/>
      <c r="DJ8" s="256"/>
      <c r="DK8" s="253"/>
      <c r="DL8" s="243"/>
      <c r="DM8" s="243"/>
      <c r="DN8" s="256"/>
      <c r="DO8" s="253"/>
      <c r="DP8" s="243"/>
      <c r="DQ8" s="243"/>
      <c r="DR8" s="256"/>
      <c r="DS8" s="253"/>
      <c r="DT8" s="243"/>
      <c r="DU8" s="256"/>
      <c r="DV8" s="253"/>
      <c r="DW8" s="243"/>
      <c r="DX8" s="243"/>
      <c r="DY8" s="244"/>
      <c r="DZ8" s="256"/>
      <c r="EA8" s="242"/>
      <c r="EB8" s="243"/>
      <c r="EC8" s="243"/>
      <c r="ED8" s="244"/>
      <c r="EE8" s="253"/>
      <c r="EF8" s="243"/>
      <c r="EG8" s="256"/>
      <c r="EH8" s="253"/>
      <c r="EI8" s="243"/>
      <c r="EJ8" s="256"/>
      <c r="EK8" s="253"/>
      <c r="EL8" s="243"/>
      <c r="EM8" s="256"/>
      <c r="EN8" s="253"/>
      <c r="EO8" s="243"/>
      <c r="EP8" s="256"/>
      <c r="EQ8" s="260">
        <f t="shared" si="2"/>
        <v>0</v>
      </c>
      <c r="ES8" s="205">
        <f>+'RETAION-BUS'!AK8+'RETAION-BUS'!BV8+'RETAION-BUS'!DG8</f>
        <v>0</v>
      </c>
      <c r="ET8" s="204">
        <f t="shared" si="3"/>
        <v>0</v>
      </c>
      <c r="EU8" s="278">
        <f t="shared" si="4"/>
        <v>0</v>
      </c>
    </row>
    <row r="9" spans="1:151">
      <c r="A9" s="240">
        <v>5</v>
      </c>
      <c r="B9" s="241"/>
      <c r="C9" s="43"/>
      <c r="D9" s="57"/>
      <c r="E9" s="242"/>
      <c r="F9" s="243"/>
      <c r="G9" s="243"/>
      <c r="H9" s="244"/>
      <c r="I9" s="244"/>
      <c r="J9" s="253"/>
      <c r="K9" s="243"/>
      <c r="L9" s="243"/>
      <c r="M9" s="244"/>
      <c r="N9" s="253"/>
      <c r="O9" s="243"/>
      <c r="P9" s="243"/>
      <c r="Q9" s="243"/>
      <c r="R9" s="256"/>
      <c r="S9" s="242"/>
      <c r="T9" s="243"/>
      <c r="U9" s="244"/>
      <c r="V9" s="244"/>
      <c r="W9" s="244"/>
      <c r="X9" s="253"/>
      <c r="Y9" s="243"/>
      <c r="Z9" s="243"/>
      <c r="AA9" s="244"/>
      <c r="AB9" s="256"/>
      <c r="AC9" s="242"/>
      <c r="AD9" s="243"/>
      <c r="AE9" s="243"/>
      <c r="AF9" s="244"/>
      <c r="AG9" s="253"/>
      <c r="AH9" s="243"/>
      <c r="AI9" s="244"/>
      <c r="AJ9" s="256"/>
      <c r="AK9" s="242"/>
      <c r="AL9" s="243"/>
      <c r="AM9" s="243"/>
      <c r="AN9" s="243"/>
      <c r="AO9" s="244"/>
      <c r="AP9" s="256"/>
      <c r="AQ9" s="242"/>
      <c r="AR9" s="243"/>
      <c r="AS9" s="243"/>
      <c r="AT9" s="243"/>
      <c r="AU9" s="244"/>
      <c r="AV9" s="256"/>
      <c r="AW9" s="253"/>
      <c r="AX9" s="243"/>
      <c r="AY9" s="243"/>
      <c r="AZ9" s="256"/>
      <c r="BA9" s="260">
        <f t="shared" si="0"/>
        <v>0</v>
      </c>
      <c r="BB9" s="240">
        <v>5</v>
      </c>
      <c r="BC9" s="241"/>
      <c r="BD9" s="43"/>
      <c r="BE9" s="57"/>
      <c r="BF9" s="242"/>
      <c r="BG9" s="243"/>
      <c r="BH9" s="243"/>
      <c r="BI9" s="244"/>
      <c r="BJ9" s="256"/>
      <c r="BK9" s="253"/>
      <c r="BL9" s="243"/>
      <c r="BM9" s="243"/>
      <c r="BN9" s="244"/>
      <c r="BO9" s="253"/>
      <c r="BP9" s="243"/>
      <c r="BQ9" s="243"/>
      <c r="BR9" s="243"/>
      <c r="BS9" s="256"/>
      <c r="BT9" s="242"/>
      <c r="BU9" s="243"/>
      <c r="BV9" s="244"/>
      <c r="BW9" s="244"/>
      <c r="BX9" s="256"/>
      <c r="BY9" s="253"/>
      <c r="BZ9" s="243"/>
      <c r="CA9" s="243"/>
      <c r="CB9" s="243"/>
      <c r="CC9" s="256"/>
      <c r="CD9" s="242"/>
      <c r="CE9" s="243"/>
      <c r="CF9" s="243"/>
      <c r="CG9" s="244"/>
      <c r="CH9" s="253"/>
      <c r="CI9" s="243"/>
      <c r="CJ9" s="244"/>
      <c r="CK9" s="256"/>
      <c r="CL9" s="253"/>
      <c r="CM9" s="243"/>
      <c r="CN9" s="244"/>
      <c r="CO9" s="244"/>
      <c r="CP9" s="244"/>
      <c r="CQ9" s="256"/>
      <c r="CR9" s="253"/>
      <c r="CS9" s="243"/>
      <c r="CT9" s="244"/>
      <c r="CU9" s="244"/>
      <c r="CV9" s="244"/>
      <c r="CW9" s="256"/>
      <c r="CX9" s="253"/>
      <c r="CY9" s="243"/>
      <c r="CZ9" s="243"/>
      <c r="DA9" s="256"/>
      <c r="DB9" s="260">
        <f t="shared" si="1"/>
        <v>0</v>
      </c>
      <c r="DC9" s="273">
        <v>5</v>
      </c>
      <c r="DD9" s="241"/>
      <c r="DE9" s="43"/>
      <c r="DF9" s="57"/>
      <c r="DG9" s="242"/>
      <c r="DH9" s="243"/>
      <c r="DI9" s="243"/>
      <c r="DJ9" s="256"/>
      <c r="DK9" s="253"/>
      <c r="DL9" s="243"/>
      <c r="DM9" s="243"/>
      <c r="DN9" s="256"/>
      <c r="DO9" s="253"/>
      <c r="DP9" s="243"/>
      <c r="DQ9" s="243"/>
      <c r="DR9" s="256"/>
      <c r="DS9" s="253"/>
      <c r="DT9" s="243"/>
      <c r="DU9" s="256"/>
      <c r="DV9" s="253"/>
      <c r="DW9" s="243"/>
      <c r="DX9" s="243"/>
      <c r="DY9" s="244"/>
      <c r="DZ9" s="256"/>
      <c r="EA9" s="242"/>
      <c r="EB9" s="243"/>
      <c r="EC9" s="243"/>
      <c r="ED9" s="244"/>
      <c r="EE9" s="253"/>
      <c r="EF9" s="243"/>
      <c r="EG9" s="256"/>
      <c r="EH9" s="253"/>
      <c r="EI9" s="243"/>
      <c r="EJ9" s="256"/>
      <c r="EK9" s="253"/>
      <c r="EL9" s="243"/>
      <c r="EM9" s="256"/>
      <c r="EN9" s="253"/>
      <c r="EO9" s="243"/>
      <c r="EP9" s="256"/>
      <c r="EQ9" s="260">
        <f t="shared" si="2"/>
        <v>0</v>
      </c>
      <c r="ES9" s="205">
        <f>+'RETAION-BUS'!AK9+'RETAION-BUS'!BV9+'RETAION-BUS'!DG9</f>
        <v>0</v>
      </c>
      <c r="ET9" s="204">
        <f t="shared" si="3"/>
        <v>0</v>
      </c>
      <c r="EU9" s="278">
        <f t="shared" si="4"/>
        <v>0</v>
      </c>
    </row>
    <row r="10" spans="1:151">
      <c r="A10" s="245">
        <v>6</v>
      </c>
      <c r="B10" s="241"/>
      <c r="C10" s="43"/>
      <c r="D10" s="57"/>
      <c r="E10" s="242"/>
      <c r="F10" s="243"/>
      <c r="G10" s="243"/>
      <c r="H10" s="244"/>
      <c r="I10" s="244"/>
      <c r="J10" s="253"/>
      <c r="K10" s="243"/>
      <c r="L10" s="243"/>
      <c r="M10" s="244"/>
      <c r="N10" s="253"/>
      <c r="O10" s="243"/>
      <c r="P10" s="243"/>
      <c r="Q10" s="243"/>
      <c r="R10" s="256"/>
      <c r="S10" s="242"/>
      <c r="T10" s="243"/>
      <c r="U10" s="244"/>
      <c r="V10" s="244"/>
      <c r="W10" s="244"/>
      <c r="X10" s="253"/>
      <c r="Y10" s="243"/>
      <c r="Z10" s="243"/>
      <c r="AA10" s="244"/>
      <c r="AB10" s="256"/>
      <c r="AC10" s="242"/>
      <c r="AD10" s="243"/>
      <c r="AE10" s="243"/>
      <c r="AF10" s="244"/>
      <c r="AG10" s="253"/>
      <c r="AH10" s="243"/>
      <c r="AI10" s="244"/>
      <c r="AJ10" s="256"/>
      <c r="AK10" s="242"/>
      <c r="AL10" s="243"/>
      <c r="AM10" s="243"/>
      <c r="AN10" s="243"/>
      <c r="AO10" s="244"/>
      <c r="AP10" s="256"/>
      <c r="AQ10" s="242"/>
      <c r="AR10" s="243"/>
      <c r="AS10" s="243"/>
      <c r="AT10" s="243"/>
      <c r="AU10" s="244"/>
      <c r="AV10" s="256"/>
      <c r="AW10" s="253"/>
      <c r="AX10" s="243"/>
      <c r="AY10" s="243"/>
      <c r="AZ10" s="256"/>
      <c r="BA10" s="260">
        <f t="shared" si="0"/>
        <v>0</v>
      </c>
      <c r="BB10" s="245">
        <v>6</v>
      </c>
      <c r="BC10" s="241"/>
      <c r="BD10" s="43"/>
      <c r="BE10" s="57"/>
      <c r="BF10" s="242"/>
      <c r="BG10" s="243"/>
      <c r="BH10" s="243"/>
      <c r="BI10" s="244"/>
      <c r="BJ10" s="256"/>
      <c r="BK10" s="253"/>
      <c r="BL10" s="243"/>
      <c r="BM10" s="243"/>
      <c r="BN10" s="244"/>
      <c r="BO10" s="253"/>
      <c r="BP10" s="243"/>
      <c r="BQ10" s="243"/>
      <c r="BR10" s="243"/>
      <c r="BS10" s="256"/>
      <c r="BT10" s="242"/>
      <c r="BU10" s="243"/>
      <c r="BV10" s="244"/>
      <c r="BW10" s="244"/>
      <c r="BX10" s="256"/>
      <c r="BY10" s="253"/>
      <c r="BZ10" s="243"/>
      <c r="CA10" s="243"/>
      <c r="CB10" s="243"/>
      <c r="CC10" s="256"/>
      <c r="CD10" s="242"/>
      <c r="CE10" s="243"/>
      <c r="CF10" s="243"/>
      <c r="CG10" s="244"/>
      <c r="CH10" s="253"/>
      <c r="CI10" s="243"/>
      <c r="CJ10" s="244"/>
      <c r="CK10" s="256"/>
      <c r="CL10" s="253"/>
      <c r="CM10" s="243"/>
      <c r="CN10" s="244"/>
      <c r="CO10" s="244"/>
      <c r="CP10" s="244"/>
      <c r="CQ10" s="256"/>
      <c r="CR10" s="253"/>
      <c r="CS10" s="243"/>
      <c r="CT10" s="244"/>
      <c r="CU10" s="244"/>
      <c r="CV10" s="244"/>
      <c r="CW10" s="256"/>
      <c r="CX10" s="253"/>
      <c r="CY10" s="243"/>
      <c r="CZ10" s="243"/>
      <c r="DA10" s="256"/>
      <c r="DB10" s="260">
        <f t="shared" si="1"/>
        <v>0</v>
      </c>
      <c r="DC10" s="236">
        <v>6</v>
      </c>
      <c r="DD10" s="241"/>
      <c r="DE10" s="43"/>
      <c r="DF10" s="57"/>
      <c r="DG10" s="242"/>
      <c r="DH10" s="243"/>
      <c r="DI10" s="243"/>
      <c r="DJ10" s="256"/>
      <c r="DK10" s="253"/>
      <c r="DL10" s="243"/>
      <c r="DM10" s="243"/>
      <c r="DN10" s="256"/>
      <c r="DO10" s="253"/>
      <c r="DP10" s="243"/>
      <c r="DQ10" s="243"/>
      <c r="DR10" s="256"/>
      <c r="DS10" s="253"/>
      <c r="DT10" s="243"/>
      <c r="DU10" s="256"/>
      <c r="DV10" s="253"/>
      <c r="DW10" s="243"/>
      <c r="DX10" s="243"/>
      <c r="DY10" s="244"/>
      <c r="DZ10" s="256"/>
      <c r="EA10" s="242"/>
      <c r="EB10" s="243"/>
      <c r="EC10" s="243"/>
      <c r="ED10" s="244"/>
      <c r="EE10" s="253"/>
      <c r="EF10" s="243"/>
      <c r="EG10" s="256"/>
      <c r="EH10" s="253"/>
      <c r="EI10" s="243"/>
      <c r="EJ10" s="256"/>
      <c r="EK10" s="253"/>
      <c r="EL10" s="243"/>
      <c r="EM10" s="256"/>
      <c r="EN10" s="253"/>
      <c r="EO10" s="243"/>
      <c r="EP10" s="256"/>
      <c r="EQ10" s="260">
        <f t="shared" si="2"/>
        <v>0</v>
      </c>
      <c r="ES10" s="205">
        <f>+'RETAION-BUS'!AK10+'RETAION-BUS'!BV10+'RETAION-BUS'!DG10</f>
        <v>0</v>
      </c>
      <c r="ET10" s="204">
        <f t="shared" si="3"/>
        <v>0</v>
      </c>
      <c r="EU10" s="278">
        <f t="shared" si="4"/>
        <v>0</v>
      </c>
    </row>
    <row r="11" spans="1:151" s="1" customFormat="1" ht="14.25" customHeight="1">
      <c r="A11" s="236">
        <v>7</v>
      </c>
      <c r="B11" s="241"/>
      <c r="C11" s="43"/>
      <c r="D11" s="57"/>
      <c r="E11" s="242"/>
      <c r="F11" s="243"/>
      <c r="G11" s="243"/>
      <c r="H11" s="244"/>
      <c r="I11" s="244"/>
      <c r="J11" s="253"/>
      <c r="K11" s="243"/>
      <c r="L11" s="243"/>
      <c r="M11" s="244"/>
      <c r="N11" s="253"/>
      <c r="O11" s="243"/>
      <c r="P11" s="243"/>
      <c r="Q11" s="243"/>
      <c r="R11" s="256"/>
      <c r="S11" s="242"/>
      <c r="T11" s="243"/>
      <c r="U11" s="244"/>
      <c r="V11" s="244"/>
      <c r="W11" s="244"/>
      <c r="X11" s="253"/>
      <c r="Y11" s="243"/>
      <c r="Z11" s="243"/>
      <c r="AA11" s="244"/>
      <c r="AB11" s="256"/>
      <c r="AC11" s="242"/>
      <c r="AD11" s="243"/>
      <c r="AE11" s="243"/>
      <c r="AF11" s="244"/>
      <c r="AG11" s="253"/>
      <c r="AH11" s="243"/>
      <c r="AI11" s="244"/>
      <c r="AJ11" s="256"/>
      <c r="AK11" s="242"/>
      <c r="AL11" s="243"/>
      <c r="AM11" s="243"/>
      <c r="AN11" s="243"/>
      <c r="AO11" s="244"/>
      <c r="AP11" s="256"/>
      <c r="AQ11" s="242"/>
      <c r="AR11" s="243"/>
      <c r="AS11" s="243"/>
      <c r="AT11" s="243"/>
      <c r="AU11" s="244"/>
      <c r="AV11" s="256"/>
      <c r="AW11" s="253"/>
      <c r="AX11" s="243"/>
      <c r="AY11" s="243"/>
      <c r="AZ11" s="256"/>
      <c r="BA11" s="260">
        <f t="shared" si="0"/>
        <v>0</v>
      </c>
      <c r="BB11" s="236">
        <v>7</v>
      </c>
      <c r="BC11" s="241"/>
      <c r="BD11" s="43"/>
      <c r="BE11" s="57"/>
      <c r="BF11" s="242"/>
      <c r="BG11" s="243"/>
      <c r="BH11" s="243"/>
      <c r="BI11" s="244"/>
      <c r="BJ11" s="256"/>
      <c r="BK11" s="253"/>
      <c r="BL11" s="243"/>
      <c r="BM11" s="243"/>
      <c r="BN11" s="244"/>
      <c r="BO11" s="253"/>
      <c r="BP11" s="243"/>
      <c r="BQ11" s="243"/>
      <c r="BR11" s="243"/>
      <c r="BS11" s="256"/>
      <c r="BT11" s="242"/>
      <c r="BU11" s="243"/>
      <c r="BV11" s="244"/>
      <c r="BW11" s="244"/>
      <c r="BX11" s="256"/>
      <c r="BY11" s="253"/>
      <c r="BZ11" s="243"/>
      <c r="CA11" s="243"/>
      <c r="CB11" s="243"/>
      <c r="CC11" s="256"/>
      <c r="CD11" s="242"/>
      <c r="CE11" s="243"/>
      <c r="CF11" s="243"/>
      <c r="CG11" s="244"/>
      <c r="CH11" s="253"/>
      <c r="CI11" s="243"/>
      <c r="CJ11" s="244"/>
      <c r="CK11" s="256"/>
      <c r="CL11" s="253"/>
      <c r="CM11" s="243"/>
      <c r="CN11" s="244"/>
      <c r="CO11" s="244"/>
      <c r="CP11" s="244"/>
      <c r="CQ11" s="256"/>
      <c r="CR11" s="253"/>
      <c r="CS11" s="243"/>
      <c r="CT11" s="244"/>
      <c r="CU11" s="244"/>
      <c r="CV11" s="244"/>
      <c r="CW11" s="256"/>
      <c r="CX11" s="253"/>
      <c r="CY11" s="243"/>
      <c r="CZ11" s="243"/>
      <c r="DA11" s="256"/>
      <c r="DB11" s="260">
        <f t="shared" si="1"/>
        <v>0</v>
      </c>
      <c r="DC11" s="236">
        <v>7</v>
      </c>
      <c r="DD11" s="241"/>
      <c r="DE11" s="43"/>
      <c r="DF11" s="57"/>
      <c r="DG11" s="242"/>
      <c r="DH11" s="243"/>
      <c r="DI11" s="243"/>
      <c r="DJ11" s="256"/>
      <c r="DK11" s="253"/>
      <c r="DL11" s="243"/>
      <c r="DM11" s="243"/>
      <c r="DN11" s="256"/>
      <c r="DO11" s="253"/>
      <c r="DP11" s="243"/>
      <c r="DQ11" s="243"/>
      <c r="DR11" s="256"/>
      <c r="DS11" s="253"/>
      <c r="DT11" s="243"/>
      <c r="DU11" s="256"/>
      <c r="DV11" s="253"/>
      <c r="DW11" s="243"/>
      <c r="DX11" s="243"/>
      <c r="DY11" s="244"/>
      <c r="DZ11" s="256"/>
      <c r="EA11" s="242"/>
      <c r="EB11" s="243"/>
      <c r="EC11" s="243"/>
      <c r="ED11" s="244"/>
      <c r="EE11" s="253"/>
      <c r="EF11" s="243"/>
      <c r="EG11" s="256"/>
      <c r="EH11" s="253"/>
      <c r="EI11" s="243"/>
      <c r="EJ11" s="256"/>
      <c r="EK11" s="253"/>
      <c r="EL11" s="243"/>
      <c r="EM11" s="256"/>
      <c r="EN11" s="253"/>
      <c r="EO11" s="243"/>
      <c r="EP11" s="256"/>
      <c r="EQ11" s="260">
        <f t="shared" si="2"/>
        <v>0</v>
      </c>
      <c r="ES11" s="205">
        <f>+'RETAION-BUS'!AK11+'RETAION-BUS'!BV11+'RETAION-BUS'!DG11</f>
        <v>0</v>
      </c>
      <c r="ET11" s="204">
        <f t="shared" si="3"/>
        <v>0</v>
      </c>
      <c r="EU11" s="278">
        <f t="shared" si="4"/>
        <v>0</v>
      </c>
    </row>
    <row r="12" spans="1:151" s="1" customFormat="1">
      <c r="A12" s="240">
        <v>8</v>
      </c>
      <c r="B12" s="241"/>
      <c r="C12" s="43"/>
      <c r="D12" s="57"/>
      <c r="E12" s="242"/>
      <c r="F12" s="243"/>
      <c r="G12" s="243"/>
      <c r="H12" s="244"/>
      <c r="I12" s="244"/>
      <c r="J12" s="253"/>
      <c r="K12" s="243"/>
      <c r="L12" s="243"/>
      <c r="M12" s="244"/>
      <c r="N12" s="253"/>
      <c r="O12" s="243"/>
      <c r="P12" s="243"/>
      <c r="Q12" s="243"/>
      <c r="R12" s="256"/>
      <c r="S12" s="242"/>
      <c r="T12" s="243"/>
      <c r="U12" s="244"/>
      <c r="V12" s="244"/>
      <c r="W12" s="244"/>
      <c r="X12" s="253"/>
      <c r="Y12" s="243"/>
      <c r="Z12" s="243"/>
      <c r="AA12" s="244"/>
      <c r="AB12" s="256"/>
      <c r="AC12" s="242"/>
      <c r="AD12" s="243"/>
      <c r="AE12" s="243"/>
      <c r="AF12" s="244"/>
      <c r="AG12" s="253"/>
      <c r="AH12" s="243"/>
      <c r="AI12" s="244"/>
      <c r="AJ12" s="256"/>
      <c r="AK12" s="242"/>
      <c r="AL12" s="243"/>
      <c r="AM12" s="243"/>
      <c r="AN12" s="243"/>
      <c r="AO12" s="244"/>
      <c r="AP12" s="256"/>
      <c r="AQ12" s="242"/>
      <c r="AR12" s="243"/>
      <c r="AS12" s="243"/>
      <c r="AT12" s="243"/>
      <c r="AU12" s="244"/>
      <c r="AV12" s="256"/>
      <c r="AW12" s="253"/>
      <c r="AX12" s="243"/>
      <c r="AY12" s="243"/>
      <c r="AZ12" s="256"/>
      <c r="BA12" s="260">
        <f t="shared" si="0"/>
        <v>0</v>
      </c>
      <c r="BB12" s="240">
        <v>8</v>
      </c>
      <c r="BC12" s="241"/>
      <c r="BD12" s="43"/>
      <c r="BE12" s="57"/>
      <c r="BF12" s="242"/>
      <c r="BG12" s="243"/>
      <c r="BH12" s="243"/>
      <c r="BI12" s="244"/>
      <c r="BJ12" s="256"/>
      <c r="BK12" s="253"/>
      <c r="BL12" s="243"/>
      <c r="BM12" s="243"/>
      <c r="BN12" s="244"/>
      <c r="BO12" s="253"/>
      <c r="BP12" s="243"/>
      <c r="BQ12" s="243"/>
      <c r="BR12" s="243"/>
      <c r="BS12" s="256"/>
      <c r="BT12" s="242"/>
      <c r="BU12" s="243"/>
      <c r="BV12" s="244"/>
      <c r="BW12" s="244"/>
      <c r="BX12" s="256"/>
      <c r="BY12" s="253"/>
      <c r="BZ12" s="243"/>
      <c r="CA12" s="243"/>
      <c r="CB12" s="243"/>
      <c r="CC12" s="256"/>
      <c r="CD12" s="242"/>
      <c r="CE12" s="243"/>
      <c r="CF12" s="243"/>
      <c r="CG12" s="244"/>
      <c r="CH12" s="253"/>
      <c r="CI12" s="243"/>
      <c r="CJ12" s="244"/>
      <c r="CK12" s="256"/>
      <c r="CL12" s="253"/>
      <c r="CM12" s="243"/>
      <c r="CN12" s="244"/>
      <c r="CO12" s="244"/>
      <c r="CP12" s="244"/>
      <c r="CQ12" s="256"/>
      <c r="CR12" s="253"/>
      <c r="CS12" s="243"/>
      <c r="CT12" s="244"/>
      <c r="CU12" s="244"/>
      <c r="CV12" s="244"/>
      <c r="CW12" s="256"/>
      <c r="CX12" s="253"/>
      <c r="CY12" s="243"/>
      <c r="CZ12" s="243"/>
      <c r="DA12" s="256"/>
      <c r="DB12" s="260">
        <f t="shared" si="1"/>
        <v>0</v>
      </c>
      <c r="DC12" s="273">
        <v>8</v>
      </c>
      <c r="DD12" s="241"/>
      <c r="DE12" s="43"/>
      <c r="DF12" s="57"/>
      <c r="DG12" s="242"/>
      <c r="DH12" s="243"/>
      <c r="DI12" s="243"/>
      <c r="DJ12" s="256"/>
      <c r="DK12" s="253"/>
      <c r="DL12" s="243"/>
      <c r="DM12" s="243"/>
      <c r="DN12" s="256"/>
      <c r="DO12" s="253"/>
      <c r="DP12" s="243"/>
      <c r="DQ12" s="243"/>
      <c r="DR12" s="256"/>
      <c r="DS12" s="253"/>
      <c r="DT12" s="243"/>
      <c r="DU12" s="256"/>
      <c r="DV12" s="253"/>
      <c r="DW12" s="243"/>
      <c r="DX12" s="243"/>
      <c r="DY12" s="244"/>
      <c r="DZ12" s="256"/>
      <c r="EA12" s="242"/>
      <c r="EB12" s="243"/>
      <c r="EC12" s="243"/>
      <c r="ED12" s="244"/>
      <c r="EE12" s="253"/>
      <c r="EF12" s="243"/>
      <c r="EG12" s="256"/>
      <c r="EH12" s="253"/>
      <c r="EI12" s="243"/>
      <c r="EJ12" s="256"/>
      <c r="EK12" s="253"/>
      <c r="EL12" s="243"/>
      <c r="EM12" s="256"/>
      <c r="EN12" s="253"/>
      <c r="EO12" s="243"/>
      <c r="EP12" s="256"/>
      <c r="EQ12" s="260">
        <f t="shared" si="2"/>
        <v>0</v>
      </c>
      <c r="ES12" s="205">
        <f>+'RETAION-BUS'!AK12+'RETAION-BUS'!BV12+'RETAION-BUS'!DG12</f>
        <v>0</v>
      </c>
      <c r="ET12" s="204">
        <f t="shared" si="3"/>
        <v>0</v>
      </c>
      <c r="EU12" s="278">
        <f t="shared" si="4"/>
        <v>0</v>
      </c>
    </row>
    <row r="13" spans="1:151">
      <c r="A13" s="245">
        <v>9</v>
      </c>
      <c r="B13" s="241"/>
      <c r="C13" s="43"/>
      <c r="D13" s="57"/>
      <c r="E13" s="242"/>
      <c r="F13" s="243"/>
      <c r="G13" s="243"/>
      <c r="H13" s="244"/>
      <c r="I13" s="244"/>
      <c r="J13" s="253"/>
      <c r="K13" s="243"/>
      <c r="L13" s="243"/>
      <c r="M13" s="244"/>
      <c r="N13" s="253"/>
      <c r="O13" s="243"/>
      <c r="P13" s="243"/>
      <c r="Q13" s="243"/>
      <c r="R13" s="256"/>
      <c r="S13" s="242"/>
      <c r="T13" s="243"/>
      <c r="U13" s="244"/>
      <c r="V13" s="244"/>
      <c r="W13" s="244"/>
      <c r="X13" s="253"/>
      <c r="Y13" s="243"/>
      <c r="Z13" s="243"/>
      <c r="AA13" s="244"/>
      <c r="AB13" s="256"/>
      <c r="AC13" s="242"/>
      <c r="AD13" s="243"/>
      <c r="AE13" s="243"/>
      <c r="AF13" s="244"/>
      <c r="AG13" s="253"/>
      <c r="AH13" s="243"/>
      <c r="AI13" s="244"/>
      <c r="AJ13" s="256"/>
      <c r="AK13" s="242"/>
      <c r="AL13" s="243"/>
      <c r="AM13" s="243"/>
      <c r="AN13" s="243"/>
      <c r="AO13" s="244"/>
      <c r="AP13" s="256"/>
      <c r="AQ13" s="242"/>
      <c r="AR13" s="243"/>
      <c r="AS13" s="243"/>
      <c r="AT13" s="243"/>
      <c r="AU13" s="244"/>
      <c r="AV13" s="256"/>
      <c r="AW13" s="253"/>
      <c r="AX13" s="243"/>
      <c r="AY13" s="243"/>
      <c r="AZ13" s="256"/>
      <c r="BA13" s="260">
        <f t="shared" si="0"/>
        <v>0</v>
      </c>
      <c r="BB13" s="245">
        <v>9</v>
      </c>
      <c r="BC13" s="241"/>
      <c r="BD13" s="43"/>
      <c r="BE13" s="57"/>
      <c r="BF13" s="242"/>
      <c r="BG13" s="243"/>
      <c r="BH13" s="243"/>
      <c r="BI13" s="244"/>
      <c r="BJ13" s="256"/>
      <c r="BK13" s="253"/>
      <c r="BL13" s="243"/>
      <c r="BM13" s="243"/>
      <c r="BN13" s="244"/>
      <c r="BO13" s="253"/>
      <c r="BP13" s="243"/>
      <c r="BQ13" s="243"/>
      <c r="BR13" s="243"/>
      <c r="BS13" s="256"/>
      <c r="BT13" s="242"/>
      <c r="BU13" s="243"/>
      <c r="BV13" s="244"/>
      <c r="BW13" s="244"/>
      <c r="BX13" s="256"/>
      <c r="BY13" s="253"/>
      <c r="BZ13" s="243"/>
      <c r="CA13" s="243"/>
      <c r="CB13" s="243"/>
      <c r="CC13" s="256"/>
      <c r="CD13" s="242"/>
      <c r="CE13" s="243"/>
      <c r="CF13" s="243"/>
      <c r="CG13" s="244"/>
      <c r="CH13" s="253"/>
      <c r="CI13" s="243"/>
      <c r="CJ13" s="244"/>
      <c r="CK13" s="256"/>
      <c r="CL13" s="253"/>
      <c r="CM13" s="243"/>
      <c r="CN13" s="244"/>
      <c r="CO13" s="244"/>
      <c r="CP13" s="244"/>
      <c r="CQ13" s="256"/>
      <c r="CR13" s="253"/>
      <c r="CS13" s="243"/>
      <c r="CT13" s="244"/>
      <c r="CU13" s="244"/>
      <c r="CV13" s="244"/>
      <c r="CW13" s="256"/>
      <c r="CX13" s="253"/>
      <c r="CY13" s="243"/>
      <c r="CZ13" s="243"/>
      <c r="DA13" s="256"/>
      <c r="DB13" s="260">
        <f t="shared" si="1"/>
        <v>0</v>
      </c>
      <c r="DC13" s="236">
        <v>9</v>
      </c>
      <c r="DD13" s="241"/>
      <c r="DE13" s="43"/>
      <c r="DF13" s="57"/>
      <c r="DG13" s="242"/>
      <c r="DH13" s="243"/>
      <c r="DI13" s="243"/>
      <c r="DJ13" s="256"/>
      <c r="DK13" s="253"/>
      <c r="DL13" s="243"/>
      <c r="DM13" s="243"/>
      <c r="DN13" s="256"/>
      <c r="DO13" s="253"/>
      <c r="DP13" s="243"/>
      <c r="DQ13" s="243"/>
      <c r="DR13" s="256"/>
      <c r="DS13" s="253"/>
      <c r="DT13" s="243"/>
      <c r="DU13" s="256"/>
      <c r="DV13" s="253"/>
      <c r="DW13" s="243"/>
      <c r="DX13" s="243"/>
      <c r="DY13" s="244"/>
      <c r="DZ13" s="256"/>
      <c r="EA13" s="242"/>
      <c r="EB13" s="243"/>
      <c r="EC13" s="243"/>
      <c r="ED13" s="244"/>
      <c r="EE13" s="253"/>
      <c r="EF13" s="243"/>
      <c r="EG13" s="256"/>
      <c r="EH13" s="253"/>
      <c r="EI13" s="243"/>
      <c r="EJ13" s="256"/>
      <c r="EK13" s="253"/>
      <c r="EL13" s="243"/>
      <c r="EM13" s="256"/>
      <c r="EN13" s="253"/>
      <c r="EO13" s="243"/>
      <c r="EP13" s="256"/>
      <c r="EQ13" s="260">
        <f t="shared" si="2"/>
        <v>0</v>
      </c>
      <c r="ES13" s="205">
        <f>+'RETAION-BUS'!AK13+'RETAION-BUS'!BV13+'RETAION-BUS'!DG13</f>
        <v>0</v>
      </c>
      <c r="ET13" s="204">
        <f t="shared" si="3"/>
        <v>0</v>
      </c>
      <c r="EU13" s="278">
        <f t="shared" si="4"/>
        <v>0</v>
      </c>
    </row>
    <row r="14" spans="1:151">
      <c r="A14" s="236">
        <v>10</v>
      </c>
      <c r="B14" s="241"/>
      <c r="C14" s="43"/>
      <c r="D14" s="57"/>
      <c r="E14" s="242"/>
      <c r="F14" s="243"/>
      <c r="G14" s="243"/>
      <c r="H14" s="244"/>
      <c r="I14" s="244"/>
      <c r="J14" s="253"/>
      <c r="K14" s="243"/>
      <c r="L14" s="243"/>
      <c r="M14" s="244"/>
      <c r="N14" s="253"/>
      <c r="O14" s="243"/>
      <c r="P14" s="243"/>
      <c r="Q14" s="243"/>
      <c r="R14" s="256"/>
      <c r="S14" s="242"/>
      <c r="T14" s="243"/>
      <c r="U14" s="244"/>
      <c r="V14" s="244"/>
      <c r="W14" s="244"/>
      <c r="X14" s="253"/>
      <c r="Y14" s="243"/>
      <c r="Z14" s="243"/>
      <c r="AA14" s="244"/>
      <c r="AB14" s="256"/>
      <c r="AC14" s="242"/>
      <c r="AD14" s="243"/>
      <c r="AE14" s="243"/>
      <c r="AF14" s="244"/>
      <c r="AG14" s="253"/>
      <c r="AH14" s="243"/>
      <c r="AI14" s="244"/>
      <c r="AJ14" s="256"/>
      <c r="AK14" s="242"/>
      <c r="AL14" s="243"/>
      <c r="AM14" s="243"/>
      <c r="AN14" s="243"/>
      <c r="AO14" s="244"/>
      <c r="AP14" s="256"/>
      <c r="AQ14" s="242"/>
      <c r="AR14" s="243"/>
      <c r="AS14" s="243"/>
      <c r="AT14" s="243"/>
      <c r="AU14" s="244"/>
      <c r="AV14" s="256"/>
      <c r="AW14" s="253"/>
      <c r="AX14" s="243"/>
      <c r="AY14" s="243"/>
      <c r="AZ14" s="256"/>
      <c r="BA14" s="260">
        <f t="shared" si="0"/>
        <v>0</v>
      </c>
      <c r="BB14" s="236">
        <v>10</v>
      </c>
      <c r="BC14" s="241"/>
      <c r="BD14" s="43"/>
      <c r="BE14" s="57"/>
      <c r="BF14" s="242"/>
      <c r="BG14" s="243"/>
      <c r="BH14" s="243"/>
      <c r="BI14" s="244"/>
      <c r="BJ14" s="256"/>
      <c r="BK14" s="253"/>
      <c r="BL14" s="243"/>
      <c r="BM14" s="243"/>
      <c r="BN14" s="244"/>
      <c r="BO14" s="253"/>
      <c r="BP14" s="243"/>
      <c r="BQ14" s="243"/>
      <c r="BR14" s="243"/>
      <c r="BS14" s="256"/>
      <c r="BT14" s="242"/>
      <c r="BU14" s="243"/>
      <c r="BV14" s="244"/>
      <c r="BW14" s="244"/>
      <c r="BX14" s="256"/>
      <c r="BY14" s="253"/>
      <c r="BZ14" s="243"/>
      <c r="CA14" s="243"/>
      <c r="CB14" s="243"/>
      <c r="CC14" s="256"/>
      <c r="CD14" s="242"/>
      <c r="CE14" s="243"/>
      <c r="CF14" s="243"/>
      <c r="CG14" s="244"/>
      <c r="CH14" s="253"/>
      <c r="CI14" s="243"/>
      <c r="CJ14" s="244"/>
      <c r="CK14" s="256"/>
      <c r="CL14" s="253"/>
      <c r="CM14" s="243"/>
      <c r="CN14" s="244"/>
      <c r="CO14" s="244"/>
      <c r="CP14" s="244"/>
      <c r="CQ14" s="256"/>
      <c r="CR14" s="253"/>
      <c r="CS14" s="243"/>
      <c r="CT14" s="244"/>
      <c r="CU14" s="244"/>
      <c r="CV14" s="244"/>
      <c r="CW14" s="256"/>
      <c r="CX14" s="253"/>
      <c r="CY14" s="243"/>
      <c r="CZ14" s="243"/>
      <c r="DA14" s="256"/>
      <c r="DB14" s="260">
        <f t="shared" si="1"/>
        <v>0</v>
      </c>
      <c r="DC14" s="236">
        <v>10</v>
      </c>
      <c r="DD14" s="241"/>
      <c r="DE14" s="43"/>
      <c r="DF14" s="57"/>
      <c r="DG14" s="242"/>
      <c r="DH14" s="243"/>
      <c r="DI14" s="243"/>
      <c r="DJ14" s="256"/>
      <c r="DK14" s="253"/>
      <c r="DL14" s="243"/>
      <c r="DM14" s="243"/>
      <c r="DN14" s="256"/>
      <c r="DO14" s="253"/>
      <c r="DP14" s="243"/>
      <c r="DQ14" s="243"/>
      <c r="DR14" s="256"/>
      <c r="DS14" s="253"/>
      <c r="DT14" s="243"/>
      <c r="DU14" s="256"/>
      <c r="DV14" s="253"/>
      <c r="DW14" s="243"/>
      <c r="DX14" s="243"/>
      <c r="DY14" s="244"/>
      <c r="DZ14" s="256"/>
      <c r="EA14" s="242"/>
      <c r="EB14" s="243"/>
      <c r="EC14" s="243"/>
      <c r="ED14" s="244"/>
      <c r="EE14" s="253"/>
      <c r="EF14" s="243"/>
      <c r="EG14" s="256"/>
      <c r="EH14" s="253"/>
      <c r="EI14" s="243"/>
      <c r="EJ14" s="256"/>
      <c r="EK14" s="253"/>
      <c r="EL14" s="243"/>
      <c r="EM14" s="256"/>
      <c r="EN14" s="253"/>
      <c r="EO14" s="243"/>
      <c r="EP14" s="256"/>
      <c r="EQ14" s="260">
        <f t="shared" si="2"/>
        <v>0</v>
      </c>
      <c r="ES14" s="205">
        <f>+'RETAION-BUS'!AK14+'RETAION-BUS'!BV14+'RETAION-BUS'!DG14</f>
        <v>0</v>
      </c>
      <c r="ET14" s="204">
        <f t="shared" si="3"/>
        <v>0</v>
      </c>
      <c r="EU14" s="278">
        <f t="shared" si="4"/>
        <v>0</v>
      </c>
    </row>
    <row r="15" spans="1:151">
      <c r="A15" s="240">
        <v>11</v>
      </c>
      <c r="B15" s="241"/>
      <c r="C15" s="43"/>
      <c r="D15" s="57"/>
      <c r="E15" s="242"/>
      <c r="F15" s="243"/>
      <c r="G15" s="243"/>
      <c r="H15" s="244"/>
      <c r="I15" s="244"/>
      <c r="J15" s="253"/>
      <c r="K15" s="243"/>
      <c r="L15" s="243"/>
      <c r="M15" s="244"/>
      <c r="N15" s="253"/>
      <c r="O15" s="243"/>
      <c r="P15" s="243"/>
      <c r="Q15" s="243"/>
      <c r="R15" s="256"/>
      <c r="S15" s="242"/>
      <c r="T15" s="243"/>
      <c r="U15" s="244"/>
      <c r="V15" s="244"/>
      <c r="W15" s="244"/>
      <c r="X15" s="253"/>
      <c r="Y15" s="243"/>
      <c r="Z15" s="243"/>
      <c r="AA15" s="244"/>
      <c r="AB15" s="256"/>
      <c r="AC15" s="242"/>
      <c r="AD15" s="243"/>
      <c r="AE15" s="243"/>
      <c r="AF15" s="244"/>
      <c r="AG15" s="253"/>
      <c r="AH15" s="243"/>
      <c r="AI15" s="244"/>
      <c r="AJ15" s="256"/>
      <c r="AK15" s="242"/>
      <c r="AL15" s="243"/>
      <c r="AM15" s="243"/>
      <c r="AN15" s="243"/>
      <c r="AO15" s="244"/>
      <c r="AP15" s="256"/>
      <c r="AQ15" s="242"/>
      <c r="AR15" s="243"/>
      <c r="AS15" s="243"/>
      <c r="AT15" s="243"/>
      <c r="AU15" s="244"/>
      <c r="AV15" s="256"/>
      <c r="AW15" s="253"/>
      <c r="AX15" s="243"/>
      <c r="AY15" s="243"/>
      <c r="AZ15" s="256"/>
      <c r="BA15" s="260">
        <f t="shared" si="0"/>
        <v>0</v>
      </c>
      <c r="BB15" s="240">
        <v>11</v>
      </c>
      <c r="BC15" s="241"/>
      <c r="BD15" s="43"/>
      <c r="BE15" s="57"/>
      <c r="BF15" s="242"/>
      <c r="BG15" s="243"/>
      <c r="BH15" s="243"/>
      <c r="BI15" s="244"/>
      <c r="BJ15" s="256"/>
      <c r="BK15" s="253"/>
      <c r="BL15" s="243"/>
      <c r="BM15" s="243"/>
      <c r="BN15" s="244"/>
      <c r="BO15" s="253"/>
      <c r="BP15" s="243"/>
      <c r="BQ15" s="243"/>
      <c r="BR15" s="243"/>
      <c r="BS15" s="256"/>
      <c r="BT15" s="242"/>
      <c r="BU15" s="243"/>
      <c r="BV15" s="244"/>
      <c r="BW15" s="244"/>
      <c r="BX15" s="256"/>
      <c r="BY15" s="253"/>
      <c r="BZ15" s="243"/>
      <c r="CA15" s="243"/>
      <c r="CB15" s="243"/>
      <c r="CC15" s="256"/>
      <c r="CD15" s="242"/>
      <c r="CE15" s="243"/>
      <c r="CF15" s="243"/>
      <c r="CG15" s="244"/>
      <c r="CH15" s="253"/>
      <c r="CI15" s="243"/>
      <c r="CJ15" s="244"/>
      <c r="CK15" s="256"/>
      <c r="CL15" s="253"/>
      <c r="CM15" s="243"/>
      <c r="CN15" s="244"/>
      <c r="CO15" s="244"/>
      <c r="CP15" s="244"/>
      <c r="CQ15" s="256"/>
      <c r="CR15" s="253"/>
      <c r="CS15" s="243"/>
      <c r="CT15" s="244"/>
      <c r="CU15" s="244"/>
      <c r="CV15" s="244"/>
      <c r="CW15" s="256"/>
      <c r="CX15" s="253"/>
      <c r="CY15" s="243"/>
      <c r="CZ15" s="243"/>
      <c r="DA15" s="256"/>
      <c r="DB15" s="260">
        <f t="shared" si="1"/>
        <v>0</v>
      </c>
      <c r="DC15" s="273">
        <v>11</v>
      </c>
      <c r="DD15" s="241"/>
      <c r="DE15" s="43"/>
      <c r="DF15" s="57"/>
      <c r="DG15" s="242"/>
      <c r="DH15" s="243"/>
      <c r="DI15" s="243"/>
      <c r="DJ15" s="256"/>
      <c r="DK15" s="253"/>
      <c r="DL15" s="243"/>
      <c r="DM15" s="243"/>
      <c r="DN15" s="256"/>
      <c r="DO15" s="253"/>
      <c r="DP15" s="243"/>
      <c r="DQ15" s="243"/>
      <c r="DR15" s="256"/>
      <c r="DS15" s="253"/>
      <c r="DT15" s="243"/>
      <c r="DU15" s="256"/>
      <c r="DV15" s="253"/>
      <c r="DW15" s="243"/>
      <c r="DX15" s="243"/>
      <c r="DY15" s="244"/>
      <c r="DZ15" s="256"/>
      <c r="EA15" s="242"/>
      <c r="EB15" s="243"/>
      <c r="EC15" s="243"/>
      <c r="ED15" s="244"/>
      <c r="EE15" s="253"/>
      <c r="EF15" s="243"/>
      <c r="EG15" s="256"/>
      <c r="EH15" s="253"/>
      <c r="EI15" s="243"/>
      <c r="EJ15" s="256"/>
      <c r="EK15" s="253"/>
      <c r="EL15" s="243"/>
      <c r="EM15" s="256"/>
      <c r="EN15" s="253"/>
      <c r="EO15" s="243"/>
      <c r="EP15" s="256"/>
      <c r="EQ15" s="260">
        <f t="shared" si="2"/>
        <v>0</v>
      </c>
      <c r="ES15" s="205">
        <f>+'RETAION-BUS'!AK15+'RETAION-BUS'!BV15+'RETAION-BUS'!DG15</f>
        <v>0</v>
      </c>
      <c r="ET15" s="204">
        <f t="shared" si="3"/>
        <v>0</v>
      </c>
      <c r="EU15" s="278">
        <f t="shared" si="4"/>
        <v>0</v>
      </c>
    </row>
    <row r="16" spans="1:151">
      <c r="A16" s="245">
        <v>12</v>
      </c>
      <c r="B16" s="241"/>
      <c r="C16" s="43"/>
      <c r="D16" s="57"/>
      <c r="E16" s="242"/>
      <c r="F16" s="243"/>
      <c r="G16" s="243"/>
      <c r="H16" s="244"/>
      <c r="I16" s="244"/>
      <c r="J16" s="253"/>
      <c r="K16" s="243"/>
      <c r="L16" s="243"/>
      <c r="M16" s="244"/>
      <c r="N16" s="253"/>
      <c r="O16" s="243"/>
      <c r="P16" s="243"/>
      <c r="Q16" s="243"/>
      <c r="R16" s="256"/>
      <c r="S16" s="242"/>
      <c r="T16" s="243"/>
      <c r="U16" s="244"/>
      <c r="V16" s="244"/>
      <c r="W16" s="244"/>
      <c r="X16" s="253"/>
      <c r="Y16" s="243"/>
      <c r="Z16" s="243"/>
      <c r="AA16" s="244"/>
      <c r="AB16" s="256"/>
      <c r="AC16" s="242"/>
      <c r="AD16" s="243"/>
      <c r="AE16" s="243"/>
      <c r="AF16" s="244"/>
      <c r="AG16" s="253"/>
      <c r="AH16" s="243"/>
      <c r="AI16" s="244"/>
      <c r="AJ16" s="256"/>
      <c r="AK16" s="242"/>
      <c r="AL16" s="243"/>
      <c r="AM16" s="243"/>
      <c r="AN16" s="243"/>
      <c r="AO16" s="244"/>
      <c r="AP16" s="256"/>
      <c r="AQ16" s="242"/>
      <c r="AR16" s="243"/>
      <c r="AS16" s="243"/>
      <c r="AT16" s="243"/>
      <c r="AU16" s="244"/>
      <c r="AV16" s="256"/>
      <c r="AW16" s="253"/>
      <c r="AX16" s="243"/>
      <c r="AY16" s="243"/>
      <c r="AZ16" s="256"/>
      <c r="BA16" s="260">
        <f t="shared" si="0"/>
        <v>0</v>
      </c>
      <c r="BB16" s="245">
        <v>12</v>
      </c>
      <c r="BC16" s="241"/>
      <c r="BD16" s="43"/>
      <c r="BE16" s="57"/>
      <c r="BF16" s="242"/>
      <c r="BG16" s="243"/>
      <c r="BH16" s="243"/>
      <c r="BI16" s="244"/>
      <c r="BJ16" s="256"/>
      <c r="BK16" s="253"/>
      <c r="BL16" s="243"/>
      <c r="BM16" s="243"/>
      <c r="BN16" s="244"/>
      <c r="BO16" s="253"/>
      <c r="BP16" s="243"/>
      <c r="BQ16" s="243"/>
      <c r="BR16" s="243"/>
      <c r="BS16" s="256"/>
      <c r="BT16" s="242"/>
      <c r="BU16" s="243"/>
      <c r="BV16" s="244"/>
      <c r="BW16" s="244"/>
      <c r="BX16" s="256"/>
      <c r="BY16" s="253"/>
      <c r="BZ16" s="243"/>
      <c r="CA16" s="243"/>
      <c r="CB16" s="243"/>
      <c r="CC16" s="256"/>
      <c r="CD16" s="242"/>
      <c r="CE16" s="243"/>
      <c r="CF16" s="243"/>
      <c r="CG16" s="244"/>
      <c r="CH16" s="253"/>
      <c r="CI16" s="243"/>
      <c r="CJ16" s="244"/>
      <c r="CK16" s="256"/>
      <c r="CL16" s="253"/>
      <c r="CM16" s="243"/>
      <c r="CN16" s="244"/>
      <c r="CO16" s="244"/>
      <c r="CP16" s="244"/>
      <c r="CQ16" s="256"/>
      <c r="CR16" s="253"/>
      <c r="CS16" s="243"/>
      <c r="CT16" s="244"/>
      <c r="CU16" s="244"/>
      <c r="CV16" s="244"/>
      <c r="CW16" s="256"/>
      <c r="CX16" s="253"/>
      <c r="CY16" s="243"/>
      <c r="CZ16" s="243"/>
      <c r="DA16" s="256"/>
      <c r="DB16" s="260">
        <f t="shared" si="1"/>
        <v>0</v>
      </c>
      <c r="DC16" s="236">
        <v>12</v>
      </c>
      <c r="DD16" s="241"/>
      <c r="DE16" s="43"/>
      <c r="DF16" s="57"/>
      <c r="DG16" s="242"/>
      <c r="DH16" s="243"/>
      <c r="DI16" s="243"/>
      <c r="DJ16" s="256"/>
      <c r="DK16" s="253"/>
      <c r="DL16" s="243"/>
      <c r="DM16" s="243"/>
      <c r="DN16" s="256"/>
      <c r="DO16" s="253"/>
      <c r="DP16" s="243"/>
      <c r="DQ16" s="243"/>
      <c r="DR16" s="256"/>
      <c r="DS16" s="253"/>
      <c r="DT16" s="243"/>
      <c r="DU16" s="256"/>
      <c r="DV16" s="253"/>
      <c r="DW16" s="243"/>
      <c r="DX16" s="243"/>
      <c r="DY16" s="244"/>
      <c r="DZ16" s="256"/>
      <c r="EA16" s="242"/>
      <c r="EB16" s="243"/>
      <c r="EC16" s="243"/>
      <c r="ED16" s="244"/>
      <c r="EE16" s="253"/>
      <c r="EF16" s="243"/>
      <c r="EG16" s="256"/>
      <c r="EH16" s="253"/>
      <c r="EI16" s="243"/>
      <c r="EJ16" s="256"/>
      <c r="EK16" s="253"/>
      <c r="EL16" s="243"/>
      <c r="EM16" s="256"/>
      <c r="EN16" s="253"/>
      <c r="EO16" s="243"/>
      <c r="EP16" s="256"/>
      <c r="EQ16" s="260">
        <f t="shared" si="2"/>
        <v>0</v>
      </c>
      <c r="ES16" s="205">
        <f>+'RETAION-BUS'!AK16+'RETAION-BUS'!BV16+'RETAION-BUS'!DG16</f>
        <v>0</v>
      </c>
      <c r="ET16" s="204">
        <f t="shared" si="3"/>
        <v>0</v>
      </c>
      <c r="EU16" s="278">
        <f t="shared" si="4"/>
        <v>0</v>
      </c>
    </row>
    <row r="17" spans="1:151">
      <c r="A17" s="236">
        <v>13</v>
      </c>
      <c r="B17" s="241"/>
      <c r="C17" s="43"/>
      <c r="D17" s="57"/>
      <c r="E17" s="242"/>
      <c r="F17" s="243"/>
      <c r="G17" s="243"/>
      <c r="H17" s="244"/>
      <c r="I17" s="244"/>
      <c r="J17" s="253"/>
      <c r="K17" s="243"/>
      <c r="L17" s="243"/>
      <c r="M17" s="244"/>
      <c r="N17" s="253"/>
      <c r="O17" s="243"/>
      <c r="P17" s="243"/>
      <c r="Q17" s="243"/>
      <c r="R17" s="256"/>
      <c r="S17" s="242"/>
      <c r="T17" s="243"/>
      <c r="U17" s="244"/>
      <c r="V17" s="244"/>
      <c r="W17" s="244"/>
      <c r="X17" s="253"/>
      <c r="Y17" s="243"/>
      <c r="Z17" s="243"/>
      <c r="AA17" s="244"/>
      <c r="AB17" s="256"/>
      <c r="AC17" s="242"/>
      <c r="AD17" s="243"/>
      <c r="AE17" s="243"/>
      <c r="AF17" s="244"/>
      <c r="AG17" s="253"/>
      <c r="AH17" s="243"/>
      <c r="AI17" s="244"/>
      <c r="AJ17" s="256"/>
      <c r="AK17" s="242"/>
      <c r="AL17" s="243"/>
      <c r="AM17" s="243"/>
      <c r="AN17" s="243"/>
      <c r="AO17" s="244"/>
      <c r="AP17" s="256"/>
      <c r="AQ17" s="242"/>
      <c r="AR17" s="243"/>
      <c r="AS17" s="243"/>
      <c r="AT17" s="243"/>
      <c r="AU17" s="244"/>
      <c r="AV17" s="256"/>
      <c r="AW17" s="253"/>
      <c r="AX17" s="243"/>
      <c r="AY17" s="243"/>
      <c r="AZ17" s="256"/>
      <c r="BA17" s="260">
        <f t="shared" si="0"/>
        <v>0</v>
      </c>
      <c r="BB17" s="236">
        <v>13</v>
      </c>
      <c r="BC17" s="241"/>
      <c r="BD17" s="43"/>
      <c r="BE17" s="57"/>
      <c r="BF17" s="242"/>
      <c r="BG17" s="243"/>
      <c r="BH17" s="243"/>
      <c r="BI17" s="244"/>
      <c r="BJ17" s="256"/>
      <c r="BK17" s="253"/>
      <c r="BL17" s="243"/>
      <c r="BM17" s="243"/>
      <c r="BN17" s="244"/>
      <c r="BO17" s="253"/>
      <c r="BP17" s="243"/>
      <c r="BQ17" s="243"/>
      <c r="BR17" s="243"/>
      <c r="BS17" s="256"/>
      <c r="BT17" s="242"/>
      <c r="BU17" s="243"/>
      <c r="BV17" s="244"/>
      <c r="BW17" s="244"/>
      <c r="BX17" s="256"/>
      <c r="BY17" s="253"/>
      <c r="BZ17" s="243"/>
      <c r="CA17" s="243"/>
      <c r="CB17" s="243"/>
      <c r="CC17" s="256"/>
      <c r="CD17" s="242"/>
      <c r="CE17" s="243"/>
      <c r="CF17" s="243"/>
      <c r="CG17" s="244"/>
      <c r="CH17" s="253"/>
      <c r="CI17" s="243"/>
      <c r="CJ17" s="244"/>
      <c r="CK17" s="256"/>
      <c r="CL17" s="253"/>
      <c r="CM17" s="243"/>
      <c r="CN17" s="244"/>
      <c r="CO17" s="244"/>
      <c r="CP17" s="244"/>
      <c r="CQ17" s="256"/>
      <c r="CR17" s="253"/>
      <c r="CS17" s="243"/>
      <c r="CT17" s="244"/>
      <c r="CU17" s="244"/>
      <c r="CV17" s="244"/>
      <c r="CW17" s="256"/>
      <c r="CX17" s="253"/>
      <c r="CY17" s="243"/>
      <c r="CZ17" s="243"/>
      <c r="DA17" s="256"/>
      <c r="DB17" s="260">
        <f t="shared" si="1"/>
        <v>0</v>
      </c>
      <c r="DC17" s="236">
        <v>13</v>
      </c>
      <c r="DD17" s="241"/>
      <c r="DE17" s="43"/>
      <c r="DF17" s="57"/>
      <c r="DG17" s="242"/>
      <c r="DH17" s="243"/>
      <c r="DI17" s="243"/>
      <c r="DJ17" s="256"/>
      <c r="DK17" s="253"/>
      <c r="DL17" s="243"/>
      <c r="DM17" s="243"/>
      <c r="DN17" s="256"/>
      <c r="DO17" s="253"/>
      <c r="DP17" s="243"/>
      <c r="DQ17" s="243"/>
      <c r="DR17" s="256"/>
      <c r="DS17" s="253"/>
      <c r="DT17" s="243"/>
      <c r="DU17" s="256"/>
      <c r="DV17" s="253"/>
      <c r="DW17" s="243"/>
      <c r="DX17" s="243"/>
      <c r="DY17" s="244"/>
      <c r="DZ17" s="256"/>
      <c r="EA17" s="242"/>
      <c r="EB17" s="243"/>
      <c r="EC17" s="243"/>
      <c r="ED17" s="244"/>
      <c r="EE17" s="253"/>
      <c r="EF17" s="243"/>
      <c r="EG17" s="256"/>
      <c r="EH17" s="253"/>
      <c r="EI17" s="243"/>
      <c r="EJ17" s="256"/>
      <c r="EK17" s="253"/>
      <c r="EL17" s="243"/>
      <c r="EM17" s="256"/>
      <c r="EN17" s="253"/>
      <c r="EO17" s="243"/>
      <c r="EP17" s="256"/>
      <c r="EQ17" s="260">
        <f t="shared" si="2"/>
        <v>0</v>
      </c>
      <c r="ES17" s="205">
        <f>+'RETAION-BUS'!AK17+'RETAION-BUS'!BV17+'RETAION-BUS'!DG17</f>
        <v>0</v>
      </c>
      <c r="ET17" s="204">
        <f t="shared" si="3"/>
        <v>0</v>
      </c>
      <c r="EU17" s="278">
        <f t="shared" si="4"/>
        <v>0</v>
      </c>
    </row>
    <row r="18" spans="1:151" s="1" customFormat="1">
      <c r="A18" s="245">
        <v>14</v>
      </c>
      <c r="B18" s="241"/>
      <c r="C18" s="43"/>
      <c r="D18" s="57"/>
      <c r="E18" s="242"/>
      <c r="F18" s="243"/>
      <c r="G18" s="243"/>
      <c r="H18" s="244"/>
      <c r="I18" s="244"/>
      <c r="J18" s="253"/>
      <c r="K18" s="243"/>
      <c r="L18" s="243"/>
      <c r="M18" s="244"/>
      <c r="N18" s="253"/>
      <c r="O18" s="243"/>
      <c r="P18" s="243"/>
      <c r="Q18" s="243"/>
      <c r="R18" s="256"/>
      <c r="S18" s="242"/>
      <c r="T18" s="243"/>
      <c r="U18" s="244"/>
      <c r="V18" s="244"/>
      <c r="W18" s="244"/>
      <c r="X18" s="253"/>
      <c r="Y18" s="243"/>
      <c r="Z18" s="243"/>
      <c r="AA18" s="244"/>
      <c r="AB18" s="256"/>
      <c r="AC18" s="242"/>
      <c r="AD18" s="243"/>
      <c r="AE18" s="243"/>
      <c r="AF18" s="244"/>
      <c r="AG18" s="253"/>
      <c r="AH18" s="243"/>
      <c r="AI18" s="244"/>
      <c r="AJ18" s="256"/>
      <c r="AK18" s="242"/>
      <c r="AL18" s="243"/>
      <c r="AM18" s="243"/>
      <c r="AN18" s="243"/>
      <c r="AO18" s="244"/>
      <c r="AP18" s="256"/>
      <c r="AQ18" s="242"/>
      <c r="AR18" s="243"/>
      <c r="AS18" s="243"/>
      <c r="AT18" s="243"/>
      <c r="AU18" s="244"/>
      <c r="AV18" s="256"/>
      <c r="AW18" s="253"/>
      <c r="AX18" s="243"/>
      <c r="AY18" s="243"/>
      <c r="AZ18" s="256"/>
      <c r="BA18" s="260">
        <f t="shared" si="0"/>
        <v>0</v>
      </c>
      <c r="BB18" s="245">
        <v>14</v>
      </c>
      <c r="BC18" s="241"/>
      <c r="BD18" s="43"/>
      <c r="BE18" s="57"/>
      <c r="BF18" s="242"/>
      <c r="BG18" s="243"/>
      <c r="BH18" s="243"/>
      <c r="BI18" s="244"/>
      <c r="BJ18" s="256"/>
      <c r="BK18" s="253"/>
      <c r="BL18" s="243"/>
      <c r="BM18" s="243"/>
      <c r="BN18" s="244"/>
      <c r="BO18" s="253"/>
      <c r="BP18" s="243"/>
      <c r="BQ18" s="243"/>
      <c r="BR18" s="243"/>
      <c r="BS18" s="256"/>
      <c r="BT18" s="242"/>
      <c r="BU18" s="243"/>
      <c r="BV18" s="244"/>
      <c r="BW18" s="244"/>
      <c r="BX18" s="256"/>
      <c r="BY18" s="253"/>
      <c r="BZ18" s="243"/>
      <c r="CA18" s="243"/>
      <c r="CB18" s="243"/>
      <c r="CC18" s="256"/>
      <c r="CD18" s="242"/>
      <c r="CE18" s="243"/>
      <c r="CF18" s="243"/>
      <c r="CG18" s="244"/>
      <c r="CH18" s="253"/>
      <c r="CI18" s="243"/>
      <c r="CJ18" s="244"/>
      <c r="CK18" s="256"/>
      <c r="CL18" s="253"/>
      <c r="CM18" s="243"/>
      <c r="CN18" s="244"/>
      <c r="CO18" s="244"/>
      <c r="CP18" s="244"/>
      <c r="CQ18" s="256"/>
      <c r="CR18" s="253"/>
      <c r="CS18" s="243"/>
      <c r="CT18" s="244"/>
      <c r="CU18" s="244"/>
      <c r="CV18" s="244"/>
      <c r="CW18" s="256"/>
      <c r="CX18" s="253"/>
      <c r="CY18" s="243"/>
      <c r="CZ18" s="243"/>
      <c r="DA18" s="256"/>
      <c r="DB18" s="260">
        <f t="shared" si="1"/>
        <v>0</v>
      </c>
      <c r="DC18" s="236">
        <v>14</v>
      </c>
      <c r="DD18" s="241"/>
      <c r="DE18" s="43"/>
      <c r="DF18" s="57"/>
      <c r="DG18" s="242"/>
      <c r="DH18" s="243"/>
      <c r="DI18" s="243"/>
      <c r="DJ18" s="256"/>
      <c r="DK18" s="253"/>
      <c r="DL18" s="243"/>
      <c r="DM18" s="243"/>
      <c r="DN18" s="256"/>
      <c r="DO18" s="253"/>
      <c r="DP18" s="243"/>
      <c r="DQ18" s="243"/>
      <c r="DR18" s="256"/>
      <c r="DS18" s="253"/>
      <c r="DT18" s="243"/>
      <c r="DU18" s="256"/>
      <c r="DV18" s="253"/>
      <c r="DW18" s="243"/>
      <c r="DX18" s="243"/>
      <c r="DY18" s="244"/>
      <c r="DZ18" s="256"/>
      <c r="EA18" s="242"/>
      <c r="EB18" s="243"/>
      <c r="EC18" s="243"/>
      <c r="ED18" s="244"/>
      <c r="EE18" s="253"/>
      <c r="EF18" s="243"/>
      <c r="EG18" s="256"/>
      <c r="EH18" s="253"/>
      <c r="EI18" s="243"/>
      <c r="EJ18" s="256"/>
      <c r="EK18" s="253"/>
      <c r="EL18" s="243"/>
      <c r="EM18" s="256"/>
      <c r="EN18" s="253"/>
      <c r="EO18" s="243"/>
      <c r="EP18" s="256"/>
      <c r="EQ18" s="260">
        <f t="shared" si="2"/>
        <v>0</v>
      </c>
      <c r="ES18" s="205">
        <f>+'RETAION-BUS'!AK18+'RETAION-BUS'!BV18+'RETAION-BUS'!DG18</f>
        <v>0</v>
      </c>
      <c r="ET18" s="204">
        <f t="shared" si="3"/>
        <v>0</v>
      </c>
      <c r="EU18" s="278">
        <f t="shared" si="4"/>
        <v>0</v>
      </c>
    </row>
    <row r="19" spans="1:151">
      <c r="A19" s="245">
        <v>15</v>
      </c>
      <c r="B19" s="241"/>
      <c r="C19" s="43"/>
      <c r="D19" s="57"/>
      <c r="E19" s="242"/>
      <c r="F19" s="243"/>
      <c r="G19" s="243"/>
      <c r="H19" s="244"/>
      <c r="I19" s="244"/>
      <c r="J19" s="253"/>
      <c r="K19" s="243"/>
      <c r="L19" s="243"/>
      <c r="M19" s="244"/>
      <c r="N19" s="253"/>
      <c r="O19" s="243"/>
      <c r="P19" s="243"/>
      <c r="Q19" s="243"/>
      <c r="R19" s="256"/>
      <c r="S19" s="242"/>
      <c r="T19" s="243"/>
      <c r="U19" s="244"/>
      <c r="V19" s="244"/>
      <c r="W19" s="244"/>
      <c r="X19" s="253"/>
      <c r="Y19" s="243"/>
      <c r="Z19" s="243"/>
      <c r="AA19" s="244"/>
      <c r="AB19" s="256"/>
      <c r="AC19" s="242"/>
      <c r="AD19" s="243"/>
      <c r="AE19" s="243"/>
      <c r="AF19" s="244"/>
      <c r="AG19" s="253"/>
      <c r="AH19" s="243"/>
      <c r="AI19" s="244"/>
      <c r="AJ19" s="256"/>
      <c r="AK19" s="242"/>
      <c r="AL19" s="243"/>
      <c r="AM19" s="243"/>
      <c r="AN19" s="243"/>
      <c r="AO19" s="244"/>
      <c r="AP19" s="256"/>
      <c r="AQ19" s="242"/>
      <c r="AR19" s="243"/>
      <c r="AS19" s="243"/>
      <c r="AT19" s="243"/>
      <c r="AU19" s="244"/>
      <c r="AV19" s="256"/>
      <c r="AW19" s="253"/>
      <c r="AX19" s="243"/>
      <c r="AY19" s="243"/>
      <c r="AZ19" s="256"/>
      <c r="BA19" s="260">
        <f t="shared" si="0"/>
        <v>0</v>
      </c>
      <c r="BB19" s="245">
        <v>15</v>
      </c>
      <c r="BC19" s="241"/>
      <c r="BD19" s="43"/>
      <c r="BE19" s="57"/>
      <c r="BF19" s="242"/>
      <c r="BG19" s="243"/>
      <c r="BH19" s="243"/>
      <c r="BI19" s="244"/>
      <c r="BJ19" s="256"/>
      <c r="BK19" s="253"/>
      <c r="BL19" s="243"/>
      <c r="BM19" s="243"/>
      <c r="BN19" s="244"/>
      <c r="BO19" s="253"/>
      <c r="BP19" s="243"/>
      <c r="BQ19" s="243"/>
      <c r="BR19" s="243"/>
      <c r="BS19" s="256"/>
      <c r="BT19" s="242"/>
      <c r="BU19" s="243"/>
      <c r="BV19" s="244"/>
      <c r="BW19" s="244"/>
      <c r="BX19" s="256"/>
      <c r="BY19" s="253"/>
      <c r="BZ19" s="243"/>
      <c r="CA19" s="243"/>
      <c r="CB19" s="243"/>
      <c r="CC19" s="256"/>
      <c r="CD19" s="242"/>
      <c r="CE19" s="243"/>
      <c r="CF19" s="243"/>
      <c r="CG19" s="244"/>
      <c r="CH19" s="253"/>
      <c r="CI19" s="243"/>
      <c r="CJ19" s="244"/>
      <c r="CK19" s="256"/>
      <c r="CL19" s="253"/>
      <c r="CM19" s="243"/>
      <c r="CN19" s="244"/>
      <c r="CO19" s="244"/>
      <c r="CP19" s="244"/>
      <c r="CQ19" s="256"/>
      <c r="CR19" s="253"/>
      <c r="CS19" s="243"/>
      <c r="CT19" s="244"/>
      <c r="CU19" s="244"/>
      <c r="CV19" s="244"/>
      <c r="CW19" s="256"/>
      <c r="CX19" s="253"/>
      <c r="CY19" s="243"/>
      <c r="CZ19" s="243"/>
      <c r="DA19" s="256"/>
      <c r="DB19" s="260">
        <f t="shared" si="1"/>
        <v>0</v>
      </c>
      <c r="DC19" s="236">
        <v>15</v>
      </c>
      <c r="DD19" s="241"/>
      <c r="DE19" s="43"/>
      <c r="DF19" s="57"/>
      <c r="DG19" s="242"/>
      <c r="DH19" s="243"/>
      <c r="DI19" s="243"/>
      <c r="DJ19" s="256"/>
      <c r="DK19" s="253"/>
      <c r="DL19" s="243"/>
      <c r="DM19" s="243"/>
      <c r="DN19" s="256"/>
      <c r="DO19" s="253"/>
      <c r="DP19" s="243"/>
      <c r="DQ19" s="243"/>
      <c r="DR19" s="256"/>
      <c r="DS19" s="253"/>
      <c r="DT19" s="243"/>
      <c r="DU19" s="256"/>
      <c r="DV19" s="253"/>
      <c r="DW19" s="243"/>
      <c r="DX19" s="243"/>
      <c r="DY19" s="244"/>
      <c r="DZ19" s="256"/>
      <c r="EA19" s="242"/>
      <c r="EB19" s="243"/>
      <c r="EC19" s="243"/>
      <c r="ED19" s="244"/>
      <c r="EE19" s="253"/>
      <c r="EF19" s="243"/>
      <c r="EG19" s="256"/>
      <c r="EH19" s="253"/>
      <c r="EI19" s="243"/>
      <c r="EJ19" s="256"/>
      <c r="EK19" s="253"/>
      <c r="EL19" s="243"/>
      <c r="EM19" s="256"/>
      <c r="EN19" s="253"/>
      <c r="EO19" s="243"/>
      <c r="EP19" s="256"/>
      <c r="EQ19" s="260">
        <f t="shared" si="2"/>
        <v>0</v>
      </c>
      <c r="ES19" s="205">
        <f>+'RETAION-BUS'!AK19+'RETAION-BUS'!BV19+'RETAION-BUS'!DG19</f>
        <v>0</v>
      </c>
      <c r="ET19" s="204">
        <f t="shared" si="3"/>
        <v>0</v>
      </c>
      <c r="EU19" s="278">
        <f t="shared" si="4"/>
        <v>0</v>
      </c>
    </row>
    <row r="20" spans="1:151">
      <c r="A20" s="236">
        <v>16</v>
      </c>
      <c r="B20" s="241"/>
      <c r="C20" s="43"/>
      <c r="D20" s="57"/>
      <c r="E20" s="242"/>
      <c r="F20" s="243"/>
      <c r="G20" s="243"/>
      <c r="H20" s="244"/>
      <c r="I20" s="244"/>
      <c r="J20" s="253"/>
      <c r="K20" s="243"/>
      <c r="L20" s="243"/>
      <c r="M20" s="244"/>
      <c r="N20" s="253"/>
      <c r="O20" s="243"/>
      <c r="P20" s="243"/>
      <c r="Q20" s="243"/>
      <c r="R20" s="256"/>
      <c r="S20" s="242"/>
      <c r="T20" s="243"/>
      <c r="U20" s="244"/>
      <c r="V20" s="244"/>
      <c r="W20" s="244"/>
      <c r="X20" s="253"/>
      <c r="Y20" s="243"/>
      <c r="Z20" s="243"/>
      <c r="AA20" s="244"/>
      <c r="AB20" s="256"/>
      <c r="AC20" s="242"/>
      <c r="AD20" s="243"/>
      <c r="AE20" s="243"/>
      <c r="AF20" s="244"/>
      <c r="AG20" s="253"/>
      <c r="AH20" s="243"/>
      <c r="AI20" s="244"/>
      <c r="AJ20" s="256"/>
      <c r="AK20" s="242"/>
      <c r="AL20" s="243"/>
      <c r="AM20" s="243"/>
      <c r="AN20" s="243"/>
      <c r="AO20" s="244"/>
      <c r="AP20" s="256"/>
      <c r="AQ20" s="242"/>
      <c r="AR20" s="243"/>
      <c r="AS20" s="243"/>
      <c r="AT20" s="243"/>
      <c r="AU20" s="244"/>
      <c r="AV20" s="256"/>
      <c r="AW20" s="253"/>
      <c r="AX20" s="243"/>
      <c r="AY20" s="243"/>
      <c r="AZ20" s="256"/>
      <c r="BA20" s="260">
        <f t="shared" si="0"/>
        <v>0</v>
      </c>
      <c r="BB20" s="236">
        <v>16</v>
      </c>
      <c r="BC20" s="241"/>
      <c r="BD20" s="43"/>
      <c r="BE20" s="57"/>
      <c r="BF20" s="242"/>
      <c r="BG20" s="243"/>
      <c r="BH20" s="243"/>
      <c r="BI20" s="244"/>
      <c r="BJ20" s="256"/>
      <c r="BK20" s="253"/>
      <c r="BL20" s="243"/>
      <c r="BM20" s="243"/>
      <c r="BN20" s="244"/>
      <c r="BO20" s="253"/>
      <c r="BP20" s="243"/>
      <c r="BQ20" s="243"/>
      <c r="BR20" s="243"/>
      <c r="BS20" s="256"/>
      <c r="BT20" s="242"/>
      <c r="BU20" s="243"/>
      <c r="BV20" s="244"/>
      <c r="BW20" s="244"/>
      <c r="BX20" s="256"/>
      <c r="BY20" s="253"/>
      <c r="BZ20" s="243"/>
      <c r="CA20" s="243"/>
      <c r="CB20" s="243"/>
      <c r="CC20" s="256"/>
      <c r="CD20" s="242"/>
      <c r="CE20" s="243"/>
      <c r="CF20" s="243"/>
      <c r="CG20" s="244"/>
      <c r="CH20" s="253"/>
      <c r="CI20" s="243"/>
      <c r="CJ20" s="244"/>
      <c r="CK20" s="256"/>
      <c r="CL20" s="253"/>
      <c r="CM20" s="243"/>
      <c r="CN20" s="244"/>
      <c r="CO20" s="244"/>
      <c r="CP20" s="244"/>
      <c r="CQ20" s="256"/>
      <c r="CR20" s="253"/>
      <c r="CS20" s="243"/>
      <c r="CT20" s="244"/>
      <c r="CU20" s="244"/>
      <c r="CV20" s="244"/>
      <c r="CW20" s="256"/>
      <c r="CX20" s="253"/>
      <c r="CY20" s="243"/>
      <c r="CZ20" s="243"/>
      <c r="DA20" s="256"/>
      <c r="DB20" s="260">
        <f t="shared" si="1"/>
        <v>0</v>
      </c>
      <c r="DC20" s="236">
        <v>16</v>
      </c>
      <c r="DD20" s="241"/>
      <c r="DE20" s="43"/>
      <c r="DF20" s="57"/>
      <c r="DG20" s="242"/>
      <c r="DH20" s="243"/>
      <c r="DI20" s="243"/>
      <c r="DJ20" s="256"/>
      <c r="DK20" s="253"/>
      <c r="DL20" s="243"/>
      <c r="DM20" s="243"/>
      <c r="DN20" s="256"/>
      <c r="DO20" s="253"/>
      <c r="DP20" s="243"/>
      <c r="DQ20" s="243"/>
      <c r="DR20" s="256"/>
      <c r="DS20" s="253"/>
      <c r="DT20" s="243"/>
      <c r="DU20" s="256"/>
      <c r="DV20" s="253"/>
      <c r="DW20" s="243"/>
      <c r="DX20" s="243"/>
      <c r="DY20" s="244"/>
      <c r="DZ20" s="256"/>
      <c r="EA20" s="242"/>
      <c r="EB20" s="243"/>
      <c r="EC20" s="243"/>
      <c r="ED20" s="244"/>
      <c r="EE20" s="253"/>
      <c r="EF20" s="243"/>
      <c r="EG20" s="256"/>
      <c r="EH20" s="253"/>
      <c r="EI20" s="243"/>
      <c r="EJ20" s="256"/>
      <c r="EK20" s="253"/>
      <c r="EL20" s="243"/>
      <c r="EM20" s="256"/>
      <c r="EN20" s="253"/>
      <c r="EO20" s="243"/>
      <c r="EP20" s="256"/>
      <c r="EQ20" s="260">
        <f t="shared" si="2"/>
        <v>0</v>
      </c>
      <c r="ES20" s="205">
        <f>+'RETAION-BUS'!AK20+'RETAION-BUS'!BV20+'RETAION-BUS'!DG20</f>
        <v>0</v>
      </c>
      <c r="ET20" s="204">
        <f t="shared" si="3"/>
        <v>0</v>
      </c>
      <c r="EU20" s="278">
        <f t="shared" ref="EU20" si="5">+ES20-ET20</f>
        <v>0</v>
      </c>
    </row>
    <row r="21" spans="1:151">
      <c r="A21" s="240">
        <v>17</v>
      </c>
      <c r="B21" s="241"/>
      <c r="C21" s="43"/>
      <c r="D21" s="57"/>
      <c r="E21" s="242"/>
      <c r="F21" s="243"/>
      <c r="G21" s="243"/>
      <c r="H21" s="244"/>
      <c r="I21" s="244"/>
      <c r="J21" s="253"/>
      <c r="K21" s="243"/>
      <c r="L21" s="243"/>
      <c r="M21" s="244"/>
      <c r="N21" s="253"/>
      <c r="O21" s="243"/>
      <c r="P21" s="243"/>
      <c r="Q21" s="243"/>
      <c r="R21" s="256"/>
      <c r="S21" s="242"/>
      <c r="T21" s="243"/>
      <c r="U21" s="244"/>
      <c r="V21" s="244"/>
      <c r="W21" s="244"/>
      <c r="X21" s="253"/>
      <c r="Y21" s="243"/>
      <c r="Z21" s="243"/>
      <c r="AA21" s="244"/>
      <c r="AB21" s="256"/>
      <c r="AC21" s="242"/>
      <c r="AD21" s="243"/>
      <c r="AE21" s="243"/>
      <c r="AF21" s="244"/>
      <c r="AG21" s="253"/>
      <c r="AH21" s="243"/>
      <c r="AI21" s="244"/>
      <c r="AJ21" s="256"/>
      <c r="AK21" s="242"/>
      <c r="AL21" s="243"/>
      <c r="AM21" s="243"/>
      <c r="AN21" s="243"/>
      <c r="AO21" s="244"/>
      <c r="AP21" s="256"/>
      <c r="AQ21" s="242"/>
      <c r="AR21" s="243"/>
      <c r="AS21" s="243"/>
      <c r="AT21" s="243"/>
      <c r="AU21" s="244"/>
      <c r="AV21" s="256"/>
      <c r="AW21" s="253"/>
      <c r="AX21" s="243"/>
      <c r="AY21" s="243"/>
      <c r="AZ21" s="256"/>
      <c r="BA21" s="260">
        <f t="shared" si="0"/>
        <v>0</v>
      </c>
      <c r="BB21" s="240">
        <v>17</v>
      </c>
      <c r="BC21" s="241"/>
      <c r="BD21" s="43"/>
      <c r="BE21" s="57"/>
      <c r="BF21" s="242"/>
      <c r="BG21" s="243"/>
      <c r="BH21" s="243"/>
      <c r="BI21" s="244"/>
      <c r="BJ21" s="256"/>
      <c r="BK21" s="253"/>
      <c r="BL21" s="243"/>
      <c r="BM21" s="243"/>
      <c r="BN21" s="244"/>
      <c r="BO21" s="253"/>
      <c r="BP21" s="243"/>
      <c r="BQ21" s="243"/>
      <c r="BR21" s="243"/>
      <c r="BS21" s="256"/>
      <c r="BT21" s="242"/>
      <c r="BU21" s="243"/>
      <c r="BV21" s="244"/>
      <c r="BW21" s="244"/>
      <c r="BX21" s="256"/>
      <c r="BY21" s="253"/>
      <c r="BZ21" s="243"/>
      <c r="CA21" s="243"/>
      <c r="CB21" s="243"/>
      <c r="CC21" s="256"/>
      <c r="CD21" s="242"/>
      <c r="CE21" s="243"/>
      <c r="CF21" s="243"/>
      <c r="CG21" s="244"/>
      <c r="CH21" s="253"/>
      <c r="CI21" s="243"/>
      <c r="CJ21" s="244"/>
      <c r="CK21" s="256"/>
      <c r="CL21" s="253"/>
      <c r="CM21" s="243"/>
      <c r="CN21" s="244"/>
      <c r="CO21" s="244"/>
      <c r="CP21" s="244"/>
      <c r="CQ21" s="256"/>
      <c r="CR21" s="253"/>
      <c r="CS21" s="243"/>
      <c r="CT21" s="244"/>
      <c r="CU21" s="244"/>
      <c r="CV21" s="244"/>
      <c r="CW21" s="256"/>
      <c r="CX21" s="253"/>
      <c r="CY21" s="243"/>
      <c r="CZ21" s="243"/>
      <c r="DA21" s="256"/>
      <c r="DB21" s="260">
        <f t="shared" si="1"/>
        <v>0</v>
      </c>
      <c r="DC21" s="273">
        <v>17</v>
      </c>
      <c r="DD21" s="241"/>
      <c r="DE21" s="43"/>
      <c r="DF21" s="57"/>
      <c r="DG21" s="242"/>
      <c r="DH21" s="243"/>
      <c r="DI21" s="243"/>
      <c r="DJ21" s="256"/>
      <c r="DK21" s="253"/>
      <c r="DL21" s="243"/>
      <c r="DM21" s="243"/>
      <c r="DN21" s="256"/>
      <c r="DO21" s="253"/>
      <c r="DP21" s="243"/>
      <c r="DQ21" s="243"/>
      <c r="DR21" s="256"/>
      <c r="DS21" s="253"/>
      <c r="DT21" s="243"/>
      <c r="DU21" s="256"/>
      <c r="DV21" s="253"/>
      <c r="DW21" s="243"/>
      <c r="DX21" s="243"/>
      <c r="DY21" s="244"/>
      <c r="DZ21" s="256"/>
      <c r="EA21" s="242"/>
      <c r="EB21" s="243"/>
      <c r="EC21" s="243"/>
      <c r="ED21" s="244"/>
      <c r="EE21" s="253"/>
      <c r="EF21" s="243"/>
      <c r="EG21" s="256"/>
      <c r="EH21" s="253"/>
      <c r="EI21" s="243"/>
      <c r="EJ21" s="256"/>
      <c r="EK21" s="253"/>
      <c r="EL21" s="243"/>
      <c r="EM21" s="256"/>
      <c r="EN21" s="253"/>
      <c r="EO21" s="243"/>
      <c r="EP21" s="256"/>
      <c r="EQ21" s="260">
        <f t="shared" si="2"/>
        <v>0</v>
      </c>
      <c r="ES21" s="205">
        <f>+'RETAION-BUS'!AK21+'RETAION-BUS'!BV21+'RETAION-BUS'!DG21</f>
        <v>0</v>
      </c>
      <c r="ET21" s="204">
        <f t="shared" si="3"/>
        <v>0</v>
      </c>
      <c r="EU21" s="278">
        <f t="shared" si="4"/>
        <v>0</v>
      </c>
    </row>
    <row r="22" spans="1:151">
      <c r="A22" s="245">
        <v>18</v>
      </c>
      <c r="B22" s="241"/>
      <c r="C22" s="43"/>
      <c r="D22" s="57"/>
      <c r="E22" s="242"/>
      <c r="F22" s="243"/>
      <c r="G22" s="243"/>
      <c r="H22" s="244"/>
      <c r="I22" s="244"/>
      <c r="J22" s="253"/>
      <c r="K22" s="243"/>
      <c r="L22" s="243"/>
      <c r="M22" s="244"/>
      <c r="N22" s="253"/>
      <c r="O22" s="243"/>
      <c r="P22" s="243"/>
      <c r="Q22" s="243"/>
      <c r="R22" s="256"/>
      <c r="S22" s="242"/>
      <c r="T22" s="243"/>
      <c r="U22" s="244"/>
      <c r="V22" s="244"/>
      <c r="W22" s="244"/>
      <c r="X22" s="253"/>
      <c r="Y22" s="243"/>
      <c r="Z22" s="243"/>
      <c r="AA22" s="244"/>
      <c r="AB22" s="256"/>
      <c r="AC22" s="242"/>
      <c r="AD22" s="243"/>
      <c r="AE22" s="243"/>
      <c r="AF22" s="244"/>
      <c r="AG22" s="253"/>
      <c r="AH22" s="243"/>
      <c r="AI22" s="244"/>
      <c r="AJ22" s="256"/>
      <c r="AK22" s="242"/>
      <c r="AL22" s="243"/>
      <c r="AM22" s="243"/>
      <c r="AN22" s="243"/>
      <c r="AO22" s="244"/>
      <c r="AP22" s="256"/>
      <c r="AQ22" s="242"/>
      <c r="AR22" s="243"/>
      <c r="AS22" s="243"/>
      <c r="AT22" s="243"/>
      <c r="AU22" s="244"/>
      <c r="AV22" s="256"/>
      <c r="AW22" s="253"/>
      <c r="AX22" s="243"/>
      <c r="AY22" s="243"/>
      <c r="AZ22" s="256"/>
      <c r="BA22" s="260">
        <f t="shared" si="0"/>
        <v>0</v>
      </c>
      <c r="BB22" s="245">
        <v>18</v>
      </c>
      <c r="BC22" s="241"/>
      <c r="BD22" s="43"/>
      <c r="BE22" s="57"/>
      <c r="BF22" s="242"/>
      <c r="BG22" s="243"/>
      <c r="BH22" s="243"/>
      <c r="BI22" s="244"/>
      <c r="BJ22" s="256"/>
      <c r="BK22" s="253"/>
      <c r="BL22" s="243"/>
      <c r="BM22" s="243"/>
      <c r="BN22" s="244"/>
      <c r="BO22" s="253"/>
      <c r="BP22" s="243"/>
      <c r="BQ22" s="243"/>
      <c r="BR22" s="243"/>
      <c r="BS22" s="256"/>
      <c r="BT22" s="242"/>
      <c r="BU22" s="243"/>
      <c r="BV22" s="244"/>
      <c r="BW22" s="244"/>
      <c r="BX22" s="256"/>
      <c r="BY22" s="253"/>
      <c r="BZ22" s="243"/>
      <c r="CA22" s="243"/>
      <c r="CB22" s="243"/>
      <c r="CC22" s="256"/>
      <c r="CD22" s="242"/>
      <c r="CE22" s="243"/>
      <c r="CF22" s="243"/>
      <c r="CG22" s="243"/>
      <c r="CH22" s="253"/>
      <c r="CI22" s="243"/>
      <c r="CJ22" s="244"/>
      <c r="CK22" s="256"/>
      <c r="CL22" s="253"/>
      <c r="CM22" s="243"/>
      <c r="CN22" s="244"/>
      <c r="CO22" s="244"/>
      <c r="CP22" s="244"/>
      <c r="CQ22" s="256"/>
      <c r="CR22" s="253"/>
      <c r="CS22" s="243"/>
      <c r="CT22" s="244"/>
      <c r="CU22" s="244"/>
      <c r="CV22" s="244"/>
      <c r="CW22" s="256"/>
      <c r="CX22" s="253"/>
      <c r="CY22" s="243"/>
      <c r="CZ22" s="243"/>
      <c r="DA22" s="256"/>
      <c r="DB22" s="260">
        <f t="shared" si="1"/>
        <v>0</v>
      </c>
      <c r="DC22" s="236">
        <v>18</v>
      </c>
      <c r="DD22" s="241"/>
      <c r="DE22" s="43"/>
      <c r="DF22" s="57"/>
      <c r="DG22" s="242"/>
      <c r="DH22" s="243"/>
      <c r="DI22" s="243"/>
      <c r="DJ22" s="256"/>
      <c r="DK22" s="253"/>
      <c r="DL22" s="243"/>
      <c r="DM22" s="243"/>
      <c r="DN22" s="256"/>
      <c r="DO22" s="253"/>
      <c r="DP22" s="243"/>
      <c r="DQ22" s="243"/>
      <c r="DR22" s="256"/>
      <c r="DS22" s="253"/>
      <c r="DT22" s="243"/>
      <c r="DU22" s="256"/>
      <c r="DV22" s="253"/>
      <c r="DW22" s="243"/>
      <c r="DX22" s="243"/>
      <c r="DY22" s="244"/>
      <c r="DZ22" s="256"/>
      <c r="EA22" s="242"/>
      <c r="EB22" s="243"/>
      <c r="EC22" s="243"/>
      <c r="ED22" s="243"/>
      <c r="EE22" s="253"/>
      <c r="EF22" s="243"/>
      <c r="EG22" s="256"/>
      <c r="EH22" s="253"/>
      <c r="EI22" s="243"/>
      <c r="EJ22" s="256"/>
      <c r="EK22" s="253"/>
      <c r="EL22" s="243"/>
      <c r="EM22" s="256"/>
      <c r="EN22" s="253"/>
      <c r="EO22" s="243"/>
      <c r="EP22" s="256"/>
      <c r="EQ22" s="260">
        <f t="shared" si="2"/>
        <v>0</v>
      </c>
      <c r="ES22" s="205">
        <f>+'RETAION-BUS'!AK22+'RETAION-BUS'!BV22+'RETAION-BUS'!DG22</f>
        <v>0</v>
      </c>
      <c r="ET22" s="204">
        <f t="shared" si="3"/>
        <v>0</v>
      </c>
      <c r="EU22" s="278">
        <f t="shared" si="4"/>
        <v>0</v>
      </c>
    </row>
    <row r="23" spans="1:151">
      <c r="A23" s="236">
        <v>19</v>
      </c>
      <c r="B23" s="241"/>
      <c r="C23" s="43"/>
      <c r="D23" s="57"/>
      <c r="E23" s="242"/>
      <c r="F23" s="243"/>
      <c r="G23" s="243"/>
      <c r="H23" s="244"/>
      <c r="I23" s="244"/>
      <c r="J23" s="253"/>
      <c r="K23" s="243"/>
      <c r="L23" s="243"/>
      <c r="M23" s="244"/>
      <c r="N23" s="253"/>
      <c r="O23" s="243"/>
      <c r="P23" s="243"/>
      <c r="Q23" s="243"/>
      <c r="R23" s="256"/>
      <c r="S23" s="242"/>
      <c r="T23" s="243"/>
      <c r="U23" s="244"/>
      <c r="V23" s="244"/>
      <c r="W23" s="244"/>
      <c r="X23" s="253"/>
      <c r="Y23" s="243"/>
      <c r="Z23" s="243"/>
      <c r="AA23" s="244"/>
      <c r="AB23" s="256"/>
      <c r="AC23" s="242"/>
      <c r="AD23" s="243"/>
      <c r="AE23" s="243"/>
      <c r="AF23" s="244"/>
      <c r="AG23" s="253"/>
      <c r="AH23" s="243"/>
      <c r="AI23" s="244"/>
      <c r="AJ23" s="256"/>
      <c r="AK23" s="242"/>
      <c r="AL23" s="243"/>
      <c r="AM23" s="243"/>
      <c r="AN23" s="243"/>
      <c r="AO23" s="244"/>
      <c r="AP23" s="256"/>
      <c r="AQ23" s="242"/>
      <c r="AR23" s="243"/>
      <c r="AS23" s="243"/>
      <c r="AT23" s="243"/>
      <c r="AU23" s="244"/>
      <c r="AV23" s="256"/>
      <c r="AW23" s="253"/>
      <c r="AX23" s="243"/>
      <c r="AY23" s="243"/>
      <c r="AZ23" s="256"/>
      <c r="BA23" s="260">
        <f t="shared" si="0"/>
        <v>0</v>
      </c>
      <c r="BB23" s="236">
        <v>19</v>
      </c>
      <c r="BC23" s="241"/>
      <c r="BD23" s="43"/>
      <c r="BE23" s="57"/>
      <c r="BF23" s="242"/>
      <c r="BG23" s="243"/>
      <c r="BH23" s="243"/>
      <c r="BI23" s="244"/>
      <c r="BJ23" s="256"/>
      <c r="BK23" s="253"/>
      <c r="BL23" s="243"/>
      <c r="BM23" s="243"/>
      <c r="BN23" s="244"/>
      <c r="BO23" s="253"/>
      <c r="BP23" s="243"/>
      <c r="BQ23" s="243"/>
      <c r="BR23" s="243"/>
      <c r="BS23" s="256"/>
      <c r="BT23" s="242"/>
      <c r="BU23" s="243"/>
      <c r="BV23" s="244"/>
      <c r="BW23" s="244"/>
      <c r="BX23" s="256"/>
      <c r="BY23" s="253"/>
      <c r="BZ23" s="243"/>
      <c r="CA23" s="243"/>
      <c r="CB23" s="243"/>
      <c r="CC23" s="256"/>
      <c r="CD23" s="242"/>
      <c r="CE23" s="243"/>
      <c r="CF23" s="243"/>
      <c r="CG23" s="243"/>
      <c r="CH23" s="253"/>
      <c r="CI23" s="243"/>
      <c r="CJ23" s="244"/>
      <c r="CK23" s="256"/>
      <c r="CL23" s="253"/>
      <c r="CM23" s="243"/>
      <c r="CN23" s="244"/>
      <c r="CO23" s="244"/>
      <c r="CP23" s="244"/>
      <c r="CQ23" s="256"/>
      <c r="CR23" s="253"/>
      <c r="CS23" s="243"/>
      <c r="CT23" s="244"/>
      <c r="CU23" s="244"/>
      <c r="CV23" s="244"/>
      <c r="CW23" s="256"/>
      <c r="CX23" s="253"/>
      <c r="CY23" s="243"/>
      <c r="CZ23" s="243"/>
      <c r="DA23" s="256"/>
      <c r="DB23" s="260">
        <f t="shared" si="1"/>
        <v>0</v>
      </c>
      <c r="DC23" s="236">
        <v>19</v>
      </c>
      <c r="DD23" s="241"/>
      <c r="DE23" s="43"/>
      <c r="DF23" s="57"/>
      <c r="DG23" s="242"/>
      <c r="DH23" s="243"/>
      <c r="DI23" s="243"/>
      <c r="DJ23" s="256"/>
      <c r="DK23" s="253"/>
      <c r="DL23" s="243"/>
      <c r="DM23" s="243"/>
      <c r="DN23" s="256"/>
      <c r="DO23" s="253"/>
      <c r="DP23" s="243"/>
      <c r="DQ23" s="243"/>
      <c r="DR23" s="256"/>
      <c r="DS23" s="253"/>
      <c r="DT23" s="243"/>
      <c r="DU23" s="256"/>
      <c r="DV23" s="253"/>
      <c r="DW23" s="243"/>
      <c r="DX23" s="243"/>
      <c r="DY23" s="244"/>
      <c r="DZ23" s="256"/>
      <c r="EA23" s="242"/>
      <c r="EB23" s="243"/>
      <c r="EC23" s="243"/>
      <c r="ED23" s="243"/>
      <c r="EE23" s="253"/>
      <c r="EF23" s="243"/>
      <c r="EG23" s="256"/>
      <c r="EH23" s="253"/>
      <c r="EI23" s="243"/>
      <c r="EJ23" s="256"/>
      <c r="EK23" s="253"/>
      <c r="EL23" s="243"/>
      <c r="EM23" s="256"/>
      <c r="EN23" s="253"/>
      <c r="EO23" s="243"/>
      <c r="EP23" s="256"/>
      <c r="EQ23" s="260">
        <f t="shared" si="2"/>
        <v>0</v>
      </c>
      <c r="ES23" s="205">
        <f>+'RETAION-BUS'!AK23+'RETAION-BUS'!BV23+'RETAION-BUS'!DG23</f>
        <v>0</v>
      </c>
      <c r="ET23" s="204">
        <f t="shared" si="3"/>
        <v>0</v>
      </c>
      <c r="EU23" s="278">
        <f t="shared" si="4"/>
        <v>0</v>
      </c>
    </row>
    <row r="24" spans="1:151">
      <c r="A24" s="240">
        <v>20</v>
      </c>
      <c r="B24" s="241"/>
      <c r="C24" s="43"/>
      <c r="D24" s="57"/>
      <c r="E24" s="242"/>
      <c r="F24" s="243"/>
      <c r="G24" s="243"/>
      <c r="H24" s="244"/>
      <c r="I24" s="244"/>
      <c r="J24" s="253"/>
      <c r="K24" s="243"/>
      <c r="L24" s="243"/>
      <c r="M24" s="244"/>
      <c r="N24" s="253"/>
      <c r="O24" s="243"/>
      <c r="P24" s="243"/>
      <c r="Q24" s="243"/>
      <c r="R24" s="256"/>
      <c r="S24" s="242"/>
      <c r="T24" s="243"/>
      <c r="U24" s="244"/>
      <c r="V24" s="244"/>
      <c r="W24" s="244"/>
      <c r="X24" s="253"/>
      <c r="Y24" s="243"/>
      <c r="Z24" s="243"/>
      <c r="AA24" s="244"/>
      <c r="AB24" s="256"/>
      <c r="AC24" s="242"/>
      <c r="AD24" s="243"/>
      <c r="AE24" s="243"/>
      <c r="AF24" s="244"/>
      <c r="AG24" s="253"/>
      <c r="AH24" s="243"/>
      <c r="AI24" s="244"/>
      <c r="AJ24" s="256"/>
      <c r="AK24" s="242"/>
      <c r="AL24" s="243"/>
      <c r="AM24" s="243"/>
      <c r="AN24" s="243"/>
      <c r="AO24" s="244"/>
      <c r="AP24" s="256"/>
      <c r="AQ24" s="242"/>
      <c r="AR24" s="243"/>
      <c r="AS24" s="243"/>
      <c r="AT24" s="243"/>
      <c r="AU24" s="244"/>
      <c r="AV24" s="256"/>
      <c r="AW24" s="253"/>
      <c r="AX24" s="243"/>
      <c r="AY24" s="243"/>
      <c r="AZ24" s="256"/>
      <c r="BA24" s="260">
        <f t="shared" si="0"/>
        <v>0</v>
      </c>
      <c r="BB24" s="240">
        <v>20</v>
      </c>
      <c r="BC24" s="241"/>
      <c r="BD24" s="43"/>
      <c r="BE24" s="57"/>
      <c r="BF24" s="242"/>
      <c r="BG24" s="243"/>
      <c r="BH24" s="243"/>
      <c r="BI24" s="244"/>
      <c r="BJ24" s="256"/>
      <c r="BK24" s="253"/>
      <c r="BL24" s="243"/>
      <c r="BM24" s="243"/>
      <c r="BN24" s="244"/>
      <c r="BO24" s="253"/>
      <c r="BP24" s="243"/>
      <c r="BQ24" s="243"/>
      <c r="BR24" s="243"/>
      <c r="BS24" s="256"/>
      <c r="BT24" s="242"/>
      <c r="BU24" s="243"/>
      <c r="BV24" s="244"/>
      <c r="BW24" s="244"/>
      <c r="BX24" s="256"/>
      <c r="BY24" s="253"/>
      <c r="BZ24" s="243"/>
      <c r="CA24" s="243"/>
      <c r="CB24" s="243"/>
      <c r="CC24" s="256"/>
      <c r="CD24" s="242"/>
      <c r="CE24" s="243"/>
      <c r="CF24" s="243"/>
      <c r="CG24" s="243"/>
      <c r="CH24" s="253"/>
      <c r="CI24" s="243"/>
      <c r="CJ24" s="244"/>
      <c r="CK24" s="256"/>
      <c r="CL24" s="253"/>
      <c r="CM24" s="243"/>
      <c r="CN24" s="244"/>
      <c r="CO24" s="244"/>
      <c r="CP24" s="244"/>
      <c r="CQ24" s="256"/>
      <c r="CR24" s="253"/>
      <c r="CS24" s="243"/>
      <c r="CT24" s="244"/>
      <c r="CU24" s="244"/>
      <c r="CV24" s="244"/>
      <c r="CW24" s="256"/>
      <c r="CX24" s="253"/>
      <c r="CY24" s="243"/>
      <c r="CZ24" s="243"/>
      <c r="DA24" s="256"/>
      <c r="DB24" s="260">
        <f t="shared" si="1"/>
        <v>0</v>
      </c>
      <c r="DC24" s="273">
        <v>20</v>
      </c>
      <c r="DD24" s="241"/>
      <c r="DE24" s="43"/>
      <c r="DF24" s="57"/>
      <c r="DG24" s="242"/>
      <c r="DH24" s="243"/>
      <c r="DI24" s="243"/>
      <c r="DJ24" s="256"/>
      <c r="DK24" s="253"/>
      <c r="DL24" s="243"/>
      <c r="DM24" s="243"/>
      <c r="DN24" s="256"/>
      <c r="DO24" s="253"/>
      <c r="DP24" s="243"/>
      <c r="DQ24" s="243"/>
      <c r="DR24" s="256"/>
      <c r="DS24" s="253"/>
      <c r="DT24" s="243"/>
      <c r="DU24" s="256"/>
      <c r="DV24" s="253"/>
      <c r="DW24" s="243"/>
      <c r="DX24" s="243"/>
      <c r="DY24" s="244"/>
      <c r="DZ24" s="256"/>
      <c r="EA24" s="242"/>
      <c r="EB24" s="243"/>
      <c r="EC24" s="243"/>
      <c r="ED24" s="243"/>
      <c r="EE24" s="253"/>
      <c r="EF24" s="243"/>
      <c r="EG24" s="256"/>
      <c r="EH24" s="253"/>
      <c r="EI24" s="243"/>
      <c r="EJ24" s="256"/>
      <c r="EK24" s="253"/>
      <c r="EL24" s="243"/>
      <c r="EM24" s="256"/>
      <c r="EN24" s="253"/>
      <c r="EO24" s="243"/>
      <c r="EP24" s="256"/>
      <c r="EQ24" s="260">
        <f t="shared" si="2"/>
        <v>0</v>
      </c>
      <c r="ES24" s="205">
        <f>+'RETAION-BUS'!AK24+'RETAION-BUS'!BV24+'RETAION-BUS'!DG24</f>
        <v>0</v>
      </c>
      <c r="ET24" s="204">
        <f t="shared" si="3"/>
        <v>0</v>
      </c>
      <c r="EU24" s="278">
        <f t="shared" si="4"/>
        <v>0</v>
      </c>
    </row>
    <row r="25" spans="1:151">
      <c r="A25" s="245">
        <v>21</v>
      </c>
      <c r="B25" s="241"/>
      <c r="C25" s="43"/>
      <c r="D25" s="57"/>
      <c r="E25" s="242"/>
      <c r="F25" s="243"/>
      <c r="G25" s="243"/>
      <c r="H25" s="244"/>
      <c r="I25" s="244"/>
      <c r="J25" s="253"/>
      <c r="K25" s="243"/>
      <c r="L25" s="243"/>
      <c r="M25" s="244"/>
      <c r="N25" s="253"/>
      <c r="O25" s="243"/>
      <c r="P25" s="243"/>
      <c r="Q25" s="243"/>
      <c r="R25" s="256"/>
      <c r="S25" s="242"/>
      <c r="T25" s="243"/>
      <c r="U25" s="244"/>
      <c r="V25" s="244"/>
      <c r="W25" s="244"/>
      <c r="X25" s="253"/>
      <c r="Y25" s="243"/>
      <c r="Z25" s="243"/>
      <c r="AA25" s="244"/>
      <c r="AB25" s="256"/>
      <c r="AC25" s="242"/>
      <c r="AD25" s="243"/>
      <c r="AE25" s="243"/>
      <c r="AF25" s="244"/>
      <c r="AG25" s="253"/>
      <c r="AH25" s="243"/>
      <c r="AI25" s="244"/>
      <c r="AJ25" s="256"/>
      <c r="AK25" s="242"/>
      <c r="AL25" s="243"/>
      <c r="AM25" s="243"/>
      <c r="AN25" s="243"/>
      <c r="AO25" s="244"/>
      <c r="AP25" s="256"/>
      <c r="AQ25" s="242"/>
      <c r="AR25" s="243"/>
      <c r="AS25" s="243"/>
      <c r="AT25" s="243"/>
      <c r="AU25" s="244"/>
      <c r="AV25" s="256"/>
      <c r="AW25" s="253"/>
      <c r="AX25" s="243"/>
      <c r="AY25" s="243"/>
      <c r="AZ25" s="256"/>
      <c r="BA25" s="260">
        <f t="shared" si="0"/>
        <v>0</v>
      </c>
      <c r="BB25" s="245">
        <v>21</v>
      </c>
      <c r="BC25" s="241"/>
      <c r="BD25" s="43"/>
      <c r="BE25" s="57"/>
      <c r="BF25" s="242"/>
      <c r="BG25" s="243"/>
      <c r="BH25" s="243"/>
      <c r="BI25" s="244"/>
      <c r="BJ25" s="256"/>
      <c r="BK25" s="253"/>
      <c r="BL25" s="243"/>
      <c r="BM25" s="243"/>
      <c r="BN25" s="244"/>
      <c r="BO25" s="253"/>
      <c r="BP25" s="243"/>
      <c r="BQ25" s="243"/>
      <c r="BR25" s="243"/>
      <c r="BS25" s="256"/>
      <c r="BT25" s="242"/>
      <c r="BU25" s="243"/>
      <c r="BV25" s="244"/>
      <c r="BW25" s="244"/>
      <c r="BX25" s="256"/>
      <c r="BY25" s="253"/>
      <c r="BZ25" s="243"/>
      <c r="CA25" s="243"/>
      <c r="CB25" s="243"/>
      <c r="CC25" s="256"/>
      <c r="CD25" s="242"/>
      <c r="CE25" s="243"/>
      <c r="CF25" s="243"/>
      <c r="CG25" s="244"/>
      <c r="CH25" s="253"/>
      <c r="CI25" s="243"/>
      <c r="CJ25" s="244"/>
      <c r="CK25" s="256"/>
      <c r="CL25" s="253"/>
      <c r="CM25" s="243"/>
      <c r="CN25" s="244"/>
      <c r="CO25" s="244"/>
      <c r="CP25" s="244"/>
      <c r="CQ25" s="256"/>
      <c r="CR25" s="253"/>
      <c r="CS25" s="243"/>
      <c r="CT25" s="244"/>
      <c r="CU25" s="244"/>
      <c r="CV25" s="244"/>
      <c r="CW25" s="256"/>
      <c r="CX25" s="253"/>
      <c r="CY25" s="243"/>
      <c r="CZ25" s="243"/>
      <c r="DA25" s="256"/>
      <c r="DB25" s="260">
        <f t="shared" si="1"/>
        <v>0</v>
      </c>
      <c r="DC25" s="236">
        <v>21</v>
      </c>
      <c r="DD25" s="241"/>
      <c r="DE25" s="43"/>
      <c r="DF25" s="57"/>
      <c r="DG25" s="242"/>
      <c r="DH25" s="243"/>
      <c r="DI25" s="243"/>
      <c r="DJ25" s="256"/>
      <c r="DK25" s="253"/>
      <c r="DL25" s="243"/>
      <c r="DM25" s="243"/>
      <c r="DN25" s="256"/>
      <c r="DO25" s="253"/>
      <c r="DP25" s="243"/>
      <c r="DQ25" s="243"/>
      <c r="DR25" s="256"/>
      <c r="DS25" s="253"/>
      <c r="DT25" s="243"/>
      <c r="DU25" s="256"/>
      <c r="DV25" s="253"/>
      <c r="DW25" s="243"/>
      <c r="DX25" s="243"/>
      <c r="DY25" s="244"/>
      <c r="DZ25" s="256"/>
      <c r="EA25" s="242"/>
      <c r="EB25" s="243"/>
      <c r="EC25" s="243"/>
      <c r="ED25" s="244"/>
      <c r="EE25" s="253"/>
      <c r="EF25" s="243"/>
      <c r="EG25" s="256"/>
      <c r="EH25" s="253"/>
      <c r="EI25" s="243"/>
      <c r="EJ25" s="256"/>
      <c r="EK25" s="253"/>
      <c r="EL25" s="243"/>
      <c r="EM25" s="256"/>
      <c r="EN25" s="253"/>
      <c r="EO25" s="243"/>
      <c r="EP25" s="256"/>
      <c r="EQ25" s="260">
        <f t="shared" si="2"/>
        <v>0</v>
      </c>
      <c r="ES25" s="205">
        <f>+'RETAION-BUS'!AK25+'RETAION-BUS'!BV25+'RETAION-BUS'!DG25</f>
        <v>0</v>
      </c>
      <c r="ET25" s="204">
        <f t="shared" si="3"/>
        <v>0</v>
      </c>
      <c r="EU25" s="278">
        <f t="shared" si="4"/>
        <v>0</v>
      </c>
    </row>
    <row r="26" spans="1:151">
      <c r="A26" s="236">
        <v>22</v>
      </c>
      <c r="B26" s="241"/>
      <c r="C26" s="43"/>
      <c r="D26" s="57"/>
      <c r="E26" s="242"/>
      <c r="F26" s="243"/>
      <c r="G26" s="243"/>
      <c r="H26" s="244"/>
      <c r="I26" s="244"/>
      <c r="J26" s="253"/>
      <c r="K26" s="243"/>
      <c r="L26" s="243"/>
      <c r="M26" s="244"/>
      <c r="N26" s="253"/>
      <c r="O26" s="243"/>
      <c r="P26" s="243"/>
      <c r="Q26" s="243"/>
      <c r="R26" s="256"/>
      <c r="S26" s="242"/>
      <c r="T26" s="243"/>
      <c r="U26" s="244"/>
      <c r="V26" s="244"/>
      <c r="W26" s="244"/>
      <c r="X26" s="253"/>
      <c r="Y26" s="243"/>
      <c r="Z26" s="243"/>
      <c r="AA26" s="244"/>
      <c r="AB26" s="256"/>
      <c r="AC26" s="242"/>
      <c r="AD26" s="243"/>
      <c r="AE26" s="243"/>
      <c r="AF26" s="244"/>
      <c r="AG26" s="253"/>
      <c r="AH26" s="243"/>
      <c r="AI26" s="244"/>
      <c r="AJ26" s="256"/>
      <c r="AK26" s="242"/>
      <c r="AL26" s="243"/>
      <c r="AM26" s="243"/>
      <c r="AN26" s="243"/>
      <c r="AO26" s="244"/>
      <c r="AP26" s="256"/>
      <c r="AQ26" s="242"/>
      <c r="AR26" s="243"/>
      <c r="AS26" s="243"/>
      <c r="AT26" s="243"/>
      <c r="AU26" s="244"/>
      <c r="AV26" s="256"/>
      <c r="AW26" s="253"/>
      <c r="AX26" s="243"/>
      <c r="AY26" s="243"/>
      <c r="AZ26" s="256"/>
      <c r="BA26" s="260">
        <f t="shared" si="0"/>
        <v>0</v>
      </c>
      <c r="BB26" s="236">
        <v>22</v>
      </c>
      <c r="BC26" s="241"/>
      <c r="BD26" s="43"/>
      <c r="BE26" s="57"/>
      <c r="BF26" s="242"/>
      <c r="BG26" s="243"/>
      <c r="BH26" s="243"/>
      <c r="BI26" s="244"/>
      <c r="BJ26" s="256"/>
      <c r="BK26" s="253"/>
      <c r="BL26" s="243"/>
      <c r="BM26" s="243"/>
      <c r="BN26" s="244"/>
      <c r="BO26" s="253"/>
      <c r="BP26" s="243"/>
      <c r="BQ26" s="243"/>
      <c r="BR26" s="243"/>
      <c r="BS26" s="256"/>
      <c r="BT26" s="242"/>
      <c r="BU26" s="243"/>
      <c r="BV26" s="244"/>
      <c r="BW26" s="244"/>
      <c r="BX26" s="256"/>
      <c r="BY26" s="253"/>
      <c r="BZ26" s="243"/>
      <c r="CA26" s="243"/>
      <c r="CB26" s="243"/>
      <c r="CC26" s="256"/>
      <c r="CD26" s="242"/>
      <c r="CE26" s="243"/>
      <c r="CF26" s="243"/>
      <c r="CG26" s="244"/>
      <c r="CH26" s="253"/>
      <c r="CI26" s="243"/>
      <c r="CJ26" s="244"/>
      <c r="CK26" s="256"/>
      <c r="CL26" s="253"/>
      <c r="CM26" s="243"/>
      <c r="CN26" s="244"/>
      <c r="CO26" s="244"/>
      <c r="CP26" s="244"/>
      <c r="CQ26" s="256"/>
      <c r="CR26" s="253"/>
      <c r="CS26" s="243"/>
      <c r="CT26" s="244"/>
      <c r="CU26" s="244"/>
      <c r="CV26" s="244"/>
      <c r="CW26" s="256"/>
      <c r="CX26" s="253"/>
      <c r="CY26" s="243"/>
      <c r="CZ26" s="243"/>
      <c r="DA26" s="256"/>
      <c r="DB26" s="260">
        <f t="shared" si="1"/>
        <v>0</v>
      </c>
      <c r="DC26" s="236">
        <v>22</v>
      </c>
      <c r="DD26" s="241"/>
      <c r="DE26" s="43"/>
      <c r="DF26" s="57"/>
      <c r="DG26" s="242"/>
      <c r="DH26" s="243"/>
      <c r="DI26" s="243"/>
      <c r="DJ26" s="256"/>
      <c r="DK26" s="253"/>
      <c r="DL26" s="243"/>
      <c r="DM26" s="243"/>
      <c r="DN26" s="256"/>
      <c r="DO26" s="253"/>
      <c r="DP26" s="243"/>
      <c r="DQ26" s="243"/>
      <c r="DR26" s="256"/>
      <c r="DS26" s="253"/>
      <c r="DT26" s="243"/>
      <c r="DU26" s="256"/>
      <c r="DV26" s="253"/>
      <c r="DW26" s="243"/>
      <c r="DX26" s="243"/>
      <c r="DY26" s="244"/>
      <c r="DZ26" s="256"/>
      <c r="EA26" s="242"/>
      <c r="EB26" s="243"/>
      <c r="EC26" s="243"/>
      <c r="ED26" s="244"/>
      <c r="EE26" s="253"/>
      <c r="EF26" s="243"/>
      <c r="EG26" s="256"/>
      <c r="EH26" s="253"/>
      <c r="EI26" s="243"/>
      <c r="EJ26" s="256"/>
      <c r="EK26" s="253"/>
      <c r="EL26" s="243"/>
      <c r="EM26" s="256"/>
      <c r="EN26" s="253"/>
      <c r="EO26" s="243"/>
      <c r="EP26" s="256"/>
      <c r="EQ26" s="260">
        <f t="shared" si="2"/>
        <v>0</v>
      </c>
      <c r="ER26" t="s">
        <v>78</v>
      </c>
      <c r="ES26" s="205">
        <f>+'RETAION-BUS'!AK26+'RETAION-BUS'!BV26+'RETAION-BUS'!DG26</f>
        <v>0</v>
      </c>
      <c r="ET26" s="204">
        <f t="shared" si="3"/>
        <v>0</v>
      </c>
      <c r="EU26" s="278">
        <f t="shared" si="4"/>
        <v>0</v>
      </c>
    </row>
    <row r="27" spans="1:151">
      <c r="A27" s="240">
        <v>23</v>
      </c>
      <c r="B27" s="241"/>
      <c r="C27" s="43"/>
      <c r="D27" s="57"/>
      <c r="E27" s="242"/>
      <c r="F27" s="243"/>
      <c r="G27" s="243"/>
      <c r="H27" s="244"/>
      <c r="I27" s="244"/>
      <c r="J27" s="253"/>
      <c r="K27" s="243"/>
      <c r="L27" s="243"/>
      <c r="M27" s="244"/>
      <c r="N27" s="253"/>
      <c r="O27" s="243"/>
      <c r="P27" s="243"/>
      <c r="Q27" s="243"/>
      <c r="R27" s="256"/>
      <c r="S27" s="242"/>
      <c r="T27" s="243"/>
      <c r="U27" s="244"/>
      <c r="V27" s="244"/>
      <c r="W27" s="244"/>
      <c r="X27" s="253"/>
      <c r="Y27" s="243"/>
      <c r="Z27" s="243"/>
      <c r="AA27" s="244"/>
      <c r="AB27" s="256"/>
      <c r="AC27" s="242"/>
      <c r="AD27" s="243"/>
      <c r="AE27" s="243"/>
      <c r="AF27" s="244"/>
      <c r="AG27" s="253"/>
      <c r="AH27" s="243"/>
      <c r="AI27" s="244"/>
      <c r="AJ27" s="256"/>
      <c r="AK27" s="242"/>
      <c r="AL27" s="243"/>
      <c r="AM27" s="243"/>
      <c r="AN27" s="243"/>
      <c r="AO27" s="244"/>
      <c r="AP27" s="256"/>
      <c r="AQ27" s="242"/>
      <c r="AR27" s="243"/>
      <c r="AS27" s="243"/>
      <c r="AT27" s="243"/>
      <c r="AU27" s="244"/>
      <c r="AV27" s="256"/>
      <c r="AW27" s="253"/>
      <c r="AX27" s="243"/>
      <c r="AY27" s="243"/>
      <c r="AZ27" s="256"/>
      <c r="BA27" s="260">
        <f t="shared" si="0"/>
        <v>0</v>
      </c>
      <c r="BB27" s="240">
        <v>23</v>
      </c>
      <c r="BC27" s="241"/>
      <c r="BD27" s="43"/>
      <c r="BE27" s="57"/>
      <c r="BF27" s="242"/>
      <c r="BG27" s="243"/>
      <c r="BH27" s="243"/>
      <c r="BI27" s="244"/>
      <c r="BJ27" s="256"/>
      <c r="BK27" s="253"/>
      <c r="BL27" s="243"/>
      <c r="BM27" s="243"/>
      <c r="BN27" s="244"/>
      <c r="BO27" s="253"/>
      <c r="BP27" s="243"/>
      <c r="BQ27" s="243"/>
      <c r="BR27" s="243"/>
      <c r="BS27" s="256"/>
      <c r="BT27" s="242"/>
      <c r="BU27" s="243"/>
      <c r="BV27" s="244"/>
      <c r="BW27" s="244"/>
      <c r="BX27" s="256"/>
      <c r="BY27" s="253"/>
      <c r="BZ27" s="243"/>
      <c r="CA27" s="243"/>
      <c r="CB27" s="243"/>
      <c r="CC27" s="256"/>
      <c r="CD27" s="242"/>
      <c r="CE27" s="243"/>
      <c r="CF27" s="243"/>
      <c r="CG27" s="244"/>
      <c r="CH27" s="253"/>
      <c r="CI27" s="243"/>
      <c r="CJ27" s="244"/>
      <c r="CK27" s="256"/>
      <c r="CL27" s="253"/>
      <c r="CM27" s="243"/>
      <c r="CN27" s="244"/>
      <c r="CO27" s="244"/>
      <c r="CP27" s="244"/>
      <c r="CQ27" s="256"/>
      <c r="CR27" s="253"/>
      <c r="CS27" s="243"/>
      <c r="CT27" s="244"/>
      <c r="CU27" s="244"/>
      <c r="CV27" s="244"/>
      <c r="CW27" s="256"/>
      <c r="CX27" s="253"/>
      <c r="CY27" s="243"/>
      <c r="CZ27" s="243"/>
      <c r="DA27" s="256"/>
      <c r="DB27" s="260">
        <f t="shared" si="1"/>
        <v>0</v>
      </c>
      <c r="DC27" s="273">
        <v>23</v>
      </c>
      <c r="DD27" s="241"/>
      <c r="DE27" s="43"/>
      <c r="DF27" s="57"/>
      <c r="DG27" s="242"/>
      <c r="DH27" s="243"/>
      <c r="DI27" s="243"/>
      <c r="DJ27" s="256"/>
      <c r="DK27" s="253"/>
      <c r="DL27" s="243"/>
      <c r="DM27" s="243"/>
      <c r="DN27" s="256"/>
      <c r="DO27" s="253"/>
      <c r="DP27" s="243"/>
      <c r="DQ27" s="243"/>
      <c r="DR27" s="256"/>
      <c r="DS27" s="253"/>
      <c r="DT27" s="243"/>
      <c r="DU27" s="256"/>
      <c r="DV27" s="253"/>
      <c r="DW27" s="243"/>
      <c r="DX27" s="243"/>
      <c r="DY27" s="244"/>
      <c r="DZ27" s="256"/>
      <c r="EA27" s="242"/>
      <c r="EB27" s="243"/>
      <c r="EC27" s="243"/>
      <c r="ED27" s="244"/>
      <c r="EE27" s="253"/>
      <c r="EF27" s="243"/>
      <c r="EG27" s="256"/>
      <c r="EH27" s="253"/>
      <c r="EI27" s="243"/>
      <c r="EJ27" s="256"/>
      <c r="EK27" s="253"/>
      <c r="EL27" s="243"/>
      <c r="EM27" s="256"/>
      <c r="EN27" s="253"/>
      <c r="EO27" s="243"/>
      <c r="EP27" s="256"/>
      <c r="EQ27" s="260">
        <f t="shared" si="2"/>
        <v>0</v>
      </c>
      <c r="ES27" s="205">
        <f>+'RETAION-BUS'!AK27+'RETAION-BUS'!BV27+'RETAION-BUS'!DG27</f>
        <v>0</v>
      </c>
      <c r="ET27" s="204">
        <f t="shared" si="3"/>
        <v>0</v>
      </c>
      <c r="EU27" s="278">
        <f t="shared" si="4"/>
        <v>0</v>
      </c>
    </row>
    <row r="28" spans="1:151">
      <c r="A28" s="245">
        <v>24</v>
      </c>
      <c r="B28" s="241"/>
      <c r="C28" s="43"/>
      <c r="D28" s="57"/>
      <c r="E28" s="242"/>
      <c r="F28" s="243"/>
      <c r="G28" s="243"/>
      <c r="H28" s="244"/>
      <c r="I28" s="244"/>
      <c r="J28" s="253"/>
      <c r="K28" s="243"/>
      <c r="L28" s="243"/>
      <c r="M28" s="244"/>
      <c r="N28" s="253"/>
      <c r="O28" s="243"/>
      <c r="P28" s="243"/>
      <c r="Q28" s="243"/>
      <c r="R28" s="256"/>
      <c r="S28" s="242"/>
      <c r="T28" s="243"/>
      <c r="U28" s="244"/>
      <c r="V28" s="244"/>
      <c r="W28" s="244"/>
      <c r="X28" s="253"/>
      <c r="Y28" s="243"/>
      <c r="Z28" s="243"/>
      <c r="AA28" s="244"/>
      <c r="AB28" s="256"/>
      <c r="AC28" s="242"/>
      <c r="AD28" s="243"/>
      <c r="AE28" s="243"/>
      <c r="AF28" s="244"/>
      <c r="AG28" s="253"/>
      <c r="AH28" s="243"/>
      <c r="AI28" s="244"/>
      <c r="AJ28" s="256"/>
      <c r="AK28" s="242"/>
      <c r="AL28" s="243"/>
      <c r="AM28" s="243"/>
      <c r="AN28" s="243"/>
      <c r="AO28" s="244"/>
      <c r="AP28" s="256"/>
      <c r="AQ28" s="242"/>
      <c r="AR28" s="243"/>
      <c r="AS28" s="243"/>
      <c r="AT28" s="243"/>
      <c r="AU28" s="244"/>
      <c r="AV28" s="256"/>
      <c r="AW28" s="253"/>
      <c r="AX28" s="243"/>
      <c r="AY28" s="243"/>
      <c r="AZ28" s="256"/>
      <c r="BA28" s="260">
        <f t="shared" si="0"/>
        <v>0</v>
      </c>
      <c r="BB28" s="245">
        <v>24</v>
      </c>
      <c r="BC28" s="241"/>
      <c r="BD28" s="43"/>
      <c r="BE28" s="57"/>
      <c r="BF28" s="242"/>
      <c r="BG28" s="243"/>
      <c r="BH28" s="243"/>
      <c r="BI28" s="244"/>
      <c r="BJ28" s="256"/>
      <c r="BK28" s="253"/>
      <c r="BL28" s="243"/>
      <c r="BM28" s="243"/>
      <c r="BN28" s="244"/>
      <c r="BO28" s="253"/>
      <c r="BP28" s="243"/>
      <c r="BQ28" s="243"/>
      <c r="BR28" s="243"/>
      <c r="BS28" s="256"/>
      <c r="BT28" s="242"/>
      <c r="BU28" s="243"/>
      <c r="BV28" s="244"/>
      <c r="BW28" s="244"/>
      <c r="BX28" s="256"/>
      <c r="BY28" s="253"/>
      <c r="BZ28" s="243"/>
      <c r="CA28" s="243"/>
      <c r="CB28" s="243"/>
      <c r="CC28" s="256"/>
      <c r="CD28" s="242"/>
      <c r="CE28" s="243"/>
      <c r="CF28" s="243"/>
      <c r="CG28" s="244"/>
      <c r="CH28" s="253"/>
      <c r="CI28" s="243"/>
      <c r="CJ28" s="244"/>
      <c r="CK28" s="256"/>
      <c r="CL28" s="253"/>
      <c r="CM28" s="243"/>
      <c r="CN28" s="244"/>
      <c r="CO28" s="244"/>
      <c r="CP28" s="244"/>
      <c r="CQ28" s="256"/>
      <c r="CR28" s="253"/>
      <c r="CS28" s="243"/>
      <c r="CT28" s="244"/>
      <c r="CU28" s="244"/>
      <c r="CV28" s="244"/>
      <c r="CW28" s="256"/>
      <c r="CX28" s="253"/>
      <c r="CY28" s="243"/>
      <c r="CZ28" s="243"/>
      <c r="DA28" s="256"/>
      <c r="DB28" s="260">
        <f t="shared" si="1"/>
        <v>0</v>
      </c>
      <c r="DC28" s="236">
        <v>24</v>
      </c>
      <c r="DD28" s="241"/>
      <c r="DE28" s="43"/>
      <c r="DF28" s="57"/>
      <c r="DG28" s="242"/>
      <c r="DH28" s="243"/>
      <c r="DI28" s="243"/>
      <c r="DJ28" s="256"/>
      <c r="DK28" s="253"/>
      <c r="DL28" s="243"/>
      <c r="DM28" s="243"/>
      <c r="DN28" s="256"/>
      <c r="DO28" s="253"/>
      <c r="DP28" s="243"/>
      <c r="DQ28" s="243"/>
      <c r="DR28" s="256"/>
      <c r="DS28" s="253"/>
      <c r="DT28" s="243"/>
      <c r="DU28" s="256"/>
      <c r="DV28" s="253"/>
      <c r="DW28" s="243"/>
      <c r="DX28" s="243"/>
      <c r="DY28" s="244"/>
      <c r="DZ28" s="256"/>
      <c r="EA28" s="242"/>
      <c r="EB28" s="243"/>
      <c r="EC28" s="243"/>
      <c r="ED28" s="244"/>
      <c r="EE28" s="253"/>
      <c r="EF28" s="243"/>
      <c r="EG28" s="256"/>
      <c r="EH28" s="253"/>
      <c r="EI28" s="243"/>
      <c r="EJ28" s="256"/>
      <c r="EK28" s="253"/>
      <c r="EL28" s="243"/>
      <c r="EM28" s="256"/>
      <c r="EN28" s="253"/>
      <c r="EO28" s="243"/>
      <c r="EP28" s="256"/>
      <c r="EQ28" s="260">
        <f t="shared" si="2"/>
        <v>0</v>
      </c>
      <c r="ES28" s="205">
        <f>+'RETAION-BUS'!AK28+'RETAION-BUS'!BV28+'RETAION-BUS'!DG28</f>
        <v>0</v>
      </c>
      <c r="ET28" s="204">
        <f t="shared" si="3"/>
        <v>0</v>
      </c>
      <c r="EU28" s="278">
        <f t="shared" si="4"/>
        <v>0</v>
      </c>
    </row>
    <row r="29" spans="1:151">
      <c r="A29" s="236">
        <v>25</v>
      </c>
      <c r="B29" s="241"/>
      <c r="C29" s="43"/>
      <c r="D29" s="57"/>
      <c r="E29" s="242"/>
      <c r="F29" s="243"/>
      <c r="G29" s="243"/>
      <c r="H29" s="244"/>
      <c r="I29" s="244"/>
      <c r="J29" s="253"/>
      <c r="K29" s="243"/>
      <c r="L29" s="243"/>
      <c r="M29" s="244"/>
      <c r="N29" s="253"/>
      <c r="O29" s="243"/>
      <c r="P29" s="243"/>
      <c r="Q29" s="243"/>
      <c r="R29" s="256"/>
      <c r="S29" s="242"/>
      <c r="T29" s="243"/>
      <c r="U29" s="244"/>
      <c r="V29" s="244"/>
      <c r="W29" s="244"/>
      <c r="X29" s="253"/>
      <c r="Y29" s="243"/>
      <c r="Z29" s="243"/>
      <c r="AA29" s="244"/>
      <c r="AB29" s="256"/>
      <c r="AC29" s="242"/>
      <c r="AD29" s="243"/>
      <c r="AE29" s="243"/>
      <c r="AF29" s="244"/>
      <c r="AG29" s="253"/>
      <c r="AH29" s="243"/>
      <c r="AI29" s="244"/>
      <c r="AJ29" s="256"/>
      <c r="AK29" s="242"/>
      <c r="AL29" s="243"/>
      <c r="AM29" s="243"/>
      <c r="AN29" s="243"/>
      <c r="AO29" s="244"/>
      <c r="AP29" s="256"/>
      <c r="AQ29" s="242"/>
      <c r="AR29" s="243"/>
      <c r="AS29" s="243"/>
      <c r="AT29" s="243"/>
      <c r="AU29" s="244"/>
      <c r="AV29" s="256"/>
      <c r="AW29" s="253"/>
      <c r="AX29" s="243"/>
      <c r="AY29" s="243"/>
      <c r="AZ29" s="256"/>
      <c r="BA29" s="260">
        <f t="shared" si="0"/>
        <v>0</v>
      </c>
      <c r="BB29" s="236">
        <v>25</v>
      </c>
      <c r="BC29" s="241"/>
      <c r="BD29" s="43"/>
      <c r="BE29" s="57"/>
      <c r="BF29" s="242"/>
      <c r="BG29" s="243"/>
      <c r="BH29" s="243"/>
      <c r="BI29" s="244"/>
      <c r="BJ29" s="256"/>
      <c r="BK29" s="253"/>
      <c r="BL29" s="243"/>
      <c r="BM29" s="243"/>
      <c r="BN29" s="244"/>
      <c r="BO29" s="253"/>
      <c r="BP29" s="243"/>
      <c r="BQ29" s="243"/>
      <c r="BR29" s="243"/>
      <c r="BS29" s="256"/>
      <c r="BT29" s="242"/>
      <c r="BU29" s="243"/>
      <c r="BV29" s="244"/>
      <c r="BW29" s="244"/>
      <c r="BX29" s="256"/>
      <c r="BY29" s="253"/>
      <c r="BZ29" s="243"/>
      <c r="CA29" s="243"/>
      <c r="CB29" s="243"/>
      <c r="CC29" s="256"/>
      <c r="CD29" s="242"/>
      <c r="CE29" s="243"/>
      <c r="CF29" s="243"/>
      <c r="CG29" s="244"/>
      <c r="CH29" s="253"/>
      <c r="CI29" s="243"/>
      <c r="CJ29" s="244"/>
      <c r="CK29" s="256"/>
      <c r="CL29" s="253"/>
      <c r="CM29" s="243"/>
      <c r="CN29" s="244"/>
      <c r="CO29" s="244"/>
      <c r="CP29" s="244"/>
      <c r="CQ29" s="256"/>
      <c r="CR29" s="253"/>
      <c r="CS29" s="243"/>
      <c r="CT29" s="244"/>
      <c r="CU29" s="244"/>
      <c r="CV29" s="244"/>
      <c r="CW29" s="256"/>
      <c r="CX29" s="253"/>
      <c r="CY29" s="243"/>
      <c r="CZ29" s="243"/>
      <c r="DA29" s="256"/>
      <c r="DB29" s="260">
        <f t="shared" si="1"/>
        <v>0</v>
      </c>
      <c r="DC29" s="236">
        <v>25</v>
      </c>
      <c r="DD29" s="241"/>
      <c r="DE29" s="43"/>
      <c r="DF29" s="57"/>
      <c r="DG29" s="242"/>
      <c r="DH29" s="243"/>
      <c r="DI29" s="243"/>
      <c r="DJ29" s="256"/>
      <c r="DK29" s="253"/>
      <c r="DL29" s="243"/>
      <c r="DM29" s="243"/>
      <c r="DN29" s="256"/>
      <c r="DO29" s="253"/>
      <c r="DP29" s="243"/>
      <c r="DQ29" s="243"/>
      <c r="DR29" s="256"/>
      <c r="DS29" s="253"/>
      <c r="DT29" s="243"/>
      <c r="DU29" s="256"/>
      <c r="DV29" s="253"/>
      <c r="DW29" s="243"/>
      <c r="DX29" s="243"/>
      <c r="DY29" s="244"/>
      <c r="DZ29" s="256"/>
      <c r="EA29" s="242"/>
      <c r="EB29" s="243"/>
      <c r="EC29" s="243"/>
      <c r="ED29" s="244"/>
      <c r="EE29" s="253"/>
      <c r="EF29" s="243"/>
      <c r="EG29" s="256"/>
      <c r="EH29" s="253"/>
      <c r="EI29" s="243"/>
      <c r="EJ29" s="256"/>
      <c r="EK29" s="253"/>
      <c r="EL29" s="243"/>
      <c r="EM29" s="256"/>
      <c r="EN29" s="253"/>
      <c r="EO29" s="243"/>
      <c r="EP29" s="256"/>
      <c r="EQ29" s="260">
        <f t="shared" si="2"/>
        <v>0</v>
      </c>
      <c r="ES29" s="205">
        <f>+'RETAION-BUS'!AK29+'RETAION-BUS'!BV29+'RETAION-BUS'!DG29</f>
        <v>0</v>
      </c>
      <c r="ET29" s="204">
        <f t="shared" si="3"/>
        <v>0</v>
      </c>
      <c r="EU29" s="278">
        <f t="shared" si="4"/>
        <v>0</v>
      </c>
    </row>
    <row r="30" spans="1:151">
      <c r="A30" s="240">
        <v>26</v>
      </c>
      <c r="B30" s="241"/>
      <c r="C30" s="43"/>
      <c r="D30" s="57"/>
      <c r="E30" s="242"/>
      <c r="F30" s="243"/>
      <c r="G30" s="243"/>
      <c r="H30" s="244"/>
      <c r="I30" s="244"/>
      <c r="J30" s="253"/>
      <c r="K30" s="243"/>
      <c r="L30" s="243"/>
      <c r="M30" s="244"/>
      <c r="N30" s="253"/>
      <c r="O30" s="243"/>
      <c r="P30" s="243"/>
      <c r="Q30" s="243"/>
      <c r="R30" s="256"/>
      <c r="S30" s="242"/>
      <c r="T30" s="243"/>
      <c r="U30" s="244"/>
      <c r="V30" s="244"/>
      <c r="W30" s="244"/>
      <c r="X30" s="253"/>
      <c r="Y30" s="243"/>
      <c r="Z30" s="243"/>
      <c r="AA30" s="244"/>
      <c r="AB30" s="256"/>
      <c r="AC30" s="242"/>
      <c r="AD30" s="243"/>
      <c r="AE30" s="243"/>
      <c r="AF30" s="244"/>
      <c r="AG30" s="253"/>
      <c r="AH30" s="243"/>
      <c r="AI30" s="244"/>
      <c r="AJ30" s="256"/>
      <c r="AK30" s="242"/>
      <c r="AL30" s="243"/>
      <c r="AM30" s="243"/>
      <c r="AN30" s="243"/>
      <c r="AO30" s="244"/>
      <c r="AP30" s="256"/>
      <c r="AQ30" s="242"/>
      <c r="AR30" s="243"/>
      <c r="AS30" s="243"/>
      <c r="AT30" s="243"/>
      <c r="AU30" s="244"/>
      <c r="AV30" s="256"/>
      <c r="AW30" s="253"/>
      <c r="AX30" s="243"/>
      <c r="AY30" s="243"/>
      <c r="AZ30" s="256"/>
      <c r="BA30" s="260">
        <f t="shared" si="0"/>
        <v>0</v>
      </c>
      <c r="BB30" s="240">
        <v>26</v>
      </c>
      <c r="BC30" s="241"/>
      <c r="BD30" s="43"/>
      <c r="BE30" s="57"/>
      <c r="BF30" s="242"/>
      <c r="BG30" s="243"/>
      <c r="BH30" s="243"/>
      <c r="BI30" s="244"/>
      <c r="BJ30" s="256"/>
      <c r="BK30" s="253"/>
      <c r="BL30" s="243"/>
      <c r="BM30" s="243"/>
      <c r="BN30" s="244"/>
      <c r="BO30" s="253"/>
      <c r="BP30" s="243"/>
      <c r="BQ30" s="243"/>
      <c r="BR30" s="243"/>
      <c r="BS30" s="256"/>
      <c r="BT30" s="242"/>
      <c r="BU30" s="243"/>
      <c r="BV30" s="244"/>
      <c r="BW30" s="244"/>
      <c r="BX30" s="256"/>
      <c r="BY30" s="253"/>
      <c r="BZ30" s="243"/>
      <c r="CA30" s="243"/>
      <c r="CB30" s="243"/>
      <c r="CC30" s="256"/>
      <c r="CD30" s="242"/>
      <c r="CE30" s="243"/>
      <c r="CF30" s="243"/>
      <c r="CG30" s="244"/>
      <c r="CH30" s="253"/>
      <c r="CI30" s="243"/>
      <c r="CJ30" s="244"/>
      <c r="CK30" s="256"/>
      <c r="CL30" s="253"/>
      <c r="CM30" s="243"/>
      <c r="CN30" s="244"/>
      <c r="CO30" s="244"/>
      <c r="CP30" s="244"/>
      <c r="CQ30" s="256"/>
      <c r="CR30" s="253"/>
      <c r="CS30" s="243"/>
      <c r="CT30" s="244"/>
      <c r="CU30" s="244"/>
      <c r="CV30" s="244"/>
      <c r="CW30" s="256"/>
      <c r="CX30" s="253"/>
      <c r="CY30" s="243"/>
      <c r="CZ30" s="243"/>
      <c r="DA30" s="256"/>
      <c r="DB30" s="260">
        <f t="shared" si="1"/>
        <v>0</v>
      </c>
      <c r="DC30" s="273">
        <v>26</v>
      </c>
      <c r="DD30" s="241"/>
      <c r="DE30" s="43"/>
      <c r="DF30" s="57"/>
      <c r="DG30" s="242"/>
      <c r="DH30" s="243"/>
      <c r="DI30" s="243"/>
      <c r="DJ30" s="256"/>
      <c r="DK30" s="253"/>
      <c r="DL30" s="243"/>
      <c r="DM30" s="243"/>
      <c r="DN30" s="256"/>
      <c r="DO30" s="253"/>
      <c r="DP30" s="243"/>
      <c r="DQ30" s="243"/>
      <c r="DR30" s="256"/>
      <c r="DS30" s="253"/>
      <c r="DT30" s="243"/>
      <c r="DU30" s="256"/>
      <c r="DV30" s="253"/>
      <c r="DW30" s="243"/>
      <c r="DX30" s="243"/>
      <c r="DY30" s="244"/>
      <c r="DZ30" s="256"/>
      <c r="EA30" s="242"/>
      <c r="EB30" s="243"/>
      <c r="EC30" s="243"/>
      <c r="ED30" s="244"/>
      <c r="EE30" s="253"/>
      <c r="EF30" s="243"/>
      <c r="EG30" s="256"/>
      <c r="EH30" s="253"/>
      <c r="EI30" s="243"/>
      <c r="EJ30" s="256"/>
      <c r="EK30" s="253"/>
      <c r="EL30" s="243"/>
      <c r="EM30" s="256"/>
      <c r="EN30" s="253"/>
      <c r="EO30" s="243"/>
      <c r="EP30" s="256"/>
      <c r="EQ30" s="260">
        <f t="shared" si="2"/>
        <v>0</v>
      </c>
      <c r="ES30" s="205">
        <f>+'RETAION-BUS'!AK30+'RETAION-BUS'!BV30+'RETAION-BUS'!DG30</f>
        <v>0</v>
      </c>
      <c r="ET30" s="204">
        <f t="shared" si="3"/>
        <v>0</v>
      </c>
      <c r="EU30" s="278">
        <f t="shared" si="4"/>
        <v>0</v>
      </c>
    </row>
    <row r="31" spans="1:151">
      <c r="A31" s="245">
        <v>27</v>
      </c>
      <c r="B31" s="241"/>
      <c r="C31" s="43"/>
      <c r="D31" s="57"/>
      <c r="E31" s="242"/>
      <c r="F31" s="243"/>
      <c r="G31" s="243"/>
      <c r="H31" s="244"/>
      <c r="I31" s="244"/>
      <c r="J31" s="253"/>
      <c r="K31" s="243"/>
      <c r="L31" s="243"/>
      <c r="M31" s="244"/>
      <c r="N31" s="253"/>
      <c r="O31" s="243"/>
      <c r="P31" s="243"/>
      <c r="Q31" s="243"/>
      <c r="R31" s="256"/>
      <c r="S31" s="242"/>
      <c r="T31" s="243"/>
      <c r="U31" s="244"/>
      <c r="V31" s="244"/>
      <c r="W31" s="244"/>
      <c r="X31" s="253"/>
      <c r="Y31" s="243"/>
      <c r="Z31" s="243"/>
      <c r="AA31" s="244"/>
      <c r="AB31" s="256"/>
      <c r="AC31" s="242"/>
      <c r="AD31" s="243"/>
      <c r="AE31" s="243"/>
      <c r="AF31" s="244"/>
      <c r="AG31" s="253"/>
      <c r="AH31" s="243"/>
      <c r="AI31" s="244"/>
      <c r="AJ31" s="256"/>
      <c r="AK31" s="242"/>
      <c r="AL31" s="243"/>
      <c r="AM31" s="243"/>
      <c r="AN31" s="243"/>
      <c r="AO31" s="244"/>
      <c r="AP31" s="256"/>
      <c r="AQ31" s="242"/>
      <c r="AR31" s="243"/>
      <c r="AS31" s="243"/>
      <c r="AT31" s="243"/>
      <c r="AU31" s="244"/>
      <c r="AV31" s="256"/>
      <c r="AW31" s="253"/>
      <c r="AX31" s="243"/>
      <c r="AY31" s="243"/>
      <c r="AZ31" s="256"/>
      <c r="BA31" s="260">
        <f t="shared" si="0"/>
        <v>0</v>
      </c>
      <c r="BB31" s="245">
        <v>27</v>
      </c>
      <c r="BC31" s="241"/>
      <c r="BD31" s="43"/>
      <c r="BE31" s="57"/>
      <c r="BF31" s="242"/>
      <c r="BG31" s="243"/>
      <c r="BH31" s="243"/>
      <c r="BI31" s="244"/>
      <c r="BJ31" s="256"/>
      <c r="BK31" s="253"/>
      <c r="BL31" s="243"/>
      <c r="BM31" s="243"/>
      <c r="BN31" s="244"/>
      <c r="BO31" s="253"/>
      <c r="BP31" s="243"/>
      <c r="BQ31" s="243"/>
      <c r="BR31" s="243"/>
      <c r="BS31" s="256"/>
      <c r="BT31" s="242"/>
      <c r="BU31" s="243"/>
      <c r="BV31" s="244"/>
      <c r="BW31" s="244"/>
      <c r="BX31" s="256"/>
      <c r="BY31" s="253"/>
      <c r="BZ31" s="243"/>
      <c r="CA31" s="243"/>
      <c r="CB31" s="243"/>
      <c r="CC31" s="256"/>
      <c r="CD31" s="242"/>
      <c r="CE31" s="243"/>
      <c r="CF31" s="243"/>
      <c r="CG31" s="244"/>
      <c r="CH31" s="253"/>
      <c r="CI31" s="243"/>
      <c r="CJ31" s="244"/>
      <c r="CK31" s="256"/>
      <c r="CL31" s="253"/>
      <c r="CM31" s="243"/>
      <c r="CN31" s="244"/>
      <c r="CO31" s="244"/>
      <c r="CP31" s="244"/>
      <c r="CQ31" s="256"/>
      <c r="CR31" s="253"/>
      <c r="CS31" s="243"/>
      <c r="CT31" s="244"/>
      <c r="CU31" s="244"/>
      <c r="CV31" s="244"/>
      <c r="CW31" s="256"/>
      <c r="CX31" s="253"/>
      <c r="CY31" s="243"/>
      <c r="CZ31" s="243"/>
      <c r="DA31" s="256"/>
      <c r="DB31" s="260">
        <f t="shared" si="1"/>
        <v>0</v>
      </c>
      <c r="DC31" s="236">
        <v>27</v>
      </c>
      <c r="DD31" s="241"/>
      <c r="DE31" s="43"/>
      <c r="DF31" s="57"/>
      <c r="DG31" s="242"/>
      <c r="DH31" s="243"/>
      <c r="DI31" s="243"/>
      <c r="DJ31" s="256"/>
      <c r="DK31" s="253"/>
      <c r="DL31" s="243"/>
      <c r="DM31" s="243"/>
      <c r="DN31" s="256"/>
      <c r="DO31" s="253"/>
      <c r="DP31" s="243"/>
      <c r="DQ31" s="243"/>
      <c r="DR31" s="256"/>
      <c r="DS31" s="253"/>
      <c r="DT31" s="243"/>
      <c r="DU31" s="256"/>
      <c r="DV31" s="253"/>
      <c r="DW31" s="243"/>
      <c r="DX31" s="243"/>
      <c r="DY31" s="244"/>
      <c r="DZ31" s="256"/>
      <c r="EA31" s="242"/>
      <c r="EB31" s="243"/>
      <c r="EC31" s="243"/>
      <c r="ED31" s="244"/>
      <c r="EE31" s="253"/>
      <c r="EF31" s="243"/>
      <c r="EG31" s="256"/>
      <c r="EH31" s="253"/>
      <c r="EI31" s="243"/>
      <c r="EJ31" s="256"/>
      <c r="EK31" s="253"/>
      <c r="EL31" s="243"/>
      <c r="EM31" s="256"/>
      <c r="EN31" s="253"/>
      <c r="EO31" s="243"/>
      <c r="EP31" s="256"/>
      <c r="EQ31" s="260">
        <f t="shared" si="2"/>
        <v>0</v>
      </c>
      <c r="ES31" s="205">
        <f>+'RETAION-BUS'!AK31+'RETAION-BUS'!BV31+'RETAION-BUS'!DG31</f>
        <v>0</v>
      </c>
      <c r="ET31" s="204">
        <f t="shared" si="3"/>
        <v>0</v>
      </c>
      <c r="EU31" s="278">
        <f t="shared" si="4"/>
        <v>0</v>
      </c>
    </row>
    <row r="32" spans="1:151">
      <c r="A32" s="236">
        <v>28</v>
      </c>
      <c r="B32" s="241"/>
      <c r="C32" s="43"/>
      <c r="D32" s="57"/>
      <c r="E32" s="242"/>
      <c r="F32" s="243"/>
      <c r="G32" s="243"/>
      <c r="H32" s="244"/>
      <c r="I32" s="244"/>
      <c r="J32" s="253"/>
      <c r="K32" s="243"/>
      <c r="L32" s="243"/>
      <c r="M32" s="244"/>
      <c r="N32" s="253"/>
      <c r="O32" s="243"/>
      <c r="P32" s="243"/>
      <c r="Q32" s="243"/>
      <c r="R32" s="256"/>
      <c r="S32" s="242"/>
      <c r="T32" s="243"/>
      <c r="U32" s="244"/>
      <c r="V32" s="244"/>
      <c r="W32" s="244"/>
      <c r="X32" s="253"/>
      <c r="Y32" s="243"/>
      <c r="Z32" s="243"/>
      <c r="AA32" s="244"/>
      <c r="AB32" s="256"/>
      <c r="AC32" s="242"/>
      <c r="AD32" s="243"/>
      <c r="AE32" s="243"/>
      <c r="AF32" s="244"/>
      <c r="AG32" s="253"/>
      <c r="AH32" s="243"/>
      <c r="AI32" s="244"/>
      <c r="AJ32" s="256"/>
      <c r="AK32" s="242"/>
      <c r="AL32" s="243"/>
      <c r="AM32" s="243"/>
      <c r="AN32" s="243"/>
      <c r="AO32" s="244"/>
      <c r="AP32" s="256"/>
      <c r="AQ32" s="242"/>
      <c r="AR32" s="243"/>
      <c r="AS32" s="243"/>
      <c r="AT32" s="243"/>
      <c r="AU32" s="244"/>
      <c r="AV32" s="256"/>
      <c r="AW32" s="253"/>
      <c r="AX32" s="243"/>
      <c r="AY32" s="243"/>
      <c r="AZ32" s="256"/>
      <c r="BA32" s="260">
        <f t="shared" si="0"/>
        <v>0</v>
      </c>
      <c r="BB32" s="236">
        <v>28</v>
      </c>
      <c r="BC32" s="241"/>
      <c r="BD32" s="43"/>
      <c r="BE32" s="57"/>
      <c r="BF32" s="242"/>
      <c r="BG32" s="243"/>
      <c r="BH32" s="243"/>
      <c r="BI32" s="244"/>
      <c r="BJ32" s="256"/>
      <c r="BK32" s="253"/>
      <c r="BL32" s="243"/>
      <c r="BM32" s="243"/>
      <c r="BN32" s="244"/>
      <c r="BO32" s="253"/>
      <c r="BP32" s="243"/>
      <c r="BQ32" s="243"/>
      <c r="BR32" s="243"/>
      <c r="BS32" s="256"/>
      <c r="BT32" s="242"/>
      <c r="BU32" s="243"/>
      <c r="BV32" s="244"/>
      <c r="BW32" s="244"/>
      <c r="BX32" s="256"/>
      <c r="BY32" s="253"/>
      <c r="BZ32" s="243"/>
      <c r="CA32" s="243"/>
      <c r="CB32" s="243"/>
      <c r="CC32" s="256"/>
      <c r="CD32" s="242"/>
      <c r="CE32" s="243"/>
      <c r="CF32" s="243"/>
      <c r="CG32" s="244"/>
      <c r="CH32" s="253"/>
      <c r="CI32" s="243"/>
      <c r="CJ32" s="244"/>
      <c r="CK32" s="256"/>
      <c r="CL32" s="253"/>
      <c r="CM32" s="243"/>
      <c r="CN32" s="244"/>
      <c r="CO32" s="244"/>
      <c r="CP32" s="244"/>
      <c r="CQ32" s="256"/>
      <c r="CR32" s="253"/>
      <c r="CS32" s="243"/>
      <c r="CT32" s="244"/>
      <c r="CU32" s="244"/>
      <c r="CV32" s="244"/>
      <c r="CW32" s="256"/>
      <c r="CX32" s="253"/>
      <c r="CY32" s="243"/>
      <c r="CZ32" s="243"/>
      <c r="DA32" s="256"/>
      <c r="DB32" s="260">
        <f t="shared" si="1"/>
        <v>0</v>
      </c>
      <c r="DC32" s="236">
        <v>28</v>
      </c>
      <c r="DD32" s="241"/>
      <c r="DE32" s="43"/>
      <c r="DF32" s="57"/>
      <c r="DG32" s="242"/>
      <c r="DH32" s="243"/>
      <c r="DI32" s="243"/>
      <c r="DJ32" s="256"/>
      <c r="DK32" s="253"/>
      <c r="DL32" s="243"/>
      <c r="DM32" s="243"/>
      <c r="DN32" s="256"/>
      <c r="DO32" s="253"/>
      <c r="DP32" s="243"/>
      <c r="DQ32" s="243"/>
      <c r="DR32" s="256"/>
      <c r="DS32" s="253"/>
      <c r="DT32" s="243"/>
      <c r="DU32" s="256"/>
      <c r="DV32" s="253"/>
      <c r="DW32" s="243"/>
      <c r="DX32" s="243"/>
      <c r="DY32" s="244"/>
      <c r="DZ32" s="256"/>
      <c r="EA32" s="242"/>
      <c r="EB32" s="243"/>
      <c r="EC32" s="243"/>
      <c r="ED32" s="244"/>
      <c r="EE32" s="253"/>
      <c r="EF32" s="243"/>
      <c r="EG32" s="256"/>
      <c r="EH32" s="253"/>
      <c r="EI32" s="243"/>
      <c r="EJ32" s="256"/>
      <c r="EK32" s="253"/>
      <c r="EL32" s="243"/>
      <c r="EM32" s="256"/>
      <c r="EN32" s="253"/>
      <c r="EO32" s="243"/>
      <c r="EP32" s="256"/>
      <c r="EQ32" s="260">
        <f t="shared" si="2"/>
        <v>0</v>
      </c>
      <c r="ES32" s="205">
        <f>+'RETAION-BUS'!AK32+'RETAION-BUS'!BV32+'RETAION-BUS'!DG32</f>
        <v>0</v>
      </c>
      <c r="ET32" s="204">
        <f t="shared" si="3"/>
        <v>0</v>
      </c>
      <c r="EU32" s="278">
        <f t="shared" si="4"/>
        <v>0</v>
      </c>
    </row>
    <row r="33" spans="1:151" s="1" customFormat="1">
      <c r="A33" s="240">
        <v>29</v>
      </c>
      <c r="B33" s="241"/>
      <c r="C33" s="43"/>
      <c r="D33" s="57"/>
      <c r="E33" s="242"/>
      <c r="F33" s="243"/>
      <c r="G33" s="243"/>
      <c r="H33" s="244"/>
      <c r="I33" s="244"/>
      <c r="J33" s="253"/>
      <c r="K33" s="243"/>
      <c r="L33" s="243"/>
      <c r="M33" s="244"/>
      <c r="N33" s="253"/>
      <c r="O33" s="243"/>
      <c r="P33" s="243"/>
      <c r="Q33" s="243"/>
      <c r="R33" s="256"/>
      <c r="S33" s="242"/>
      <c r="T33" s="243"/>
      <c r="U33" s="244"/>
      <c r="V33" s="244"/>
      <c r="W33" s="244"/>
      <c r="X33" s="253"/>
      <c r="Y33" s="243"/>
      <c r="Z33" s="243"/>
      <c r="AA33" s="244"/>
      <c r="AB33" s="256"/>
      <c r="AC33" s="242"/>
      <c r="AD33" s="243"/>
      <c r="AE33" s="243"/>
      <c r="AF33" s="244"/>
      <c r="AG33" s="253"/>
      <c r="AH33" s="243"/>
      <c r="AI33" s="244"/>
      <c r="AJ33" s="256"/>
      <c r="AK33" s="242"/>
      <c r="AL33" s="243"/>
      <c r="AM33" s="243"/>
      <c r="AN33" s="243"/>
      <c r="AO33" s="244"/>
      <c r="AP33" s="256"/>
      <c r="AQ33" s="242"/>
      <c r="AR33" s="243"/>
      <c r="AS33" s="243"/>
      <c r="AT33" s="243"/>
      <c r="AU33" s="244"/>
      <c r="AV33" s="256"/>
      <c r="AW33" s="253"/>
      <c r="AX33" s="243"/>
      <c r="AY33" s="243"/>
      <c r="AZ33" s="256"/>
      <c r="BA33" s="260">
        <f t="shared" si="0"/>
        <v>0</v>
      </c>
      <c r="BB33" s="240">
        <v>29</v>
      </c>
      <c r="BC33" s="241"/>
      <c r="BD33" s="43"/>
      <c r="BE33" s="57"/>
      <c r="BF33" s="242"/>
      <c r="BG33" s="243"/>
      <c r="BH33" s="243"/>
      <c r="BI33" s="244"/>
      <c r="BJ33" s="256"/>
      <c r="BK33" s="253"/>
      <c r="BL33" s="243"/>
      <c r="BM33" s="243"/>
      <c r="BN33" s="244"/>
      <c r="BO33" s="253"/>
      <c r="BP33" s="243"/>
      <c r="BQ33" s="243"/>
      <c r="BR33" s="243"/>
      <c r="BS33" s="256"/>
      <c r="BT33" s="242"/>
      <c r="BU33" s="243"/>
      <c r="BV33" s="244"/>
      <c r="BW33" s="244"/>
      <c r="BX33" s="256"/>
      <c r="BY33" s="253"/>
      <c r="BZ33" s="243"/>
      <c r="CA33" s="243"/>
      <c r="CB33" s="243"/>
      <c r="CC33" s="256"/>
      <c r="CD33" s="242"/>
      <c r="CE33" s="243"/>
      <c r="CF33" s="243"/>
      <c r="CG33" s="244"/>
      <c r="CH33" s="253"/>
      <c r="CI33" s="243"/>
      <c r="CJ33" s="244"/>
      <c r="CK33" s="256"/>
      <c r="CL33" s="253"/>
      <c r="CM33" s="243"/>
      <c r="CN33" s="244"/>
      <c r="CO33" s="244"/>
      <c r="CP33" s="244"/>
      <c r="CQ33" s="256"/>
      <c r="CR33" s="253"/>
      <c r="CS33" s="243"/>
      <c r="CT33" s="244"/>
      <c r="CU33" s="244"/>
      <c r="CV33" s="244"/>
      <c r="CW33" s="256"/>
      <c r="CX33" s="253"/>
      <c r="CY33" s="243"/>
      <c r="CZ33" s="243"/>
      <c r="DA33" s="256"/>
      <c r="DB33" s="260">
        <f t="shared" si="1"/>
        <v>0</v>
      </c>
      <c r="DC33" s="273">
        <v>29</v>
      </c>
      <c r="DD33" s="241"/>
      <c r="DE33" s="43"/>
      <c r="DF33" s="57"/>
      <c r="DG33" s="242"/>
      <c r="DH33" s="243"/>
      <c r="DI33" s="243"/>
      <c r="DJ33" s="256"/>
      <c r="DK33" s="253"/>
      <c r="DL33" s="243"/>
      <c r="DM33" s="243"/>
      <c r="DN33" s="256"/>
      <c r="DO33" s="253"/>
      <c r="DP33" s="243"/>
      <c r="DQ33" s="243"/>
      <c r="DR33" s="256"/>
      <c r="DS33" s="253"/>
      <c r="DT33" s="243"/>
      <c r="DU33" s="256"/>
      <c r="DV33" s="253"/>
      <c r="DW33" s="243"/>
      <c r="DX33" s="243"/>
      <c r="DY33" s="244"/>
      <c r="DZ33" s="256"/>
      <c r="EA33" s="242"/>
      <c r="EB33" s="243"/>
      <c r="EC33" s="243"/>
      <c r="ED33" s="244"/>
      <c r="EE33" s="253"/>
      <c r="EF33" s="243"/>
      <c r="EG33" s="256"/>
      <c r="EH33" s="253"/>
      <c r="EI33" s="243"/>
      <c r="EJ33" s="256"/>
      <c r="EK33" s="253"/>
      <c r="EL33" s="243"/>
      <c r="EM33" s="256"/>
      <c r="EN33" s="253"/>
      <c r="EO33" s="243"/>
      <c r="EP33" s="256"/>
      <c r="EQ33" s="260">
        <f t="shared" si="2"/>
        <v>0</v>
      </c>
      <c r="ES33" s="205">
        <f>+'RETAION-BUS'!AK33+'RETAION-BUS'!BV33+'RETAION-BUS'!DG33</f>
        <v>0</v>
      </c>
      <c r="ET33" s="204">
        <f t="shared" si="3"/>
        <v>0</v>
      </c>
      <c r="EU33" s="278">
        <f t="shared" si="4"/>
        <v>0</v>
      </c>
    </row>
    <row r="34" spans="1:151">
      <c r="A34" s="245">
        <v>30</v>
      </c>
      <c r="B34" s="241"/>
      <c r="C34" s="43"/>
      <c r="D34" s="57"/>
      <c r="E34" s="242"/>
      <c r="F34" s="243"/>
      <c r="G34" s="243"/>
      <c r="H34" s="244"/>
      <c r="I34" s="244"/>
      <c r="J34" s="253"/>
      <c r="K34" s="243"/>
      <c r="L34" s="243"/>
      <c r="M34" s="244"/>
      <c r="N34" s="253"/>
      <c r="O34" s="243"/>
      <c r="P34" s="243"/>
      <c r="Q34" s="243"/>
      <c r="R34" s="256"/>
      <c r="S34" s="242"/>
      <c r="T34" s="243"/>
      <c r="U34" s="244"/>
      <c r="V34" s="244"/>
      <c r="W34" s="244"/>
      <c r="X34" s="253"/>
      <c r="Y34" s="243"/>
      <c r="Z34" s="243"/>
      <c r="AA34" s="244"/>
      <c r="AB34" s="256"/>
      <c r="AC34" s="242"/>
      <c r="AD34" s="243"/>
      <c r="AE34" s="243"/>
      <c r="AF34" s="244"/>
      <c r="AG34" s="253"/>
      <c r="AH34" s="243"/>
      <c r="AI34" s="244"/>
      <c r="AJ34" s="256"/>
      <c r="AK34" s="242"/>
      <c r="AL34" s="243"/>
      <c r="AM34" s="243"/>
      <c r="AN34" s="243"/>
      <c r="AO34" s="244"/>
      <c r="AP34" s="256"/>
      <c r="AQ34" s="242"/>
      <c r="AR34" s="243"/>
      <c r="AS34" s="243"/>
      <c r="AT34" s="243"/>
      <c r="AU34" s="244"/>
      <c r="AV34" s="256"/>
      <c r="AW34" s="253"/>
      <c r="AX34" s="243"/>
      <c r="AY34" s="243"/>
      <c r="AZ34" s="256"/>
      <c r="BA34" s="260">
        <f t="shared" si="0"/>
        <v>0</v>
      </c>
      <c r="BB34" s="245">
        <v>30</v>
      </c>
      <c r="BC34" s="241"/>
      <c r="BD34" s="43"/>
      <c r="BE34" s="57"/>
      <c r="BF34" s="242"/>
      <c r="BG34" s="243"/>
      <c r="BH34" s="243"/>
      <c r="BI34" s="244"/>
      <c r="BJ34" s="256"/>
      <c r="BK34" s="253"/>
      <c r="BL34" s="243"/>
      <c r="BM34" s="243"/>
      <c r="BN34" s="244"/>
      <c r="BO34" s="253"/>
      <c r="BP34" s="243"/>
      <c r="BQ34" s="243"/>
      <c r="BR34" s="243"/>
      <c r="BS34" s="256"/>
      <c r="BT34" s="242"/>
      <c r="BU34" s="243"/>
      <c r="BV34" s="244"/>
      <c r="BW34" s="244"/>
      <c r="BX34" s="256"/>
      <c r="BY34" s="253"/>
      <c r="BZ34" s="243"/>
      <c r="CA34" s="243"/>
      <c r="CB34" s="243"/>
      <c r="CC34" s="256"/>
      <c r="CD34" s="242"/>
      <c r="CE34" s="243"/>
      <c r="CF34" s="243"/>
      <c r="CG34" s="244"/>
      <c r="CH34" s="253"/>
      <c r="CI34" s="243"/>
      <c r="CJ34" s="244"/>
      <c r="CK34" s="256"/>
      <c r="CL34" s="253"/>
      <c r="CM34" s="243"/>
      <c r="CN34" s="244"/>
      <c r="CO34" s="244"/>
      <c r="CP34" s="244"/>
      <c r="CQ34" s="256"/>
      <c r="CR34" s="253"/>
      <c r="CS34" s="243"/>
      <c r="CT34" s="244"/>
      <c r="CU34" s="244"/>
      <c r="CV34" s="244"/>
      <c r="CW34" s="256"/>
      <c r="CX34" s="253"/>
      <c r="CY34" s="243"/>
      <c r="CZ34" s="243"/>
      <c r="DA34" s="256"/>
      <c r="DB34" s="260">
        <f t="shared" si="1"/>
        <v>0</v>
      </c>
      <c r="DC34" s="236">
        <v>30</v>
      </c>
      <c r="DD34" s="241"/>
      <c r="DE34" s="43"/>
      <c r="DF34" s="57"/>
      <c r="DG34" s="242"/>
      <c r="DH34" s="243"/>
      <c r="DI34" s="243"/>
      <c r="DJ34" s="256"/>
      <c r="DK34" s="253"/>
      <c r="DL34" s="243"/>
      <c r="DM34" s="243"/>
      <c r="DN34" s="256"/>
      <c r="DO34" s="253"/>
      <c r="DP34" s="243"/>
      <c r="DQ34" s="243"/>
      <c r="DR34" s="256"/>
      <c r="DS34" s="253"/>
      <c r="DT34" s="243"/>
      <c r="DU34" s="256"/>
      <c r="DV34" s="253"/>
      <c r="DW34" s="243"/>
      <c r="DX34" s="243"/>
      <c r="DY34" s="244"/>
      <c r="DZ34" s="256"/>
      <c r="EA34" s="242"/>
      <c r="EB34" s="243"/>
      <c r="EC34" s="243"/>
      <c r="ED34" s="244"/>
      <c r="EE34" s="253"/>
      <c r="EF34" s="243"/>
      <c r="EG34" s="256"/>
      <c r="EH34" s="253"/>
      <c r="EI34" s="243"/>
      <c r="EJ34" s="256"/>
      <c r="EK34" s="253"/>
      <c r="EL34" s="243"/>
      <c r="EM34" s="256"/>
      <c r="EN34" s="253"/>
      <c r="EO34" s="243"/>
      <c r="EP34" s="256"/>
      <c r="EQ34" s="260">
        <f t="shared" si="2"/>
        <v>0</v>
      </c>
      <c r="ES34" s="205">
        <f>+'RETAION-BUS'!AK34+'RETAION-BUS'!BV34+'RETAION-BUS'!DG34</f>
        <v>0</v>
      </c>
      <c r="ET34" s="204">
        <f t="shared" si="3"/>
        <v>0</v>
      </c>
      <c r="EU34" s="278">
        <f t="shared" si="4"/>
        <v>0</v>
      </c>
    </row>
    <row r="35" spans="1:151">
      <c r="A35" s="236">
        <v>31</v>
      </c>
      <c r="B35" s="246"/>
      <c r="C35" s="60"/>
      <c r="D35" s="64"/>
      <c r="E35" s="247"/>
      <c r="F35" s="248"/>
      <c r="G35" s="248"/>
      <c r="H35" s="249"/>
      <c r="I35" s="249"/>
      <c r="J35" s="254"/>
      <c r="K35" s="248"/>
      <c r="L35" s="248"/>
      <c r="M35" s="249"/>
      <c r="N35" s="254"/>
      <c r="O35" s="248"/>
      <c r="P35" s="248"/>
      <c r="Q35" s="248"/>
      <c r="R35" s="257"/>
      <c r="S35" s="247"/>
      <c r="T35" s="248"/>
      <c r="U35" s="249"/>
      <c r="V35" s="249"/>
      <c r="W35" s="249"/>
      <c r="X35" s="254"/>
      <c r="Y35" s="248"/>
      <c r="Z35" s="248"/>
      <c r="AA35" s="249"/>
      <c r="AB35" s="257"/>
      <c r="AC35" s="247"/>
      <c r="AD35" s="248"/>
      <c r="AE35" s="248"/>
      <c r="AF35" s="249"/>
      <c r="AG35" s="254"/>
      <c r="AH35" s="248"/>
      <c r="AI35" s="249"/>
      <c r="AJ35" s="257"/>
      <c r="AK35" s="247"/>
      <c r="AL35" s="248"/>
      <c r="AM35" s="248"/>
      <c r="AN35" s="248"/>
      <c r="AO35" s="249"/>
      <c r="AP35" s="257"/>
      <c r="AQ35" s="247"/>
      <c r="AR35" s="248"/>
      <c r="AS35" s="248"/>
      <c r="AT35" s="248"/>
      <c r="AU35" s="249"/>
      <c r="AV35" s="257"/>
      <c r="AW35" s="254"/>
      <c r="AX35" s="248"/>
      <c r="AY35" s="248"/>
      <c r="AZ35" s="257"/>
      <c r="BA35" s="260">
        <f t="shared" si="0"/>
        <v>0</v>
      </c>
      <c r="BB35" s="236">
        <v>31</v>
      </c>
      <c r="BC35" s="246"/>
      <c r="BD35" s="60"/>
      <c r="BE35" s="64"/>
      <c r="BF35" s="247"/>
      <c r="BG35" s="248"/>
      <c r="BH35" s="248"/>
      <c r="BI35" s="249"/>
      <c r="BJ35" s="257"/>
      <c r="BK35" s="254"/>
      <c r="BL35" s="248"/>
      <c r="BM35" s="248"/>
      <c r="BN35" s="249"/>
      <c r="BO35" s="254"/>
      <c r="BP35" s="248"/>
      <c r="BQ35" s="248"/>
      <c r="BR35" s="248"/>
      <c r="BS35" s="257"/>
      <c r="BT35" s="247"/>
      <c r="BU35" s="248"/>
      <c r="BV35" s="249"/>
      <c r="BW35" s="249"/>
      <c r="BX35" s="257"/>
      <c r="BY35" s="254"/>
      <c r="BZ35" s="248"/>
      <c r="CA35" s="248"/>
      <c r="CB35" s="248"/>
      <c r="CC35" s="257"/>
      <c r="CD35" s="247"/>
      <c r="CE35" s="248"/>
      <c r="CF35" s="248"/>
      <c r="CG35" s="249"/>
      <c r="CH35" s="254"/>
      <c r="CI35" s="248"/>
      <c r="CJ35" s="249"/>
      <c r="CK35" s="257"/>
      <c r="CL35" s="254"/>
      <c r="CM35" s="248"/>
      <c r="CN35" s="249"/>
      <c r="CO35" s="249"/>
      <c r="CP35" s="249"/>
      <c r="CQ35" s="257"/>
      <c r="CR35" s="254"/>
      <c r="CS35" s="248"/>
      <c r="CT35" s="249"/>
      <c r="CU35" s="249"/>
      <c r="CV35" s="249"/>
      <c r="CW35" s="257"/>
      <c r="CX35" s="254"/>
      <c r="CY35" s="248"/>
      <c r="CZ35" s="248"/>
      <c r="DA35" s="257"/>
      <c r="DB35" s="274">
        <f t="shared" si="1"/>
        <v>0</v>
      </c>
      <c r="DC35" s="236">
        <v>31</v>
      </c>
      <c r="DD35" s="246"/>
      <c r="DE35" s="60"/>
      <c r="DF35" s="64"/>
      <c r="DG35" s="247"/>
      <c r="DH35" s="248"/>
      <c r="DI35" s="248"/>
      <c r="DJ35" s="257"/>
      <c r="DK35" s="254"/>
      <c r="DL35" s="248"/>
      <c r="DM35" s="248"/>
      <c r="DN35" s="257"/>
      <c r="DO35" s="254"/>
      <c r="DP35" s="248"/>
      <c r="DQ35" s="248"/>
      <c r="DR35" s="257"/>
      <c r="DS35" s="254"/>
      <c r="DT35" s="248"/>
      <c r="DU35" s="257"/>
      <c r="DV35" s="254"/>
      <c r="DW35" s="248"/>
      <c r="DX35" s="248"/>
      <c r="DY35" s="249"/>
      <c r="DZ35" s="257"/>
      <c r="EA35" s="247"/>
      <c r="EB35" s="248"/>
      <c r="EC35" s="248"/>
      <c r="ED35" s="249"/>
      <c r="EE35" s="254"/>
      <c r="EF35" s="248"/>
      <c r="EG35" s="257"/>
      <c r="EH35" s="254"/>
      <c r="EI35" s="248"/>
      <c r="EJ35" s="257"/>
      <c r="EK35" s="254"/>
      <c r="EL35" s="248"/>
      <c r="EM35" s="257"/>
      <c r="EN35" s="254"/>
      <c r="EO35" s="248"/>
      <c r="EP35" s="257"/>
      <c r="EQ35" s="260">
        <f t="shared" si="2"/>
        <v>0</v>
      </c>
      <c r="ES35" s="205">
        <f>+'RETAION-BUS'!AK35+'RETAION-BUS'!BV35+'RETAION-BUS'!DG35</f>
        <v>0</v>
      </c>
      <c r="ET35" s="204">
        <f t="shared" si="3"/>
        <v>0</v>
      </c>
      <c r="EU35" s="279">
        <f t="shared" si="4"/>
        <v>0</v>
      </c>
    </row>
    <row r="36" spans="1:151">
      <c r="B36" s="479">
        <f>SUM(B5:D35)</f>
        <v>0</v>
      </c>
      <c r="C36" s="480"/>
      <c r="D36" s="480"/>
      <c r="E36" s="487">
        <f>SUM(E5:I35)</f>
        <v>0</v>
      </c>
      <c r="F36" s="488"/>
      <c r="G36" s="488"/>
      <c r="H36" s="488"/>
      <c r="I36" s="489"/>
      <c r="J36" s="487">
        <f>SUM(J5:M35)</f>
        <v>0</v>
      </c>
      <c r="K36" s="488"/>
      <c r="L36" s="488"/>
      <c r="M36" s="489"/>
      <c r="N36" s="487">
        <f>SUM(N5:R35)</f>
        <v>0</v>
      </c>
      <c r="O36" s="488"/>
      <c r="P36" s="488"/>
      <c r="Q36" s="488"/>
      <c r="R36" s="489"/>
      <c r="S36" s="487">
        <f>SUM(S5:W35)</f>
        <v>0</v>
      </c>
      <c r="T36" s="488"/>
      <c r="U36" s="488"/>
      <c r="V36" s="488"/>
      <c r="W36" s="489"/>
      <c r="X36" s="487">
        <f>SUM(X5:AB35)</f>
        <v>0</v>
      </c>
      <c r="Y36" s="488"/>
      <c r="Z36" s="488"/>
      <c r="AA36" s="488"/>
      <c r="AB36" s="489"/>
      <c r="AC36" s="487">
        <f>SUM(AC5:AF35)</f>
        <v>0</v>
      </c>
      <c r="AD36" s="488"/>
      <c r="AE36" s="488"/>
      <c r="AF36" s="489"/>
      <c r="AG36" s="487">
        <f>SUM(AG5:AJ35)</f>
        <v>0</v>
      </c>
      <c r="AH36" s="488"/>
      <c r="AI36" s="488"/>
      <c r="AJ36" s="489"/>
      <c r="AK36" s="487">
        <f>SUM(AK5:AP35)</f>
        <v>0</v>
      </c>
      <c r="AL36" s="488"/>
      <c r="AM36" s="488"/>
      <c r="AN36" s="488"/>
      <c r="AO36" s="488"/>
      <c r="AP36" s="489"/>
      <c r="AQ36" s="487">
        <f>SUM(AQ5:AV35)</f>
        <v>0</v>
      </c>
      <c r="AR36" s="488"/>
      <c r="AS36" s="488"/>
      <c r="AT36" s="488"/>
      <c r="AU36" s="488"/>
      <c r="AV36" s="489"/>
      <c r="AW36" s="487">
        <f>SUM(AW5:AZ35)</f>
        <v>0</v>
      </c>
      <c r="AX36" s="488"/>
      <c r="AY36" s="488"/>
      <c r="AZ36" s="489"/>
      <c r="BA36" s="261">
        <f>SUM(BA5:BA35)</f>
        <v>0</v>
      </c>
      <c r="BC36" s="490">
        <f>SUM(BC5:BE35)</f>
        <v>0</v>
      </c>
      <c r="BD36" s="491"/>
      <c r="BE36" s="492"/>
      <c r="BF36" s="479">
        <f>SUM(BF5:BJ35)</f>
        <v>0</v>
      </c>
      <c r="BG36" s="480"/>
      <c r="BH36" s="480"/>
      <c r="BI36" s="480"/>
      <c r="BJ36" s="481"/>
      <c r="BK36" s="480">
        <f>SUM(BK5:BN35)</f>
        <v>0</v>
      </c>
      <c r="BL36" s="480"/>
      <c r="BM36" s="480"/>
      <c r="BN36" s="481"/>
      <c r="BO36" s="479">
        <f>SUM(BO5:BS35)</f>
        <v>0</v>
      </c>
      <c r="BP36" s="480"/>
      <c r="BQ36" s="480"/>
      <c r="BR36" s="480"/>
      <c r="BS36" s="481"/>
      <c r="BT36" s="479">
        <f>SUM(BT5:BX35)</f>
        <v>0</v>
      </c>
      <c r="BU36" s="480"/>
      <c r="BV36" s="480"/>
      <c r="BW36" s="480"/>
      <c r="BX36" s="481"/>
      <c r="BY36" s="479">
        <f>SUM(BY5:CC35)</f>
        <v>0</v>
      </c>
      <c r="BZ36" s="480"/>
      <c r="CA36" s="480"/>
      <c r="CB36" s="480"/>
      <c r="CC36" s="481"/>
      <c r="CD36" s="479">
        <f>SUM(CD5:CG35)</f>
        <v>0</v>
      </c>
      <c r="CE36" s="480"/>
      <c r="CF36" s="480"/>
      <c r="CG36" s="481"/>
      <c r="CH36" s="479">
        <f>SUM(CH5:CK35)</f>
        <v>0</v>
      </c>
      <c r="CI36" s="480"/>
      <c r="CJ36" s="480"/>
      <c r="CK36" s="481"/>
      <c r="CL36" s="479">
        <f>SUM(CL5:CQ35)</f>
        <v>0</v>
      </c>
      <c r="CM36" s="480"/>
      <c r="CN36" s="480"/>
      <c r="CO36" s="480"/>
      <c r="CP36" s="480"/>
      <c r="CQ36" s="481"/>
      <c r="CR36" s="479">
        <f>SUM(CR5:CW35)</f>
        <v>0</v>
      </c>
      <c r="CS36" s="480"/>
      <c r="CT36" s="480"/>
      <c r="CU36" s="480"/>
      <c r="CV36" s="480"/>
      <c r="CW36" s="481"/>
      <c r="CX36" s="487">
        <f>SUM(CX5:DA35)</f>
        <v>0</v>
      </c>
      <c r="CY36" s="488"/>
      <c r="CZ36" s="488"/>
      <c r="DA36" s="489"/>
      <c r="DB36" s="275">
        <f>SUM(DB5:DB35)</f>
        <v>0</v>
      </c>
      <c r="DD36" s="479">
        <f>SUM(DD5:DF35)</f>
        <v>0</v>
      </c>
      <c r="DE36" s="480"/>
      <c r="DF36" s="481"/>
      <c r="DG36" s="480">
        <f>SUM(DG5:DJ35)</f>
        <v>0</v>
      </c>
      <c r="DH36" s="480"/>
      <c r="DI36" s="480"/>
      <c r="DJ36" s="480"/>
      <c r="DK36" s="479">
        <f>SUM(DK5:DN35)</f>
        <v>0</v>
      </c>
      <c r="DL36" s="480"/>
      <c r="DM36" s="480"/>
      <c r="DN36" s="481"/>
      <c r="DO36" s="479">
        <f>SUM(DO5:DR35)</f>
        <v>0</v>
      </c>
      <c r="DP36" s="480"/>
      <c r="DQ36" s="480"/>
      <c r="DR36" s="481"/>
      <c r="DS36" s="479">
        <f>SUM(DS5:DU35)</f>
        <v>0</v>
      </c>
      <c r="DT36" s="480"/>
      <c r="DU36" s="481"/>
      <c r="DV36" s="479">
        <f>SUM(DV5:DZ35)</f>
        <v>0</v>
      </c>
      <c r="DW36" s="480"/>
      <c r="DX36" s="480"/>
      <c r="DY36" s="480"/>
      <c r="DZ36" s="481"/>
      <c r="EA36" s="479">
        <f>SUM(EA5:ED35)</f>
        <v>0</v>
      </c>
      <c r="EB36" s="480"/>
      <c r="EC36" s="480"/>
      <c r="ED36" s="481"/>
      <c r="EE36" s="479">
        <f>SUM(EE5:EG35)</f>
        <v>0</v>
      </c>
      <c r="EF36" s="480"/>
      <c r="EG36" s="481"/>
      <c r="EH36" s="479">
        <f>SUM(EH5:EJ35)</f>
        <v>0</v>
      </c>
      <c r="EI36" s="480"/>
      <c r="EJ36" s="481"/>
      <c r="EK36" s="479">
        <f>SUM(EK5:EM35)</f>
        <v>0</v>
      </c>
      <c r="EL36" s="480"/>
      <c r="EM36" s="481"/>
      <c r="EN36" s="479">
        <f>SUM(EN5:EP35)</f>
        <v>0</v>
      </c>
      <c r="EO36" s="480"/>
      <c r="EP36" s="481"/>
      <c r="EQ36" s="275">
        <f>SUM(EQ5:EQ35)</f>
        <v>0</v>
      </c>
      <c r="ET36" s="145">
        <f>+DB36+BA36</f>
        <v>0</v>
      </c>
    </row>
    <row r="64" spans="25:25">
      <c r="Y64" s="233" t="s">
        <v>79</v>
      </c>
    </row>
  </sheetData>
  <mergeCells count="78">
    <mergeCell ref="A2:I2"/>
    <mergeCell ref="BB2:BJ2"/>
    <mergeCell ref="DC2:DJ2"/>
    <mergeCell ref="B3:D3"/>
    <mergeCell ref="E3:I3"/>
    <mergeCell ref="J3:M3"/>
    <mergeCell ref="N3:R3"/>
    <mergeCell ref="S3:W3"/>
    <mergeCell ref="X3:AB3"/>
    <mergeCell ref="AC3:AF3"/>
    <mergeCell ref="AG3:AJ3"/>
    <mergeCell ref="AK3:AP3"/>
    <mergeCell ref="AQ3:AV3"/>
    <mergeCell ref="AW3:AZ3"/>
    <mergeCell ref="BC3:BE3"/>
    <mergeCell ref="BF3:BJ3"/>
    <mergeCell ref="DD3:DF3"/>
    <mergeCell ref="BK3:BN3"/>
    <mergeCell ref="BO3:BS3"/>
    <mergeCell ref="BT3:BX3"/>
    <mergeCell ref="BY3:CC3"/>
    <mergeCell ref="CD3:CG3"/>
    <mergeCell ref="DG3:DJ3"/>
    <mergeCell ref="DK3:DN3"/>
    <mergeCell ref="DO3:DR3"/>
    <mergeCell ref="DS3:DU3"/>
    <mergeCell ref="DV3:DZ3"/>
    <mergeCell ref="EA3:ED3"/>
    <mergeCell ref="EE3:EG3"/>
    <mergeCell ref="EH3:EJ3"/>
    <mergeCell ref="EK3:EM3"/>
    <mergeCell ref="EN3:EP3"/>
    <mergeCell ref="B36:D36"/>
    <mergeCell ref="E36:I36"/>
    <mergeCell ref="J36:M36"/>
    <mergeCell ref="N36:R36"/>
    <mergeCell ref="S36:W36"/>
    <mergeCell ref="X36:AB36"/>
    <mergeCell ref="AC36:AF36"/>
    <mergeCell ref="AG36:AJ36"/>
    <mergeCell ref="AK36:AP36"/>
    <mergeCell ref="AQ36:AV36"/>
    <mergeCell ref="AW36:AZ36"/>
    <mergeCell ref="BC36:BE36"/>
    <mergeCell ref="BF36:BJ36"/>
    <mergeCell ref="BK36:BN36"/>
    <mergeCell ref="BO36:BS36"/>
    <mergeCell ref="BT36:BX36"/>
    <mergeCell ref="BY36:CC36"/>
    <mergeCell ref="CD36:CG36"/>
    <mergeCell ref="CH36:CK36"/>
    <mergeCell ref="CL36:CQ36"/>
    <mergeCell ref="CR36:CW36"/>
    <mergeCell ref="CX36:DA36"/>
    <mergeCell ref="DD36:DF36"/>
    <mergeCell ref="DG36:DJ36"/>
    <mergeCell ref="DK36:DN36"/>
    <mergeCell ref="DO36:DR36"/>
    <mergeCell ref="DS36:DU36"/>
    <mergeCell ref="DV36:DZ36"/>
    <mergeCell ref="EA36:ED36"/>
    <mergeCell ref="EE36:EG36"/>
    <mergeCell ref="A3:A4"/>
    <mergeCell ref="BA3:BA4"/>
    <mergeCell ref="BB3:BB4"/>
    <mergeCell ref="DB3:DB4"/>
    <mergeCell ref="DC3:DC4"/>
    <mergeCell ref="CH3:CK3"/>
    <mergeCell ref="CL3:CQ3"/>
    <mergeCell ref="CR3:CW3"/>
    <mergeCell ref="CX3:DA3"/>
    <mergeCell ref="EQ3:EQ4"/>
    <mergeCell ref="ES3:ES4"/>
    <mergeCell ref="ET3:ET4"/>
    <mergeCell ref="EU3:EU4"/>
    <mergeCell ref="EH36:EJ36"/>
    <mergeCell ref="EK36:EM36"/>
    <mergeCell ref="EN36:EP36"/>
  </mergeCell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AL79"/>
  <sheetViews>
    <sheetView topLeftCell="B37" workbookViewId="0">
      <selection activeCell="AK4" sqref="AK4"/>
    </sheetView>
  </sheetViews>
  <sheetFormatPr baseColWidth="10" defaultColWidth="11.42578125" defaultRowHeight="15"/>
  <cols>
    <col min="1" max="1" width="6.5703125" style="215" customWidth="1"/>
    <col min="2" max="2" width="6.7109375" style="216" customWidth="1"/>
    <col min="3" max="3" width="7" style="216" customWidth="1"/>
    <col min="4" max="4" width="6.85546875" style="216" customWidth="1"/>
    <col min="5" max="5" width="8.140625" style="216" customWidth="1"/>
    <col min="6" max="9" width="6.7109375" style="216" customWidth="1"/>
    <col min="10" max="11" width="10" style="216" customWidth="1"/>
    <col min="12" max="12" width="7" style="216" customWidth="1"/>
    <col min="13" max="13" width="10" style="216" customWidth="1"/>
    <col min="14" max="14" width="6.85546875" style="216" customWidth="1"/>
    <col min="15" max="16" width="6.7109375" style="216" customWidth="1"/>
    <col min="17" max="17" width="10.5703125" style="216" customWidth="1"/>
    <col min="18" max="18" width="7" style="216" customWidth="1"/>
    <col min="19" max="19" width="6.7109375" style="216" customWidth="1"/>
    <col min="20" max="20" width="7.85546875" style="216" customWidth="1"/>
    <col min="21" max="21" width="7" style="216" customWidth="1"/>
    <col min="22" max="23" width="6.85546875" style="216" customWidth="1"/>
    <col min="24" max="24" width="7.5703125" style="216" customWidth="1"/>
    <col min="25" max="26" width="6.85546875" style="216" customWidth="1"/>
    <col min="27" max="27" width="7" style="216" customWidth="1"/>
    <col min="28" max="29" width="6.7109375" style="216" customWidth="1"/>
    <col min="30" max="30" width="6.5703125" style="216" customWidth="1"/>
    <col min="31" max="36" width="6.85546875" style="216" customWidth="1"/>
    <col min="37" max="37" width="12" style="216" customWidth="1"/>
    <col min="38" max="16384" width="11.42578125" style="215"/>
  </cols>
  <sheetData>
    <row r="2" spans="1:37" ht="26.25">
      <c r="A2" s="516"/>
      <c r="B2" s="517"/>
      <c r="C2" s="517"/>
      <c r="D2" s="517"/>
      <c r="E2" s="517"/>
      <c r="F2" s="517"/>
      <c r="G2" s="517"/>
      <c r="H2" s="517"/>
      <c r="I2" s="517"/>
      <c r="J2" s="517"/>
      <c r="K2" s="517"/>
      <c r="L2" s="517"/>
      <c r="M2" s="517"/>
      <c r="N2" s="517"/>
      <c r="O2" s="517"/>
      <c r="P2" s="517"/>
      <c r="Q2" s="517"/>
      <c r="R2" s="517"/>
      <c r="S2" s="517"/>
      <c r="T2" s="517"/>
      <c r="U2" s="517"/>
      <c r="V2" s="517"/>
      <c r="W2" s="517"/>
      <c r="X2" s="517"/>
      <c r="Y2" s="517"/>
      <c r="Z2" s="517"/>
      <c r="AA2" s="517"/>
      <c r="AB2" s="517"/>
      <c r="AC2" s="517"/>
      <c r="AD2" s="517"/>
      <c r="AE2" s="517"/>
      <c r="AF2" s="517"/>
      <c r="AG2" s="517"/>
      <c r="AH2" s="517"/>
      <c r="AI2" s="517"/>
      <c r="AJ2" s="517"/>
      <c r="AK2" s="518"/>
    </row>
    <row r="3" spans="1:37" ht="13.5" customHeight="1">
      <c r="A3" s="217" t="s">
        <v>2</v>
      </c>
      <c r="B3" s="218" t="s">
        <v>3</v>
      </c>
      <c r="C3" s="219" t="s">
        <v>4</v>
      </c>
      <c r="D3" s="219" t="s">
        <v>5</v>
      </c>
      <c r="E3" s="219" t="s">
        <v>6</v>
      </c>
      <c r="F3" s="219" t="s">
        <v>7</v>
      </c>
      <c r="G3" s="219" t="s">
        <v>8</v>
      </c>
      <c r="H3" s="219" t="s">
        <v>9</v>
      </c>
      <c r="I3" s="219" t="s">
        <v>10</v>
      </c>
      <c r="J3" s="219" t="s">
        <v>11</v>
      </c>
      <c r="K3" s="219" t="s">
        <v>12</v>
      </c>
      <c r="L3" s="219" t="s">
        <v>13</v>
      </c>
      <c r="M3" s="219" t="s">
        <v>14</v>
      </c>
      <c r="N3" s="219" t="s">
        <v>15</v>
      </c>
      <c r="O3" s="219" t="s">
        <v>16</v>
      </c>
      <c r="P3" s="219" t="s">
        <v>17</v>
      </c>
      <c r="Q3" s="219" t="s">
        <v>18</v>
      </c>
      <c r="R3" s="219" t="s">
        <v>19</v>
      </c>
      <c r="S3" s="219" t="s">
        <v>20</v>
      </c>
      <c r="T3" s="219" t="s">
        <v>21</v>
      </c>
      <c r="U3" s="219" t="s">
        <v>22</v>
      </c>
      <c r="V3" s="219" t="s">
        <v>23</v>
      </c>
      <c r="W3" s="219" t="s">
        <v>24</v>
      </c>
      <c r="X3" s="219" t="s">
        <v>25</v>
      </c>
      <c r="Y3" s="219" t="s">
        <v>26</v>
      </c>
      <c r="Z3" s="219" t="s">
        <v>27</v>
      </c>
      <c r="AA3" s="219" t="s">
        <v>28</v>
      </c>
      <c r="AB3" s="219" t="s">
        <v>29</v>
      </c>
      <c r="AC3" s="219" t="s">
        <v>30</v>
      </c>
      <c r="AD3" s="219" t="s">
        <v>31</v>
      </c>
      <c r="AE3" s="224" t="s">
        <v>32</v>
      </c>
      <c r="AF3" s="224" t="s">
        <v>33</v>
      </c>
      <c r="AG3" s="224" t="s">
        <v>34</v>
      </c>
      <c r="AH3" s="224" t="s">
        <v>35</v>
      </c>
      <c r="AI3" s="224" t="s">
        <v>36</v>
      </c>
      <c r="AJ3" s="224" t="s">
        <v>37</v>
      </c>
      <c r="AK3" s="113" t="s">
        <v>56</v>
      </c>
    </row>
    <row r="4" spans="1:37" ht="19.5" customHeight="1">
      <c r="A4" s="154">
        <v>1</v>
      </c>
      <c r="B4" s="120">
        <f>+BUS!B115+BUS!C115+BUS!D115</f>
        <v>0</v>
      </c>
      <c r="C4" s="41">
        <f>+BUS!E115+BUS!F115+BUS!G115</f>
        <v>0</v>
      </c>
      <c r="D4" s="41">
        <f>+BUS!H115+BUS!I115+BUS!J115</f>
        <v>0</v>
      </c>
      <c r="E4" s="41">
        <f>+BUS!K115+BUS!L115+BUS!M115</f>
        <v>0</v>
      </c>
      <c r="F4" s="41">
        <f>+BUS!N115+BUS!O115+BUS!P115</f>
        <v>0</v>
      </c>
      <c r="G4" s="41">
        <f>+BUS!Q115+BUS!R115+BUS!S115</f>
        <v>0</v>
      </c>
      <c r="H4" s="41">
        <f>+BUS!T115+BUS!U115+BUS!V115</f>
        <v>0</v>
      </c>
      <c r="I4" s="41">
        <f>+BUS!W115+BUS!X115+BUS!Y115</f>
        <v>0</v>
      </c>
      <c r="J4" s="41">
        <f>+BUS!Z115+BUS!AA115+BUS!AB115</f>
        <v>0</v>
      </c>
      <c r="K4" s="41">
        <f>+BUS!AC115+BUS!AD115+BUS!AE115</f>
        <v>0</v>
      </c>
      <c r="L4" s="41">
        <f>+BUS!AF115+BUS!AG115+BUS!AH115</f>
        <v>0</v>
      </c>
      <c r="M4" s="41">
        <f>+BUS!AI115+BUS!AJ115+BUS!AK115</f>
        <v>0</v>
      </c>
      <c r="N4" s="41">
        <f>+BUS!AL115+BUS!AM115+BUS!AN115</f>
        <v>0</v>
      </c>
      <c r="O4" s="41">
        <f>+BUS!AO115+BUS!AP115+BUS!AQ115</f>
        <v>0</v>
      </c>
      <c r="P4" s="41">
        <f>+BUS!AR115+BUS!AS115+BUS!AT115</f>
        <v>0</v>
      </c>
      <c r="Q4" s="41">
        <f>+BUS!AU115+BUS!AV115+BUS!AW115</f>
        <v>0</v>
      </c>
      <c r="R4" s="41">
        <f>+BUS!AX115+BUS!AY115+BUS!AZ115</f>
        <v>0</v>
      </c>
      <c r="S4" s="41">
        <f>+BUS!BA115+BUS!BB115+BUS!BC115</f>
        <v>0</v>
      </c>
      <c r="T4" s="41">
        <f>+BUS!BD115+BUS!BE115+BUS!BF115</f>
        <v>0</v>
      </c>
      <c r="U4" s="41">
        <f>+BUS!BG115+BUS!BH115+BUS!BI115</f>
        <v>0</v>
      </c>
      <c r="V4" s="41">
        <f>+BUS!BJ115+BUS!BK115+BUS!BL115</f>
        <v>0</v>
      </c>
      <c r="W4" s="41">
        <f>+BUS!BM115+BUS!BN115+BUS!BO115</f>
        <v>0</v>
      </c>
      <c r="X4" s="41">
        <f>+BUS!BP115+BUS!BQ115+BUS!BR115</f>
        <v>0</v>
      </c>
      <c r="Y4" s="41">
        <f>+BUS!BS115+BUS!BT115+BUS!BU115</f>
        <v>0</v>
      </c>
      <c r="Z4" s="41">
        <f>+BUS!BV115+BUS!BW115+BUS!BX115</f>
        <v>0</v>
      </c>
      <c r="AA4" s="41">
        <f>+BUS!BY115+BUS!BZ115+BUS!CA115</f>
        <v>0</v>
      </c>
      <c r="AB4" s="41">
        <f>+BUS!CB115+BUS!CC115+BUS!CD115</f>
        <v>0</v>
      </c>
      <c r="AC4" s="41">
        <f>+BUS!CE115+BUS!CF115+BUS!CG115</f>
        <v>0</v>
      </c>
      <c r="AD4" s="41">
        <f>+BUS!CH115+BUS!CI115+BUS!CJ115</f>
        <v>0</v>
      </c>
      <c r="AE4" s="122">
        <f>+BUS!CK115+BUS!CL115+BUS!CM115</f>
        <v>0</v>
      </c>
      <c r="AF4" s="122">
        <f>+BUS!CN115+BUS!CO115+BUS!CP115</f>
        <v>0</v>
      </c>
      <c r="AG4" s="122">
        <f>+BUS!CQ115+BUS!CR115+BUS!CS115</f>
        <v>0</v>
      </c>
      <c r="AH4" s="122">
        <f>+BUS!CT115+BUS!CU115+BUS!CV115</f>
        <v>0</v>
      </c>
      <c r="AI4" s="122">
        <f>+BUS!CW115+BUS!CX115+BUS!CY115</f>
        <v>0</v>
      </c>
      <c r="AJ4" s="122">
        <f>+BUS!CZ115+BUS!DA115+BUS!DB115</f>
        <v>0</v>
      </c>
      <c r="AK4" s="226">
        <f>SUM(B4:AJ4)</f>
        <v>0</v>
      </c>
    </row>
    <row r="5" spans="1:37" ht="17.25" customHeight="1">
      <c r="A5" s="154">
        <v>2</v>
      </c>
      <c r="B5" s="120">
        <f>+BUS!B116+BUS!C116+BUS!D116</f>
        <v>0</v>
      </c>
      <c r="C5" s="41">
        <f>+BUS!E116+BUS!F116+BUS!G116</f>
        <v>0</v>
      </c>
      <c r="D5" s="41">
        <f>+BUS!H116+BUS!I116+BUS!J116</f>
        <v>0</v>
      </c>
      <c r="E5" s="41">
        <f>+BUS!K116+BUS!L116+BUS!M116</f>
        <v>0</v>
      </c>
      <c r="F5" s="41">
        <f>+BUS!N116+BUS!O116+BUS!P116</f>
        <v>0</v>
      </c>
      <c r="G5" s="41">
        <f>+BUS!Q116+BUS!R116+BUS!S116</f>
        <v>0</v>
      </c>
      <c r="H5" s="41">
        <f>+BUS!T116+BUS!U116+BUS!V116</f>
        <v>0</v>
      </c>
      <c r="I5" s="41">
        <f>+BUS!W116+BUS!X116+BUS!Y116</f>
        <v>0</v>
      </c>
      <c r="J5" s="41">
        <f>+BUS!Z116+BUS!AA116+BUS!AB116</f>
        <v>0</v>
      </c>
      <c r="K5" s="41">
        <f>+BUS!AC116+BUS!AD116+BUS!AE116</f>
        <v>0</v>
      </c>
      <c r="L5" s="41">
        <f>+BUS!AF116+BUS!AG116+BUS!AH116</f>
        <v>0</v>
      </c>
      <c r="M5" s="41">
        <f>+BUS!AI116+BUS!AJ116+BUS!AK116</f>
        <v>0</v>
      </c>
      <c r="N5" s="41">
        <f>+BUS!AL116+BUS!AM116+BUS!AN116</f>
        <v>0</v>
      </c>
      <c r="O5" s="41">
        <f>+BUS!AO116+BUS!AP116+BUS!AQ116</f>
        <v>0</v>
      </c>
      <c r="P5" s="41">
        <f>+BUS!AR116+BUS!AS116+BUS!AT116</f>
        <v>0</v>
      </c>
      <c r="Q5" s="41">
        <f>+BUS!AU116+BUS!AV116+BUS!AW116</f>
        <v>0</v>
      </c>
      <c r="R5" s="41">
        <f>+BUS!AX116+BUS!AY116+BUS!AZ116</f>
        <v>0</v>
      </c>
      <c r="S5" s="41">
        <f>+BUS!BA116+BUS!BB116+BUS!BC116</f>
        <v>0</v>
      </c>
      <c r="T5" s="41">
        <f>+BUS!BD116+BUS!BE116+BUS!BF116</f>
        <v>0</v>
      </c>
      <c r="U5" s="41">
        <f>+BUS!BG116+BUS!BH116+BUS!BI116</f>
        <v>0</v>
      </c>
      <c r="V5" s="41">
        <f>+BUS!BJ116+BUS!BK116+BUS!BL116</f>
        <v>0</v>
      </c>
      <c r="W5" s="41">
        <f>+BUS!BM116+BUS!BN116+BUS!BO116</f>
        <v>0</v>
      </c>
      <c r="X5" s="41">
        <f>+BUS!BP116+BUS!BQ116+BUS!BR116</f>
        <v>0</v>
      </c>
      <c r="Y5" s="41">
        <f>+BUS!BS116+BUS!BT116+BUS!BU116</f>
        <v>0</v>
      </c>
      <c r="Z5" s="41">
        <f>+BUS!BV116+BUS!BW116+BUS!BX116</f>
        <v>0</v>
      </c>
      <c r="AA5" s="41">
        <f>+BUS!BY116+BUS!BZ116+BUS!CA116</f>
        <v>0</v>
      </c>
      <c r="AB5" s="41">
        <f>+BUS!CB116+BUS!CC116+BUS!CD116</f>
        <v>0</v>
      </c>
      <c r="AC5" s="41">
        <f>+BUS!CE116+BUS!CF116+BUS!CG116</f>
        <v>0</v>
      </c>
      <c r="AD5" s="41">
        <f>+BUS!CH116+BUS!CI116+BUS!CJ116</f>
        <v>0</v>
      </c>
      <c r="AE5" s="122">
        <f>+BUS!CK116+BUS!CL116+BUS!CM116</f>
        <v>0</v>
      </c>
      <c r="AF5" s="122">
        <f>+BUS!CN116+BUS!CO116+BUS!CP116</f>
        <v>0</v>
      </c>
      <c r="AG5" s="122">
        <f>+BUS!CQ116+BUS!CR116+BUS!CS116</f>
        <v>0</v>
      </c>
      <c r="AH5" s="122">
        <f>+BUS!CT116+BUS!CU116+BUS!CV116</f>
        <v>0</v>
      </c>
      <c r="AI5" s="122">
        <f>+BUS!CW116+BUS!CX116+BUS!CY116</f>
        <v>0</v>
      </c>
      <c r="AJ5" s="122">
        <f>+BUS!CZ116+BUS!DA116+BUS!DB116</f>
        <v>0</v>
      </c>
      <c r="AK5" s="226">
        <f t="shared" ref="AK5:AK34" si="0">SUM(B5:AJ5)</f>
        <v>0</v>
      </c>
    </row>
    <row r="6" spans="1:37" ht="17.25" customHeight="1">
      <c r="A6" s="154">
        <v>3</v>
      </c>
      <c r="B6" s="120">
        <f>+BUS!B117+BUS!C117+BUS!D117</f>
        <v>0</v>
      </c>
      <c r="C6" s="41">
        <f>+BUS!E117+BUS!F117+BUS!G117</f>
        <v>0</v>
      </c>
      <c r="D6" s="41">
        <f>+BUS!H117+BUS!I117+BUS!J117</f>
        <v>0</v>
      </c>
      <c r="E6" s="41">
        <f>+BUS!K117+BUS!L117+BUS!M117</f>
        <v>0</v>
      </c>
      <c r="F6" s="41">
        <f>+BUS!N117+BUS!O117+BUS!P117</f>
        <v>0</v>
      </c>
      <c r="G6" s="41">
        <f>+BUS!Q117+BUS!R117+BUS!S117</f>
        <v>0</v>
      </c>
      <c r="H6" s="41">
        <f>+BUS!T117+BUS!U117+BUS!V117</f>
        <v>0</v>
      </c>
      <c r="I6" s="41">
        <f>+BUS!W117+BUS!X117+BUS!Y117</f>
        <v>0</v>
      </c>
      <c r="J6" s="41">
        <f>+BUS!Z117+BUS!AA117+BUS!AB117</f>
        <v>0</v>
      </c>
      <c r="K6" s="41">
        <f>+BUS!AC117+BUS!AD117+BUS!AE117</f>
        <v>0</v>
      </c>
      <c r="L6" s="41">
        <f>+BUS!AF117+BUS!AG117+BUS!AH117</f>
        <v>0</v>
      </c>
      <c r="M6" s="41">
        <f>+BUS!AI117+BUS!AJ117+BUS!AK117</f>
        <v>0</v>
      </c>
      <c r="N6" s="41">
        <f>+BUS!AL117+BUS!AM117+BUS!AN117</f>
        <v>0</v>
      </c>
      <c r="O6" s="41">
        <f>+BUS!AO117+BUS!AP117+BUS!AQ117</f>
        <v>0</v>
      </c>
      <c r="P6" s="41">
        <f>+BUS!AR117+BUS!AS117+BUS!AT117</f>
        <v>0</v>
      </c>
      <c r="Q6" s="41">
        <f>+BUS!AU117+BUS!AV117+BUS!AW117</f>
        <v>0</v>
      </c>
      <c r="R6" s="41">
        <f>+BUS!AX117+BUS!AY117+BUS!AZ117</f>
        <v>0</v>
      </c>
      <c r="S6" s="41">
        <f>+BUS!BA117+BUS!BB117+BUS!BC117</f>
        <v>0</v>
      </c>
      <c r="T6" s="41">
        <f>+BUS!BD117+BUS!BE117+BUS!BF117</f>
        <v>0</v>
      </c>
      <c r="U6" s="41">
        <f>+BUS!BG117+BUS!BH117+BUS!BI117</f>
        <v>0</v>
      </c>
      <c r="V6" s="41">
        <f>+BUS!BJ117+BUS!BK117+BUS!BL117</f>
        <v>0</v>
      </c>
      <c r="W6" s="41">
        <f>+BUS!BM117+BUS!BN117+BUS!BO117</f>
        <v>0</v>
      </c>
      <c r="X6" s="41">
        <f>+BUS!BP117+BUS!BQ117+BUS!BR117</f>
        <v>0</v>
      </c>
      <c r="Y6" s="41">
        <f>+BUS!BS117+BUS!BT117+BUS!BU117</f>
        <v>0</v>
      </c>
      <c r="Z6" s="41">
        <f>+BUS!BV117+BUS!BW117+BUS!BX117</f>
        <v>0</v>
      </c>
      <c r="AA6" s="41">
        <f>+BUS!BY117+BUS!BZ117+BUS!CA117</f>
        <v>0</v>
      </c>
      <c r="AB6" s="41">
        <f>+BUS!CB117+BUS!CC117+BUS!CD117</f>
        <v>0</v>
      </c>
      <c r="AC6" s="41">
        <f>+BUS!CE117+BUS!CF117+BUS!CG117</f>
        <v>0</v>
      </c>
      <c r="AD6" s="41">
        <f>+BUS!CH117+BUS!CI117+BUS!CJ117</f>
        <v>0</v>
      </c>
      <c r="AE6" s="122">
        <f>+BUS!CK117+BUS!CL117+BUS!CM117</f>
        <v>0</v>
      </c>
      <c r="AF6" s="122">
        <f>+BUS!CN117+BUS!CO117+BUS!CP117</f>
        <v>0</v>
      </c>
      <c r="AG6" s="122">
        <f>+BUS!CQ117+BUS!CR117+BUS!CS117</f>
        <v>0</v>
      </c>
      <c r="AH6" s="122">
        <f>+BUS!CT117+BUS!CU117+BUS!CV117</f>
        <v>0</v>
      </c>
      <c r="AI6" s="122">
        <f>+BUS!CW117+BUS!CX117+BUS!CY117</f>
        <v>0</v>
      </c>
      <c r="AJ6" s="122">
        <f>+BUS!CZ117+BUS!DA117+BUS!DB117</f>
        <v>0</v>
      </c>
      <c r="AK6" s="226">
        <f t="shared" si="0"/>
        <v>0</v>
      </c>
    </row>
    <row r="7" spans="1:37" ht="18.75" customHeight="1">
      <c r="A7" s="154">
        <v>4</v>
      </c>
      <c r="B7" s="120">
        <f>+BUS!B118+BUS!C118+BUS!D118</f>
        <v>0</v>
      </c>
      <c r="C7" s="41">
        <f>+BUS!E118+BUS!F118+BUS!G118</f>
        <v>0</v>
      </c>
      <c r="D7" s="41">
        <f>+BUS!H118+BUS!I118+BUS!J118</f>
        <v>0</v>
      </c>
      <c r="E7" s="41">
        <f>+BUS!K118+BUS!L118+BUS!M118</f>
        <v>0</v>
      </c>
      <c r="F7" s="41">
        <f>+BUS!N118+BUS!O118+BUS!P118</f>
        <v>0</v>
      </c>
      <c r="G7" s="41">
        <f>+BUS!Q118+BUS!R118+BUS!S118</f>
        <v>0</v>
      </c>
      <c r="H7" s="41">
        <f>+BUS!T118+BUS!U118+BUS!V118</f>
        <v>0</v>
      </c>
      <c r="I7" s="41">
        <f>+BUS!W118+BUS!X118+BUS!Y118</f>
        <v>0</v>
      </c>
      <c r="J7" s="41">
        <f>+BUS!Z118+BUS!AA118+BUS!AB118</f>
        <v>0</v>
      </c>
      <c r="K7" s="41">
        <f>+BUS!AC118+BUS!AD118+BUS!AE118</f>
        <v>0</v>
      </c>
      <c r="L7" s="41">
        <f>+BUS!AF118+BUS!AG118+BUS!AH118</f>
        <v>0</v>
      </c>
      <c r="M7" s="41">
        <f>+BUS!AI118+BUS!AJ118+BUS!AK118</f>
        <v>0</v>
      </c>
      <c r="N7" s="41">
        <f>+BUS!AL118+BUS!AM118+BUS!AN118</f>
        <v>0</v>
      </c>
      <c r="O7" s="41">
        <f>+BUS!AO118+BUS!AP118+BUS!AQ118</f>
        <v>0</v>
      </c>
      <c r="P7" s="41">
        <f>+BUS!AR118+BUS!AS118+BUS!AT118</f>
        <v>0</v>
      </c>
      <c r="Q7" s="41">
        <f>+BUS!AU118+BUS!AV118+BUS!AW118</f>
        <v>0</v>
      </c>
      <c r="R7" s="41">
        <f>+BUS!AX118+BUS!AY118+BUS!AZ118</f>
        <v>0</v>
      </c>
      <c r="S7" s="41">
        <f>+BUS!BA118+BUS!BB118+BUS!BC118</f>
        <v>0</v>
      </c>
      <c r="T7" s="41">
        <f>+BUS!BD118+BUS!BE118+BUS!BF118</f>
        <v>0</v>
      </c>
      <c r="U7" s="41">
        <f>+BUS!BG118+BUS!BH118+BUS!BI118</f>
        <v>0</v>
      </c>
      <c r="V7" s="41">
        <f>+BUS!BJ118+BUS!BK118+BUS!BL118</f>
        <v>0</v>
      </c>
      <c r="W7" s="41">
        <f>+BUS!BM118+BUS!BN118+BUS!BO118</f>
        <v>0</v>
      </c>
      <c r="X7" s="41">
        <f>+BUS!BP118+BUS!BQ118+BUS!BR118</f>
        <v>0</v>
      </c>
      <c r="Y7" s="41">
        <f>+BUS!BS118+BUS!BT118+BUS!BU118</f>
        <v>0</v>
      </c>
      <c r="Z7" s="41">
        <f>+BUS!BV118+BUS!BW118+BUS!BX118</f>
        <v>0</v>
      </c>
      <c r="AA7" s="41">
        <f>+BUS!BY118+BUS!BZ118+BUS!CA118</f>
        <v>0</v>
      </c>
      <c r="AB7" s="41">
        <f>+BUS!CB118+BUS!CC118+BUS!CD118</f>
        <v>0</v>
      </c>
      <c r="AC7" s="41">
        <f>+BUS!CE118+BUS!CF118+BUS!CG118</f>
        <v>0</v>
      </c>
      <c r="AD7" s="41">
        <f>+BUS!CH118+BUS!CI118+BUS!CJ118</f>
        <v>0</v>
      </c>
      <c r="AE7" s="122">
        <f>+BUS!CK118+BUS!CL118+BUS!CM118</f>
        <v>0</v>
      </c>
      <c r="AF7" s="122">
        <f>+BUS!CN118+BUS!CO118+BUS!CP118</f>
        <v>0</v>
      </c>
      <c r="AG7" s="122">
        <f>+BUS!CQ118+BUS!CR118+BUS!CS118</f>
        <v>0</v>
      </c>
      <c r="AH7" s="122">
        <f>+BUS!CT118+BUS!CU118+BUS!CV118</f>
        <v>0</v>
      </c>
      <c r="AI7" s="122">
        <f>+BUS!CW118+BUS!CX118+BUS!CY118</f>
        <v>0</v>
      </c>
      <c r="AJ7" s="122">
        <f>+BUS!CZ118+BUS!DA118+BUS!DB118</f>
        <v>0</v>
      </c>
      <c r="AK7" s="226">
        <f t="shared" si="0"/>
        <v>0</v>
      </c>
    </row>
    <row r="8" spans="1:37" ht="16.5" customHeight="1">
      <c r="A8" s="154">
        <v>5</v>
      </c>
      <c r="B8" s="120">
        <f>+BUS!B119+BUS!C119+BUS!D119</f>
        <v>0</v>
      </c>
      <c r="C8" s="41">
        <f>+BUS!E119+BUS!F119+BUS!G119</f>
        <v>0</v>
      </c>
      <c r="D8" s="41">
        <f>+BUS!H119+BUS!I119+BUS!J119</f>
        <v>0</v>
      </c>
      <c r="E8" s="41">
        <f>+BUS!K119+BUS!L119+BUS!M119</f>
        <v>0</v>
      </c>
      <c r="F8" s="41">
        <f>+BUS!N119+BUS!O119+BUS!P119</f>
        <v>0</v>
      </c>
      <c r="G8" s="41">
        <f>+BUS!Q119+BUS!R119+BUS!S119</f>
        <v>0</v>
      </c>
      <c r="H8" s="41">
        <f>+BUS!T119+BUS!U119+BUS!V119</f>
        <v>0</v>
      </c>
      <c r="I8" s="41">
        <f>+BUS!W119+BUS!X119+BUS!Y119</f>
        <v>0</v>
      </c>
      <c r="J8" s="41">
        <f>+BUS!Z119+BUS!AA119+BUS!AB119</f>
        <v>0</v>
      </c>
      <c r="K8" s="41">
        <f>+BUS!AC119+BUS!AD119+BUS!AE119</f>
        <v>0</v>
      </c>
      <c r="L8" s="41">
        <f>+BUS!AF119+BUS!AG119+BUS!AH119</f>
        <v>0</v>
      </c>
      <c r="M8" s="41">
        <f>+BUS!AI119+BUS!AJ119+BUS!AK119</f>
        <v>0</v>
      </c>
      <c r="N8" s="41">
        <f>+BUS!AL119+BUS!AM119+BUS!AN119</f>
        <v>0</v>
      </c>
      <c r="O8" s="41">
        <f>+BUS!AO119+BUS!AP119+BUS!AQ119</f>
        <v>0</v>
      </c>
      <c r="P8" s="41">
        <f>+BUS!AR119+BUS!AS119+BUS!AT119</f>
        <v>0</v>
      </c>
      <c r="Q8" s="41">
        <f>+BUS!AU119+BUS!AV119+BUS!AW119</f>
        <v>0</v>
      </c>
      <c r="R8" s="41">
        <f>+BUS!AX119+BUS!AY119+BUS!AZ119</f>
        <v>0</v>
      </c>
      <c r="S8" s="41">
        <f>+BUS!BA119+BUS!BB119+BUS!BC119</f>
        <v>0</v>
      </c>
      <c r="T8" s="41">
        <f>+BUS!BD119+BUS!BE119+BUS!BF119</f>
        <v>0</v>
      </c>
      <c r="U8" s="41">
        <f>+BUS!BG119+BUS!BH119+BUS!BI119</f>
        <v>0</v>
      </c>
      <c r="V8" s="41">
        <f>+BUS!BJ119+BUS!BK119+BUS!BL119</f>
        <v>0</v>
      </c>
      <c r="W8" s="41">
        <f>+BUS!BM119+BUS!BN119+BUS!BO119</f>
        <v>0</v>
      </c>
      <c r="X8" s="41">
        <f>+BUS!BP119+BUS!BQ119+BUS!BR119</f>
        <v>0</v>
      </c>
      <c r="Y8" s="41">
        <f>+BUS!BS119+BUS!BT119+BUS!BU119</f>
        <v>0</v>
      </c>
      <c r="Z8" s="41">
        <f>+BUS!BV119+BUS!BW119+BUS!BX119</f>
        <v>0</v>
      </c>
      <c r="AA8" s="41">
        <f>+BUS!BY119+BUS!BZ119+BUS!CA119</f>
        <v>0</v>
      </c>
      <c r="AB8" s="41">
        <f>+BUS!CB119+BUS!CC119+BUS!CD119</f>
        <v>0</v>
      </c>
      <c r="AC8" s="41">
        <f>+BUS!CE119+BUS!CF119+BUS!CG119</f>
        <v>0</v>
      </c>
      <c r="AD8" s="41">
        <f>+BUS!CH119+BUS!CI119+BUS!CJ119</f>
        <v>0</v>
      </c>
      <c r="AE8" s="122">
        <f>+BUS!CK119+BUS!CL119+BUS!CM119</f>
        <v>0</v>
      </c>
      <c r="AF8" s="122">
        <f>+BUS!CN119+BUS!CO119+BUS!CP119</f>
        <v>0</v>
      </c>
      <c r="AG8" s="122">
        <f>+BUS!CQ119+BUS!CR119+BUS!CS119</f>
        <v>0</v>
      </c>
      <c r="AH8" s="122">
        <f>+BUS!CT119+BUS!CU119+BUS!CV119</f>
        <v>0</v>
      </c>
      <c r="AI8" s="122">
        <f>+BUS!CW119+BUS!CX119+BUS!CY119</f>
        <v>0</v>
      </c>
      <c r="AJ8" s="122">
        <f>+BUS!CZ119+BUS!DA119+BUS!DB119</f>
        <v>0</v>
      </c>
      <c r="AK8" s="226">
        <f t="shared" si="0"/>
        <v>0</v>
      </c>
    </row>
    <row r="9" spans="1:37" ht="15.75" customHeight="1">
      <c r="A9" s="154">
        <v>6</v>
      </c>
      <c r="B9" s="120">
        <f>+BUS!B120+BUS!C120+BUS!D120</f>
        <v>0</v>
      </c>
      <c r="C9" s="41">
        <f>+BUS!E120+BUS!F120+BUS!G120</f>
        <v>0</v>
      </c>
      <c r="D9" s="41">
        <f>+BUS!H120+BUS!I120+BUS!J120</f>
        <v>0</v>
      </c>
      <c r="E9" s="41">
        <f>+BUS!K120+BUS!L120+BUS!M120</f>
        <v>0</v>
      </c>
      <c r="F9" s="41">
        <f>+BUS!N120+BUS!O120+BUS!P120</f>
        <v>0</v>
      </c>
      <c r="G9" s="41">
        <f>+BUS!Q120+BUS!R120+BUS!S120</f>
        <v>0</v>
      </c>
      <c r="H9" s="41">
        <f>+BUS!T120+BUS!U120+BUS!V120</f>
        <v>0</v>
      </c>
      <c r="I9" s="41">
        <f>+BUS!W120+BUS!X120+BUS!Y120</f>
        <v>0</v>
      </c>
      <c r="J9" s="41">
        <f>+BUS!Z120+BUS!AA120+BUS!AB120</f>
        <v>0</v>
      </c>
      <c r="K9" s="41">
        <f>+BUS!AC120+BUS!AD120+BUS!AE120</f>
        <v>0</v>
      </c>
      <c r="L9" s="41">
        <f>+BUS!AF120+BUS!AG120+BUS!AH120</f>
        <v>0</v>
      </c>
      <c r="M9" s="41">
        <f>+BUS!AI120+BUS!AJ120+BUS!AK120</f>
        <v>0</v>
      </c>
      <c r="N9" s="41">
        <f>+BUS!AL120+BUS!AM120+BUS!AN120</f>
        <v>0</v>
      </c>
      <c r="O9" s="41">
        <f>+BUS!AO120+BUS!AP120+BUS!AQ120</f>
        <v>0</v>
      </c>
      <c r="P9" s="41">
        <f>+BUS!AR120+BUS!AS120+BUS!AT120</f>
        <v>0</v>
      </c>
      <c r="Q9" s="41">
        <f>+BUS!AU120+BUS!AV120+BUS!AW120</f>
        <v>0</v>
      </c>
      <c r="R9" s="41">
        <f>+BUS!AX120+BUS!AY120+BUS!AZ120</f>
        <v>0</v>
      </c>
      <c r="S9" s="41">
        <f>+BUS!BA120+BUS!BB120+BUS!BC120</f>
        <v>0</v>
      </c>
      <c r="T9" s="41">
        <f>+BUS!BD120+BUS!BE120+BUS!BF120</f>
        <v>0</v>
      </c>
      <c r="U9" s="41">
        <f>+BUS!BG120+BUS!BH120+BUS!BI120</f>
        <v>0</v>
      </c>
      <c r="V9" s="41">
        <f>+BUS!BJ120+BUS!BK120+BUS!BL120</f>
        <v>0</v>
      </c>
      <c r="W9" s="41">
        <f>+BUS!BM120+BUS!BN120+BUS!BO120</f>
        <v>0</v>
      </c>
      <c r="X9" s="41">
        <f>+BUS!BP120+BUS!BQ120+BUS!BR120</f>
        <v>0</v>
      </c>
      <c r="Y9" s="41">
        <f>+BUS!BS120+BUS!BT120+BUS!BU120</f>
        <v>0</v>
      </c>
      <c r="Z9" s="41">
        <f>+BUS!BV120+BUS!BW120+BUS!BX120</f>
        <v>0</v>
      </c>
      <c r="AA9" s="41">
        <f>+BUS!BY120+BUS!BZ120+BUS!CA120</f>
        <v>0</v>
      </c>
      <c r="AB9" s="41">
        <f>+BUS!CB120+BUS!CC120+BUS!CD120</f>
        <v>0</v>
      </c>
      <c r="AC9" s="41">
        <f>+BUS!CE120+BUS!CF120+BUS!CG120</f>
        <v>0</v>
      </c>
      <c r="AD9" s="41">
        <f>+BUS!CH120+BUS!CI120+BUS!CJ120</f>
        <v>0</v>
      </c>
      <c r="AE9" s="122">
        <f>+BUS!CK120+BUS!CL120+BUS!CM120</f>
        <v>0</v>
      </c>
      <c r="AF9" s="122">
        <f>+BUS!CN120+BUS!CO120+BUS!CP120</f>
        <v>0</v>
      </c>
      <c r="AG9" s="122">
        <f>+BUS!CQ120+BUS!CR120+BUS!CS120</f>
        <v>0</v>
      </c>
      <c r="AH9" s="122">
        <f>+BUS!CT120+BUS!CU120+BUS!CV120</f>
        <v>0</v>
      </c>
      <c r="AI9" s="122">
        <f>+BUS!CW120+BUS!CX120+BUS!CY120</f>
        <v>0</v>
      </c>
      <c r="AJ9" s="122">
        <f>+BUS!CZ120+BUS!DA120+BUS!DB120</f>
        <v>0</v>
      </c>
      <c r="AK9" s="226">
        <f t="shared" si="0"/>
        <v>0</v>
      </c>
    </row>
    <row r="10" spans="1:37" ht="15" customHeight="1">
      <c r="A10" s="154">
        <v>7</v>
      </c>
      <c r="B10" s="120">
        <f>+BUS!B121+BUS!C121+BUS!D121</f>
        <v>0</v>
      </c>
      <c r="C10" s="41">
        <f>+BUS!E121+BUS!F121+BUS!G121</f>
        <v>0</v>
      </c>
      <c r="D10" s="41">
        <f>+BUS!H121+BUS!I121+BUS!J121</f>
        <v>0</v>
      </c>
      <c r="E10" s="41">
        <f>+BUS!K121+BUS!L121+BUS!M121</f>
        <v>0</v>
      </c>
      <c r="F10" s="41">
        <f>+BUS!N121+BUS!O121+BUS!P121</f>
        <v>0</v>
      </c>
      <c r="G10" s="41">
        <f>+BUS!Q121+BUS!R121+BUS!S121</f>
        <v>0</v>
      </c>
      <c r="H10" s="41">
        <f>+BUS!T121+BUS!U121+BUS!V121</f>
        <v>0</v>
      </c>
      <c r="I10" s="41">
        <f>+BUS!W121+BUS!X121+BUS!Y121</f>
        <v>0</v>
      </c>
      <c r="J10" s="41">
        <f>+BUS!Z121+BUS!AA121+BUS!AB121</f>
        <v>0</v>
      </c>
      <c r="K10" s="41">
        <f>+BUS!AC121+BUS!AD121+BUS!AE121</f>
        <v>0</v>
      </c>
      <c r="L10" s="41">
        <f>+BUS!AF121+BUS!AG121+BUS!AH121</f>
        <v>0</v>
      </c>
      <c r="M10" s="41">
        <f>+BUS!AI121+BUS!AJ121+BUS!AK121</f>
        <v>0</v>
      </c>
      <c r="N10" s="41">
        <f>+BUS!AL121+BUS!AM121+BUS!AN121</f>
        <v>0</v>
      </c>
      <c r="O10" s="41">
        <f>+BUS!AO121+BUS!AP121+BUS!AQ121</f>
        <v>0</v>
      </c>
      <c r="P10" s="41">
        <f>+BUS!AR121+BUS!AS121+BUS!AT121</f>
        <v>0</v>
      </c>
      <c r="Q10" s="41">
        <f>+BUS!AU121+BUS!AV121+BUS!AW121</f>
        <v>0</v>
      </c>
      <c r="R10" s="41">
        <f>+BUS!AX121+BUS!AY121+BUS!AZ121</f>
        <v>0</v>
      </c>
      <c r="S10" s="41">
        <f>+BUS!BA121+BUS!BB121+BUS!BC121</f>
        <v>0</v>
      </c>
      <c r="T10" s="41">
        <f>+BUS!BD121+BUS!BE121+BUS!BF121</f>
        <v>0</v>
      </c>
      <c r="U10" s="41">
        <f>+BUS!BG121+BUS!BH121+BUS!BI121</f>
        <v>0</v>
      </c>
      <c r="V10" s="41">
        <f>+BUS!BJ121+BUS!BK121+BUS!BL121</f>
        <v>0</v>
      </c>
      <c r="W10" s="41">
        <f>+BUS!BM121+BUS!BN121+BUS!BO121</f>
        <v>0</v>
      </c>
      <c r="X10" s="41">
        <f>+BUS!BP121+BUS!BQ121+BUS!BR121</f>
        <v>0</v>
      </c>
      <c r="Y10" s="41">
        <f>+BUS!BS121+BUS!BT121+BUS!BU121</f>
        <v>0</v>
      </c>
      <c r="Z10" s="41">
        <f>+BUS!BV121+BUS!BW121+BUS!BX121</f>
        <v>0</v>
      </c>
      <c r="AA10" s="41">
        <f>+BUS!BY121+BUS!BZ121+BUS!CA121</f>
        <v>0</v>
      </c>
      <c r="AB10" s="41">
        <f>+BUS!CB121+BUS!CC121+BUS!CD121</f>
        <v>0</v>
      </c>
      <c r="AC10" s="41">
        <f>+BUS!CE121+BUS!CF121+BUS!CG121</f>
        <v>0</v>
      </c>
      <c r="AD10" s="41">
        <f>+BUS!CH121+BUS!CI121+BUS!CJ121</f>
        <v>0</v>
      </c>
      <c r="AE10" s="122">
        <f>+BUS!CK121+BUS!CL121+BUS!CM121</f>
        <v>0</v>
      </c>
      <c r="AF10" s="122">
        <f>+BUS!CN121+BUS!CO121+BUS!CP121</f>
        <v>0</v>
      </c>
      <c r="AG10" s="122">
        <f>+BUS!CQ121+BUS!CR121+BUS!CS121</f>
        <v>0</v>
      </c>
      <c r="AH10" s="122">
        <f>+BUS!CT121+BUS!CU121+BUS!CV121</f>
        <v>0</v>
      </c>
      <c r="AI10" s="122">
        <f>+BUS!CW121+BUS!CX121+BUS!CY121</f>
        <v>0</v>
      </c>
      <c r="AJ10" s="122">
        <f>+BUS!CZ121+BUS!DA121+BUS!DB121</f>
        <v>0</v>
      </c>
      <c r="AK10" s="226">
        <f t="shared" si="0"/>
        <v>0</v>
      </c>
    </row>
    <row r="11" spans="1:37" ht="17.25" customHeight="1">
      <c r="A11" s="154">
        <v>8</v>
      </c>
      <c r="B11" s="120">
        <f>+BUS!B122+BUS!C122+BUS!D122</f>
        <v>0</v>
      </c>
      <c r="C11" s="41">
        <f>+BUS!E122+BUS!F122+BUS!G122</f>
        <v>0</v>
      </c>
      <c r="D11" s="41">
        <f>+BUS!H122+BUS!I122+BUS!J122</f>
        <v>0</v>
      </c>
      <c r="E11" s="41">
        <f>+BUS!K122+BUS!L122+BUS!M122</f>
        <v>0</v>
      </c>
      <c r="F11" s="41">
        <f>+BUS!N122+BUS!O122+BUS!P122</f>
        <v>0</v>
      </c>
      <c r="G11" s="41">
        <f>+BUS!Q122+BUS!R122+BUS!S122</f>
        <v>0</v>
      </c>
      <c r="H11" s="41">
        <f>+BUS!T122+BUS!U122+BUS!V122</f>
        <v>0</v>
      </c>
      <c r="I11" s="41">
        <f>+BUS!W122+BUS!X122+BUS!Y122</f>
        <v>0</v>
      </c>
      <c r="J11" s="41">
        <f>+BUS!Z122+BUS!AA122+BUS!AB122</f>
        <v>0</v>
      </c>
      <c r="K11" s="41">
        <f>+BUS!AC122+BUS!AD122+BUS!AE122</f>
        <v>0</v>
      </c>
      <c r="L11" s="41">
        <f>+BUS!AF122+BUS!AG122+BUS!AH122</f>
        <v>0</v>
      </c>
      <c r="M11" s="41">
        <f>+BUS!AI122+BUS!AJ122+BUS!AK122</f>
        <v>0</v>
      </c>
      <c r="N11" s="41">
        <f>+BUS!AL122+BUS!AM122+BUS!AN122</f>
        <v>0</v>
      </c>
      <c r="O11" s="41">
        <f>+BUS!AO122+BUS!AP122+BUS!AQ122</f>
        <v>0</v>
      </c>
      <c r="P11" s="41">
        <f>+BUS!AR122+BUS!AS122+BUS!AT122</f>
        <v>0</v>
      </c>
      <c r="Q11" s="41">
        <f>+BUS!AU122+BUS!AV122+BUS!AW122</f>
        <v>0</v>
      </c>
      <c r="R11" s="41">
        <f>+BUS!AX122+BUS!AY122+BUS!AZ122</f>
        <v>0</v>
      </c>
      <c r="S11" s="41">
        <f>+BUS!BA122+BUS!BB122+BUS!BC122</f>
        <v>0</v>
      </c>
      <c r="T11" s="41">
        <f>+BUS!BD122+BUS!BE122+BUS!BF122</f>
        <v>0</v>
      </c>
      <c r="U11" s="41">
        <f>+BUS!BG122+BUS!BH122+BUS!BI122</f>
        <v>0</v>
      </c>
      <c r="V11" s="41">
        <f>+BUS!BJ122+BUS!BK122+BUS!BL122</f>
        <v>0</v>
      </c>
      <c r="W11" s="41">
        <f>+BUS!BM122+BUS!BN122+BUS!BO122</f>
        <v>0</v>
      </c>
      <c r="X11" s="41">
        <f>+BUS!BP122+BUS!BQ122+BUS!BR122</f>
        <v>0</v>
      </c>
      <c r="Y11" s="41">
        <f>+BUS!BS122+BUS!BT122+BUS!BU122</f>
        <v>0</v>
      </c>
      <c r="Z11" s="41">
        <f>+BUS!BV122+BUS!BW122+BUS!BX122</f>
        <v>0</v>
      </c>
      <c r="AA11" s="41">
        <f>+BUS!BY122+BUS!BZ122+BUS!CA122</f>
        <v>0</v>
      </c>
      <c r="AB11" s="41">
        <f>+BUS!CB122+BUS!CC122+BUS!CD122</f>
        <v>0</v>
      </c>
      <c r="AC11" s="41">
        <f>+BUS!CE122+BUS!CF122+BUS!CG122</f>
        <v>0</v>
      </c>
      <c r="AD11" s="41">
        <f>+BUS!CH122+BUS!CI122+BUS!CJ122</f>
        <v>0</v>
      </c>
      <c r="AE11" s="122">
        <f>+BUS!CK122+BUS!CL122+BUS!CM122</f>
        <v>0</v>
      </c>
      <c r="AF11" s="122">
        <f>+BUS!CN122+BUS!CO122+BUS!CP122</f>
        <v>0</v>
      </c>
      <c r="AG11" s="122">
        <f>+BUS!CQ122+BUS!CR122+BUS!CS122</f>
        <v>0</v>
      </c>
      <c r="AH11" s="122">
        <f>+BUS!CT122+BUS!CU122+BUS!CV122</f>
        <v>0</v>
      </c>
      <c r="AI11" s="122">
        <f>+BUS!CW122+BUS!CX122+BUS!CY122</f>
        <v>0</v>
      </c>
      <c r="AJ11" s="122">
        <f>+BUS!CZ122+BUS!DA122+BUS!DB122</f>
        <v>0</v>
      </c>
      <c r="AK11" s="226">
        <f t="shared" si="0"/>
        <v>0</v>
      </c>
    </row>
    <row r="12" spans="1:37" ht="15" customHeight="1">
      <c r="A12" s="154">
        <v>9</v>
      </c>
      <c r="B12" s="120">
        <f>+BUS!B123+BUS!C123+BUS!D123</f>
        <v>0</v>
      </c>
      <c r="C12" s="41">
        <f>+BUS!E123+BUS!F123+BUS!G123</f>
        <v>0</v>
      </c>
      <c r="D12" s="41">
        <f>+BUS!H123+BUS!I123+BUS!J123</f>
        <v>0</v>
      </c>
      <c r="E12" s="41">
        <f>+BUS!K123+BUS!L123+BUS!M123</f>
        <v>0</v>
      </c>
      <c r="F12" s="41">
        <f>+BUS!N123+BUS!O123+BUS!P123</f>
        <v>0</v>
      </c>
      <c r="G12" s="41">
        <f>+BUS!Q123+BUS!R123+BUS!S123</f>
        <v>0</v>
      </c>
      <c r="H12" s="41">
        <f>+BUS!T123+BUS!U123+BUS!V123</f>
        <v>0</v>
      </c>
      <c r="I12" s="41">
        <f>+BUS!W123+BUS!X123+BUS!Y123</f>
        <v>0</v>
      </c>
      <c r="J12" s="41">
        <f>+BUS!Z123+BUS!AA123+BUS!AB123</f>
        <v>0</v>
      </c>
      <c r="K12" s="41">
        <f>+BUS!AC123+BUS!AD123+BUS!AE123</f>
        <v>0</v>
      </c>
      <c r="L12" s="41">
        <f>+BUS!AF123+BUS!AG123+BUS!AH123</f>
        <v>0</v>
      </c>
      <c r="M12" s="41">
        <f>+BUS!AI123+BUS!AJ123+BUS!AK123</f>
        <v>0</v>
      </c>
      <c r="N12" s="41">
        <f>+BUS!AL123+BUS!AM123+BUS!AN123</f>
        <v>0</v>
      </c>
      <c r="O12" s="41">
        <f>+BUS!AO123+BUS!AP123+BUS!AQ123</f>
        <v>0</v>
      </c>
      <c r="P12" s="41">
        <f>+BUS!AR123+BUS!AS123+BUS!AT123</f>
        <v>0</v>
      </c>
      <c r="Q12" s="41">
        <f>+BUS!AU123+BUS!AV123+BUS!AW123</f>
        <v>0</v>
      </c>
      <c r="R12" s="41">
        <f>+BUS!AX123+BUS!AY123+BUS!AZ123</f>
        <v>0</v>
      </c>
      <c r="S12" s="41">
        <f>+BUS!BA123+BUS!BB123+BUS!BC123</f>
        <v>0</v>
      </c>
      <c r="T12" s="41">
        <f>+BUS!BD123+BUS!BE123+BUS!BF123</f>
        <v>0</v>
      </c>
      <c r="U12" s="41">
        <f>+BUS!BG123+BUS!BH123+BUS!BI123</f>
        <v>0</v>
      </c>
      <c r="V12" s="41">
        <f>+BUS!BJ123+BUS!BK123+BUS!BL123</f>
        <v>0</v>
      </c>
      <c r="W12" s="41">
        <f>+BUS!BM123+BUS!BN123+BUS!BO123</f>
        <v>0</v>
      </c>
      <c r="X12" s="41">
        <f>+BUS!BP123+BUS!BQ123+BUS!BR123</f>
        <v>0</v>
      </c>
      <c r="Y12" s="41">
        <f>+BUS!BS123+BUS!BT123+BUS!BU123</f>
        <v>0</v>
      </c>
      <c r="Z12" s="41">
        <f>+BUS!BV123+BUS!BW123+BUS!BX123</f>
        <v>0</v>
      </c>
      <c r="AA12" s="41">
        <f>+BUS!BY123+BUS!BZ123+BUS!CA123</f>
        <v>0</v>
      </c>
      <c r="AB12" s="41">
        <f>+BUS!CB123+BUS!CC123+BUS!CD123</f>
        <v>0</v>
      </c>
      <c r="AC12" s="41">
        <f>+BUS!CE123+BUS!CF123+BUS!CG123</f>
        <v>0</v>
      </c>
      <c r="AD12" s="41">
        <f>+BUS!CH123+BUS!CI123+BUS!CJ123</f>
        <v>0</v>
      </c>
      <c r="AE12" s="122">
        <f>+BUS!CK123+BUS!CL123+BUS!CM123</f>
        <v>0</v>
      </c>
      <c r="AF12" s="122">
        <f>+BUS!CN123+BUS!CO123+BUS!CP123</f>
        <v>0</v>
      </c>
      <c r="AG12" s="122">
        <f>+BUS!CQ123+BUS!CR123+BUS!CS123</f>
        <v>0</v>
      </c>
      <c r="AH12" s="122">
        <f>+BUS!CT123+BUS!CU123+BUS!CV123</f>
        <v>0</v>
      </c>
      <c r="AI12" s="122">
        <f>+BUS!CW123+BUS!CX123+BUS!CY123</f>
        <v>0</v>
      </c>
      <c r="AJ12" s="122">
        <f>+BUS!CZ123+BUS!DA123+BUS!DB123</f>
        <v>0</v>
      </c>
      <c r="AK12" s="226">
        <f t="shared" si="0"/>
        <v>0</v>
      </c>
    </row>
    <row r="13" spans="1:37" ht="18.75" customHeight="1">
      <c r="A13" s="154">
        <v>10</v>
      </c>
      <c r="B13" s="120">
        <f>+BUS!B124+BUS!C124+BUS!D124</f>
        <v>0</v>
      </c>
      <c r="C13" s="41">
        <f>+BUS!E124+BUS!F124+BUS!G124</f>
        <v>0</v>
      </c>
      <c r="D13" s="41">
        <f>+BUS!H124+BUS!I124+BUS!J124</f>
        <v>0</v>
      </c>
      <c r="E13" s="41">
        <f>+BUS!K124+BUS!L124+BUS!M124</f>
        <v>0</v>
      </c>
      <c r="F13" s="41">
        <f>+BUS!N124+BUS!O124+BUS!P124</f>
        <v>0</v>
      </c>
      <c r="G13" s="41">
        <f>+BUS!Q124+BUS!R124+BUS!S124</f>
        <v>0</v>
      </c>
      <c r="H13" s="41">
        <f>+BUS!T124+BUS!U124+BUS!V124</f>
        <v>0</v>
      </c>
      <c r="I13" s="41">
        <f>+BUS!W124+BUS!X124+BUS!Y124</f>
        <v>0</v>
      </c>
      <c r="J13" s="41">
        <f>+BUS!Z124+BUS!AA124+BUS!AB124</f>
        <v>0</v>
      </c>
      <c r="K13" s="41">
        <f>+BUS!AC124+BUS!AD124+BUS!AE124</f>
        <v>0</v>
      </c>
      <c r="L13" s="41">
        <f>+BUS!AF124+BUS!AG124+BUS!AH124</f>
        <v>0</v>
      </c>
      <c r="M13" s="41">
        <f>+BUS!AI124+BUS!AJ124+BUS!AK124</f>
        <v>0</v>
      </c>
      <c r="N13" s="41">
        <f>+BUS!AL124+BUS!AM124+BUS!AN124</f>
        <v>0</v>
      </c>
      <c r="O13" s="41">
        <f>+BUS!AO124+BUS!AP124+BUS!AQ124</f>
        <v>0</v>
      </c>
      <c r="P13" s="41">
        <f>+BUS!AR124+BUS!AS124+BUS!AT124</f>
        <v>0</v>
      </c>
      <c r="Q13" s="41">
        <f>+BUS!AU124+BUS!AV124+BUS!AW124</f>
        <v>0</v>
      </c>
      <c r="R13" s="41">
        <f>+BUS!AX124+BUS!AY124+BUS!AZ124</f>
        <v>0</v>
      </c>
      <c r="S13" s="41">
        <f>+BUS!BA124+BUS!BB124+BUS!BC124</f>
        <v>0</v>
      </c>
      <c r="T13" s="41">
        <f>+BUS!BD124+BUS!BE124+BUS!BF124</f>
        <v>0</v>
      </c>
      <c r="U13" s="41">
        <f>+BUS!BG124+BUS!BH124+BUS!BI124</f>
        <v>0</v>
      </c>
      <c r="V13" s="41">
        <f>+BUS!BJ124+BUS!BK124+BUS!BL124</f>
        <v>0</v>
      </c>
      <c r="W13" s="41">
        <f>+BUS!BM124+BUS!BN124+BUS!BO124</f>
        <v>0</v>
      </c>
      <c r="X13" s="41">
        <f>+BUS!BP124+BUS!BQ124+BUS!BR124</f>
        <v>0</v>
      </c>
      <c r="Y13" s="41">
        <f>+BUS!BS124+BUS!BT124+BUS!BU124</f>
        <v>0</v>
      </c>
      <c r="Z13" s="41">
        <f>+BUS!BV124+BUS!BW124+BUS!BX124</f>
        <v>0</v>
      </c>
      <c r="AA13" s="41">
        <f>+BUS!BY124+BUS!BZ124+BUS!CA124</f>
        <v>0</v>
      </c>
      <c r="AB13" s="41">
        <f>+BUS!CB124+BUS!CC124+BUS!CD124</f>
        <v>0</v>
      </c>
      <c r="AC13" s="41">
        <f>+BUS!CE124+BUS!CF124+BUS!CG124</f>
        <v>0</v>
      </c>
      <c r="AD13" s="41">
        <f>+BUS!CH124+BUS!CI124+BUS!CJ124</f>
        <v>0</v>
      </c>
      <c r="AE13" s="122">
        <f>+BUS!CK124+BUS!CL124+BUS!CM124</f>
        <v>0</v>
      </c>
      <c r="AF13" s="122">
        <f>+BUS!CN124+BUS!CO124+BUS!CP124</f>
        <v>0</v>
      </c>
      <c r="AG13" s="122">
        <f>+BUS!CQ124+BUS!CR124+BUS!CS124</f>
        <v>0</v>
      </c>
      <c r="AH13" s="122">
        <f>+BUS!CT124+BUS!CU124+BUS!CV124</f>
        <v>0</v>
      </c>
      <c r="AI13" s="122">
        <f>+BUS!CW124+BUS!CX124+BUS!CY124</f>
        <v>0</v>
      </c>
      <c r="AJ13" s="122">
        <f>+BUS!CZ124+BUS!DA124+BUS!DB124</f>
        <v>0</v>
      </c>
      <c r="AK13" s="226">
        <f t="shared" si="0"/>
        <v>0</v>
      </c>
    </row>
    <row r="14" spans="1:37" ht="15.75" customHeight="1">
      <c r="A14" s="154">
        <v>11</v>
      </c>
      <c r="B14" s="120">
        <f>+BUS!B125+BUS!C125+BUS!D125</f>
        <v>0</v>
      </c>
      <c r="C14" s="41">
        <f>+BUS!E125+BUS!F125+BUS!G125</f>
        <v>0</v>
      </c>
      <c r="D14" s="41">
        <f>+BUS!H125+BUS!I125+BUS!J125</f>
        <v>0</v>
      </c>
      <c r="E14" s="41">
        <f>+BUS!K125+BUS!L125+BUS!M125</f>
        <v>0</v>
      </c>
      <c r="F14" s="41">
        <f>+BUS!N125+BUS!O125+BUS!P125</f>
        <v>0</v>
      </c>
      <c r="G14" s="41">
        <f>+BUS!Q125+BUS!R125+BUS!S125</f>
        <v>0</v>
      </c>
      <c r="H14" s="41">
        <f>+BUS!T125+BUS!U125+BUS!V125</f>
        <v>0</v>
      </c>
      <c r="I14" s="41">
        <f>+BUS!W125+BUS!X125+BUS!Y125</f>
        <v>0</v>
      </c>
      <c r="J14" s="41">
        <f>+BUS!Z125+BUS!AA125+BUS!AB125</f>
        <v>0</v>
      </c>
      <c r="K14" s="41">
        <f>+BUS!AC125+BUS!AD125+BUS!AE125</f>
        <v>0</v>
      </c>
      <c r="L14" s="41">
        <f>+BUS!AF125+BUS!AG125+BUS!AH125</f>
        <v>0</v>
      </c>
      <c r="M14" s="41">
        <f>+BUS!AI125+BUS!AJ125+BUS!AK125</f>
        <v>0</v>
      </c>
      <c r="N14" s="41">
        <f>+BUS!AL125+BUS!AM125+BUS!AN125</f>
        <v>0</v>
      </c>
      <c r="O14" s="41">
        <f>+BUS!AO125+BUS!AP125+BUS!AQ125</f>
        <v>0</v>
      </c>
      <c r="P14" s="41">
        <f>+BUS!AR125+BUS!AS125+BUS!AT125</f>
        <v>0</v>
      </c>
      <c r="Q14" s="41">
        <f>+BUS!AU125+BUS!AV125+BUS!AW125</f>
        <v>0</v>
      </c>
      <c r="R14" s="41">
        <f>+BUS!AX125+BUS!AY125+BUS!AZ125</f>
        <v>0</v>
      </c>
      <c r="S14" s="41">
        <f>+BUS!BA125+BUS!BB125+BUS!BC125</f>
        <v>0</v>
      </c>
      <c r="T14" s="41">
        <f>+BUS!BD125+BUS!BE125+BUS!BF125</f>
        <v>0</v>
      </c>
      <c r="U14" s="41">
        <f>+BUS!BG125+BUS!BH125+BUS!BI125</f>
        <v>0</v>
      </c>
      <c r="V14" s="41">
        <f>+BUS!BJ125+BUS!BK125+BUS!BL125</f>
        <v>0</v>
      </c>
      <c r="W14" s="41">
        <f>+BUS!BM125+BUS!BN125+BUS!BO125</f>
        <v>0</v>
      </c>
      <c r="X14" s="41">
        <f>+BUS!BP125+BUS!BQ125+BUS!BR125</f>
        <v>0</v>
      </c>
      <c r="Y14" s="41">
        <f>+BUS!BS125+BUS!BT125+BUS!BU125</f>
        <v>0</v>
      </c>
      <c r="Z14" s="41">
        <f>+BUS!BV125+BUS!BW125+BUS!BX125</f>
        <v>0</v>
      </c>
      <c r="AA14" s="41">
        <f>+BUS!BY125+BUS!BZ125+BUS!CA125</f>
        <v>0</v>
      </c>
      <c r="AB14" s="41">
        <f>+BUS!CB125+BUS!CC125+BUS!CD125</f>
        <v>0</v>
      </c>
      <c r="AC14" s="41">
        <f>+BUS!CE125+BUS!CF125+BUS!CG125</f>
        <v>0</v>
      </c>
      <c r="AD14" s="41">
        <f>+BUS!CH125+BUS!CI125+BUS!CJ125</f>
        <v>0</v>
      </c>
      <c r="AE14" s="122">
        <f>+BUS!CK125+BUS!CL125+BUS!CM125</f>
        <v>0</v>
      </c>
      <c r="AF14" s="122">
        <f>+BUS!CN125+BUS!CO125+BUS!CP125</f>
        <v>0</v>
      </c>
      <c r="AG14" s="122">
        <f>+BUS!CQ125+BUS!CR125+BUS!CS125</f>
        <v>0</v>
      </c>
      <c r="AH14" s="122">
        <f>+BUS!CT125+BUS!CU125+BUS!CV125</f>
        <v>0</v>
      </c>
      <c r="AI14" s="122">
        <f>+BUS!CW125+BUS!CX125+BUS!CY125</f>
        <v>0</v>
      </c>
      <c r="AJ14" s="122">
        <f>+BUS!CZ125+BUS!DA125+BUS!DB125</f>
        <v>0</v>
      </c>
      <c r="AK14" s="226">
        <f t="shared" si="0"/>
        <v>0</v>
      </c>
    </row>
    <row r="15" spans="1:37" ht="17.25" customHeight="1">
      <c r="A15" s="154">
        <v>12</v>
      </c>
      <c r="B15" s="120">
        <f>+BUS!B126+BUS!C126+BUS!D126</f>
        <v>0</v>
      </c>
      <c r="C15" s="41">
        <f>+BUS!E126+BUS!F126+BUS!G126</f>
        <v>0</v>
      </c>
      <c r="D15" s="41">
        <f>+BUS!H126+BUS!I126+BUS!J126</f>
        <v>0</v>
      </c>
      <c r="E15" s="41">
        <f>+BUS!K126+BUS!L126+BUS!M126</f>
        <v>0</v>
      </c>
      <c r="F15" s="41">
        <f>+BUS!N126+BUS!O126+BUS!P126</f>
        <v>0</v>
      </c>
      <c r="G15" s="41">
        <f>+BUS!Q126+BUS!R126+BUS!S126</f>
        <v>0</v>
      </c>
      <c r="H15" s="41">
        <f>+BUS!T126+BUS!U126+BUS!V126</f>
        <v>0</v>
      </c>
      <c r="I15" s="41">
        <f>+BUS!W126+BUS!X126+BUS!Y126</f>
        <v>0</v>
      </c>
      <c r="J15" s="41">
        <f>+BUS!Z126+BUS!AA126+BUS!AB126</f>
        <v>0</v>
      </c>
      <c r="K15" s="41">
        <f>+BUS!AC126+BUS!AD126+BUS!AE126</f>
        <v>0</v>
      </c>
      <c r="L15" s="41">
        <f>+BUS!AF126+BUS!AG126+BUS!AH126</f>
        <v>0</v>
      </c>
      <c r="M15" s="41">
        <f>+BUS!AI126+BUS!AJ126+BUS!AK126</f>
        <v>0</v>
      </c>
      <c r="N15" s="41">
        <f>+BUS!AL126+BUS!AM126+BUS!AN126</f>
        <v>0</v>
      </c>
      <c r="O15" s="41">
        <f>+BUS!AO126+BUS!AP126+BUS!AQ126</f>
        <v>0</v>
      </c>
      <c r="P15" s="41">
        <f>+BUS!AR126+BUS!AS126+BUS!AT126</f>
        <v>0</v>
      </c>
      <c r="Q15" s="41">
        <f>+BUS!AU126+BUS!AV126+BUS!AW126</f>
        <v>0</v>
      </c>
      <c r="R15" s="41">
        <f>+BUS!AX126+BUS!AY126+BUS!AZ126</f>
        <v>0</v>
      </c>
      <c r="S15" s="41">
        <f>+BUS!BA126+BUS!BB126+BUS!BC126</f>
        <v>0</v>
      </c>
      <c r="T15" s="41">
        <f>+BUS!BD126+BUS!BE126+BUS!BF126</f>
        <v>0</v>
      </c>
      <c r="U15" s="41">
        <f>+BUS!BG126+BUS!BH126+BUS!BI126</f>
        <v>0</v>
      </c>
      <c r="V15" s="41">
        <f>+BUS!BJ126+BUS!BK126+BUS!BL126</f>
        <v>0</v>
      </c>
      <c r="W15" s="41">
        <f>+BUS!BM126+BUS!BN126+BUS!BO126</f>
        <v>0</v>
      </c>
      <c r="X15" s="41">
        <f>+BUS!BP126+BUS!BQ126+BUS!BR126</f>
        <v>0</v>
      </c>
      <c r="Y15" s="41">
        <f>+BUS!BS126+BUS!BT126+BUS!BU126</f>
        <v>0</v>
      </c>
      <c r="Z15" s="41">
        <f>+BUS!BV126+BUS!BW126+BUS!BX126</f>
        <v>0</v>
      </c>
      <c r="AA15" s="41">
        <f>+BUS!BY126+BUS!BZ126+BUS!CA126</f>
        <v>0</v>
      </c>
      <c r="AB15" s="41">
        <f>+BUS!CB126+BUS!CC126+BUS!CD126</f>
        <v>0</v>
      </c>
      <c r="AC15" s="41">
        <f>+BUS!CE126+BUS!CF126+BUS!CG126</f>
        <v>0</v>
      </c>
      <c r="AD15" s="41">
        <f>+BUS!CH126+BUS!CI126+BUS!CJ126</f>
        <v>0</v>
      </c>
      <c r="AE15" s="122">
        <f>+BUS!CK126+BUS!CL126+BUS!CM126</f>
        <v>0</v>
      </c>
      <c r="AF15" s="122">
        <f>+BUS!CN126+BUS!CO126+BUS!CP126</f>
        <v>0</v>
      </c>
      <c r="AG15" s="122">
        <f>+BUS!CQ126+BUS!CR126+BUS!CS126</f>
        <v>0</v>
      </c>
      <c r="AH15" s="122">
        <f>+BUS!CT126+BUS!CU126+BUS!CV126</f>
        <v>0</v>
      </c>
      <c r="AI15" s="122">
        <f>+BUS!CW126+BUS!CX126+BUS!CY126</f>
        <v>0</v>
      </c>
      <c r="AJ15" s="122">
        <f>+BUS!CZ126+BUS!DA126+BUS!DB126</f>
        <v>0</v>
      </c>
      <c r="AK15" s="226">
        <f t="shared" si="0"/>
        <v>0</v>
      </c>
    </row>
    <row r="16" spans="1:37" ht="16.5" customHeight="1">
      <c r="A16" s="154">
        <v>13</v>
      </c>
      <c r="B16" s="120">
        <f>+BUS!B127+BUS!C127+BUS!D127</f>
        <v>0</v>
      </c>
      <c r="C16" s="41">
        <f>+BUS!E127+BUS!F127+BUS!G127</f>
        <v>0</v>
      </c>
      <c r="D16" s="41">
        <f>+BUS!H127+BUS!I127+BUS!J127</f>
        <v>0</v>
      </c>
      <c r="E16" s="41">
        <f>+BUS!K127+BUS!L127+BUS!M127</f>
        <v>0</v>
      </c>
      <c r="F16" s="41">
        <f>+BUS!N127+BUS!O127+BUS!P127</f>
        <v>0</v>
      </c>
      <c r="G16" s="41">
        <f>+BUS!Q127+BUS!R127+BUS!S127</f>
        <v>0</v>
      </c>
      <c r="H16" s="41">
        <f>+BUS!T127+BUS!U127+BUS!V127</f>
        <v>0</v>
      </c>
      <c r="I16" s="41">
        <f>+BUS!W127+BUS!X127+BUS!Y127</f>
        <v>0</v>
      </c>
      <c r="J16" s="41">
        <f>+BUS!Z127+BUS!AA127+BUS!AB127</f>
        <v>0</v>
      </c>
      <c r="K16" s="41">
        <f>+BUS!AC127+BUS!AD127+BUS!AE127</f>
        <v>0</v>
      </c>
      <c r="L16" s="41">
        <f>+BUS!AF127+BUS!AG127+BUS!AH127</f>
        <v>0</v>
      </c>
      <c r="M16" s="41">
        <f>+BUS!AI127+BUS!AJ127+BUS!AK127</f>
        <v>0</v>
      </c>
      <c r="N16" s="41">
        <f>+BUS!AL127+BUS!AM127+BUS!AN127</f>
        <v>0</v>
      </c>
      <c r="O16" s="41">
        <f>+BUS!AO127+BUS!AP127+BUS!AQ127</f>
        <v>0</v>
      </c>
      <c r="P16" s="41">
        <f>+BUS!AR127+BUS!AS127+BUS!AT127</f>
        <v>0</v>
      </c>
      <c r="Q16" s="41">
        <f>+BUS!AU127+BUS!AV127+BUS!AW127</f>
        <v>0</v>
      </c>
      <c r="R16" s="41">
        <f>+BUS!AX127+BUS!AY127+BUS!AZ127</f>
        <v>0</v>
      </c>
      <c r="S16" s="41">
        <f>+BUS!BA127+BUS!BB127+BUS!BC127</f>
        <v>0</v>
      </c>
      <c r="T16" s="41">
        <f>+BUS!BD127+BUS!BE127+BUS!BF127</f>
        <v>0</v>
      </c>
      <c r="U16" s="41">
        <f>+BUS!BG127+BUS!BH127+BUS!BI127</f>
        <v>0</v>
      </c>
      <c r="V16" s="41">
        <f>+BUS!BJ127+BUS!BK127+BUS!BL127</f>
        <v>0</v>
      </c>
      <c r="W16" s="41">
        <f>+BUS!BM127+BUS!BN127+BUS!BO127</f>
        <v>0</v>
      </c>
      <c r="X16" s="41">
        <f>+BUS!BP127+BUS!BQ127+BUS!BR127</f>
        <v>0</v>
      </c>
      <c r="Y16" s="41">
        <f>+BUS!BS127+BUS!BT127+BUS!BU127</f>
        <v>0</v>
      </c>
      <c r="Z16" s="41">
        <f>+BUS!BV127+BUS!BW127+BUS!BX127</f>
        <v>0</v>
      </c>
      <c r="AA16" s="41">
        <f>+BUS!BY127+BUS!BZ127+BUS!CA127</f>
        <v>0</v>
      </c>
      <c r="AB16" s="41">
        <f>+BUS!CB127+BUS!CC127+BUS!CD127</f>
        <v>0</v>
      </c>
      <c r="AC16" s="41">
        <f>+BUS!CE127+BUS!CF127+BUS!CG127</f>
        <v>0</v>
      </c>
      <c r="AD16" s="41">
        <f>+BUS!CH127+BUS!CI127+BUS!CJ127</f>
        <v>0</v>
      </c>
      <c r="AE16" s="122">
        <f>+BUS!CK127+BUS!CL127+BUS!CM127</f>
        <v>0</v>
      </c>
      <c r="AF16" s="122">
        <f>+BUS!CN127+BUS!CO127+BUS!CP127</f>
        <v>0</v>
      </c>
      <c r="AG16" s="122">
        <f>+BUS!CQ127+BUS!CR127+BUS!CS127</f>
        <v>0</v>
      </c>
      <c r="AH16" s="122">
        <f>+BUS!CT127+BUS!CU127+BUS!CV127</f>
        <v>0</v>
      </c>
      <c r="AI16" s="122">
        <f>+BUS!CW127+BUS!CX127+BUS!CY127</f>
        <v>0</v>
      </c>
      <c r="AJ16" s="122">
        <f>+BUS!CZ127+BUS!DA127+BUS!DB127</f>
        <v>0</v>
      </c>
      <c r="AK16" s="226">
        <f t="shared" si="0"/>
        <v>0</v>
      </c>
    </row>
    <row r="17" spans="1:37" ht="18" customHeight="1">
      <c r="A17" s="154">
        <v>14</v>
      </c>
      <c r="B17" s="120">
        <f>+BUS!B128+BUS!C128+BUS!D128</f>
        <v>0</v>
      </c>
      <c r="C17" s="41">
        <f>+BUS!E128+BUS!F128+BUS!G128</f>
        <v>0</v>
      </c>
      <c r="D17" s="41">
        <f>+BUS!H128+BUS!I128+BUS!J128</f>
        <v>0</v>
      </c>
      <c r="E17" s="41">
        <f>+BUS!K128+BUS!L128+BUS!M128</f>
        <v>0</v>
      </c>
      <c r="F17" s="41">
        <f>+BUS!N128+BUS!O128+BUS!P128</f>
        <v>0</v>
      </c>
      <c r="G17" s="41">
        <f>+BUS!Q128+BUS!R128+BUS!S128</f>
        <v>0</v>
      </c>
      <c r="H17" s="41">
        <f>+BUS!T128+BUS!U128+BUS!V128</f>
        <v>0</v>
      </c>
      <c r="I17" s="41">
        <f>+BUS!W128+BUS!X128+BUS!Y128</f>
        <v>0</v>
      </c>
      <c r="J17" s="41">
        <f>+BUS!Z128+BUS!AA128+BUS!AB128</f>
        <v>0</v>
      </c>
      <c r="K17" s="41">
        <f>+BUS!AC128+BUS!AD128+BUS!AE128</f>
        <v>0</v>
      </c>
      <c r="L17" s="41">
        <f>+BUS!AF128+BUS!AG128+BUS!AH128</f>
        <v>0</v>
      </c>
      <c r="M17" s="41">
        <f>+BUS!AI128+BUS!AJ128+BUS!AK128</f>
        <v>0</v>
      </c>
      <c r="N17" s="41">
        <f>+BUS!AL128+BUS!AM128+BUS!AN128</f>
        <v>0</v>
      </c>
      <c r="O17" s="41">
        <f>+BUS!AO128+BUS!AP128+BUS!AQ128</f>
        <v>0</v>
      </c>
      <c r="P17" s="41">
        <f>+BUS!AR128+BUS!AS128+BUS!AT128</f>
        <v>0</v>
      </c>
      <c r="Q17" s="41">
        <f>+BUS!AU128+BUS!AV128+BUS!AW128</f>
        <v>0</v>
      </c>
      <c r="R17" s="41">
        <f>+BUS!AX128+BUS!AY128+BUS!AZ128</f>
        <v>0</v>
      </c>
      <c r="S17" s="41">
        <f>+BUS!BA128+BUS!BB128+BUS!BC128</f>
        <v>0</v>
      </c>
      <c r="T17" s="41">
        <f>+BUS!BD128+BUS!BE128+BUS!BF128</f>
        <v>0</v>
      </c>
      <c r="U17" s="41">
        <f>+BUS!BG128+BUS!BH128+BUS!BI128</f>
        <v>0</v>
      </c>
      <c r="V17" s="41">
        <f>+BUS!BJ128+BUS!BK128+BUS!BL128</f>
        <v>0</v>
      </c>
      <c r="W17" s="41">
        <f>+BUS!BM128+BUS!BN128+BUS!BO128</f>
        <v>0</v>
      </c>
      <c r="X17" s="41">
        <f>+BUS!BP128+BUS!BQ128+BUS!BR128</f>
        <v>0</v>
      </c>
      <c r="Y17" s="41">
        <f>+BUS!BS128+BUS!BT128+BUS!BU128</f>
        <v>0</v>
      </c>
      <c r="Z17" s="41">
        <f>+BUS!BV128+BUS!BW128+BUS!BX128</f>
        <v>0</v>
      </c>
      <c r="AA17" s="41">
        <f>+BUS!BY128+BUS!BZ128+BUS!CA128</f>
        <v>0</v>
      </c>
      <c r="AB17" s="41">
        <f>+BUS!CB128+BUS!CC128+BUS!CD128</f>
        <v>0</v>
      </c>
      <c r="AC17" s="41">
        <f>+BUS!CE128+BUS!CF128+BUS!CG128</f>
        <v>0</v>
      </c>
      <c r="AD17" s="41">
        <f>+BUS!CH128+BUS!CI128+BUS!CJ128</f>
        <v>0</v>
      </c>
      <c r="AE17" s="122">
        <f>+BUS!CK128+BUS!CL128+BUS!CM128</f>
        <v>0</v>
      </c>
      <c r="AF17" s="122">
        <f>+BUS!CN128+BUS!CO128+BUS!CP128</f>
        <v>0</v>
      </c>
      <c r="AG17" s="122">
        <f>+BUS!CQ128+BUS!CR128+BUS!CS128</f>
        <v>0</v>
      </c>
      <c r="AH17" s="122">
        <f>+BUS!CT128+BUS!CU128+BUS!CV128</f>
        <v>0</v>
      </c>
      <c r="AI17" s="122">
        <f>+BUS!CW128+BUS!CX128+BUS!CY128</f>
        <v>0</v>
      </c>
      <c r="AJ17" s="122">
        <f>+BUS!CZ128+BUS!DA128+BUS!DB128</f>
        <v>0</v>
      </c>
      <c r="AK17" s="226">
        <f t="shared" si="0"/>
        <v>0</v>
      </c>
    </row>
    <row r="18" spans="1:37" ht="17.25" customHeight="1">
      <c r="A18" s="154">
        <v>15</v>
      </c>
      <c r="B18" s="120">
        <f>+BUS!B129+BUS!C129+BUS!D129</f>
        <v>0</v>
      </c>
      <c r="C18" s="41">
        <f>+BUS!E129+BUS!F129+BUS!G129</f>
        <v>0</v>
      </c>
      <c r="D18" s="41">
        <f>+BUS!H129+BUS!I129+BUS!J129</f>
        <v>0</v>
      </c>
      <c r="E18" s="41">
        <f>+BUS!K129+BUS!L129+BUS!M129</f>
        <v>0</v>
      </c>
      <c r="F18" s="41">
        <f>+BUS!N129+BUS!O129+BUS!P129</f>
        <v>0</v>
      </c>
      <c r="G18" s="41">
        <f>+BUS!Q129+BUS!R129+BUS!S129</f>
        <v>0</v>
      </c>
      <c r="H18" s="41">
        <f>+BUS!T129+BUS!U129+BUS!V129</f>
        <v>0</v>
      </c>
      <c r="I18" s="41">
        <f>+BUS!W129+BUS!X129+BUS!Y129</f>
        <v>0</v>
      </c>
      <c r="J18" s="41">
        <f>+BUS!Z129+BUS!AA129+BUS!AB129</f>
        <v>0</v>
      </c>
      <c r="K18" s="41">
        <f>+BUS!AC129+BUS!AD129+BUS!AE129</f>
        <v>0</v>
      </c>
      <c r="L18" s="41">
        <f>+BUS!AF129+BUS!AG129+BUS!AH129</f>
        <v>0</v>
      </c>
      <c r="M18" s="41">
        <f>+BUS!AI129+BUS!AJ129+BUS!AK129</f>
        <v>0</v>
      </c>
      <c r="N18" s="41">
        <f>+BUS!AL129+BUS!AM129+BUS!AN129</f>
        <v>0</v>
      </c>
      <c r="O18" s="41">
        <f>+BUS!AO129+BUS!AP129+BUS!AQ129</f>
        <v>0</v>
      </c>
      <c r="P18" s="41">
        <f>+BUS!AR129+BUS!AS129+BUS!AT129</f>
        <v>0</v>
      </c>
      <c r="Q18" s="41">
        <f>+BUS!AU129+BUS!AV129+BUS!AW129</f>
        <v>0</v>
      </c>
      <c r="R18" s="41">
        <f>+BUS!AX129+BUS!AY129+BUS!AZ129</f>
        <v>0</v>
      </c>
      <c r="S18" s="41">
        <f>+BUS!BA129+BUS!BB129+BUS!BC129</f>
        <v>0</v>
      </c>
      <c r="T18" s="41">
        <f>+BUS!BD129+BUS!BE129+BUS!BF129</f>
        <v>0</v>
      </c>
      <c r="U18" s="41">
        <f>+BUS!BG129+BUS!BH129+BUS!BI129</f>
        <v>0</v>
      </c>
      <c r="V18" s="41">
        <f>+BUS!BJ129+BUS!BK129+BUS!BL129</f>
        <v>0</v>
      </c>
      <c r="W18" s="41">
        <f>+BUS!BM129+BUS!BN129+BUS!BO129</f>
        <v>0</v>
      </c>
      <c r="X18" s="41">
        <f>+BUS!BP129+BUS!BQ129+BUS!BR129</f>
        <v>0</v>
      </c>
      <c r="Y18" s="41">
        <f>+BUS!BS129+BUS!BT129+BUS!BU129</f>
        <v>0</v>
      </c>
      <c r="Z18" s="41">
        <f>+BUS!BV129+BUS!BW129+BUS!BX129</f>
        <v>0</v>
      </c>
      <c r="AA18" s="41">
        <f>+BUS!BY129+BUS!BZ129+BUS!CA129</f>
        <v>0</v>
      </c>
      <c r="AB18" s="41">
        <f>+BUS!CB129+BUS!CC129+BUS!CD129</f>
        <v>0</v>
      </c>
      <c r="AC18" s="41">
        <f>+BUS!CE129+BUS!CF129+BUS!CG129</f>
        <v>0</v>
      </c>
      <c r="AD18" s="41">
        <f>+BUS!CH129+BUS!CI129+BUS!CJ129</f>
        <v>0</v>
      </c>
      <c r="AE18" s="122">
        <f>+BUS!CK129+BUS!CL129+BUS!CM129</f>
        <v>0</v>
      </c>
      <c r="AF18" s="122">
        <f>+BUS!CN129+BUS!CO129+BUS!CP129</f>
        <v>0</v>
      </c>
      <c r="AG18" s="122">
        <f>+BUS!CQ129+BUS!CR129+BUS!CS129</f>
        <v>0</v>
      </c>
      <c r="AH18" s="122">
        <f>+BUS!CT129+BUS!CU129+BUS!CV129</f>
        <v>0</v>
      </c>
      <c r="AI18" s="122">
        <f>+BUS!CW129+BUS!CX129+BUS!CY129</f>
        <v>0</v>
      </c>
      <c r="AJ18" s="122">
        <f>+BUS!CZ129+BUS!DA129+BUS!DB129</f>
        <v>0</v>
      </c>
      <c r="AK18" s="226">
        <f t="shared" si="0"/>
        <v>0</v>
      </c>
    </row>
    <row r="19" spans="1:37" ht="15.75" customHeight="1">
      <c r="A19" s="154">
        <v>16</v>
      </c>
      <c r="B19" s="120">
        <f>+BUS!B130+BUS!C130+BUS!D130</f>
        <v>0</v>
      </c>
      <c r="C19" s="41">
        <f>+BUS!E130+BUS!F130+BUS!G130</f>
        <v>0</v>
      </c>
      <c r="D19" s="41">
        <f>+BUS!H130+BUS!I130+BUS!J130</f>
        <v>0</v>
      </c>
      <c r="E19" s="41">
        <f>+BUS!K130+BUS!L130+BUS!M130</f>
        <v>0</v>
      </c>
      <c r="F19" s="41">
        <f>+BUS!N130+BUS!O130+BUS!P130</f>
        <v>0</v>
      </c>
      <c r="G19" s="41">
        <f>+BUS!Q130+BUS!R130+BUS!S130</f>
        <v>0</v>
      </c>
      <c r="H19" s="41">
        <f>+BUS!T130+BUS!U130+BUS!V130</f>
        <v>0</v>
      </c>
      <c r="I19" s="41">
        <f>+BUS!W130+BUS!X130+BUS!Y130</f>
        <v>0</v>
      </c>
      <c r="J19" s="41">
        <f>+BUS!Z130+BUS!AA130+BUS!AB130</f>
        <v>0</v>
      </c>
      <c r="K19" s="41">
        <f>+BUS!AC130+BUS!AD130+BUS!AE130</f>
        <v>0</v>
      </c>
      <c r="L19" s="41">
        <f>+BUS!AF130+BUS!AG130+BUS!AH130</f>
        <v>0</v>
      </c>
      <c r="M19" s="41">
        <f>+BUS!AI130+BUS!AJ130+BUS!AK130</f>
        <v>0</v>
      </c>
      <c r="N19" s="41">
        <f>+BUS!AL130+BUS!AM130+BUS!AN130</f>
        <v>0</v>
      </c>
      <c r="O19" s="41">
        <f>+BUS!AO130+BUS!AP130+BUS!AQ130</f>
        <v>0</v>
      </c>
      <c r="P19" s="41">
        <f>+BUS!AR130+BUS!AS130+BUS!AT130</f>
        <v>0</v>
      </c>
      <c r="Q19" s="41">
        <f>+BUS!AU130+BUS!AV130+BUS!AW130</f>
        <v>0</v>
      </c>
      <c r="R19" s="41">
        <f>+BUS!AX130+BUS!AY130+BUS!AZ130</f>
        <v>0</v>
      </c>
      <c r="S19" s="41">
        <f>+BUS!BA130+BUS!BB130+BUS!BC130</f>
        <v>0</v>
      </c>
      <c r="T19" s="41">
        <f>+BUS!BD130+BUS!BE130+BUS!BF130</f>
        <v>0</v>
      </c>
      <c r="U19" s="41">
        <f>+BUS!BG130+BUS!BH130+BUS!BI130</f>
        <v>0</v>
      </c>
      <c r="V19" s="41">
        <f>+BUS!BJ130+BUS!BK130+BUS!BL130</f>
        <v>0</v>
      </c>
      <c r="W19" s="41">
        <f>+BUS!BM130+BUS!BN130+BUS!BO130</f>
        <v>0</v>
      </c>
      <c r="X19" s="41">
        <f>+BUS!BP130+BUS!BQ130+BUS!BR130</f>
        <v>0</v>
      </c>
      <c r="Y19" s="41">
        <f>+BUS!BS130+BUS!BT130+BUS!BU130</f>
        <v>0</v>
      </c>
      <c r="Z19" s="41">
        <f>+BUS!BV130+BUS!BW130+BUS!BX130</f>
        <v>0</v>
      </c>
      <c r="AA19" s="41">
        <f>+BUS!BY130+BUS!BZ130+BUS!CA130</f>
        <v>0</v>
      </c>
      <c r="AB19" s="41">
        <f>+BUS!CB130+BUS!CC130+BUS!CD130</f>
        <v>0</v>
      </c>
      <c r="AC19" s="41">
        <f>+BUS!CE130+BUS!CF130+BUS!CG130</f>
        <v>0</v>
      </c>
      <c r="AD19" s="41">
        <f>+BUS!CH130+BUS!CI130+BUS!CJ130</f>
        <v>0</v>
      </c>
      <c r="AE19" s="122">
        <f>+BUS!CK130+BUS!CL130+BUS!CM130</f>
        <v>0</v>
      </c>
      <c r="AF19" s="122">
        <f>+BUS!CN130+BUS!CO130+BUS!CP130</f>
        <v>0</v>
      </c>
      <c r="AG19" s="122">
        <f>+BUS!CQ130+BUS!CR130+BUS!CS130</f>
        <v>0</v>
      </c>
      <c r="AH19" s="122">
        <f>+BUS!CT130+BUS!CU130+BUS!CV130</f>
        <v>0</v>
      </c>
      <c r="AI19" s="122">
        <f>+BUS!CW130+BUS!CX130+BUS!CY130</f>
        <v>0</v>
      </c>
      <c r="AJ19" s="122">
        <f>+BUS!CZ130+BUS!DA130+BUS!DB130</f>
        <v>0</v>
      </c>
      <c r="AK19" s="226">
        <f t="shared" si="0"/>
        <v>0</v>
      </c>
    </row>
    <row r="20" spans="1:37" ht="16.5" customHeight="1">
      <c r="A20" s="154">
        <v>17</v>
      </c>
      <c r="B20" s="120">
        <f>+BUS!B131+BUS!C131+BUS!D131</f>
        <v>0</v>
      </c>
      <c r="C20" s="41">
        <f>+BUS!E131+BUS!F131+BUS!G131</f>
        <v>0</v>
      </c>
      <c r="D20" s="41">
        <f>+BUS!H131+BUS!I131+BUS!J131</f>
        <v>0</v>
      </c>
      <c r="E20" s="41">
        <f>+BUS!K131+BUS!L131+BUS!M131</f>
        <v>0</v>
      </c>
      <c r="F20" s="41">
        <f>+BUS!N131+BUS!O131+BUS!P131</f>
        <v>0</v>
      </c>
      <c r="G20" s="41">
        <f>+BUS!Q131+BUS!R131+BUS!S131</f>
        <v>0</v>
      </c>
      <c r="H20" s="41">
        <f>+BUS!T131+BUS!U131+BUS!V131</f>
        <v>0</v>
      </c>
      <c r="I20" s="41">
        <f>+BUS!W131+BUS!X131+BUS!Y131</f>
        <v>0</v>
      </c>
      <c r="J20" s="41">
        <f>+BUS!Z131+BUS!AA131+BUS!AB131</f>
        <v>0</v>
      </c>
      <c r="K20" s="41">
        <f>+BUS!AC131+BUS!AD131+BUS!AE131</f>
        <v>0</v>
      </c>
      <c r="L20" s="41">
        <f>+BUS!AF131+BUS!AG131+BUS!AH131</f>
        <v>0</v>
      </c>
      <c r="M20" s="41">
        <f>+BUS!AI131+BUS!AJ131+BUS!AK131</f>
        <v>0</v>
      </c>
      <c r="N20" s="41">
        <f>+BUS!AL131+BUS!AM131+BUS!AN131</f>
        <v>0</v>
      </c>
      <c r="O20" s="41">
        <f>+BUS!AO131+BUS!AP131+BUS!AQ131</f>
        <v>0</v>
      </c>
      <c r="P20" s="41">
        <f>+BUS!AR131+BUS!AS131+BUS!AT131</f>
        <v>0</v>
      </c>
      <c r="Q20" s="41">
        <f>+BUS!AU131+BUS!AV131+BUS!AW131</f>
        <v>0</v>
      </c>
      <c r="R20" s="41">
        <f>+BUS!AX131+BUS!AY131+BUS!AZ131</f>
        <v>0</v>
      </c>
      <c r="S20" s="41">
        <f>+BUS!BA131+BUS!BB131+BUS!BC131</f>
        <v>0</v>
      </c>
      <c r="T20" s="41">
        <f>+BUS!BD131+BUS!BE131+BUS!BF131</f>
        <v>0</v>
      </c>
      <c r="U20" s="41">
        <f>+BUS!BG131+BUS!BH131+BUS!BI131</f>
        <v>0</v>
      </c>
      <c r="V20" s="41">
        <f>+BUS!BJ131+BUS!BK131+BUS!BL131</f>
        <v>0</v>
      </c>
      <c r="W20" s="41">
        <f>+BUS!BM131+BUS!BN131+BUS!BO131</f>
        <v>0</v>
      </c>
      <c r="X20" s="41">
        <f>+BUS!BP131+BUS!BQ131+BUS!BR131</f>
        <v>0</v>
      </c>
      <c r="Y20" s="41">
        <f>+BUS!BS131+BUS!BT131+BUS!BU131</f>
        <v>0</v>
      </c>
      <c r="Z20" s="41">
        <f>+BUS!BV131+BUS!BW131+BUS!BX131</f>
        <v>0</v>
      </c>
      <c r="AA20" s="41">
        <f>+BUS!BY131+BUS!BZ131+BUS!CA131</f>
        <v>0</v>
      </c>
      <c r="AB20" s="41">
        <f>+BUS!CB131+BUS!CC131+BUS!CD131</f>
        <v>0</v>
      </c>
      <c r="AC20" s="41">
        <f>+BUS!CE131+BUS!CF131+BUS!CG131</f>
        <v>0</v>
      </c>
      <c r="AD20" s="41">
        <f>+BUS!CH131+BUS!CI131+BUS!CJ131</f>
        <v>0</v>
      </c>
      <c r="AE20" s="122">
        <f>+BUS!CK131+BUS!CL131+BUS!CM131</f>
        <v>0</v>
      </c>
      <c r="AF20" s="122">
        <f>+BUS!CN131+BUS!CO131+BUS!CP131</f>
        <v>0</v>
      </c>
      <c r="AG20" s="122">
        <f>+BUS!CQ131+BUS!CR131+BUS!CS131</f>
        <v>0</v>
      </c>
      <c r="AH20" s="122">
        <f>+BUS!CT131+BUS!CU131+BUS!CV131</f>
        <v>0</v>
      </c>
      <c r="AI20" s="122">
        <f>+BUS!CW131+BUS!CX131+BUS!CY131</f>
        <v>0</v>
      </c>
      <c r="AJ20" s="122">
        <f>+BUS!CZ131+BUS!DA131+BUS!DB131</f>
        <v>0</v>
      </c>
      <c r="AK20" s="226">
        <f t="shared" si="0"/>
        <v>0</v>
      </c>
    </row>
    <row r="21" spans="1:37" ht="17.25" customHeight="1">
      <c r="A21" s="154">
        <v>18</v>
      </c>
      <c r="B21" s="120">
        <f>+BUS!B132+BUS!C132+BUS!D132</f>
        <v>0</v>
      </c>
      <c r="C21" s="41">
        <f>+BUS!E132+BUS!F132+BUS!G132</f>
        <v>0</v>
      </c>
      <c r="D21" s="41">
        <f>+BUS!H132+BUS!I132+BUS!J132</f>
        <v>0</v>
      </c>
      <c r="E21" s="41">
        <f>+BUS!K132+BUS!L132+BUS!M132</f>
        <v>0</v>
      </c>
      <c r="F21" s="41">
        <f>+BUS!N132+BUS!O132+BUS!P132</f>
        <v>0</v>
      </c>
      <c r="G21" s="41">
        <f>+BUS!Q132+BUS!R132+BUS!S132</f>
        <v>0</v>
      </c>
      <c r="H21" s="41">
        <f>+BUS!T132+BUS!U132+BUS!V132</f>
        <v>0</v>
      </c>
      <c r="I21" s="41">
        <f>+BUS!W132+BUS!X132+BUS!Y132</f>
        <v>0</v>
      </c>
      <c r="J21" s="41">
        <f>+BUS!Z132+BUS!AA132+BUS!AB132</f>
        <v>0</v>
      </c>
      <c r="K21" s="41">
        <f>+BUS!AC132+BUS!AD132+BUS!AE132</f>
        <v>0</v>
      </c>
      <c r="L21" s="41">
        <f>+BUS!AF132+BUS!AG132+BUS!AH132</f>
        <v>0</v>
      </c>
      <c r="M21" s="41">
        <f>+BUS!AI132+BUS!AJ132+BUS!AK132</f>
        <v>0</v>
      </c>
      <c r="N21" s="41">
        <f>+BUS!AL132+BUS!AM132+BUS!AN132</f>
        <v>0</v>
      </c>
      <c r="O21" s="41">
        <f>+BUS!AO132+BUS!AP132+BUS!AQ132</f>
        <v>0</v>
      </c>
      <c r="P21" s="41">
        <f>+BUS!AR132+BUS!AS132+BUS!AT132</f>
        <v>0</v>
      </c>
      <c r="Q21" s="41">
        <f>+BUS!AU132+BUS!AV132+BUS!AW132</f>
        <v>0</v>
      </c>
      <c r="R21" s="41">
        <f>+BUS!AX132+BUS!AY132+BUS!AZ132</f>
        <v>0</v>
      </c>
      <c r="S21" s="41">
        <f>+BUS!BA132+BUS!BB132+BUS!BC132</f>
        <v>0</v>
      </c>
      <c r="T21" s="41">
        <f>+BUS!BD132+BUS!BE132+BUS!BF132</f>
        <v>0</v>
      </c>
      <c r="U21" s="41">
        <f>+BUS!BG132+BUS!BH132+BUS!BI132</f>
        <v>0</v>
      </c>
      <c r="V21" s="41">
        <f>+BUS!BJ132+BUS!BK132+BUS!BL132</f>
        <v>0</v>
      </c>
      <c r="W21" s="41">
        <f>+BUS!BM132+BUS!BN132+BUS!BO132</f>
        <v>0</v>
      </c>
      <c r="X21" s="41">
        <f>+BUS!BP132+BUS!BQ132+BUS!BR132</f>
        <v>0</v>
      </c>
      <c r="Y21" s="41">
        <f>+BUS!BS132+BUS!BT132+BUS!BU132</f>
        <v>0</v>
      </c>
      <c r="Z21" s="41">
        <f>+BUS!BV132+BUS!BW132+BUS!BX132</f>
        <v>0</v>
      </c>
      <c r="AA21" s="41">
        <f>+BUS!BY132+BUS!BZ132+BUS!CA132</f>
        <v>0</v>
      </c>
      <c r="AB21" s="41">
        <f>+BUS!CB132+BUS!CC132+BUS!CD132</f>
        <v>0</v>
      </c>
      <c r="AC21" s="41">
        <f>+BUS!CE132+BUS!CF132+BUS!CG132</f>
        <v>0</v>
      </c>
      <c r="AD21" s="41">
        <f>+BUS!CH132+BUS!CI132+BUS!CJ132</f>
        <v>0</v>
      </c>
      <c r="AE21" s="122">
        <f>+BUS!CK132+BUS!CL132+BUS!CM132</f>
        <v>0</v>
      </c>
      <c r="AF21" s="122">
        <f>+BUS!CN132+BUS!CO132+BUS!CP132</f>
        <v>0</v>
      </c>
      <c r="AG21" s="122">
        <f>+BUS!CQ132+BUS!CR132+BUS!CS132</f>
        <v>0</v>
      </c>
      <c r="AH21" s="122">
        <f>+BUS!CT132+BUS!CU132+BUS!CV132</f>
        <v>0</v>
      </c>
      <c r="AI21" s="122">
        <f>+BUS!CW132+BUS!CX132+BUS!CY132</f>
        <v>0</v>
      </c>
      <c r="AJ21" s="122">
        <f>+BUS!CZ132+BUS!DA132+BUS!DB132</f>
        <v>0</v>
      </c>
      <c r="AK21" s="226">
        <f t="shared" si="0"/>
        <v>0</v>
      </c>
    </row>
    <row r="22" spans="1:37" ht="17.25" customHeight="1">
      <c r="A22" s="154">
        <v>19</v>
      </c>
      <c r="B22" s="120">
        <f>+BUS!B133+BUS!C133+BUS!D133</f>
        <v>0</v>
      </c>
      <c r="C22" s="41">
        <f>+BUS!E133+BUS!F133+BUS!G133</f>
        <v>0</v>
      </c>
      <c r="D22" s="41">
        <f>+BUS!H133+BUS!I133+BUS!J133</f>
        <v>0</v>
      </c>
      <c r="E22" s="41">
        <f>+BUS!K133+BUS!L133+BUS!M133</f>
        <v>0</v>
      </c>
      <c r="F22" s="41">
        <f>+BUS!N133+BUS!O133+BUS!P133</f>
        <v>0</v>
      </c>
      <c r="G22" s="41">
        <f>+BUS!Q133+BUS!R133+BUS!S133</f>
        <v>0</v>
      </c>
      <c r="H22" s="41">
        <f>+BUS!T133+BUS!U133+BUS!V133</f>
        <v>0</v>
      </c>
      <c r="I22" s="41">
        <f>+BUS!W133+BUS!X133+BUS!Y133</f>
        <v>0</v>
      </c>
      <c r="J22" s="41">
        <f>+BUS!Z133+BUS!AA133+BUS!AB133</f>
        <v>0</v>
      </c>
      <c r="K22" s="41">
        <f>+BUS!AC133+BUS!AD133+BUS!AE133</f>
        <v>0</v>
      </c>
      <c r="L22" s="41">
        <f>+BUS!AF133+BUS!AG133+BUS!AH133</f>
        <v>0</v>
      </c>
      <c r="M22" s="41">
        <f>+BUS!AI133+BUS!AJ133+BUS!AK133</f>
        <v>0</v>
      </c>
      <c r="N22" s="41">
        <f>+BUS!AL133+BUS!AM133+BUS!AN133</f>
        <v>0</v>
      </c>
      <c r="O22" s="41">
        <f>+BUS!AO133+BUS!AP133+BUS!AQ133</f>
        <v>0</v>
      </c>
      <c r="P22" s="41">
        <f>+BUS!AR133+BUS!AS133+BUS!AT133</f>
        <v>0</v>
      </c>
      <c r="Q22" s="41">
        <f>+BUS!AU133+BUS!AV133+BUS!AW133</f>
        <v>0</v>
      </c>
      <c r="R22" s="41">
        <f>+BUS!AX133+BUS!AY133+BUS!AZ133</f>
        <v>0</v>
      </c>
      <c r="S22" s="41">
        <f>+BUS!BA133+BUS!BB133+BUS!BC133</f>
        <v>0</v>
      </c>
      <c r="T22" s="41">
        <f>+BUS!BD133+BUS!BE133+BUS!BF133</f>
        <v>0</v>
      </c>
      <c r="U22" s="41">
        <f>+BUS!BG133+BUS!BH133+BUS!BI133</f>
        <v>0</v>
      </c>
      <c r="V22" s="41">
        <f>+BUS!BJ133+BUS!BK133+BUS!BL133</f>
        <v>0</v>
      </c>
      <c r="W22" s="41">
        <f>+BUS!BM133+BUS!BN133+BUS!BO133</f>
        <v>0</v>
      </c>
      <c r="X22" s="41">
        <f>+BUS!BP133+BUS!BQ133+BUS!BR133</f>
        <v>0</v>
      </c>
      <c r="Y22" s="41">
        <f>+BUS!BS133+BUS!BT133+BUS!BU133</f>
        <v>0</v>
      </c>
      <c r="Z22" s="41">
        <f>+BUS!BV133+BUS!BW133+BUS!BX133</f>
        <v>0</v>
      </c>
      <c r="AA22" s="41">
        <f>+BUS!BY133+BUS!BZ133+BUS!CA133</f>
        <v>0</v>
      </c>
      <c r="AB22" s="41">
        <f>+BUS!CB133+BUS!CC133+BUS!CD133</f>
        <v>0</v>
      </c>
      <c r="AC22" s="41">
        <f>+BUS!CE133+BUS!CF133+BUS!CG133</f>
        <v>0</v>
      </c>
      <c r="AD22" s="41">
        <f>+BUS!CH133+BUS!CI133+BUS!CJ133</f>
        <v>0</v>
      </c>
      <c r="AE22" s="122">
        <f>+BUS!CK133+BUS!CL133+BUS!CM133</f>
        <v>0</v>
      </c>
      <c r="AF22" s="122">
        <f>+BUS!CN133+BUS!CO133+BUS!CP133</f>
        <v>0</v>
      </c>
      <c r="AG22" s="122">
        <f>+BUS!CQ133+BUS!CR133+BUS!CS133</f>
        <v>0</v>
      </c>
      <c r="AH22" s="122">
        <f>+BUS!CT133+BUS!CU133+BUS!CV133</f>
        <v>0</v>
      </c>
      <c r="AI22" s="122">
        <f>+BUS!CW133+BUS!CX133+BUS!CY133</f>
        <v>0</v>
      </c>
      <c r="AJ22" s="122">
        <f>+BUS!CZ133+BUS!DA133+BUS!DB133</f>
        <v>0</v>
      </c>
      <c r="AK22" s="226">
        <f t="shared" si="0"/>
        <v>0</v>
      </c>
    </row>
    <row r="23" spans="1:37" ht="15.75" customHeight="1">
      <c r="A23" s="154">
        <v>20</v>
      </c>
      <c r="B23" s="120">
        <f>+BUS!B134+BUS!C134+BUS!D134</f>
        <v>0</v>
      </c>
      <c r="C23" s="41">
        <f>+BUS!E134+BUS!F134+BUS!G134</f>
        <v>0</v>
      </c>
      <c r="D23" s="41">
        <f>+BUS!H134+BUS!I134+BUS!J134</f>
        <v>0</v>
      </c>
      <c r="E23" s="41">
        <f>+BUS!K134+BUS!L134+BUS!M134</f>
        <v>0</v>
      </c>
      <c r="F23" s="41">
        <f>+BUS!N134+BUS!O134+BUS!P134</f>
        <v>0</v>
      </c>
      <c r="G23" s="41">
        <f>+BUS!Q134+BUS!R134+BUS!S134</f>
        <v>0</v>
      </c>
      <c r="H23" s="41">
        <f>+BUS!T134+BUS!U134+BUS!V134</f>
        <v>0</v>
      </c>
      <c r="I23" s="41">
        <f>+BUS!W134+BUS!X134+BUS!Y134</f>
        <v>0</v>
      </c>
      <c r="J23" s="41">
        <f>+BUS!Z134+BUS!AA134+BUS!AB134</f>
        <v>0</v>
      </c>
      <c r="K23" s="41">
        <f>+BUS!AC134+BUS!AD134+BUS!AE134</f>
        <v>0</v>
      </c>
      <c r="L23" s="41">
        <f>+BUS!AF134+BUS!AG134+BUS!AH134</f>
        <v>0</v>
      </c>
      <c r="M23" s="41">
        <f>+BUS!AI134+BUS!AJ134+BUS!AK134</f>
        <v>0</v>
      </c>
      <c r="N23" s="41">
        <f>+BUS!AL134+BUS!AM134+BUS!AN134</f>
        <v>0</v>
      </c>
      <c r="O23" s="41">
        <f>+BUS!AO134+BUS!AP134+BUS!AQ134</f>
        <v>0</v>
      </c>
      <c r="P23" s="41">
        <f>+BUS!AR134+BUS!AS134+BUS!AT134</f>
        <v>0</v>
      </c>
      <c r="Q23" s="41">
        <f>+BUS!AU134+BUS!AV134+BUS!AW134</f>
        <v>0</v>
      </c>
      <c r="R23" s="41">
        <f>+BUS!AX134+BUS!AY134+BUS!AZ134</f>
        <v>0</v>
      </c>
      <c r="S23" s="41">
        <f>+BUS!BA134+BUS!BB134+BUS!BC134</f>
        <v>0</v>
      </c>
      <c r="T23" s="41">
        <f>+BUS!BD134+BUS!BE134+BUS!BF134</f>
        <v>0</v>
      </c>
      <c r="U23" s="41">
        <f>+BUS!BG134+BUS!BH134+BUS!BI134</f>
        <v>0</v>
      </c>
      <c r="V23" s="41">
        <f>+BUS!BJ134+BUS!BK134+BUS!BL134</f>
        <v>0</v>
      </c>
      <c r="W23" s="41">
        <f>+BUS!BM134+BUS!BN134+BUS!BO134</f>
        <v>0</v>
      </c>
      <c r="X23" s="41">
        <f>+BUS!BP134+BUS!BQ134+BUS!BR134</f>
        <v>0</v>
      </c>
      <c r="Y23" s="41">
        <f>+BUS!BS134+BUS!BT134+BUS!BU134</f>
        <v>0</v>
      </c>
      <c r="Z23" s="41">
        <f>+BUS!BV134+BUS!BW134+BUS!BX134</f>
        <v>0</v>
      </c>
      <c r="AA23" s="41">
        <f>+BUS!BY134+BUS!BZ134+BUS!CA134</f>
        <v>0</v>
      </c>
      <c r="AB23" s="41">
        <f>+BUS!CB134+BUS!CC134+BUS!CD134</f>
        <v>0</v>
      </c>
      <c r="AC23" s="41">
        <f>+BUS!CE134+BUS!CF134+BUS!CG134</f>
        <v>0</v>
      </c>
      <c r="AD23" s="41">
        <f>+BUS!CH134+BUS!CI134+BUS!CJ134</f>
        <v>0</v>
      </c>
      <c r="AE23" s="122">
        <f>+BUS!CK134+BUS!CL134+BUS!CM134</f>
        <v>0</v>
      </c>
      <c r="AF23" s="122">
        <f>+BUS!CN134+BUS!CO134+BUS!CP134</f>
        <v>0</v>
      </c>
      <c r="AG23" s="122">
        <f>+BUS!CQ134+BUS!CR134+BUS!CS134</f>
        <v>0</v>
      </c>
      <c r="AH23" s="122">
        <f>+BUS!CT134+BUS!CU134+BUS!CV134</f>
        <v>0</v>
      </c>
      <c r="AI23" s="122">
        <f>+BUS!CW134+BUS!CX134+BUS!CY134</f>
        <v>0</v>
      </c>
      <c r="AJ23" s="122">
        <f>+BUS!CZ134+BUS!DA134+BUS!DB134</f>
        <v>0</v>
      </c>
      <c r="AK23" s="226">
        <f t="shared" si="0"/>
        <v>0</v>
      </c>
    </row>
    <row r="24" spans="1:37" ht="16.5" customHeight="1">
      <c r="A24" s="154">
        <v>21</v>
      </c>
      <c r="B24" s="120">
        <f>+BUS!B135+BUS!C135+BUS!D135</f>
        <v>0</v>
      </c>
      <c r="C24" s="41">
        <f>+BUS!E135+BUS!F135+BUS!G135</f>
        <v>0</v>
      </c>
      <c r="D24" s="41">
        <f>+BUS!H135+BUS!I135+BUS!J135</f>
        <v>0</v>
      </c>
      <c r="E24" s="41">
        <f>+BUS!K135+BUS!L135+BUS!M135</f>
        <v>0</v>
      </c>
      <c r="F24" s="41">
        <f>+BUS!N135+BUS!O135+BUS!P135</f>
        <v>0</v>
      </c>
      <c r="G24" s="41">
        <f>+BUS!Q135+BUS!R135+BUS!S135</f>
        <v>0</v>
      </c>
      <c r="H24" s="41">
        <f>+BUS!T135+BUS!U135+BUS!V135</f>
        <v>0</v>
      </c>
      <c r="I24" s="41">
        <f>+BUS!W135+BUS!X135+BUS!Y135</f>
        <v>0</v>
      </c>
      <c r="J24" s="41">
        <f>+BUS!Z135+BUS!AA135+BUS!AB135</f>
        <v>0</v>
      </c>
      <c r="K24" s="41">
        <f>+BUS!AC135+BUS!AD135+BUS!AE135</f>
        <v>0</v>
      </c>
      <c r="L24" s="41">
        <f>+BUS!AF135+BUS!AG135+BUS!AH135</f>
        <v>0</v>
      </c>
      <c r="M24" s="41">
        <f>+BUS!AI135+BUS!AJ135+BUS!AK135</f>
        <v>0</v>
      </c>
      <c r="N24" s="41">
        <f>+BUS!AL135+BUS!AM135+BUS!AN135</f>
        <v>0</v>
      </c>
      <c r="O24" s="41">
        <f>+BUS!AO135+BUS!AP135+BUS!AQ135</f>
        <v>0</v>
      </c>
      <c r="P24" s="41">
        <f>+BUS!AR135+BUS!AS135+BUS!AT135</f>
        <v>0</v>
      </c>
      <c r="Q24" s="41">
        <f>+BUS!AU135+BUS!AV135+BUS!AW135</f>
        <v>0</v>
      </c>
      <c r="R24" s="41">
        <f>+BUS!AX135+BUS!AY135+BUS!AZ135</f>
        <v>0</v>
      </c>
      <c r="S24" s="41">
        <f>+BUS!BA135+BUS!BB135+BUS!BC135</f>
        <v>0</v>
      </c>
      <c r="T24" s="41">
        <f>+BUS!BD135+BUS!BE135+BUS!BF135</f>
        <v>0</v>
      </c>
      <c r="U24" s="41">
        <f>+BUS!BG135+BUS!BH135+BUS!BI135</f>
        <v>0</v>
      </c>
      <c r="V24" s="41">
        <f>+BUS!BJ135+BUS!BK135+BUS!BL135</f>
        <v>0</v>
      </c>
      <c r="W24" s="41">
        <f>+BUS!BM135+BUS!BN135+BUS!BO135</f>
        <v>0</v>
      </c>
      <c r="X24" s="41">
        <f>+BUS!BP135+BUS!BQ135+BUS!BR135</f>
        <v>0</v>
      </c>
      <c r="Y24" s="41">
        <f>+BUS!BS135+BUS!BT135+BUS!BU135</f>
        <v>0</v>
      </c>
      <c r="Z24" s="41">
        <f>+BUS!BV135+BUS!BW135+BUS!BX135</f>
        <v>0</v>
      </c>
      <c r="AA24" s="41">
        <f>+BUS!BY135+BUS!BZ135+BUS!CA135</f>
        <v>0</v>
      </c>
      <c r="AB24" s="41">
        <f>+BUS!CB135+BUS!CC135+BUS!CD135</f>
        <v>0</v>
      </c>
      <c r="AC24" s="41">
        <f>+BUS!CE135+BUS!CF135+BUS!CG135</f>
        <v>0</v>
      </c>
      <c r="AD24" s="41">
        <f>+BUS!CH135+BUS!CI135+BUS!CJ135</f>
        <v>0</v>
      </c>
      <c r="AE24" s="122">
        <f>+BUS!CK135+BUS!CL135+BUS!CM135</f>
        <v>0</v>
      </c>
      <c r="AF24" s="122">
        <f>+BUS!CN135+BUS!CO135+BUS!CP135</f>
        <v>0</v>
      </c>
      <c r="AG24" s="122">
        <f>+BUS!CQ135+BUS!CR135+BUS!CS135</f>
        <v>0</v>
      </c>
      <c r="AH24" s="122">
        <f>+BUS!CT135+BUS!CU135+BUS!CV135</f>
        <v>0</v>
      </c>
      <c r="AI24" s="122">
        <f>+BUS!CW135+BUS!CX135+BUS!CY135</f>
        <v>0</v>
      </c>
      <c r="AJ24" s="122">
        <f>+BUS!CZ135+BUS!DA135+BUS!DB135</f>
        <v>0</v>
      </c>
      <c r="AK24" s="226">
        <f t="shared" si="0"/>
        <v>0</v>
      </c>
    </row>
    <row r="25" spans="1:37" ht="18" customHeight="1">
      <c r="A25" s="154">
        <v>22</v>
      </c>
      <c r="B25" s="120">
        <f>+BUS!B136+BUS!C136+BUS!D136</f>
        <v>0</v>
      </c>
      <c r="C25" s="41">
        <f>+BUS!E136+BUS!F136+BUS!G136</f>
        <v>0</v>
      </c>
      <c r="D25" s="41">
        <f>+BUS!H136+BUS!I136+BUS!J136</f>
        <v>0</v>
      </c>
      <c r="E25" s="41">
        <f>+BUS!K136+BUS!L136+BUS!M136</f>
        <v>0</v>
      </c>
      <c r="F25" s="41">
        <f>+BUS!N136+BUS!O136+BUS!P136</f>
        <v>0</v>
      </c>
      <c r="G25" s="41">
        <f>+BUS!Q136+BUS!R136+BUS!S136</f>
        <v>0</v>
      </c>
      <c r="H25" s="41">
        <f>+BUS!T136+BUS!U136+BUS!V136</f>
        <v>0</v>
      </c>
      <c r="I25" s="41">
        <f>+BUS!W136+BUS!X136+BUS!Y136</f>
        <v>0</v>
      </c>
      <c r="J25" s="41">
        <f>+BUS!Z136+BUS!AA136+BUS!AB136</f>
        <v>0</v>
      </c>
      <c r="K25" s="41">
        <f>+BUS!AC136+BUS!AD136+BUS!AE136</f>
        <v>0</v>
      </c>
      <c r="L25" s="41">
        <f>+BUS!AF136+BUS!AG136+BUS!AH136</f>
        <v>0</v>
      </c>
      <c r="M25" s="41">
        <f>+BUS!AI136+BUS!AJ136+BUS!AK136</f>
        <v>0</v>
      </c>
      <c r="N25" s="41">
        <f>+BUS!AL136+BUS!AM136+BUS!AN136</f>
        <v>0</v>
      </c>
      <c r="O25" s="41">
        <f>+BUS!AO136+BUS!AP136+BUS!AQ136</f>
        <v>0</v>
      </c>
      <c r="P25" s="41">
        <f>+BUS!AR136+BUS!AS136+BUS!AT136</f>
        <v>0</v>
      </c>
      <c r="Q25" s="41">
        <f>+BUS!AU136+BUS!AV136+BUS!AW136</f>
        <v>0</v>
      </c>
      <c r="R25" s="41">
        <f>+BUS!AX136+BUS!AY136+BUS!AZ136</f>
        <v>0</v>
      </c>
      <c r="S25" s="41">
        <f>+BUS!BA136+BUS!BB136+BUS!BC136</f>
        <v>0</v>
      </c>
      <c r="T25" s="41">
        <f>+BUS!BD136+BUS!BE136+BUS!BF136</f>
        <v>0</v>
      </c>
      <c r="U25" s="41">
        <f>+BUS!BG136+BUS!BH136+BUS!BI136</f>
        <v>0</v>
      </c>
      <c r="V25" s="41">
        <f>+BUS!BJ136+BUS!BK136+BUS!BL136</f>
        <v>0</v>
      </c>
      <c r="W25" s="41">
        <f>+BUS!BM136+BUS!BN136+BUS!BO136</f>
        <v>0</v>
      </c>
      <c r="X25" s="41">
        <f>+BUS!BP136+BUS!BQ136+BUS!BR136</f>
        <v>0</v>
      </c>
      <c r="Y25" s="41">
        <f>+BUS!BS136+BUS!BT136+BUS!BU136</f>
        <v>0</v>
      </c>
      <c r="Z25" s="41">
        <f>+BUS!BV136+BUS!BW136+BUS!BX136</f>
        <v>0</v>
      </c>
      <c r="AA25" s="41">
        <f>+BUS!BY136+BUS!BZ136+BUS!CA136</f>
        <v>0</v>
      </c>
      <c r="AB25" s="41">
        <f>+BUS!CB136+BUS!CC136+BUS!CD136</f>
        <v>0</v>
      </c>
      <c r="AC25" s="41">
        <f>+BUS!CE136+BUS!CF136+BUS!CG136</f>
        <v>0</v>
      </c>
      <c r="AD25" s="41">
        <f>+BUS!CH136+BUS!CI136+BUS!CJ136</f>
        <v>0</v>
      </c>
      <c r="AE25" s="122">
        <f>+BUS!CK136+BUS!CL136+BUS!CM136</f>
        <v>0</v>
      </c>
      <c r="AF25" s="122">
        <f>+BUS!CN136+BUS!CO136+BUS!CP136</f>
        <v>0</v>
      </c>
      <c r="AG25" s="122">
        <f>+BUS!CQ136+BUS!CR136+BUS!CS136</f>
        <v>0</v>
      </c>
      <c r="AH25" s="122">
        <f>+BUS!CT136+BUS!CU136+BUS!CV136</f>
        <v>0</v>
      </c>
      <c r="AI25" s="122">
        <f>+BUS!CW136+BUS!CX136+BUS!CY136</f>
        <v>0</v>
      </c>
      <c r="AJ25" s="122">
        <f>+BUS!CZ136+BUS!DA136+BUS!DB136</f>
        <v>0</v>
      </c>
      <c r="AK25" s="226">
        <f t="shared" si="0"/>
        <v>0</v>
      </c>
    </row>
    <row r="26" spans="1:37" ht="17.25" customHeight="1">
      <c r="A26" s="154">
        <v>23</v>
      </c>
      <c r="B26" s="120">
        <f>+BUS!B137+BUS!C137+BUS!D137</f>
        <v>0</v>
      </c>
      <c r="C26" s="41">
        <f>+BUS!E137+BUS!F137+BUS!G137</f>
        <v>0</v>
      </c>
      <c r="D26" s="41">
        <f>+BUS!H137+BUS!I137+BUS!J137</f>
        <v>0</v>
      </c>
      <c r="E26" s="41">
        <f>+BUS!K137+BUS!L137+BUS!M137</f>
        <v>0</v>
      </c>
      <c r="F26" s="41">
        <f>+BUS!N137+BUS!O137+BUS!P137</f>
        <v>0</v>
      </c>
      <c r="G26" s="41">
        <f>+BUS!Q137+BUS!R137+BUS!S137</f>
        <v>0</v>
      </c>
      <c r="H26" s="41">
        <f>+BUS!T137+BUS!U137+BUS!V137</f>
        <v>0</v>
      </c>
      <c r="I26" s="41">
        <f>+BUS!W137+BUS!X137+BUS!Y137</f>
        <v>0</v>
      </c>
      <c r="J26" s="41">
        <f>+BUS!Z137+BUS!AA137+BUS!AB137</f>
        <v>0</v>
      </c>
      <c r="K26" s="41">
        <f>+BUS!AC137+BUS!AD137+BUS!AE137</f>
        <v>0</v>
      </c>
      <c r="L26" s="41">
        <f>+BUS!AF137+BUS!AG137+BUS!AH137</f>
        <v>0</v>
      </c>
      <c r="M26" s="41">
        <f>+BUS!AI137+BUS!AJ137+BUS!AK137</f>
        <v>0</v>
      </c>
      <c r="N26" s="41">
        <f>+BUS!AL137+BUS!AM137+BUS!AN137</f>
        <v>0</v>
      </c>
      <c r="O26" s="41">
        <f>+BUS!AO137+BUS!AP137+BUS!AQ137</f>
        <v>0</v>
      </c>
      <c r="P26" s="41">
        <f>+BUS!AR137+BUS!AS137+BUS!AT137</f>
        <v>0</v>
      </c>
      <c r="Q26" s="41">
        <f>+BUS!AU137+BUS!AV137+BUS!AW137</f>
        <v>0</v>
      </c>
      <c r="R26" s="41">
        <f>+BUS!AX137+BUS!AY137+BUS!AZ137</f>
        <v>0</v>
      </c>
      <c r="S26" s="41">
        <f>+BUS!BA137+BUS!BB137+BUS!BC137</f>
        <v>0</v>
      </c>
      <c r="T26" s="41">
        <f>+BUS!BD137+BUS!BE137+BUS!BF137</f>
        <v>0</v>
      </c>
      <c r="U26" s="41">
        <f>+BUS!BG137+BUS!BH137+BUS!BI137</f>
        <v>0</v>
      </c>
      <c r="V26" s="41">
        <f>+BUS!BJ137+BUS!BK137+BUS!BL137</f>
        <v>0</v>
      </c>
      <c r="W26" s="41">
        <f>+BUS!BM137+BUS!BN137+BUS!BO137</f>
        <v>0</v>
      </c>
      <c r="X26" s="41">
        <f>+BUS!BP137+BUS!BQ137+BUS!BR137</f>
        <v>0</v>
      </c>
      <c r="Y26" s="41">
        <f>+BUS!BS137+BUS!BT137+BUS!BU137</f>
        <v>0</v>
      </c>
      <c r="Z26" s="41">
        <f>+BUS!BV137+BUS!BW137+BUS!BX137</f>
        <v>0</v>
      </c>
      <c r="AA26" s="41">
        <f>+BUS!BY137+BUS!BZ137+BUS!CA137</f>
        <v>0</v>
      </c>
      <c r="AB26" s="41">
        <f>+BUS!CB137+BUS!CC137+BUS!CD137</f>
        <v>0</v>
      </c>
      <c r="AC26" s="41">
        <f>+BUS!CE137+BUS!CF137+BUS!CG137</f>
        <v>0</v>
      </c>
      <c r="AD26" s="41">
        <f>+BUS!CH137+BUS!CI137+BUS!CJ137</f>
        <v>0</v>
      </c>
      <c r="AE26" s="122">
        <f>+BUS!CK137+BUS!CL137+BUS!CM137</f>
        <v>0</v>
      </c>
      <c r="AF26" s="122">
        <f>+BUS!CN137+BUS!CO137+BUS!CP137</f>
        <v>0</v>
      </c>
      <c r="AG26" s="122">
        <f>+BUS!CQ137+BUS!CR137+BUS!CS137</f>
        <v>0</v>
      </c>
      <c r="AH26" s="122">
        <f>+BUS!CT137+BUS!CU137+BUS!CV137</f>
        <v>0</v>
      </c>
      <c r="AI26" s="122">
        <f>+BUS!CW137+BUS!CX137+BUS!CY137</f>
        <v>0</v>
      </c>
      <c r="AJ26" s="122">
        <f>+BUS!CZ137+BUS!DA137+BUS!DB137</f>
        <v>0</v>
      </c>
      <c r="AK26" s="226">
        <f t="shared" si="0"/>
        <v>0</v>
      </c>
    </row>
    <row r="27" spans="1:37" ht="18" customHeight="1">
      <c r="A27" s="154">
        <v>24</v>
      </c>
      <c r="B27" s="120">
        <f>+BUS!B138+BUS!C138+BUS!D138</f>
        <v>0</v>
      </c>
      <c r="C27" s="41">
        <f>+BUS!E138+BUS!F138+BUS!G138</f>
        <v>0</v>
      </c>
      <c r="D27" s="41">
        <f>+BUS!H138+BUS!I138+BUS!J138</f>
        <v>0</v>
      </c>
      <c r="E27" s="41">
        <f>+BUS!K138+BUS!L138+BUS!M138</f>
        <v>0</v>
      </c>
      <c r="F27" s="41">
        <f>+BUS!N138+BUS!O138+BUS!P138</f>
        <v>0</v>
      </c>
      <c r="G27" s="41">
        <f>+BUS!Q138+BUS!R138+BUS!S138</f>
        <v>0</v>
      </c>
      <c r="H27" s="41">
        <f>+BUS!T138+BUS!U138+BUS!V138</f>
        <v>0</v>
      </c>
      <c r="I27" s="41">
        <f>+BUS!W138+BUS!X138+BUS!Y138</f>
        <v>0</v>
      </c>
      <c r="J27" s="41">
        <f>+BUS!Z138+BUS!AA138+BUS!AB138</f>
        <v>0</v>
      </c>
      <c r="K27" s="41">
        <f>+BUS!AC138+BUS!AD138+BUS!AE138</f>
        <v>0</v>
      </c>
      <c r="L27" s="41">
        <f>+BUS!AF138+BUS!AG138+BUS!AH138</f>
        <v>0</v>
      </c>
      <c r="M27" s="41">
        <f>+BUS!AI138+BUS!AJ138+BUS!AK138</f>
        <v>0</v>
      </c>
      <c r="N27" s="41">
        <f>+BUS!AL138+BUS!AM138+BUS!AN138</f>
        <v>0</v>
      </c>
      <c r="O27" s="41">
        <f>+BUS!AO138+BUS!AP138+BUS!AQ138</f>
        <v>0</v>
      </c>
      <c r="P27" s="41">
        <f>+BUS!AR138+BUS!AS138+BUS!AT138</f>
        <v>0</v>
      </c>
      <c r="Q27" s="41">
        <f>+BUS!AU138+BUS!AV138+BUS!AW138</f>
        <v>0</v>
      </c>
      <c r="R27" s="41">
        <f>+BUS!AX138+BUS!AY138+BUS!AZ138</f>
        <v>0</v>
      </c>
      <c r="S27" s="41">
        <f>+BUS!BA138+BUS!BB138+BUS!BC138</f>
        <v>0</v>
      </c>
      <c r="T27" s="41">
        <f>+BUS!BD138+BUS!BE138+BUS!BF138</f>
        <v>0</v>
      </c>
      <c r="U27" s="41">
        <f>+BUS!BG138+BUS!BH138+BUS!BI138</f>
        <v>0</v>
      </c>
      <c r="V27" s="41">
        <f>+BUS!BJ138+BUS!BK138+BUS!BL138</f>
        <v>0</v>
      </c>
      <c r="W27" s="41">
        <f>+BUS!BM138+BUS!BN138+BUS!BO138</f>
        <v>0</v>
      </c>
      <c r="X27" s="41">
        <f>+BUS!BP138+BUS!BQ138+BUS!BR138</f>
        <v>0</v>
      </c>
      <c r="Y27" s="41">
        <f>+BUS!BS138+BUS!BT138+BUS!BU138</f>
        <v>0</v>
      </c>
      <c r="Z27" s="41">
        <f>+BUS!BV138+BUS!BW138+BUS!BX138</f>
        <v>0</v>
      </c>
      <c r="AA27" s="41">
        <f>+BUS!BY138+BUS!BZ138+BUS!CA138</f>
        <v>0</v>
      </c>
      <c r="AB27" s="41">
        <f>+BUS!CB138+BUS!CC138+BUS!CD138</f>
        <v>0</v>
      </c>
      <c r="AC27" s="41">
        <f>+BUS!CE138+BUS!CF138+BUS!CG138</f>
        <v>0</v>
      </c>
      <c r="AD27" s="41">
        <f>+BUS!CH138+BUS!CI138+BUS!CJ138</f>
        <v>0</v>
      </c>
      <c r="AE27" s="122">
        <f>+BUS!CK138+BUS!CL138+BUS!CM138</f>
        <v>0</v>
      </c>
      <c r="AF27" s="122">
        <f>+BUS!CN138+BUS!CO138+BUS!CP138</f>
        <v>0</v>
      </c>
      <c r="AG27" s="122">
        <f>+BUS!CQ138+BUS!CR138+BUS!CS138</f>
        <v>0</v>
      </c>
      <c r="AH27" s="122">
        <f>+BUS!CT138+BUS!CU138+BUS!CV138</f>
        <v>0</v>
      </c>
      <c r="AI27" s="122">
        <f>+BUS!CW138+BUS!CX138+BUS!CY138</f>
        <v>0</v>
      </c>
      <c r="AJ27" s="122">
        <f>+BUS!CZ138+BUS!DA138+BUS!DB138</f>
        <v>0</v>
      </c>
      <c r="AK27" s="226">
        <f t="shared" si="0"/>
        <v>0</v>
      </c>
    </row>
    <row r="28" spans="1:37" ht="17.25" customHeight="1">
      <c r="A28" s="154">
        <v>25</v>
      </c>
      <c r="B28" s="120">
        <f>+BUS!B139+BUS!C139+BUS!D139</f>
        <v>0</v>
      </c>
      <c r="C28" s="41">
        <f>+BUS!E139+BUS!F139+BUS!G139</f>
        <v>0</v>
      </c>
      <c r="D28" s="41">
        <f>+BUS!H139+BUS!I139+BUS!J139</f>
        <v>0</v>
      </c>
      <c r="E28" s="41">
        <f>+BUS!K139+BUS!L139+BUS!M139</f>
        <v>0</v>
      </c>
      <c r="F28" s="41">
        <f>+BUS!N139+BUS!O139+BUS!P139</f>
        <v>0</v>
      </c>
      <c r="G28" s="41">
        <f>+BUS!Q139+BUS!R139+BUS!S139</f>
        <v>0</v>
      </c>
      <c r="H28" s="41">
        <f>+BUS!T139+BUS!U139+BUS!V139</f>
        <v>0</v>
      </c>
      <c r="I28" s="41">
        <f>+BUS!W139+BUS!X139+BUS!Y139</f>
        <v>0</v>
      </c>
      <c r="J28" s="41">
        <f>+BUS!Z139+BUS!AA139+BUS!AB139</f>
        <v>0</v>
      </c>
      <c r="K28" s="41">
        <f>+BUS!AC139+BUS!AD139+BUS!AE139</f>
        <v>0</v>
      </c>
      <c r="L28" s="41">
        <f>+BUS!AF139+BUS!AG139+BUS!AH139</f>
        <v>0</v>
      </c>
      <c r="M28" s="41">
        <f>+BUS!AI139+BUS!AJ139+BUS!AK139</f>
        <v>0</v>
      </c>
      <c r="N28" s="41">
        <f>+BUS!AL139+BUS!AM139+BUS!AN139</f>
        <v>0</v>
      </c>
      <c r="O28" s="41">
        <f>+BUS!AO139+BUS!AP139+BUS!AQ139</f>
        <v>0</v>
      </c>
      <c r="P28" s="41">
        <f>+BUS!AR139+BUS!AS139+BUS!AT139</f>
        <v>0</v>
      </c>
      <c r="Q28" s="41">
        <f>+BUS!AU139+BUS!AV139+BUS!AW139</f>
        <v>0</v>
      </c>
      <c r="R28" s="41">
        <f>+BUS!AX139+BUS!AY139+BUS!AZ139</f>
        <v>0</v>
      </c>
      <c r="S28" s="41">
        <f>+BUS!BA139+BUS!BB139+BUS!BC139</f>
        <v>0</v>
      </c>
      <c r="T28" s="41">
        <f>+BUS!BD139+BUS!BE139+BUS!BF139</f>
        <v>0</v>
      </c>
      <c r="U28" s="41">
        <f>+BUS!BG139+BUS!BH139+BUS!BI139</f>
        <v>0</v>
      </c>
      <c r="V28" s="41">
        <f>+BUS!BJ139+BUS!BK139+BUS!BL139</f>
        <v>0</v>
      </c>
      <c r="W28" s="41">
        <f>+BUS!BM139+BUS!BN139+BUS!BO139</f>
        <v>0</v>
      </c>
      <c r="X28" s="41">
        <f>+BUS!BP139+BUS!BQ139+BUS!BR139</f>
        <v>0</v>
      </c>
      <c r="Y28" s="41">
        <f>+BUS!BS139+BUS!BT139+BUS!BU139</f>
        <v>0</v>
      </c>
      <c r="Z28" s="41">
        <f>+BUS!BV139+BUS!BW139+BUS!BX139</f>
        <v>0</v>
      </c>
      <c r="AA28" s="41">
        <f>+BUS!BY139+BUS!BZ139+BUS!CA139</f>
        <v>0</v>
      </c>
      <c r="AB28" s="41">
        <f>+BUS!CB139+BUS!CC139+BUS!CD139</f>
        <v>0</v>
      </c>
      <c r="AC28" s="41">
        <f>+BUS!CE139+BUS!CF139+BUS!CG139</f>
        <v>0</v>
      </c>
      <c r="AD28" s="41">
        <f>+BUS!CH139+BUS!CI139+BUS!CJ139</f>
        <v>0</v>
      </c>
      <c r="AE28" s="122">
        <f>+BUS!CK139+BUS!CL139+BUS!CM139</f>
        <v>0</v>
      </c>
      <c r="AF28" s="122">
        <f>+BUS!CN139+BUS!CO139+BUS!CP139</f>
        <v>0</v>
      </c>
      <c r="AG28" s="122">
        <f>+BUS!CQ139+BUS!CR139+BUS!CS139</f>
        <v>0</v>
      </c>
      <c r="AH28" s="122">
        <f>+BUS!CT139+BUS!CU139+BUS!CV139</f>
        <v>0</v>
      </c>
      <c r="AI28" s="122">
        <f>+BUS!CW139+BUS!CX139+BUS!CY139</f>
        <v>0</v>
      </c>
      <c r="AJ28" s="122">
        <f>+BUS!CZ139+BUS!DA139+BUS!DB139</f>
        <v>0</v>
      </c>
      <c r="AK28" s="226">
        <f t="shared" si="0"/>
        <v>0</v>
      </c>
    </row>
    <row r="29" spans="1:37" ht="18" customHeight="1">
      <c r="A29" s="154">
        <v>26</v>
      </c>
      <c r="B29" s="120">
        <f>+BUS!B140+BUS!C140+BUS!D140</f>
        <v>0</v>
      </c>
      <c r="C29" s="41">
        <f>+BUS!E140+BUS!F140+BUS!G140</f>
        <v>0</v>
      </c>
      <c r="D29" s="41">
        <f>+BUS!H140+BUS!I140+BUS!J140</f>
        <v>0</v>
      </c>
      <c r="E29" s="41">
        <f>+BUS!K140+BUS!L140+BUS!M140</f>
        <v>0</v>
      </c>
      <c r="F29" s="41">
        <f>+BUS!N140+BUS!O140+BUS!P140</f>
        <v>0</v>
      </c>
      <c r="G29" s="41">
        <f>+BUS!Q140+BUS!R140+BUS!S140</f>
        <v>0</v>
      </c>
      <c r="H29" s="41">
        <f>+BUS!T140+BUS!U140+BUS!V140</f>
        <v>0</v>
      </c>
      <c r="I29" s="41">
        <f>+BUS!W140+BUS!X140+BUS!Y140</f>
        <v>0</v>
      </c>
      <c r="J29" s="41">
        <f>+BUS!Z140+BUS!AA140+BUS!AB140</f>
        <v>0</v>
      </c>
      <c r="K29" s="41">
        <f>+BUS!AC140+BUS!AD140+BUS!AE140</f>
        <v>0</v>
      </c>
      <c r="L29" s="41">
        <f>+BUS!AF140+BUS!AG140+BUS!AH140</f>
        <v>0</v>
      </c>
      <c r="M29" s="41">
        <f>+BUS!AI140+BUS!AJ140+BUS!AK140</f>
        <v>0</v>
      </c>
      <c r="N29" s="41">
        <f>+BUS!AL140+BUS!AM140+BUS!AN140</f>
        <v>0</v>
      </c>
      <c r="O29" s="41">
        <f>+BUS!AO140+BUS!AP140+BUS!AQ140</f>
        <v>0</v>
      </c>
      <c r="P29" s="41">
        <f>+BUS!AR140+BUS!AS140+BUS!AT140</f>
        <v>0</v>
      </c>
      <c r="Q29" s="41">
        <f>+BUS!AU140+BUS!AV140+BUS!AW140</f>
        <v>0</v>
      </c>
      <c r="R29" s="41">
        <f>+BUS!AX140+BUS!AY140+BUS!AZ140</f>
        <v>0</v>
      </c>
      <c r="S29" s="41">
        <f>+BUS!BA140+BUS!BB140+BUS!BC140</f>
        <v>0</v>
      </c>
      <c r="T29" s="41">
        <f>+BUS!BD140+BUS!BE140+BUS!BF140</f>
        <v>0</v>
      </c>
      <c r="U29" s="41">
        <f>+BUS!BG140+BUS!BH140+BUS!BI140</f>
        <v>0</v>
      </c>
      <c r="V29" s="41">
        <f>+BUS!BJ140+BUS!BK140+BUS!BL140</f>
        <v>0</v>
      </c>
      <c r="W29" s="41">
        <f>+BUS!BM140+BUS!BN140+BUS!BO140</f>
        <v>0</v>
      </c>
      <c r="X29" s="41">
        <f>+BUS!BP140+BUS!BQ140+BUS!BR140</f>
        <v>0</v>
      </c>
      <c r="Y29" s="41">
        <f>+BUS!BS140+BUS!BT140+BUS!BU140</f>
        <v>0</v>
      </c>
      <c r="Z29" s="41">
        <f>+BUS!BV140+BUS!BW140+BUS!BX140</f>
        <v>0</v>
      </c>
      <c r="AA29" s="41">
        <f>+BUS!BY140+BUS!BZ140+BUS!CA140</f>
        <v>0</v>
      </c>
      <c r="AB29" s="41">
        <f>+BUS!CB140+BUS!CC140+BUS!CD140</f>
        <v>0</v>
      </c>
      <c r="AC29" s="41">
        <f>+BUS!CE140+BUS!CF140+BUS!CG140</f>
        <v>0</v>
      </c>
      <c r="AD29" s="41">
        <f>+BUS!CH140+BUS!CI140+BUS!CJ140</f>
        <v>0</v>
      </c>
      <c r="AE29" s="122">
        <f>+BUS!CK140+BUS!CL140+BUS!CM140</f>
        <v>0</v>
      </c>
      <c r="AF29" s="122">
        <f>+BUS!CN140+BUS!CO140+BUS!CP140</f>
        <v>0</v>
      </c>
      <c r="AG29" s="122">
        <f>+BUS!CQ140+BUS!CR140+BUS!CS140</f>
        <v>0</v>
      </c>
      <c r="AH29" s="122">
        <f>+BUS!CT140+BUS!CU140+BUS!CV140</f>
        <v>0</v>
      </c>
      <c r="AI29" s="122">
        <f>+BUS!CW140+BUS!CX140+BUS!CY140</f>
        <v>0</v>
      </c>
      <c r="AJ29" s="122">
        <f>+BUS!CZ140+BUS!DA140+BUS!DB140</f>
        <v>0</v>
      </c>
      <c r="AK29" s="226">
        <f t="shared" si="0"/>
        <v>0</v>
      </c>
    </row>
    <row r="30" spans="1:37" ht="15.75" customHeight="1">
      <c r="A30" s="154">
        <v>27</v>
      </c>
      <c r="B30" s="120">
        <f>+BUS!B141+BUS!C141+BUS!D141</f>
        <v>0</v>
      </c>
      <c r="C30" s="41">
        <f>+BUS!E141+BUS!F141+BUS!G141</f>
        <v>0</v>
      </c>
      <c r="D30" s="41">
        <f>+BUS!H141+BUS!I141+BUS!J141</f>
        <v>0</v>
      </c>
      <c r="E30" s="41">
        <f>+BUS!K141+BUS!L141+BUS!M141</f>
        <v>0</v>
      </c>
      <c r="F30" s="41">
        <f>+BUS!N141+BUS!O141+BUS!P141</f>
        <v>0</v>
      </c>
      <c r="G30" s="41">
        <f>+BUS!Q141+BUS!R141+BUS!S141</f>
        <v>0</v>
      </c>
      <c r="H30" s="41">
        <f>+BUS!T141+BUS!U141+BUS!V141</f>
        <v>0</v>
      </c>
      <c r="I30" s="41">
        <f>+BUS!W141+BUS!X141+BUS!Y141</f>
        <v>0</v>
      </c>
      <c r="J30" s="41">
        <f>+BUS!Z141+BUS!AA141+BUS!AB141</f>
        <v>0</v>
      </c>
      <c r="K30" s="41">
        <f>+BUS!AC141+BUS!AD141+BUS!AE141</f>
        <v>0</v>
      </c>
      <c r="L30" s="41">
        <f>+BUS!AF141+BUS!AG141+BUS!AH141</f>
        <v>0</v>
      </c>
      <c r="M30" s="41">
        <f>+BUS!AI141+BUS!AJ141+BUS!AK141</f>
        <v>0</v>
      </c>
      <c r="N30" s="41">
        <f>+BUS!AL141+BUS!AM141+BUS!AN141</f>
        <v>0</v>
      </c>
      <c r="O30" s="41">
        <f>+BUS!AO141+BUS!AP141+BUS!AQ141</f>
        <v>0</v>
      </c>
      <c r="P30" s="41">
        <f>+BUS!AR141+BUS!AS141+BUS!AT141</f>
        <v>0</v>
      </c>
      <c r="Q30" s="41">
        <f>+BUS!AU141+BUS!AV141+BUS!AW141</f>
        <v>0</v>
      </c>
      <c r="R30" s="41">
        <f>+BUS!AX141+BUS!AY141+BUS!AZ141</f>
        <v>0</v>
      </c>
      <c r="S30" s="41">
        <f>+BUS!BA141+BUS!BB141+BUS!BC141</f>
        <v>0</v>
      </c>
      <c r="T30" s="41">
        <f>+BUS!BD141+BUS!BE141+BUS!BF141</f>
        <v>0</v>
      </c>
      <c r="U30" s="41">
        <f>+BUS!BG141+BUS!BH141+BUS!BI141</f>
        <v>0</v>
      </c>
      <c r="V30" s="41">
        <f>+BUS!BJ141+BUS!BK141+BUS!BL141</f>
        <v>0</v>
      </c>
      <c r="W30" s="41">
        <f>+BUS!BM141+BUS!BN141+BUS!BO141</f>
        <v>0</v>
      </c>
      <c r="X30" s="41">
        <f>+BUS!BP141+BUS!BQ141+BUS!BR141</f>
        <v>0</v>
      </c>
      <c r="Y30" s="41">
        <f>+BUS!BS141+BUS!BT141+BUS!BU141</f>
        <v>0</v>
      </c>
      <c r="Z30" s="41">
        <f>+BUS!BV141+BUS!BW141+BUS!BX141</f>
        <v>0</v>
      </c>
      <c r="AA30" s="41">
        <f>+BUS!BY141+BUS!BZ141+BUS!CA141</f>
        <v>0</v>
      </c>
      <c r="AB30" s="41">
        <f>+BUS!CB141+BUS!CC141+BUS!CD141</f>
        <v>0</v>
      </c>
      <c r="AC30" s="41">
        <f>+BUS!CE141+BUS!CF141+BUS!CG141</f>
        <v>0</v>
      </c>
      <c r="AD30" s="41">
        <f>+BUS!CH141+BUS!CI141+BUS!CJ141</f>
        <v>0</v>
      </c>
      <c r="AE30" s="122">
        <f>+BUS!CK141+BUS!CL141+BUS!CM141</f>
        <v>0</v>
      </c>
      <c r="AF30" s="122">
        <f>+BUS!CN141+BUS!CO141+BUS!CP141</f>
        <v>0</v>
      </c>
      <c r="AG30" s="122">
        <f>+BUS!CQ141+BUS!CR141+BUS!CS141</f>
        <v>0</v>
      </c>
      <c r="AH30" s="122">
        <f>+BUS!CT141+BUS!CU141+BUS!CV141</f>
        <v>0</v>
      </c>
      <c r="AI30" s="122">
        <f>+BUS!CW141+BUS!CX141+BUS!CY141</f>
        <v>0</v>
      </c>
      <c r="AJ30" s="122">
        <f>+BUS!CZ141+BUS!DA141+BUS!DB141</f>
        <v>0</v>
      </c>
      <c r="AK30" s="226">
        <f t="shared" si="0"/>
        <v>0</v>
      </c>
    </row>
    <row r="31" spans="1:37" ht="15.75" customHeight="1">
      <c r="A31" s="154">
        <v>28</v>
      </c>
      <c r="B31" s="120">
        <f>+BUS!B142+BUS!C142+BUS!D142</f>
        <v>0</v>
      </c>
      <c r="C31" s="41">
        <f>+BUS!E142+BUS!F142+BUS!G142</f>
        <v>0</v>
      </c>
      <c r="D31" s="41">
        <f>+BUS!H142+BUS!I142+BUS!J142</f>
        <v>0</v>
      </c>
      <c r="E31" s="41">
        <f>+BUS!K142+BUS!L142+BUS!M142</f>
        <v>0</v>
      </c>
      <c r="F31" s="41">
        <f>+BUS!N142+BUS!O142+BUS!P142</f>
        <v>0</v>
      </c>
      <c r="G31" s="41">
        <f>+BUS!Q142+BUS!R142+BUS!S142</f>
        <v>0</v>
      </c>
      <c r="H31" s="41">
        <f>+BUS!T142+BUS!U142+BUS!V142</f>
        <v>0</v>
      </c>
      <c r="I31" s="41">
        <f>+BUS!W142+BUS!X142+BUS!Y142</f>
        <v>0</v>
      </c>
      <c r="J31" s="41">
        <f>+BUS!Z142+BUS!AA142+BUS!AB142</f>
        <v>0</v>
      </c>
      <c r="K31" s="41">
        <f>+BUS!AC142+BUS!AD142+BUS!AE142</f>
        <v>0</v>
      </c>
      <c r="L31" s="41">
        <f>+BUS!AF142+BUS!AG142+BUS!AH142</f>
        <v>0</v>
      </c>
      <c r="M31" s="41">
        <f>+BUS!AI142+BUS!AJ142+BUS!AK142</f>
        <v>0</v>
      </c>
      <c r="N31" s="41">
        <f>+BUS!AL142+BUS!AM142+BUS!AN142</f>
        <v>0</v>
      </c>
      <c r="O31" s="41">
        <f>+BUS!AO142+BUS!AP142+BUS!AQ142</f>
        <v>0</v>
      </c>
      <c r="P31" s="41">
        <f>+BUS!AR142+BUS!AS142+BUS!AT142</f>
        <v>0</v>
      </c>
      <c r="Q31" s="41">
        <f>+BUS!AU142+BUS!AV142+BUS!AW142</f>
        <v>0</v>
      </c>
      <c r="R31" s="41">
        <f>+BUS!AX142+BUS!AY142+BUS!AZ142</f>
        <v>0</v>
      </c>
      <c r="S31" s="41">
        <f>+BUS!BA142+BUS!BB142+BUS!BC142</f>
        <v>0</v>
      </c>
      <c r="T31" s="41">
        <f>+BUS!BD142+BUS!BE142+BUS!BF142</f>
        <v>0</v>
      </c>
      <c r="U31" s="41">
        <f>+BUS!BG142+BUS!BH142+BUS!BI142</f>
        <v>0</v>
      </c>
      <c r="V31" s="41">
        <f>+BUS!BJ142+BUS!BK142+BUS!BL142</f>
        <v>0</v>
      </c>
      <c r="W31" s="41">
        <f>+BUS!BM142+BUS!BN142+BUS!BO142</f>
        <v>0</v>
      </c>
      <c r="X31" s="41">
        <f>+BUS!BP142+BUS!BQ142+BUS!BR142</f>
        <v>0</v>
      </c>
      <c r="Y31" s="41">
        <f>+BUS!BS142+BUS!BT142+BUS!BU142</f>
        <v>0</v>
      </c>
      <c r="Z31" s="41">
        <f>+BUS!BV142+BUS!BW142+BUS!BX142</f>
        <v>0</v>
      </c>
      <c r="AA31" s="41">
        <f>+BUS!BY142+BUS!BZ142+BUS!CA142</f>
        <v>0</v>
      </c>
      <c r="AB31" s="41">
        <f>+BUS!CB142+BUS!CC142+BUS!CD142</f>
        <v>0</v>
      </c>
      <c r="AC31" s="41">
        <f>+BUS!CE142+BUS!CF142+BUS!CG142</f>
        <v>0</v>
      </c>
      <c r="AD31" s="41">
        <f>+BUS!CH142+BUS!CI142+BUS!CJ142</f>
        <v>0</v>
      </c>
      <c r="AE31" s="122">
        <f>+BUS!CK142+BUS!CL142+BUS!CM142</f>
        <v>0</v>
      </c>
      <c r="AF31" s="122">
        <f>+BUS!CN142+BUS!CO142+BUS!CP142</f>
        <v>0</v>
      </c>
      <c r="AG31" s="122">
        <f>+BUS!CQ142+BUS!CR142+BUS!CS142</f>
        <v>0</v>
      </c>
      <c r="AH31" s="122">
        <f>+BUS!CT142+BUS!CU142+BUS!CV142</f>
        <v>0</v>
      </c>
      <c r="AI31" s="122">
        <f>+BUS!CW142+BUS!CX142+BUS!CY142</f>
        <v>0</v>
      </c>
      <c r="AJ31" s="122">
        <f>+BUS!CZ142+BUS!DA142+BUS!DB142</f>
        <v>0</v>
      </c>
      <c r="AK31" s="226">
        <f t="shared" si="0"/>
        <v>0</v>
      </c>
    </row>
    <row r="32" spans="1:37" ht="15" customHeight="1">
      <c r="A32" s="154">
        <v>29</v>
      </c>
      <c r="B32" s="120">
        <f>+BUS!B143+BUS!C143+BUS!D143</f>
        <v>0</v>
      </c>
      <c r="C32" s="41">
        <f>+BUS!E143+BUS!F143+BUS!G143</f>
        <v>0</v>
      </c>
      <c r="D32" s="41">
        <f>+BUS!H143+BUS!I143+BUS!J143</f>
        <v>0</v>
      </c>
      <c r="E32" s="41">
        <f>+BUS!K143+BUS!L143+BUS!M143</f>
        <v>0</v>
      </c>
      <c r="F32" s="41">
        <f>+BUS!N143+BUS!O143+BUS!P143</f>
        <v>0</v>
      </c>
      <c r="G32" s="41">
        <f>+BUS!Q143+BUS!R143+BUS!S143</f>
        <v>0</v>
      </c>
      <c r="H32" s="41">
        <f>+BUS!T143+BUS!U143+BUS!V143</f>
        <v>0</v>
      </c>
      <c r="I32" s="41">
        <f>+BUS!W143+BUS!X143+BUS!Y143</f>
        <v>0</v>
      </c>
      <c r="J32" s="41">
        <f>+BUS!Z143+BUS!AA143+BUS!AB143</f>
        <v>0</v>
      </c>
      <c r="K32" s="41">
        <f>+BUS!AC143+BUS!AD143+BUS!AE143</f>
        <v>0</v>
      </c>
      <c r="L32" s="41">
        <f>+BUS!AF143+BUS!AG143+BUS!AH143</f>
        <v>0</v>
      </c>
      <c r="M32" s="41">
        <f>+BUS!AI143+BUS!AJ143+BUS!AK143</f>
        <v>0</v>
      </c>
      <c r="N32" s="41">
        <f>+BUS!AL143+BUS!AM143+BUS!AN143</f>
        <v>0</v>
      </c>
      <c r="O32" s="41">
        <f>+BUS!AO143+BUS!AP143+BUS!AQ143</f>
        <v>0</v>
      </c>
      <c r="P32" s="41">
        <f>+BUS!AR143+BUS!AS143+BUS!AT143</f>
        <v>0</v>
      </c>
      <c r="Q32" s="41">
        <f>+BUS!AU143+BUS!AV143+BUS!AW143</f>
        <v>0</v>
      </c>
      <c r="R32" s="41">
        <f>+BUS!AX143+BUS!AY143+BUS!AZ143</f>
        <v>0</v>
      </c>
      <c r="S32" s="41">
        <f>+BUS!BA143+BUS!BB143+BUS!BC143</f>
        <v>0</v>
      </c>
      <c r="T32" s="41">
        <f>+BUS!BD143+BUS!BE143+BUS!BF143</f>
        <v>0</v>
      </c>
      <c r="U32" s="41">
        <f>+BUS!BG143+BUS!BH143+BUS!BI143</f>
        <v>0</v>
      </c>
      <c r="V32" s="41">
        <f>+BUS!BJ143+BUS!BK143+BUS!BL143</f>
        <v>0</v>
      </c>
      <c r="W32" s="41">
        <f>+BUS!BM143+BUS!BN143+BUS!BO143</f>
        <v>0</v>
      </c>
      <c r="X32" s="41">
        <f>+BUS!BP143+BUS!BQ143+BUS!BR143</f>
        <v>0</v>
      </c>
      <c r="Y32" s="41">
        <f>+BUS!BS143+BUS!BT143+BUS!BU143</f>
        <v>0</v>
      </c>
      <c r="Z32" s="41">
        <f>+BUS!BV143+BUS!BW143+BUS!BX143</f>
        <v>0</v>
      </c>
      <c r="AA32" s="41">
        <f>+BUS!BY143+BUS!BZ143+BUS!CA143</f>
        <v>0</v>
      </c>
      <c r="AB32" s="41">
        <f>+BUS!CB143+BUS!CC143+BUS!CD143</f>
        <v>0</v>
      </c>
      <c r="AC32" s="41">
        <f>+BUS!CE143+BUS!CF143+BUS!CG143</f>
        <v>0</v>
      </c>
      <c r="AD32" s="41">
        <f>+BUS!CH143+BUS!CI143+BUS!CJ143</f>
        <v>0</v>
      </c>
      <c r="AE32" s="122">
        <f>+BUS!CK143+BUS!CL143+BUS!CM143</f>
        <v>0</v>
      </c>
      <c r="AF32" s="122">
        <f>+BUS!CN143+BUS!CO143+BUS!CP143</f>
        <v>0</v>
      </c>
      <c r="AG32" s="122">
        <f>+BUS!CQ143+BUS!CR143+BUS!CS143</f>
        <v>0</v>
      </c>
      <c r="AH32" s="122">
        <f>+BUS!CT143+BUS!CU143+BUS!CV143</f>
        <v>0</v>
      </c>
      <c r="AI32" s="122">
        <f>+BUS!CW143+BUS!CX143+BUS!CY143</f>
        <v>0</v>
      </c>
      <c r="AJ32" s="122">
        <f>+BUS!CZ143+BUS!DA143+BUS!DB143</f>
        <v>0</v>
      </c>
      <c r="AK32" s="226">
        <f t="shared" si="0"/>
        <v>0</v>
      </c>
    </row>
    <row r="33" spans="1:37" ht="15" customHeight="1">
      <c r="A33" s="154">
        <v>30</v>
      </c>
      <c r="B33" s="120">
        <f>+BUS!B144+BUS!C144+BUS!D144</f>
        <v>0</v>
      </c>
      <c r="C33" s="41">
        <f>+BUS!E144+BUS!F144+BUS!G144</f>
        <v>0</v>
      </c>
      <c r="D33" s="41">
        <f>+BUS!H144+BUS!I144+BUS!J144</f>
        <v>0</v>
      </c>
      <c r="E33" s="41">
        <f>+BUS!K144+BUS!L144+BUS!M144</f>
        <v>0</v>
      </c>
      <c r="F33" s="41">
        <f>+BUS!N144+BUS!O144+BUS!P144</f>
        <v>0</v>
      </c>
      <c r="G33" s="41">
        <f>+BUS!Q144+BUS!R144+BUS!S144</f>
        <v>0</v>
      </c>
      <c r="H33" s="41">
        <f>+BUS!T144+BUS!U144+BUS!V144</f>
        <v>0</v>
      </c>
      <c r="I33" s="41">
        <f>+BUS!W144+BUS!X144+BUS!Y144</f>
        <v>0</v>
      </c>
      <c r="J33" s="41">
        <f>+BUS!Z144+BUS!AA144+BUS!AB144</f>
        <v>0</v>
      </c>
      <c r="K33" s="41">
        <f>+BUS!AC144+BUS!AD144+BUS!AE144</f>
        <v>0</v>
      </c>
      <c r="L33" s="41">
        <f>+BUS!AF144+BUS!AG144+BUS!AH144</f>
        <v>0</v>
      </c>
      <c r="M33" s="41">
        <f>+BUS!AI144+BUS!AJ144+BUS!AK144</f>
        <v>0</v>
      </c>
      <c r="N33" s="41">
        <f>+BUS!AL144+BUS!AM144+BUS!AN144</f>
        <v>0</v>
      </c>
      <c r="O33" s="41">
        <f>+BUS!AO144+BUS!AP144+BUS!AQ144</f>
        <v>0</v>
      </c>
      <c r="P33" s="41">
        <f>+BUS!AR144+BUS!AS144+BUS!AT144</f>
        <v>0</v>
      </c>
      <c r="Q33" s="41">
        <f>+BUS!AU144+BUS!AV144+BUS!AW144</f>
        <v>0</v>
      </c>
      <c r="R33" s="41">
        <f>+BUS!AX144+BUS!AY144+BUS!AZ144</f>
        <v>0</v>
      </c>
      <c r="S33" s="41">
        <f>+BUS!BA144+BUS!BB144+BUS!BC144</f>
        <v>0</v>
      </c>
      <c r="T33" s="41">
        <f>+BUS!BD144+BUS!BE144+BUS!BF144</f>
        <v>0</v>
      </c>
      <c r="U33" s="41">
        <f>+BUS!BG144+BUS!BH144+BUS!BI144</f>
        <v>0</v>
      </c>
      <c r="V33" s="41">
        <f>+BUS!BJ144+BUS!BK144+BUS!BL144</f>
        <v>0</v>
      </c>
      <c r="W33" s="41">
        <f>+BUS!BM144+BUS!BN144+BUS!BO144</f>
        <v>0</v>
      </c>
      <c r="X33" s="41">
        <f>+BUS!BP144+BUS!BQ144+BUS!BR144</f>
        <v>0</v>
      </c>
      <c r="Y33" s="41">
        <f>+BUS!BS144+BUS!BT144+BUS!BU144</f>
        <v>0</v>
      </c>
      <c r="Z33" s="41">
        <f>+BUS!BV144+BUS!BW144+BUS!BX144</f>
        <v>0</v>
      </c>
      <c r="AA33" s="41">
        <f>+BUS!BY144+BUS!BZ144+BUS!CA144</f>
        <v>0</v>
      </c>
      <c r="AB33" s="41">
        <f>+BUS!CB144+BUS!CC144+BUS!CD144</f>
        <v>0</v>
      </c>
      <c r="AC33" s="41">
        <f>+BUS!CE144+BUS!CF144+BUS!CG144</f>
        <v>0</v>
      </c>
      <c r="AD33" s="41">
        <f>+BUS!CH144+BUS!CI144+BUS!CJ144</f>
        <v>0</v>
      </c>
      <c r="AE33" s="122">
        <f>+BUS!CK144+BUS!CL144+BUS!CM144</f>
        <v>0</v>
      </c>
      <c r="AF33" s="122">
        <f>+BUS!CN144+BUS!CO144+BUS!CP144</f>
        <v>0</v>
      </c>
      <c r="AG33" s="122">
        <f>+BUS!CQ144+BUS!CR144+BUS!CS144</f>
        <v>0</v>
      </c>
      <c r="AH33" s="122">
        <f>+BUS!CT144+BUS!CU144+BUS!CV144</f>
        <v>0</v>
      </c>
      <c r="AI33" s="122">
        <f>+BUS!CW144+BUS!CX144+BUS!CY144</f>
        <v>0</v>
      </c>
      <c r="AJ33" s="122">
        <f>+BUS!CZ144+BUS!DA144+BUS!DB144</f>
        <v>0</v>
      </c>
      <c r="AK33" s="226">
        <f t="shared" si="0"/>
        <v>0</v>
      </c>
    </row>
    <row r="34" spans="1:37" ht="20.25" customHeight="1">
      <c r="A34" s="154">
        <v>31</v>
      </c>
      <c r="B34" s="120">
        <f>+BUS!B145+BUS!C145+BUS!D145</f>
        <v>0</v>
      </c>
      <c r="C34" s="41">
        <f>+BUS!E145+BUS!F145+BUS!G145</f>
        <v>0</v>
      </c>
      <c r="D34" s="41">
        <f>+BUS!H145+BUS!I145+BUS!J145</f>
        <v>0</v>
      </c>
      <c r="E34" s="41">
        <f>+BUS!K145+BUS!L145+BUS!M145</f>
        <v>0</v>
      </c>
      <c r="F34" s="41">
        <f>+BUS!N145+BUS!O145+BUS!P145</f>
        <v>0</v>
      </c>
      <c r="G34" s="41">
        <f>+BUS!Q145+BUS!R145+BUS!S145</f>
        <v>0</v>
      </c>
      <c r="H34" s="41">
        <f>+BUS!T145+BUS!U145+BUS!V145</f>
        <v>0</v>
      </c>
      <c r="I34" s="41">
        <f>+BUS!W145+BUS!X145+BUS!Y145</f>
        <v>0</v>
      </c>
      <c r="J34" s="41">
        <f>+BUS!Z145+BUS!AA145+BUS!AB145</f>
        <v>0</v>
      </c>
      <c r="K34" s="41">
        <f>+BUS!AC145+BUS!AD145+BUS!AE145</f>
        <v>0</v>
      </c>
      <c r="L34" s="41">
        <f>+BUS!AF145+BUS!AG145+BUS!AH145</f>
        <v>0</v>
      </c>
      <c r="M34" s="41">
        <f>+BUS!AI145+BUS!AJ145+BUS!AK145</f>
        <v>0</v>
      </c>
      <c r="N34" s="41">
        <f>+BUS!AL145+BUS!AM145+BUS!AN145</f>
        <v>0</v>
      </c>
      <c r="O34" s="41">
        <f>+BUS!AO145+BUS!AP145+BUS!AQ145</f>
        <v>0</v>
      </c>
      <c r="P34" s="41">
        <f>+BUS!AR145+BUS!AS145+BUS!AT145</f>
        <v>0</v>
      </c>
      <c r="Q34" s="41">
        <f>+BUS!AU145+BUS!AV145+BUS!AW145</f>
        <v>0</v>
      </c>
      <c r="R34" s="41">
        <f>+BUS!AX145+BUS!AY145+BUS!AZ145</f>
        <v>0</v>
      </c>
      <c r="S34" s="41">
        <f>+BUS!BA145+BUS!BB145+BUS!BC145</f>
        <v>0</v>
      </c>
      <c r="T34" s="41">
        <f>+BUS!BD145+BUS!BE145+BUS!BF145</f>
        <v>0</v>
      </c>
      <c r="U34" s="41">
        <f>+BUS!BG145+BUS!BH145+BUS!BI145</f>
        <v>0</v>
      </c>
      <c r="V34" s="41">
        <f>+BUS!BJ145+BUS!BK145+BUS!BL145</f>
        <v>0</v>
      </c>
      <c r="W34" s="41">
        <f>+BUS!BM145+BUS!BN145+BUS!BO145</f>
        <v>0</v>
      </c>
      <c r="X34" s="41">
        <f>+BUS!BP145+BUS!BQ145+BUS!BR145</f>
        <v>0</v>
      </c>
      <c r="Y34" s="41">
        <f>+BUS!BS145+BUS!BT145+BUS!BU145</f>
        <v>0</v>
      </c>
      <c r="Z34" s="41">
        <f>+BUS!BV145+BUS!BW145+BUS!BX145</f>
        <v>0</v>
      </c>
      <c r="AA34" s="41">
        <f>+BUS!BY145+BUS!BZ145+BUS!CA145</f>
        <v>0</v>
      </c>
      <c r="AB34" s="41">
        <f>+BUS!CB145+BUS!CC145+BUS!CD145</f>
        <v>0</v>
      </c>
      <c r="AC34" s="41">
        <f>+BUS!CE145+BUS!CF145+BUS!CG145</f>
        <v>0</v>
      </c>
      <c r="AD34" s="41">
        <f>+BUS!CH145+BUS!CI145+BUS!CJ145</f>
        <v>0</v>
      </c>
      <c r="AE34" s="122">
        <f>+BUS!CK145+BUS!CL145+BUS!CM145</f>
        <v>0</v>
      </c>
      <c r="AF34" s="122">
        <f>+BUS!CN145+BUS!CO145+BUS!CP145</f>
        <v>0</v>
      </c>
      <c r="AG34" s="122">
        <f>+BUS!CQ145+BUS!CR145+BUS!CS145</f>
        <v>0</v>
      </c>
      <c r="AH34" s="122">
        <f>+BUS!CT145+BUS!CU145+BUS!CV145</f>
        <v>0</v>
      </c>
      <c r="AI34" s="122">
        <f>+BUS!CW145+BUS!CX145+BUS!CY145</f>
        <v>0</v>
      </c>
      <c r="AJ34" s="122">
        <f>+BUS!CZ145+BUS!DA145+BUS!DB145</f>
        <v>0</v>
      </c>
      <c r="AK34" s="226">
        <f t="shared" si="0"/>
        <v>0</v>
      </c>
    </row>
    <row r="35" spans="1:37" ht="17.25" customHeight="1">
      <c r="A35" s="220"/>
      <c r="B35" s="32">
        <f>SUM(B3:B34)</f>
        <v>0</v>
      </c>
      <c r="C35" s="32">
        <f t="shared" ref="C35:AK35" si="1">SUM(C3:C34)</f>
        <v>0</v>
      </c>
      <c r="D35" s="32">
        <f t="shared" si="1"/>
        <v>0</v>
      </c>
      <c r="E35" s="32">
        <f t="shared" si="1"/>
        <v>0</v>
      </c>
      <c r="F35" s="32">
        <f t="shared" si="1"/>
        <v>0</v>
      </c>
      <c r="G35" s="32">
        <f t="shared" si="1"/>
        <v>0</v>
      </c>
      <c r="H35" s="32">
        <f t="shared" si="1"/>
        <v>0</v>
      </c>
      <c r="I35" s="32">
        <f t="shared" si="1"/>
        <v>0</v>
      </c>
      <c r="J35" s="32">
        <f t="shared" si="1"/>
        <v>0</v>
      </c>
      <c r="K35" s="32">
        <f t="shared" si="1"/>
        <v>0</v>
      </c>
      <c r="L35" s="32">
        <f t="shared" si="1"/>
        <v>0</v>
      </c>
      <c r="M35" s="32">
        <f t="shared" si="1"/>
        <v>0</v>
      </c>
      <c r="N35" s="32">
        <f t="shared" si="1"/>
        <v>0</v>
      </c>
      <c r="O35" s="32">
        <f t="shared" si="1"/>
        <v>0</v>
      </c>
      <c r="P35" s="32">
        <f t="shared" si="1"/>
        <v>0</v>
      </c>
      <c r="Q35" s="32">
        <f t="shared" si="1"/>
        <v>0</v>
      </c>
      <c r="R35" s="32">
        <f t="shared" si="1"/>
        <v>0</v>
      </c>
      <c r="S35" s="32">
        <f t="shared" si="1"/>
        <v>0</v>
      </c>
      <c r="T35" s="32">
        <f t="shared" si="1"/>
        <v>0</v>
      </c>
      <c r="U35" s="32">
        <f t="shared" si="1"/>
        <v>0</v>
      </c>
      <c r="V35" s="32">
        <f t="shared" si="1"/>
        <v>0</v>
      </c>
      <c r="W35" s="32">
        <f t="shared" si="1"/>
        <v>0</v>
      </c>
      <c r="X35" s="32">
        <f t="shared" si="1"/>
        <v>0</v>
      </c>
      <c r="Y35" s="32">
        <f t="shared" si="1"/>
        <v>0</v>
      </c>
      <c r="Z35" s="32">
        <f t="shared" si="1"/>
        <v>0</v>
      </c>
      <c r="AA35" s="32">
        <f t="shared" si="1"/>
        <v>0</v>
      </c>
      <c r="AB35" s="32">
        <f t="shared" si="1"/>
        <v>0</v>
      </c>
      <c r="AC35" s="32">
        <f t="shared" si="1"/>
        <v>0</v>
      </c>
      <c r="AD35" s="32">
        <f t="shared" si="1"/>
        <v>0</v>
      </c>
      <c r="AE35" s="32">
        <f t="shared" si="1"/>
        <v>0</v>
      </c>
      <c r="AF35" s="32">
        <f t="shared" si="1"/>
        <v>0</v>
      </c>
      <c r="AG35" s="32">
        <f t="shared" si="1"/>
        <v>0</v>
      </c>
      <c r="AH35" s="32">
        <f t="shared" si="1"/>
        <v>0</v>
      </c>
      <c r="AI35" s="32">
        <f t="shared" si="1"/>
        <v>0</v>
      </c>
      <c r="AJ35" s="32">
        <f t="shared" si="1"/>
        <v>0</v>
      </c>
      <c r="AK35" s="113">
        <f t="shared" si="1"/>
        <v>0</v>
      </c>
    </row>
    <row r="36" spans="1:37" ht="13.5" customHeight="1">
      <c r="A36" s="216"/>
    </row>
    <row r="37" spans="1:37" ht="31.5" customHeight="1">
      <c r="A37" s="221"/>
      <c r="B37" s="551" t="s">
        <v>80</v>
      </c>
      <c r="C37" s="552"/>
      <c r="D37" s="552"/>
      <c r="E37" s="552"/>
      <c r="F37" s="552"/>
      <c r="G37" s="552"/>
      <c r="H37" s="552"/>
      <c r="I37" s="552"/>
      <c r="J37" s="552"/>
      <c r="K37" s="552"/>
      <c r="L37" s="553"/>
      <c r="M37" s="513">
        <v>0</v>
      </c>
      <c r="N37" s="514"/>
      <c r="O37" s="514"/>
      <c r="P37" s="515"/>
      <c r="S37" s="543" t="s">
        <v>81</v>
      </c>
      <c r="T37" s="544"/>
      <c r="U37" s="544"/>
      <c r="V37" s="544"/>
      <c r="W37" s="544"/>
      <c r="X37" s="547"/>
      <c r="Y37" s="547"/>
      <c r="Z37" s="548"/>
      <c r="AA37" s="519">
        <f>+AK35</f>
        <v>0</v>
      </c>
      <c r="AB37" s="520"/>
      <c r="AC37" s="520"/>
      <c r="AD37" s="520"/>
      <c r="AE37" s="520"/>
      <c r="AF37" s="520"/>
      <c r="AG37" s="520"/>
      <c r="AH37" s="520"/>
      <c r="AI37" s="520"/>
      <c r="AJ37" s="520"/>
      <c r="AK37" s="521"/>
    </row>
    <row r="38" spans="1:37" ht="27" customHeight="1">
      <c r="A38" s="221"/>
      <c r="B38" s="551" t="s">
        <v>82</v>
      </c>
      <c r="C38" s="552"/>
      <c r="D38" s="552"/>
      <c r="E38" s="552"/>
      <c r="F38" s="552"/>
      <c r="G38" s="552"/>
      <c r="H38" s="552"/>
      <c r="I38" s="552"/>
      <c r="J38" s="552"/>
      <c r="K38" s="552"/>
      <c r="L38" s="553"/>
      <c r="M38" s="513">
        <f>+BUS!DC182</f>
        <v>0</v>
      </c>
      <c r="N38" s="514"/>
      <c r="O38" s="514"/>
      <c r="P38" s="515"/>
      <c r="S38" s="545"/>
      <c r="T38" s="546"/>
      <c r="U38" s="546"/>
      <c r="V38" s="546"/>
      <c r="W38" s="546"/>
      <c r="X38" s="549"/>
      <c r="Y38" s="549"/>
      <c r="Z38" s="550"/>
      <c r="AA38" s="522"/>
      <c r="AB38" s="523"/>
      <c r="AC38" s="523"/>
      <c r="AD38" s="523"/>
      <c r="AE38" s="523"/>
      <c r="AF38" s="523"/>
      <c r="AG38" s="523"/>
      <c r="AH38" s="523"/>
      <c r="AI38" s="523"/>
      <c r="AJ38" s="523"/>
      <c r="AK38" s="524"/>
    </row>
    <row r="39" spans="1:37" ht="27.75" customHeight="1">
      <c r="A39" s="221"/>
      <c r="B39" s="551" t="s">
        <v>83</v>
      </c>
      <c r="C39" s="552"/>
      <c r="D39" s="552"/>
      <c r="E39" s="552"/>
      <c r="F39" s="552"/>
      <c r="G39" s="552"/>
      <c r="H39" s="552"/>
      <c r="I39" s="552"/>
      <c r="J39" s="552"/>
      <c r="K39" s="552"/>
      <c r="L39" s="553"/>
      <c r="M39" s="513">
        <f>+BUS!DD182</f>
        <v>0</v>
      </c>
      <c r="N39" s="514"/>
      <c r="O39" s="514"/>
      <c r="P39" s="515"/>
      <c r="S39" s="537" t="s">
        <v>84</v>
      </c>
      <c r="T39" s="538"/>
      <c r="U39" s="538"/>
      <c r="V39" s="538"/>
      <c r="W39" s="538"/>
      <c r="X39" s="538"/>
      <c r="Y39" s="538"/>
      <c r="Z39" s="539"/>
      <c r="AA39" s="525" t="e">
        <f>+M42/'RETAION-BUS'!M40</f>
        <v>#DIV/0!</v>
      </c>
      <c r="AB39" s="526"/>
      <c r="AC39" s="526"/>
      <c r="AD39" s="526"/>
      <c r="AE39" s="526"/>
      <c r="AF39" s="526"/>
      <c r="AG39" s="526"/>
      <c r="AH39" s="526"/>
      <c r="AI39" s="526"/>
      <c r="AJ39" s="526"/>
      <c r="AK39" s="527"/>
    </row>
    <row r="40" spans="1:37" ht="28.5" customHeight="1">
      <c r="A40" s="216"/>
      <c r="B40" s="551" t="s">
        <v>85</v>
      </c>
      <c r="C40" s="552"/>
      <c r="D40" s="552"/>
      <c r="E40" s="552"/>
      <c r="F40" s="552"/>
      <c r="G40" s="552"/>
      <c r="H40" s="552"/>
      <c r="I40" s="552"/>
      <c r="J40" s="552"/>
      <c r="K40" s="552"/>
      <c r="L40" s="553"/>
      <c r="M40" s="513">
        <f>+BUS!DE182</f>
        <v>0</v>
      </c>
      <c r="N40" s="514"/>
      <c r="O40" s="514"/>
      <c r="P40" s="515"/>
      <c r="S40" s="540"/>
      <c r="T40" s="541"/>
      <c r="U40" s="541"/>
      <c r="V40" s="541"/>
      <c r="W40" s="541"/>
      <c r="X40" s="541"/>
      <c r="Y40" s="541"/>
      <c r="Z40" s="542"/>
      <c r="AA40" s="528"/>
      <c r="AB40" s="529"/>
      <c r="AC40" s="529"/>
      <c r="AD40" s="529"/>
      <c r="AE40" s="529"/>
      <c r="AF40" s="529"/>
      <c r="AG40" s="529"/>
      <c r="AH40" s="529"/>
      <c r="AI40" s="529"/>
      <c r="AJ40" s="529"/>
      <c r="AK40" s="530"/>
    </row>
    <row r="41" spans="1:37" ht="28.5" customHeight="1">
      <c r="A41" s="216"/>
      <c r="B41" s="551" t="s">
        <v>86</v>
      </c>
      <c r="C41" s="552"/>
      <c r="D41" s="552"/>
      <c r="E41" s="552"/>
      <c r="F41" s="552"/>
      <c r="G41" s="552"/>
      <c r="H41" s="552"/>
      <c r="I41" s="552"/>
      <c r="J41" s="552"/>
      <c r="K41" s="552"/>
      <c r="L41" s="553"/>
      <c r="M41" s="513">
        <v>0</v>
      </c>
      <c r="N41" s="514"/>
      <c r="O41" s="514"/>
      <c r="P41" s="515"/>
      <c r="S41" s="531" t="s">
        <v>87</v>
      </c>
      <c r="T41" s="532"/>
      <c r="U41" s="532"/>
      <c r="V41" s="532"/>
      <c r="W41" s="532"/>
      <c r="X41" s="532"/>
      <c r="Y41" s="532"/>
      <c r="Z41" s="533"/>
      <c r="AA41" s="525">
        <f>+AA37/3386987</f>
        <v>0</v>
      </c>
      <c r="AB41" s="526"/>
      <c r="AC41" s="526"/>
      <c r="AD41" s="526"/>
      <c r="AE41" s="526"/>
      <c r="AF41" s="526"/>
      <c r="AG41" s="526"/>
      <c r="AH41" s="526"/>
      <c r="AI41" s="526"/>
      <c r="AJ41" s="526"/>
      <c r="AK41" s="527"/>
    </row>
    <row r="42" spans="1:37" ht="35.25" customHeight="1">
      <c r="A42" s="216"/>
      <c r="B42" s="510" t="s">
        <v>88</v>
      </c>
      <c r="C42" s="511"/>
      <c r="D42" s="511"/>
      <c r="E42" s="511"/>
      <c r="F42" s="511"/>
      <c r="G42" s="511"/>
      <c r="H42" s="511"/>
      <c r="I42" s="511"/>
      <c r="J42" s="511"/>
      <c r="K42" s="511"/>
      <c r="L42" s="512"/>
      <c r="M42" s="513">
        <f>SUM(M37:P41)</f>
        <v>0</v>
      </c>
      <c r="N42" s="514"/>
      <c r="O42" s="514"/>
      <c r="P42" s="515"/>
      <c r="S42" s="534"/>
      <c r="T42" s="535"/>
      <c r="U42" s="535"/>
      <c r="V42" s="535"/>
      <c r="W42" s="535"/>
      <c r="X42" s="535"/>
      <c r="Y42" s="535"/>
      <c r="Z42" s="536"/>
      <c r="AA42" s="528"/>
      <c r="AB42" s="529"/>
      <c r="AC42" s="529"/>
      <c r="AD42" s="529"/>
      <c r="AE42" s="529"/>
      <c r="AF42" s="529"/>
      <c r="AG42" s="529"/>
      <c r="AH42" s="529"/>
      <c r="AI42" s="529"/>
      <c r="AJ42" s="529"/>
      <c r="AK42" s="530"/>
    </row>
    <row r="43" spans="1:37" ht="13.5" customHeight="1">
      <c r="A43" s="216"/>
    </row>
    <row r="44" spans="1:37" ht="13.5" customHeight="1">
      <c r="A44" s="216"/>
    </row>
    <row r="46" spans="1:37" ht="26.25">
      <c r="A46" s="516"/>
      <c r="B46" s="517"/>
      <c r="C46" s="517"/>
      <c r="D46" s="517"/>
      <c r="E46" s="517"/>
      <c r="F46" s="517"/>
      <c r="G46" s="517"/>
      <c r="H46" s="517"/>
      <c r="I46" s="517"/>
      <c r="J46" s="517"/>
      <c r="K46" s="517"/>
      <c r="L46" s="517"/>
      <c r="M46" s="517"/>
      <c r="N46" s="517"/>
      <c r="O46" s="517"/>
      <c r="P46" s="517"/>
      <c r="Q46" s="517"/>
      <c r="R46" s="517"/>
      <c r="S46" s="517"/>
      <c r="T46" s="517"/>
      <c r="U46" s="517"/>
      <c r="V46" s="517"/>
      <c r="W46" s="517"/>
      <c r="X46" s="517"/>
      <c r="Y46" s="517"/>
      <c r="Z46" s="517"/>
      <c r="AA46" s="517"/>
      <c r="AB46" s="517"/>
      <c r="AC46" s="517"/>
      <c r="AD46" s="517"/>
      <c r="AE46" s="517"/>
      <c r="AF46" s="517"/>
      <c r="AG46" s="517"/>
      <c r="AH46" s="517"/>
      <c r="AI46" s="517"/>
      <c r="AJ46" s="517"/>
      <c r="AK46" s="518"/>
    </row>
    <row r="47" spans="1:37">
      <c r="A47" s="217" t="s">
        <v>2</v>
      </c>
      <c r="B47" s="218" t="s">
        <v>3</v>
      </c>
      <c r="C47" s="219" t="s">
        <v>4</v>
      </c>
      <c r="D47" s="219" t="s">
        <v>5</v>
      </c>
      <c r="E47" s="219" t="s">
        <v>6</v>
      </c>
      <c r="F47" s="219" t="s">
        <v>7</v>
      </c>
      <c r="G47" s="219" t="s">
        <v>8</v>
      </c>
      <c r="H47" s="219" t="s">
        <v>9</v>
      </c>
      <c r="I47" s="219" t="s">
        <v>10</v>
      </c>
      <c r="J47" s="219" t="s">
        <v>11</v>
      </c>
      <c r="K47" s="219" t="s">
        <v>12</v>
      </c>
      <c r="L47" s="219" t="s">
        <v>13</v>
      </c>
      <c r="M47" s="219" t="s">
        <v>14</v>
      </c>
      <c r="N47" s="219" t="s">
        <v>15</v>
      </c>
      <c r="O47" s="219" t="s">
        <v>16</v>
      </c>
      <c r="P47" s="219" t="s">
        <v>17</v>
      </c>
      <c r="Q47" s="219" t="s">
        <v>18</v>
      </c>
      <c r="R47" s="219" t="s">
        <v>19</v>
      </c>
      <c r="S47" s="219" t="s">
        <v>20</v>
      </c>
      <c r="T47" s="219" t="s">
        <v>21</v>
      </c>
      <c r="U47" s="219" t="s">
        <v>22</v>
      </c>
      <c r="V47" s="219" t="s">
        <v>23</v>
      </c>
      <c r="W47" s="219" t="s">
        <v>24</v>
      </c>
      <c r="X47" s="219" t="s">
        <v>25</v>
      </c>
      <c r="Y47" s="219" t="s">
        <v>26</v>
      </c>
      <c r="Z47" s="219" t="s">
        <v>27</v>
      </c>
      <c r="AA47" s="219" t="s">
        <v>28</v>
      </c>
      <c r="AB47" s="219" t="s">
        <v>29</v>
      </c>
      <c r="AC47" s="219" t="s">
        <v>30</v>
      </c>
      <c r="AD47" s="219" t="s">
        <v>31</v>
      </c>
      <c r="AE47" s="224" t="s">
        <v>32</v>
      </c>
      <c r="AF47" s="224" t="s">
        <v>33</v>
      </c>
      <c r="AG47" s="224" t="s">
        <v>34</v>
      </c>
      <c r="AH47" s="224" t="s">
        <v>35</v>
      </c>
      <c r="AI47" s="224" t="s">
        <v>36</v>
      </c>
      <c r="AJ47" s="224" t="s">
        <v>37</v>
      </c>
      <c r="AK47" s="227" t="s">
        <v>56</v>
      </c>
    </row>
    <row r="48" spans="1:37" ht="21" customHeight="1">
      <c r="A48" s="154">
        <v>1</v>
      </c>
      <c r="B48" s="222">
        <f>+BUS!B151+BUS!C151+BUS!D151</f>
        <v>0</v>
      </c>
      <c r="C48" s="223">
        <f>+BUS!E151+BUS!F151+BUS!G151</f>
        <v>0</v>
      </c>
      <c r="D48" s="223">
        <f>+BUS!H151+BUS!I151+BUS!J151</f>
        <v>0</v>
      </c>
      <c r="E48" s="223">
        <f>+BUS!K151+BUS!L151+BUS!M151</f>
        <v>0</v>
      </c>
      <c r="F48" s="223">
        <f>+BUS!N151+BUS!O151+BUS!P151</f>
        <v>0</v>
      </c>
      <c r="G48" s="223">
        <f>+BUS!Q151+BUS!R151+BUS!S151</f>
        <v>0</v>
      </c>
      <c r="H48" s="223">
        <f>+BUS!T151+BUS!U151+BUS!V151</f>
        <v>0</v>
      </c>
      <c r="I48" s="223">
        <f>+BUS!W151+BUS!X151+BUS!Y151</f>
        <v>0</v>
      </c>
      <c r="J48" s="223">
        <f>+BUS!Z151+BUS!AA151+BUS!AB151</f>
        <v>0</v>
      </c>
      <c r="K48" s="223">
        <f>+BUS!AC151+BUS!AD151+BUS!AE151</f>
        <v>0</v>
      </c>
      <c r="L48" s="223">
        <f>+BUS!AF151+BUS!AG151+BUS!AH151</f>
        <v>0</v>
      </c>
      <c r="M48" s="223">
        <f>+BUS!AI151+BUS!AJ151+BUS!AK151</f>
        <v>0</v>
      </c>
      <c r="N48" s="223">
        <f>+BUS!AL151+BUS!AM151+BUS!AN151</f>
        <v>0</v>
      </c>
      <c r="O48" s="223">
        <f>+BUS!AO151+BUS!AP151+BUS!AQ151</f>
        <v>0</v>
      </c>
      <c r="P48" s="223">
        <f>+BUS!AR151+BUS!AS151+BUS!AT151</f>
        <v>0</v>
      </c>
      <c r="Q48" s="223">
        <f>+BUS!AU151+BUS!AV151+BUS!AW151</f>
        <v>0</v>
      </c>
      <c r="R48" s="223">
        <f>+BUS!AX151+BUS!AY151+BUS!AZ151</f>
        <v>0</v>
      </c>
      <c r="S48" s="223">
        <f>+BUS!BA151+BUS!BB151+BUS!BC151</f>
        <v>0</v>
      </c>
      <c r="T48" s="223">
        <f>+BUS!BD151+BUS!BE151+BUS!BF151</f>
        <v>0</v>
      </c>
      <c r="U48" s="223">
        <f>+BUS!BG151+BUS!BH151+BUS!BI151</f>
        <v>0</v>
      </c>
      <c r="V48" s="223">
        <f>+BUS!BJ151+BUS!BK151+BUS!BL151</f>
        <v>0</v>
      </c>
      <c r="W48" s="223">
        <f>+BUS!BM151+BUS!BN151+BUS!BO151</f>
        <v>0</v>
      </c>
      <c r="X48" s="223">
        <f>+BUS!BP151+BUS!BQ151+BUS!BR151</f>
        <v>0</v>
      </c>
      <c r="Y48" s="223">
        <f>+BUS!BS151+BUS!BT151+BUS!BU151</f>
        <v>0</v>
      </c>
      <c r="Z48" s="223">
        <f>+BUS!BV151+BUS!BW151+BUS!BX151</f>
        <v>0</v>
      </c>
      <c r="AA48" s="223">
        <f>+BUS!BY151+BUS!BZ151+BUS!CA151</f>
        <v>0</v>
      </c>
      <c r="AB48" s="223">
        <f>+BUS!CB151+BUS!CC151+BUS!CD151</f>
        <v>0</v>
      </c>
      <c r="AC48" s="223">
        <f>+BUS!CE151+BUS!CF151+BUS!CG151</f>
        <v>0</v>
      </c>
      <c r="AD48" s="223">
        <f>+BUS!CH151+BUS!CI151+BUS!CJ151</f>
        <v>0</v>
      </c>
      <c r="AE48" s="225">
        <f>+BUS!CK151+BUS!CL151+BUS!CM151</f>
        <v>0</v>
      </c>
      <c r="AF48" s="225">
        <f>+BUS!CN151+BUS!CO151+BUS!CP151</f>
        <v>0</v>
      </c>
      <c r="AG48" s="225">
        <f>+BUS!CQ151+BUS!CR151+BUS!CS151</f>
        <v>0</v>
      </c>
      <c r="AH48" s="225">
        <f>+BUS!CT151+BUS!CU151+BUS!CV151</f>
        <v>0</v>
      </c>
      <c r="AI48" s="225">
        <f>+BUS!CW151+BUS!CX151+BUS!CY151</f>
        <v>0</v>
      </c>
      <c r="AJ48" s="225">
        <f>+BUS!CZ151+BUS!DA151+BUS!DB151</f>
        <v>0</v>
      </c>
      <c r="AK48" s="228">
        <f>SUM(B48:AJ48)</f>
        <v>0</v>
      </c>
    </row>
    <row r="49" spans="1:38" ht="18.75" customHeight="1">
      <c r="A49" s="154">
        <v>2</v>
      </c>
      <c r="B49" s="222">
        <f>+BUS!B152+BUS!C152+BUS!D152</f>
        <v>0</v>
      </c>
      <c r="C49" s="223">
        <f>+BUS!E152+BUS!F152+BUS!G152</f>
        <v>0</v>
      </c>
      <c r="D49" s="223">
        <f>+BUS!H152+BUS!I152+BUS!J152</f>
        <v>0</v>
      </c>
      <c r="E49" s="223">
        <f>+BUS!K152+BUS!L152+BUS!M152</f>
        <v>0</v>
      </c>
      <c r="F49" s="223">
        <f>+BUS!N152+BUS!O152+BUS!P152</f>
        <v>0</v>
      </c>
      <c r="G49" s="223">
        <f>+BUS!Q152+BUS!R152+BUS!S152</f>
        <v>0</v>
      </c>
      <c r="H49" s="223">
        <f>+BUS!T152+BUS!U152+BUS!V152</f>
        <v>0</v>
      </c>
      <c r="I49" s="223">
        <f>+BUS!W152+BUS!X152+BUS!Y152</f>
        <v>0</v>
      </c>
      <c r="J49" s="223">
        <f>+BUS!Z152+BUS!AA152+BUS!AB152</f>
        <v>0</v>
      </c>
      <c r="K49" s="223">
        <f>+BUS!AC152+BUS!AD152+BUS!AE152</f>
        <v>0</v>
      </c>
      <c r="L49" s="223">
        <f>+BUS!AF152+BUS!AG152+BUS!AH152</f>
        <v>0</v>
      </c>
      <c r="M49" s="223">
        <f>+BUS!AI152+BUS!AJ152+BUS!AK152</f>
        <v>0</v>
      </c>
      <c r="N49" s="223">
        <f>+BUS!AL152+BUS!AM152+BUS!AN152</f>
        <v>0</v>
      </c>
      <c r="O49" s="223">
        <f>+BUS!AO152+BUS!AP152+BUS!AQ152</f>
        <v>0</v>
      </c>
      <c r="P49" s="223">
        <f>+BUS!AR152+BUS!AS152+BUS!AT152</f>
        <v>0</v>
      </c>
      <c r="Q49" s="223">
        <f>+BUS!AU152+BUS!AV152+BUS!AW152</f>
        <v>0</v>
      </c>
      <c r="R49" s="223">
        <f>+BUS!AX152+BUS!AY152+BUS!AZ152</f>
        <v>0</v>
      </c>
      <c r="S49" s="223">
        <f>+BUS!BA152+BUS!BB152+BUS!BC152</f>
        <v>0</v>
      </c>
      <c r="T49" s="223">
        <f>+BUS!BD152+BUS!BE152+BUS!BF152</f>
        <v>0</v>
      </c>
      <c r="U49" s="223">
        <f>+BUS!BG152+BUS!BH152+BUS!BI152</f>
        <v>0</v>
      </c>
      <c r="V49" s="223">
        <f>+BUS!BJ152+BUS!BK152+BUS!BL152</f>
        <v>0</v>
      </c>
      <c r="W49" s="223">
        <f>+BUS!BM152+BUS!BN152+BUS!BO152</f>
        <v>0</v>
      </c>
      <c r="X49" s="223">
        <f>+BUS!BP152+BUS!BQ152+BUS!BR152</f>
        <v>0</v>
      </c>
      <c r="Y49" s="223">
        <f>+BUS!BS152+BUS!BT152+BUS!BU152</f>
        <v>0</v>
      </c>
      <c r="Z49" s="223">
        <f>+BUS!BV152+BUS!BW152+BUS!BX152</f>
        <v>0</v>
      </c>
      <c r="AA49" s="223">
        <f>+BUS!BY152+BUS!BZ152+BUS!CA152</f>
        <v>0</v>
      </c>
      <c r="AB49" s="223">
        <f>+BUS!CB152+BUS!CC152+BUS!CD152</f>
        <v>0</v>
      </c>
      <c r="AC49" s="223">
        <f>+BUS!CE152+BUS!CF152+BUS!CG152</f>
        <v>0</v>
      </c>
      <c r="AD49" s="223">
        <f>+BUS!CH152+BUS!CI152+BUS!CJ152</f>
        <v>0</v>
      </c>
      <c r="AE49" s="225">
        <f>+BUS!CK152+BUS!CL152+BUS!CM152</f>
        <v>0</v>
      </c>
      <c r="AF49" s="225">
        <f>+BUS!CN152+BUS!CO152+BUS!CP152</f>
        <v>0</v>
      </c>
      <c r="AG49" s="225">
        <f>+BUS!CQ152+BUS!CR152+BUS!CS152</f>
        <v>0</v>
      </c>
      <c r="AH49" s="225">
        <f>+BUS!CT152+BUS!CU152+BUS!CV152</f>
        <v>0</v>
      </c>
      <c r="AI49" s="225">
        <f>+BUS!CW152+BUS!CX152+BUS!CY152</f>
        <v>0</v>
      </c>
      <c r="AJ49" s="225">
        <f>+BUS!CZ152+BUS!DA152+BUS!DB152</f>
        <v>0</v>
      </c>
      <c r="AK49" s="228">
        <f t="shared" ref="AK49:AK78" si="2">SUM(B49:AJ49)</f>
        <v>0</v>
      </c>
      <c r="AL49" s="229"/>
    </row>
    <row r="50" spans="1:38" ht="20.25" customHeight="1">
      <c r="A50" s="154">
        <v>3</v>
      </c>
      <c r="B50" s="222">
        <f>+BUS!B153+BUS!C153+BUS!D153</f>
        <v>0</v>
      </c>
      <c r="C50" s="223">
        <f>+BUS!E153+BUS!F153+BUS!G153</f>
        <v>0</v>
      </c>
      <c r="D50" s="223">
        <f>+BUS!H153+BUS!I153+BUS!J153</f>
        <v>0</v>
      </c>
      <c r="E50" s="223">
        <f>+BUS!K153+BUS!L153+BUS!M153</f>
        <v>0</v>
      </c>
      <c r="F50" s="223">
        <f>+BUS!N153+BUS!O153+BUS!P153</f>
        <v>0</v>
      </c>
      <c r="G50" s="223">
        <f>+BUS!Q153+BUS!R153+BUS!S153</f>
        <v>0</v>
      </c>
      <c r="H50" s="223">
        <f>+BUS!T153+BUS!U153+BUS!V153</f>
        <v>0</v>
      </c>
      <c r="I50" s="223">
        <f>+BUS!W153+BUS!X153+BUS!Y153</f>
        <v>0</v>
      </c>
      <c r="J50" s="223">
        <f>+BUS!Z153+BUS!AA153+BUS!AB153</f>
        <v>0</v>
      </c>
      <c r="K50" s="223">
        <f>+BUS!AC153+BUS!AD153+BUS!AE153</f>
        <v>0</v>
      </c>
      <c r="L50" s="223">
        <f>+BUS!AF153+BUS!AG153+BUS!AH153</f>
        <v>0</v>
      </c>
      <c r="M50" s="223">
        <f>+BUS!AI153+BUS!AJ153+BUS!AK153</f>
        <v>0</v>
      </c>
      <c r="N50" s="223">
        <f>+BUS!AL153+BUS!AM153+BUS!AN153</f>
        <v>0</v>
      </c>
      <c r="O50" s="223">
        <f>+BUS!AO153+BUS!AP153+BUS!AQ153</f>
        <v>0</v>
      </c>
      <c r="P50" s="223">
        <f>+BUS!AR153+BUS!AS153+BUS!AT153</f>
        <v>0</v>
      </c>
      <c r="Q50" s="223">
        <f>+BUS!AU153+BUS!AV153+BUS!AW153</f>
        <v>0</v>
      </c>
      <c r="R50" s="223">
        <f>+BUS!AX153+BUS!AY153+BUS!AZ153</f>
        <v>0</v>
      </c>
      <c r="S50" s="223">
        <f>+BUS!BA153+BUS!BB153+BUS!BC153</f>
        <v>0</v>
      </c>
      <c r="T50" s="223">
        <f>+BUS!BD153+BUS!BE153+BUS!BF153</f>
        <v>0</v>
      </c>
      <c r="U50" s="223">
        <f>+BUS!BG153+BUS!BH153+BUS!BI153</f>
        <v>0</v>
      </c>
      <c r="V50" s="223">
        <f>+BUS!BJ153+BUS!BK153+BUS!BL153</f>
        <v>0</v>
      </c>
      <c r="W50" s="223">
        <f>+BUS!BM153+BUS!BN153+BUS!BO153</f>
        <v>0</v>
      </c>
      <c r="X50" s="223">
        <f>+BUS!BP153+BUS!BQ153+BUS!BR153</f>
        <v>0</v>
      </c>
      <c r="Y50" s="223">
        <f>+BUS!BS153+BUS!BT153+BUS!BU153</f>
        <v>0</v>
      </c>
      <c r="Z50" s="223">
        <f>+BUS!BV153+BUS!BW153+BUS!BX153</f>
        <v>0</v>
      </c>
      <c r="AA50" s="223">
        <f>+BUS!BY153+BUS!BZ153+BUS!CA153</f>
        <v>0</v>
      </c>
      <c r="AB50" s="223">
        <f>+BUS!CB153+BUS!CC153+BUS!CD153</f>
        <v>0</v>
      </c>
      <c r="AC50" s="223">
        <f>+BUS!CE153+BUS!CF153+BUS!CG153</f>
        <v>0</v>
      </c>
      <c r="AD50" s="223">
        <f>+BUS!CH153+BUS!CI153+BUS!CJ153</f>
        <v>0</v>
      </c>
      <c r="AE50" s="225">
        <f>+BUS!CK153+BUS!CL153+BUS!CM153</f>
        <v>0</v>
      </c>
      <c r="AF50" s="225">
        <f>+BUS!CN153+BUS!CO153+BUS!CP153</f>
        <v>0</v>
      </c>
      <c r="AG50" s="225">
        <f>+BUS!CQ153+BUS!CR153+BUS!CS153</f>
        <v>0</v>
      </c>
      <c r="AH50" s="225">
        <f>+BUS!CT153+BUS!CU153+BUS!CV153</f>
        <v>0</v>
      </c>
      <c r="AI50" s="225">
        <f>+BUS!CW153+BUS!CX153+BUS!CY153</f>
        <v>0</v>
      </c>
      <c r="AJ50" s="225">
        <f>+BUS!CZ153+BUS!DA153+BUS!DB153</f>
        <v>0</v>
      </c>
      <c r="AK50" s="228">
        <f t="shared" si="2"/>
        <v>0</v>
      </c>
      <c r="AL50" s="229"/>
    </row>
    <row r="51" spans="1:38" ht="18.75" customHeight="1">
      <c r="A51" s="154">
        <v>4</v>
      </c>
      <c r="B51" s="222">
        <f>+BUS!B154+BUS!C154+BUS!D154</f>
        <v>0</v>
      </c>
      <c r="C51" s="223">
        <f>+BUS!E154+BUS!F154+BUS!G154</f>
        <v>0</v>
      </c>
      <c r="D51" s="223">
        <f>+BUS!H154+BUS!I154+BUS!J154</f>
        <v>0</v>
      </c>
      <c r="E51" s="223">
        <f>+BUS!K154+BUS!L154+BUS!M154</f>
        <v>0</v>
      </c>
      <c r="F51" s="223">
        <f>+BUS!N154+BUS!O154+BUS!P154</f>
        <v>0</v>
      </c>
      <c r="G51" s="223">
        <f>+BUS!Q154+BUS!R154+BUS!S154</f>
        <v>0</v>
      </c>
      <c r="H51" s="223">
        <f>+BUS!T154+BUS!U154+BUS!V154</f>
        <v>0</v>
      </c>
      <c r="I51" s="223">
        <f>+BUS!W154+BUS!X154+BUS!Y154</f>
        <v>0</v>
      </c>
      <c r="J51" s="223">
        <f>+BUS!Z154+BUS!AA154+BUS!AB154</f>
        <v>0</v>
      </c>
      <c r="K51" s="223">
        <f>+BUS!AC154+BUS!AD154+BUS!AE154</f>
        <v>0</v>
      </c>
      <c r="L51" s="223">
        <f>+BUS!AF154+BUS!AG154+BUS!AH154</f>
        <v>0</v>
      </c>
      <c r="M51" s="223">
        <f>+BUS!AI154+BUS!AJ154+BUS!AK154</f>
        <v>0</v>
      </c>
      <c r="N51" s="223">
        <f>+BUS!AL154+BUS!AM154+BUS!AN154</f>
        <v>0</v>
      </c>
      <c r="O51" s="223">
        <f>+BUS!AO154+BUS!AP154+BUS!AQ154</f>
        <v>0</v>
      </c>
      <c r="P51" s="223">
        <f>+BUS!AR154+BUS!AS154+BUS!AT154</f>
        <v>0</v>
      </c>
      <c r="Q51" s="223">
        <f>+BUS!AU154+BUS!AV154+BUS!AW154</f>
        <v>0</v>
      </c>
      <c r="R51" s="223">
        <f>+BUS!AX154+BUS!AY154+BUS!AZ154</f>
        <v>0</v>
      </c>
      <c r="S51" s="223">
        <f>+BUS!BA154+BUS!BB154+BUS!BC154</f>
        <v>0</v>
      </c>
      <c r="T51" s="223">
        <f>+BUS!BD154+BUS!BE154+BUS!BF154</f>
        <v>0</v>
      </c>
      <c r="U51" s="223">
        <f>+BUS!BG154+BUS!BH154+BUS!BI154</f>
        <v>0</v>
      </c>
      <c r="V51" s="223">
        <f>+BUS!BJ154+BUS!BK154+BUS!BL154</f>
        <v>0</v>
      </c>
      <c r="W51" s="223">
        <f>+BUS!BM154+BUS!BN154+BUS!BO154</f>
        <v>0</v>
      </c>
      <c r="X51" s="223">
        <f>+BUS!BP154+BUS!BQ154+BUS!BR154</f>
        <v>0</v>
      </c>
      <c r="Y51" s="223">
        <f>+BUS!BS154+BUS!BT154+BUS!BU154</f>
        <v>0</v>
      </c>
      <c r="Z51" s="223">
        <f>+BUS!BV154+BUS!BW154+BUS!BX154</f>
        <v>0</v>
      </c>
      <c r="AA51" s="223">
        <f>+BUS!BY154+BUS!BZ154+BUS!CA154</f>
        <v>0</v>
      </c>
      <c r="AB51" s="223">
        <f>+BUS!CB154+BUS!CC154+BUS!CD154</f>
        <v>0</v>
      </c>
      <c r="AC51" s="223">
        <f>+BUS!CE154+BUS!CF154+BUS!CG154</f>
        <v>0</v>
      </c>
      <c r="AD51" s="223">
        <f>+BUS!CH154+BUS!CI154+BUS!CJ154</f>
        <v>0</v>
      </c>
      <c r="AE51" s="225">
        <f>+BUS!CK154+BUS!CL154+BUS!CM154</f>
        <v>0</v>
      </c>
      <c r="AF51" s="225">
        <f>+BUS!CN154+BUS!CO154+BUS!CP154</f>
        <v>0</v>
      </c>
      <c r="AG51" s="225">
        <f>+BUS!CQ154+BUS!CR154+BUS!CS154</f>
        <v>0</v>
      </c>
      <c r="AH51" s="225">
        <f>+BUS!CT154+BUS!CU154+BUS!CV154</f>
        <v>0</v>
      </c>
      <c r="AI51" s="225">
        <f>+BUS!CW154+BUS!CX154+BUS!CY154</f>
        <v>0</v>
      </c>
      <c r="AJ51" s="225">
        <f>+BUS!CZ154+BUS!DA154+BUS!DB154</f>
        <v>0</v>
      </c>
      <c r="AK51" s="228">
        <f t="shared" si="2"/>
        <v>0</v>
      </c>
      <c r="AL51" s="229"/>
    </row>
    <row r="52" spans="1:38" ht="18.75" customHeight="1">
      <c r="A52" s="154">
        <v>5</v>
      </c>
      <c r="B52" s="222">
        <f>+BUS!B155+BUS!C155+BUS!D155</f>
        <v>0</v>
      </c>
      <c r="C52" s="223">
        <f>+BUS!E155+BUS!F155+BUS!G155</f>
        <v>0</v>
      </c>
      <c r="D52" s="223">
        <f>+BUS!H155+BUS!I155+BUS!J155</f>
        <v>0</v>
      </c>
      <c r="E52" s="223">
        <f>+BUS!K155+BUS!L155+BUS!M155</f>
        <v>0</v>
      </c>
      <c r="F52" s="223">
        <f>+BUS!N155+BUS!O155+BUS!P155</f>
        <v>0</v>
      </c>
      <c r="G52" s="223">
        <f>+BUS!Q155+BUS!R155+BUS!S155</f>
        <v>0</v>
      </c>
      <c r="H52" s="223">
        <f>+BUS!T155+BUS!U155+BUS!V155</f>
        <v>0</v>
      </c>
      <c r="I52" s="223">
        <f>+BUS!W155+BUS!X155+BUS!Y155</f>
        <v>0</v>
      </c>
      <c r="J52" s="223">
        <f>+BUS!Z155+BUS!AA155+BUS!AB155</f>
        <v>0</v>
      </c>
      <c r="K52" s="223">
        <f>+BUS!AC155+BUS!AD155+BUS!AE155</f>
        <v>0</v>
      </c>
      <c r="L52" s="223">
        <f>+BUS!AF155+BUS!AG155+BUS!AH155</f>
        <v>0</v>
      </c>
      <c r="M52" s="223">
        <f>+BUS!AI155+BUS!AJ155+BUS!AK155</f>
        <v>0</v>
      </c>
      <c r="N52" s="223">
        <f>+BUS!AL155+BUS!AM155+BUS!AN155</f>
        <v>0</v>
      </c>
      <c r="O52" s="223">
        <f>+BUS!AO155+BUS!AP155+BUS!AQ155</f>
        <v>0</v>
      </c>
      <c r="P52" s="223">
        <f>+BUS!AR155+BUS!AS155+BUS!AT155</f>
        <v>0</v>
      </c>
      <c r="Q52" s="223">
        <f>+BUS!AU155+BUS!AV155+BUS!AW155</f>
        <v>0</v>
      </c>
      <c r="R52" s="223">
        <f>+BUS!AX155+BUS!AY155+BUS!AZ155</f>
        <v>0</v>
      </c>
      <c r="S52" s="223">
        <f>+BUS!BA155+BUS!BB155+BUS!BC155</f>
        <v>0</v>
      </c>
      <c r="T52" s="223">
        <f>+BUS!BD155+BUS!BE155+BUS!BF155</f>
        <v>0</v>
      </c>
      <c r="U52" s="223">
        <f>+BUS!BG155+BUS!BH155+BUS!BI155</f>
        <v>0</v>
      </c>
      <c r="V52" s="223">
        <f>+BUS!BJ155+BUS!BK155+BUS!BL155</f>
        <v>0</v>
      </c>
      <c r="W52" s="223">
        <f>+BUS!BM155+BUS!BN155+BUS!BO155</f>
        <v>0</v>
      </c>
      <c r="X52" s="223">
        <f>+BUS!BP155+BUS!BQ155+BUS!BR155</f>
        <v>0</v>
      </c>
      <c r="Y52" s="223">
        <f>+BUS!BS155+BUS!BT155+BUS!BU155</f>
        <v>0</v>
      </c>
      <c r="Z52" s="223">
        <f>+BUS!BV155+BUS!BW155+BUS!BX155</f>
        <v>0</v>
      </c>
      <c r="AA52" s="223">
        <f>+BUS!BY155+BUS!BZ155+BUS!CA155</f>
        <v>0</v>
      </c>
      <c r="AB52" s="223">
        <f>+BUS!CB155+BUS!CC155+BUS!CD155</f>
        <v>0</v>
      </c>
      <c r="AC52" s="223">
        <f>+BUS!CE155+BUS!CF155+BUS!CG155</f>
        <v>0</v>
      </c>
      <c r="AD52" s="223">
        <f>+BUS!CH155+BUS!CI155+BUS!CJ155</f>
        <v>0</v>
      </c>
      <c r="AE52" s="225">
        <f>+BUS!CK155+BUS!CL155+BUS!CM155</f>
        <v>0</v>
      </c>
      <c r="AF52" s="225">
        <f>+BUS!CN155+BUS!CO155+BUS!CP155</f>
        <v>0</v>
      </c>
      <c r="AG52" s="225">
        <f>+BUS!CQ155+BUS!CR155+BUS!CS155</f>
        <v>0</v>
      </c>
      <c r="AH52" s="225">
        <f>+BUS!CT155+BUS!CU155+BUS!CV155</f>
        <v>0</v>
      </c>
      <c r="AI52" s="225">
        <f>+BUS!CW155+BUS!CX155+BUS!CY155</f>
        <v>0</v>
      </c>
      <c r="AJ52" s="225">
        <f>+BUS!CZ155+BUS!DA155+BUS!DB155</f>
        <v>0</v>
      </c>
      <c r="AK52" s="228">
        <f t="shared" si="2"/>
        <v>0</v>
      </c>
    </row>
    <row r="53" spans="1:38" ht="19.5" customHeight="1">
      <c r="A53" s="154">
        <v>6</v>
      </c>
      <c r="B53" s="222">
        <f>+BUS!B156+BUS!C156+BUS!D156</f>
        <v>0</v>
      </c>
      <c r="C53" s="223">
        <f>+BUS!E156+BUS!F156+BUS!G156</f>
        <v>0</v>
      </c>
      <c r="D53" s="223">
        <f>+BUS!H156+BUS!I156+BUS!J156</f>
        <v>0</v>
      </c>
      <c r="E53" s="223">
        <f>+BUS!K156+BUS!L156+BUS!M156</f>
        <v>0</v>
      </c>
      <c r="F53" s="223">
        <f>+BUS!N156+BUS!O156+BUS!P156</f>
        <v>0</v>
      </c>
      <c r="G53" s="223">
        <f>+BUS!Q156+BUS!R156+BUS!S156</f>
        <v>0</v>
      </c>
      <c r="H53" s="223">
        <f>+BUS!T156+BUS!U156+BUS!V156</f>
        <v>0</v>
      </c>
      <c r="I53" s="223">
        <f>+BUS!W156+BUS!X156+BUS!Y156</f>
        <v>0</v>
      </c>
      <c r="J53" s="223">
        <f>+BUS!Z156+BUS!AA156+BUS!AB156</f>
        <v>0</v>
      </c>
      <c r="K53" s="223">
        <f>+BUS!AC156+BUS!AD156+BUS!AE156</f>
        <v>0</v>
      </c>
      <c r="L53" s="223">
        <f>+BUS!AF156+BUS!AG156+BUS!AH156</f>
        <v>0</v>
      </c>
      <c r="M53" s="223">
        <f>+BUS!AI156+BUS!AJ156+BUS!AK156</f>
        <v>0</v>
      </c>
      <c r="N53" s="223">
        <f>+BUS!AL156+BUS!AM156+BUS!AN156</f>
        <v>0</v>
      </c>
      <c r="O53" s="223">
        <f>+BUS!AO156+BUS!AP156+BUS!AQ156</f>
        <v>0</v>
      </c>
      <c r="P53" s="223">
        <f>+BUS!AR156+BUS!AS156+BUS!AT156</f>
        <v>0</v>
      </c>
      <c r="Q53" s="223">
        <f>+BUS!AU156+BUS!AV156+BUS!AW156</f>
        <v>0</v>
      </c>
      <c r="R53" s="223">
        <f>+BUS!AX156+BUS!AY156+BUS!AZ156</f>
        <v>0</v>
      </c>
      <c r="S53" s="223">
        <f>+BUS!BA156+BUS!BB156+BUS!BC156</f>
        <v>0</v>
      </c>
      <c r="T53" s="223">
        <f>+BUS!BD156+BUS!BE156+BUS!BF156</f>
        <v>0</v>
      </c>
      <c r="U53" s="223">
        <f>+BUS!BG156+BUS!BH156+BUS!BI156</f>
        <v>0</v>
      </c>
      <c r="V53" s="223">
        <f>+BUS!BJ156+BUS!BK156+BUS!BL156</f>
        <v>0</v>
      </c>
      <c r="W53" s="223">
        <f>+BUS!BM156+BUS!BN156+BUS!BO156</f>
        <v>0</v>
      </c>
      <c r="X53" s="223">
        <f>+BUS!BP156+BUS!BQ156+BUS!BR156</f>
        <v>0</v>
      </c>
      <c r="Y53" s="223">
        <f>+BUS!BS156+BUS!BT156+BUS!BU156</f>
        <v>0</v>
      </c>
      <c r="Z53" s="223">
        <f>+BUS!BV156+BUS!BW156+BUS!BX156</f>
        <v>0</v>
      </c>
      <c r="AA53" s="223">
        <f>+BUS!BY156+BUS!BZ156+BUS!CA156</f>
        <v>0</v>
      </c>
      <c r="AB53" s="223">
        <f>+BUS!CB156+BUS!CC156+BUS!CD156</f>
        <v>0</v>
      </c>
      <c r="AC53" s="223">
        <f>+BUS!CE156+BUS!CF156+BUS!CG156</f>
        <v>0</v>
      </c>
      <c r="AD53" s="223">
        <f>+BUS!CH156+BUS!CI156+BUS!CJ156</f>
        <v>0</v>
      </c>
      <c r="AE53" s="225">
        <f>+BUS!CK156+BUS!CL156+BUS!CM156</f>
        <v>0</v>
      </c>
      <c r="AF53" s="225">
        <f>+BUS!CN156+BUS!CO156+BUS!CP156</f>
        <v>0</v>
      </c>
      <c r="AG53" s="225">
        <f>+BUS!CQ156+BUS!CR156+BUS!CS156</f>
        <v>0</v>
      </c>
      <c r="AH53" s="225">
        <f>+BUS!CT156+BUS!CU156+BUS!CV156</f>
        <v>0</v>
      </c>
      <c r="AI53" s="225">
        <f>+BUS!CW156+BUS!CX156+BUS!CY156</f>
        <v>0</v>
      </c>
      <c r="AJ53" s="225">
        <f>+BUS!CZ156+BUS!DA156+BUS!DB156</f>
        <v>0</v>
      </c>
      <c r="AK53" s="228">
        <f t="shared" si="2"/>
        <v>0</v>
      </c>
    </row>
    <row r="54" spans="1:38" ht="18.75" customHeight="1">
      <c r="A54" s="154">
        <v>7</v>
      </c>
      <c r="B54" s="222">
        <f>+BUS!B157+BUS!C157+BUS!D157</f>
        <v>0</v>
      </c>
      <c r="C54" s="223">
        <f>+BUS!E157+BUS!F157+BUS!G157</f>
        <v>0</v>
      </c>
      <c r="D54" s="223">
        <f>+BUS!H157+BUS!I157+BUS!J157</f>
        <v>0</v>
      </c>
      <c r="E54" s="223">
        <f>+BUS!K157+BUS!L157+BUS!M157</f>
        <v>0</v>
      </c>
      <c r="F54" s="223">
        <f>+BUS!N157+BUS!O157+BUS!P157</f>
        <v>0</v>
      </c>
      <c r="G54" s="223">
        <f>+BUS!Q157+BUS!R157+BUS!S157</f>
        <v>0</v>
      </c>
      <c r="H54" s="223">
        <f>+BUS!T157+BUS!U157+BUS!V157</f>
        <v>0</v>
      </c>
      <c r="I54" s="223">
        <f>+BUS!W157+BUS!X157+BUS!Y157</f>
        <v>0</v>
      </c>
      <c r="J54" s="223">
        <f>+BUS!Z157+BUS!AA157+BUS!AB157</f>
        <v>0</v>
      </c>
      <c r="K54" s="223">
        <f>+BUS!AC157+BUS!AD157+BUS!AE157</f>
        <v>0</v>
      </c>
      <c r="L54" s="223">
        <f>+BUS!AF157+BUS!AG157+BUS!AH157</f>
        <v>0</v>
      </c>
      <c r="M54" s="223">
        <f>+BUS!AI157+BUS!AJ157+BUS!AK157</f>
        <v>0</v>
      </c>
      <c r="N54" s="223">
        <f>+BUS!AL157+BUS!AM157+BUS!AN157</f>
        <v>0</v>
      </c>
      <c r="O54" s="223">
        <f>+BUS!AO157+BUS!AP157+BUS!AQ157</f>
        <v>0</v>
      </c>
      <c r="P54" s="223">
        <f>+BUS!AR157+BUS!AS157+BUS!AT157</f>
        <v>0</v>
      </c>
      <c r="Q54" s="223">
        <f>+BUS!AU157+BUS!AV157+BUS!AW157</f>
        <v>0</v>
      </c>
      <c r="R54" s="223">
        <f>+BUS!AX157+BUS!AY157+BUS!AZ157</f>
        <v>0</v>
      </c>
      <c r="S54" s="223">
        <f>+BUS!BA157+BUS!BB157+BUS!BC157</f>
        <v>0</v>
      </c>
      <c r="T54" s="223">
        <f>+BUS!BD157+BUS!BE157+BUS!BF157</f>
        <v>0</v>
      </c>
      <c r="U54" s="223">
        <f>+BUS!BG157+BUS!BH157+BUS!BI157</f>
        <v>0</v>
      </c>
      <c r="V54" s="223">
        <f>+BUS!BJ157+BUS!BK157+BUS!BL157</f>
        <v>0</v>
      </c>
      <c r="W54" s="223">
        <f>+BUS!BM157+BUS!BN157+BUS!BO157</f>
        <v>0</v>
      </c>
      <c r="X54" s="223">
        <f>+BUS!BP157+BUS!BQ157+BUS!BR157</f>
        <v>0</v>
      </c>
      <c r="Y54" s="223">
        <f>+BUS!BS157+BUS!BT157+BUS!BU157</f>
        <v>0</v>
      </c>
      <c r="Z54" s="223">
        <f>+BUS!BV157+BUS!BW157+BUS!BX157</f>
        <v>0</v>
      </c>
      <c r="AA54" s="223">
        <f>+BUS!BY157+BUS!BZ157+BUS!CA157</f>
        <v>0</v>
      </c>
      <c r="AB54" s="223">
        <f>+BUS!CB157+BUS!CC157+BUS!CD157</f>
        <v>0</v>
      </c>
      <c r="AC54" s="223">
        <f>+BUS!CE157+BUS!CF157+BUS!CG157</f>
        <v>0</v>
      </c>
      <c r="AD54" s="223">
        <f>+BUS!CH157+BUS!CI157+BUS!CJ157</f>
        <v>0</v>
      </c>
      <c r="AE54" s="225">
        <f>+BUS!CK157+BUS!CL157+BUS!CM157</f>
        <v>0</v>
      </c>
      <c r="AF54" s="225">
        <f>+BUS!CN157+BUS!CO157+BUS!CP157</f>
        <v>0</v>
      </c>
      <c r="AG54" s="225">
        <f>+BUS!CQ157+BUS!CR157+BUS!CS157</f>
        <v>0</v>
      </c>
      <c r="AH54" s="225">
        <f>+BUS!CT157+BUS!CU157+BUS!CV157</f>
        <v>0</v>
      </c>
      <c r="AI54" s="225">
        <f>+BUS!CW157+BUS!CX157+BUS!CY157</f>
        <v>0</v>
      </c>
      <c r="AJ54" s="225">
        <f>+BUS!CZ157+BUS!DA157+BUS!DB157</f>
        <v>0</v>
      </c>
      <c r="AK54" s="228">
        <f t="shared" si="2"/>
        <v>0</v>
      </c>
    </row>
    <row r="55" spans="1:38" ht="21.75" customHeight="1">
      <c r="A55" s="154">
        <v>8</v>
      </c>
      <c r="B55" s="222">
        <f>+BUS!B158+BUS!C158+BUS!D158</f>
        <v>0</v>
      </c>
      <c r="C55" s="223">
        <f>+BUS!E158+BUS!F158+BUS!G158</f>
        <v>0</v>
      </c>
      <c r="D55" s="223">
        <f>+BUS!H158+BUS!I158+BUS!J158</f>
        <v>0</v>
      </c>
      <c r="E55" s="223">
        <f>+BUS!K158+BUS!L158+BUS!M158</f>
        <v>0</v>
      </c>
      <c r="F55" s="223">
        <f>+BUS!N158+BUS!O158+BUS!P158</f>
        <v>0</v>
      </c>
      <c r="G55" s="223">
        <f>+BUS!Q158+BUS!R158+BUS!S158</f>
        <v>0</v>
      </c>
      <c r="H55" s="223">
        <f>+BUS!T158+BUS!U158+BUS!V158</f>
        <v>0</v>
      </c>
      <c r="I55" s="223">
        <f>+BUS!W158+BUS!X158+BUS!Y158</f>
        <v>0</v>
      </c>
      <c r="J55" s="223">
        <f>+BUS!Z158+BUS!AA158+BUS!AB158</f>
        <v>0</v>
      </c>
      <c r="K55" s="223">
        <f>+BUS!AC158+BUS!AD158+BUS!AE158</f>
        <v>0</v>
      </c>
      <c r="L55" s="223">
        <f>+BUS!AF158+BUS!AG158+BUS!AH158</f>
        <v>0</v>
      </c>
      <c r="M55" s="223">
        <f>+BUS!AI158+BUS!AJ158+BUS!AK158</f>
        <v>0</v>
      </c>
      <c r="N55" s="223">
        <f>+BUS!AL158+BUS!AM158+BUS!AN158</f>
        <v>0</v>
      </c>
      <c r="O55" s="223">
        <f>+BUS!AO158+BUS!AP158+BUS!AQ158</f>
        <v>0</v>
      </c>
      <c r="P55" s="223">
        <f>+BUS!AR158+BUS!AS158+BUS!AT158</f>
        <v>0</v>
      </c>
      <c r="Q55" s="223">
        <f>+BUS!AU158+BUS!AV158+BUS!AW158</f>
        <v>0</v>
      </c>
      <c r="R55" s="223">
        <f>+BUS!AX158+BUS!AY158+BUS!AZ158</f>
        <v>0</v>
      </c>
      <c r="S55" s="223">
        <f>+BUS!BA158+BUS!BB158+BUS!BC158</f>
        <v>0</v>
      </c>
      <c r="T55" s="223">
        <f>+BUS!BD158+BUS!BE158+BUS!BF158</f>
        <v>0</v>
      </c>
      <c r="U55" s="223">
        <f>+BUS!BG158+BUS!BH158+BUS!BI158</f>
        <v>0</v>
      </c>
      <c r="V55" s="223">
        <f>+BUS!BJ158+BUS!BK158+BUS!BL158</f>
        <v>0</v>
      </c>
      <c r="W55" s="223">
        <f>+BUS!BM158+BUS!BN158+BUS!BO158</f>
        <v>0</v>
      </c>
      <c r="X55" s="223">
        <f>+BUS!BP158+BUS!BQ158+BUS!BR158</f>
        <v>0</v>
      </c>
      <c r="Y55" s="223">
        <f>+BUS!BS158+BUS!BT158+BUS!BU158</f>
        <v>0</v>
      </c>
      <c r="Z55" s="223">
        <f>+BUS!BV158+BUS!BW158+BUS!BX158</f>
        <v>0</v>
      </c>
      <c r="AA55" s="223">
        <f>+BUS!BY158+BUS!BZ158+BUS!CA158</f>
        <v>0</v>
      </c>
      <c r="AB55" s="223">
        <f>+BUS!CB158+BUS!CC158+BUS!CD158</f>
        <v>0</v>
      </c>
      <c r="AC55" s="223">
        <f>+BUS!CE158+BUS!CF158+BUS!CG158</f>
        <v>0</v>
      </c>
      <c r="AD55" s="223">
        <f>+BUS!CH158+BUS!CI158+BUS!CJ158</f>
        <v>0</v>
      </c>
      <c r="AE55" s="225">
        <f>+BUS!CK158+BUS!CL158+BUS!CM158</f>
        <v>0</v>
      </c>
      <c r="AF55" s="225">
        <f>+BUS!CN158+BUS!CO158+BUS!CP158</f>
        <v>0</v>
      </c>
      <c r="AG55" s="225">
        <f>+BUS!CQ158+BUS!CR158+BUS!CS158</f>
        <v>0</v>
      </c>
      <c r="AH55" s="225">
        <f>+BUS!CT158+BUS!CU158+BUS!CV158</f>
        <v>0</v>
      </c>
      <c r="AI55" s="225">
        <f>+BUS!CW158+BUS!CX158+BUS!CY158</f>
        <v>0</v>
      </c>
      <c r="AJ55" s="225">
        <f>+BUS!CZ158+BUS!DA158+BUS!DB158</f>
        <v>0</v>
      </c>
      <c r="AK55" s="228">
        <f t="shared" si="2"/>
        <v>0</v>
      </c>
    </row>
    <row r="56" spans="1:38" ht="21.75" customHeight="1">
      <c r="A56" s="154">
        <v>9</v>
      </c>
      <c r="B56" s="222">
        <f>+BUS!B159+BUS!C159+BUS!D159</f>
        <v>0</v>
      </c>
      <c r="C56" s="223">
        <f>+BUS!E159+BUS!F159+BUS!G159</f>
        <v>0</v>
      </c>
      <c r="D56" s="223">
        <f>+BUS!H159+BUS!I159+BUS!J159</f>
        <v>0</v>
      </c>
      <c r="E56" s="223">
        <f>+BUS!K159+BUS!L159+BUS!M159</f>
        <v>0</v>
      </c>
      <c r="F56" s="223">
        <f>+BUS!N159+BUS!O159+BUS!P159</f>
        <v>0</v>
      </c>
      <c r="G56" s="223">
        <f>+BUS!Q159+BUS!R159+BUS!S159</f>
        <v>0</v>
      </c>
      <c r="H56" s="223">
        <f>+BUS!T159+BUS!U159+BUS!V159</f>
        <v>0</v>
      </c>
      <c r="I56" s="223">
        <f>+BUS!W159+BUS!X159+BUS!Y159</f>
        <v>0</v>
      </c>
      <c r="J56" s="223">
        <f>+BUS!Z159+BUS!AA159+BUS!AB159</f>
        <v>0</v>
      </c>
      <c r="K56" s="223">
        <f>+BUS!AC159+BUS!AD159+BUS!AE159</f>
        <v>0</v>
      </c>
      <c r="L56" s="223">
        <f>+BUS!AF159+BUS!AG159+BUS!AH159</f>
        <v>0</v>
      </c>
      <c r="M56" s="223">
        <f>+BUS!AI159+BUS!AJ159+BUS!AK159</f>
        <v>0</v>
      </c>
      <c r="N56" s="223">
        <f>+BUS!AL159+BUS!AM159+BUS!AN159</f>
        <v>0</v>
      </c>
      <c r="O56" s="223">
        <f>+BUS!AO159+BUS!AP159+BUS!AQ159</f>
        <v>0</v>
      </c>
      <c r="P56" s="223">
        <f>+BUS!AR159+BUS!AS159+BUS!AT159</f>
        <v>0</v>
      </c>
      <c r="Q56" s="223">
        <f>+BUS!AU159+BUS!AV159+BUS!AW159</f>
        <v>0</v>
      </c>
      <c r="R56" s="223">
        <f>+BUS!AX159+BUS!AY159+BUS!AZ159</f>
        <v>0</v>
      </c>
      <c r="S56" s="223">
        <f>+BUS!BA159+BUS!BB159+BUS!BC159</f>
        <v>0</v>
      </c>
      <c r="T56" s="223">
        <f>+BUS!BD159+BUS!BE159+BUS!BF159</f>
        <v>0</v>
      </c>
      <c r="U56" s="223">
        <f>+BUS!BG159+BUS!BH159+BUS!BI159</f>
        <v>0</v>
      </c>
      <c r="V56" s="223">
        <f>+BUS!BJ159+BUS!BK159+BUS!BL159</f>
        <v>0</v>
      </c>
      <c r="W56" s="223">
        <f>+BUS!BM159+BUS!BN159+BUS!BO159</f>
        <v>0</v>
      </c>
      <c r="X56" s="223">
        <f>+BUS!BP159+BUS!BQ159+BUS!BR159</f>
        <v>0</v>
      </c>
      <c r="Y56" s="223">
        <f>+BUS!BS159+BUS!BT159+BUS!BU159</f>
        <v>0</v>
      </c>
      <c r="Z56" s="223">
        <f>+BUS!BV159+BUS!BW159+BUS!BX159</f>
        <v>0</v>
      </c>
      <c r="AA56" s="223">
        <f>+BUS!BY159+BUS!BZ159+BUS!CA159</f>
        <v>0</v>
      </c>
      <c r="AB56" s="223">
        <f>+BUS!CB159+BUS!CC159+BUS!CD159</f>
        <v>0</v>
      </c>
      <c r="AC56" s="223">
        <f>+BUS!CE159+BUS!CF159+BUS!CG159</f>
        <v>0</v>
      </c>
      <c r="AD56" s="223">
        <f>+BUS!CH159+BUS!CI159+BUS!CJ159</f>
        <v>0</v>
      </c>
      <c r="AE56" s="225">
        <f>+BUS!CK159+BUS!CL159+BUS!CM159</f>
        <v>0</v>
      </c>
      <c r="AF56" s="225">
        <f>+BUS!CN159+BUS!CO159+BUS!CP159</f>
        <v>0</v>
      </c>
      <c r="AG56" s="225">
        <f>+BUS!CQ159+BUS!CR159+BUS!CS159</f>
        <v>0</v>
      </c>
      <c r="AH56" s="225">
        <f>+BUS!CT159+BUS!CU159+BUS!CV159</f>
        <v>0</v>
      </c>
      <c r="AI56" s="225">
        <f>+BUS!CW159+BUS!CX159+BUS!CY159</f>
        <v>0</v>
      </c>
      <c r="AJ56" s="225">
        <f>+BUS!CZ159+BUS!DA159+BUS!DB159</f>
        <v>0</v>
      </c>
      <c r="AK56" s="228">
        <f t="shared" si="2"/>
        <v>0</v>
      </c>
    </row>
    <row r="57" spans="1:38" ht="24" customHeight="1">
      <c r="A57" s="154">
        <v>10</v>
      </c>
      <c r="B57" s="222">
        <f>+BUS!B160+BUS!C160+BUS!D160</f>
        <v>0</v>
      </c>
      <c r="C57" s="223">
        <f>+BUS!E160+BUS!F160+BUS!G160</f>
        <v>0</v>
      </c>
      <c r="D57" s="223">
        <f>+BUS!H160+BUS!I160+BUS!J160</f>
        <v>0</v>
      </c>
      <c r="E57" s="223">
        <f>+BUS!K160+BUS!L160+BUS!M160</f>
        <v>0</v>
      </c>
      <c r="F57" s="223">
        <f>+BUS!N160+BUS!O160+BUS!P160</f>
        <v>0</v>
      </c>
      <c r="G57" s="223">
        <f>+BUS!Q160+BUS!R160+BUS!S160</f>
        <v>0</v>
      </c>
      <c r="H57" s="223">
        <f>+BUS!T160+BUS!U160+BUS!V160</f>
        <v>0</v>
      </c>
      <c r="I57" s="223">
        <f>+BUS!W160+BUS!X160+BUS!Y160</f>
        <v>0</v>
      </c>
      <c r="J57" s="223">
        <f>+BUS!Z160+BUS!AA160+BUS!AB160</f>
        <v>0</v>
      </c>
      <c r="K57" s="223">
        <f>+BUS!AC160+BUS!AD160+BUS!AE160</f>
        <v>0</v>
      </c>
      <c r="L57" s="223">
        <f>+BUS!AF160+BUS!AG160+BUS!AH160</f>
        <v>0</v>
      </c>
      <c r="M57" s="223">
        <f>+BUS!AI160+BUS!AJ160+BUS!AK160</f>
        <v>0</v>
      </c>
      <c r="N57" s="223">
        <f>+BUS!AL160+BUS!AM160+BUS!AN160</f>
        <v>0</v>
      </c>
      <c r="O57" s="223">
        <f>+BUS!AO160+BUS!AP160+BUS!AQ160</f>
        <v>0</v>
      </c>
      <c r="P57" s="223">
        <f>+BUS!AR160+BUS!AS160+BUS!AT160</f>
        <v>0</v>
      </c>
      <c r="Q57" s="223">
        <f>+BUS!AU160+BUS!AV160+BUS!AW160</f>
        <v>0</v>
      </c>
      <c r="R57" s="223">
        <f>+BUS!AX160+BUS!AY160+BUS!AZ160</f>
        <v>0</v>
      </c>
      <c r="S57" s="223">
        <f>+BUS!BA160+BUS!BB160+BUS!BC160</f>
        <v>0</v>
      </c>
      <c r="T57" s="223">
        <f>+BUS!BD160+BUS!BE160+BUS!BF160</f>
        <v>0</v>
      </c>
      <c r="U57" s="223">
        <f>+BUS!BG160+BUS!BH160+BUS!BI160</f>
        <v>0</v>
      </c>
      <c r="V57" s="223">
        <f>+BUS!BJ160+BUS!BK160+BUS!BL160</f>
        <v>0</v>
      </c>
      <c r="W57" s="223">
        <f>+BUS!BM160+BUS!BN160+BUS!BO160</f>
        <v>0</v>
      </c>
      <c r="X57" s="223">
        <f>+BUS!BP160+BUS!BQ160+BUS!BR160</f>
        <v>0</v>
      </c>
      <c r="Y57" s="223">
        <f>+BUS!BS160+BUS!BT160+BUS!BU160</f>
        <v>0</v>
      </c>
      <c r="Z57" s="223">
        <f>+BUS!BV160+BUS!BW160+BUS!BX160</f>
        <v>0</v>
      </c>
      <c r="AA57" s="223">
        <f>+BUS!BY160+BUS!BZ160+BUS!CA160</f>
        <v>0</v>
      </c>
      <c r="AB57" s="223">
        <f>+BUS!CB160+BUS!CC160+BUS!CD160</f>
        <v>0</v>
      </c>
      <c r="AC57" s="223">
        <f>+BUS!CE160+BUS!CF160+BUS!CG160</f>
        <v>0</v>
      </c>
      <c r="AD57" s="223">
        <f>+BUS!CH160+BUS!CI160+BUS!CJ160</f>
        <v>0</v>
      </c>
      <c r="AE57" s="225">
        <f>+BUS!CK160+BUS!CL160+BUS!CM160</f>
        <v>0</v>
      </c>
      <c r="AF57" s="225">
        <f>+BUS!CN160+BUS!CO160+BUS!CP160</f>
        <v>0</v>
      </c>
      <c r="AG57" s="225">
        <f>+BUS!CQ160+BUS!CR160+BUS!CS160</f>
        <v>0</v>
      </c>
      <c r="AH57" s="225">
        <f>+BUS!CT160+BUS!CU160+BUS!CV160</f>
        <v>0</v>
      </c>
      <c r="AI57" s="225">
        <f>+BUS!CW160+BUS!CX160+BUS!CY160</f>
        <v>0</v>
      </c>
      <c r="AJ57" s="225">
        <f>+BUS!CZ160+BUS!DA160+BUS!DB160</f>
        <v>0</v>
      </c>
      <c r="AK57" s="228">
        <f t="shared" si="2"/>
        <v>0</v>
      </c>
    </row>
    <row r="58" spans="1:38" ht="24.75" customHeight="1">
      <c r="A58" s="154">
        <v>11</v>
      </c>
      <c r="B58" s="222">
        <f>+BUS!B161+BUS!C161+BUS!D161</f>
        <v>0</v>
      </c>
      <c r="C58" s="223">
        <f>+BUS!E161+BUS!F161+BUS!G161</f>
        <v>0</v>
      </c>
      <c r="D58" s="223">
        <f>+BUS!H161+BUS!I161+BUS!J161</f>
        <v>0</v>
      </c>
      <c r="E58" s="223">
        <f>+BUS!K161+BUS!L161+BUS!M161</f>
        <v>0</v>
      </c>
      <c r="F58" s="223">
        <f>+BUS!N161+BUS!O161+BUS!P161</f>
        <v>0</v>
      </c>
      <c r="G58" s="223">
        <f>+BUS!Q161+BUS!R161+BUS!S161</f>
        <v>0</v>
      </c>
      <c r="H58" s="223">
        <f>+BUS!T161+BUS!U161+BUS!V161</f>
        <v>0</v>
      </c>
      <c r="I58" s="223">
        <f>+BUS!W161+BUS!X161+BUS!Y161</f>
        <v>0</v>
      </c>
      <c r="J58" s="223">
        <f>+BUS!Z161+BUS!AA161+BUS!AB161</f>
        <v>0</v>
      </c>
      <c r="K58" s="223">
        <f>+BUS!AC161+BUS!AD161+BUS!AE161</f>
        <v>0</v>
      </c>
      <c r="L58" s="223">
        <f>+BUS!AF161+BUS!AG161+BUS!AH161</f>
        <v>0</v>
      </c>
      <c r="M58" s="223">
        <f>+BUS!AI161+BUS!AJ161+BUS!AK161</f>
        <v>0</v>
      </c>
      <c r="N58" s="223">
        <f>+BUS!AL161+BUS!AM161+BUS!AN161</f>
        <v>0</v>
      </c>
      <c r="O58" s="223">
        <f>+BUS!AO161+BUS!AP161+BUS!AQ161</f>
        <v>0</v>
      </c>
      <c r="P58" s="223">
        <f>+BUS!AR161+BUS!AS161+BUS!AT161</f>
        <v>0</v>
      </c>
      <c r="Q58" s="223">
        <f>+BUS!AU161+BUS!AV161+BUS!AW161</f>
        <v>0</v>
      </c>
      <c r="R58" s="223">
        <f>+BUS!AX161+BUS!AY161+BUS!AZ161</f>
        <v>0</v>
      </c>
      <c r="S58" s="223">
        <f>+BUS!BA161+BUS!BB161+BUS!BC161</f>
        <v>0</v>
      </c>
      <c r="T58" s="223">
        <f>+BUS!BD161+BUS!BE161+BUS!BF161</f>
        <v>0</v>
      </c>
      <c r="U58" s="223">
        <f>+BUS!BG161+BUS!BH161+BUS!BI161</f>
        <v>0</v>
      </c>
      <c r="V58" s="223">
        <f>+BUS!BJ161+BUS!BK161+BUS!BL161</f>
        <v>0</v>
      </c>
      <c r="W58" s="223">
        <f>+BUS!BM161+BUS!BN161+BUS!BO161</f>
        <v>0</v>
      </c>
      <c r="X58" s="223">
        <f>+BUS!BP161+BUS!BQ161+BUS!BR161</f>
        <v>0</v>
      </c>
      <c r="Y58" s="223">
        <f>+BUS!BS161+BUS!BT161+BUS!BU161</f>
        <v>0</v>
      </c>
      <c r="Z58" s="223">
        <f>+BUS!BV161+BUS!BW161+BUS!BX161</f>
        <v>0</v>
      </c>
      <c r="AA58" s="223">
        <f>+BUS!BY161+BUS!BZ161+BUS!CA161</f>
        <v>0</v>
      </c>
      <c r="AB58" s="223">
        <f>+BUS!CB161+BUS!CC161+BUS!CD161</f>
        <v>0</v>
      </c>
      <c r="AC58" s="223">
        <f>+BUS!CE161+BUS!CF161+BUS!CG161</f>
        <v>0</v>
      </c>
      <c r="AD58" s="223">
        <f>+BUS!CH161+BUS!CI161+BUS!CJ161</f>
        <v>0</v>
      </c>
      <c r="AE58" s="225">
        <f>+BUS!CK161+BUS!CL161+BUS!CM161</f>
        <v>0</v>
      </c>
      <c r="AF58" s="225">
        <f>+BUS!CN161+BUS!CO161+BUS!CP161</f>
        <v>0</v>
      </c>
      <c r="AG58" s="225">
        <f>+BUS!CQ161+BUS!CR161+BUS!CS161</f>
        <v>0</v>
      </c>
      <c r="AH58" s="225">
        <f>+BUS!CT161+BUS!CU161+BUS!CV161</f>
        <v>0</v>
      </c>
      <c r="AI58" s="225">
        <f>+BUS!CW161+BUS!CX161+BUS!CY161</f>
        <v>0</v>
      </c>
      <c r="AJ58" s="225">
        <f>+BUS!CZ161+BUS!DA161+BUS!DB161</f>
        <v>0</v>
      </c>
      <c r="AK58" s="228">
        <f t="shared" si="2"/>
        <v>0</v>
      </c>
    </row>
    <row r="59" spans="1:38" ht="27.75" customHeight="1">
      <c r="A59" s="154">
        <v>12</v>
      </c>
      <c r="B59" s="222">
        <f>+BUS!B162+BUS!C162+BUS!D162</f>
        <v>0</v>
      </c>
      <c r="C59" s="223">
        <f>+BUS!E162+BUS!F162+BUS!G162</f>
        <v>0</v>
      </c>
      <c r="D59" s="223">
        <f>+BUS!H162+BUS!I162+BUS!J162</f>
        <v>0</v>
      </c>
      <c r="E59" s="223">
        <f>+BUS!K162+BUS!L162+BUS!M162</f>
        <v>0</v>
      </c>
      <c r="F59" s="223">
        <f>+BUS!N162+BUS!O162+BUS!P162</f>
        <v>0</v>
      </c>
      <c r="G59" s="223">
        <f>+BUS!Q162+BUS!R162+BUS!S162</f>
        <v>0</v>
      </c>
      <c r="H59" s="223">
        <f>+BUS!T162+BUS!U162+BUS!V162</f>
        <v>0</v>
      </c>
      <c r="I59" s="223">
        <f>+BUS!W162+BUS!X162+BUS!Y162</f>
        <v>0</v>
      </c>
      <c r="J59" s="223">
        <f>+BUS!Z162+BUS!AA162+BUS!AB162</f>
        <v>0</v>
      </c>
      <c r="K59" s="223">
        <f>+BUS!AC162+BUS!AD162+BUS!AE162</f>
        <v>0</v>
      </c>
      <c r="L59" s="223">
        <f>+BUS!AF162+BUS!AG162+BUS!AH162</f>
        <v>0</v>
      </c>
      <c r="M59" s="223">
        <f>+BUS!AI162+BUS!AJ162+BUS!AK162</f>
        <v>0</v>
      </c>
      <c r="N59" s="223">
        <f>+BUS!AL162+BUS!AM162+BUS!AN162</f>
        <v>0</v>
      </c>
      <c r="O59" s="223">
        <f>+BUS!AO162+BUS!AP162+BUS!AQ162</f>
        <v>0</v>
      </c>
      <c r="P59" s="223">
        <f>+BUS!AR162+BUS!AS162+BUS!AT162</f>
        <v>0</v>
      </c>
      <c r="Q59" s="223">
        <f>+BUS!AU162+BUS!AV162+BUS!AW162</f>
        <v>0</v>
      </c>
      <c r="R59" s="223">
        <f>+BUS!AX162+BUS!AY162+BUS!AZ162</f>
        <v>0</v>
      </c>
      <c r="S59" s="223">
        <f>+BUS!BA162+BUS!BB162+BUS!BC162</f>
        <v>0</v>
      </c>
      <c r="T59" s="223">
        <f>+BUS!BD162+BUS!BE162+BUS!BF162</f>
        <v>0</v>
      </c>
      <c r="U59" s="223">
        <f>+BUS!BG162+BUS!BH162+BUS!BI162</f>
        <v>0</v>
      </c>
      <c r="V59" s="223">
        <f>+BUS!BJ162+BUS!BK162+BUS!BL162</f>
        <v>0</v>
      </c>
      <c r="W59" s="223">
        <f>+BUS!BM162+BUS!BN162+BUS!BO162</f>
        <v>0</v>
      </c>
      <c r="X59" s="223">
        <f>+BUS!BP162+BUS!BQ162+BUS!BR162</f>
        <v>0</v>
      </c>
      <c r="Y59" s="223">
        <f>+BUS!BS162+BUS!BT162+BUS!BU162</f>
        <v>0</v>
      </c>
      <c r="Z59" s="223">
        <f>+BUS!BV162+BUS!BW162+BUS!BX162</f>
        <v>0</v>
      </c>
      <c r="AA59" s="223">
        <f>+BUS!BY162+BUS!BZ162+BUS!CA162</f>
        <v>0</v>
      </c>
      <c r="AB59" s="223">
        <f>+BUS!CB162+BUS!CC162+BUS!CD162</f>
        <v>0</v>
      </c>
      <c r="AC59" s="223">
        <f>+BUS!CE162+BUS!CF162+BUS!CG162</f>
        <v>0</v>
      </c>
      <c r="AD59" s="223">
        <f>+BUS!CH162+BUS!CI162+BUS!CJ162</f>
        <v>0</v>
      </c>
      <c r="AE59" s="225">
        <f>+BUS!CK162+BUS!CL162+BUS!CM162</f>
        <v>0</v>
      </c>
      <c r="AF59" s="225">
        <f>+BUS!CN162+BUS!CO162+BUS!CP162</f>
        <v>0</v>
      </c>
      <c r="AG59" s="225">
        <f>+BUS!CQ162+BUS!CR162+BUS!CS162</f>
        <v>0</v>
      </c>
      <c r="AH59" s="225">
        <f>+BUS!CT162+BUS!CU162+BUS!CV162</f>
        <v>0</v>
      </c>
      <c r="AI59" s="225">
        <f>+BUS!CW162+BUS!CX162+BUS!CY162</f>
        <v>0</v>
      </c>
      <c r="AJ59" s="225">
        <f>+BUS!CZ162+BUS!DA162+BUS!DB162</f>
        <v>0</v>
      </c>
      <c r="AK59" s="228">
        <f t="shared" si="2"/>
        <v>0</v>
      </c>
    </row>
    <row r="60" spans="1:38" ht="23.25" customHeight="1">
      <c r="A60" s="154">
        <v>13</v>
      </c>
      <c r="B60" s="222">
        <f>+BUS!B163+BUS!C163+BUS!D163</f>
        <v>0</v>
      </c>
      <c r="C60" s="223">
        <f>+BUS!E163+BUS!F163+BUS!G163</f>
        <v>0</v>
      </c>
      <c r="D60" s="223">
        <f>+BUS!H163+BUS!I163+BUS!J163</f>
        <v>0</v>
      </c>
      <c r="E60" s="223">
        <f>+BUS!K163+BUS!L163+BUS!M163</f>
        <v>0</v>
      </c>
      <c r="F60" s="223">
        <f>+BUS!N163+BUS!O163+BUS!P163</f>
        <v>0</v>
      </c>
      <c r="G60" s="223">
        <f>+BUS!Q163+BUS!R163+BUS!S163</f>
        <v>0</v>
      </c>
      <c r="H60" s="223">
        <f>+BUS!T163+BUS!U163+BUS!V163</f>
        <v>0</v>
      </c>
      <c r="I60" s="223">
        <f>+BUS!W163+BUS!X163+BUS!Y163</f>
        <v>0</v>
      </c>
      <c r="J60" s="223">
        <f>+BUS!Z163+BUS!AA163+BUS!AB163</f>
        <v>0</v>
      </c>
      <c r="K60" s="223">
        <f>+BUS!AC163+BUS!AD163+BUS!AE163</f>
        <v>0</v>
      </c>
      <c r="L60" s="223">
        <f>+BUS!AF163+BUS!AG163+BUS!AH163</f>
        <v>0</v>
      </c>
      <c r="M60" s="223">
        <f>+BUS!AI163+BUS!AJ163+BUS!AK163</f>
        <v>0</v>
      </c>
      <c r="N60" s="223">
        <f>+BUS!AL163+BUS!AM163+BUS!AN163</f>
        <v>0</v>
      </c>
      <c r="O60" s="223">
        <f>+BUS!AO163+BUS!AP163+BUS!AQ163</f>
        <v>0</v>
      </c>
      <c r="P60" s="223">
        <f>+BUS!AR163+BUS!AS163+BUS!AT163</f>
        <v>0</v>
      </c>
      <c r="Q60" s="223">
        <f>+BUS!AU163+BUS!AV163+BUS!AW163</f>
        <v>0</v>
      </c>
      <c r="R60" s="223">
        <f>+BUS!AX163+BUS!AY163+BUS!AZ163</f>
        <v>0</v>
      </c>
      <c r="S60" s="223">
        <f>+BUS!BA163+BUS!BB163+BUS!BC163</f>
        <v>0</v>
      </c>
      <c r="T60" s="223">
        <f>+BUS!BD163+BUS!BE163+BUS!BF163</f>
        <v>0</v>
      </c>
      <c r="U60" s="223">
        <f>+BUS!BG163+BUS!BH163+BUS!BI163</f>
        <v>0</v>
      </c>
      <c r="V60" s="223">
        <f>+BUS!BJ163+BUS!BK163+BUS!BL163</f>
        <v>0</v>
      </c>
      <c r="W60" s="223">
        <f>+BUS!BM163+BUS!BN163+BUS!BO163</f>
        <v>0</v>
      </c>
      <c r="X60" s="223">
        <f>+BUS!BP163+BUS!BQ163+BUS!BR163</f>
        <v>0</v>
      </c>
      <c r="Y60" s="223">
        <f>+BUS!BS163+BUS!BT163+BUS!BU163</f>
        <v>0</v>
      </c>
      <c r="Z60" s="223">
        <f>+BUS!BV163+BUS!BW163+BUS!BX163</f>
        <v>0</v>
      </c>
      <c r="AA60" s="223">
        <f>+BUS!BY163+BUS!BZ163+BUS!CA163</f>
        <v>0</v>
      </c>
      <c r="AB60" s="223">
        <f>+BUS!CB163+BUS!CC163+BUS!CD163</f>
        <v>0</v>
      </c>
      <c r="AC60" s="223">
        <f>+BUS!CE163+BUS!CF163+BUS!CG163</f>
        <v>0</v>
      </c>
      <c r="AD60" s="223">
        <f>+BUS!CH163+BUS!CI163+BUS!CJ163</f>
        <v>0</v>
      </c>
      <c r="AE60" s="225">
        <f>+BUS!CK163+BUS!CL163+BUS!CM163</f>
        <v>0</v>
      </c>
      <c r="AF60" s="225">
        <f>+BUS!CN163+BUS!CO163+BUS!CP163</f>
        <v>0</v>
      </c>
      <c r="AG60" s="225">
        <f>+BUS!CQ163+BUS!CR163+BUS!CS163</f>
        <v>0</v>
      </c>
      <c r="AH60" s="225">
        <f>+BUS!CT163+BUS!CU163+BUS!CV163</f>
        <v>0</v>
      </c>
      <c r="AI60" s="225">
        <f>+BUS!CW163+BUS!CX163+BUS!CY163</f>
        <v>0</v>
      </c>
      <c r="AJ60" s="225">
        <f>+BUS!CZ163+BUS!DA163+BUS!DB163</f>
        <v>0</v>
      </c>
      <c r="AK60" s="228">
        <f t="shared" si="2"/>
        <v>0</v>
      </c>
    </row>
    <row r="61" spans="1:38" ht="21" customHeight="1">
      <c r="A61" s="154">
        <v>14</v>
      </c>
      <c r="B61" s="222">
        <f>+BUS!B164+BUS!C164+BUS!D164</f>
        <v>0</v>
      </c>
      <c r="C61" s="223">
        <f>+BUS!E164+BUS!F164+BUS!G164</f>
        <v>0</v>
      </c>
      <c r="D61" s="223">
        <f>+BUS!H164+BUS!I164+BUS!J164</f>
        <v>0</v>
      </c>
      <c r="E61" s="223">
        <f>+BUS!K164+BUS!L164+BUS!M164</f>
        <v>0</v>
      </c>
      <c r="F61" s="223">
        <f>+BUS!N164+BUS!O164+BUS!P164</f>
        <v>0</v>
      </c>
      <c r="G61" s="223">
        <f>+BUS!Q164+BUS!R164+BUS!S164</f>
        <v>0</v>
      </c>
      <c r="H61" s="223">
        <f>+BUS!T164+BUS!U164+BUS!V164</f>
        <v>0</v>
      </c>
      <c r="I61" s="223">
        <f>+BUS!W164+BUS!X164+BUS!Y164</f>
        <v>0</v>
      </c>
      <c r="J61" s="223">
        <f>+BUS!Z164+BUS!AA164+BUS!AB164</f>
        <v>0</v>
      </c>
      <c r="K61" s="223">
        <f>+BUS!AC164+BUS!AD164+BUS!AE164</f>
        <v>0</v>
      </c>
      <c r="L61" s="223">
        <f>+BUS!AF164+BUS!AG164+BUS!AH164</f>
        <v>0</v>
      </c>
      <c r="M61" s="223">
        <f>+BUS!AI164+BUS!AJ164+BUS!AK164</f>
        <v>0</v>
      </c>
      <c r="N61" s="223">
        <f>+BUS!AL164+BUS!AM164+BUS!AN164</f>
        <v>0</v>
      </c>
      <c r="O61" s="223">
        <f>+BUS!AO164+BUS!AP164+BUS!AQ164</f>
        <v>0</v>
      </c>
      <c r="P61" s="223">
        <f>+BUS!AR164+BUS!AS164+BUS!AT164</f>
        <v>0</v>
      </c>
      <c r="Q61" s="223">
        <f>+BUS!AU164+BUS!AV164+BUS!AW164</f>
        <v>0</v>
      </c>
      <c r="R61" s="223">
        <f>+BUS!AX164+BUS!AY164+BUS!AZ164</f>
        <v>0</v>
      </c>
      <c r="S61" s="223">
        <f>+BUS!BA164+BUS!BB164+BUS!BC164</f>
        <v>0</v>
      </c>
      <c r="T61" s="223">
        <f>+BUS!BD164+BUS!BE164+BUS!BF164</f>
        <v>0</v>
      </c>
      <c r="U61" s="223">
        <f>+BUS!BG164+BUS!BH164+BUS!BI164</f>
        <v>0</v>
      </c>
      <c r="V61" s="223">
        <f>+BUS!BJ164+BUS!BK164+BUS!BL164</f>
        <v>0</v>
      </c>
      <c r="W61" s="223">
        <f>+BUS!BM164+BUS!BN164+BUS!BO164</f>
        <v>0</v>
      </c>
      <c r="X61" s="223">
        <f>+BUS!BP164+BUS!BQ164+BUS!BR164</f>
        <v>0</v>
      </c>
      <c r="Y61" s="223">
        <f>+BUS!BS164+BUS!BT164+BUS!BU164</f>
        <v>0</v>
      </c>
      <c r="Z61" s="223">
        <f>+BUS!BV164+BUS!BW164+BUS!BX164</f>
        <v>0</v>
      </c>
      <c r="AA61" s="223">
        <f>+BUS!BY164+BUS!BZ164+BUS!CA164</f>
        <v>0</v>
      </c>
      <c r="AB61" s="223">
        <f>+BUS!CB164+BUS!CC164+BUS!CD164</f>
        <v>0</v>
      </c>
      <c r="AC61" s="223">
        <f>+BUS!CE164+BUS!CF164+BUS!CG164</f>
        <v>0</v>
      </c>
      <c r="AD61" s="223">
        <f>+BUS!CH164+BUS!CI164+BUS!CJ164</f>
        <v>0</v>
      </c>
      <c r="AE61" s="225">
        <f>+BUS!CK164+BUS!CL164+BUS!CM164</f>
        <v>0</v>
      </c>
      <c r="AF61" s="225">
        <f>+BUS!CN164+BUS!CO164+BUS!CP164</f>
        <v>0</v>
      </c>
      <c r="AG61" s="225">
        <f>+BUS!CQ164+BUS!CR164+BUS!CS164</f>
        <v>0</v>
      </c>
      <c r="AH61" s="225">
        <f>+BUS!CT164+BUS!CU164+BUS!CV164</f>
        <v>0</v>
      </c>
      <c r="AI61" s="225">
        <f>+BUS!CW164+BUS!CX164+BUS!CY164</f>
        <v>0</v>
      </c>
      <c r="AJ61" s="225">
        <f>+BUS!CZ164+BUS!DA164+BUS!DB164</f>
        <v>0</v>
      </c>
      <c r="AK61" s="228">
        <f t="shared" si="2"/>
        <v>0</v>
      </c>
    </row>
    <row r="62" spans="1:38" ht="25.5" customHeight="1">
      <c r="A62" s="154">
        <v>15</v>
      </c>
      <c r="B62" s="222">
        <f>+BUS!B165+BUS!C165+BUS!D165</f>
        <v>0</v>
      </c>
      <c r="C62" s="223">
        <f>+BUS!E165+BUS!F165+BUS!G165</f>
        <v>0</v>
      </c>
      <c r="D62" s="223">
        <f>+BUS!H165+BUS!I165+BUS!J165</f>
        <v>0</v>
      </c>
      <c r="E62" s="223">
        <f>+BUS!K165+BUS!L165+BUS!M165</f>
        <v>0</v>
      </c>
      <c r="F62" s="223">
        <f>+BUS!N165+BUS!O165+BUS!P165</f>
        <v>0</v>
      </c>
      <c r="G62" s="223">
        <f>+BUS!Q165+BUS!R165+BUS!S165</f>
        <v>0</v>
      </c>
      <c r="H62" s="223">
        <f>+BUS!T165+BUS!U165+BUS!V165</f>
        <v>0</v>
      </c>
      <c r="I62" s="223">
        <f>+BUS!W165+BUS!X165+BUS!Y165</f>
        <v>0</v>
      </c>
      <c r="J62" s="223">
        <f>+BUS!Z165+BUS!AA165+BUS!AB165</f>
        <v>0</v>
      </c>
      <c r="K62" s="223">
        <f>+BUS!AC165+BUS!AD165+BUS!AE165</f>
        <v>0</v>
      </c>
      <c r="L62" s="223">
        <f>+BUS!AF165+BUS!AG165+BUS!AH165</f>
        <v>0</v>
      </c>
      <c r="M62" s="223">
        <f>+BUS!AI165+BUS!AJ165+BUS!AK165</f>
        <v>0</v>
      </c>
      <c r="N62" s="223">
        <f>+BUS!AL165+BUS!AM165+BUS!AN165</f>
        <v>0</v>
      </c>
      <c r="O62" s="223">
        <f>+BUS!AO165+BUS!AP165+BUS!AQ165</f>
        <v>0</v>
      </c>
      <c r="P62" s="223">
        <f>+BUS!AR165+BUS!AS165+BUS!AT165</f>
        <v>0</v>
      </c>
      <c r="Q62" s="223">
        <f>+BUS!AU165+BUS!AV165+BUS!AW165</f>
        <v>0</v>
      </c>
      <c r="R62" s="223">
        <f>+BUS!AX165+BUS!AY165+BUS!AZ165</f>
        <v>0</v>
      </c>
      <c r="S62" s="223">
        <f>+BUS!BA165+BUS!BB165+BUS!BC165</f>
        <v>0</v>
      </c>
      <c r="T62" s="223">
        <f>+BUS!BD165+BUS!BE165+BUS!BF165</f>
        <v>0</v>
      </c>
      <c r="U62" s="223">
        <f>+BUS!BG165+BUS!BH165+BUS!BI165</f>
        <v>0</v>
      </c>
      <c r="V62" s="223">
        <f>+BUS!BJ165+BUS!BK165+BUS!BL165</f>
        <v>0</v>
      </c>
      <c r="W62" s="223">
        <f>+BUS!BM165+BUS!BN165+BUS!BO165</f>
        <v>0</v>
      </c>
      <c r="X62" s="223">
        <f>+BUS!BP165+BUS!BQ165+BUS!BR165</f>
        <v>0</v>
      </c>
      <c r="Y62" s="223">
        <f>+BUS!BS165+BUS!BT165+BUS!BU165</f>
        <v>0</v>
      </c>
      <c r="Z62" s="223">
        <f>+BUS!BV165+BUS!BW165+BUS!BX165</f>
        <v>0</v>
      </c>
      <c r="AA62" s="223">
        <f>+BUS!BY165+BUS!BZ165+BUS!CA165</f>
        <v>0</v>
      </c>
      <c r="AB62" s="223">
        <f>+BUS!CB165+BUS!CC165+BUS!CD165</f>
        <v>0</v>
      </c>
      <c r="AC62" s="223">
        <f>+BUS!CE165+BUS!CF165+BUS!CG165</f>
        <v>0</v>
      </c>
      <c r="AD62" s="223">
        <f>+BUS!CH165+BUS!CI165+BUS!CJ165</f>
        <v>0</v>
      </c>
      <c r="AE62" s="225">
        <f>+BUS!CK165+BUS!CL165+BUS!CM165</f>
        <v>0</v>
      </c>
      <c r="AF62" s="225">
        <f>+BUS!CN165+BUS!CO165+BUS!CP165</f>
        <v>0</v>
      </c>
      <c r="AG62" s="225">
        <f>+BUS!CQ165+BUS!CR165+BUS!CS165</f>
        <v>0</v>
      </c>
      <c r="AH62" s="225">
        <f>+BUS!CT165+BUS!CU165+BUS!CV165</f>
        <v>0</v>
      </c>
      <c r="AI62" s="225">
        <f>+BUS!CW165+BUS!CX165+BUS!CY165</f>
        <v>0</v>
      </c>
      <c r="AJ62" s="225">
        <f>+BUS!CZ165+BUS!DA165+BUS!DB165</f>
        <v>0</v>
      </c>
      <c r="AK62" s="228">
        <f t="shared" si="2"/>
        <v>0</v>
      </c>
    </row>
    <row r="63" spans="1:38" ht="27" customHeight="1">
      <c r="A63" s="154">
        <v>16</v>
      </c>
      <c r="B63" s="222">
        <f>+BUS!B166+BUS!C166+BUS!D166</f>
        <v>0</v>
      </c>
      <c r="C63" s="223">
        <f>+BUS!E166+BUS!F166+BUS!G166</f>
        <v>0</v>
      </c>
      <c r="D63" s="223">
        <f>+BUS!H166+BUS!I166+BUS!J166</f>
        <v>0</v>
      </c>
      <c r="E63" s="223">
        <f>+BUS!K166+BUS!L166+BUS!M166</f>
        <v>0</v>
      </c>
      <c r="F63" s="223">
        <f>+BUS!N166+BUS!O166+BUS!P166</f>
        <v>0</v>
      </c>
      <c r="G63" s="223">
        <f>+BUS!Q166+BUS!R166+BUS!S166</f>
        <v>0</v>
      </c>
      <c r="H63" s="223">
        <f>+BUS!T166+BUS!U166+BUS!V166</f>
        <v>0</v>
      </c>
      <c r="I63" s="223">
        <f>+BUS!W166+BUS!X166+BUS!Y166</f>
        <v>0</v>
      </c>
      <c r="J63" s="223">
        <f>+BUS!Z166+BUS!AA166+BUS!AB166</f>
        <v>0</v>
      </c>
      <c r="K63" s="223">
        <f>+BUS!AC166+BUS!AD166+BUS!AE166</f>
        <v>0</v>
      </c>
      <c r="L63" s="223">
        <f>+BUS!AF166+BUS!AG166+BUS!AH166</f>
        <v>0</v>
      </c>
      <c r="M63" s="223">
        <f>+BUS!AI166+BUS!AJ166+BUS!AK166</f>
        <v>0</v>
      </c>
      <c r="N63" s="223">
        <f>+BUS!AL166+BUS!AM166+BUS!AN166</f>
        <v>0</v>
      </c>
      <c r="O63" s="223">
        <f>+BUS!AO166+BUS!AP166+BUS!AQ166</f>
        <v>0</v>
      </c>
      <c r="P63" s="223">
        <f>+BUS!AR166+BUS!AS166+BUS!AT166</f>
        <v>0</v>
      </c>
      <c r="Q63" s="223">
        <f>+BUS!AU166+BUS!AV166+BUS!AW166</f>
        <v>0</v>
      </c>
      <c r="R63" s="223">
        <f>+BUS!AX166+BUS!AY166+BUS!AZ166</f>
        <v>0</v>
      </c>
      <c r="S63" s="223">
        <f>+BUS!BA166+BUS!BB166+BUS!BC166</f>
        <v>0</v>
      </c>
      <c r="T63" s="223">
        <f>+BUS!BD166+BUS!BE166+BUS!BF166</f>
        <v>0</v>
      </c>
      <c r="U63" s="223">
        <f>+BUS!BG166+BUS!BH166+BUS!BI166</f>
        <v>0</v>
      </c>
      <c r="V63" s="223">
        <f>+BUS!BJ166+BUS!BK166+BUS!BL166</f>
        <v>0</v>
      </c>
      <c r="W63" s="223">
        <f>+BUS!BM166+BUS!BN166+BUS!BO166</f>
        <v>0</v>
      </c>
      <c r="X63" s="223">
        <f>+BUS!BP166+BUS!BQ166+BUS!BR166</f>
        <v>0</v>
      </c>
      <c r="Y63" s="223">
        <f>+BUS!BS166+BUS!BT166+BUS!BU166</f>
        <v>0</v>
      </c>
      <c r="Z63" s="223">
        <f>+BUS!BV166+BUS!BW166+BUS!BX166</f>
        <v>0</v>
      </c>
      <c r="AA63" s="223">
        <f>+BUS!BY166+BUS!BZ166+BUS!CA166</f>
        <v>0</v>
      </c>
      <c r="AB63" s="223">
        <f>+BUS!CB166+BUS!CC166+BUS!CD166</f>
        <v>0</v>
      </c>
      <c r="AC63" s="223">
        <f>+BUS!CE166+BUS!CF166+BUS!CG166</f>
        <v>0</v>
      </c>
      <c r="AD63" s="223">
        <f>+BUS!CH166+BUS!CI166+BUS!CJ166</f>
        <v>0</v>
      </c>
      <c r="AE63" s="225">
        <f>+BUS!CK166+BUS!CL166+BUS!CM166</f>
        <v>0</v>
      </c>
      <c r="AF63" s="225">
        <f>+BUS!CN166+BUS!CO166+BUS!CP166</f>
        <v>0</v>
      </c>
      <c r="AG63" s="225">
        <f>+BUS!CQ166+BUS!CR166+BUS!CS166</f>
        <v>0</v>
      </c>
      <c r="AH63" s="225">
        <f>+BUS!CT166+BUS!CU166+BUS!CV166</f>
        <v>0</v>
      </c>
      <c r="AI63" s="225">
        <f>+BUS!CW166+BUS!CX166+BUS!CY166</f>
        <v>0</v>
      </c>
      <c r="AJ63" s="225">
        <f>+BUS!CZ166+BUS!DA166+BUS!DB166</f>
        <v>0</v>
      </c>
      <c r="AK63" s="228">
        <f t="shared" si="2"/>
        <v>0</v>
      </c>
    </row>
    <row r="64" spans="1:38" ht="23.25" customHeight="1">
      <c r="A64" s="154">
        <v>17</v>
      </c>
      <c r="B64" s="222">
        <f>+BUS!B167+BUS!C167+BUS!D167</f>
        <v>0</v>
      </c>
      <c r="C64" s="223">
        <f>+BUS!E167+BUS!F167+BUS!G167</f>
        <v>0</v>
      </c>
      <c r="D64" s="223">
        <f>+BUS!H167+BUS!I167+BUS!J167</f>
        <v>0</v>
      </c>
      <c r="E64" s="223">
        <f>+BUS!K167+BUS!L167+BUS!M167</f>
        <v>0</v>
      </c>
      <c r="F64" s="223">
        <f>+BUS!N167+BUS!O167+BUS!P167</f>
        <v>0</v>
      </c>
      <c r="G64" s="223">
        <f>+BUS!Q167+BUS!R167+BUS!S167</f>
        <v>0</v>
      </c>
      <c r="H64" s="223">
        <f>+BUS!T167+BUS!U167+BUS!V167</f>
        <v>0</v>
      </c>
      <c r="I64" s="223">
        <f>+BUS!W167+BUS!X167+BUS!Y167</f>
        <v>0</v>
      </c>
      <c r="J64" s="223">
        <f>+BUS!Z167+BUS!AA167+BUS!AB167</f>
        <v>0</v>
      </c>
      <c r="K64" s="223">
        <f>+BUS!AC167+BUS!AD167+BUS!AE167</f>
        <v>0</v>
      </c>
      <c r="L64" s="223">
        <f>+BUS!AF167+BUS!AG167+BUS!AH167</f>
        <v>0</v>
      </c>
      <c r="M64" s="223">
        <f>+BUS!AI167+BUS!AJ167+BUS!AK167</f>
        <v>0</v>
      </c>
      <c r="N64" s="223">
        <f>+BUS!AL167+BUS!AM167+BUS!AN167</f>
        <v>0</v>
      </c>
      <c r="O64" s="223">
        <f>+BUS!AO167+BUS!AP167+BUS!AQ167</f>
        <v>0</v>
      </c>
      <c r="P64" s="223">
        <f>+BUS!AR167+BUS!AS167+BUS!AT167</f>
        <v>0</v>
      </c>
      <c r="Q64" s="223">
        <f>+BUS!AU167+BUS!AV167+BUS!AW167</f>
        <v>0</v>
      </c>
      <c r="R64" s="223">
        <f>+BUS!AX167+BUS!AY167+BUS!AZ167</f>
        <v>0</v>
      </c>
      <c r="S64" s="223">
        <f>+BUS!BA167+BUS!BB167+BUS!BC167</f>
        <v>0</v>
      </c>
      <c r="T64" s="223">
        <f>+BUS!BD167+BUS!BE167+BUS!BF167</f>
        <v>0</v>
      </c>
      <c r="U64" s="223">
        <f>+BUS!BG167+BUS!BH167+BUS!BI167</f>
        <v>0</v>
      </c>
      <c r="V64" s="223">
        <f>+BUS!BJ167+BUS!BK167+BUS!BL167</f>
        <v>0</v>
      </c>
      <c r="W64" s="223">
        <f>+BUS!BM167+BUS!BN167+BUS!BO167</f>
        <v>0</v>
      </c>
      <c r="X64" s="223">
        <f>+BUS!BP167+BUS!BQ167+BUS!BR167</f>
        <v>0</v>
      </c>
      <c r="Y64" s="223">
        <f>+BUS!BS167+BUS!BT167+BUS!BU167</f>
        <v>0</v>
      </c>
      <c r="Z64" s="223">
        <f>+BUS!BV167+BUS!BW167+BUS!BX167</f>
        <v>0</v>
      </c>
      <c r="AA64" s="223">
        <f>+BUS!BY167+BUS!BZ167+BUS!CA167</f>
        <v>0</v>
      </c>
      <c r="AB64" s="223">
        <f>+BUS!CB167+BUS!CC167+BUS!CD167</f>
        <v>0</v>
      </c>
      <c r="AC64" s="223">
        <f>+BUS!CE167+BUS!CF167+BUS!CG167</f>
        <v>0</v>
      </c>
      <c r="AD64" s="223">
        <f>+BUS!CH167+BUS!CI167+BUS!CJ167</f>
        <v>0</v>
      </c>
      <c r="AE64" s="225">
        <f>+BUS!CK167+BUS!CL167+BUS!CM167</f>
        <v>0</v>
      </c>
      <c r="AF64" s="225">
        <f>+BUS!CN167+BUS!CO167+BUS!CP167</f>
        <v>0</v>
      </c>
      <c r="AG64" s="225">
        <f>+BUS!CQ167+BUS!CR167+BUS!CS167</f>
        <v>0</v>
      </c>
      <c r="AH64" s="225">
        <f>+BUS!CT167+BUS!CU167+BUS!CV167</f>
        <v>0</v>
      </c>
      <c r="AI64" s="225">
        <f>+BUS!CW167+BUS!CX167+BUS!CY167</f>
        <v>0</v>
      </c>
      <c r="AJ64" s="225">
        <f>+BUS!CZ167+BUS!DA167+BUS!DB167</f>
        <v>0</v>
      </c>
      <c r="AK64" s="228">
        <f t="shared" si="2"/>
        <v>0</v>
      </c>
    </row>
    <row r="65" spans="1:38" ht="24.75" customHeight="1">
      <c r="A65" s="154">
        <v>18</v>
      </c>
      <c r="B65" s="222">
        <f>+BUS!B168+BUS!C168+BUS!D168</f>
        <v>0</v>
      </c>
      <c r="C65" s="223">
        <f>+BUS!E168+BUS!F168+BUS!G168</f>
        <v>0</v>
      </c>
      <c r="D65" s="223">
        <f>+BUS!H168+BUS!I168+BUS!J168</f>
        <v>0</v>
      </c>
      <c r="E65" s="223">
        <f>+BUS!K168+BUS!L168+BUS!M168</f>
        <v>0</v>
      </c>
      <c r="F65" s="223">
        <f>+BUS!N168+BUS!O168+BUS!P168</f>
        <v>0</v>
      </c>
      <c r="G65" s="223">
        <f>+BUS!Q168+BUS!R168+BUS!S168</f>
        <v>0</v>
      </c>
      <c r="H65" s="223">
        <f>+BUS!T168+BUS!U168+BUS!V168</f>
        <v>0</v>
      </c>
      <c r="I65" s="223">
        <f>+BUS!W168+BUS!X168+BUS!Y168</f>
        <v>0</v>
      </c>
      <c r="J65" s="223">
        <f>+BUS!Z168+BUS!AA168+BUS!AB168</f>
        <v>0</v>
      </c>
      <c r="K65" s="223">
        <f>+BUS!AC168+BUS!AD168+BUS!AE168</f>
        <v>0</v>
      </c>
      <c r="L65" s="223">
        <f>+BUS!AF168+BUS!AG168+BUS!AH168</f>
        <v>0</v>
      </c>
      <c r="M65" s="223">
        <f>+BUS!AI168+BUS!AJ168+BUS!AK168</f>
        <v>0</v>
      </c>
      <c r="N65" s="223">
        <f>+BUS!AL168+BUS!AM168+BUS!AN168</f>
        <v>0</v>
      </c>
      <c r="O65" s="223">
        <f>+BUS!AO168+BUS!AP168+BUS!AQ168</f>
        <v>0</v>
      </c>
      <c r="P65" s="223">
        <f>+BUS!AR168+BUS!AS168+BUS!AT168</f>
        <v>0</v>
      </c>
      <c r="Q65" s="223">
        <f>+BUS!AU168+BUS!AV168+BUS!AW168</f>
        <v>0</v>
      </c>
      <c r="R65" s="223">
        <f>+BUS!AX168+BUS!AY168+BUS!AZ168</f>
        <v>0</v>
      </c>
      <c r="S65" s="223">
        <f>+BUS!BA168+BUS!BB168+BUS!BC168</f>
        <v>0</v>
      </c>
      <c r="T65" s="223">
        <f>+BUS!BD168+BUS!BE168+BUS!BF168</f>
        <v>0</v>
      </c>
      <c r="U65" s="223">
        <f>+BUS!BG168+BUS!BH168+BUS!BI168</f>
        <v>0</v>
      </c>
      <c r="V65" s="223">
        <f>+BUS!BJ168+BUS!BK168+BUS!BL168</f>
        <v>0</v>
      </c>
      <c r="W65" s="223">
        <f>+BUS!BM168+BUS!BN168+BUS!BO168</f>
        <v>0</v>
      </c>
      <c r="X65" s="223">
        <f>+BUS!BP168+BUS!BQ168+BUS!BR168</f>
        <v>0</v>
      </c>
      <c r="Y65" s="223">
        <f>+BUS!BS168+BUS!BT168+BUS!BU168</f>
        <v>0</v>
      </c>
      <c r="Z65" s="223">
        <f>+BUS!BV168+BUS!BW168+BUS!BX168</f>
        <v>0</v>
      </c>
      <c r="AA65" s="223">
        <f>+BUS!BY168+BUS!BZ168+BUS!CA168</f>
        <v>0</v>
      </c>
      <c r="AB65" s="223">
        <f>+BUS!CB168+BUS!CC168+BUS!CD168</f>
        <v>0</v>
      </c>
      <c r="AC65" s="223">
        <f>+BUS!CE168+BUS!CF168+BUS!CG168</f>
        <v>0</v>
      </c>
      <c r="AD65" s="223">
        <f>+BUS!CH168+BUS!CI168+BUS!CJ168</f>
        <v>0</v>
      </c>
      <c r="AE65" s="225">
        <f>+BUS!CK168+BUS!CL168+BUS!CM168</f>
        <v>0</v>
      </c>
      <c r="AF65" s="225">
        <f>+BUS!CN168+BUS!CO168+BUS!CP168</f>
        <v>0</v>
      </c>
      <c r="AG65" s="225">
        <f>+BUS!CQ168+BUS!CR168+BUS!CS168</f>
        <v>0</v>
      </c>
      <c r="AH65" s="225">
        <f>+BUS!CT168+BUS!CU168+BUS!CV168</f>
        <v>0</v>
      </c>
      <c r="AI65" s="225">
        <f>+BUS!CW168+BUS!CX168+BUS!CY168</f>
        <v>0</v>
      </c>
      <c r="AJ65" s="225">
        <f>+BUS!CZ168+BUS!DA168+BUS!DB168</f>
        <v>0</v>
      </c>
      <c r="AK65" s="228">
        <f t="shared" si="2"/>
        <v>0</v>
      </c>
    </row>
    <row r="66" spans="1:38" ht="21.75" customHeight="1">
      <c r="A66" s="154">
        <v>19</v>
      </c>
      <c r="B66" s="222">
        <f>+BUS!B169+BUS!C169+BUS!D169</f>
        <v>0</v>
      </c>
      <c r="C66" s="223">
        <f>+BUS!E169+BUS!F169+BUS!G169</f>
        <v>0</v>
      </c>
      <c r="D66" s="223">
        <f>+BUS!H169+BUS!I169+BUS!J169</f>
        <v>0</v>
      </c>
      <c r="E66" s="223">
        <f>+BUS!K169+BUS!L169+BUS!M169</f>
        <v>0</v>
      </c>
      <c r="F66" s="223">
        <f>+BUS!N169+BUS!O169+BUS!P169</f>
        <v>0</v>
      </c>
      <c r="G66" s="223">
        <f>+BUS!Q169+BUS!R169+BUS!S169</f>
        <v>0</v>
      </c>
      <c r="H66" s="223">
        <f>+BUS!T169+BUS!U169+BUS!V169</f>
        <v>0</v>
      </c>
      <c r="I66" s="223">
        <f>+BUS!W169+BUS!X169+BUS!Y169</f>
        <v>0</v>
      </c>
      <c r="J66" s="223">
        <f>+BUS!Z169+BUS!AA169+BUS!AB169</f>
        <v>0</v>
      </c>
      <c r="K66" s="223">
        <f>+BUS!AC169+BUS!AD169+BUS!AE169</f>
        <v>0</v>
      </c>
      <c r="L66" s="223">
        <f>+BUS!AF169+BUS!AG169+BUS!AH169</f>
        <v>0</v>
      </c>
      <c r="M66" s="223">
        <f>+BUS!AI169+BUS!AJ169+BUS!AK169</f>
        <v>0</v>
      </c>
      <c r="N66" s="223">
        <f>+BUS!AL169+BUS!AM169+BUS!AN169</f>
        <v>0</v>
      </c>
      <c r="O66" s="223">
        <f>+BUS!AO169+BUS!AP169+BUS!AQ169</f>
        <v>0</v>
      </c>
      <c r="P66" s="223">
        <f>+BUS!AR169+BUS!AS169+BUS!AT169</f>
        <v>0</v>
      </c>
      <c r="Q66" s="223">
        <f>+BUS!AU169+BUS!AV169+BUS!AW169</f>
        <v>0</v>
      </c>
      <c r="R66" s="223">
        <f>+BUS!AX169+BUS!AY169+BUS!AZ169</f>
        <v>0</v>
      </c>
      <c r="S66" s="223">
        <f>+BUS!BA169+BUS!BB169+BUS!BC169</f>
        <v>0</v>
      </c>
      <c r="T66" s="223">
        <f>+BUS!BD169+BUS!BE169+BUS!BF169</f>
        <v>0</v>
      </c>
      <c r="U66" s="223">
        <f>+BUS!BG169+BUS!BH169+BUS!BI169</f>
        <v>0</v>
      </c>
      <c r="V66" s="223">
        <f>+BUS!BJ169+BUS!BK169+BUS!BL169</f>
        <v>0</v>
      </c>
      <c r="W66" s="223">
        <f>+BUS!BM169+BUS!BN169+BUS!BO169</f>
        <v>0</v>
      </c>
      <c r="X66" s="223">
        <f>+BUS!BP169+BUS!BQ169+BUS!BR169</f>
        <v>0</v>
      </c>
      <c r="Y66" s="223">
        <f>+BUS!BS169+BUS!BT169+BUS!BU169</f>
        <v>0</v>
      </c>
      <c r="Z66" s="223">
        <f>+BUS!BV169+BUS!BW169+BUS!BX169</f>
        <v>0</v>
      </c>
      <c r="AA66" s="223">
        <f>+BUS!BY169+BUS!BZ169+BUS!CA169</f>
        <v>0</v>
      </c>
      <c r="AB66" s="223">
        <f>+BUS!CB169+BUS!CC169+BUS!CD169</f>
        <v>0</v>
      </c>
      <c r="AC66" s="223">
        <f>+BUS!CE169+BUS!CF169+BUS!CG169</f>
        <v>0</v>
      </c>
      <c r="AD66" s="223">
        <f>+BUS!CH169+BUS!CI169+BUS!CJ169</f>
        <v>0</v>
      </c>
      <c r="AE66" s="225">
        <f>+BUS!CK169+BUS!CL169+BUS!CM169</f>
        <v>0</v>
      </c>
      <c r="AF66" s="225">
        <f>+BUS!CN169+BUS!CO169+BUS!CP169</f>
        <v>0</v>
      </c>
      <c r="AG66" s="225">
        <f>+BUS!CQ169+BUS!CR169+BUS!CS169</f>
        <v>0</v>
      </c>
      <c r="AH66" s="225">
        <f>+BUS!CT169+BUS!CU169+BUS!CV169</f>
        <v>0</v>
      </c>
      <c r="AI66" s="225">
        <f>+BUS!CW169+BUS!CX169+BUS!CY169</f>
        <v>0</v>
      </c>
      <c r="AJ66" s="225">
        <f>+BUS!CZ169+BUS!DA169+BUS!DB169</f>
        <v>0</v>
      </c>
      <c r="AK66" s="228">
        <f t="shared" si="2"/>
        <v>0</v>
      </c>
    </row>
    <row r="67" spans="1:38" ht="17.25" customHeight="1">
      <c r="A67" s="154">
        <v>20</v>
      </c>
      <c r="B67" s="222">
        <f>+BUS!B170+BUS!C170+BUS!D170</f>
        <v>0</v>
      </c>
      <c r="C67" s="223">
        <f>+BUS!E170+BUS!F170+BUS!G170</f>
        <v>0</v>
      </c>
      <c r="D67" s="223">
        <f>+BUS!H170+BUS!I170+BUS!J170</f>
        <v>0</v>
      </c>
      <c r="E67" s="223">
        <f>+BUS!K170+BUS!L170+BUS!M170</f>
        <v>0</v>
      </c>
      <c r="F67" s="223">
        <f>+BUS!N170+BUS!O170+BUS!P170</f>
        <v>0</v>
      </c>
      <c r="G67" s="223">
        <f>+BUS!Q170+BUS!R170+BUS!S170</f>
        <v>0</v>
      </c>
      <c r="H67" s="223">
        <f>+BUS!T170+BUS!U170+BUS!V170</f>
        <v>0</v>
      </c>
      <c r="I67" s="223">
        <f>+BUS!W170+BUS!X170+BUS!Y170</f>
        <v>0</v>
      </c>
      <c r="J67" s="223">
        <f>+BUS!Z170+BUS!AA170+BUS!AB170</f>
        <v>0</v>
      </c>
      <c r="K67" s="223">
        <f>+BUS!AC170+BUS!AD170+BUS!AE170</f>
        <v>0</v>
      </c>
      <c r="L67" s="223">
        <f>+BUS!AF170+BUS!AG170+BUS!AH170</f>
        <v>0</v>
      </c>
      <c r="M67" s="223">
        <f>+BUS!AI170+BUS!AJ170+BUS!AK170</f>
        <v>0</v>
      </c>
      <c r="N67" s="223">
        <f>+BUS!AL170+BUS!AM170+BUS!AN170</f>
        <v>0</v>
      </c>
      <c r="O67" s="223">
        <f>+BUS!AO170+BUS!AP170+BUS!AQ170</f>
        <v>0</v>
      </c>
      <c r="P67" s="223">
        <f>+BUS!AR170+BUS!AS170+BUS!AT170</f>
        <v>0</v>
      </c>
      <c r="Q67" s="223">
        <f>+BUS!AU170+BUS!AV170+BUS!AW170</f>
        <v>0</v>
      </c>
      <c r="R67" s="223">
        <f>+BUS!AX170+BUS!AY170+BUS!AZ170</f>
        <v>0</v>
      </c>
      <c r="S67" s="223">
        <f>+BUS!BA170+BUS!BB170+BUS!BC170</f>
        <v>0</v>
      </c>
      <c r="T67" s="223">
        <f>+BUS!BD170+BUS!BE170+BUS!BF170</f>
        <v>0</v>
      </c>
      <c r="U67" s="223">
        <f>+BUS!BG170+BUS!BH170+BUS!BI170</f>
        <v>0</v>
      </c>
      <c r="V67" s="223">
        <f>+BUS!BJ170+BUS!BK170+BUS!BL170</f>
        <v>0</v>
      </c>
      <c r="W67" s="223">
        <f>+BUS!BM170+BUS!BN170+BUS!BO170</f>
        <v>0</v>
      </c>
      <c r="X67" s="223">
        <f>+BUS!BP170+BUS!BQ170+BUS!BR170</f>
        <v>0</v>
      </c>
      <c r="Y67" s="223">
        <f>+BUS!BS170+BUS!BT170+BUS!BU170</f>
        <v>0</v>
      </c>
      <c r="Z67" s="223">
        <f>+BUS!BV170+BUS!BW170+BUS!BX170</f>
        <v>0</v>
      </c>
      <c r="AA67" s="223">
        <f>+BUS!BY170+BUS!BZ170+BUS!CA170</f>
        <v>0</v>
      </c>
      <c r="AB67" s="223">
        <f>+BUS!CB170+BUS!CC170+BUS!CD170</f>
        <v>0</v>
      </c>
      <c r="AC67" s="223">
        <f>+BUS!CE170+BUS!CF170+BUS!CG170</f>
        <v>0</v>
      </c>
      <c r="AD67" s="223">
        <f>+BUS!CH170+BUS!CI170+BUS!CJ170</f>
        <v>0</v>
      </c>
      <c r="AE67" s="225">
        <f>+BUS!CK170+BUS!CL170+BUS!CM170</f>
        <v>0</v>
      </c>
      <c r="AF67" s="225">
        <f>+BUS!CN170+BUS!CO170+BUS!CP170</f>
        <v>0</v>
      </c>
      <c r="AG67" s="225">
        <f>+BUS!CQ170+BUS!CR170+BUS!CS170</f>
        <v>0</v>
      </c>
      <c r="AH67" s="225">
        <f>+BUS!CT170+BUS!CU170+BUS!CV170</f>
        <v>0</v>
      </c>
      <c r="AI67" s="225">
        <f>+BUS!CW170+BUS!CX170+BUS!CY170</f>
        <v>0</v>
      </c>
      <c r="AJ67" s="225">
        <f>+BUS!CZ170+BUS!DA170+BUS!DB170</f>
        <v>0</v>
      </c>
      <c r="AK67" s="228">
        <f t="shared" si="2"/>
        <v>0</v>
      </c>
    </row>
    <row r="68" spans="1:38" ht="23.25" customHeight="1">
      <c r="A68" s="154">
        <v>21</v>
      </c>
      <c r="B68" s="222">
        <f>+BUS!B171+BUS!C171+BUS!D171</f>
        <v>0</v>
      </c>
      <c r="C68" s="223">
        <f>+BUS!E171+BUS!F171+BUS!G171</f>
        <v>0</v>
      </c>
      <c r="D68" s="223">
        <f>+BUS!H171+BUS!I171+BUS!J171</f>
        <v>0</v>
      </c>
      <c r="E68" s="223">
        <f>+BUS!K171+BUS!L171+BUS!M171</f>
        <v>0</v>
      </c>
      <c r="F68" s="223">
        <f>+BUS!N171+BUS!O171+BUS!P171</f>
        <v>0</v>
      </c>
      <c r="G68" s="223">
        <f>+BUS!Q171+BUS!R171+BUS!S171</f>
        <v>0</v>
      </c>
      <c r="H68" s="223">
        <f>+BUS!T171+BUS!U171+BUS!V171</f>
        <v>0</v>
      </c>
      <c r="I68" s="223">
        <f>+BUS!W171+BUS!X171+BUS!Y171</f>
        <v>0</v>
      </c>
      <c r="J68" s="223">
        <f>+BUS!Z171+BUS!AA171+BUS!AB171</f>
        <v>0</v>
      </c>
      <c r="K68" s="223">
        <f>+BUS!AC171+BUS!AD171+BUS!AE171</f>
        <v>0</v>
      </c>
      <c r="L68" s="223">
        <f>+BUS!AF171+BUS!AG171+BUS!AH171</f>
        <v>0</v>
      </c>
      <c r="M68" s="223">
        <f>+BUS!AI171+BUS!AJ171+BUS!AK171</f>
        <v>0</v>
      </c>
      <c r="N68" s="223">
        <f>+BUS!AL171+BUS!AM171+BUS!AN171</f>
        <v>0</v>
      </c>
      <c r="O68" s="223">
        <f>+BUS!AO171+BUS!AP171+BUS!AQ171</f>
        <v>0</v>
      </c>
      <c r="P68" s="223">
        <f>+BUS!AR171+BUS!AS171+BUS!AT171</f>
        <v>0</v>
      </c>
      <c r="Q68" s="223">
        <f>+BUS!AU171+BUS!AV171+BUS!AW171</f>
        <v>0</v>
      </c>
      <c r="R68" s="223">
        <f>+BUS!AX171+BUS!AY171+BUS!AZ171</f>
        <v>0</v>
      </c>
      <c r="S68" s="223">
        <f>+BUS!BA171+BUS!BB171+BUS!BC171</f>
        <v>0</v>
      </c>
      <c r="T68" s="223">
        <f>+BUS!BD171+BUS!BE171+BUS!BF171</f>
        <v>0</v>
      </c>
      <c r="U68" s="223">
        <f>+BUS!BG171+BUS!BH171+BUS!BI171</f>
        <v>0</v>
      </c>
      <c r="V68" s="223">
        <f>+BUS!BJ171+BUS!BK171+BUS!BL171</f>
        <v>0</v>
      </c>
      <c r="W68" s="223">
        <f>+BUS!BM171+BUS!BN171+BUS!BO171</f>
        <v>0</v>
      </c>
      <c r="X68" s="223">
        <f>+BUS!BP171+BUS!BQ171+BUS!BR171</f>
        <v>0</v>
      </c>
      <c r="Y68" s="223">
        <f>+BUS!BS171+BUS!BT171+BUS!BU171</f>
        <v>0</v>
      </c>
      <c r="Z68" s="223">
        <f>+BUS!BV171+BUS!BW171+BUS!BX171</f>
        <v>0</v>
      </c>
      <c r="AA68" s="223">
        <f>+BUS!BY171+BUS!BZ171+BUS!CA171</f>
        <v>0</v>
      </c>
      <c r="AB68" s="223">
        <f>+BUS!CB171+BUS!CC171+BUS!CD171</f>
        <v>0</v>
      </c>
      <c r="AC68" s="223">
        <f>+BUS!CE171+BUS!CF171+BUS!CG171</f>
        <v>0</v>
      </c>
      <c r="AD68" s="223">
        <f>+BUS!CH171+BUS!CI171+BUS!CJ171</f>
        <v>0</v>
      </c>
      <c r="AE68" s="225">
        <f>+BUS!CK171+BUS!CL171+BUS!CM171</f>
        <v>0</v>
      </c>
      <c r="AF68" s="225">
        <f>+BUS!CN171+BUS!CO171+BUS!CP171</f>
        <v>0</v>
      </c>
      <c r="AG68" s="225">
        <f>+BUS!CQ171+BUS!CR171+BUS!CS171</f>
        <v>0</v>
      </c>
      <c r="AH68" s="225">
        <f>+BUS!CT171+BUS!CU171+BUS!CV171</f>
        <v>0</v>
      </c>
      <c r="AI68" s="225">
        <f>+BUS!CW171+BUS!CX171+BUS!CY171</f>
        <v>0</v>
      </c>
      <c r="AJ68" s="225">
        <f>+BUS!CZ171+BUS!DA171+BUS!DB171</f>
        <v>0</v>
      </c>
      <c r="AK68" s="228">
        <f t="shared" si="2"/>
        <v>0</v>
      </c>
    </row>
    <row r="69" spans="1:38" ht="24" customHeight="1">
      <c r="A69" s="154">
        <v>22</v>
      </c>
      <c r="B69" s="222">
        <f>+BUS!B172+BUS!C172+BUS!D172</f>
        <v>0</v>
      </c>
      <c r="C69" s="223">
        <f>+BUS!E172+BUS!F172+BUS!G172</f>
        <v>0</v>
      </c>
      <c r="D69" s="223">
        <f>+BUS!H172+BUS!I172+BUS!J172</f>
        <v>0</v>
      </c>
      <c r="E69" s="223">
        <f>+BUS!K172+BUS!L172+BUS!M172</f>
        <v>0</v>
      </c>
      <c r="F69" s="223">
        <f>+BUS!N172+BUS!O172+BUS!P172</f>
        <v>0</v>
      </c>
      <c r="G69" s="223">
        <f>+BUS!Q172+BUS!R172+BUS!S172</f>
        <v>0</v>
      </c>
      <c r="H69" s="223">
        <f>+BUS!T172+BUS!U172+BUS!V172</f>
        <v>0</v>
      </c>
      <c r="I69" s="223">
        <f>+BUS!W172+BUS!X172+BUS!Y172</f>
        <v>0</v>
      </c>
      <c r="J69" s="223">
        <f>+BUS!Z172+BUS!AA172+BUS!AB172</f>
        <v>0</v>
      </c>
      <c r="K69" s="223">
        <f>+BUS!AC172+BUS!AD172+BUS!AE172</f>
        <v>0</v>
      </c>
      <c r="L69" s="223">
        <f>+BUS!AF172+BUS!AG172+BUS!AH172</f>
        <v>0</v>
      </c>
      <c r="M69" s="223">
        <f>+BUS!AI172+BUS!AJ172+BUS!AK172</f>
        <v>0</v>
      </c>
      <c r="N69" s="223">
        <f>+BUS!AL172+BUS!AM172+BUS!AN172</f>
        <v>0</v>
      </c>
      <c r="O69" s="223">
        <f>+BUS!AO172+BUS!AP172+BUS!AQ172</f>
        <v>0</v>
      </c>
      <c r="P69" s="223">
        <f>+BUS!AR172+BUS!AS172+BUS!AT172</f>
        <v>0</v>
      </c>
      <c r="Q69" s="223">
        <f>+BUS!AU172+BUS!AV172+BUS!AW172</f>
        <v>0</v>
      </c>
      <c r="R69" s="223">
        <f>+BUS!AX172+BUS!AY172+BUS!AZ172</f>
        <v>0</v>
      </c>
      <c r="S69" s="223">
        <f>+BUS!BA172+BUS!BB172+BUS!BC172</f>
        <v>0</v>
      </c>
      <c r="T69" s="223">
        <f>+BUS!BD172+BUS!BE172+BUS!BF172</f>
        <v>0</v>
      </c>
      <c r="U69" s="223">
        <f>+BUS!BG172+BUS!BH172+BUS!BI172</f>
        <v>0</v>
      </c>
      <c r="V69" s="223">
        <f>+BUS!BJ172+BUS!BK172+BUS!BL172</f>
        <v>0</v>
      </c>
      <c r="W69" s="223">
        <f>+BUS!BM172+BUS!BN172+BUS!BO172</f>
        <v>0</v>
      </c>
      <c r="X69" s="223">
        <f>+BUS!BP172+BUS!BQ172+BUS!BR172</f>
        <v>0</v>
      </c>
      <c r="Y69" s="223">
        <f>+BUS!BS172+BUS!BT172+BUS!BU172</f>
        <v>0</v>
      </c>
      <c r="Z69" s="223">
        <f>+BUS!BV172+BUS!BW172+BUS!BX172</f>
        <v>0</v>
      </c>
      <c r="AA69" s="223">
        <f>+BUS!BY172+BUS!BZ172+BUS!CA172</f>
        <v>0</v>
      </c>
      <c r="AB69" s="223">
        <f>+BUS!CB172+BUS!CC172+BUS!CD172</f>
        <v>0</v>
      </c>
      <c r="AC69" s="223">
        <f>+BUS!CE172+BUS!CF172+BUS!CG172</f>
        <v>0</v>
      </c>
      <c r="AD69" s="223">
        <f>+BUS!CH172+BUS!CI172+BUS!CJ172</f>
        <v>0</v>
      </c>
      <c r="AE69" s="225">
        <f>+BUS!CK172+BUS!CL172+BUS!CM172</f>
        <v>0</v>
      </c>
      <c r="AF69" s="225">
        <f>+BUS!CN172+BUS!CO172+BUS!CP172</f>
        <v>0</v>
      </c>
      <c r="AG69" s="225">
        <f>+BUS!CQ172+BUS!CR172+BUS!CS172</f>
        <v>0</v>
      </c>
      <c r="AH69" s="225">
        <f>+BUS!CT172+BUS!CU172+BUS!CV172</f>
        <v>0</v>
      </c>
      <c r="AI69" s="225">
        <f>+BUS!CW172+BUS!CX172+BUS!CY172</f>
        <v>0</v>
      </c>
      <c r="AJ69" s="225">
        <f>+BUS!CZ172+BUS!DA172+BUS!DB172</f>
        <v>0</v>
      </c>
      <c r="AK69" s="228">
        <f t="shared" si="2"/>
        <v>0</v>
      </c>
    </row>
    <row r="70" spans="1:38" ht="24" customHeight="1">
      <c r="A70" s="154">
        <v>23</v>
      </c>
      <c r="B70" s="222">
        <f>+BUS!B173+BUS!C173+BUS!D173</f>
        <v>0</v>
      </c>
      <c r="C70" s="223">
        <f>+BUS!E173+BUS!F173+BUS!G173</f>
        <v>0</v>
      </c>
      <c r="D70" s="223">
        <f>+BUS!H173+BUS!I173+BUS!J173</f>
        <v>0</v>
      </c>
      <c r="E70" s="223">
        <f>+BUS!K173+BUS!L173+BUS!M173</f>
        <v>0</v>
      </c>
      <c r="F70" s="223">
        <f>+BUS!N173+BUS!O173+BUS!P173</f>
        <v>0</v>
      </c>
      <c r="G70" s="223">
        <f>+BUS!Q173+BUS!R173+BUS!S173</f>
        <v>0</v>
      </c>
      <c r="H70" s="223">
        <f>+BUS!T173+BUS!U173+BUS!V173</f>
        <v>0</v>
      </c>
      <c r="I70" s="223">
        <f>+BUS!W173+BUS!X173+BUS!Y173</f>
        <v>0</v>
      </c>
      <c r="J70" s="223">
        <f>+BUS!Z173+BUS!AA173+BUS!AB173</f>
        <v>0</v>
      </c>
      <c r="K70" s="223">
        <f>+BUS!AC173+BUS!AD173+BUS!AE173</f>
        <v>0</v>
      </c>
      <c r="L70" s="223">
        <f>+BUS!AF173+BUS!AG173+BUS!AH173</f>
        <v>0</v>
      </c>
      <c r="M70" s="223">
        <f>+BUS!AI173+BUS!AJ173+BUS!AK173</f>
        <v>0</v>
      </c>
      <c r="N70" s="223">
        <f>+BUS!AL173+BUS!AM173+BUS!AN173</f>
        <v>0</v>
      </c>
      <c r="O70" s="223">
        <f>+BUS!AO173+BUS!AP173+BUS!AQ173</f>
        <v>0</v>
      </c>
      <c r="P70" s="223">
        <f>+BUS!AR173+BUS!AS173+BUS!AT173</f>
        <v>0</v>
      </c>
      <c r="Q70" s="223">
        <f>+BUS!AU173+BUS!AV173+BUS!AW173</f>
        <v>0</v>
      </c>
      <c r="R70" s="223">
        <f>+BUS!AX173+BUS!AY173+BUS!AZ173</f>
        <v>0</v>
      </c>
      <c r="S70" s="223">
        <f>+BUS!BA173+BUS!BB173+BUS!BC173</f>
        <v>0</v>
      </c>
      <c r="T70" s="223">
        <f>+BUS!BD173+BUS!BE173+BUS!BF173</f>
        <v>0</v>
      </c>
      <c r="U70" s="223">
        <f>+BUS!BG173+BUS!BH173+BUS!BI173</f>
        <v>0</v>
      </c>
      <c r="V70" s="223">
        <f>+BUS!BJ173+BUS!BK173+BUS!BL173</f>
        <v>0</v>
      </c>
      <c r="W70" s="223">
        <f>+BUS!BM173+BUS!BN173+BUS!BO173</f>
        <v>0</v>
      </c>
      <c r="X70" s="223">
        <f>+BUS!BP173+BUS!BQ173+BUS!BR173</f>
        <v>0</v>
      </c>
      <c r="Y70" s="223">
        <f>+BUS!BS173+BUS!BT173+BUS!BU173</f>
        <v>0</v>
      </c>
      <c r="Z70" s="223">
        <f>+BUS!BV173+BUS!BW173+BUS!BX173</f>
        <v>0</v>
      </c>
      <c r="AA70" s="223">
        <f>+BUS!BY173+BUS!BZ173+BUS!CA173</f>
        <v>0</v>
      </c>
      <c r="AB70" s="223">
        <f>+BUS!CB173+BUS!CC173+BUS!CD173</f>
        <v>0</v>
      </c>
      <c r="AC70" s="223">
        <f>+BUS!CE173+BUS!CF173+BUS!CG173</f>
        <v>0</v>
      </c>
      <c r="AD70" s="223">
        <f>+BUS!CH173+BUS!CI173+BUS!CJ173</f>
        <v>0</v>
      </c>
      <c r="AE70" s="225">
        <f>+BUS!CK173+BUS!CL173+BUS!CM173</f>
        <v>0</v>
      </c>
      <c r="AF70" s="225">
        <f>+BUS!CN173+BUS!CO173+BUS!CP173</f>
        <v>0</v>
      </c>
      <c r="AG70" s="225">
        <f>+BUS!CQ173+BUS!CR173+BUS!CS173</f>
        <v>0</v>
      </c>
      <c r="AH70" s="225">
        <f>+BUS!CT173+BUS!CU173+BUS!CV173</f>
        <v>0</v>
      </c>
      <c r="AI70" s="225">
        <f>+BUS!CW173+BUS!CX173+BUS!CY173</f>
        <v>0</v>
      </c>
      <c r="AJ70" s="225">
        <f>+BUS!CZ173+BUS!DA173+BUS!DB173</f>
        <v>0</v>
      </c>
      <c r="AK70" s="228">
        <f t="shared" si="2"/>
        <v>0</v>
      </c>
    </row>
    <row r="71" spans="1:38" ht="22.5" customHeight="1">
      <c r="A71" s="154">
        <v>24</v>
      </c>
      <c r="B71" s="222">
        <f>+BUS!B174+BUS!C174+BUS!D174</f>
        <v>0</v>
      </c>
      <c r="C71" s="223">
        <f>+BUS!E174+BUS!F174+BUS!G174</f>
        <v>0</v>
      </c>
      <c r="D71" s="223">
        <f>+BUS!H174+BUS!I174+BUS!J174</f>
        <v>0</v>
      </c>
      <c r="E71" s="223">
        <f>+BUS!K174+BUS!L174+BUS!M174</f>
        <v>0</v>
      </c>
      <c r="F71" s="223">
        <f>+BUS!N174+BUS!O174+BUS!P174</f>
        <v>0</v>
      </c>
      <c r="G71" s="223">
        <f>+BUS!Q174+BUS!R174+BUS!S174</f>
        <v>0</v>
      </c>
      <c r="H71" s="223">
        <f>+BUS!T174+BUS!U174+BUS!V174</f>
        <v>0</v>
      </c>
      <c r="I71" s="223">
        <f>+BUS!W174+BUS!X174+BUS!Y174</f>
        <v>0</v>
      </c>
      <c r="J71" s="223">
        <f>+BUS!Z174+BUS!AA174+BUS!AB174</f>
        <v>0</v>
      </c>
      <c r="K71" s="223">
        <f>+BUS!AC174+BUS!AD174+BUS!AE174</f>
        <v>0</v>
      </c>
      <c r="L71" s="223">
        <f>+BUS!AF174+BUS!AG174+BUS!AH174</f>
        <v>0</v>
      </c>
      <c r="M71" s="223">
        <f>+BUS!AI174+BUS!AJ174+BUS!AK174</f>
        <v>0</v>
      </c>
      <c r="N71" s="223">
        <f>+BUS!AL174+BUS!AM174+BUS!AN174</f>
        <v>0</v>
      </c>
      <c r="O71" s="223">
        <f>+BUS!AO174+BUS!AP174+BUS!AQ174</f>
        <v>0</v>
      </c>
      <c r="P71" s="223">
        <f>+BUS!AR174+BUS!AS174+BUS!AT174</f>
        <v>0</v>
      </c>
      <c r="Q71" s="223">
        <f>+BUS!AU174+BUS!AV174+BUS!AW174</f>
        <v>0</v>
      </c>
      <c r="R71" s="223">
        <f>+BUS!AX174+BUS!AY174+BUS!AZ174</f>
        <v>0</v>
      </c>
      <c r="S71" s="223">
        <f>+BUS!BA174+BUS!BB174+BUS!BC174</f>
        <v>0</v>
      </c>
      <c r="T71" s="223">
        <f>+BUS!BD174+BUS!BE174+BUS!BF174</f>
        <v>0</v>
      </c>
      <c r="U71" s="223">
        <f>+BUS!BG174+BUS!BH174+BUS!BI174</f>
        <v>0</v>
      </c>
      <c r="V71" s="223">
        <f>+BUS!BJ174+BUS!BK174+BUS!BL174</f>
        <v>0</v>
      </c>
      <c r="W71" s="223">
        <f>+BUS!BM174+BUS!BN174+BUS!BO174</f>
        <v>0</v>
      </c>
      <c r="X71" s="223">
        <f>+BUS!BP174+BUS!BQ174+BUS!BR174</f>
        <v>0</v>
      </c>
      <c r="Y71" s="223">
        <f>+BUS!BS174+BUS!BT174+BUS!BU174</f>
        <v>0</v>
      </c>
      <c r="Z71" s="223">
        <f>+BUS!BV174+BUS!BW174+BUS!BX174</f>
        <v>0</v>
      </c>
      <c r="AA71" s="223">
        <f>+BUS!BY174+BUS!BZ174+BUS!CA174</f>
        <v>0</v>
      </c>
      <c r="AB71" s="223">
        <f>+BUS!CB174+BUS!CC174+BUS!CD174</f>
        <v>0</v>
      </c>
      <c r="AC71" s="223">
        <f>+BUS!CE174+BUS!CF174+BUS!CG174</f>
        <v>0</v>
      </c>
      <c r="AD71" s="223">
        <f>+BUS!CH174+BUS!CI174+BUS!CJ174</f>
        <v>0</v>
      </c>
      <c r="AE71" s="225">
        <f>+BUS!CK174+BUS!CL174+BUS!CM174</f>
        <v>0</v>
      </c>
      <c r="AF71" s="225">
        <f>+BUS!CN174+BUS!CO174+BUS!CP174</f>
        <v>0</v>
      </c>
      <c r="AG71" s="225">
        <f>+BUS!CQ174+BUS!CR174+BUS!CS174</f>
        <v>0</v>
      </c>
      <c r="AH71" s="225">
        <f>+BUS!CT174+BUS!CU174+BUS!CV174</f>
        <v>0</v>
      </c>
      <c r="AI71" s="225">
        <f>+BUS!CW174+BUS!CX174+BUS!CY174</f>
        <v>0</v>
      </c>
      <c r="AJ71" s="225">
        <f>+BUS!CZ174+BUS!DA174+BUS!DB174</f>
        <v>0</v>
      </c>
      <c r="AK71" s="228">
        <f t="shared" si="2"/>
        <v>0</v>
      </c>
    </row>
    <row r="72" spans="1:38" ht="23.25" customHeight="1">
      <c r="A72" s="154">
        <v>25</v>
      </c>
      <c r="B72" s="222">
        <f>+BUS!B175+BUS!C175+BUS!D175</f>
        <v>0</v>
      </c>
      <c r="C72" s="223">
        <f>+BUS!E175+BUS!F175+BUS!G175</f>
        <v>0</v>
      </c>
      <c r="D72" s="223">
        <f>+BUS!H175+BUS!I175+BUS!J175</f>
        <v>0</v>
      </c>
      <c r="E72" s="223">
        <f>+BUS!K175+BUS!L175+BUS!M175</f>
        <v>0</v>
      </c>
      <c r="F72" s="223">
        <f>+BUS!N175+BUS!O175+BUS!P175</f>
        <v>0</v>
      </c>
      <c r="G72" s="223">
        <f>+BUS!Q175+BUS!R175+BUS!S175</f>
        <v>0</v>
      </c>
      <c r="H72" s="223">
        <f>+BUS!T175+BUS!U175+BUS!V175</f>
        <v>0</v>
      </c>
      <c r="I72" s="223">
        <f>+BUS!W175+BUS!X175+BUS!Y175</f>
        <v>0</v>
      </c>
      <c r="J72" s="223">
        <f>+BUS!Z175+BUS!AA175+BUS!AB175</f>
        <v>0</v>
      </c>
      <c r="K72" s="223">
        <f>+BUS!AC175+BUS!AD175+BUS!AE175</f>
        <v>0</v>
      </c>
      <c r="L72" s="223">
        <f>+BUS!AF175+BUS!AG175+BUS!AH175</f>
        <v>0</v>
      </c>
      <c r="M72" s="223">
        <f>+BUS!AI175+BUS!AJ175+BUS!AK175</f>
        <v>0</v>
      </c>
      <c r="N72" s="223">
        <f>+BUS!AL175+BUS!AM175+BUS!AN175</f>
        <v>0</v>
      </c>
      <c r="O72" s="223">
        <f>+BUS!AO175+BUS!AP175+BUS!AQ175</f>
        <v>0</v>
      </c>
      <c r="P72" s="223">
        <f>+BUS!AR175+BUS!AS175+BUS!AT175</f>
        <v>0</v>
      </c>
      <c r="Q72" s="223">
        <f>+BUS!AU175+BUS!AV175+BUS!AW175</f>
        <v>0</v>
      </c>
      <c r="R72" s="223">
        <f>+BUS!AX175+BUS!AY175+BUS!AZ175</f>
        <v>0</v>
      </c>
      <c r="S72" s="223">
        <f>+BUS!BA175+BUS!BB175+BUS!BC175</f>
        <v>0</v>
      </c>
      <c r="T72" s="223">
        <f>+BUS!BD175+BUS!BE175+BUS!BF175</f>
        <v>0</v>
      </c>
      <c r="U72" s="223">
        <f>+BUS!BG175+BUS!BH175+BUS!BI175</f>
        <v>0</v>
      </c>
      <c r="V72" s="223">
        <f>+BUS!BJ175+BUS!BK175+BUS!BL175</f>
        <v>0</v>
      </c>
      <c r="W72" s="223">
        <f>+BUS!BM175+BUS!BN175+BUS!BO175</f>
        <v>0</v>
      </c>
      <c r="X72" s="223">
        <f>+BUS!BP175+BUS!BQ175+BUS!BR175</f>
        <v>0</v>
      </c>
      <c r="Y72" s="223">
        <f>+BUS!BS175+BUS!BT175+BUS!BU175</f>
        <v>0</v>
      </c>
      <c r="Z72" s="223">
        <f>+BUS!BV175+BUS!BW175+BUS!BX175</f>
        <v>0</v>
      </c>
      <c r="AA72" s="223">
        <f>+BUS!BY175+BUS!BZ175+BUS!CA175</f>
        <v>0</v>
      </c>
      <c r="AB72" s="223">
        <f>+BUS!CB175+BUS!CC175+BUS!CD175</f>
        <v>0</v>
      </c>
      <c r="AC72" s="223">
        <f>+BUS!CE175+BUS!CF175+BUS!CG175</f>
        <v>0</v>
      </c>
      <c r="AD72" s="223">
        <f>+BUS!CH175+BUS!CI175+BUS!CJ175</f>
        <v>0</v>
      </c>
      <c r="AE72" s="225">
        <f>+BUS!CK175+BUS!CL175+BUS!CM175</f>
        <v>0</v>
      </c>
      <c r="AF72" s="225">
        <f>+BUS!CN175+BUS!CO175+BUS!CP175</f>
        <v>0</v>
      </c>
      <c r="AG72" s="225">
        <f>+BUS!CQ175+BUS!CR175+BUS!CS175</f>
        <v>0</v>
      </c>
      <c r="AH72" s="225">
        <f>+BUS!CT175+BUS!CU175+BUS!CV175</f>
        <v>0</v>
      </c>
      <c r="AI72" s="225">
        <f>+BUS!CW175+BUS!CX175+BUS!CY175</f>
        <v>0</v>
      </c>
      <c r="AJ72" s="225">
        <f>+BUS!CZ175+BUS!DA175+BUS!DB175</f>
        <v>0</v>
      </c>
      <c r="AK72" s="228">
        <f t="shared" si="2"/>
        <v>0</v>
      </c>
    </row>
    <row r="73" spans="1:38" ht="26.25" customHeight="1">
      <c r="A73" s="154">
        <v>26</v>
      </c>
      <c r="B73" s="222">
        <f>+BUS!B176+BUS!C176+BUS!D176</f>
        <v>0</v>
      </c>
      <c r="C73" s="223">
        <f>+BUS!E176+BUS!F176+BUS!G176</f>
        <v>0</v>
      </c>
      <c r="D73" s="223">
        <f>+BUS!H176+BUS!I176+BUS!J176</f>
        <v>0</v>
      </c>
      <c r="E73" s="223">
        <f>+BUS!K176+BUS!L176+BUS!M176</f>
        <v>0</v>
      </c>
      <c r="F73" s="223">
        <f>+BUS!N176+BUS!O176+BUS!P176</f>
        <v>0</v>
      </c>
      <c r="G73" s="223">
        <f>+BUS!Q176+BUS!R176+BUS!S176</f>
        <v>0</v>
      </c>
      <c r="H73" s="223">
        <f>+BUS!T176+BUS!U176+BUS!V176</f>
        <v>0</v>
      </c>
      <c r="I73" s="223">
        <f>+BUS!W176+BUS!X176+BUS!Y176</f>
        <v>0</v>
      </c>
      <c r="J73" s="223">
        <f>+BUS!Z176+BUS!AA176+BUS!AB176</f>
        <v>0</v>
      </c>
      <c r="K73" s="223">
        <f>+BUS!AC176+BUS!AD176+BUS!AE176</f>
        <v>0</v>
      </c>
      <c r="L73" s="223">
        <f>+BUS!AF176+BUS!AG176+BUS!AH176</f>
        <v>0</v>
      </c>
      <c r="M73" s="223">
        <f>+BUS!AI176+BUS!AJ176+BUS!AK176</f>
        <v>0</v>
      </c>
      <c r="N73" s="223">
        <f>+BUS!AL176+BUS!AM176+BUS!AN176</f>
        <v>0</v>
      </c>
      <c r="O73" s="223">
        <f>+BUS!AO176+BUS!AP176+BUS!AQ176</f>
        <v>0</v>
      </c>
      <c r="P73" s="223">
        <f>+BUS!AR176+BUS!AS176+BUS!AT176</f>
        <v>0</v>
      </c>
      <c r="Q73" s="223">
        <f>+BUS!AU176+BUS!AV176+BUS!AW176</f>
        <v>0</v>
      </c>
      <c r="R73" s="223">
        <f>+BUS!AX176+BUS!AY176+BUS!AZ176</f>
        <v>0</v>
      </c>
      <c r="S73" s="223">
        <f>+BUS!BA176+BUS!BB176+BUS!BC176</f>
        <v>0</v>
      </c>
      <c r="T73" s="223">
        <f>+BUS!BD176+BUS!BE176+BUS!BF176</f>
        <v>0</v>
      </c>
      <c r="U73" s="223">
        <f>+BUS!BG176+BUS!BH176+BUS!BI176</f>
        <v>0</v>
      </c>
      <c r="V73" s="223">
        <f>+BUS!BJ176+BUS!BK176+BUS!BL176</f>
        <v>0</v>
      </c>
      <c r="W73" s="223">
        <f>+BUS!BM176+BUS!BN176+BUS!BO176</f>
        <v>0</v>
      </c>
      <c r="X73" s="223">
        <f>+BUS!BP176+BUS!BQ176+BUS!BR176</f>
        <v>0</v>
      </c>
      <c r="Y73" s="223">
        <f>+BUS!BS176+BUS!BT176+BUS!BU176</f>
        <v>0</v>
      </c>
      <c r="Z73" s="223">
        <f>+BUS!BV176+BUS!BW176+BUS!BX176</f>
        <v>0</v>
      </c>
      <c r="AA73" s="223">
        <f>+BUS!BY176+BUS!BZ176+BUS!CA176</f>
        <v>0</v>
      </c>
      <c r="AB73" s="223">
        <f>+BUS!CB176+BUS!CC176+BUS!CD176</f>
        <v>0</v>
      </c>
      <c r="AC73" s="223">
        <f>+BUS!CE176+BUS!CF176+BUS!CG176</f>
        <v>0</v>
      </c>
      <c r="AD73" s="223">
        <f>+BUS!CH176+BUS!CI176+BUS!CJ176</f>
        <v>0</v>
      </c>
      <c r="AE73" s="225">
        <f>+BUS!CK176+BUS!CL176+BUS!CM176</f>
        <v>0</v>
      </c>
      <c r="AF73" s="225">
        <f>+BUS!CN176+BUS!CO176+BUS!CP176</f>
        <v>0</v>
      </c>
      <c r="AG73" s="225">
        <f>+BUS!CQ176+BUS!CR176+BUS!CS176</f>
        <v>0</v>
      </c>
      <c r="AH73" s="225">
        <f>+BUS!CT176+BUS!CU176+BUS!CV176</f>
        <v>0</v>
      </c>
      <c r="AI73" s="225">
        <f>+BUS!CW176+BUS!CX176+BUS!CY176</f>
        <v>0</v>
      </c>
      <c r="AJ73" s="225">
        <f>+BUS!CZ176+BUS!DA176+BUS!DB176</f>
        <v>0</v>
      </c>
      <c r="AK73" s="228">
        <f t="shared" si="2"/>
        <v>0</v>
      </c>
    </row>
    <row r="74" spans="1:38" ht="22.5" customHeight="1">
      <c r="A74" s="154">
        <v>27</v>
      </c>
      <c r="B74" s="222">
        <f>+BUS!B177+BUS!C177+BUS!D177</f>
        <v>0</v>
      </c>
      <c r="C74" s="223">
        <f>+BUS!E177+BUS!F177+BUS!G177</f>
        <v>0</v>
      </c>
      <c r="D74" s="223">
        <f>+BUS!H177+BUS!I177+BUS!J177</f>
        <v>0</v>
      </c>
      <c r="E74" s="223">
        <f>+BUS!K177+BUS!L177+BUS!M177</f>
        <v>0</v>
      </c>
      <c r="F74" s="223">
        <f>+BUS!N177+BUS!O177+BUS!P177</f>
        <v>0</v>
      </c>
      <c r="G74" s="223">
        <f>+BUS!Q177+BUS!R177+BUS!S177</f>
        <v>0</v>
      </c>
      <c r="H74" s="223">
        <f>+BUS!T177+BUS!U177+BUS!V177</f>
        <v>0</v>
      </c>
      <c r="I74" s="223">
        <f>+BUS!W177+BUS!X177+BUS!Y177</f>
        <v>0</v>
      </c>
      <c r="J74" s="223">
        <f>+BUS!Z177+BUS!AA177+BUS!AB177</f>
        <v>0</v>
      </c>
      <c r="K74" s="223">
        <f>+BUS!AC177+BUS!AD177+BUS!AE177</f>
        <v>0</v>
      </c>
      <c r="L74" s="223">
        <f>+BUS!AF177+BUS!AG177+BUS!AH177</f>
        <v>0</v>
      </c>
      <c r="M74" s="223">
        <f>+BUS!AI177+BUS!AJ177+BUS!AK177</f>
        <v>0</v>
      </c>
      <c r="N74" s="223">
        <f>+BUS!AL177+BUS!AM177+BUS!AN177</f>
        <v>0</v>
      </c>
      <c r="O74" s="223">
        <f>+BUS!AO177+BUS!AP177+BUS!AQ177</f>
        <v>0</v>
      </c>
      <c r="P74" s="223">
        <f>+BUS!AR177+BUS!AS177+BUS!AT177</f>
        <v>0</v>
      </c>
      <c r="Q74" s="223">
        <f>+BUS!AU177+BUS!AV177+BUS!AW177</f>
        <v>0</v>
      </c>
      <c r="R74" s="223">
        <f>+BUS!AX177+BUS!AY177+BUS!AZ177</f>
        <v>0</v>
      </c>
      <c r="S74" s="223">
        <f>+BUS!BA177+BUS!BB177+BUS!BC177</f>
        <v>0</v>
      </c>
      <c r="T74" s="223">
        <f>+BUS!BD177+BUS!BE177+BUS!BF177</f>
        <v>0</v>
      </c>
      <c r="U74" s="223">
        <f>+BUS!BG177+BUS!BH177+BUS!BI177</f>
        <v>0</v>
      </c>
      <c r="V74" s="223">
        <f>+BUS!BJ177+BUS!BK177+BUS!BL177</f>
        <v>0</v>
      </c>
      <c r="W74" s="223">
        <f>+BUS!BM177+BUS!BN177+BUS!BO177</f>
        <v>0</v>
      </c>
      <c r="X74" s="223">
        <f>+BUS!BP177+BUS!BQ177+BUS!BR177</f>
        <v>0</v>
      </c>
      <c r="Y74" s="223">
        <f>+BUS!BS177+BUS!BT177+BUS!BU177</f>
        <v>0</v>
      </c>
      <c r="Z74" s="223">
        <f>+BUS!BV177+BUS!BW177+BUS!BX177</f>
        <v>0</v>
      </c>
      <c r="AA74" s="223">
        <f>+BUS!BY177+BUS!BZ177+BUS!CA177</f>
        <v>0</v>
      </c>
      <c r="AB74" s="223">
        <f>+BUS!CB177+BUS!CC177+BUS!CD177</f>
        <v>0</v>
      </c>
      <c r="AC74" s="223">
        <f>+BUS!CE177+BUS!CF177+BUS!CG177</f>
        <v>0</v>
      </c>
      <c r="AD74" s="223">
        <f>+BUS!CH177+BUS!CI177+BUS!CJ177</f>
        <v>0</v>
      </c>
      <c r="AE74" s="225">
        <f>+BUS!CK177+BUS!CL177+BUS!CM177</f>
        <v>0</v>
      </c>
      <c r="AF74" s="225">
        <f>+BUS!CN177+BUS!CO177+BUS!CP177</f>
        <v>0</v>
      </c>
      <c r="AG74" s="225">
        <f>+BUS!CQ177+BUS!CR177+BUS!CS177</f>
        <v>0</v>
      </c>
      <c r="AH74" s="225">
        <f>+BUS!CT177+BUS!CU177+BUS!CV177</f>
        <v>0</v>
      </c>
      <c r="AI74" s="225">
        <f>+BUS!CW177+BUS!CX177+BUS!CY177</f>
        <v>0</v>
      </c>
      <c r="AJ74" s="225">
        <f>+BUS!CZ177+BUS!DA177+BUS!DB177</f>
        <v>0</v>
      </c>
      <c r="AK74" s="228">
        <f t="shared" si="2"/>
        <v>0</v>
      </c>
    </row>
    <row r="75" spans="1:38" ht="25.5" customHeight="1">
      <c r="A75" s="154">
        <v>28</v>
      </c>
      <c r="B75" s="222">
        <f>+BUS!B178+BUS!C178+BUS!D178</f>
        <v>0</v>
      </c>
      <c r="C75" s="223">
        <f>+BUS!E178+BUS!F178+BUS!G178</f>
        <v>0</v>
      </c>
      <c r="D75" s="223">
        <f>+BUS!H178+BUS!I178+BUS!J178</f>
        <v>0</v>
      </c>
      <c r="E75" s="223">
        <f>+BUS!K178+BUS!L178+BUS!M178</f>
        <v>0</v>
      </c>
      <c r="F75" s="223">
        <f>+BUS!N178+BUS!O178+BUS!P178</f>
        <v>0</v>
      </c>
      <c r="G75" s="223">
        <f>+BUS!Q178+BUS!R178+BUS!S178</f>
        <v>0</v>
      </c>
      <c r="H75" s="223">
        <f>+BUS!T178+BUS!U178+BUS!V178</f>
        <v>0</v>
      </c>
      <c r="I75" s="223">
        <f>+BUS!W178+BUS!X178+BUS!Y178</f>
        <v>0</v>
      </c>
      <c r="J75" s="223">
        <f>+BUS!Z178+BUS!AA178+BUS!AB178</f>
        <v>0</v>
      </c>
      <c r="K75" s="223">
        <f>+BUS!AC178+BUS!AD178+BUS!AE178</f>
        <v>0</v>
      </c>
      <c r="L75" s="223">
        <f>+BUS!AF178+BUS!AG178+BUS!AH178</f>
        <v>0</v>
      </c>
      <c r="M75" s="223">
        <f>+BUS!AI178+BUS!AJ178+BUS!AK178</f>
        <v>0</v>
      </c>
      <c r="N75" s="223">
        <f>+BUS!AL178+BUS!AM178+BUS!AN178</f>
        <v>0</v>
      </c>
      <c r="O75" s="223">
        <f>+BUS!AO178+BUS!AP178+BUS!AQ178</f>
        <v>0</v>
      </c>
      <c r="P75" s="223">
        <f>+BUS!AR178+BUS!AS178+BUS!AT178</f>
        <v>0</v>
      </c>
      <c r="Q75" s="223">
        <f>+BUS!AU178+BUS!AV178+BUS!AW178</f>
        <v>0</v>
      </c>
      <c r="R75" s="223">
        <f>+BUS!AX178+BUS!AY178+BUS!AZ178</f>
        <v>0</v>
      </c>
      <c r="S75" s="223">
        <f>+BUS!BA178+BUS!BB178+BUS!BC178</f>
        <v>0</v>
      </c>
      <c r="T75" s="223">
        <f>+BUS!BD178+BUS!BE178+BUS!BF178</f>
        <v>0</v>
      </c>
      <c r="U75" s="223">
        <f>+BUS!BG178+BUS!BH178+BUS!BI178</f>
        <v>0</v>
      </c>
      <c r="V75" s="223">
        <f>+BUS!BJ178+BUS!BK178+BUS!BL178</f>
        <v>0</v>
      </c>
      <c r="W75" s="223">
        <f>+BUS!BM178+BUS!BN178+BUS!BO178</f>
        <v>0</v>
      </c>
      <c r="X75" s="223">
        <f>+BUS!BP178+BUS!BQ178+BUS!BR178</f>
        <v>0</v>
      </c>
      <c r="Y75" s="223">
        <f>+BUS!BS178+BUS!BT178+BUS!BU178</f>
        <v>0</v>
      </c>
      <c r="Z75" s="223">
        <f>+BUS!BV178+BUS!BW178+BUS!BX178</f>
        <v>0</v>
      </c>
      <c r="AA75" s="223">
        <f>+BUS!BY178+BUS!BZ178+BUS!CA178</f>
        <v>0</v>
      </c>
      <c r="AB75" s="223">
        <f>+BUS!CB178+BUS!CC178+BUS!CD178</f>
        <v>0</v>
      </c>
      <c r="AC75" s="223">
        <f>+BUS!CE178+BUS!CF178+BUS!CG178</f>
        <v>0</v>
      </c>
      <c r="AD75" s="223">
        <f>+BUS!CH178+BUS!CI178+BUS!CJ178</f>
        <v>0</v>
      </c>
      <c r="AE75" s="225">
        <f>+BUS!CK178+BUS!CL178+BUS!CM178</f>
        <v>0</v>
      </c>
      <c r="AF75" s="225">
        <f>+BUS!CN178+BUS!CO178+BUS!CP178</f>
        <v>0</v>
      </c>
      <c r="AG75" s="225">
        <f>+BUS!CQ178+BUS!CR178+BUS!CS178</f>
        <v>0</v>
      </c>
      <c r="AH75" s="225">
        <f>+BUS!CT178+BUS!CU178+BUS!CV178</f>
        <v>0</v>
      </c>
      <c r="AI75" s="225">
        <f>+BUS!CW178+BUS!CX178+BUS!CY178</f>
        <v>0</v>
      </c>
      <c r="AJ75" s="225">
        <f>+BUS!CZ178+BUS!DA178+BUS!DB178</f>
        <v>0</v>
      </c>
      <c r="AK75" s="228">
        <f t="shared" si="2"/>
        <v>0</v>
      </c>
    </row>
    <row r="76" spans="1:38" ht="25.5" customHeight="1">
      <c r="A76" s="154">
        <v>29</v>
      </c>
      <c r="B76" s="222">
        <f>+BUS!B179+BUS!C179+BUS!D179</f>
        <v>0</v>
      </c>
      <c r="C76" s="223">
        <f>+BUS!E179+BUS!F179+BUS!G179</f>
        <v>0</v>
      </c>
      <c r="D76" s="223">
        <f>+BUS!H179+BUS!I179+BUS!J179</f>
        <v>0</v>
      </c>
      <c r="E76" s="223">
        <f>+BUS!K179+BUS!L179+BUS!M179</f>
        <v>0</v>
      </c>
      <c r="F76" s="223">
        <f>+BUS!N179+BUS!O179+BUS!P179</f>
        <v>0</v>
      </c>
      <c r="G76" s="223">
        <f>+BUS!Q179+BUS!R179+BUS!S179</f>
        <v>0</v>
      </c>
      <c r="H76" s="223">
        <f>+BUS!T179+BUS!U179+BUS!V179</f>
        <v>0</v>
      </c>
      <c r="I76" s="223">
        <f>+BUS!W179+BUS!X179+BUS!Y179</f>
        <v>0</v>
      </c>
      <c r="J76" s="223">
        <f>+BUS!Z179+BUS!AA179+BUS!AB179</f>
        <v>0</v>
      </c>
      <c r="K76" s="223">
        <f>+BUS!AC179+BUS!AD179+BUS!AE179</f>
        <v>0</v>
      </c>
      <c r="L76" s="223">
        <f>+BUS!AF179+BUS!AG179+BUS!AH179</f>
        <v>0</v>
      </c>
      <c r="M76" s="223">
        <f>+BUS!AI179+BUS!AJ179+BUS!AK179</f>
        <v>0</v>
      </c>
      <c r="N76" s="223">
        <f>+BUS!AL179+BUS!AM179+BUS!AN179</f>
        <v>0</v>
      </c>
      <c r="O76" s="223">
        <f>+BUS!AO179+BUS!AP179+BUS!AQ179</f>
        <v>0</v>
      </c>
      <c r="P76" s="223">
        <f>+BUS!AR179+BUS!AS179+BUS!AT179</f>
        <v>0</v>
      </c>
      <c r="Q76" s="223">
        <f>+BUS!AU179+BUS!AV179+BUS!AW179</f>
        <v>0</v>
      </c>
      <c r="R76" s="223">
        <f>+BUS!AX179+BUS!AY179+BUS!AZ179</f>
        <v>0</v>
      </c>
      <c r="S76" s="223">
        <f>+BUS!BA179+BUS!BB179+BUS!BC179</f>
        <v>0</v>
      </c>
      <c r="T76" s="223">
        <f>+BUS!BD179+BUS!BE179+BUS!BF179</f>
        <v>0</v>
      </c>
      <c r="U76" s="223">
        <f>+BUS!BG179+BUS!BH179+BUS!BI179</f>
        <v>0</v>
      </c>
      <c r="V76" s="223">
        <f>+BUS!BJ179+BUS!BK179+BUS!BL179</f>
        <v>0</v>
      </c>
      <c r="W76" s="223">
        <f>+BUS!BM179+BUS!BN179+BUS!BO179</f>
        <v>0</v>
      </c>
      <c r="X76" s="223">
        <f>+BUS!BP179+BUS!BQ179+BUS!BR179</f>
        <v>0</v>
      </c>
      <c r="Y76" s="223">
        <f>+BUS!BS179+BUS!BT179+BUS!BU179</f>
        <v>0</v>
      </c>
      <c r="Z76" s="223">
        <f>+BUS!BV179+BUS!BW179+BUS!BX179</f>
        <v>0</v>
      </c>
      <c r="AA76" s="223">
        <f>+BUS!BY179+BUS!BZ179+BUS!CA179</f>
        <v>0</v>
      </c>
      <c r="AB76" s="223">
        <f>+BUS!CB179+BUS!CC179+BUS!CD179</f>
        <v>0</v>
      </c>
      <c r="AC76" s="223">
        <f>+BUS!CE179+BUS!CF179+BUS!CG179</f>
        <v>0</v>
      </c>
      <c r="AD76" s="223">
        <f>+BUS!CH179+BUS!CI179+BUS!CJ179</f>
        <v>0</v>
      </c>
      <c r="AE76" s="225">
        <f>+BUS!CK179+BUS!CL179+BUS!CM179</f>
        <v>0</v>
      </c>
      <c r="AF76" s="225">
        <f>+BUS!CN179+BUS!CO179+BUS!CP179</f>
        <v>0</v>
      </c>
      <c r="AG76" s="225">
        <f>+BUS!CQ179+BUS!CR179+BUS!CS179</f>
        <v>0</v>
      </c>
      <c r="AH76" s="225">
        <f>+BUS!CT179+BUS!CU179+BUS!CV179</f>
        <v>0</v>
      </c>
      <c r="AI76" s="225">
        <f>+BUS!CW179+BUS!CX179+BUS!CY179</f>
        <v>0</v>
      </c>
      <c r="AJ76" s="225">
        <f>+BUS!CZ179+BUS!DA179+BUS!DB179</f>
        <v>0</v>
      </c>
      <c r="AK76" s="228">
        <f t="shared" si="2"/>
        <v>0</v>
      </c>
    </row>
    <row r="77" spans="1:38" ht="26.25" customHeight="1">
      <c r="A77" s="154">
        <v>30</v>
      </c>
      <c r="B77" s="222">
        <f>+BUS!B180+BUS!C180+BUS!D180</f>
        <v>0</v>
      </c>
      <c r="C77" s="223">
        <f>+BUS!E180+BUS!F180+BUS!G180</f>
        <v>0</v>
      </c>
      <c r="D77" s="223">
        <f>+BUS!H180+BUS!I180+BUS!J180</f>
        <v>0</v>
      </c>
      <c r="E77" s="223">
        <f>+BUS!K180+BUS!L180+BUS!M180</f>
        <v>0</v>
      </c>
      <c r="F77" s="223">
        <f>+BUS!N180+BUS!O180+BUS!P180</f>
        <v>0</v>
      </c>
      <c r="G77" s="223">
        <f>+BUS!Q180+BUS!R180+BUS!S180</f>
        <v>0</v>
      </c>
      <c r="H77" s="223">
        <f>+BUS!T180+BUS!U180+BUS!V180</f>
        <v>0</v>
      </c>
      <c r="I77" s="223">
        <f>+BUS!W180+BUS!X180+BUS!Y180</f>
        <v>0</v>
      </c>
      <c r="J77" s="223">
        <f>+BUS!Z180+BUS!AA180+BUS!AB180</f>
        <v>0</v>
      </c>
      <c r="K77" s="223">
        <f>+BUS!AC180+BUS!AD180+BUS!AE180</f>
        <v>0</v>
      </c>
      <c r="L77" s="223">
        <f>+BUS!AF180+BUS!AG180+BUS!AH180</f>
        <v>0</v>
      </c>
      <c r="M77" s="223">
        <f>+BUS!AI180+BUS!AJ180+BUS!AK180</f>
        <v>0</v>
      </c>
      <c r="N77" s="223">
        <f>+BUS!AL180+BUS!AM180+BUS!AN180</f>
        <v>0</v>
      </c>
      <c r="O77" s="223">
        <f>+BUS!AO180+BUS!AP180+BUS!AQ180</f>
        <v>0</v>
      </c>
      <c r="P77" s="223">
        <f>+BUS!AR180+BUS!AS180+BUS!AT180</f>
        <v>0</v>
      </c>
      <c r="Q77" s="223">
        <f>+BUS!AU180+BUS!AV180+BUS!AW180</f>
        <v>0</v>
      </c>
      <c r="R77" s="223">
        <f>+BUS!AX180+BUS!AY180+BUS!AZ180</f>
        <v>0</v>
      </c>
      <c r="S77" s="223">
        <f>+BUS!BA180+BUS!BB180+BUS!BC180</f>
        <v>0</v>
      </c>
      <c r="T77" s="223">
        <f>+BUS!BD180+BUS!BE180+BUS!BF180</f>
        <v>0</v>
      </c>
      <c r="U77" s="223">
        <f>+BUS!BG180+BUS!BH180+BUS!BI180</f>
        <v>0</v>
      </c>
      <c r="V77" s="223">
        <f>+BUS!BJ180+BUS!BK180+BUS!BL180</f>
        <v>0</v>
      </c>
      <c r="W77" s="223">
        <f>+BUS!BM180+BUS!BN180+BUS!BO180</f>
        <v>0</v>
      </c>
      <c r="X77" s="223">
        <f>+BUS!BP180+BUS!BQ180+BUS!BR180</f>
        <v>0</v>
      </c>
      <c r="Y77" s="223">
        <f>+BUS!BS180+BUS!BT180+BUS!BU180</f>
        <v>0</v>
      </c>
      <c r="Z77" s="223">
        <f>+BUS!BV180+BUS!BW180+BUS!BX180</f>
        <v>0</v>
      </c>
      <c r="AA77" s="223">
        <f>+BUS!BY180+BUS!BZ180+BUS!CA180</f>
        <v>0</v>
      </c>
      <c r="AB77" s="223">
        <f>+BUS!CB180+BUS!CC180+BUS!CD180</f>
        <v>0</v>
      </c>
      <c r="AC77" s="223">
        <f>+BUS!CE180+BUS!CF180+BUS!CG180</f>
        <v>0</v>
      </c>
      <c r="AD77" s="223">
        <f>+BUS!CH180+BUS!CI180+BUS!CJ180</f>
        <v>0</v>
      </c>
      <c r="AE77" s="225">
        <f>+BUS!CK180+BUS!CL180+BUS!CM180</f>
        <v>0</v>
      </c>
      <c r="AF77" s="225">
        <f>+BUS!CN180+BUS!CO180+BUS!CP180</f>
        <v>0</v>
      </c>
      <c r="AG77" s="225">
        <f>+BUS!CQ180+BUS!CR180+BUS!CS180</f>
        <v>0</v>
      </c>
      <c r="AH77" s="225">
        <f>+BUS!CT180+BUS!CU180+BUS!CV180</f>
        <v>0</v>
      </c>
      <c r="AI77" s="225">
        <f>+BUS!CW180+BUS!CX180+BUS!CY180</f>
        <v>0</v>
      </c>
      <c r="AJ77" s="225">
        <f>+BUS!CZ180+BUS!DA180+BUS!DB180</f>
        <v>0</v>
      </c>
      <c r="AK77" s="228">
        <f t="shared" si="2"/>
        <v>0</v>
      </c>
    </row>
    <row r="78" spans="1:38" ht="25.5" customHeight="1">
      <c r="A78" s="154">
        <v>31</v>
      </c>
      <c r="B78" s="222">
        <f>+BUS!B181+BUS!C181+BUS!D181</f>
        <v>0</v>
      </c>
      <c r="C78" s="223">
        <f>+BUS!E181+BUS!F181+BUS!G181</f>
        <v>0</v>
      </c>
      <c r="D78" s="223">
        <f>+BUS!H181+BUS!I181+BUS!J181</f>
        <v>0</v>
      </c>
      <c r="E78" s="223">
        <f>+BUS!K181+BUS!L181+BUS!M181</f>
        <v>0</v>
      </c>
      <c r="F78" s="223">
        <f>+BUS!N181+BUS!O181+BUS!P181</f>
        <v>0</v>
      </c>
      <c r="G78" s="223">
        <f>+BUS!Q181+BUS!R181+BUS!S181</f>
        <v>0</v>
      </c>
      <c r="H78" s="223">
        <f>+BUS!T181+BUS!U181+BUS!V181</f>
        <v>0</v>
      </c>
      <c r="I78" s="223">
        <f>+BUS!W181+BUS!X181+BUS!Y181</f>
        <v>0</v>
      </c>
      <c r="J78" s="223">
        <f>+BUS!Z181+BUS!AA181+BUS!AB181</f>
        <v>0</v>
      </c>
      <c r="K78" s="223">
        <f>+BUS!AC181+BUS!AD181+BUS!AE181</f>
        <v>0</v>
      </c>
      <c r="L78" s="223">
        <f>+BUS!AF181+BUS!AG181+BUS!AH181</f>
        <v>0</v>
      </c>
      <c r="M78" s="223">
        <f>+BUS!AI181+BUS!AJ181+BUS!AK181</f>
        <v>0</v>
      </c>
      <c r="N78" s="223">
        <f>+BUS!AL181+BUS!AM181+BUS!AN181</f>
        <v>0</v>
      </c>
      <c r="O78" s="223">
        <f>+BUS!AO181+BUS!AP181+BUS!AQ181</f>
        <v>0</v>
      </c>
      <c r="P78" s="223">
        <f>+BUS!AR181+BUS!AS181+BUS!AT181</f>
        <v>0</v>
      </c>
      <c r="Q78" s="223">
        <f>+BUS!AU181+BUS!AV181+BUS!AW181</f>
        <v>0</v>
      </c>
      <c r="R78" s="223">
        <f>+BUS!AX181+BUS!AY181+BUS!AZ181</f>
        <v>0</v>
      </c>
      <c r="S78" s="223">
        <f>+BUS!BA181+BUS!BB181+BUS!BC181</f>
        <v>0</v>
      </c>
      <c r="T78" s="223">
        <f>+BUS!BD181+BUS!BE181+BUS!BF181</f>
        <v>0</v>
      </c>
      <c r="U78" s="223">
        <f>+BUS!BG181+BUS!BH181+BUS!BI181</f>
        <v>0</v>
      </c>
      <c r="V78" s="223">
        <f>+BUS!BJ181+BUS!BK181+BUS!BL181</f>
        <v>0</v>
      </c>
      <c r="W78" s="223">
        <f>+BUS!BM181+BUS!BN181+BUS!BO181</f>
        <v>0</v>
      </c>
      <c r="X78" s="223">
        <f>+BUS!BP181+BUS!BQ181+BUS!BR181</f>
        <v>0</v>
      </c>
      <c r="Y78" s="223">
        <f>+BUS!BS181+BUS!BT181+BUS!BU181</f>
        <v>0</v>
      </c>
      <c r="Z78" s="223">
        <f>+BUS!BV181+BUS!BW181+BUS!BX181</f>
        <v>0</v>
      </c>
      <c r="AA78" s="223">
        <f>+BUS!BY181+BUS!BZ181+BUS!CA181</f>
        <v>0</v>
      </c>
      <c r="AB78" s="223">
        <f>+BUS!CB181+BUS!CC181+BUS!CD181</f>
        <v>0</v>
      </c>
      <c r="AC78" s="223">
        <f>+BUS!CE181+BUS!CF181+BUS!CG181</f>
        <v>0</v>
      </c>
      <c r="AD78" s="223">
        <f>+BUS!CH181+BUS!CI181+BUS!CJ181</f>
        <v>0</v>
      </c>
      <c r="AE78" s="225">
        <f>+BUS!CK181+BUS!CL181+BUS!CM181</f>
        <v>0</v>
      </c>
      <c r="AF78" s="225">
        <f>+BUS!CN181+BUS!CO181+BUS!CP181</f>
        <v>0</v>
      </c>
      <c r="AG78" s="225">
        <f>+BUS!CQ181+BUS!CR181+BUS!CS181</f>
        <v>0</v>
      </c>
      <c r="AH78" s="225">
        <f>+BUS!CT181+BUS!CU181+BUS!CV181</f>
        <v>0</v>
      </c>
      <c r="AI78" s="225">
        <f>+BUS!CW181+BUS!CX181+BUS!CY181</f>
        <v>0</v>
      </c>
      <c r="AJ78" s="225">
        <f>+BUS!CZ181+BUS!DA181+BUS!DB181</f>
        <v>0</v>
      </c>
      <c r="AK78" s="228">
        <f t="shared" si="2"/>
        <v>0</v>
      </c>
    </row>
    <row r="79" spans="1:38" ht="27" customHeight="1">
      <c r="A79" s="113" t="s">
        <v>56</v>
      </c>
      <c r="B79" s="230">
        <f>SUM(B48:B78)</f>
        <v>0</v>
      </c>
      <c r="C79" s="231">
        <f t="shared" ref="C79" si="3">SUM(C48:C78)</f>
        <v>0</v>
      </c>
      <c r="D79" s="231">
        <f t="shared" ref="D79" si="4">SUM(D48:D78)</f>
        <v>0</v>
      </c>
      <c r="E79" s="231">
        <f t="shared" ref="E79" si="5">SUM(E48:E78)</f>
        <v>0</v>
      </c>
      <c r="F79" s="231">
        <f t="shared" ref="F79" si="6">SUM(F48:F78)</f>
        <v>0</v>
      </c>
      <c r="G79" s="231">
        <f t="shared" ref="G79" si="7">SUM(G48:G78)</f>
        <v>0</v>
      </c>
      <c r="H79" s="231">
        <f t="shared" ref="H79" si="8">SUM(H48:H78)</f>
        <v>0</v>
      </c>
      <c r="I79" s="231">
        <f t="shared" ref="I79" si="9">SUM(I48:I78)</f>
        <v>0</v>
      </c>
      <c r="J79" s="231">
        <f t="shared" ref="J79" si="10">SUM(J48:J78)</f>
        <v>0</v>
      </c>
      <c r="K79" s="231">
        <f t="shared" ref="K79" si="11">SUM(K48:K78)</f>
        <v>0</v>
      </c>
      <c r="L79" s="231">
        <f t="shared" ref="L79" si="12">SUM(L48:L78)</f>
        <v>0</v>
      </c>
      <c r="M79" s="231">
        <f t="shared" ref="M79" si="13">SUM(M48:M78)</f>
        <v>0</v>
      </c>
      <c r="N79" s="231">
        <f t="shared" ref="N79" si="14">SUM(N48:N78)</f>
        <v>0</v>
      </c>
      <c r="O79" s="231">
        <f t="shared" ref="O79" si="15">SUM(O48:O78)</f>
        <v>0</v>
      </c>
      <c r="P79" s="231">
        <f t="shared" ref="P79" si="16">SUM(P48:P78)</f>
        <v>0</v>
      </c>
      <c r="Q79" s="231">
        <f t="shared" ref="Q79" si="17">SUM(Q48:Q78)</f>
        <v>0</v>
      </c>
      <c r="R79" s="231">
        <f t="shared" ref="R79" si="18">SUM(R48:R78)</f>
        <v>0</v>
      </c>
      <c r="S79" s="231">
        <f t="shared" ref="S79" si="19">SUM(S48:S78)</f>
        <v>0</v>
      </c>
      <c r="T79" s="231">
        <f t="shared" ref="T79" si="20">SUM(T48:T78)</f>
        <v>0</v>
      </c>
      <c r="U79" s="231">
        <f t="shared" ref="U79" si="21">SUM(U48:U78)</f>
        <v>0</v>
      </c>
      <c r="V79" s="231">
        <f t="shared" ref="V79" si="22">SUM(V48:V78)</f>
        <v>0</v>
      </c>
      <c r="W79" s="231">
        <f t="shared" ref="W79" si="23">SUM(W48:W78)</f>
        <v>0</v>
      </c>
      <c r="X79" s="231">
        <f t="shared" ref="X79" si="24">SUM(X48:X78)</f>
        <v>0</v>
      </c>
      <c r="Y79" s="231">
        <f t="shared" ref="Y79" si="25">SUM(Y48:Y78)</f>
        <v>0</v>
      </c>
      <c r="Z79" s="231">
        <f t="shared" ref="Z79" si="26">SUM(Z48:Z78)</f>
        <v>0</v>
      </c>
      <c r="AA79" s="231">
        <f t="shared" ref="AA79" si="27">SUM(AA48:AA78)</f>
        <v>0</v>
      </c>
      <c r="AB79" s="231">
        <f t="shared" ref="AB79" si="28">SUM(AB48:AB78)</f>
        <v>0</v>
      </c>
      <c r="AC79" s="231">
        <f t="shared" ref="AC79:AD79" si="29">SUM(AC48:AC78)</f>
        <v>0</v>
      </c>
      <c r="AD79" s="231">
        <f t="shared" si="29"/>
        <v>0</v>
      </c>
      <c r="AE79" s="232">
        <f t="shared" ref="AE79:AK79" si="30">SUM(AE48:AE78)</f>
        <v>0</v>
      </c>
      <c r="AF79" s="232">
        <f t="shared" si="30"/>
        <v>0</v>
      </c>
      <c r="AG79" s="232">
        <f t="shared" si="30"/>
        <v>0</v>
      </c>
      <c r="AH79" s="232">
        <f t="shared" si="30"/>
        <v>0</v>
      </c>
      <c r="AI79" s="232">
        <f t="shared" si="30"/>
        <v>0</v>
      </c>
      <c r="AJ79" s="232">
        <f t="shared" si="30"/>
        <v>0</v>
      </c>
      <c r="AK79" s="227">
        <f t="shared" si="30"/>
        <v>0</v>
      </c>
      <c r="AL79" s="229"/>
    </row>
  </sheetData>
  <mergeCells count="21">
    <mergeCell ref="A2:AK2"/>
    <mergeCell ref="B37:L37"/>
    <mergeCell ref="M37:P37"/>
    <mergeCell ref="B38:L38"/>
    <mergeCell ref="M38:P38"/>
    <mergeCell ref="B42:L42"/>
    <mergeCell ref="M42:P42"/>
    <mergeCell ref="A46:AK46"/>
    <mergeCell ref="AA37:AK38"/>
    <mergeCell ref="AA39:AK40"/>
    <mergeCell ref="AA41:AK42"/>
    <mergeCell ref="S41:Z42"/>
    <mergeCell ref="S39:Z40"/>
    <mergeCell ref="S37:W38"/>
    <mergeCell ref="X37:Z38"/>
    <mergeCell ref="B39:L39"/>
    <mergeCell ref="M39:P39"/>
    <mergeCell ref="B40:L40"/>
    <mergeCell ref="M40:P40"/>
    <mergeCell ref="B41:L41"/>
    <mergeCell ref="M41:P41"/>
  </mergeCells>
  <pageMargins left="0" right="0" top="0" bottom="0" header="0" footer="0"/>
  <pageSetup paperSize="9" scale="36" orientation="landscape" verticalDpi="300"/>
  <rowBreaks count="2" manualBreakCount="2">
    <brk id="44" max="16383" man="1"/>
    <brk id="45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R71"/>
  <sheetViews>
    <sheetView topLeftCell="A18" workbookViewId="0">
      <selection activeCell="W11" sqref="W11"/>
    </sheetView>
  </sheetViews>
  <sheetFormatPr baseColWidth="10" defaultColWidth="11" defaultRowHeight="15"/>
  <sheetData>
    <row r="3" spans="1:18" ht="15.75">
      <c r="A3" s="554" t="s">
        <v>2</v>
      </c>
      <c r="B3" s="177" t="s">
        <v>45</v>
      </c>
      <c r="C3" s="178" t="s">
        <v>46</v>
      </c>
      <c r="D3" s="136" t="s">
        <v>47</v>
      </c>
      <c r="E3" s="73" t="s">
        <v>48</v>
      </c>
      <c r="F3" s="136" t="s">
        <v>49</v>
      </c>
      <c r="G3" s="557" t="s">
        <v>50</v>
      </c>
      <c r="H3" s="558"/>
      <c r="I3" s="559" t="s">
        <v>51</v>
      </c>
      <c r="J3" s="560"/>
      <c r="K3" s="178" t="s">
        <v>89</v>
      </c>
      <c r="L3" s="136" t="s">
        <v>53</v>
      </c>
      <c r="M3" s="561" t="s">
        <v>90</v>
      </c>
      <c r="N3" s="562"/>
      <c r="O3" s="136" t="s">
        <v>67</v>
      </c>
      <c r="P3" s="563" t="s">
        <v>91</v>
      </c>
      <c r="Q3" s="564"/>
      <c r="R3" s="565"/>
    </row>
    <row r="4" spans="1:18">
      <c r="A4" s="555"/>
      <c r="B4" s="179" t="s">
        <v>39</v>
      </c>
      <c r="C4" s="180" t="s">
        <v>39</v>
      </c>
      <c r="D4" s="179" t="s">
        <v>39</v>
      </c>
      <c r="E4" s="181" t="s">
        <v>39</v>
      </c>
      <c r="F4" s="182" t="s">
        <v>39</v>
      </c>
      <c r="G4" s="183" t="s">
        <v>39</v>
      </c>
      <c r="H4" s="184" t="s">
        <v>41</v>
      </c>
      <c r="I4" s="196" t="s">
        <v>39</v>
      </c>
      <c r="J4" s="197" t="s">
        <v>40</v>
      </c>
      <c r="K4" s="198" t="s">
        <v>39</v>
      </c>
      <c r="L4" s="199" t="s">
        <v>39</v>
      </c>
      <c r="M4" s="200" t="s">
        <v>39</v>
      </c>
      <c r="N4" s="201" t="s">
        <v>40</v>
      </c>
      <c r="O4" s="199" t="s">
        <v>39</v>
      </c>
      <c r="P4" s="112" t="s">
        <v>39</v>
      </c>
      <c r="Q4" s="209" t="s">
        <v>40</v>
      </c>
      <c r="R4" s="210" t="s">
        <v>41</v>
      </c>
    </row>
    <row r="5" spans="1:18">
      <c r="A5" s="137">
        <v>1</v>
      </c>
      <c r="B5" s="185">
        <f>LIGNE!B110+LIGNE!C110+LIGNE!D110</f>
        <v>0</v>
      </c>
      <c r="C5" s="186">
        <f>LIGNE!E110+LIGNE!F110+LIGNE!G110+LIGNE!I110+LIGNE!H110</f>
        <v>0</v>
      </c>
      <c r="D5" s="185">
        <f>LIGNE!J110+LIGNE!K110+LIGNE!L110+LIGNE!M110</f>
        <v>0</v>
      </c>
      <c r="E5" s="187">
        <f>LIGNE!N110+LIGNE!O110+LIGNE!P110+LIGNE!Q110+LIGNE!R110</f>
        <v>0</v>
      </c>
      <c r="F5" s="185">
        <f>LIGNE!S110+LIGNE!T110+LIGNE!W110+LIGNE!U110+LIGNE!V110</f>
        <v>0</v>
      </c>
      <c r="G5" s="188">
        <f>LIGNE!X110+LIGNE!Z110+LIGNE!AB110+LIGNE!AF110+LIGNE!AD110</f>
        <v>0</v>
      </c>
      <c r="H5" s="189">
        <f>LIGNE!Y110+LIGNE!AA110+LIGNE!AC110+LIGNE!AG110+LIGNE!AE110</f>
        <v>0</v>
      </c>
      <c r="I5" s="202">
        <f>LIGNE!AH110+LIGNE!AJ110+LIGNE!AL110+LIGNE!AN110</f>
        <v>0</v>
      </c>
      <c r="J5" s="203">
        <f>LIGNE!AI110+LIGNE!AK110+LIGNE!AM110+LIGNE!AO110</f>
        <v>0</v>
      </c>
      <c r="K5" s="204">
        <f>LIGNE!AP110+LIGNE!AQ110+LIGNE!AS110+LIGNE!AR110</f>
        <v>0</v>
      </c>
      <c r="L5" s="205">
        <f>LIGNE!AT110+LIGNE!AU110+LIGNE!AV110+LIGNE!AW110+LIGNE!AX110+LIGNE!AUC110</f>
        <v>0</v>
      </c>
      <c r="M5" s="205">
        <f>LIGNE!AZ110+LIGNE!BC110+LIGNE!BF110+LIGNE!BJ110</f>
        <v>0</v>
      </c>
      <c r="N5" s="205">
        <f>LIGNE!BB110+LIGNE!BE110+LIGNE!BH110+LIGNE!BK110</f>
        <v>0</v>
      </c>
      <c r="O5" s="205">
        <f>+LIGNE!BL110+LIGNE!BM110+LIGNE!BN110+LIGNE!BO110+LIGNE!BP110+LIGNE!BQ110</f>
        <v>0</v>
      </c>
      <c r="P5" s="206" t="e">
        <f>+B5+C5+D5+E5+F5+G5+I5+K5+#REF!+M5+L5+O5</f>
        <v>#REF!</v>
      </c>
      <c r="Q5" s="211">
        <f t="shared" ref="Q5:Q35" si="0">+J5+N5</f>
        <v>0</v>
      </c>
      <c r="R5" s="212">
        <f t="shared" ref="R5:R35" si="1">+H5</f>
        <v>0</v>
      </c>
    </row>
    <row r="6" spans="1:18">
      <c r="A6" s="137">
        <v>2</v>
      </c>
      <c r="B6" s="185">
        <f>LIGNE!B111+LIGNE!C111+LIGNE!D111</f>
        <v>0</v>
      </c>
      <c r="C6" s="186">
        <f>LIGNE!E111+LIGNE!F111+LIGNE!G111+LIGNE!I111+LIGNE!H111</f>
        <v>0</v>
      </c>
      <c r="D6" s="185">
        <f>LIGNE!J111+LIGNE!K111+LIGNE!L111+LIGNE!M111</f>
        <v>0</v>
      </c>
      <c r="E6" s="187">
        <f>LIGNE!N111+LIGNE!O111+LIGNE!P111+LIGNE!Q111+LIGNE!R111</f>
        <v>0</v>
      </c>
      <c r="F6" s="185">
        <f>LIGNE!S111+LIGNE!T111+LIGNE!W111+LIGNE!U111+LIGNE!V111</f>
        <v>0</v>
      </c>
      <c r="G6" s="188">
        <f>LIGNE!X111+LIGNE!Z111+LIGNE!AB111+LIGNE!AF111+LIGNE!AD111</f>
        <v>0</v>
      </c>
      <c r="H6" s="189">
        <f>LIGNE!Y111+LIGNE!AA111+LIGNE!AC111+LIGNE!AG111+LIGNE!AE111</f>
        <v>0</v>
      </c>
      <c r="I6" s="202">
        <f>LIGNE!AH111+LIGNE!AJ111+LIGNE!AL111+LIGNE!AN111</f>
        <v>0</v>
      </c>
      <c r="J6" s="203">
        <f>LIGNE!AI111+LIGNE!AK111+LIGNE!AM111+LIGNE!AO111</f>
        <v>0</v>
      </c>
      <c r="K6" s="204">
        <f>LIGNE!AP111+LIGNE!AQ111+LIGNE!AS111+LIGNE!AR111</f>
        <v>0</v>
      </c>
      <c r="L6" s="205">
        <f>LIGNE!AT111+LIGNE!AU111+LIGNE!AV111+LIGNE!AW111+LIGNE!AX111+LIGNE!AUC111</f>
        <v>0</v>
      </c>
      <c r="M6" s="205">
        <f>LIGNE!AZ111+LIGNE!BC111+LIGNE!BF111+LIGNE!BJ111</f>
        <v>0</v>
      </c>
      <c r="N6" s="205">
        <f>LIGNE!BB111+LIGNE!BE111+LIGNE!BH111+LIGNE!BK111</f>
        <v>0</v>
      </c>
      <c r="O6" s="205">
        <f>+LIGNE!BL111+LIGNE!BM111+LIGNE!BN111+LIGNE!BO111+LIGNE!BP111+LIGNE!BQ111</f>
        <v>0</v>
      </c>
      <c r="P6" s="206" t="e">
        <f>+B6+C6+D6+E6+F6+G6+I6+K6+#REF!+M6+L6+O6</f>
        <v>#REF!</v>
      </c>
      <c r="Q6" s="211">
        <f t="shared" si="0"/>
        <v>0</v>
      </c>
      <c r="R6" s="212">
        <f t="shared" si="1"/>
        <v>0</v>
      </c>
    </row>
    <row r="7" spans="1:18">
      <c r="A7" s="137">
        <v>3</v>
      </c>
      <c r="B7" s="185">
        <f>LIGNE!B112+LIGNE!C112+LIGNE!D112</f>
        <v>0</v>
      </c>
      <c r="C7" s="186">
        <f>LIGNE!E112+LIGNE!F112+LIGNE!G112+LIGNE!I112+LIGNE!H112</f>
        <v>0</v>
      </c>
      <c r="D7" s="185">
        <f>LIGNE!J112+LIGNE!K112+LIGNE!L112+LIGNE!M112</f>
        <v>0</v>
      </c>
      <c r="E7" s="187">
        <f>LIGNE!N112+LIGNE!O112+LIGNE!P112+LIGNE!Q112+LIGNE!R112</f>
        <v>0</v>
      </c>
      <c r="F7" s="185">
        <f>LIGNE!S112+LIGNE!T112+LIGNE!W112+LIGNE!U112+LIGNE!V112</f>
        <v>0</v>
      </c>
      <c r="G7" s="188">
        <f>LIGNE!X112+LIGNE!Z112+LIGNE!AB112+LIGNE!AF112+LIGNE!AD112</f>
        <v>0</v>
      </c>
      <c r="H7" s="189">
        <f>LIGNE!Y112+LIGNE!AA112+LIGNE!AC112+LIGNE!AG112+LIGNE!AE112</f>
        <v>0</v>
      </c>
      <c r="I7" s="202">
        <f>LIGNE!AH112+LIGNE!AJ112+LIGNE!AL112+LIGNE!AN112</f>
        <v>0</v>
      </c>
      <c r="J7" s="203">
        <f>LIGNE!AI112+LIGNE!AK112+LIGNE!AM112+LIGNE!AO112</f>
        <v>0</v>
      </c>
      <c r="K7" s="204">
        <f>LIGNE!AP112+LIGNE!AQ112+LIGNE!AS112+LIGNE!AR112</f>
        <v>0</v>
      </c>
      <c r="L7" s="205">
        <f>LIGNE!AT112+LIGNE!AU112+LIGNE!AV112+LIGNE!AW112+LIGNE!AX112+LIGNE!AUC112</f>
        <v>0</v>
      </c>
      <c r="M7" s="205">
        <f>LIGNE!AZ112+LIGNE!BC112+LIGNE!BF112+LIGNE!BJ112</f>
        <v>0</v>
      </c>
      <c r="N7" s="205">
        <f>LIGNE!BB112+LIGNE!BE112+LIGNE!BH112+LIGNE!BK112</f>
        <v>0</v>
      </c>
      <c r="O7" s="205">
        <f>+LIGNE!BL112+LIGNE!BM112+LIGNE!BN112+LIGNE!BO112+LIGNE!BP112+LIGNE!BQ112</f>
        <v>0</v>
      </c>
      <c r="P7" s="206" t="e">
        <f>+B7+C7+D7+E7+F7+G7+I7+K7+#REF!+M7+L7+O7</f>
        <v>#REF!</v>
      </c>
      <c r="Q7" s="211">
        <f t="shared" si="0"/>
        <v>0</v>
      </c>
      <c r="R7" s="212">
        <f t="shared" si="1"/>
        <v>0</v>
      </c>
    </row>
    <row r="8" spans="1:18">
      <c r="A8" s="137">
        <v>4</v>
      </c>
      <c r="B8" s="185">
        <f>LIGNE!B113+LIGNE!C113+LIGNE!D113</f>
        <v>0</v>
      </c>
      <c r="C8" s="186">
        <f>LIGNE!E113+LIGNE!F113+LIGNE!G113+LIGNE!I113+LIGNE!H113</f>
        <v>0</v>
      </c>
      <c r="D8" s="185">
        <f>LIGNE!J113+LIGNE!K113+LIGNE!L113+LIGNE!M113</f>
        <v>0</v>
      </c>
      <c r="E8" s="187">
        <f>LIGNE!N113+LIGNE!O113+LIGNE!P113+LIGNE!Q113+LIGNE!R113</f>
        <v>0</v>
      </c>
      <c r="F8" s="185">
        <f>LIGNE!S113+LIGNE!T113+LIGNE!W113+LIGNE!U113+LIGNE!V113</f>
        <v>0</v>
      </c>
      <c r="G8" s="188">
        <f>LIGNE!X113+LIGNE!Z113+LIGNE!AB113+LIGNE!AF113+LIGNE!AD113</f>
        <v>0</v>
      </c>
      <c r="H8" s="189">
        <f>LIGNE!Y113+LIGNE!AA113+LIGNE!AC113+LIGNE!AG113+LIGNE!AE113</f>
        <v>0</v>
      </c>
      <c r="I8" s="202">
        <f>LIGNE!AH113+LIGNE!AJ113+LIGNE!AL113+LIGNE!AN113</f>
        <v>0</v>
      </c>
      <c r="J8" s="203">
        <f>LIGNE!AI113+LIGNE!AK113+LIGNE!AM113+LIGNE!AO113</f>
        <v>0</v>
      </c>
      <c r="K8" s="204">
        <f>LIGNE!AP113+LIGNE!AQ113+LIGNE!AS113+LIGNE!AR113</f>
        <v>0</v>
      </c>
      <c r="L8" s="205">
        <f>LIGNE!AT113+LIGNE!AU113+LIGNE!AV113+LIGNE!AW113+LIGNE!AX113+LIGNE!AUC113</f>
        <v>0</v>
      </c>
      <c r="M8" s="205">
        <f>LIGNE!AZ113+LIGNE!BC113+LIGNE!BF113+LIGNE!BJ113</f>
        <v>0</v>
      </c>
      <c r="N8" s="205">
        <f>LIGNE!BB113+LIGNE!BE113+LIGNE!BH113+LIGNE!BK113</f>
        <v>0</v>
      </c>
      <c r="O8" s="205">
        <f>+LIGNE!BL113+LIGNE!BM113+LIGNE!BN113+LIGNE!BO113+LIGNE!BP113+LIGNE!BQ113</f>
        <v>0</v>
      </c>
      <c r="P8" s="206" t="e">
        <f>+B8+C8+D8+E8+F8+G8+I8+K8+#REF!+M8+L8+O8</f>
        <v>#REF!</v>
      </c>
      <c r="Q8" s="211">
        <f t="shared" si="0"/>
        <v>0</v>
      </c>
      <c r="R8" s="212">
        <f t="shared" si="1"/>
        <v>0</v>
      </c>
    </row>
    <row r="9" spans="1:18">
      <c r="A9" s="137">
        <v>5</v>
      </c>
      <c r="B9" s="185">
        <f>LIGNE!B114+LIGNE!C114+LIGNE!D114</f>
        <v>0</v>
      </c>
      <c r="C9" s="186">
        <f>LIGNE!E114+LIGNE!F114+LIGNE!G114+LIGNE!I114+LIGNE!H114</f>
        <v>0</v>
      </c>
      <c r="D9" s="185">
        <f>LIGNE!J114+LIGNE!K114+LIGNE!L114+LIGNE!M114</f>
        <v>0</v>
      </c>
      <c r="E9" s="187">
        <f>LIGNE!N114+LIGNE!O114+LIGNE!P114+LIGNE!Q114+LIGNE!R114</f>
        <v>0</v>
      </c>
      <c r="F9" s="185">
        <f>LIGNE!S114+LIGNE!T114+LIGNE!W114+LIGNE!U114+LIGNE!V114</f>
        <v>0</v>
      </c>
      <c r="G9" s="188">
        <f>LIGNE!X114+LIGNE!Z114+LIGNE!AB114+LIGNE!AF114+LIGNE!AD114</f>
        <v>0</v>
      </c>
      <c r="H9" s="189">
        <f>LIGNE!Y114+LIGNE!AA114+LIGNE!AC114+LIGNE!AG114+LIGNE!AE114</f>
        <v>0</v>
      </c>
      <c r="I9" s="202">
        <f>LIGNE!AH114+LIGNE!AJ114+LIGNE!AL114+LIGNE!AN114</f>
        <v>0</v>
      </c>
      <c r="J9" s="203">
        <f>LIGNE!AI114+LIGNE!AK114+LIGNE!AM114+LIGNE!AO114</f>
        <v>0</v>
      </c>
      <c r="K9" s="204">
        <f>LIGNE!AP114+LIGNE!AQ114+LIGNE!AS114+LIGNE!AR114</f>
        <v>0</v>
      </c>
      <c r="L9" s="205">
        <f>LIGNE!AT114+LIGNE!AU114+LIGNE!AV114+LIGNE!AW114+LIGNE!AX114+LIGNE!AUC114</f>
        <v>0</v>
      </c>
      <c r="M9" s="205">
        <f>LIGNE!AZ114+LIGNE!BC114+LIGNE!BF114+LIGNE!BJ114</f>
        <v>0</v>
      </c>
      <c r="N9" s="205">
        <f>LIGNE!BB114+LIGNE!BE114+LIGNE!BH114+LIGNE!BK114</f>
        <v>0</v>
      </c>
      <c r="O9" s="205">
        <f>+LIGNE!BL114+LIGNE!BM114+LIGNE!BN114+LIGNE!BO114+LIGNE!BP114+LIGNE!BQ114</f>
        <v>0</v>
      </c>
      <c r="P9" s="206" t="e">
        <f>+B9+C9+D9+E9+F9+G9+I9+K9+#REF!+M9+L9+O9</f>
        <v>#REF!</v>
      </c>
      <c r="Q9" s="211">
        <f t="shared" si="0"/>
        <v>0</v>
      </c>
      <c r="R9" s="212">
        <f t="shared" si="1"/>
        <v>0</v>
      </c>
    </row>
    <row r="10" spans="1:18">
      <c r="A10" s="137">
        <v>6</v>
      </c>
      <c r="B10" s="185">
        <f>LIGNE!B115+LIGNE!C115+LIGNE!D115</f>
        <v>0</v>
      </c>
      <c r="C10" s="186">
        <f>LIGNE!E115+LIGNE!F115+LIGNE!G115+LIGNE!I115+LIGNE!H115</f>
        <v>0</v>
      </c>
      <c r="D10" s="185">
        <f>LIGNE!J115+LIGNE!K115+LIGNE!L115+LIGNE!M115</f>
        <v>0</v>
      </c>
      <c r="E10" s="187">
        <f>LIGNE!N115+LIGNE!O115+LIGNE!P115+LIGNE!Q115+LIGNE!R115</f>
        <v>0</v>
      </c>
      <c r="F10" s="185">
        <f>LIGNE!S115+LIGNE!T115+LIGNE!W115+LIGNE!U115+LIGNE!V115</f>
        <v>0</v>
      </c>
      <c r="G10" s="188">
        <f>LIGNE!X115+LIGNE!Z115+LIGNE!AB115+LIGNE!AF115+LIGNE!AD115</f>
        <v>0</v>
      </c>
      <c r="H10" s="189">
        <f>LIGNE!Y115+LIGNE!AA115+LIGNE!AC115+LIGNE!AG115+LIGNE!AE115</f>
        <v>0</v>
      </c>
      <c r="I10" s="202">
        <f>LIGNE!AH115+LIGNE!AJ115+LIGNE!AL115+LIGNE!AN115</f>
        <v>0</v>
      </c>
      <c r="J10" s="203">
        <f>LIGNE!AI115+LIGNE!AK115+LIGNE!AM115+LIGNE!AO115</f>
        <v>0</v>
      </c>
      <c r="K10" s="204">
        <f>LIGNE!AP115+LIGNE!AQ115+LIGNE!AS115+LIGNE!AR115</f>
        <v>0</v>
      </c>
      <c r="L10" s="205">
        <f>LIGNE!AT115+LIGNE!AU115+LIGNE!AV115+LIGNE!AW115+LIGNE!AX115+LIGNE!AUC115</f>
        <v>0</v>
      </c>
      <c r="M10" s="205">
        <f>LIGNE!AZ115+LIGNE!BC115+LIGNE!BF115+LIGNE!BJ115</f>
        <v>0</v>
      </c>
      <c r="N10" s="205">
        <f>LIGNE!BB115+LIGNE!BE115+LIGNE!BH115+LIGNE!BK115</f>
        <v>0</v>
      </c>
      <c r="O10" s="205">
        <f>+LIGNE!BL115+LIGNE!BM115+LIGNE!BN115+LIGNE!BO115+LIGNE!BP115+LIGNE!BQ115</f>
        <v>0</v>
      </c>
      <c r="P10" s="206" t="e">
        <f>+B10+C10+D10+E10+F10+G10+I10+K10+#REF!+M10+L10+O10</f>
        <v>#REF!</v>
      </c>
      <c r="Q10" s="211">
        <f t="shared" si="0"/>
        <v>0</v>
      </c>
      <c r="R10" s="212">
        <f t="shared" si="1"/>
        <v>0</v>
      </c>
    </row>
    <row r="11" spans="1:18">
      <c r="A11" s="137">
        <v>7</v>
      </c>
      <c r="B11" s="185">
        <f>LIGNE!B116+LIGNE!C116+LIGNE!D116</f>
        <v>0</v>
      </c>
      <c r="C11" s="186">
        <f>LIGNE!E116+LIGNE!F116+LIGNE!G116+LIGNE!I116+LIGNE!H116</f>
        <v>0</v>
      </c>
      <c r="D11" s="185">
        <f>LIGNE!J116+LIGNE!K116+LIGNE!L116+LIGNE!M116</f>
        <v>0</v>
      </c>
      <c r="E11" s="187">
        <f>LIGNE!N116+LIGNE!O116+LIGNE!P116+LIGNE!Q116+LIGNE!R116</f>
        <v>0</v>
      </c>
      <c r="F11" s="185">
        <f>LIGNE!S116+LIGNE!T116+LIGNE!W116+LIGNE!U116+LIGNE!V116</f>
        <v>0</v>
      </c>
      <c r="G11" s="188">
        <f>LIGNE!X116+LIGNE!Z116+LIGNE!AB116+LIGNE!AF116+LIGNE!AD116</f>
        <v>0</v>
      </c>
      <c r="H11" s="189">
        <f>LIGNE!Y116+LIGNE!AA116+LIGNE!AC116+LIGNE!AG116+LIGNE!AE116</f>
        <v>0</v>
      </c>
      <c r="I11" s="202">
        <f>LIGNE!AH116+LIGNE!AJ116+LIGNE!AL116+LIGNE!AN116</f>
        <v>0</v>
      </c>
      <c r="J11" s="203">
        <f>LIGNE!AI116+LIGNE!AK116+LIGNE!AM116+LIGNE!AO116</f>
        <v>0</v>
      </c>
      <c r="K11" s="204">
        <f>LIGNE!AP116+LIGNE!AQ116+LIGNE!AS116+LIGNE!AR116</f>
        <v>0</v>
      </c>
      <c r="L11" s="205">
        <f>LIGNE!AT116+LIGNE!AU116+LIGNE!AV116+LIGNE!AW116+LIGNE!AX116+LIGNE!AUC116</f>
        <v>0</v>
      </c>
      <c r="M11" s="205">
        <f>LIGNE!AZ116+LIGNE!BC116+LIGNE!BF116+LIGNE!BJ116</f>
        <v>0</v>
      </c>
      <c r="N11" s="205">
        <f>LIGNE!BB116+LIGNE!BE116+LIGNE!BH116+LIGNE!BK116</f>
        <v>0</v>
      </c>
      <c r="O11" s="205">
        <f>+LIGNE!BL116+LIGNE!BM116+LIGNE!BN116+LIGNE!BO116+LIGNE!BP116+LIGNE!BQ116</f>
        <v>0</v>
      </c>
      <c r="P11" s="206" t="e">
        <f>+B11+C11+D11+E11+F11+G11+I11+K11+#REF!+M11+L11+O11</f>
        <v>#REF!</v>
      </c>
      <c r="Q11" s="211">
        <f t="shared" si="0"/>
        <v>0</v>
      </c>
      <c r="R11" s="212">
        <f t="shared" si="1"/>
        <v>0</v>
      </c>
    </row>
    <row r="12" spans="1:18">
      <c r="A12" s="137">
        <v>8</v>
      </c>
      <c r="B12" s="185">
        <f>LIGNE!B117+LIGNE!C117+LIGNE!D117</f>
        <v>0</v>
      </c>
      <c r="C12" s="186">
        <f>LIGNE!E117+LIGNE!F117+LIGNE!G117+LIGNE!I117+LIGNE!H117</f>
        <v>0</v>
      </c>
      <c r="D12" s="185">
        <f>LIGNE!J117+LIGNE!K117+LIGNE!L117+LIGNE!M117</f>
        <v>0</v>
      </c>
      <c r="E12" s="187">
        <f>LIGNE!N117+LIGNE!O117+LIGNE!P117+LIGNE!Q117+LIGNE!R117</f>
        <v>0</v>
      </c>
      <c r="F12" s="185">
        <f>LIGNE!S117+LIGNE!T117+LIGNE!W117+LIGNE!U117+LIGNE!V117</f>
        <v>0</v>
      </c>
      <c r="G12" s="188">
        <f>LIGNE!X117+LIGNE!Z117+LIGNE!AB117+LIGNE!AF117+LIGNE!AD117</f>
        <v>0</v>
      </c>
      <c r="H12" s="189">
        <f>LIGNE!Y117+LIGNE!AA117+LIGNE!AC117+LIGNE!AG117+LIGNE!AE117</f>
        <v>0</v>
      </c>
      <c r="I12" s="202">
        <f>LIGNE!AH117+LIGNE!AJ117+LIGNE!AL117+LIGNE!AN117</f>
        <v>0</v>
      </c>
      <c r="J12" s="203">
        <f>LIGNE!AI117+LIGNE!AK117+LIGNE!AM117+LIGNE!AO117</f>
        <v>0</v>
      </c>
      <c r="K12" s="204">
        <f>LIGNE!AP117+LIGNE!AQ117+LIGNE!AS117+LIGNE!AR117</f>
        <v>0</v>
      </c>
      <c r="L12" s="205">
        <f>LIGNE!AT117+LIGNE!AU117+LIGNE!AV117+LIGNE!AW117+LIGNE!AX117+LIGNE!AUC117</f>
        <v>0</v>
      </c>
      <c r="M12" s="205">
        <f>LIGNE!AZ117+LIGNE!BC117+LIGNE!BF117+LIGNE!BJ117</f>
        <v>0</v>
      </c>
      <c r="N12" s="205">
        <f>LIGNE!BB117+LIGNE!BE117+LIGNE!BH117+LIGNE!BK117</f>
        <v>0</v>
      </c>
      <c r="O12" s="205">
        <f>+LIGNE!BL117+LIGNE!BM117+LIGNE!BN117+LIGNE!BO117+LIGNE!BP117+LIGNE!BQ117</f>
        <v>0</v>
      </c>
      <c r="P12" s="206" t="e">
        <f>+B12+C12+D12+E12+F12+G12+I12+K12+#REF!+M12+L12+O12</f>
        <v>#REF!</v>
      </c>
      <c r="Q12" s="211">
        <f t="shared" si="0"/>
        <v>0</v>
      </c>
      <c r="R12" s="212">
        <f t="shared" si="1"/>
        <v>0</v>
      </c>
    </row>
    <row r="13" spans="1:18">
      <c r="A13" s="137">
        <v>9</v>
      </c>
      <c r="B13" s="185">
        <f>LIGNE!B118+LIGNE!C118+LIGNE!D118</f>
        <v>0</v>
      </c>
      <c r="C13" s="186">
        <f>LIGNE!E118+LIGNE!F118+LIGNE!G118+LIGNE!I118+LIGNE!H118</f>
        <v>0</v>
      </c>
      <c r="D13" s="185">
        <f>LIGNE!J118+LIGNE!K118+LIGNE!L118+LIGNE!M118</f>
        <v>0</v>
      </c>
      <c r="E13" s="187">
        <f>LIGNE!N118+LIGNE!O118+LIGNE!P118+LIGNE!Q118+LIGNE!R118</f>
        <v>0</v>
      </c>
      <c r="F13" s="185">
        <f>LIGNE!S118+LIGNE!T118+LIGNE!W118+LIGNE!U118+LIGNE!V118</f>
        <v>0</v>
      </c>
      <c r="G13" s="188">
        <f>LIGNE!X118+LIGNE!Z118+LIGNE!AB118+LIGNE!AF118+LIGNE!AD118</f>
        <v>0</v>
      </c>
      <c r="H13" s="189">
        <f>LIGNE!Y118+LIGNE!AA118+LIGNE!AC118+LIGNE!AG118+LIGNE!AE118</f>
        <v>0</v>
      </c>
      <c r="I13" s="202">
        <f>LIGNE!AH118+LIGNE!AJ118+LIGNE!AL118+LIGNE!AN118</f>
        <v>0</v>
      </c>
      <c r="J13" s="203">
        <f>LIGNE!AI118+LIGNE!AK118+LIGNE!AM118+LIGNE!AO118</f>
        <v>0</v>
      </c>
      <c r="K13" s="204">
        <f>LIGNE!AP118+LIGNE!AQ118+LIGNE!AS118+LIGNE!AR118</f>
        <v>0</v>
      </c>
      <c r="L13" s="205">
        <f>LIGNE!AT118+LIGNE!AU118+LIGNE!AV118+LIGNE!AW118+LIGNE!AX118+LIGNE!AUC118</f>
        <v>0</v>
      </c>
      <c r="M13" s="205">
        <f>LIGNE!AZ118+LIGNE!BC118+LIGNE!BF118+LIGNE!BJ118</f>
        <v>0</v>
      </c>
      <c r="N13" s="205">
        <f>LIGNE!BB118+LIGNE!BE118+LIGNE!BH118+LIGNE!BK118</f>
        <v>0</v>
      </c>
      <c r="O13" s="205">
        <f>+LIGNE!BL118+LIGNE!BM118+LIGNE!BN118+LIGNE!BO118+LIGNE!BP118+LIGNE!BQ118</f>
        <v>0</v>
      </c>
      <c r="P13" s="206" t="e">
        <f>+B13+C13+D13+E13+F13+G13+I13+K13+#REF!+M13+L13+O13</f>
        <v>#REF!</v>
      </c>
      <c r="Q13" s="211">
        <f t="shared" si="0"/>
        <v>0</v>
      </c>
      <c r="R13" s="212">
        <f t="shared" si="1"/>
        <v>0</v>
      </c>
    </row>
    <row r="14" spans="1:18">
      <c r="A14" s="137">
        <v>10</v>
      </c>
      <c r="B14" s="185">
        <f>LIGNE!B119+LIGNE!C119+LIGNE!D119</f>
        <v>0</v>
      </c>
      <c r="C14" s="186">
        <f>LIGNE!E119+LIGNE!F119+LIGNE!G119+LIGNE!I119+LIGNE!H119</f>
        <v>0</v>
      </c>
      <c r="D14" s="185">
        <f>LIGNE!J119+LIGNE!K119+LIGNE!L119+LIGNE!M119</f>
        <v>0</v>
      </c>
      <c r="E14" s="187">
        <f>LIGNE!N119+LIGNE!O119+LIGNE!P119+LIGNE!Q119+LIGNE!R119</f>
        <v>0</v>
      </c>
      <c r="F14" s="185">
        <f>LIGNE!S119+LIGNE!T119+LIGNE!W119+LIGNE!U119+LIGNE!V119</f>
        <v>0</v>
      </c>
      <c r="G14" s="188">
        <f>LIGNE!X119+LIGNE!Z119+LIGNE!AB119+LIGNE!AF119+LIGNE!AD119</f>
        <v>0</v>
      </c>
      <c r="H14" s="189">
        <f>LIGNE!Y119+LIGNE!AA119+LIGNE!AC119+LIGNE!AG119+LIGNE!AE119</f>
        <v>0</v>
      </c>
      <c r="I14" s="202">
        <f>LIGNE!AH119+LIGNE!AJ119+LIGNE!AL119+LIGNE!AN119</f>
        <v>0</v>
      </c>
      <c r="J14" s="203">
        <f>LIGNE!AI119+LIGNE!AK119+LIGNE!AM119+LIGNE!AO119</f>
        <v>0</v>
      </c>
      <c r="K14" s="204">
        <f>LIGNE!AP119+LIGNE!AQ119+LIGNE!AS119+LIGNE!AR119</f>
        <v>0</v>
      </c>
      <c r="L14" s="205">
        <f>LIGNE!AT119+LIGNE!AU119+LIGNE!AV119+LIGNE!AW119+LIGNE!AX119+LIGNE!AUC119</f>
        <v>0</v>
      </c>
      <c r="M14" s="205">
        <f>LIGNE!AZ119+LIGNE!BC119+LIGNE!BF119+LIGNE!BJ119</f>
        <v>0</v>
      </c>
      <c r="N14" s="205">
        <f>LIGNE!BB119+LIGNE!BE119+LIGNE!BH119+LIGNE!BK119</f>
        <v>0</v>
      </c>
      <c r="O14" s="205">
        <f>+LIGNE!BL119+LIGNE!BM119+LIGNE!BN119+LIGNE!BO119+LIGNE!BP119+LIGNE!BQ119</f>
        <v>0</v>
      </c>
      <c r="P14" s="206" t="e">
        <f>+B14+C14+D14+E14+F14+G14+I14+K14+#REF!+M14+L14+O14</f>
        <v>#REF!</v>
      </c>
      <c r="Q14" s="211">
        <f t="shared" si="0"/>
        <v>0</v>
      </c>
      <c r="R14" s="212">
        <f t="shared" si="1"/>
        <v>0</v>
      </c>
    </row>
    <row r="15" spans="1:18">
      <c r="A15" s="137">
        <v>11</v>
      </c>
      <c r="B15" s="185">
        <f>LIGNE!B120+LIGNE!C120+LIGNE!D120</f>
        <v>0</v>
      </c>
      <c r="C15" s="186">
        <f>LIGNE!E120+LIGNE!F120+LIGNE!G120+LIGNE!I120+LIGNE!H120</f>
        <v>0</v>
      </c>
      <c r="D15" s="185">
        <f>LIGNE!J120+LIGNE!K120+LIGNE!L120+LIGNE!M120</f>
        <v>0</v>
      </c>
      <c r="E15" s="187">
        <f>LIGNE!N120+LIGNE!O120+LIGNE!P120+LIGNE!Q120+LIGNE!R120</f>
        <v>0</v>
      </c>
      <c r="F15" s="185">
        <f>LIGNE!S120+LIGNE!T120+LIGNE!W120+LIGNE!U120+LIGNE!V120</f>
        <v>0</v>
      </c>
      <c r="G15" s="188">
        <f>LIGNE!X120+LIGNE!Z120+LIGNE!AB120+LIGNE!AF120+LIGNE!AD120</f>
        <v>0</v>
      </c>
      <c r="H15" s="189">
        <f>LIGNE!Y120+LIGNE!AA120+LIGNE!AC120+LIGNE!AG120+LIGNE!AE120</f>
        <v>0</v>
      </c>
      <c r="I15" s="202">
        <f>LIGNE!AH120+LIGNE!AJ120+LIGNE!AL120+LIGNE!AN120</f>
        <v>0</v>
      </c>
      <c r="J15" s="203">
        <f>LIGNE!AI120+LIGNE!AK120+LIGNE!AM120+LIGNE!AO120</f>
        <v>0</v>
      </c>
      <c r="K15" s="204">
        <f>LIGNE!AP120+LIGNE!AQ120+LIGNE!AS120+LIGNE!AR120</f>
        <v>0</v>
      </c>
      <c r="L15" s="205">
        <f>LIGNE!AT120+LIGNE!AU120+LIGNE!AV120+LIGNE!AW120+LIGNE!AX120+LIGNE!AUC120</f>
        <v>0</v>
      </c>
      <c r="M15" s="205">
        <f>LIGNE!AZ120+LIGNE!BC120+LIGNE!BF120+LIGNE!BJ120</f>
        <v>0</v>
      </c>
      <c r="N15" s="205">
        <f>LIGNE!BB120+LIGNE!BE120+LIGNE!BH120+LIGNE!BK120</f>
        <v>0</v>
      </c>
      <c r="O15" s="205">
        <f>+LIGNE!BL120+LIGNE!BM120+LIGNE!BN120+LIGNE!BO120+LIGNE!BP120+LIGNE!BQ120</f>
        <v>0</v>
      </c>
      <c r="P15" s="206" t="e">
        <f>+B15+C15+D15+E15+F15+G15+I15+K15+#REF!+M15+L15+O15</f>
        <v>#REF!</v>
      </c>
      <c r="Q15" s="211">
        <f t="shared" si="0"/>
        <v>0</v>
      </c>
      <c r="R15" s="212">
        <f t="shared" si="1"/>
        <v>0</v>
      </c>
    </row>
    <row r="16" spans="1:18">
      <c r="A16" s="137">
        <v>12</v>
      </c>
      <c r="B16" s="185">
        <f>LIGNE!B121+LIGNE!C121+LIGNE!D121</f>
        <v>0</v>
      </c>
      <c r="C16" s="186">
        <f>LIGNE!E121+LIGNE!F121+LIGNE!G121+LIGNE!I121+LIGNE!H121</f>
        <v>0</v>
      </c>
      <c r="D16" s="185">
        <f>LIGNE!J121+LIGNE!K121+LIGNE!L121+LIGNE!M121</f>
        <v>0</v>
      </c>
      <c r="E16" s="187">
        <f>LIGNE!N121+LIGNE!O121+LIGNE!P121+LIGNE!Q121+LIGNE!R121</f>
        <v>0</v>
      </c>
      <c r="F16" s="185">
        <f>LIGNE!S121+LIGNE!T121+LIGNE!W121+LIGNE!U121+LIGNE!V121</f>
        <v>0</v>
      </c>
      <c r="G16" s="188">
        <f>LIGNE!X121+LIGNE!Z121+LIGNE!AB121+LIGNE!AF121+LIGNE!AD121</f>
        <v>0</v>
      </c>
      <c r="H16" s="189">
        <f>LIGNE!Y121+LIGNE!AA121+LIGNE!AC121+LIGNE!AG121+LIGNE!AE121</f>
        <v>0</v>
      </c>
      <c r="I16" s="202">
        <f>LIGNE!AH121+LIGNE!AJ121+LIGNE!AL121+LIGNE!AN121</f>
        <v>0</v>
      </c>
      <c r="J16" s="203">
        <f>LIGNE!AI121+LIGNE!AK121+LIGNE!AM121+LIGNE!AO121</f>
        <v>0</v>
      </c>
      <c r="K16" s="204">
        <f>LIGNE!AP121+LIGNE!AQ121+LIGNE!AS121+LIGNE!AR121</f>
        <v>0</v>
      </c>
      <c r="L16" s="205">
        <f>LIGNE!AT121+LIGNE!AU121+LIGNE!AV121+LIGNE!AW121+LIGNE!AX121+LIGNE!AUC121</f>
        <v>0</v>
      </c>
      <c r="M16" s="205">
        <f>LIGNE!AZ121+LIGNE!BC121+LIGNE!BF121+LIGNE!BJ121</f>
        <v>0</v>
      </c>
      <c r="N16" s="205">
        <f>LIGNE!BB121+LIGNE!BE121+LIGNE!BH121+LIGNE!BK121</f>
        <v>0</v>
      </c>
      <c r="O16" s="205">
        <f>+LIGNE!BL121+LIGNE!BM121+LIGNE!BN121+LIGNE!BO121+LIGNE!BP121+LIGNE!BQ121</f>
        <v>0</v>
      </c>
      <c r="P16" s="206" t="e">
        <f>+B16+C16+D16+E16+F16+G16+I16+K16+#REF!+M16+L16+O16</f>
        <v>#REF!</v>
      </c>
      <c r="Q16" s="211">
        <f t="shared" si="0"/>
        <v>0</v>
      </c>
      <c r="R16" s="212">
        <f t="shared" si="1"/>
        <v>0</v>
      </c>
    </row>
    <row r="17" spans="1:18">
      <c r="A17" s="137">
        <v>13</v>
      </c>
      <c r="B17" s="185">
        <f>LIGNE!B122+LIGNE!C122+LIGNE!D122</f>
        <v>0</v>
      </c>
      <c r="C17" s="186">
        <f>LIGNE!E122+LIGNE!F122+LIGNE!G122+LIGNE!I122+LIGNE!H122</f>
        <v>0</v>
      </c>
      <c r="D17" s="185">
        <f>LIGNE!J122+LIGNE!K122+LIGNE!L122+LIGNE!M122</f>
        <v>0</v>
      </c>
      <c r="E17" s="187">
        <f>LIGNE!N122+LIGNE!O122+LIGNE!P122+LIGNE!Q122+LIGNE!R122</f>
        <v>0</v>
      </c>
      <c r="F17" s="185">
        <f>LIGNE!S122+LIGNE!T122+LIGNE!W122+LIGNE!U122+LIGNE!V122</f>
        <v>0</v>
      </c>
      <c r="G17" s="188">
        <f>LIGNE!X122+LIGNE!Z122+LIGNE!AB122+LIGNE!AF122+LIGNE!AD122</f>
        <v>0</v>
      </c>
      <c r="H17" s="189">
        <f>LIGNE!Y122+LIGNE!AA122+LIGNE!AC122+LIGNE!AG122+LIGNE!AE122</f>
        <v>0</v>
      </c>
      <c r="I17" s="202">
        <f>LIGNE!AH122+LIGNE!AJ122+LIGNE!AL122+LIGNE!AN122</f>
        <v>0</v>
      </c>
      <c r="J17" s="203">
        <f>LIGNE!AI122+LIGNE!AK122+LIGNE!AM122+LIGNE!AO122</f>
        <v>0</v>
      </c>
      <c r="K17" s="204">
        <f>LIGNE!AP122+LIGNE!AQ122+LIGNE!AS122+LIGNE!AR122</f>
        <v>0</v>
      </c>
      <c r="L17" s="205">
        <f>LIGNE!AT122+LIGNE!AU122+LIGNE!AV122+LIGNE!AW122+LIGNE!AX122+LIGNE!AUC122</f>
        <v>0</v>
      </c>
      <c r="M17" s="205">
        <f>LIGNE!AZ122+LIGNE!BC122+LIGNE!BF122+LIGNE!BJ122</f>
        <v>0</v>
      </c>
      <c r="N17" s="205">
        <f>LIGNE!BB122+LIGNE!BE122+LIGNE!BH122+LIGNE!BK122</f>
        <v>0</v>
      </c>
      <c r="O17" s="205">
        <f>+LIGNE!BL122+LIGNE!BM122+LIGNE!BN122+LIGNE!BO122+LIGNE!BP122+LIGNE!BQ122</f>
        <v>0</v>
      </c>
      <c r="P17" s="206" t="e">
        <f>+B17+C17+D17+E17+F17+G17+I17+K17+#REF!+M17+L17+O17</f>
        <v>#REF!</v>
      </c>
      <c r="Q17" s="211">
        <f t="shared" si="0"/>
        <v>0</v>
      </c>
      <c r="R17" s="212">
        <f t="shared" si="1"/>
        <v>0</v>
      </c>
    </row>
    <row r="18" spans="1:18">
      <c r="A18" s="137">
        <v>14</v>
      </c>
      <c r="B18" s="185">
        <f>LIGNE!B123+LIGNE!C123+LIGNE!D123</f>
        <v>0</v>
      </c>
      <c r="C18" s="186">
        <f>LIGNE!E123+LIGNE!F123+LIGNE!G123+LIGNE!I123+LIGNE!H123</f>
        <v>0</v>
      </c>
      <c r="D18" s="185">
        <f>LIGNE!J123+LIGNE!K123+LIGNE!L123+LIGNE!M123</f>
        <v>0</v>
      </c>
      <c r="E18" s="187">
        <f>LIGNE!N123+LIGNE!O123+LIGNE!P123+LIGNE!Q123+LIGNE!R123</f>
        <v>0</v>
      </c>
      <c r="F18" s="185">
        <f>LIGNE!S123+LIGNE!T123+LIGNE!W123+LIGNE!U123+LIGNE!V123</f>
        <v>0</v>
      </c>
      <c r="G18" s="188">
        <f>LIGNE!X123+LIGNE!Z123+LIGNE!AB123+LIGNE!AF123+LIGNE!AD123</f>
        <v>0</v>
      </c>
      <c r="H18" s="189">
        <f>LIGNE!Y123+LIGNE!AA123+LIGNE!AC123+LIGNE!AG123+LIGNE!AE123</f>
        <v>0</v>
      </c>
      <c r="I18" s="202">
        <f>LIGNE!AH123+LIGNE!AJ123+LIGNE!AL123+LIGNE!AN123</f>
        <v>0</v>
      </c>
      <c r="J18" s="203">
        <f>LIGNE!AI123+LIGNE!AK123+LIGNE!AM123+LIGNE!AO123</f>
        <v>0</v>
      </c>
      <c r="K18" s="204">
        <f>LIGNE!AP123+LIGNE!AQ123+LIGNE!AS123+LIGNE!AR123</f>
        <v>0</v>
      </c>
      <c r="L18" s="205">
        <f>LIGNE!AT123+LIGNE!AU123+LIGNE!AV123+LIGNE!AW123+LIGNE!AX123+LIGNE!AUC123</f>
        <v>0</v>
      </c>
      <c r="M18" s="205">
        <f>LIGNE!AZ123+LIGNE!BC123+LIGNE!BF123+LIGNE!BJ123</f>
        <v>0</v>
      </c>
      <c r="N18" s="205">
        <f>LIGNE!BB123+LIGNE!BE123+LIGNE!BH123+LIGNE!BK123</f>
        <v>0</v>
      </c>
      <c r="O18" s="205">
        <f>+LIGNE!BL123+LIGNE!BM123+LIGNE!BN123+LIGNE!BO123+LIGNE!BP123+LIGNE!BQ123</f>
        <v>0</v>
      </c>
      <c r="P18" s="206" t="e">
        <f>+B18+C18+D18+E18+F18+G18+I18+K18+#REF!+M18+L18+O18</f>
        <v>#REF!</v>
      </c>
      <c r="Q18" s="211">
        <f t="shared" si="0"/>
        <v>0</v>
      </c>
      <c r="R18" s="212">
        <f t="shared" si="1"/>
        <v>0</v>
      </c>
    </row>
    <row r="19" spans="1:18">
      <c r="A19" s="137">
        <v>15</v>
      </c>
      <c r="B19" s="185">
        <f>LIGNE!B124+LIGNE!C124+LIGNE!D124</f>
        <v>0</v>
      </c>
      <c r="C19" s="186">
        <f>LIGNE!E124+LIGNE!F124+LIGNE!G124+LIGNE!I124+LIGNE!H124</f>
        <v>0</v>
      </c>
      <c r="D19" s="185">
        <f>LIGNE!J124+LIGNE!K124+LIGNE!L124+LIGNE!M124</f>
        <v>0</v>
      </c>
      <c r="E19" s="187">
        <f>LIGNE!N124+LIGNE!O124+LIGNE!P124+LIGNE!Q124+LIGNE!R124</f>
        <v>0</v>
      </c>
      <c r="F19" s="185">
        <f>LIGNE!S124+LIGNE!T124+LIGNE!W124+LIGNE!U124+LIGNE!V124</f>
        <v>0</v>
      </c>
      <c r="G19" s="188">
        <f>LIGNE!X124+LIGNE!Z124+LIGNE!AB124+LIGNE!AF124+LIGNE!AD124</f>
        <v>0</v>
      </c>
      <c r="H19" s="189">
        <f>LIGNE!Y124+LIGNE!AA124+LIGNE!AC124+LIGNE!AG124+LIGNE!AE124</f>
        <v>0</v>
      </c>
      <c r="I19" s="202">
        <f>LIGNE!AH124+LIGNE!AJ124+LIGNE!AL124+LIGNE!AN124</f>
        <v>0</v>
      </c>
      <c r="J19" s="203">
        <f>LIGNE!AI124+LIGNE!AK124+LIGNE!AM124+LIGNE!AO124</f>
        <v>0</v>
      </c>
      <c r="K19" s="204">
        <f>LIGNE!AP124+LIGNE!AQ124+LIGNE!AS124+LIGNE!AR124</f>
        <v>0</v>
      </c>
      <c r="L19" s="205">
        <f>LIGNE!AT124+LIGNE!AU124+LIGNE!AV124+LIGNE!AW124+LIGNE!AX124+LIGNE!AUC124</f>
        <v>0</v>
      </c>
      <c r="M19" s="205">
        <f>LIGNE!AZ124+LIGNE!BC124+LIGNE!BF124+LIGNE!BJ124</f>
        <v>0</v>
      </c>
      <c r="N19" s="205">
        <f>LIGNE!BB124+LIGNE!BE124+LIGNE!BH124+LIGNE!BK124</f>
        <v>0</v>
      </c>
      <c r="O19" s="205">
        <f>+LIGNE!BL124+LIGNE!BM124+LIGNE!BN124+LIGNE!BO124+LIGNE!BP124+LIGNE!BQ124</f>
        <v>0</v>
      </c>
      <c r="P19" s="206" t="e">
        <f>+B19+C19+D19+E19+F19+G19+I19+K19+#REF!+M19+L19+O19</f>
        <v>#REF!</v>
      </c>
      <c r="Q19" s="211">
        <f t="shared" si="0"/>
        <v>0</v>
      </c>
      <c r="R19" s="212">
        <f t="shared" si="1"/>
        <v>0</v>
      </c>
    </row>
    <row r="20" spans="1:18">
      <c r="A20" s="137">
        <v>16</v>
      </c>
      <c r="B20" s="185">
        <f>LIGNE!B125+LIGNE!C125+LIGNE!D125</f>
        <v>0</v>
      </c>
      <c r="C20" s="186">
        <f>LIGNE!E125+LIGNE!F125+LIGNE!G125+LIGNE!I125+LIGNE!H125</f>
        <v>0</v>
      </c>
      <c r="D20" s="185">
        <f>LIGNE!J125+LIGNE!K125+LIGNE!L125+LIGNE!M125</f>
        <v>0</v>
      </c>
      <c r="E20" s="187">
        <f>LIGNE!N125+LIGNE!O125+LIGNE!P125+LIGNE!Q125+LIGNE!R125</f>
        <v>0</v>
      </c>
      <c r="F20" s="185">
        <f>LIGNE!S125+LIGNE!T125+LIGNE!W125+LIGNE!U125+LIGNE!V125</f>
        <v>0</v>
      </c>
      <c r="G20" s="188">
        <f>LIGNE!X125+LIGNE!Z125+LIGNE!AB125+LIGNE!AF125+LIGNE!AD125</f>
        <v>0</v>
      </c>
      <c r="H20" s="189">
        <f>LIGNE!Y125+LIGNE!AA125+LIGNE!AC125+LIGNE!AG125+LIGNE!AE125</f>
        <v>0</v>
      </c>
      <c r="I20" s="202">
        <f>LIGNE!AH125+LIGNE!AJ125+LIGNE!AL125+LIGNE!AN125</f>
        <v>0</v>
      </c>
      <c r="J20" s="203">
        <f>LIGNE!AI125+LIGNE!AK125+LIGNE!AM125+LIGNE!AO125</f>
        <v>0</v>
      </c>
      <c r="K20" s="204">
        <f>LIGNE!AP125+LIGNE!AQ125+LIGNE!AS125+LIGNE!AR125</f>
        <v>0</v>
      </c>
      <c r="L20" s="205">
        <f>LIGNE!AT125+LIGNE!AU125+LIGNE!AV125+LIGNE!AW125+LIGNE!AX125+LIGNE!AUC125</f>
        <v>0</v>
      </c>
      <c r="M20" s="205">
        <f>LIGNE!AZ125+LIGNE!BC125+LIGNE!BF125+LIGNE!BJ125</f>
        <v>0</v>
      </c>
      <c r="N20" s="205">
        <f>LIGNE!BB125+LIGNE!BE125+LIGNE!BH125+LIGNE!BK125</f>
        <v>0</v>
      </c>
      <c r="O20" s="205">
        <f>+LIGNE!BL125+LIGNE!BM125+LIGNE!BN125+LIGNE!BO125+LIGNE!BP125+LIGNE!BQ125</f>
        <v>0</v>
      </c>
      <c r="P20" s="206" t="e">
        <f>+B20+C20+D20+E20+F20+G20+I20+K20+#REF!+M20+L20+O20</f>
        <v>#REF!</v>
      </c>
      <c r="Q20" s="211">
        <f t="shared" si="0"/>
        <v>0</v>
      </c>
      <c r="R20" s="212">
        <f t="shared" si="1"/>
        <v>0</v>
      </c>
    </row>
    <row r="21" spans="1:18">
      <c r="A21" s="137">
        <v>17</v>
      </c>
      <c r="B21" s="185">
        <f>LIGNE!B126+LIGNE!C126+LIGNE!D126</f>
        <v>0</v>
      </c>
      <c r="C21" s="186">
        <f>LIGNE!E126+LIGNE!F126+LIGNE!G126+LIGNE!I126+LIGNE!H126</f>
        <v>0</v>
      </c>
      <c r="D21" s="185">
        <f>LIGNE!J126+LIGNE!K126+LIGNE!L126+LIGNE!M126</f>
        <v>0</v>
      </c>
      <c r="E21" s="187">
        <f>LIGNE!N126+LIGNE!O126+LIGNE!P126+LIGNE!Q126+LIGNE!R126</f>
        <v>0</v>
      </c>
      <c r="F21" s="185">
        <f>LIGNE!S126+LIGNE!T126+LIGNE!W126+LIGNE!U126+LIGNE!V126</f>
        <v>0</v>
      </c>
      <c r="G21" s="188">
        <f>LIGNE!X126+LIGNE!Z126+LIGNE!AB126+LIGNE!AF126+LIGNE!AD126</f>
        <v>0</v>
      </c>
      <c r="H21" s="189">
        <f>LIGNE!Y126+LIGNE!AA126+LIGNE!AC126+LIGNE!AG126+LIGNE!AE126</f>
        <v>0</v>
      </c>
      <c r="I21" s="202">
        <f>LIGNE!AH126+LIGNE!AJ126+LIGNE!AL126+LIGNE!AN126</f>
        <v>0</v>
      </c>
      <c r="J21" s="203">
        <f>LIGNE!AI126+LIGNE!AK126+LIGNE!AM126+LIGNE!AO126</f>
        <v>0</v>
      </c>
      <c r="K21" s="204">
        <f>LIGNE!AP126+LIGNE!AQ126+LIGNE!AS126+LIGNE!AR126</f>
        <v>0</v>
      </c>
      <c r="L21" s="205">
        <f>LIGNE!AT126+LIGNE!AU126+LIGNE!AV126+LIGNE!AW126+LIGNE!AX126+LIGNE!AUC126</f>
        <v>0</v>
      </c>
      <c r="M21" s="205">
        <f>LIGNE!AZ126+LIGNE!BC126+LIGNE!BF126+LIGNE!BJ126</f>
        <v>0</v>
      </c>
      <c r="N21" s="205">
        <f>LIGNE!BB126+LIGNE!BE126+LIGNE!BH126+LIGNE!BK126</f>
        <v>0</v>
      </c>
      <c r="O21" s="205">
        <f>+LIGNE!BL126+LIGNE!BM126+LIGNE!BN126+LIGNE!BO126+LIGNE!BP126+LIGNE!BQ126</f>
        <v>0</v>
      </c>
      <c r="P21" s="206" t="e">
        <f>+B21+C21+D21+E21+F21+G21+I21+K21+#REF!+M21+L21+O21</f>
        <v>#REF!</v>
      </c>
      <c r="Q21" s="211">
        <f t="shared" si="0"/>
        <v>0</v>
      </c>
      <c r="R21" s="212">
        <f t="shared" si="1"/>
        <v>0</v>
      </c>
    </row>
    <row r="22" spans="1:18">
      <c r="A22" s="137">
        <v>18</v>
      </c>
      <c r="B22" s="185">
        <f>LIGNE!B127+LIGNE!C127+LIGNE!D127</f>
        <v>0</v>
      </c>
      <c r="C22" s="186">
        <f>LIGNE!E127+LIGNE!F127+LIGNE!G127+LIGNE!I127+LIGNE!H127</f>
        <v>0</v>
      </c>
      <c r="D22" s="185">
        <f>LIGNE!J127+LIGNE!K127+LIGNE!L127+LIGNE!M127</f>
        <v>0</v>
      </c>
      <c r="E22" s="187">
        <f>LIGNE!N127+LIGNE!O127+LIGNE!P127+LIGNE!Q127+LIGNE!R127</f>
        <v>0</v>
      </c>
      <c r="F22" s="185">
        <f>LIGNE!S127+LIGNE!T127+LIGNE!W127+LIGNE!U127+LIGNE!V127</f>
        <v>0</v>
      </c>
      <c r="G22" s="188">
        <f>LIGNE!X127+LIGNE!Z127+LIGNE!AB127+LIGNE!AF127+LIGNE!AD127</f>
        <v>0</v>
      </c>
      <c r="H22" s="189">
        <f>LIGNE!Y127+LIGNE!AA127+LIGNE!AC127+LIGNE!AG127+LIGNE!AE127</f>
        <v>0</v>
      </c>
      <c r="I22" s="202">
        <f>LIGNE!AH127+LIGNE!AJ127+LIGNE!AL127+LIGNE!AN127</f>
        <v>0</v>
      </c>
      <c r="J22" s="203">
        <f>LIGNE!AI127+LIGNE!AK127+LIGNE!AM127+LIGNE!AO127</f>
        <v>0</v>
      </c>
      <c r="K22" s="204">
        <f>LIGNE!AP127+LIGNE!AQ127+LIGNE!AS127+LIGNE!AR127</f>
        <v>0</v>
      </c>
      <c r="L22" s="205">
        <f>LIGNE!AT127+LIGNE!AU127+LIGNE!AV127+LIGNE!AW127+LIGNE!AX127+LIGNE!AUC127</f>
        <v>0</v>
      </c>
      <c r="M22" s="205">
        <f>LIGNE!AZ127+LIGNE!BC127+LIGNE!BF127+LIGNE!BJ127</f>
        <v>0</v>
      </c>
      <c r="N22" s="205">
        <f>LIGNE!BB127+LIGNE!BE127+LIGNE!BH127+LIGNE!BK127</f>
        <v>0</v>
      </c>
      <c r="O22" s="205">
        <f>+LIGNE!BL127+LIGNE!BM127+LIGNE!BN127+LIGNE!BO127+LIGNE!BP127+LIGNE!BQ127</f>
        <v>0</v>
      </c>
      <c r="P22" s="206" t="e">
        <f>+B22+C22+D22+E22+F22+G22+I22+K22+#REF!+M22+L22+O22</f>
        <v>#REF!</v>
      </c>
      <c r="Q22" s="211">
        <f t="shared" si="0"/>
        <v>0</v>
      </c>
      <c r="R22" s="212">
        <f t="shared" si="1"/>
        <v>0</v>
      </c>
    </row>
    <row r="23" spans="1:18">
      <c r="A23" s="137">
        <v>19</v>
      </c>
      <c r="B23" s="185">
        <f>LIGNE!B128+LIGNE!C128+LIGNE!D128</f>
        <v>0</v>
      </c>
      <c r="C23" s="186">
        <f>LIGNE!E128+LIGNE!F128+LIGNE!G128+LIGNE!I128+LIGNE!H128</f>
        <v>0</v>
      </c>
      <c r="D23" s="185">
        <f>LIGNE!J128+LIGNE!K128+LIGNE!L128+LIGNE!M128</f>
        <v>0</v>
      </c>
      <c r="E23" s="187">
        <f>LIGNE!N128+LIGNE!O128+LIGNE!P128+LIGNE!Q128+LIGNE!R128</f>
        <v>0</v>
      </c>
      <c r="F23" s="185">
        <f>LIGNE!S128+LIGNE!T128+LIGNE!W128+LIGNE!U128+LIGNE!V128</f>
        <v>0</v>
      </c>
      <c r="G23" s="188">
        <f>LIGNE!X128+LIGNE!Z128+LIGNE!AB128+LIGNE!AF128+LIGNE!AD128</f>
        <v>0</v>
      </c>
      <c r="H23" s="189">
        <f>LIGNE!Y128+LIGNE!AA128+LIGNE!AC128+LIGNE!AG128+LIGNE!AE128</f>
        <v>0</v>
      </c>
      <c r="I23" s="202">
        <f>LIGNE!AH128+LIGNE!AJ128+LIGNE!AL128+LIGNE!AN128</f>
        <v>0</v>
      </c>
      <c r="J23" s="203">
        <f>LIGNE!AI128+LIGNE!AK128+LIGNE!AM128+LIGNE!AO128</f>
        <v>0</v>
      </c>
      <c r="K23" s="204">
        <f>LIGNE!AP128+LIGNE!AQ128+LIGNE!AS128+LIGNE!AR128</f>
        <v>0</v>
      </c>
      <c r="L23" s="205">
        <f>LIGNE!AT128+LIGNE!AU128+LIGNE!AV128+LIGNE!AW128+LIGNE!AX128+LIGNE!AUC128</f>
        <v>0</v>
      </c>
      <c r="M23" s="205">
        <f>LIGNE!AZ128+LIGNE!BC128+LIGNE!BF128+LIGNE!BJ128</f>
        <v>0</v>
      </c>
      <c r="N23" s="205">
        <f>LIGNE!BB128+LIGNE!BE128+LIGNE!BH128+LIGNE!BK128</f>
        <v>0</v>
      </c>
      <c r="O23" s="205">
        <f>+LIGNE!BL128+LIGNE!BM128+LIGNE!BN128+LIGNE!BO128+LIGNE!BP128+LIGNE!BQ128</f>
        <v>0</v>
      </c>
      <c r="P23" s="206" t="e">
        <f>+B23+C23+D23+E23+F23+G23+I23+K23+#REF!+M23+L23+O23</f>
        <v>#REF!</v>
      </c>
      <c r="Q23" s="211">
        <f t="shared" si="0"/>
        <v>0</v>
      </c>
      <c r="R23" s="212">
        <f t="shared" si="1"/>
        <v>0</v>
      </c>
    </row>
    <row r="24" spans="1:18">
      <c r="A24" s="137">
        <v>20</v>
      </c>
      <c r="B24" s="185">
        <f>LIGNE!B129+LIGNE!C129+LIGNE!D129</f>
        <v>0</v>
      </c>
      <c r="C24" s="186">
        <f>LIGNE!E129+LIGNE!F129+LIGNE!G129+LIGNE!I129+LIGNE!H129</f>
        <v>0</v>
      </c>
      <c r="D24" s="185">
        <f>LIGNE!J129+LIGNE!K129+LIGNE!L129+LIGNE!M129</f>
        <v>0</v>
      </c>
      <c r="E24" s="187">
        <f>LIGNE!N129+LIGNE!O129+LIGNE!P129+LIGNE!Q129+LIGNE!R129</f>
        <v>0</v>
      </c>
      <c r="F24" s="185">
        <f>LIGNE!S129+LIGNE!T129+LIGNE!W129+LIGNE!U129+LIGNE!V129</f>
        <v>0</v>
      </c>
      <c r="G24" s="188">
        <f>LIGNE!X129+LIGNE!Z129+LIGNE!AB129+LIGNE!AF129+LIGNE!AD129</f>
        <v>0</v>
      </c>
      <c r="H24" s="189">
        <f>LIGNE!Y129+LIGNE!AA129+LIGNE!AC129+LIGNE!AG129+LIGNE!AE129</f>
        <v>0</v>
      </c>
      <c r="I24" s="202">
        <f>LIGNE!AH129+LIGNE!AJ129+LIGNE!AL129+LIGNE!AN129</f>
        <v>0</v>
      </c>
      <c r="J24" s="203">
        <f>LIGNE!AI129+LIGNE!AK129+LIGNE!AM129+LIGNE!AO129</f>
        <v>0</v>
      </c>
      <c r="K24" s="204">
        <f>LIGNE!AP129+LIGNE!AQ129+LIGNE!AS129+LIGNE!AR129</f>
        <v>0</v>
      </c>
      <c r="L24" s="205">
        <f>LIGNE!AT129+LIGNE!AU129+LIGNE!AV129+LIGNE!AW129+LIGNE!AX129+LIGNE!AUC129</f>
        <v>0</v>
      </c>
      <c r="M24" s="205">
        <f>LIGNE!AZ129+LIGNE!BC129+LIGNE!BF129+LIGNE!BJ129</f>
        <v>0</v>
      </c>
      <c r="N24" s="205">
        <f>LIGNE!BB129+LIGNE!BE129+LIGNE!BH129+LIGNE!BK129</f>
        <v>0</v>
      </c>
      <c r="O24" s="205">
        <f>+LIGNE!BL129+LIGNE!BM129+LIGNE!BN129+LIGNE!BO129+LIGNE!BP129+LIGNE!BQ129</f>
        <v>0</v>
      </c>
      <c r="P24" s="206" t="e">
        <f>+B24+C24+D24+E24+F24+G24+I24+K24+#REF!+M24+L24+O24</f>
        <v>#REF!</v>
      </c>
      <c r="Q24" s="211">
        <f t="shared" si="0"/>
        <v>0</v>
      </c>
      <c r="R24" s="212">
        <f t="shared" si="1"/>
        <v>0</v>
      </c>
    </row>
    <row r="25" spans="1:18">
      <c r="A25" s="137">
        <v>21</v>
      </c>
      <c r="B25" s="185">
        <f>LIGNE!B130+LIGNE!C130+LIGNE!D130</f>
        <v>0</v>
      </c>
      <c r="C25" s="186">
        <f>LIGNE!E130+LIGNE!F130+LIGNE!G130+LIGNE!I130+LIGNE!H130</f>
        <v>0</v>
      </c>
      <c r="D25" s="185">
        <f>LIGNE!J130+LIGNE!K130+LIGNE!L130+LIGNE!M130</f>
        <v>0</v>
      </c>
      <c r="E25" s="187">
        <f>LIGNE!N130+LIGNE!O130+LIGNE!P130+LIGNE!Q130+LIGNE!R130</f>
        <v>0</v>
      </c>
      <c r="F25" s="185">
        <f>LIGNE!S130+LIGNE!T130+LIGNE!W130+LIGNE!U130+LIGNE!V130</f>
        <v>0</v>
      </c>
      <c r="G25" s="188">
        <f>LIGNE!X130+LIGNE!Z130+LIGNE!AB130+LIGNE!AF130+LIGNE!AD130</f>
        <v>0</v>
      </c>
      <c r="H25" s="189">
        <f>LIGNE!Y130+LIGNE!AA130+LIGNE!AC130+LIGNE!AG130+LIGNE!AE130</f>
        <v>0</v>
      </c>
      <c r="I25" s="202">
        <f>LIGNE!AH130+LIGNE!AJ130+LIGNE!AL130+LIGNE!AN130</f>
        <v>0</v>
      </c>
      <c r="J25" s="203">
        <f>LIGNE!AI130+LIGNE!AK130+LIGNE!AM130+LIGNE!AO130</f>
        <v>0</v>
      </c>
      <c r="K25" s="204">
        <f>LIGNE!AP130+LIGNE!AQ130+LIGNE!AS130+LIGNE!AR130</f>
        <v>0</v>
      </c>
      <c r="L25" s="205">
        <f>LIGNE!AT130+LIGNE!AU130+LIGNE!AV130+LIGNE!AW130+LIGNE!AX130+LIGNE!AUC130</f>
        <v>0</v>
      </c>
      <c r="M25" s="205">
        <f>LIGNE!AZ130+LIGNE!BC130+LIGNE!BF130+LIGNE!BJ130</f>
        <v>0</v>
      </c>
      <c r="N25" s="205">
        <f>LIGNE!BB130+LIGNE!BE130+LIGNE!BH130+LIGNE!BK130</f>
        <v>0</v>
      </c>
      <c r="O25" s="205">
        <f>+LIGNE!BL130+LIGNE!BM130+LIGNE!BN130+LIGNE!BO130+LIGNE!BP130+LIGNE!BQ130</f>
        <v>0</v>
      </c>
      <c r="P25" s="206" t="e">
        <f>+B25+C25+D25+E25+F25+G25+I25+K25+#REF!+M25+L25+O25</f>
        <v>#REF!</v>
      </c>
      <c r="Q25" s="211">
        <f t="shared" si="0"/>
        <v>0</v>
      </c>
      <c r="R25" s="212">
        <f t="shared" si="1"/>
        <v>0</v>
      </c>
    </row>
    <row r="26" spans="1:18">
      <c r="A26" s="137">
        <v>22</v>
      </c>
      <c r="B26" s="185">
        <f>LIGNE!B131+LIGNE!C131+LIGNE!D131</f>
        <v>0</v>
      </c>
      <c r="C26" s="186">
        <f>LIGNE!E131+LIGNE!F131+LIGNE!G131+LIGNE!I131+LIGNE!H131</f>
        <v>0</v>
      </c>
      <c r="D26" s="185">
        <f>LIGNE!J131+LIGNE!K131+LIGNE!L131+LIGNE!M131</f>
        <v>0</v>
      </c>
      <c r="E26" s="187">
        <f>LIGNE!N131+LIGNE!O131+LIGNE!P131+LIGNE!Q131+LIGNE!R131</f>
        <v>0</v>
      </c>
      <c r="F26" s="185">
        <f>LIGNE!S131+LIGNE!T131+LIGNE!W131+LIGNE!U131+LIGNE!V131</f>
        <v>0</v>
      </c>
      <c r="G26" s="188">
        <f>LIGNE!X131+LIGNE!Z131+LIGNE!AB131+LIGNE!AF131+LIGNE!AD131</f>
        <v>0</v>
      </c>
      <c r="H26" s="189">
        <f>LIGNE!Y131+LIGNE!AA131+LIGNE!AC131+LIGNE!AG131+LIGNE!AE131</f>
        <v>0</v>
      </c>
      <c r="I26" s="202">
        <f>LIGNE!AH131+LIGNE!AJ131+LIGNE!AL131+LIGNE!AN131</f>
        <v>0</v>
      </c>
      <c r="J26" s="203">
        <f>LIGNE!AI131+LIGNE!AK131+LIGNE!AM131+LIGNE!AO131</f>
        <v>0</v>
      </c>
      <c r="K26" s="204">
        <f>LIGNE!AP131+LIGNE!AQ131+LIGNE!AS131+LIGNE!AR131</f>
        <v>0</v>
      </c>
      <c r="L26" s="205">
        <f>LIGNE!AT131+LIGNE!AU131+LIGNE!AV131+LIGNE!AW131+LIGNE!AX131+LIGNE!AUC131</f>
        <v>0</v>
      </c>
      <c r="M26" s="205">
        <f>LIGNE!AZ131+LIGNE!BC131+LIGNE!BF131+LIGNE!BJ131</f>
        <v>0</v>
      </c>
      <c r="N26" s="205">
        <f>LIGNE!BB131+LIGNE!BE131+LIGNE!BH131+LIGNE!BK131</f>
        <v>0</v>
      </c>
      <c r="O26" s="205">
        <f>+LIGNE!BL131+LIGNE!BM131+LIGNE!BN131+LIGNE!BO131+LIGNE!BP131+LIGNE!BQ131</f>
        <v>0</v>
      </c>
      <c r="P26" s="206" t="e">
        <f>+B26+C26+D26+E26+F26+G26+I26+K26+#REF!+M26+L26+O26</f>
        <v>#REF!</v>
      </c>
      <c r="Q26" s="211">
        <f t="shared" si="0"/>
        <v>0</v>
      </c>
      <c r="R26" s="212">
        <f t="shared" si="1"/>
        <v>0</v>
      </c>
    </row>
    <row r="27" spans="1:18">
      <c r="A27" s="137">
        <v>23</v>
      </c>
      <c r="B27" s="185">
        <f>LIGNE!B132+LIGNE!C132+LIGNE!D132</f>
        <v>0</v>
      </c>
      <c r="C27" s="186">
        <f>LIGNE!E132+LIGNE!F132+LIGNE!G132+LIGNE!I132+LIGNE!H132</f>
        <v>0</v>
      </c>
      <c r="D27" s="185">
        <f>LIGNE!J132+LIGNE!K132+LIGNE!L132+LIGNE!M132</f>
        <v>0</v>
      </c>
      <c r="E27" s="187">
        <f>LIGNE!N132+LIGNE!O132+LIGNE!P132+LIGNE!Q132+LIGNE!R132</f>
        <v>0</v>
      </c>
      <c r="F27" s="185">
        <f>LIGNE!S132+LIGNE!T132+LIGNE!W132+LIGNE!U132+LIGNE!V132</f>
        <v>0</v>
      </c>
      <c r="G27" s="188">
        <f>LIGNE!X132+LIGNE!Z132+LIGNE!AB132+LIGNE!AF132+LIGNE!AD132</f>
        <v>0</v>
      </c>
      <c r="H27" s="189">
        <f>LIGNE!Y132+LIGNE!AA132+LIGNE!AC132+LIGNE!AG132+LIGNE!AE132</f>
        <v>0</v>
      </c>
      <c r="I27" s="202">
        <f>LIGNE!AH132+LIGNE!AJ132+LIGNE!AL132+LIGNE!AN132</f>
        <v>0</v>
      </c>
      <c r="J27" s="203">
        <f>LIGNE!AI132+LIGNE!AK132+LIGNE!AM132+LIGNE!AO132</f>
        <v>0</v>
      </c>
      <c r="K27" s="204">
        <f>LIGNE!AP132+LIGNE!AQ132+LIGNE!AS132+LIGNE!AR132</f>
        <v>0</v>
      </c>
      <c r="L27" s="205">
        <f>LIGNE!AT132+LIGNE!AU132+LIGNE!AV132+LIGNE!AW132+LIGNE!AX132+LIGNE!AUC132</f>
        <v>0</v>
      </c>
      <c r="M27" s="205">
        <f>LIGNE!AZ132+LIGNE!BC132+LIGNE!BF132+LIGNE!BJ132</f>
        <v>0</v>
      </c>
      <c r="N27" s="205">
        <f>LIGNE!BB132+LIGNE!BE132+LIGNE!BH132+LIGNE!BK132</f>
        <v>0</v>
      </c>
      <c r="O27" s="205">
        <f>+LIGNE!BL132+LIGNE!BM132+LIGNE!BN132+LIGNE!BO132+LIGNE!BP132+LIGNE!BQ132</f>
        <v>0</v>
      </c>
      <c r="P27" s="206" t="e">
        <f>+B27+C27+D27+E27+F27+G27+I27+K27+#REF!+M27+L27+O27</f>
        <v>#REF!</v>
      </c>
      <c r="Q27" s="211">
        <f t="shared" si="0"/>
        <v>0</v>
      </c>
      <c r="R27" s="212">
        <f t="shared" si="1"/>
        <v>0</v>
      </c>
    </row>
    <row r="28" spans="1:18">
      <c r="A28" s="137">
        <v>24</v>
      </c>
      <c r="B28" s="185">
        <f>LIGNE!B133+LIGNE!C133+LIGNE!D133</f>
        <v>0</v>
      </c>
      <c r="C28" s="186">
        <f>LIGNE!E133+LIGNE!F133+LIGNE!G133+LIGNE!I133+LIGNE!H133</f>
        <v>0</v>
      </c>
      <c r="D28" s="185">
        <f>LIGNE!J133+LIGNE!K133+LIGNE!L133+LIGNE!M133</f>
        <v>0</v>
      </c>
      <c r="E28" s="187">
        <f>LIGNE!N133+LIGNE!O133+LIGNE!P133+LIGNE!Q133+LIGNE!R133</f>
        <v>0</v>
      </c>
      <c r="F28" s="185">
        <f>LIGNE!S133+LIGNE!T133+LIGNE!W133+LIGNE!U133+LIGNE!V133</f>
        <v>0</v>
      </c>
      <c r="G28" s="188">
        <f>LIGNE!X133+LIGNE!Z133+LIGNE!AB133+LIGNE!AF133+LIGNE!AD133</f>
        <v>0</v>
      </c>
      <c r="H28" s="189">
        <f>LIGNE!Y133+LIGNE!AA133+LIGNE!AC133+LIGNE!AG133+LIGNE!AE133</f>
        <v>0</v>
      </c>
      <c r="I28" s="202">
        <f>LIGNE!AH133+LIGNE!AJ133+LIGNE!AL133+LIGNE!AN133</f>
        <v>0</v>
      </c>
      <c r="J28" s="203">
        <f>LIGNE!AI133+LIGNE!AK133+LIGNE!AM133+LIGNE!AO133</f>
        <v>0</v>
      </c>
      <c r="K28" s="204">
        <f>LIGNE!AP133+LIGNE!AQ133+LIGNE!AS133+LIGNE!AR133</f>
        <v>0</v>
      </c>
      <c r="L28" s="205">
        <f>LIGNE!AT133+LIGNE!AU133+LIGNE!AV133+LIGNE!AW133+LIGNE!AX133+LIGNE!AUC133</f>
        <v>0</v>
      </c>
      <c r="M28" s="205">
        <f>LIGNE!AZ133+LIGNE!BC133+LIGNE!BF133+LIGNE!BJ133</f>
        <v>0</v>
      </c>
      <c r="N28" s="205">
        <f>LIGNE!BB133+LIGNE!BE133+LIGNE!BH133+LIGNE!BK133</f>
        <v>0</v>
      </c>
      <c r="O28" s="205">
        <f>+LIGNE!BL133+LIGNE!BM133+LIGNE!BN133+LIGNE!BO133+LIGNE!BP133+LIGNE!BQ133</f>
        <v>0</v>
      </c>
      <c r="P28" s="206" t="e">
        <f>+B28+C28+D28+E28+F28+G28+I28+K28+#REF!+M28+L28+O28</f>
        <v>#REF!</v>
      </c>
      <c r="Q28" s="211">
        <f t="shared" si="0"/>
        <v>0</v>
      </c>
      <c r="R28" s="212">
        <f t="shared" si="1"/>
        <v>0</v>
      </c>
    </row>
    <row r="29" spans="1:18">
      <c r="A29" s="137">
        <v>25</v>
      </c>
      <c r="B29" s="185">
        <f>LIGNE!B134+LIGNE!C134+LIGNE!D134</f>
        <v>0</v>
      </c>
      <c r="C29" s="186">
        <f>LIGNE!E134+LIGNE!F134+LIGNE!G134+LIGNE!I134+LIGNE!H134</f>
        <v>0</v>
      </c>
      <c r="D29" s="185">
        <f>LIGNE!J134+LIGNE!K134+LIGNE!L134+LIGNE!M134</f>
        <v>0</v>
      </c>
      <c r="E29" s="187">
        <f>LIGNE!N134+LIGNE!O134+LIGNE!P134+LIGNE!Q134+LIGNE!R134</f>
        <v>0</v>
      </c>
      <c r="F29" s="185">
        <f>LIGNE!S134+LIGNE!T134+LIGNE!W134+LIGNE!U134+LIGNE!V134</f>
        <v>0</v>
      </c>
      <c r="G29" s="188">
        <f>LIGNE!X134+LIGNE!Z134+LIGNE!AB134+LIGNE!AF134+LIGNE!AD134</f>
        <v>0</v>
      </c>
      <c r="H29" s="189">
        <f>LIGNE!Y134+LIGNE!AA134+LIGNE!AC134+LIGNE!AG134+LIGNE!AE134</f>
        <v>0</v>
      </c>
      <c r="I29" s="202">
        <f>LIGNE!AH134+LIGNE!AJ134+LIGNE!AL134+LIGNE!AN134</f>
        <v>0</v>
      </c>
      <c r="J29" s="203">
        <f>LIGNE!AI134+LIGNE!AK134+LIGNE!AM134+LIGNE!AO134</f>
        <v>0</v>
      </c>
      <c r="K29" s="204">
        <f>LIGNE!AP134+LIGNE!AQ134+LIGNE!AS134+LIGNE!AR134</f>
        <v>0</v>
      </c>
      <c r="L29" s="205">
        <f>LIGNE!AT134+LIGNE!AU134+LIGNE!AV134+LIGNE!AW134+LIGNE!AX134+LIGNE!AUC134</f>
        <v>0</v>
      </c>
      <c r="M29" s="205">
        <f>LIGNE!AZ134+LIGNE!BC134+LIGNE!BF134+LIGNE!BJ134</f>
        <v>0</v>
      </c>
      <c r="N29" s="205">
        <f>LIGNE!BB134+LIGNE!BE134+LIGNE!BH134+LIGNE!BK134</f>
        <v>0</v>
      </c>
      <c r="O29" s="205">
        <f>+LIGNE!BL134+LIGNE!BM134+LIGNE!BN134+LIGNE!BO134+LIGNE!BP134+LIGNE!BQ134</f>
        <v>0</v>
      </c>
      <c r="P29" s="206" t="e">
        <f>+B29+C29+D29+E29+F29+G29+I29+K29+#REF!+M29+L29+O29</f>
        <v>#REF!</v>
      </c>
      <c r="Q29" s="211">
        <f t="shared" si="0"/>
        <v>0</v>
      </c>
      <c r="R29" s="212">
        <f t="shared" si="1"/>
        <v>0</v>
      </c>
    </row>
    <row r="30" spans="1:18">
      <c r="A30" s="137">
        <v>26</v>
      </c>
      <c r="B30" s="185">
        <f>LIGNE!B135+LIGNE!C135+LIGNE!D135</f>
        <v>0</v>
      </c>
      <c r="C30" s="186">
        <f>LIGNE!E135+LIGNE!F135+LIGNE!G135+LIGNE!I135+LIGNE!H135</f>
        <v>0</v>
      </c>
      <c r="D30" s="185">
        <f>LIGNE!J135+LIGNE!K135+LIGNE!L135+LIGNE!M135</f>
        <v>0</v>
      </c>
      <c r="E30" s="187">
        <f>LIGNE!N135+LIGNE!O135+LIGNE!P135+LIGNE!Q135+LIGNE!R135</f>
        <v>0</v>
      </c>
      <c r="F30" s="185">
        <f>LIGNE!S135+LIGNE!T135+LIGNE!W135+LIGNE!U135+LIGNE!V135</f>
        <v>0</v>
      </c>
      <c r="G30" s="188">
        <f>LIGNE!X135+LIGNE!Z135+LIGNE!AB135+LIGNE!AF135+LIGNE!AD135</f>
        <v>0</v>
      </c>
      <c r="H30" s="189">
        <f>LIGNE!Y135+LIGNE!AA135+LIGNE!AC135+LIGNE!AG135+LIGNE!AE135</f>
        <v>0</v>
      </c>
      <c r="I30" s="202">
        <f>LIGNE!AH135+LIGNE!AJ135+LIGNE!AL135+LIGNE!AN135</f>
        <v>0</v>
      </c>
      <c r="J30" s="203">
        <f>LIGNE!AI135+LIGNE!AK135+LIGNE!AM135+LIGNE!AO135</f>
        <v>0</v>
      </c>
      <c r="K30" s="204">
        <f>LIGNE!AP135+LIGNE!AQ135+LIGNE!AS135+LIGNE!AR135</f>
        <v>0</v>
      </c>
      <c r="L30" s="205">
        <f>LIGNE!AT135+LIGNE!AU135+LIGNE!AV135+LIGNE!AW135+LIGNE!AX135+LIGNE!AUC135</f>
        <v>0</v>
      </c>
      <c r="M30" s="205">
        <f>LIGNE!AZ135+LIGNE!BC135+LIGNE!BF135+LIGNE!BJ135</f>
        <v>0</v>
      </c>
      <c r="N30" s="205">
        <f>LIGNE!BB135+LIGNE!BE135+LIGNE!BH135+LIGNE!BK135</f>
        <v>0</v>
      </c>
      <c r="O30" s="205">
        <f>+LIGNE!BL135+LIGNE!BM135+LIGNE!BN135+LIGNE!BO135+LIGNE!BP135+LIGNE!BQ135</f>
        <v>0</v>
      </c>
      <c r="P30" s="206" t="e">
        <f>+B30+C30+D30+E30+F30+G30+I30+K30+#REF!+M30+L30+O30</f>
        <v>#REF!</v>
      </c>
      <c r="Q30" s="211">
        <f t="shared" si="0"/>
        <v>0</v>
      </c>
      <c r="R30" s="212">
        <f t="shared" si="1"/>
        <v>0</v>
      </c>
    </row>
    <row r="31" spans="1:18">
      <c r="A31" s="137">
        <v>27</v>
      </c>
      <c r="B31" s="185">
        <f>LIGNE!B136+LIGNE!C136+LIGNE!D136</f>
        <v>0</v>
      </c>
      <c r="C31" s="186">
        <f>LIGNE!E136+LIGNE!F136+LIGNE!G136+LIGNE!I136+LIGNE!H136</f>
        <v>0</v>
      </c>
      <c r="D31" s="185">
        <f>LIGNE!J136+LIGNE!K136+LIGNE!L136+LIGNE!M136</f>
        <v>0</v>
      </c>
      <c r="E31" s="187">
        <f>LIGNE!N136+LIGNE!O136+LIGNE!P136+LIGNE!Q136+LIGNE!R136</f>
        <v>0</v>
      </c>
      <c r="F31" s="185">
        <f>LIGNE!S136+LIGNE!T136+LIGNE!W136+LIGNE!U136+LIGNE!V136</f>
        <v>0</v>
      </c>
      <c r="G31" s="188">
        <f>LIGNE!X136+LIGNE!Z136+LIGNE!AB136+LIGNE!AF136+LIGNE!AD136</f>
        <v>0</v>
      </c>
      <c r="H31" s="189">
        <f>LIGNE!Y136+LIGNE!AA136+LIGNE!AC136+LIGNE!AG136+LIGNE!AE136</f>
        <v>0</v>
      </c>
      <c r="I31" s="202">
        <f>LIGNE!AH136+LIGNE!AJ136+LIGNE!AL136+LIGNE!AN136</f>
        <v>0</v>
      </c>
      <c r="J31" s="203">
        <f>LIGNE!AI136+LIGNE!AK136+LIGNE!AM136+LIGNE!AO136</f>
        <v>0</v>
      </c>
      <c r="K31" s="204">
        <f>LIGNE!AP136+LIGNE!AQ136+LIGNE!AS136+LIGNE!AR136</f>
        <v>0</v>
      </c>
      <c r="L31" s="205">
        <f>LIGNE!AT136+LIGNE!AU136+LIGNE!AV136+LIGNE!AW136+LIGNE!AX136+LIGNE!AUC136</f>
        <v>0</v>
      </c>
      <c r="M31" s="205">
        <f>LIGNE!AZ136+LIGNE!BC136+LIGNE!BF136+LIGNE!BJ136</f>
        <v>0</v>
      </c>
      <c r="N31" s="205">
        <f>LIGNE!BB136+LIGNE!BE136+LIGNE!BH136+LIGNE!BK136</f>
        <v>0</v>
      </c>
      <c r="O31" s="205">
        <f>+LIGNE!BL136+LIGNE!BM136+LIGNE!BN136+LIGNE!BO136+LIGNE!BP136+LIGNE!BQ136</f>
        <v>0</v>
      </c>
      <c r="P31" s="206" t="e">
        <f>+B31+C31+D31+E31+F31+G31+I31+K31+#REF!+M31+L31+O31</f>
        <v>#REF!</v>
      </c>
      <c r="Q31" s="211">
        <f t="shared" si="0"/>
        <v>0</v>
      </c>
      <c r="R31" s="212">
        <f t="shared" si="1"/>
        <v>0</v>
      </c>
    </row>
    <row r="32" spans="1:18">
      <c r="A32" s="137">
        <v>28</v>
      </c>
      <c r="B32" s="185">
        <f>LIGNE!B137+LIGNE!C137+LIGNE!D137</f>
        <v>0</v>
      </c>
      <c r="C32" s="186">
        <f>LIGNE!E137+LIGNE!F137+LIGNE!G137+LIGNE!I137+LIGNE!H137</f>
        <v>0</v>
      </c>
      <c r="D32" s="185">
        <f>LIGNE!J137+LIGNE!K137+LIGNE!L137+LIGNE!M137</f>
        <v>0</v>
      </c>
      <c r="E32" s="187">
        <f>LIGNE!N137+LIGNE!O137+LIGNE!P137+LIGNE!Q137+LIGNE!R137</f>
        <v>0</v>
      </c>
      <c r="F32" s="185">
        <f>LIGNE!S137+LIGNE!T137+LIGNE!W137+LIGNE!U137+LIGNE!V137</f>
        <v>0</v>
      </c>
      <c r="G32" s="188">
        <f>LIGNE!X137+LIGNE!Z137+LIGNE!AB137+LIGNE!AF137+LIGNE!AD137</f>
        <v>0</v>
      </c>
      <c r="H32" s="189">
        <f>LIGNE!Y137+LIGNE!AA137+LIGNE!AC137+LIGNE!AG137+LIGNE!AE137</f>
        <v>0</v>
      </c>
      <c r="I32" s="202">
        <f>LIGNE!AH137+LIGNE!AJ137+LIGNE!AL137+LIGNE!AN137</f>
        <v>0</v>
      </c>
      <c r="J32" s="203">
        <f>LIGNE!AI137+LIGNE!AK137+LIGNE!AM137+LIGNE!AO137</f>
        <v>0</v>
      </c>
      <c r="K32" s="204">
        <f>LIGNE!AP137+LIGNE!AQ137+LIGNE!AS137+LIGNE!AR137</f>
        <v>0</v>
      </c>
      <c r="L32" s="205">
        <f>LIGNE!AT137+LIGNE!AU137+LIGNE!AV137+LIGNE!AW137+LIGNE!AX137+LIGNE!AUC137</f>
        <v>0</v>
      </c>
      <c r="M32" s="205">
        <f>LIGNE!AZ137+LIGNE!BC137+LIGNE!BF137+LIGNE!BJ137</f>
        <v>0</v>
      </c>
      <c r="N32" s="205">
        <f>LIGNE!BB137+LIGNE!BE137+LIGNE!BH137+LIGNE!BK137</f>
        <v>0</v>
      </c>
      <c r="O32" s="205">
        <f>+LIGNE!BL137+LIGNE!BM137+LIGNE!BN137+LIGNE!BO137+LIGNE!BP137+LIGNE!BQ137</f>
        <v>0</v>
      </c>
      <c r="P32" s="206" t="e">
        <f>+B32+C32+D32+E32+F32+G32+I32+K32+#REF!+M32+L32+O32</f>
        <v>#REF!</v>
      </c>
      <c r="Q32" s="211">
        <f t="shared" si="0"/>
        <v>0</v>
      </c>
      <c r="R32" s="212">
        <f t="shared" si="1"/>
        <v>0</v>
      </c>
    </row>
    <row r="33" spans="1:18">
      <c r="A33" s="137">
        <v>29</v>
      </c>
      <c r="B33" s="185">
        <f>LIGNE!B138+LIGNE!C138+LIGNE!D138</f>
        <v>0</v>
      </c>
      <c r="C33" s="186">
        <f>LIGNE!E138+LIGNE!F138+LIGNE!G138+LIGNE!I138+LIGNE!H138</f>
        <v>0</v>
      </c>
      <c r="D33" s="185">
        <f>LIGNE!J138+LIGNE!K138+LIGNE!L138+LIGNE!M138</f>
        <v>0</v>
      </c>
      <c r="E33" s="187">
        <f>LIGNE!N138+LIGNE!O138+LIGNE!P138+LIGNE!Q138+LIGNE!R138</f>
        <v>0</v>
      </c>
      <c r="F33" s="185">
        <f>LIGNE!S138+LIGNE!T138+LIGNE!W138+LIGNE!U138+LIGNE!V138</f>
        <v>0</v>
      </c>
      <c r="G33" s="188">
        <f>LIGNE!X138+LIGNE!Z138+LIGNE!AB138+LIGNE!AF138+LIGNE!AD138</f>
        <v>0</v>
      </c>
      <c r="H33" s="189">
        <f>LIGNE!Y138+LIGNE!AA138+LIGNE!AC138+LIGNE!AG138+LIGNE!AE138</f>
        <v>0</v>
      </c>
      <c r="I33" s="202">
        <f>LIGNE!AH138+LIGNE!AJ138+LIGNE!AL138+LIGNE!AN138</f>
        <v>0</v>
      </c>
      <c r="J33" s="203">
        <f>LIGNE!AI138+LIGNE!AK138+LIGNE!AM138+LIGNE!AO138</f>
        <v>0</v>
      </c>
      <c r="K33" s="204">
        <f>LIGNE!AP138+LIGNE!AQ138+LIGNE!AS138+LIGNE!AR138</f>
        <v>0</v>
      </c>
      <c r="L33" s="205">
        <f>LIGNE!AT138+LIGNE!AU138+LIGNE!AV138+LIGNE!AW138+LIGNE!AX138+LIGNE!AUC138</f>
        <v>0</v>
      </c>
      <c r="M33" s="205">
        <f>LIGNE!AZ138+LIGNE!BC138+LIGNE!BF138+LIGNE!BJ138</f>
        <v>0</v>
      </c>
      <c r="N33" s="205">
        <f>LIGNE!BB138+LIGNE!BE138+LIGNE!BH138+LIGNE!BK138</f>
        <v>0</v>
      </c>
      <c r="O33" s="205">
        <f>+LIGNE!BL138+LIGNE!BM138+LIGNE!BN138+LIGNE!BO138+LIGNE!BP138+LIGNE!BQ138</f>
        <v>0</v>
      </c>
      <c r="P33" s="206" t="e">
        <f>+B33+C33+D33+E33+F33+G33+I33+K33+#REF!+M33+L33+O33</f>
        <v>#REF!</v>
      </c>
      <c r="Q33" s="211">
        <f t="shared" si="0"/>
        <v>0</v>
      </c>
      <c r="R33" s="212">
        <f t="shared" si="1"/>
        <v>0</v>
      </c>
    </row>
    <row r="34" spans="1:18">
      <c r="A34" s="137">
        <v>30</v>
      </c>
      <c r="B34" s="185">
        <f>LIGNE!B139+LIGNE!C139+LIGNE!D139</f>
        <v>0</v>
      </c>
      <c r="C34" s="186">
        <f>LIGNE!E139+LIGNE!F139+LIGNE!G139+LIGNE!I139+LIGNE!H139</f>
        <v>0</v>
      </c>
      <c r="D34" s="185">
        <f>LIGNE!J139+LIGNE!K139+LIGNE!L139+LIGNE!M139</f>
        <v>0</v>
      </c>
      <c r="E34" s="187">
        <f>LIGNE!N139+LIGNE!O139+LIGNE!P139+LIGNE!Q139+LIGNE!R139</f>
        <v>0</v>
      </c>
      <c r="F34" s="185">
        <f>LIGNE!S139+LIGNE!T139+LIGNE!W139+LIGNE!U139+LIGNE!V139</f>
        <v>0</v>
      </c>
      <c r="G34" s="188">
        <f>LIGNE!X139+LIGNE!Z139+LIGNE!AB139+LIGNE!AF139+LIGNE!AD139</f>
        <v>0</v>
      </c>
      <c r="H34" s="189">
        <f>LIGNE!Y139+LIGNE!AA139+LIGNE!AC139+LIGNE!AG139+LIGNE!AE139</f>
        <v>0</v>
      </c>
      <c r="I34" s="202">
        <f>LIGNE!AH139+LIGNE!AJ139+LIGNE!AL139+LIGNE!AN139</f>
        <v>0</v>
      </c>
      <c r="J34" s="203">
        <f>LIGNE!AI139+LIGNE!AK139+LIGNE!AM139+LIGNE!AO139</f>
        <v>0</v>
      </c>
      <c r="K34" s="204">
        <f>LIGNE!AP139+LIGNE!AQ139+LIGNE!AS139+LIGNE!AR139</f>
        <v>0</v>
      </c>
      <c r="L34" s="205">
        <f>LIGNE!AT139+LIGNE!AU139+LIGNE!AV139+LIGNE!AW139+LIGNE!AX139+LIGNE!AUC139</f>
        <v>0</v>
      </c>
      <c r="M34" s="205">
        <f>LIGNE!AZ139+LIGNE!BC139+LIGNE!BF139+LIGNE!BJ139</f>
        <v>0</v>
      </c>
      <c r="N34" s="205">
        <f>LIGNE!BB139+LIGNE!BE139+LIGNE!BH139+LIGNE!BK139</f>
        <v>0</v>
      </c>
      <c r="O34" s="205">
        <f>+LIGNE!BL139+LIGNE!BM139+LIGNE!BN139+LIGNE!BO139+LIGNE!BP139+LIGNE!BQ139</f>
        <v>0</v>
      </c>
      <c r="P34" s="206" t="e">
        <f>+B34+C34+D34+E34+F34+G34+I34+K34+#REF!+M34+L34+O34</f>
        <v>#REF!</v>
      </c>
      <c r="Q34" s="211">
        <f t="shared" si="0"/>
        <v>0</v>
      </c>
      <c r="R34" s="212">
        <f t="shared" si="1"/>
        <v>0</v>
      </c>
    </row>
    <row r="35" spans="1:18">
      <c r="A35" s="137">
        <v>31</v>
      </c>
      <c r="B35" s="185">
        <f>LIGNE!B140+LIGNE!C140+LIGNE!D140</f>
        <v>0</v>
      </c>
      <c r="C35" s="186">
        <f>LIGNE!E140+LIGNE!F140+LIGNE!G140+LIGNE!I140+LIGNE!H140</f>
        <v>0</v>
      </c>
      <c r="D35" s="185">
        <f>LIGNE!J140+LIGNE!K140+LIGNE!L140+LIGNE!M140</f>
        <v>0</v>
      </c>
      <c r="E35" s="187">
        <f>LIGNE!N140+LIGNE!O140+LIGNE!P140+LIGNE!Q140+LIGNE!R140</f>
        <v>0</v>
      </c>
      <c r="F35" s="185">
        <f>LIGNE!S140+LIGNE!T140+LIGNE!W140+LIGNE!U140+LIGNE!V140</f>
        <v>0</v>
      </c>
      <c r="G35" s="188">
        <f>LIGNE!X140+LIGNE!Z140+LIGNE!AB140+LIGNE!AF140+LIGNE!AD140</f>
        <v>0</v>
      </c>
      <c r="H35" s="189">
        <f>LIGNE!Y140+LIGNE!AA140+LIGNE!AC140+LIGNE!AG140+LIGNE!AE140</f>
        <v>0</v>
      </c>
      <c r="I35" s="202">
        <f>LIGNE!AH140+LIGNE!AJ140+LIGNE!AL140+LIGNE!AN140</f>
        <v>0</v>
      </c>
      <c r="J35" s="203">
        <f>LIGNE!AI140+LIGNE!AK140+LIGNE!AM140+LIGNE!AO140</f>
        <v>0</v>
      </c>
      <c r="K35" s="204">
        <f>LIGNE!AP140+LIGNE!AQ140+LIGNE!AS140+LIGNE!AR140</f>
        <v>0</v>
      </c>
      <c r="L35" s="205">
        <f>LIGNE!AT140+LIGNE!AU140+LIGNE!AV140+LIGNE!AW140+LIGNE!AX140+LIGNE!AUC140</f>
        <v>0</v>
      </c>
      <c r="M35" s="205">
        <f>LIGNE!AZ140+LIGNE!BC140+LIGNE!BF140+LIGNE!BJ140</f>
        <v>0</v>
      </c>
      <c r="N35" s="205">
        <f>LIGNE!BB140+LIGNE!BE140+LIGNE!BH140+LIGNE!BK140</f>
        <v>0</v>
      </c>
      <c r="O35" s="205">
        <f>+LIGNE!BL140+LIGNE!BM140+LIGNE!BN140+LIGNE!BO140+LIGNE!BP140+LIGNE!BQ140</f>
        <v>0</v>
      </c>
      <c r="P35" s="206" t="e">
        <f>+B35+C35+D35+E35+F35+G35+I35+K35+#REF!+M35+L35+O35</f>
        <v>#REF!</v>
      </c>
      <c r="Q35" s="211">
        <f t="shared" si="0"/>
        <v>0</v>
      </c>
      <c r="R35" s="212">
        <f t="shared" si="1"/>
        <v>0</v>
      </c>
    </row>
    <row r="36" spans="1:18">
      <c r="A36" s="154"/>
      <c r="B36" s="73">
        <f>SUM(B5:B35)</f>
        <v>0</v>
      </c>
      <c r="C36" s="73">
        <f>SUM(C5:C35)</f>
        <v>0</v>
      </c>
      <c r="D36" s="136">
        <f t="shared" ref="D36:N36" si="2">SUM(D5:D35)</f>
        <v>0</v>
      </c>
      <c r="E36" s="73">
        <f t="shared" si="2"/>
        <v>0</v>
      </c>
      <c r="F36" s="136">
        <f t="shared" si="2"/>
        <v>0</v>
      </c>
      <c r="G36" s="190">
        <f t="shared" si="2"/>
        <v>0</v>
      </c>
      <c r="H36" s="73">
        <f t="shared" si="2"/>
        <v>0</v>
      </c>
      <c r="I36" s="73">
        <f t="shared" si="2"/>
        <v>0</v>
      </c>
      <c r="J36" s="136">
        <f t="shared" si="2"/>
        <v>0</v>
      </c>
      <c r="K36" s="178">
        <f t="shared" si="2"/>
        <v>0</v>
      </c>
      <c r="L36" s="136">
        <f t="shared" ref="L36" si="3">SUM(L5:L35)</f>
        <v>0</v>
      </c>
      <c r="M36" s="136">
        <f t="shared" si="2"/>
        <v>0</v>
      </c>
      <c r="N36" s="136">
        <f t="shared" si="2"/>
        <v>0</v>
      </c>
      <c r="O36" s="136">
        <f t="shared" ref="O36:Q36" si="4">SUM(O5:O35)</f>
        <v>0</v>
      </c>
      <c r="P36" s="190" t="e">
        <f t="shared" si="4"/>
        <v>#REF!</v>
      </c>
      <c r="Q36" s="136">
        <f t="shared" si="4"/>
        <v>0</v>
      </c>
      <c r="R36" s="136">
        <f t="shared" ref="R36" si="5">SUM(R5:R35)</f>
        <v>0</v>
      </c>
    </row>
    <row r="37" spans="1:18">
      <c r="C37" s="191"/>
      <c r="D37" s="192"/>
      <c r="E37" s="192"/>
      <c r="F37" s="192"/>
      <c r="G37" s="192"/>
    </row>
    <row r="38" spans="1:18" ht="15.75">
      <c r="A38" s="554" t="s">
        <v>92</v>
      </c>
      <c r="B38" s="177" t="s">
        <v>45</v>
      </c>
      <c r="C38" s="178" t="s">
        <v>46</v>
      </c>
      <c r="D38" s="136" t="s">
        <v>47</v>
      </c>
      <c r="E38" s="73" t="s">
        <v>48</v>
      </c>
      <c r="F38" s="136" t="s">
        <v>49</v>
      </c>
      <c r="G38" s="557" t="s">
        <v>50</v>
      </c>
      <c r="H38" s="558"/>
      <c r="I38" s="559" t="s">
        <v>51</v>
      </c>
      <c r="J38" s="560"/>
      <c r="K38" s="178" t="s">
        <v>89</v>
      </c>
      <c r="L38" s="136" t="s">
        <v>53</v>
      </c>
      <c r="M38" s="561" t="s">
        <v>90</v>
      </c>
      <c r="N38" s="562"/>
      <c r="O38" s="136" t="s">
        <v>67</v>
      </c>
      <c r="P38" s="563" t="s">
        <v>93</v>
      </c>
      <c r="Q38" s="564"/>
      <c r="R38" s="565"/>
    </row>
    <row r="39" spans="1:18">
      <c r="A39" s="556"/>
      <c r="B39" s="179" t="s">
        <v>39</v>
      </c>
      <c r="C39" s="180" t="s">
        <v>39</v>
      </c>
      <c r="D39" s="193" t="s">
        <v>39</v>
      </c>
      <c r="E39" s="184" t="s">
        <v>39</v>
      </c>
      <c r="F39" s="182" t="s">
        <v>39</v>
      </c>
      <c r="G39" s="183" t="s">
        <v>39</v>
      </c>
      <c r="H39" s="184" t="s">
        <v>41</v>
      </c>
      <c r="I39" s="196" t="s">
        <v>39</v>
      </c>
      <c r="J39" s="197" t="s">
        <v>40</v>
      </c>
      <c r="K39" s="198" t="s">
        <v>39</v>
      </c>
      <c r="L39" s="199" t="s">
        <v>39</v>
      </c>
      <c r="M39" s="200" t="s">
        <v>39</v>
      </c>
      <c r="N39" s="201" t="s">
        <v>40</v>
      </c>
      <c r="O39" s="199" t="s">
        <v>39</v>
      </c>
      <c r="P39" s="112" t="s">
        <v>39</v>
      </c>
      <c r="Q39" s="209" t="s">
        <v>40</v>
      </c>
      <c r="R39" s="210" t="s">
        <v>41</v>
      </c>
    </row>
    <row r="40" spans="1:18">
      <c r="A40" s="154">
        <v>1</v>
      </c>
      <c r="B40" s="194">
        <f>B5/20</f>
        <v>0</v>
      </c>
      <c r="C40" s="195">
        <f t="shared" ref="B40:G55" si="6">C5/20</f>
        <v>0</v>
      </c>
      <c r="D40" s="195">
        <f t="shared" si="6"/>
        <v>0</v>
      </c>
      <c r="E40" s="195">
        <f t="shared" si="6"/>
        <v>0</v>
      </c>
      <c r="F40" s="195">
        <f t="shared" si="6"/>
        <v>0</v>
      </c>
      <c r="G40" s="195">
        <f t="shared" si="6"/>
        <v>0</v>
      </c>
      <c r="H40" s="195">
        <f>H5/30</f>
        <v>0</v>
      </c>
      <c r="I40" s="195">
        <f>I5/20</f>
        <v>0</v>
      </c>
      <c r="J40" s="195">
        <f>J5/25</f>
        <v>0</v>
      </c>
      <c r="K40" s="195">
        <f>K5/20</f>
        <v>0</v>
      </c>
      <c r="L40" s="195">
        <f>L5/20</f>
        <v>0</v>
      </c>
      <c r="M40" s="207">
        <f>M5/20</f>
        <v>0</v>
      </c>
      <c r="N40" s="207">
        <f>N5/25</f>
        <v>0</v>
      </c>
      <c r="O40" s="195">
        <f>O5/20</f>
        <v>0</v>
      </c>
      <c r="P40" s="208" t="e">
        <f>+B40+C40+D40+F40+G40+I40+K40+#REF!+M40+L40</f>
        <v>#REF!</v>
      </c>
      <c r="Q40" s="208">
        <f t="shared" ref="Q40:Q70" si="7">+J40+N40</f>
        <v>0</v>
      </c>
      <c r="R40" s="213">
        <f t="shared" ref="R40:R70" si="8">+H40</f>
        <v>0</v>
      </c>
    </row>
    <row r="41" spans="1:18">
      <c r="A41" s="154">
        <v>2</v>
      </c>
      <c r="B41" s="194">
        <f t="shared" si="6"/>
        <v>0</v>
      </c>
      <c r="C41" s="195">
        <f t="shared" si="6"/>
        <v>0</v>
      </c>
      <c r="D41" s="195">
        <f t="shared" si="6"/>
        <v>0</v>
      </c>
      <c r="E41" s="195">
        <f t="shared" si="6"/>
        <v>0</v>
      </c>
      <c r="F41" s="195">
        <f t="shared" si="6"/>
        <v>0</v>
      </c>
      <c r="G41" s="195">
        <f t="shared" si="6"/>
        <v>0</v>
      </c>
      <c r="H41" s="195">
        <f t="shared" ref="H41:H70" si="9">H6/30</f>
        <v>0</v>
      </c>
      <c r="I41" s="195">
        <f t="shared" ref="I41:I70" si="10">I6/20</f>
        <v>0</v>
      </c>
      <c r="J41" s="195">
        <f t="shared" ref="J41:J70" si="11">J6/25</f>
        <v>0</v>
      </c>
      <c r="K41" s="195">
        <f t="shared" ref="K41:M56" si="12">K6/20</f>
        <v>0</v>
      </c>
      <c r="L41" s="195">
        <f t="shared" ref="L41" si="13">L6/20</f>
        <v>0</v>
      </c>
      <c r="M41" s="207">
        <f t="shared" si="12"/>
        <v>0</v>
      </c>
      <c r="N41" s="207">
        <f t="shared" ref="N41:N70" si="14">N6/25</f>
        <v>0</v>
      </c>
      <c r="O41" s="195">
        <f t="shared" ref="O41" si="15">O6/20</f>
        <v>0</v>
      </c>
      <c r="P41" s="208" t="e">
        <f>+B41+C41+D41+F41+G41+I41+K41+#REF!+M41</f>
        <v>#REF!</v>
      </c>
      <c r="Q41" s="208">
        <f t="shared" si="7"/>
        <v>0</v>
      </c>
      <c r="R41" s="213">
        <f t="shared" si="8"/>
        <v>0</v>
      </c>
    </row>
    <row r="42" spans="1:18">
      <c r="A42" s="154">
        <v>3</v>
      </c>
      <c r="B42" s="194">
        <f t="shared" si="6"/>
        <v>0</v>
      </c>
      <c r="C42" s="195">
        <f t="shared" si="6"/>
        <v>0</v>
      </c>
      <c r="D42" s="195">
        <f t="shared" si="6"/>
        <v>0</v>
      </c>
      <c r="E42" s="195">
        <f t="shared" si="6"/>
        <v>0</v>
      </c>
      <c r="F42" s="195">
        <f t="shared" si="6"/>
        <v>0</v>
      </c>
      <c r="G42" s="195">
        <f t="shared" si="6"/>
        <v>0</v>
      </c>
      <c r="H42" s="195">
        <f t="shared" si="9"/>
        <v>0</v>
      </c>
      <c r="I42" s="195">
        <f t="shared" si="10"/>
        <v>0</v>
      </c>
      <c r="J42" s="195">
        <f t="shared" si="11"/>
        <v>0</v>
      </c>
      <c r="K42" s="195">
        <f t="shared" si="12"/>
        <v>0</v>
      </c>
      <c r="L42" s="195">
        <f t="shared" ref="L42" si="16">L7/20</f>
        <v>0</v>
      </c>
      <c r="M42" s="207">
        <f t="shared" si="12"/>
        <v>0</v>
      </c>
      <c r="N42" s="207">
        <f t="shared" si="14"/>
        <v>0</v>
      </c>
      <c r="O42" s="195">
        <f t="shared" ref="O42" si="17">O7/20</f>
        <v>0</v>
      </c>
      <c r="P42" s="208" t="e">
        <f>+B42+C42+D42+F42+G42+I42+K42+#REF!+M42</f>
        <v>#REF!</v>
      </c>
      <c r="Q42" s="208">
        <f t="shared" si="7"/>
        <v>0</v>
      </c>
      <c r="R42" s="213">
        <f t="shared" si="8"/>
        <v>0</v>
      </c>
    </row>
    <row r="43" spans="1:18">
      <c r="A43" s="154">
        <v>4</v>
      </c>
      <c r="B43" s="194">
        <f t="shared" si="6"/>
        <v>0</v>
      </c>
      <c r="C43" s="195">
        <f t="shared" si="6"/>
        <v>0</v>
      </c>
      <c r="D43" s="195">
        <f t="shared" si="6"/>
        <v>0</v>
      </c>
      <c r="E43" s="195">
        <f t="shared" si="6"/>
        <v>0</v>
      </c>
      <c r="F43" s="195">
        <f t="shared" si="6"/>
        <v>0</v>
      </c>
      <c r="G43" s="195">
        <f t="shared" si="6"/>
        <v>0</v>
      </c>
      <c r="H43" s="195">
        <f t="shared" si="9"/>
        <v>0</v>
      </c>
      <c r="I43" s="195">
        <f t="shared" si="10"/>
        <v>0</v>
      </c>
      <c r="J43" s="195">
        <f t="shared" si="11"/>
        <v>0</v>
      </c>
      <c r="K43" s="195">
        <f t="shared" si="12"/>
        <v>0</v>
      </c>
      <c r="L43" s="195">
        <f t="shared" ref="L43" si="18">L8/20</f>
        <v>0</v>
      </c>
      <c r="M43" s="207">
        <f t="shared" si="12"/>
        <v>0</v>
      </c>
      <c r="N43" s="207">
        <f t="shared" si="14"/>
        <v>0</v>
      </c>
      <c r="O43" s="195">
        <f t="shared" ref="O43" si="19">O8/20</f>
        <v>0</v>
      </c>
      <c r="P43" s="208" t="e">
        <f>+B43+C43+D43+F43+G43+I43+K43+#REF!+M43</f>
        <v>#REF!</v>
      </c>
      <c r="Q43" s="208">
        <f t="shared" si="7"/>
        <v>0</v>
      </c>
      <c r="R43" s="213">
        <f t="shared" si="8"/>
        <v>0</v>
      </c>
    </row>
    <row r="44" spans="1:18">
      <c r="A44" s="154">
        <v>5</v>
      </c>
      <c r="B44" s="194">
        <f t="shared" si="6"/>
        <v>0</v>
      </c>
      <c r="C44" s="195">
        <f t="shared" si="6"/>
        <v>0</v>
      </c>
      <c r="D44" s="195">
        <f t="shared" si="6"/>
        <v>0</v>
      </c>
      <c r="E44" s="195">
        <f t="shared" si="6"/>
        <v>0</v>
      </c>
      <c r="F44" s="195">
        <f t="shared" si="6"/>
        <v>0</v>
      </c>
      <c r="G44" s="195">
        <f t="shared" si="6"/>
        <v>0</v>
      </c>
      <c r="H44" s="195">
        <f t="shared" si="9"/>
        <v>0</v>
      </c>
      <c r="I44" s="195">
        <f t="shared" si="10"/>
        <v>0</v>
      </c>
      <c r="J44" s="195">
        <f t="shared" si="11"/>
        <v>0</v>
      </c>
      <c r="K44" s="195">
        <f t="shared" si="12"/>
        <v>0</v>
      </c>
      <c r="L44" s="195">
        <f t="shared" ref="L44" si="20">L9/20</f>
        <v>0</v>
      </c>
      <c r="M44" s="207">
        <f t="shared" si="12"/>
        <v>0</v>
      </c>
      <c r="N44" s="207">
        <f t="shared" si="14"/>
        <v>0</v>
      </c>
      <c r="O44" s="195">
        <f t="shared" ref="O44" si="21">O9/20</f>
        <v>0</v>
      </c>
      <c r="P44" s="208" t="e">
        <f>+B44+C44+D44+F44+G44+I44+K44+#REF!+M44</f>
        <v>#REF!</v>
      </c>
      <c r="Q44" s="208">
        <f t="shared" si="7"/>
        <v>0</v>
      </c>
      <c r="R44" s="213">
        <f t="shared" si="8"/>
        <v>0</v>
      </c>
    </row>
    <row r="45" spans="1:18">
      <c r="A45" s="154">
        <v>6</v>
      </c>
      <c r="B45" s="194">
        <f t="shared" si="6"/>
        <v>0</v>
      </c>
      <c r="C45" s="195">
        <f t="shared" si="6"/>
        <v>0</v>
      </c>
      <c r="D45" s="195">
        <f t="shared" si="6"/>
        <v>0</v>
      </c>
      <c r="E45" s="195">
        <f t="shared" si="6"/>
        <v>0</v>
      </c>
      <c r="F45" s="195">
        <f t="shared" si="6"/>
        <v>0</v>
      </c>
      <c r="G45" s="195">
        <f t="shared" si="6"/>
        <v>0</v>
      </c>
      <c r="H45" s="195">
        <f t="shared" si="9"/>
        <v>0</v>
      </c>
      <c r="I45" s="195">
        <f t="shared" si="10"/>
        <v>0</v>
      </c>
      <c r="J45" s="195">
        <f t="shared" si="11"/>
        <v>0</v>
      </c>
      <c r="K45" s="195">
        <f t="shared" si="12"/>
        <v>0</v>
      </c>
      <c r="L45" s="195">
        <f t="shared" ref="L45" si="22">L10/20</f>
        <v>0</v>
      </c>
      <c r="M45" s="207">
        <f t="shared" si="12"/>
        <v>0</v>
      </c>
      <c r="N45" s="207">
        <f t="shared" si="14"/>
        <v>0</v>
      </c>
      <c r="O45" s="195">
        <f t="shared" ref="O45" si="23">O10/20</f>
        <v>0</v>
      </c>
      <c r="P45" s="208" t="e">
        <f>+B45+C45+D45+F45+G45+I45+K45+#REF!+M45</f>
        <v>#REF!</v>
      </c>
      <c r="Q45" s="208">
        <f t="shared" si="7"/>
        <v>0</v>
      </c>
      <c r="R45" s="213">
        <f t="shared" si="8"/>
        <v>0</v>
      </c>
    </row>
    <row r="46" spans="1:18">
      <c r="A46" s="154">
        <v>7</v>
      </c>
      <c r="B46" s="194">
        <f t="shared" si="6"/>
        <v>0</v>
      </c>
      <c r="C46" s="195">
        <f t="shared" si="6"/>
        <v>0</v>
      </c>
      <c r="D46" s="195">
        <f t="shared" si="6"/>
        <v>0</v>
      </c>
      <c r="E46" s="195">
        <f t="shared" si="6"/>
        <v>0</v>
      </c>
      <c r="F46" s="195">
        <f t="shared" si="6"/>
        <v>0</v>
      </c>
      <c r="G46" s="195">
        <f t="shared" si="6"/>
        <v>0</v>
      </c>
      <c r="H46" s="195">
        <f t="shared" si="9"/>
        <v>0</v>
      </c>
      <c r="I46" s="195">
        <f t="shared" si="10"/>
        <v>0</v>
      </c>
      <c r="J46" s="195">
        <f t="shared" si="11"/>
        <v>0</v>
      </c>
      <c r="K46" s="195">
        <f t="shared" si="12"/>
        <v>0</v>
      </c>
      <c r="L46" s="195">
        <f t="shared" ref="L46" si="24">L11/20</f>
        <v>0</v>
      </c>
      <c r="M46" s="207">
        <f t="shared" si="12"/>
        <v>0</v>
      </c>
      <c r="N46" s="207">
        <f t="shared" si="14"/>
        <v>0</v>
      </c>
      <c r="O46" s="195">
        <f t="shared" ref="O46" si="25">O11/20</f>
        <v>0</v>
      </c>
      <c r="P46" s="208" t="e">
        <f>+B46+C46+D46+F46+G46+I46+K46+#REF!+M46</f>
        <v>#REF!</v>
      </c>
      <c r="Q46" s="208">
        <f t="shared" si="7"/>
        <v>0</v>
      </c>
      <c r="R46" s="213">
        <f t="shared" si="8"/>
        <v>0</v>
      </c>
    </row>
    <row r="47" spans="1:18">
      <c r="A47" s="154">
        <v>8</v>
      </c>
      <c r="B47" s="194">
        <f t="shared" si="6"/>
        <v>0</v>
      </c>
      <c r="C47" s="195">
        <f t="shared" si="6"/>
        <v>0</v>
      </c>
      <c r="D47" s="195">
        <f t="shared" si="6"/>
        <v>0</v>
      </c>
      <c r="E47" s="195">
        <f t="shared" si="6"/>
        <v>0</v>
      </c>
      <c r="F47" s="195">
        <f t="shared" si="6"/>
        <v>0</v>
      </c>
      <c r="G47" s="195">
        <f t="shared" si="6"/>
        <v>0</v>
      </c>
      <c r="H47" s="195">
        <f t="shared" si="9"/>
        <v>0</v>
      </c>
      <c r="I47" s="195">
        <f t="shared" si="10"/>
        <v>0</v>
      </c>
      <c r="J47" s="195">
        <f t="shared" si="11"/>
        <v>0</v>
      </c>
      <c r="K47" s="195">
        <f t="shared" si="12"/>
        <v>0</v>
      </c>
      <c r="L47" s="195">
        <f t="shared" ref="L47" si="26">L12/20</f>
        <v>0</v>
      </c>
      <c r="M47" s="207">
        <f t="shared" si="12"/>
        <v>0</v>
      </c>
      <c r="N47" s="207">
        <f t="shared" si="14"/>
        <v>0</v>
      </c>
      <c r="O47" s="195">
        <f t="shared" ref="O47" si="27">O12/20</f>
        <v>0</v>
      </c>
      <c r="P47" s="208" t="e">
        <f>+B47+C47+D47+F47+G47+I47+K47+#REF!+M47</f>
        <v>#REF!</v>
      </c>
      <c r="Q47" s="208">
        <f t="shared" si="7"/>
        <v>0</v>
      </c>
      <c r="R47" s="213">
        <f t="shared" si="8"/>
        <v>0</v>
      </c>
    </row>
    <row r="48" spans="1:18">
      <c r="A48" s="154">
        <v>9</v>
      </c>
      <c r="B48" s="194">
        <f t="shared" si="6"/>
        <v>0</v>
      </c>
      <c r="C48" s="195">
        <f t="shared" si="6"/>
        <v>0</v>
      </c>
      <c r="D48" s="195">
        <f t="shared" si="6"/>
        <v>0</v>
      </c>
      <c r="E48" s="195">
        <f t="shared" si="6"/>
        <v>0</v>
      </c>
      <c r="F48" s="195">
        <f t="shared" si="6"/>
        <v>0</v>
      </c>
      <c r="G48" s="195">
        <f t="shared" si="6"/>
        <v>0</v>
      </c>
      <c r="H48" s="195">
        <f t="shared" si="9"/>
        <v>0</v>
      </c>
      <c r="I48" s="195">
        <f t="shared" si="10"/>
        <v>0</v>
      </c>
      <c r="J48" s="195">
        <f t="shared" si="11"/>
        <v>0</v>
      </c>
      <c r="K48" s="195">
        <f t="shared" si="12"/>
        <v>0</v>
      </c>
      <c r="L48" s="195">
        <f t="shared" ref="L48" si="28">L13/20</f>
        <v>0</v>
      </c>
      <c r="M48" s="207">
        <f t="shared" si="12"/>
        <v>0</v>
      </c>
      <c r="N48" s="207">
        <f t="shared" si="14"/>
        <v>0</v>
      </c>
      <c r="O48" s="195">
        <f t="shared" ref="O48" si="29">O13/20</f>
        <v>0</v>
      </c>
      <c r="P48" s="208" t="e">
        <f>+B48+C48+D48+F48+G48+I48+K48+#REF!+M48</f>
        <v>#REF!</v>
      </c>
      <c r="Q48" s="208">
        <f t="shared" si="7"/>
        <v>0</v>
      </c>
      <c r="R48" s="213">
        <f t="shared" si="8"/>
        <v>0</v>
      </c>
    </row>
    <row r="49" spans="1:18">
      <c r="A49" s="154">
        <v>10</v>
      </c>
      <c r="B49" s="194">
        <f t="shared" si="6"/>
        <v>0</v>
      </c>
      <c r="C49" s="195">
        <f t="shared" si="6"/>
        <v>0</v>
      </c>
      <c r="D49" s="195">
        <f t="shared" si="6"/>
        <v>0</v>
      </c>
      <c r="E49" s="195">
        <f t="shared" si="6"/>
        <v>0</v>
      </c>
      <c r="F49" s="195">
        <f t="shared" si="6"/>
        <v>0</v>
      </c>
      <c r="G49" s="195">
        <f t="shared" si="6"/>
        <v>0</v>
      </c>
      <c r="H49" s="195">
        <f t="shared" si="9"/>
        <v>0</v>
      </c>
      <c r="I49" s="195">
        <f t="shared" si="10"/>
        <v>0</v>
      </c>
      <c r="J49" s="195">
        <f t="shared" si="11"/>
        <v>0</v>
      </c>
      <c r="K49" s="195">
        <f t="shared" si="12"/>
        <v>0</v>
      </c>
      <c r="L49" s="195">
        <f t="shared" ref="L49" si="30">L14/20</f>
        <v>0</v>
      </c>
      <c r="M49" s="207">
        <f t="shared" si="12"/>
        <v>0</v>
      </c>
      <c r="N49" s="207">
        <f t="shared" si="14"/>
        <v>0</v>
      </c>
      <c r="O49" s="195">
        <f t="shared" ref="O49" si="31">O14/20</f>
        <v>0</v>
      </c>
      <c r="P49" s="208" t="e">
        <f>+B49+C49+D49+F49+G49+I49+K49+#REF!+M49</f>
        <v>#REF!</v>
      </c>
      <c r="Q49" s="208">
        <f t="shared" si="7"/>
        <v>0</v>
      </c>
      <c r="R49" s="213">
        <f t="shared" si="8"/>
        <v>0</v>
      </c>
    </row>
    <row r="50" spans="1:18">
      <c r="A50" s="154">
        <v>11</v>
      </c>
      <c r="B50" s="194">
        <f t="shared" si="6"/>
        <v>0</v>
      </c>
      <c r="C50" s="195">
        <f t="shared" si="6"/>
        <v>0</v>
      </c>
      <c r="D50" s="195">
        <f t="shared" si="6"/>
        <v>0</v>
      </c>
      <c r="E50" s="195">
        <f t="shared" si="6"/>
        <v>0</v>
      </c>
      <c r="F50" s="195">
        <f t="shared" si="6"/>
        <v>0</v>
      </c>
      <c r="G50" s="195">
        <f t="shared" si="6"/>
        <v>0</v>
      </c>
      <c r="H50" s="195">
        <f t="shared" si="9"/>
        <v>0</v>
      </c>
      <c r="I50" s="195">
        <f t="shared" si="10"/>
        <v>0</v>
      </c>
      <c r="J50" s="195">
        <f t="shared" si="11"/>
        <v>0</v>
      </c>
      <c r="K50" s="195">
        <f t="shared" si="12"/>
        <v>0</v>
      </c>
      <c r="L50" s="195">
        <f t="shared" ref="L50" si="32">L15/20</f>
        <v>0</v>
      </c>
      <c r="M50" s="207">
        <f t="shared" si="12"/>
        <v>0</v>
      </c>
      <c r="N50" s="207">
        <f t="shared" si="14"/>
        <v>0</v>
      </c>
      <c r="O50" s="195">
        <f t="shared" ref="O50" si="33">O15/20</f>
        <v>0</v>
      </c>
      <c r="P50" s="208" t="e">
        <f>+B50+C50+D50+F50+G50+I50+K50+#REF!+M50</f>
        <v>#REF!</v>
      </c>
      <c r="Q50" s="208">
        <f t="shared" si="7"/>
        <v>0</v>
      </c>
      <c r="R50" s="213">
        <f t="shared" si="8"/>
        <v>0</v>
      </c>
    </row>
    <row r="51" spans="1:18">
      <c r="A51" s="154">
        <v>12</v>
      </c>
      <c r="B51" s="194">
        <f t="shared" si="6"/>
        <v>0</v>
      </c>
      <c r="C51" s="195">
        <f t="shared" si="6"/>
        <v>0</v>
      </c>
      <c r="D51" s="195">
        <f t="shared" si="6"/>
        <v>0</v>
      </c>
      <c r="E51" s="195">
        <f t="shared" si="6"/>
        <v>0</v>
      </c>
      <c r="F51" s="195">
        <f t="shared" si="6"/>
        <v>0</v>
      </c>
      <c r="G51" s="195">
        <f t="shared" si="6"/>
        <v>0</v>
      </c>
      <c r="H51" s="195">
        <f t="shared" si="9"/>
        <v>0</v>
      </c>
      <c r="I51" s="195">
        <f t="shared" si="10"/>
        <v>0</v>
      </c>
      <c r="J51" s="195">
        <f t="shared" si="11"/>
        <v>0</v>
      </c>
      <c r="K51" s="195">
        <f t="shared" si="12"/>
        <v>0</v>
      </c>
      <c r="L51" s="195">
        <f t="shared" ref="L51" si="34">L16/20</f>
        <v>0</v>
      </c>
      <c r="M51" s="207">
        <f t="shared" si="12"/>
        <v>0</v>
      </c>
      <c r="N51" s="207">
        <f t="shared" si="14"/>
        <v>0</v>
      </c>
      <c r="O51" s="195">
        <f t="shared" ref="O51" si="35">O16/20</f>
        <v>0</v>
      </c>
      <c r="P51" s="208" t="e">
        <f>+B51+C51+D51+F51+G51+I51+K51+#REF!+M51</f>
        <v>#REF!</v>
      </c>
      <c r="Q51" s="208">
        <f t="shared" si="7"/>
        <v>0</v>
      </c>
      <c r="R51" s="213">
        <f t="shared" si="8"/>
        <v>0</v>
      </c>
    </row>
    <row r="52" spans="1:18">
      <c r="A52" s="154">
        <v>13</v>
      </c>
      <c r="B52" s="194">
        <f t="shared" si="6"/>
        <v>0</v>
      </c>
      <c r="C52" s="195">
        <f t="shared" si="6"/>
        <v>0</v>
      </c>
      <c r="D52" s="195">
        <f t="shared" si="6"/>
        <v>0</v>
      </c>
      <c r="E52" s="195">
        <f t="shared" si="6"/>
        <v>0</v>
      </c>
      <c r="F52" s="195">
        <f t="shared" si="6"/>
        <v>0</v>
      </c>
      <c r="G52" s="195">
        <f t="shared" si="6"/>
        <v>0</v>
      </c>
      <c r="H52" s="195">
        <f t="shared" si="9"/>
        <v>0</v>
      </c>
      <c r="I52" s="195">
        <f t="shared" si="10"/>
        <v>0</v>
      </c>
      <c r="J52" s="195">
        <f t="shared" si="11"/>
        <v>0</v>
      </c>
      <c r="K52" s="195">
        <f t="shared" si="12"/>
        <v>0</v>
      </c>
      <c r="L52" s="195">
        <f t="shared" ref="L52" si="36">L17/20</f>
        <v>0</v>
      </c>
      <c r="M52" s="207">
        <f t="shared" si="12"/>
        <v>0</v>
      </c>
      <c r="N52" s="207">
        <f t="shared" si="14"/>
        <v>0</v>
      </c>
      <c r="O52" s="195">
        <f t="shared" ref="O52" si="37">O17/20</f>
        <v>0</v>
      </c>
      <c r="P52" s="208" t="e">
        <f>+B52+C52+D52+F52+G52+I52+K52+#REF!+M52</f>
        <v>#REF!</v>
      </c>
      <c r="Q52" s="208">
        <f t="shared" si="7"/>
        <v>0</v>
      </c>
      <c r="R52" s="213">
        <f t="shared" si="8"/>
        <v>0</v>
      </c>
    </row>
    <row r="53" spans="1:18">
      <c r="A53" s="154">
        <v>14</v>
      </c>
      <c r="B53" s="194">
        <f t="shared" si="6"/>
        <v>0</v>
      </c>
      <c r="C53" s="195">
        <f t="shared" si="6"/>
        <v>0</v>
      </c>
      <c r="D53" s="195">
        <f t="shared" si="6"/>
        <v>0</v>
      </c>
      <c r="E53" s="195">
        <f t="shared" si="6"/>
        <v>0</v>
      </c>
      <c r="F53" s="195">
        <f t="shared" si="6"/>
        <v>0</v>
      </c>
      <c r="G53" s="195">
        <f t="shared" si="6"/>
        <v>0</v>
      </c>
      <c r="H53" s="195">
        <f t="shared" si="9"/>
        <v>0</v>
      </c>
      <c r="I53" s="195">
        <f t="shared" si="10"/>
        <v>0</v>
      </c>
      <c r="J53" s="195">
        <f t="shared" si="11"/>
        <v>0</v>
      </c>
      <c r="K53" s="195">
        <f t="shared" si="12"/>
        <v>0</v>
      </c>
      <c r="L53" s="195">
        <f t="shared" ref="L53" si="38">L18/20</f>
        <v>0</v>
      </c>
      <c r="M53" s="207">
        <f t="shared" si="12"/>
        <v>0</v>
      </c>
      <c r="N53" s="207">
        <f t="shared" si="14"/>
        <v>0</v>
      </c>
      <c r="O53" s="195">
        <f t="shared" ref="O53" si="39">O18/20</f>
        <v>0</v>
      </c>
      <c r="P53" s="208" t="e">
        <f>+B53+C53+D53+F53+G53+I53+K53+#REF!+M53</f>
        <v>#REF!</v>
      </c>
      <c r="Q53" s="208">
        <f t="shared" si="7"/>
        <v>0</v>
      </c>
      <c r="R53" s="213">
        <f t="shared" si="8"/>
        <v>0</v>
      </c>
    </row>
    <row r="54" spans="1:18">
      <c r="A54" s="154">
        <v>15</v>
      </c>
      <c r="B54" s="194">
        <f t="shared" si="6"/>
        <v>0</v>
      </c>
      <c r="C54" s="195">
        <f t="shared" si="6"/>
        <v>0</v>
      </c>
      <c r="D54" s="195">
        <f t="shared" si="6"/>
        <v>0</v>
      </c>
      <c r="E54" s="195">
        <f t="shared" si="6"/>
        <v>0</v>
      </c>
      <c r="F54" s="195">
        <f t="shared" si="6"/>
        <v>0</v>
      </c>
      <c r="G54" s="195">
        <f t="shared" si="6"/>
        <v>0</v>
      </c>
      <c r="H54" s="195">
        <f t="shared" si="9"/>
        <v>0</v>
      </c>
      <c r="I54" s="195">
        <f t="shared" si="10"/>
        <v>0</v>
      </c>
      <c r="J54" s="195">
        <f t="shared" si="11"/>
        <v>0</v>
      </c>
      <c r="K54" s="195">
        <f t="shared" si="12"/>
        <v>0</v>
      </c>
      <c r="L54" s="195">
        <f t="shared" ref="L54" si="40">L19/20</f>
        <v>0</v>
      </c>
      <c r="M54" s="207">
        <f t="shared" si="12"/>
        <v>0</v>
      </c>
      <c r="N54" s="207">
        <f t="shared" si="14"/>
        <v>0</v>
      </c>
      <c r="O54" s="195">
        <f t="shared" ref="O54" si="41">O19/20</f>
        <v>0</v>
      </c>
      <c r="P54" s="208" t="e">
        <f>+B54+C54+D54+F54+G54+I54+K54+#REF!+M54</f>
        <v>#REF!</v>
      </c>
      <c r="Q54" s="208">
        <f t="shared" si="7"/>
        <v>0</v>
      </c>
      <c r="R54" s="213">
        <f t="shared" si="8"/>
        <v>0</v>
      </c>
    </row>
    <row r="55" spans="1:18">
      <c r="A55" s="154">
        <v>16</v>
      </c>
      <c r="B55" s="194">
        <f t="shared" si="6"/>
        <v>0</v>
      </c>
      <c r="C55" s="195">
        <f t="shared" si="6"/>
        <v>0</v>
      </c>
      <c r="D55" s="195">
        <f t="shared" si="6"/>
        <v>0</v>
      </c>
      <c r="E55" s="195">
        <f t="shared" si="6"/>
        <v>0</v>
      </c>
      <c r="F55" s="195">
        <f t="shared" si="6"/>
        <v>0</v>
      </c>
      <c r="G55" s="195">
        <f t="shared" si="6"/>
        <v>0</v>
      </c>
      <c r="H55" s="195">
        <f t="shared" si="9"/>
        <v>0</v>
      </c>
      <c r="I55" s="195">
        <f t="shared" si="10"/>
        <v>0</v>
      </c>
      <c r="J55" s="195">
        <f t="shared" si="11"/>
        <v>0</v>
      </c>
      <c r="K55" s="195">
        <f t="shared" si="12"/>
        <v>0</v>
      </c>
      <c r="L55" s="195">
        <f t="shared" ref="L55" si="42">L20/20</f>
        <v>0</v>
      </c>
      <c r="M55" s="207">
        <f t="shared" si="12"/>
        <v>0</v>
      </c>
      <c r="N55" s="207">
        <f t="shared" si="14"/>
        <v>0</v>
      </c>
      <c r="O55" s="195">
        <f t="shared" ref="O55" si="43">O20/20</f>
        <v>0</v>
      </c>
      <c r="P55" s="208" t="e">
        <f>+B55+C55+D55+F55+G55+I55+K55+#REF!+M55</f>
        <v>#REF!</v>
      </c>
      <c r="Q55" s="208">
        <f t="shared" si="7"/>
        <v>0</v>
      </c>
      <c r="R55" s="213">
        <f t="shared" si="8"/>
        <v>0</v>
      </c>
    </row>
    <row r="56" spans="1:18">
      <c r="A56" s="154">
        <v>17</v>
      </c>
      <c r="B56" s="194">
        <f t="shared" ref="B56:G70" si="44">B21/20</f>
        <v>0</v>
      </c>
      <c r="C56" s="195">
        <f t="shared" si="44"/>
        <v>0</v>
      </c>
      <c r="D56" s="195">
        <f t="shared" si="44"/>
        <v>0</v>
      </c>
      <c r="E56" s="195">
        <f t="shared" si="44"/>
        <v>0</v>
      </c>
      <c r="F56" s="195">
        <f t="shared" si="44"/>
        <v>0</v>
      </c>
      <c r="G56" s="195">
        <f t="shared" si="44"/>
        <v>0</v>
      </c>
      <c r="H56" s="195">
        <f t="shared" si="9"/>
        <v>0</v>
      </c>
      <c r="I56" s="195">
        <f t="shared" si="10"/>
        <v>0</v>
      </c>
      <c r="J56" s="195">
        <f t="shared" si="11"/>
        <v>0</v>
      </c>
      <c r="K56" s="195">
        <f t="shared" si="12"/>
        <v>0</v>
      </c>
      <c r="L56" s="195">
        <f t="shared" ref="L56" si="45">L21/20</f>
        <v>0</v>
      </c>
      <c r="M56" s="207">
        <f t="shared" si="12"/>
        <v>0</v>
      </c>
      <c r="N56" s="207">
        <f t="shared" si="14"/>
        <v>0</v>
      </c>
      <c r="O56" s="195">
        <f t="shared" ref="O56" si="46">O21/20</f>
        <v>0</v>
      </c>
      <c r="P56" s="208" t="e">
        <f>+B56+C56+D56+F56+G56+I56+K56+#REF!+M56</f>
        <v>#REF!</v>
      </c>
      <c r="Q56" s="208">
        <f t="shared" si="7"/>
        <v>0</v>
      </c>
      <c r="R56" s="213">
        <f t="shared" si="8"/>
        <v>0</v>
      </c>
    </row>
    <row r="57" spans="1:18">
      <c r="A57" s="154">
        <v>18</v>
      </c>
      <c r="B57" s="194">
        <f t="shared" si="44"/>
        <v>0</v>
      </c>
      <c r="C57" s="195">
        <f t="shared" si="44"/>
        <v>0</v>
      </c>
      <c r="D57" s="195">
        <f t="shared" si="44"/>
        <v>0</v>
      </c>
      <c r="E57" s="195">
        <f t="shared" si="44"/>
        <v>0</v>
      </c>
      <c r="F57" s="195">
        <f t="shared" si="44"/>
        <v>0</v>
      </c>
      <c r="G57" s="195">
        <f t="shared" si="44"/>
        <v>0</v>
      </c>
      <c r="H57" s="195">
        <f t="shared" si="9"/>
        <v>0</v>
      </c>
      <c r="I57" s="195">
        <f t="shared" si="10"/>
        <v>0</v>
      </c>
      <c r="J57" s="195">
        <f t="shared" si="11"/>
        <v>0</v>
      </c>
      <c r="K57" s="195">
        <f t="shared" ref="K57:M70" si="47">K22/20</f>
        <v>0</v>
      </c>
      <c r="L57" s="195">
        <f t="shared" ref="L57" si="48">L22/20</f>
        <v>0</v>
      </c>
      <c r="M57" s="207">
        <f t="shared" si="47"/>
        <v>0</v>
      </c>
      <c r="N57" s="207">
        <f t="shared" si="14"/>
        <v>0</v>
      </c>
      <c r="O57" s="195">
        <f t="shared" ref="O57" si="49">O22/20</f>
        <v>0</v>
      </c>
      <c r="P57" s="208" t="e">
        <f>+B57+C57+D57+F57+G57+I57+K57+#REF!+M57</f>
        <v>#REF!</v>
      </c>
      <c r="Q57" s="208">
        <f t="shared" si="7"/>
        <v>0</v>
      </c>
      <c r="R57" s="213">
        <f t="shared" si="8"/>
        <v>0</v>
      </c>
    </row>
    <row r="58" spans="1:18">
      <c r="A58" s="154">
        <v>19</v>
      </c>
      <c r="B58" s="194">
        <f t="shared" si="44"/>
        <v>0</v>
      </c>
      <c r="C58" s="195">
        <f t="shared" si="44"/>
        <v>0</v>
      </c>
      <c r="D58" s="195">
        <f t="shared" si="44"/>
        <v>0</v>
      </c>
      <c r="E58" s="195">
        <f t="shared" si="44"/>
        <v>0</v>
      </c>
      <c r="F58" s="195">
        <f t="shared" si="44"/>
        <v>0</v>
      </c>
      <c r="G58" s="195">
        <f t="shared" si="44"/>
        <v>0</v>
      </c>
      <c r="H58" s="195">
        <f t="shared" si="9"/>
        <v>0</v>
      </c>
      <c r="I58" s="195">
        <f t="shared" si="10"/>
        <v>0</v>
      </c>
      <c r="J58" s="195">
        <f t="shared" si="11"/>
        <v>0</v>
      </c>
      <c r="K58" s="195">
        <f t="shared" si="47"/>
        <v>0</v>
      </c>
      <c r="L58" s="195">
        <f t="shared" ref="L58" si="50">L23/20</f>
        <v>0</v>
      </c>
      <c r="M58" s="207">
        <f t="shared" si="47"/>
        <v>0</v>
      </c>
      <c r="N58" s="207">
        <f t="shared" si="14"/>
        <v>0</v>
      </c>
      <c r="O58" s="195">
        <f t="shared" ref="O58" si="51">O23/20</f>
        <v>0</v>
      </c>
      <c r="P58" s="208" t="e">
        <f>+B58+C58+D58+F58+G58+I58+K58+#REF!+M58</f>
        <v>#REF!</v>
      </c>
      <c r="Q58" s="208">
        <f t="shared" si="7"/>
        <v>0</v>
      </c>
      <c r="R58" s="213">
        <f t="shared" si="8"/>
        <v>0</v>
      </c>
    </row>
    <row r="59" spans="1:18">
      <c r="A59" s="154">
        <v>20</v>
      </c>
      <c r="B59" s="194">
        <f t="shared" si="44"/>
        <v>0</v>
      </c>
      <c r="C59" s="195">
        <f t="shared" si="44"/>
        <v>0</v>
      </c>
      <c r="D59" s="195">
        <f t="shared" si="44"/>
        <v>0</v>
      </c>
      <c r="E59" s="195">
        <f t="shared" si="44"/>
        <v>0</v>
      </c>
      <c r="F59" s="195">
        <f t="shared" si="44"/>
        <v>0</v>
      </c>
      <c r="G59" s="195">
        <f t="shared" si="44"/>
        <v>0</v>
      </c>
      <c r="H59" s="195">
        <f t="shared" si="9"/>
        <v>0</v>
      </c>
      <c r="I59" s="195">
        <f t="shared" si="10"/>
        <v>0</v>
      </c>
      <c r="J59" s="195">
        <f t="shared" si="11"/>
        <v>0</v>
      </c>
      <c r="K59" s="195">
        <f t="shared" si="47"/>
        <v>0</v>
      </c>
      <c r="L59" s="195">
        <f t="shared" ref="L59" si="52">L24/20</f>
        <v>0</v>
      </c>
      <c r="M59" s="207">
        <f t="shared" si="47"/>
        <v>0</v>
      </c>
      <c r="N59" s="207">
        <f t="shared" si="14"/>
        <v>0</v>
      </c>
      <c r="O59" s="195">
        <f t="shared" ref="O59" si="53">O24/20</f>
        <v>0</v>
      </c>
      <c r="P59" s="208" t="e">
        <f>+B59+C59+D59+F59+G59+I59+K59+#REF!+M59</f>
        <v>#REF!</v>
      </c>
      <c r="Q59" s="208">
        <f t="shared" si="7"/>
        <v>0</v>
      </c>
      <c r="R59" s="213">
        <f t="shared" si="8"/>
        <v>0</v>
      </c>
    </row>
    <row r="60" spans="1:18">
      <c r="A60" s="154">
        <v>21</v>
      </c>
      <c r="B60" s="194">
        <f t="shared" si="44"/>
        <v>0</v>
      </c>
      <c r="C60" s="195">
        <f t="shared" si="44"/>
        <v>0</v>
      </c>
      <c r="D60" s="195">
        <f t="shared" si="44"/>
        <v>0</v>
      </c>
      <c r="E60" s="195">
        <f t="shared" si="44"/>
        <v>0</v>
      </c>
      <c r="F60" s="195">
        <f t="shared" si="44"/>
        <v>0</v>
      </c>
      <c r="G60" s="195">
        <f t="shared" si="44"/>
        <v>0</v>
      </c>
      <c r="H60" s="195">
        <f t="shared" si="9"/>
        <v>0</v>
      </c>
      <c r="I60" s="195">
        <f t="shared" si="10"/>
        <v>0</v>
      </c>
      <c r="J60" s="195">
        <f t="shared" si="11"/>
        <v>0</v>
      </c>
      <c r="K60" s="195">
        <f t="shared" si="47"/>
        <v>0</v>
      </c>
      <c r="L60" s="195">
        <f t="shared" ref="L60" si="54">L25/20</f>
        <v>0</v>
      </c>
      <c r="M60" s="207">
        <f t="shared" si="47"/>
        <v>0</v>
      </c>
      <c r="N60" s="207">
        <f t="shared" si="14"/>
        <v>0</v>
      </c>
      <c r="O60" s="195">
        <f t="shared" ref="O60" si="55">O25/20</f>
        <v>0</v>
      </c>
      <c r="P60" s="208" t="e">
        <f>+B60+C60+D60+F60+G60+I60+K60+#REF!+M60</f>
        <v>#REF!</v>
      </c>
      <c r="Q60" s="208">
        <f t="shared" si="7"/>
        <v>0</v>
      </c>
      <c r="R60" s="213">
        <f t="shared" si="8"/>
        <v>0</v>
      </c>
    </row>
    <row r="61" spans="1:18">
      <c r="A61" s="154">
        <v>22</v>
      </c>
      <c r="B61" s="194">
        <f t="shared" si="44"/>
        <v>0</v>
      </c>
      <c r="C61" s="195">
        <f t="shared" si="44"/>
        <v>0</v>
      </c>
      <c r="D61" s="195">
        <f t="shared" si="44"/>
        <v>0</v>
      </c>
      <c r="E61" s="195">
        <f t="shared" si="44"/>
        <v>0</v>
      </c>
      <c r="F61" s="195">
        <f t="shared" si="44"/>
        <v>0</v>
      </c>
      <c r="G61" s="195">
        <f t="shared" si="44"/>
        <v>0</v>
      </c>
      <c r="H61" s="195">
        <f t="shared" si="9"/>
        <v>0</v>
      </c>
      <c r="I61" s="195">
        <f t="shared" si="10"/>
        <v>0</v>
      </c>
      <c r="J61" s="195">
        <f t="shared" si="11"/>
        <v>0</v>
      </c>
      <c r="K61" s="195">
        <f t="shared" si="47"/>
        <v>0</v>
      </c>
      <c r="L61" s="195">
        <f t="shared" ref="L61" si="56">L26/20</f>
        <v>0</v>
      </c>
      <c r="M61" s="207">
        <f t="shared" si="47"/>
        <v>0</v>
      </c>
      <c r="N61" s="207">
        <f t="shared" si="14"/>
        <v>0</v>
      </c>
      <c r="O61" s="195">
        <f t="shared" ref="O61" si="57">O26/20</f>
        <v>0</v>
      </c>
      <c r="P61" s="208" t="e">
        <f>+B61+C61+D61+F61+G61+I61+K61+#REF!+M61</f>
        <v>#REF!</v>
      </c>
      <c r="Q61" s="208">
        <f t="shared" si="7"/>
        <v>0</v>
      </c>
      <c r="R61" s="213">
        <f t="shared" si="8"/>
        <v>0</v>
      </c>
    </row>
    <row r="62" spans="1:18">
      <c r="A62" s="154">
        <v>23</v>
      </c>
      <c r="B62" s="194">
        <f t="shared" si="44"/>
        <v>0</v>
      </c>
      <c r="C62" s="195">
        <f t="shared" si="44"/>
        <v>0</v>
      </c>
      <c r="D62" s="195">
        <f t="shared" si="44"/>
        <v>0</v>
      </c>
      <c r="E62" s="195">
        <f t="shared" si="44"/>
        <v>0</v>
      </c>
      <c r="F62" s="195">
        <f t="shared" si="44"/>
        <v>0</v>
      </c>
      <c r="G62" s="195">
        <f t="shared" si="44"/>
        <v>0</v>
      </c>
      <c r="H62" s="195">
        <f t="shared" si="9"/>
        <v>0</v>
      </c>
      <c r="I62" s="195">
        <f t="shared" si="10"/>
        <v>0</v>
      </c>
      <c r="J62" s="195">
        <f t="shared" si="11"/>
        <v>0</v>
      </c>
      <c r="K62" s="195">
        <f t="shared" si="47"/>
        <v>0</v>
      </c>
      <c r="L62" s="195">
        <f t="shared" ref="L62" si="58">L27/20</f>
        <v>0</v>
      </c>
      <c r="M62" s="207">
        <f t="shared" si="47"/>
        <v>0</v>
      </c>
      <c r="N62" s="207">
        <f t="shared" si="14"/>
        <v>0</v>
      </c>
      <c r="O62" s="195">
        <f t="shared" ref="O62" si="59">O27/20</f>
        <v>0</v>
      </c>
      <c r="P62" s="208" t="e">
        <f>+B62+C62+D62+F62+G62+I62+K62+#REF!+M62</f>
        <v>#REF!</v>
      </c>
      <c r="Q62" s="208">
        <f t="shared" si="7"/>
        <v>0</v>
      </c>
      <c r="R62" s="213">
        <f t="shared" si="8"/>
        <v>0</v>
      </c>
    </row>
    <row r="63" spans="1:18">
      <c r="A63" s="154">
        <v>24</v>
      </c>
      <c r="B63" s="194">
        <f t="shared" si="44"/>
        <v>0</v>
      </c>
      <c r="C63" s="195">
        <f t="shared" si="44"/>
        <v>0</v>
      </c>
      <c r="D63" s="195">
        <f t="shared" si="44"/>
        <v>0</v>
      </c>
      <c r="E63" s="195">
        <f t="shared" si="44"/>
        <v>0</v>
      </c>
      <c r="F63" s="195">
        <f t="shared" si="44"/>
        <v>0</v>
      </c>
      <c r="G63" s="195">
        <f t="shared" si="44"/>
        <v>0</v>
      </c>
      <c r="H63" s="195">
        <f t="shared" si="9"/>
        <v>0</v>
      </c>
      <c r="I63" s="195">
        <f t="shared" si="10"/>
        <v>0</v>
      </c>
      <c r="J63" s="195">
        <f t="shared" si="11"/>
        <v>0</v>
      </c>
      <c r="K63" s="195">
        <f t="shared" si="47"/>
        <v>0</v>
      </c>
      <c r="L63" s="195">
        <f t="shared" ref="L63" si="60">L28/20</f>
        <v>0</v>
      </c>
      <c r="M63" s="207">
        <f t="shared" si="47"/>
        <v>0</v>
      </c>
      <c r="N63" s="207">
        <f t="shared" si="14"/>
        <v>0</v>
      </c>
      <c r="O63" s="195">
        <f t="shared" ref="O63" si="61">O28/20</f>
        <v>0</v>
      </c>
      <c r="P63" s="208" t="e">
        <f>+B63+C63+D63+F63+G63+I63+K63+#REF!+M63</f>
        <v>#REF!</v>
      </c>
      <c r="Q63" s="208">
        <f t="shared" si="7"/>
        <v>0</v>
      </c>
      <c r="R63" s="213">
        <f t="shared" si="8"/>
        <v>0</v>
      </c>
    </row>
    <row r="64" spans="1:18">
      <c r="A64" s="154">
        <v>25</v>
      </c>
      <c r="B64" s="194">
        <f t="shared" si="44"/>
        <v>0</v>
      </c>
      <c r="C64" s="195">
        <f t="shared" si="44"/>
        <v>0</v>
      </c>
      <c r="D64" s="195">
        <f t="shared" si="44"/>
        <v>0</v>
      </c>
      <c r="E64" s="195">
        <f t="shared" si="44"/>
        <v>0</v>
      </c>
      <c r="F64" s="195">
        <f t="shared" si="44"/>
        <v>0</v>
      </c>
      <c r="G64" s="195">
        <f t="shared" si="44"/>
        <v>0</v>
      </c>
      <c r="H64" s="195">
        <f t="shared" si="9"/>
        <v>0</v>
      </c>
      <c r="I64" s="195">
        <f t="shared" si="10"/>
        <v>0</v>
      </c>
      <c r="J64" s="195">
        <f t="shared" si="11"/>
        <v>0</v>
      </c>
      <c r="K64" s="195">
        <f t="shared" si="47"/>
        <v>0</v>
      </c>
      <c r="L64" s="195">
        <f t="shared" ref="L64" si="62">L29/20</f>
        <v>0</v>
      </c>
      <c r="M64" s="207">
        <f t="shared" si="47"/>
        <v>0</v>
      </c>
      <c r="N64" s="207">
        <f t="shared" si="14"/>
        <v>0</v>
      </c>
      <c r="O64" s="195">
        <f t="shared" ref="O64" si="63">O29/20</f>
        <v>0</v>
      </c>
      <c r="P64" s="208" t="e">
        <f>+B64+C64+D64+F64+G64+I64+K64+#REF!+M64</f>
        <v>#REF!</v>
      </c>
      <c r="Q64" s="208">
        <f t="shared" si="7"/>
        <v>0</v>
      </c>
      <c r="R64" s="213">
        <f t="shared" si="8"/>
        <v>0</v>
      </c>
    </row>
    <row r="65" spans="1:18">
      <c r="A65" s="154">
        <v>26</v>
      </c>
      <c r="B65" s="194">
        <f t="shared" si="44"/>
        <v>0</v>
      </c>
      <c r="C65" s="195">
        <f t="shared" si="44"/>
        <v>0</v>
      </c>
      <c r="D65" s="195">
        <f t="shared" si="44"/>
        <v>0</v>
      </c>
      <c r="E65" s="195">
        <f t="shared" si="44"/>
        <v>0</v>
      </c>
      <c r="F65" s="195">
        <f t="shared" si="44"/>
        <v>0</v>
      </c>
      <c r="G65" s="195">
        <f t="shared" si="44"/>
        <v>0</v>
      </c>
      <c r="H65" s="195">
        <f t="shared" si="9"/>
        <v>0</v>
      </c>
      <c r="I65" s="195">
        <f t="shared" si="10"/>
        <v>0</v>
      </c>
      <c r="J65" s="195">
        <f t="shared" si="11"/>
        <v>0</v>
      </c>
      <c r="K65" s="195">
        <f t="shared" si="47"/>
        <v>0</v>
      </c>
      <c r="L65" s="195">
        <f t="shared" ref="L65" si="64">L30/20</f>
        <v>0</v>
      </c>
      <c r="M65" s="207">
        <f t="shared" si="47"/>
        <v>0</v>
      </c>
      <c r="N65" s="207">
        <f t="shared" si="14"/>
        <v>0</v>
      </c>
      <c r="O65" s="195">
        <f t="shared" ref="O65" si="65">O30/20</f>
        <v>0</v>
      </c>
      <c r="P65" s="208" t="e">
        <f>+B65+C65+D65+F65+G65+I65+K65+#REF!+M65</f>
        <v>#REF!</v>
      </c>
      <c r="Q65" s="208">
        <f t="shared" si="7"/>
        <v>0</v>
      </c>
      <c r="R65" s="213">
        <f t="shared" si="8"/>
        <v>0</v>
      </c>
    </row>
    <row r="66" spans="1:18">
      <c r="A66" s="154">
        <v>27</v>
      </c>
      <c r="B66" s="194">
        <f t="shared" si="44"/>
        <v>0</v>
      </c>
      <c r="C66" s="195">
        <f t="shared" si="44"/>
        <v>0</v>
      </c>
      <c r="D66" s="195">
        <f t="shared" si="44"/>
        <v>0</v>
      </c>
      <c r="E66" s="195">
        <f t="shared" si="44"/>
        <v>0</v>
      </c>
      <c r="F66" s="195">
        <f t="shared" si="44"/>
        <v>0</v>
      </c>
      <c r="G66" s="195">
        <f t="shared" si="44"/>
        <v>0</v>
      </c>
      <c r="H66" s="195">
        <f t="shared" si="9"/>
        <v>0</v>
      </c>
      <c r="I66" s="195">
        <f t="shared" si="10"/>
        <v>0</v>
      </c>
      <c r="J66" s="195">
        <f t="shared" si="11"/>
        <v>0</v>
      </c>
      <c r="K66" s="195">
        <f t="shared" si="47"/>
        <v>0</v>
      </c>
      <c r="L66" s="195">
        <f t="shared" ref="L66" si="66">L31/20</f>
        <v>0</v>
      </c>
      <c r="M66" s="207">
        <f t="shared" si="47"/>
        <v>0</v>
      </c>
      <c r="N66" s="207">
        <f t="shared" si="14"/>
        <v>0</v>
      </c>
      <c r="O66" s="195">
        <f t="shared" ref="O66" si="67">O31/20</f>
        <v>0</v>
      </c>
      <c r="P66" s="208" t="e">
        <f>+B66+C66+D66+F66+G66+I66+K66+#REF!+M66</f>
        <v>#REF!</v>
      </c>
      <c r="Q66" s="208">
        <f t="shared" si="7"/>
        <v>0</v>
      </c>
      <c r="R66" s="213">
        <f t="shared" si="8"/>
        <v>0</v>
      </c>
    </row>
    <row r="67" spans="1:18">
      <c r="A67" s="154">
        <v>28</v>
      </c>
      <c r="B67" s="194">
        <f t="shared" si="44"/>
        <v>0</v>
      </c>
      <c r="C67" s="195">
        <f t="shared" si="44"/>
        <v>0</v>
      </c>
      <c r="D67" s="195">
        <f t="shared" si="44"/>
        <v>0</v>
      </c>
      <c r="E67" s="195">
        <f t="shared" si="44"/>
        <v>0</v>
      </c>
      <c r="F67" s="195">
        <f t="shared" si="44"/>
        <v>0</v>
      </c>
      <c r="G67" s="195">
        <f t="shared" si="44"/>
        <v>0</v>
      </c>
      <c r="H67" s="195">
        <f t="shared" si="9"/>
        <v>0</v>
      </c>
      <c r="I67" s="195">
        <f t="shared" si="10"/>
        <v>0</v>
      </c>
      <c r="J67" s="195">
        <f t="shared" si="11"/>
        <v>0</v>
      </c>
      <c r="K67" s="195">
        <f t="shared" si="47"/>
        <v>0</v>
      </c>
      <c r="L67" s="195">
        <f t="shared" ref="L67" si="68">L32/20</f>
        <v>0</v>
      </c>
      <c r="M67" s="207">
        <f t="shared" si="47"/>
        <v>0</v>
      </c>
      <c r="N67" s="207">
        <f t="shared" si="14"/>
        <v>0</v>
      </c>
      <c r="O67" s="195">
        <f t="shared" ref="O67" si="69">O32/20</f>
        <v>0</v>
      </c>
      <c r="P67" s="208" t="e">
        <f>+B67+C67+D67+F67+G67+I67+K67+#REF!+M67</f>
        <v>#REF!</v>
      </c>
      <c r="Q67" s="208">
        <f t="shared" si="7"/>
        <v>0</v>
      </c>
      <c r="R67" s="213">
        <f t="shared" si="8"/>
        <v>0</v>
      </c>
    </row>
    <row r="68" spans="1:18">
      <c r="A68" s="154">
        <v>29</v>
      </c>
      <c r="B68" s="194">
        <f t="shared" si="44"/>
        <v>0</v>
      </c>
      <c r="C68" s="195">
        <f t="shared" si="44"/>
        <v>0</v>
      </c>
      <c r="D68" s="195">
        <f t="shared" si="44"/>
        <v>0</v>
      </c>
      <c r="E68" s="195">
        <f t="shared" si="44"/>
        <v>0</v>
      </c>
      <c r="F68" s="195">
        <f t="shared" si="44"/>
        <v>0</v>
      </c>
      <c r="G68" s="195">
        <f t="shared" si="44"/>
        <v>0</v>
      </c>
      <c r="H68" s="195">
        <f t="shared" si="9"/>
        <v>0</v>
      </c>
      <c r="I68" s="195">
        <f t="shared" si="10"/>
        <v>0</v>
      </c>
      <c r="J68" s="195">
        <f t="shared" si="11"/>
        <v>0</v>
      </c>
      <c r="K68" s="195">
        <f t="shared" si="47"/>
        <v>0</v>
      </c>
      <c r="L68" s="195">
        <f t="shared" ref="L68" si="70">L33/20</f>
        <v>0</v>
      </c>
      <c r="M68" s="207">
        <f t="shared" si="47"/>
        <v>0</v>
      </c>
      <c r="N68" s="207">
        <f t="shared" si="14"/>
        <v>0</v>
      </c>
      <c r="O68" s="195">
        <f t="shared" ref="O68" si="71">O33/20</f>
        <v>0</v>
      </c>
      <c r="P68" s="208" t="e">
        <f>+B68+C68+D68+F68+G68+I68+K68+#REF!+M68</f>
        <v>#REF!</v>
      </c>
      <c r="Q68" s="208">
        <f t="shared" si="7"/>
        <v>0</v>
      </c>
      <c r="R68" s="213">
        <f t="shared" si="8"/>
        <v>0</v>
      </c>
    </row>
    <row r="69" spans="1:18">
      <c r="A69" s="154">
        <v>30</v>
      </c>
      <c r="B69" s="194">
        <f t="shared" si="44"/>
        <v>0</v>
      </c>
      <c r="C69" s="195">
        <f t="shared" si="44"/>
        <v>0</v>
      </c>
      <c r="D69" s="195">
        <f t="shared" si="44"/>
        <v>0</v>
      </c>
      <c r="E69" s="195">
        <f t="shared" si="44"/>
        <v>0</v>
      </c>
      <c r="F69" s="195">
        <f t="shared" si="44"/>
        <v>0</v>
      </c>
      <c r="G69" s="195">
        <f t="shared" si="44"/>
        <v>0</v>
      </c>
      <c r="H69" s="195">
        <f t="shared" si="9"/>
        <v>0</v>
      </c>
      <c r="I69" s="195">
        <f t="shared" si="10"/>
        <v>0</v>
      </c>
      <c r="J69" s="195">
        <f t="shared" si="11"/>
        <v>0</v>
      </c>
      <c r="K69" s="195">
        <f t="shared" si="47"/>
        <v>0</v>
      </c>
      <c r="L69" s="195">
        <f t="shared" ref="L69" si="72">L34/20</f>
        <v>0</v>
      </c>
      <c r="M69" s="207">
        <f t="shared" si="47"/>
        <v>0</v>
      </c>
      <c r="N69" s="207">
        <f t="shared" si="14"/>
        <v>0</v>
      </c>
      <c r="O69" s="195">
        <f t="shared" ref="O69" si="73">O34/20</f>
        <v>0</v>
      </c>
      <c r="P69" s="208" t="e">
        <f>+B69+C69+D69+F69+G69+I69+K69+#REF!+M69</f>
        <v>#REF!</v>
      </c>
      <c r="Q69" s="208">
        <f t="shared" si="7"/>
        <v>0</v>
      </c>
      <c r="R69" s="213">
        <f t="shared" si="8"/>
        <v>0</v>
      </c>
    </row>
    <row r="70" spans="1:18">
      <c r="A70" s="154">
        <v>31</v>
      </c>
      <c r="B70" s="194">
        <f>B35/20</f>
        <v>0</v>
      </c>
      <c r="C70" s="195">
        <f t="shared" si="44"/>
        <v>0</v>
      </c>
      <c r="D70" s="195">
        <f t="shared" si="44"/>
        <v>0</v>
      </c>
      <c r="E70" s="195">
        <f t="shared" si="44"/>
        <v>0</v>
      </c>
      <c r="F70" s="195">
        <f t="shared" si="44"/>
        <v>0</v>
      </c>
      <c r="G70" s="195">
        <f t="shared" si="44"/>
        <v>0</v>
      </c>
      <c r="H70" s="195">
        <f t="shared" si="9"/>
        <v>0</v>
      </c>
      <c r="I70" s="195">
        <f t="shared" si="10"/>
        <v>0</v>
      </c>
      <c r="J70" s="195">
        <f t="shared" si="11"/>
        <v>0</v>
      </c>
      <c r="K70" s="195">
        <f t="shared" si="47"/>
        <v>0</v>
      </c>
      <c r="L70" s="195">
        <f t="shared" ref="L70" si="74">L35/20</f>
        <v>0</v>
      </c>
      <c r="M70" s="207">
        <f t="shared" si="47"/>
        <v>0</v>
      </c>
      <c r="N70" s="207">
        <f t="shared" si="14"/>
        <v>0</v>
      </c>
      <c r="O70" s="195">
        <f t="shared" ref="O70" si="75">O35/20</f>
        <v>0</v>
      </c>
      <c r="P70" s="208" t="e">
        <f>+B70+C70+D70+F70+G70+I70+K70+#REF!+M70</f>
        <v>#REF!</v>
      </c>
      <c r="Q70" s="208">
        <f t="shared" si="7"/>
        <v>0</v>
      </c>
      <c r="R70" s="213">
        <f t="shared" si="8"/>
        <v>0</v>
      </c>
    </row>
    <row r="71" spans="1:18">
      <c r="B71" s="214">
        <f>SUM(B40:B70)</f>
        <v>0</v>
      </c>
      <c r="C71" s="214">
        <f>SUM(C40:C70)</f>
        <v>0</v>
      </c>
      <c r="D71" s="214">
        <f t="shared" ref="D71:R71" si="76">SUM(D40:D70)</f>
        <v>0</v>
      </c>
      <c r="E71" s="214">
        <f t="shared" si="76"/>
        <v>0</v>
      </c>
      <c r="F71" s="214">
        <f t="shared" si="76"/>
        <v>0</v>
      </c>
      <c r="G71" s="214">
        <f t="shared" si="76"/>
        <v>0</v>
      </c>
      <c r="H71" s="214">
        <f t="shared" si="76"/>
        <v>0</v>
      </c>
      <c r="I71" s="214">
        <f t="shared" si="76"/>
        <v>0</v>
      </c>
      <c r="J71" s="214">
        <f t="shared" si="76"/>
        <v>0</v>
      </c>
      <c r="K71" s="214">
        <f t="shared" si="76"/>
        <v>0</v>
      </c>
      <c r="L71" s="214">
        <f t="shared" ref="L71" si="77">SUM(L40:L70)</f>
        <v>0</v>
      </c>
      <c r="M71" s="214">
        <f t="shared" si="76"/>
        <v>0</v>
      </c>
      <c r="N71" s="214">
        <f t="shared" si="76"/>
        <v>0</v>
      </c>
      <c r="O71" s="214">
        <f t="shared" ref="O71:P71" si="78">SUM(O40:O70)</f>
        <v>0</v>
      </c>
      <c r="P71" s="214" t="e">
        <f t="shared" si="78"/>
        <v>#REF!</v>
      </c>
      <c r="Q71" s="214">
        <f t="shared" si="76"/>
        <v>0</v>
      </c>
      <c r="R71" s="214">
        <f t="shared" si="76"/>
        <v>0</v>
      </c>
    </row>
  </sheetData>
  <mergeCells count="10">
    <mergeCell ref="P3:R3"/>
    <mergeCell ref="G38:H38"/>
    <mergeCell ref="I38:J38"/>
    <mergeCell ref="M38:N38"/>
    <mergeCell ref="P38:R38"/>
    <mergeCell ref="A3:A4"/>
    <mergeCell ref="A38:A39"/>
    <mergeCell ref="G3:H3"/>
    <mergeCell ref="I3:J3"/>
    <mergeCell ref="M3:N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V43"/>
  <sheetViews>
    <sheetView topLeftCell="A15" workbookViewId="0">
      <selection activeCell="P4" sqref="P4:P34"/>
    </sheetView>
  </sheetViews>
  <sheetFormatPr baseColWidth="10" defaultColWidth="11.42578125" defaultRowHeight="15"/>
  <cols>
    <col min="1" max="1" width="7.42578125" customWidth="1"/>
    <col min="2" max="2" width="10" customWidth="1"/>
    <col min="3" max="9" width="11.5703125" customWidth="1"/>
    <col min="10" max="12" width="10.140625" customWidth="1"/>
    <col min="13" max="13" width="13.7109375" customWidth="1"/>
    <col min="14" max="15" width="5.140625" customWidth="1"/>
    <col min="16" max="16" width="12.85546875" customWidth="1"/>
    <col min="17" max="17" width="10.85546875" customWidth="1"/>
    <col min="18" max="18" width="11.140625" customWidth="1"/>
    <col min="19" max="19" width="11.42578125" customWidth="1"/>
  </cols>
  <sheetData>
    <row r="2" spans="1:22" ht="24.75">
      <c r="A2" s="566" t="s">
        <v>94</v>
      </c>
      <c r="B2" s="567"/>
      <c r="C2" s="567"/>
      <c r="D2" s="567"/>
      <c r="E2" s="567"/>
      <c r="F2" s="567"/>
      <c r="G2" s="567"/>
      <c r="H2" s="567"/>
      <c r="I2" s="567"/>
      <c r="J2" s="567"/>
      <c r="K2" s="567"/>
      <c r="L2" s="567"/>
      <c r="M2" s="567"/>
      <c r="N2" s="567"/>
      <c r="O2" s="567"/>
      <c r="P2" s="567"/>
      <c r="Q2" s="567"/>
      <c r="R2" s="567"/>
      <c r="S2" s="568"/>
    </row>
    <row r="3" spans="1:22" ht="27">
      <c r="A3" s="135" t="s">
        <v>95</v>
      </c>
      <c r="B3" s="136" t="s">
        <v>45</v>
      </c>
      <c r="C3" s="136" t="s">
        <v>46</v>
      </c>
      <c r="D3" s="136" t="s">
        <v>47</v>
      </c>
      <c r="E3" s="136" t="s">
        <v>48</v>
      </c>
      <c r="F3" s="136" t="s">
        <v>49</v>
      </c>
      <c r="G3" s="136" t="s">
        <v>50</v>
      </c>
      <c r="H3" s="136" t="s">
        <v>51</v>
      </c>
      <c r="I3" s="136" t="s">
        <v>63</v>
      </c>
      <c r="J3" s="150" t="s">
        <v>53</v>
      </c>
      <c r="K3" s="150" t="s">
        <v>54</v>
      </c>
      <c r="L3" s="150" t="s">
        <v>67</v>
      </c>
      <c r="M3" s="151" t="s">
        <v>96</v>
      </c>
      <c r="N3" s="569" t="s">
        <v>97</v>
      </c>
      <c r="O3" s="570"/>
      <c r="P3" s="152" t="s">
        <v>98</v>
      </c>
      <c r="Q3" s="162" t="s">
        <v>99</v>
      </c>
      <c r="R3" s="163" t="s">
        <v>100</v>
      </c>
      <c r="S3" s="164" t="s">
        <v>101</v>
      </c>
    </row>
    <row r="4" spans="1:22" ht="24" customHeight="1">
      <c r="A4" s="137">
        <v>1</v>
      </c>
      <c r="B4" s="138">
        <f>'RECAP 2'!B5</f>
        <v>0</v>
      </c>
      <c r="C4" s="139">
        <f>'RECAP 2'!C5</f>
        <v>0</v>
      </c>
      <c r="D4" s="139">
        <f>'RECAP 2'!D5</f>
        <v>0</v>
      </c>
      <c r="E4" s="139">
        <f>'RECAP 2'!E5</f>
        <v>0</v>
      </c>
      <c r="F4" s="139">
        <f>'RECAP 2'!F5</f>
        <v>0</v>
      </c>
      <c r="G4" s="139">
        <f>'RECAP 2'!G5+'RECAP 2'!H5</f>
        <v>0</v>
      </c>
      <c r="H4" s="139">
        <f>'RECAP 2'!I5+'RECAP 2'!J5</f>
        <v>0</v>
      </c>
      <c r="I4" s="139">
        <f>'RECAP 2'!K5</f>
        <v>0</v>
      </c>
      <c r="J4" s="139">
        <f>'RECAP 2'!L5</f>
        <v>0</v>
      </c>
      <c r="K4" s="139">
        <f>'RECAP 2'!M5+'RECAP 2'!N5</f>
        <v>0</v>
      </c>
      <c r="L4" s="139">
        <f>'RECAP 2'!O5</f>
        <v>0</v>
      </c>
      <c r="M4" s="153">
        <f>+RECAP1!AK48</f>
        <v>0</v>
      </c>
      <c r="N4" s="154">
        <v>1</v>
      </c>
      <c r="O4" s="155" t="s">
        <v>102</v>
      </c>
      <c r="P4" s="156">
        <f>SUM(B4:L4)</f>
        <v>0</v>
      </c>
      <c r="Q4" s="165">
        <v>139780</v>
      </c>
      <c r="R4" s="166">
        <f>P4-Q4</f>
        <v>-139780</v>
      </c>
      <c r="S4" s="167">
        <f>+P4/Q4</f>
        <v>0</v>
      </c>
      <c r="V4" s="168"/>
    </row>
    <row r="5" spans="1:22" ht="20.25" customHeight="1">
      <c r="A5" s="137">
        <v>2</v>
      </c>
      <c r="B5" s="138">
        <f>'RECAP 2'!B6</f>
        <v>0</v>
      </c>
      <c r="C5" s="139">
        <f>'RECAP 2'!C6</f>
        <v>0</v>
      </c>
      <c r="D5" s="139">
        <f>'RECAP 2'!D6</f>
        <v>0</v>
      </c>
      <c r="E5" s="139">
        <f>'RECAP 2'!E6</f>
        <v>0</v>
      </c>
      <c r="F5" s="139">
        <f>'RECAP 2'!F6</f>
        <v>0</v>
      </c>
      <c r="G5" s="139">
        <f>'RECAP 2'!G6+'RECAP 2'!H6</f>
        <v>0</v>
      </c>
      <c r="H5" s="139">
        <f>'RECAP 2'!I6+'RECAP 2'!J6</f>
        <v>0</v>
      </c>
      <c r="I5" s="139">
        <f>'RECAP 2'!K6</f>
        <v>0</v>
      </c>
      <c r="J5" s="139">
        <f>'RECAP 2'!L6</f>
        <v>0</v>
      </c>
      <c r="K5" s="139">
        <f>'RECAP 2'!M6+'RECAP 2'!N6</f>
        <v>0</v>
      </c>
      <c r="L5" s="139">
        <f>'RECAP 2'!O6</f>
        <v>0</v>
      </c>
      <c r="M5" s="153">
        <f>+RECAP1!AK49</f>
        <v>0</v>
      </c>
      <c r="N5" s="154">
        <v>2</v>
      </c>
      <c r="O5" s="157" t="s">
        <v>103</v>
      </c>
      <c r="P5" s="156">
        <f t="shared" ref="P5:P34" si="0">SUM(B5:L5)</f>
        <v>0</v>
      </c>
      <c r="Q5" s="165">
        <v>260000</v>
      </c>
      <c r="R5" s="169">
        <f t="shared" ref="R5:R34" si="1">P5-Q5</f>
        <v>-260000</v>
      </c>
      <c r="S5" s="167">
        <f t="shared" ref="S5:S34" si="2">+P5/Q5</f>
        <v>0</v>
      </c>
      <c r="V5" s="168"/>
    </row>
    <row r="6" spans="1:22" ht="20.25" customHeight="1">
      <c r="A6" s="137">
        <v>3</v>
      </c>
      <c r="B6" s="138">
        <f>'RECAP 2'!B7</f>
        <v>0</v>
      </c>
      <c r="C6" s="139">
        <f>'RECAP 2'!C7</f>
        <v>0</v>
      </c>
      <c r="D6" s="139">
        <f>'RECAP 2'!D7</f>
        <v>0</v>
      </c>
      <c r="E6" s="139">
        <f>'RECAP 2'!E7</f>
        <v>0</v>
      </c>
      <c r="F6" s="139">
        <f>'RECAP 2'!F7</f>
        <v>0</v>
      </c>
      <c r="G6" s="139">
        <f>'RECAP 2'!G7+'RECAP 2'!H7</f>
        <v>0</v>
      </c>
      <c r="H6" s="139">
        <f>'RECAP 2'!I7+'RECAP 2'!J7</f>
        <v>0</v>
      </c>
      <c r="I6" s="139">
        <f>'RECAP 2'!K7</f>
        <v>0</v>
      </c>
      <c r="J6" s="139">
        <f>'RECAP 2'!L7</f>
        <v>0</v>
      </c>
      <c r="K6" s="139">
        <f>'RECAP 2'!M7+'RECAP 2'!N7</f>
        <v>0</v>
      </c>
      <c r="L6" s="139">
        <f>'RECAP 2'!O7</f>
        <v>0</v>
      </c>
      <c r="M6" s="153">
        <f>+RECAP1!AK50</f>
        <v>0</v>
      </c>
      <c r="N6" s="154">
        <v>3</v>
      </c>
      <c r="O6" s="157" t="s">
        <v>104</v>
      </c>
      <c r="P6" s="156">
        <f t="shared" si="0"/>
        <v>0</v>
      </c>
      <c r="Q6" s="170">
        <v>50000</v>
      </c>
      <c r="R6" s="171">
        <f t="shared" si="1"/>
        <v>-50000</v>
      </c>
      <c r="S6" s="172">
        <f t="shared" si="2"/>
        <v>0</v>
      </c>
      <c r="V6" s="168"/>
    </row>
    <row r="7" spans="1:22" ht="21.75" customHeight="1">
      <c r="A7" s="137">
        <v>4</v>
      </c>
      <c r="B7" s="138">
        <f>'RECAP 2'!B8</f>
        <v>0</v>
      </c>
      <c r="C7" s="139">
        <f>'RECAP 2'!C8</f>
        <v>0</v>
      </c>
      <c r="D7" s="139">
        <f>'RECAP 2'!D8</f>
        <v>0</v>
      </c>
      <c r="E7" s="139">
        <f>'RECAP 2'!E8</f>
        <v>0</v>
      </c>
      <c r="F7" s="139">
        <f>'RECAP 2'!F8</f>
        <v>0</v>
      </c>
      <c r="G7" s="139">
        <f>'RECAP 2'!G8+'RECAP 2'!H8</f>
        <v>0</v>
      </c>
      <c r="H7" s="139">
        <f>'RECAP 2'!I8+'RECAP 2'!J8</f>
        <v>0</v>
      </c>
      <c r="I7" s="139">
        <f>'RECAP 2'!K8</f>
        <v>0</v>
      </c>
      <c r="J7" s="139">
        <f>'RECAP 2'!L8</f>
        <v>0</v>
      </c>
      <c r="K7" s="139">
        <f>'RECAP 2'!M8+'RECAP 2'!N8</f>
        <v>0</v>
      </c>
      <c r="L7" s="139">
        <f>'RECAP 2'!O8</f>
        <v>0</v>
      </c>
      <c r="M7" s="153">
        <f>+RECAP1!AK51</f>
        <v>0</v>
      </c>
      <c r="N7" s="154">
        <v>4</v>
      </c>
      <c r="O7" s="157" t="s">
        <v>105</v>
      </c>
      <c r="P7" s="156">
        <f t="shared" si="0"/>
        <v>0</v>
      </c>
      <c r="Q7" s="170">
        <v>210000</v>
      </c>
      <c r="R7" s="171">
        <f t="shared" si="1"/>
        <v>-210000</v>
      </c>
      <c r="S7" s="172">
        <f t="shared" si="2"/>
        <v>0</v>
      </c>
      <c r="V7" s="168"/>
    </row>
    <row r="8" spans="1:22" ht="18.75" customHeight="1">
      <c r="A8" s="137">
        <v>5</v>
      </c>
      <c r="B8" s="138">
        <f>'RECAP 2'!B9</f>
        <v>0</v>
      </c>
      <c r="C8" s="139">
        <f>'RECAP 2'!C9</f>
        <v>0</v>
      </c>
      <c r="D8" s="139">
        <f>'RECAP 2'!D9</f>
        <v>0</v>
      </c>
      <c r="E8" s="139">
        <f>'RECAP 2'!E9</f>
        <v>0</v>
      </c>
      <c r="F8" s="139">
        <f>'RECAP 2'!F9</f>
        <v>0</v>
      </c>
      <c r="G8" s="139">
        <f>'RECAP 2'!G9+'RECAP 2'!H9</f>
        <v>0</v>
      </c>
      <c r="H8" s="139">
        <f>'RECAP 2'!I9+'RECAP 2'!J9</f>
        <v>0</v>
      </c>
      <c r="I8" s="139">
        <f>'RECAP 2'!K9</f>
        <v>0</v>
      </c>
      <c r="J8" s="139">
        <f>'RECAP 2'!L9</f>
        <v>0</v>
      </c>
      <c r="K8" s="139">
        <f>'RECAP 2'!M9+'RECAP 2'!N9</f>
        <v>0</v>
      </c>
      <c r="L8" s="139">
        <f>'RECAP 2'!O9</f>
        <v>0</v>
      </c>
      <c r="M8" s="153">
        <f>+RECAP1!AK52</f>
        <v>0</v>
      </c>
      <c r="N8" s="154">
        <v>5</v>
      </c>
      <c r="O8" s="157" t="s">
        <v>106</v>
      </c>
      <c r="P8" s="156">
        <f t="shared" si="0"/>
        <v>0</v>
      </c>
      <c r="Q8" s="173">
        <v>260000</v>
      </c>
      <c r="R8" s="171">
        <f t="shared" si="1"/>
        <v>-260000</v>
      </c>
      <c r="S8" s="172">
        <f t="shared" si="2"/>
        <v>0</v>
      </c>
      <c r="V8" s="168"/>
    </row>
    <row r="9" spans="1:22" ht="18.75" customHeight="1">
      <c r="A9" s="137">
        <v>6</v>
      </c>
      <c r="B9" s="138">
        <f>'RECAP 2'!B10</f>
        <v>0</v>
      </c>
      <c r="C9" s="139">
        <f>'RECAP 2'!C10</f>
        <v>0</v>
      </c>
      <c r="D9" s="139">
        <f>'RECAP 2'!D10</f>
        <v>0</v>
      </c>
      <c r="E9" s="139">
        <f>'RECAP 2'!E10</f>
        <v>0</v>
      </c>
      <c r="F9" s="139">
        <f>'RECAP 2'!F10</f>
        <v>0</v>
      </c>
      <c r="G9" s="139">
        <f>'RECAP 2'!G10+'RECAP 2'!H10</f>
        <v>0</v>
      </c>
      <c r="H9" s="139">
        <f>'RECAP 2'!I10+'RECAP 2'!J10</f>
        <v>0</v>
      </c>
      <c r="I9" s="139">
        <f>'RECAP 2'!K10</f>
        <v>0</v>
      </c>
      <c r="J9" s="139">
        <f>'RECAP 2'!L10</f>
        <v>0</v>
      </c>
      <c r="K9" s="139">
        <f>'RECAP 2'!M10+'RECAP 2'!N10</f>
        <v>0</v>
      </c>
      <c r="L9" s="139">
        <f>'RECAP 2'!O10</f>
        <v>0</v>
      </c>
      <c r="M9" s="153">
        <f>+RECAP1!AK53</f>
        <v>0</v>
      </c>
      <c r="N9" s="154">
        <v>6</v>
      </c>
      <c r="O9" s="157" t="s">
        <v>107</v>
      </c>
      <c r="P9" s="156">
        <f t="shared" si="0"/>
        <v>0</v>
      </c>
      <c r="Q9" s="173">
        <v>260000</v>
      </c>
      <c r="R9" s="171">
        <f t="shared" si="1"/>
        <v>-260000</v>
      </c>
      <c r="S9" s="172">
        <f t="shared" si="2"/>
        <v>0</v>
      </c>
      <c r="V9" s="168"/>
    </row>
    <row r="10" spans="1:22" ht="18" customHeight="1">
      <c r="A10" s="137">
        <v>7</v>
      </c>
      <c r="B10" s="138">
        <f>'RECAP 2'!B11</f>
        <v>0</v>
      </c>
      <c r="C10" s="139">
        <f>'RECAP 2'!C11</f>
        <v>0</v>
      </c>
      <c r="D10" s="139">
        <f>'RECAP 2'!D11</f>
        <v>0</v>
      </c>
      <c r="E10" s="139">
        <f>'RECAP 2'!E11</f>
        <v>0</v>
      </c>
      <c r="F10" s="139">
        <f>'RECAP 2'!F11</f>
        <v>0</v>
      </c>
      <c r="G10" s="139">
        <f>'RECAP 2'!G11+'RECAP 2'!H11</f>
        <v>0</v>
      </c>
      <c r="H10" s="139">
        <f>'RECAP 2'!I11+'RECAP 2'!J11</f>
        <v>0</v>
      </c>
      <c r="I10" s="139">
        <f>'RECAP 2'!K11</f>
        <v>0</v>
      </c>
      <c r="J10" s="139">
        <f>'RECAP 2'!L11</f>
        <v>0</v>
      </c>
      <c r="K10" s="139">
        <f>'RECAP 2'!M11+'RECAP 2'!N11</f>
        <v>0</v>
      </c>
      <c r="L10" s="139">
        <f>'RECAP 2'!O11</f>
        <v>0</v>
      </c>
      <c r="M10" s="153">
        <f>+RECAP1!AK54</f>
        <v>0</v>
      </c>
      <c r="N10" s="154">
        <v>7</v>
      </c>
      <c r="O10" s="158" t="s">
        <v>108</v>
      </c>
      <c r="P10" s="156">
        <f t="shared" si="0"/>
        <v>0</v>
      </c>
      <c r="Q10" s="173">
        <v>260000</v>
      </c>
      <c r="R10" s="171">
        <f t="shared" si="1"/>
        <v>-260000</v>
      </c>
      <c r="S10" s="172">
        <f t="shared" si="2"/>
        <v>0</v>
      </c>
      <c r="V10" s="168"/>
    </row>
    <row r="11" spans="1:22" ht="21" customHeight="1">
      <c r="A11" s="137">
        <v>8</v>
      </c>
      <c r="B11" s="138">
        <f>'RECAP 2'!B12</f>
        <v>0</v>
      </c>
      <c r="C11" s="139">
        <f>'RECAP 2'!C12</f>
        <v>0</v>
      </c>
      <c r="D11" s="139">
        <f>'RECAP 2'!D12</f>
        <v>0</v>
      </c>
      <c r="E11" s="139">
        <f>'RECAP 2'!E12</f>
        <v>0</v>
      </c>
      <c r="F11" s="139">
        <f>'RECAP 2'!F12</f>
        <v>0</v>
      </c>
      <c r="G11" s="139">
        <f>'RECAP 2'!G12+'RECAP 2'!H12</f>
        <v>0</v>
      </c>
      <c r="H11" s="139">
        <f>'RECAP 2'!I12+'RECAP 2'!J12</f>
        <v>0</v>
      </c>
      <c r="I11" s="139">
        <f>'RECAP 2'!K12</f>
        <v>0</v>
      </c>
      <c r="J11" s="139">
        <f>'RECAP 2'!L12</f>
        <v>0</v>
      </c>
      <c r="K11" s="139">
        <f>'RECAP 2'!M12+'RECAP 2'!N12</f>
        <v>0</v>
      </c>
      <c r="L11" s="139">
        <f>'RECAP 2'!O12</f>
        <v>0</v>
      </c>
      <c r="M11" s="153">
        <f>+RECAP1!AK55</f>
        <v>0</v>
      </c>
      <c r="N11" s="154">
        <v>8</v>
      </c>
      <c r="O11" s="155" t="s">
        <v>109</v>
      </c>
      <c r="P11" s="156">
        <f t="shared" si="0"/>
        <v>0</v>
      </c>
      <c r="Q11" s="173">
        <v>260000</v>
      </c>
      <c r="R11" s="171">
        <f t="shared" si="1"/>
        <v>-260000</v>
      </c>
      <c r="S11" s="172">
        <f t="shared" si="2"/>
        <v>0</v>
      </c>
      <c r="V11" s="168"/>
    </row>
    <row r="12" spans="1:22" ht="21.75" customHeight="1">
      <c r="A12" s="137">
        <v>9</v>
      </c>
      <c r="B12" s="138">
        <f>'RECAP 2'!B13</f>
        <v>0</v>
      </c>
      <c r="C12" s="139">
        <f>'RECAP 2'!C13</f>
        <v>0</v>
      </c>
      <c r="D12" s="139">
        <f>'RECAP 2'!D13</f>
        <v>0</v>
      </c>
      <c r="E12" s="139">
        <f>'RECAP 2'!E13</f>
        <v>0</v>
      </c>
      <c r="F12" s="139">
        <f>'RECAP 2'!F13</f>
        <v>0</v>
      </c>
      <c r="G12" s="139">
        <f>'RECAP 2'!G13+'RECAP 2'!H13</f>
        <v>0</v>
      </c>
      <c r="H12" s="139">
        <f>'RECAP 2'!I13+'RECAP 2'!J13</f>
        <v>0</v>
      </c>
      <c r="I12" s="139">
        <f>'RECAP 2'!K13</f>
        <v>0</v>
      </c>
      <c r="J12" s="139">
        <f>'RECAP 2'!L13</f>
        <v>0</v>
      </c>
      <c r="K12" s="139">
        <f>'RECAP 2'!M13+'RECAP 2'!N13</f>
        <v>0</v>
      </c>
      <c r="L12" s="139">
        <f>'RECAP 2'!O13</f>
        <v>0</v>
      </c>
      <c r="M12" s="153">
        <f>+RECAP1!AK56</f>
        <v>0</v>
      </c>
      <c r="N12" s="154">
        <v>9</v>
      </c>
      <c r="O12" s="157" t="s">
        <v>110</v>
      </c>
      <c r="P12" s="156">
        <f t="shared" si="0"/>
        <v>0</v>
      </c>
      <c r="Q12" s="173">
        <v>260000</v>
      </c>
      <c r="R12" s="171">
        <f t="shared" si="1"/>
        <v>-260000</v>
      </c>
      <c r="S12" s="172">
        <f t="shared" si="2"/>
        <v>0</v>
      </c>
      <c r="V12" s="168"/>
    </row>
    <row r="13" spans="1:22" ht="24.75" customHeight="1">
      <c r="A13" s="137">
        <v>10</v>
      </c>
      <c r="B13" s="138">
        <f>'RECAP 2'!B14</f>
        <v>0</v>
      </c>
      <c r="C13" s="139">
        <f>'RECAP 2'!C14</f>
        <v>0</v>
      </c>
      <c r="D13" s="139">
        <f>'RECAP 2'!D14</f>
        <v>0</v>
      </c>
      <c r="E13" s="139">
        <f>'RECAP 2'!E14</f>
        <v>0</v>
      </c>
      <c r="F13" s="139">
        <f>'RECAP 2'!F14</f>
        <v>0</v>
      </c>
      <c r="G13" s="139">
        <f>'RECAP 2'!G14+'RECAP 2'!H14</f>
        <v>0</v>
      </c>
      <c r="H13" s="139">
        <f>'RECAP 2'!I14+'RECAP 2'!J14</f>
        <v>0</v>
      </c>
      <c r="I13" s="139">
        <f>'RECAP 2'!K14</f>
        <v>0</v>
      </c>
      <c r="J13" s="139">
        <f>'RECAP 2'!L14</f>
        <v>0</v>
      </c>
      <c r="K13" s="139">
        <f>'RECAP 2'!M14+'RECAP 2'!N14</f>
        <v>0</v>
      </c>
      <c r="L13" s="139">
        <f>'RECAP 2'!O14</f>
        <v>0</v>
      </c>
      <c r="M13" s="153">
        <f>+RECAP1!AK57</f>
        <v>0</v>
      </c>
      <c r="N13" s="154">
        <v>10</v>
      </c>
      <c r="O13" s="157" t="s">
        <v>111</v>
      </c>
      <c r="P13" s="156">
        <f t="shared" si="0"/>
        <v>0</v>
      </c>
      <c r="Q13" s="173">
        <v>50000</v>
      </c>
      <c r="R13" s="171">
        <f t="shared" si="1"/>
        <v>-50000</v>
      </c>
      <c r="S13" s="172">
        <f t="shared" si="2"/>
        <v>0</v>
      </c>
    </row>
    <row r="14" spans="1:22" ht="21" customHeight="1">
      <c r="A14" s="137">
        <v>11</v>
      </c>
      <c r="B14" s="138">
        <f>'RECAP 2'!B15</f>
        <v>0</v>
      </c>
      <c r="C14" s="139">
        <f>'RECAP 2'!C15</f>
        <v>0</v>
      </c>
      <c r="D14" s="139">
        <f>'RECAP 2'!D15</f>
        <v>0</v>
      </c>
      <c r="E14" s="139">
        <f>'RECAP 2'!E15</f>
        <v>0</v>
      </c>
      <c r="F14" s="139">
        <f>'RECAP 2'!F15</f>
        <v>0</v>
      </c>
      <c r="G14" s="139">
        <f>'RECAP 2'!G15+'RECAP 2'!H15</f>
        <v>0</v>
      </c>
      <c r="H14" s="139">
        <f>'RECAP 2'!I15+'RECAP 2'!J15</f>
        <v>0</v>
      </c>
      <c r="I14" s="139">
        <f>'RECAP 2'!K15</f>
        <v>0</v>
      </c>
      <c r="J14" s="139">
        <f>'RECAP 2'!L15</f>
        <v>0</v>
      </c>
      <c r="K14" s="139">
        <f>'RECAP 2'!M15+'RECAP 2'!N15</f>
        <v>0</v>
      </c>
      <c r="L14" s="139">
        <f>'RECAP 2'!O15</f>
        <v>0</v>
      </c>
      <c r="M14" s="153">
        <f>+RECAP1!AK58</f>
        <v>0</v>
      </c>
      <c r="N14" s="154">
        <v>11</v>
      </c>
      <c r="O14" s="157" t="s">
        <v>112</v>
      </c>
      <c r="P14" s="156">
        <f t="shared" si="0"/>
        <v>0</v>
      </c>
      <c r="Q14" s="173">
        <v>210000</v>
      </c>
      <c r="R14" s="171">
        <f t="shared" si="1"/>
        <v>-210000</v>
      </c>
      <c r="S14" s="172">
        <f t="shared" si="2"/>
        <v>0</v>
      </c>
    </row>
    <row r="15" spans="1:22" ht="20.25" customHeight="1">
      <c r="A15" s="137">
        <v>12</v>
      </c>
      <c r="B15" s="138">
        <f>'RECAP 2'!B16</f>
        <v>0</v>
      </c>
      <c r="C15" s="139">
        <f>'RECAP 2'!C16</f>
        <v>0</v>
      </c>
      <c r="D15" s="139">
        <f>'RECAP 2'!D16</f>
        <v>0</v>
      </c>
      <c r="E15" s="139">
        <f>'RECAP 2'!E16</f>
        <v>0</v>
      </c>
      <c r="F15" s="139">
        <f>'RECAP 2'!F16</f>
        <v>0</v>
      </c>
      <c r="G15" s="139">
        <f>'RECAP 2'!G16+'RECAP 2'!H16</f>
        <v>0</v>
      </c>
      <c r="H15" s="139">
        <f>'RECAP 2'!I16+'RECAP 2'!J16</f>
        <v>0</v>
      </c>
      <c r="I15" s="139">
        <f>'RECAP 2'!K16</f>
        <v>0</v>
      </c>
      <c r="J15" s="139">
        <f>'RECAP 2'!L16</f>
        <v>0</v>
      </c>
      <c r="K15" s="139">
        <f>'RECAP 2'!M16+'RECAP 2'!N16</f>
        <v>0</v>
      </c>
      <c r="L15" s="139">
        <f>'RECAP 2'!O16</f>
        <v>0</v>
      </c>
      <c r="M15" s="153">
        <f>+RECAP1!AK59</f>
        <v>0</v>
      </c>
      <c r="N15" s="154">
        <v>12</v>
      </c>
      <c r="O15" s="157" t="s">
        <v>113</v>
      </c>
      <c r="P15" s="156">
        <f t="shared" si="0"/>
        <v>0</v>
      </c>
      <c r="Q15" s="173">
        <v>260000</v>
      </c>
      <c r="R15" s="171">
        <f t="shared" si="1"/>
        <v>-260000</v>
      </c>
      <c r="S15" s="172">
        <f t="shared" si="2"/>
        <v>0</v>
      </c>
    </row>
    <row r="16" spans="1:22" ht="20.25" customHeight="1">
      <c r="A16" s="137">
        <v>13</v>
      </c>
      <c r="B16" s="138">
        <f>'RECAP 2'!B17</f>
        <v>0</v>
      </c>
      <c r="C16" s="139">
        <f>'RECAP 2'!C17</f>
        <v>0</v>
      </c>
      <c r="D16" s="139">
        <f>'RECAP 2'!D17</f>
        <v>0</v>
      </c>
      <c r="E16" s="139">
        <f>'RECAP 2'!E17</f>
        <v>0</v>
      </c>
      <c r="F16" s="139">
        <f>'RECAP 2'!F17</f>
        <v>0</v>
      </c>
      <c r="G16" s="139">
        <f>'RECAP 2'!G17+'RECAP 2'!H17</f>
        <v>0</v>
      </c>
      <c r="H16" s="139">
        <f>'RECAP 2'!I17+'RECAP 2'!J17</f>
        <v>0</v>
      </c>
      <c r="I16" s="139">
        <f>'RECAP 2'!K17</f>
        <v>0</v>
      </c>
      <c r="J16" s="139">
        <f>'RECAP 2'!L17</f>
        <v>0</v>
      </c>
      <c r="K16" s="139">
        <f>'RECAP 2'!M17+'RECAP 2'!N17</f>
        <v>0</v>
      </c>
      <c r="L16" s="139">
        <f>'RECAP 2'!O17</f>
        <v>0</v>
      </c>
      <c r="M16" s="153">
        <f>+RECAP1!AK60</f>
        <v>0</v>
      </c>
      <c r="N16" s="154">
        <v>13</v>
      </c>
      <c r="O16" s="157" t="s">
        <v>107</v>
      </c>
      <c r="P16" s="156">
        <f t="shared" si="0"/>
        <v>0</v>
      </c>
      <c r="Q16" s="173">
        <v>260000</v>
      </c>
      <c r="R16" s="171">
        <f t="shared" si="1"/>
        <v>-260000</v>
      </c>
      <c r="S16" s="172">
        <f t="shared" si="2"/>
        <v>0</v>
      </c>
    </row>
    <row r="17" spans="1:19" ht="20.25" customHeight="1">
      <c r="A17" s="137">
        <v>14</v>
      </c>
      <c r="B17" s="138">
        <f>'RECAP 2'!B18</f>
        <v>0</v>
      </c>
      <c r="C17" s="139">
        <f>'RECAP 2'!C18</f>
        <v>0</v>
      </c>
      <c r="D17" s="139">
        <f>'RECAP 2'!D18</f>
        <v>0</v>
      </c>
      <c r="E17" s="139">
        <f>'RECAP 2'!E18</f>
        <v>0</v>
      </c>
      <c r="F17" s="139">
        <f>'RECAP 2'!F18</f>
        <v>0</v>
      </c>
      <c r="G17" s="139">
        <f>'RECAP 2'!G18+'RECAP 2'!H18</f>
        <v>0</v>
      </c>
      <c r="H17" s="139">
        <f>'RECAP 2'!I18+'RECAP 2'!J18</f>
        <v>0</v>
      </c>
      <c r="I17" s="139">
        <f>'RECAP 2'!K18</f>
        <v>0</v>
      </c>
      <c r="J17" s="139">
        <f>'RECAP 2'!L18</f>
        <v>0</v>
      </c>
      <c r="K17" s="139">
        <f>'RECAP 2'!M18+'RECAP 2'!N18</f>
        <v>0</v>
      </c>
      <c r="L17" s="139">
        <f>'RECAP 2'!O18</f>
        <v>0</v>
      </c>
      <c r="M17" s="153">
        <f>+RECAP1!AK61</f>
        <v>0</v>
      </c>
      <c r="N17" s="154">
        <v>14</v>
      </c>
      <c r="O17" s="158" t="s">
        <v>108</v>
      </c>
      <c r="P17" s="156">
        <f t="shared" si="0"/>
        <v>0</v>
      </c>
      <c r="Q17" s="173">
        <v>260000</v>
      </c>
      <c r="R17" s="171">
        <f t="shared" si="1"/>
        <v>-260000</v>
      </c>
      <c r="S17" s="172">
        <f t="shared" si="2"/>
        <v>0</v>
      </c>
    </row>
    <row r="18" spans="1:19" ht="20.25" customHeight="1">
      <c r="A18" s="137">
        <v>15</v>
      </c>
      <c r="B18" s="138">
        <f>'RECAP 2'!B19</f>
        <v>0</v>
      </c>
      <c r="C18" s="139">
        <f>'RECAP 2'!C19</f>
        <v>0</v>
      </c>
      <c r="D18" s="139">
        <f>'RECAP 2'!D19</f>
        <v>0</v>
      </c>
      <c r="E18" s="139">
        <f>'RECAP 2'!E19</f>
        <v>0</v>
      </c>
      <c r="F18" s="139">
        <f>'RECAP 2'!F19</f>
        <v>0</v>
      </c>
      <c r="G18" s="139">
        <f>'RECAP 2'!G19+'RECAP 2'!H19</f>
        <v>0</v>
      </c>
      <c r="H18" s="139">
        <f>'RECAP 2'!I19+'RECAP 2'!J19</f>
        <v>0</v>
      </c>
      <c r="I18" s="139">
        <f>'RECAP 2'!K19</f>
        <v>0</v>
      </c>
      <c r="J18" s="139">
        <f>'RECAP 2'!L19</f>
        <v>0</v>
      </c>
      <c r="K18" s="139">
        <f>'RECAP 2'!M19+'RECAP 2'!N19</f>
        <v>0</v>
      </c>
      <c r="L18" s="139">
        <f>'RECAP 2'!O19</f>
        <v>0</v>
      </c>
      <c r="M18" s="153">
        <f>+RECAP1!AK62</f>
        <v>0</v>
      </c>
      <c r="N18" s="154">
        <v>15</v>
      </c>
      <c r="O18" s="155" t="s">
        <v>109</v>
      </c>
      <c r="P18" s="156">
        <f t="shared" si="0"/>
        <v>0</v>
      </c>
      <c r="Q18" s="173">
        <v>260000</v>
      </c>
      <c r="R18" s="171">
        <f t="shared" si="1"/>
        <v>-260000</v>
      </c>
      <c r="S18" s="172">
        <f t="shared" si="2"/>
        <v>0</v>
      </c>
    </row>
    <row r="19" spans="1:19" ht="19.5" customHeight="1">
      <c r="A19" s="137">
        <v>16</v>
      </c>
      <c r="B19" s="138">
        <f>'RECAP 2'!B20</f>
        <v>0</v>
      </c>
      <c r="C19" s="139">
        <f>'RECAP 2'!C20</f>
        <v>0</v>
      </c>
      <c r="D19" s="139">
        <f>'RECAP 2'!D20</f>
        <v>0</v>
      </c>
      <c r="E19" s="139">
        <f>'RECAP 2'!E20</f>
        <v>0</v>
      </c>
      <c r="F19" s="139">
        <f>'RECAP 2'!F20</f>
        <v>0</v>
      </c>
      <c r="G19" s="139">
        <f>'RECAP 2'!G20+'RECAP 2'!H20</f>
        <v>0</v>
      </c>
      <c r="H19" s="139">
        <f>'RECAP 2'!I20+'RECAP 2'!J20</f>
        <v>0</v>
      </c>
      <c r="I19" s="139">
        <f>'RECAP 2'!K20</f>
        <v>0</v>
      </c>
      <c r="J19" s="139">
        <f>'RECAP 2'!L20</f>
        <v>0</v>
      </c>
      <c r="K19" s="139">
        <f>'RECAP 2'!M20+'RECAP 2'!N20</f>
        <v>0</v>
      </c>
      <c r="L19" s="139">
        <f>'RECAP 2'!O20</f>
        <v>0</v>
      </c>
      <c r="M19" s="153">
        <f>+RECAP1!AK63</f>
        <v>0</v>
      </c>
      <c r="N19" s="154">
        <v>16</v>
      </c>
      <c r="O19" s="157" t="s">
        <v>110</v>
      </c>
      <c r="P19" s="156">
        <f t="shared" si="0"/>
        <v>0</v>
      </c>
      <c r="Q19" s="173">
        <v>260000</v>
      </c>
      <c r="R19" s="171">
        <f t="shared" si="1"/>
        <v>-260000</v>
      </c>
      <c r="S19" s="172">
        <f t="shared" si="2"/>
        <v>0</v>
      </c>
    </row>
    <row r="20" spans="1:19" ht="19.5" customHeight="1">
      <c r="A20" s="137">
        <v>17</v>
      </c>
      <c r="B20" s="138">
        <f>'RECAP 2'!B21</f>
        <v>0</v>
      </c>
      <c r="C20" s="139">
        <f>'RECAP 2'!C21</f>
        <v>0</v>
      </c>
      <c r="D20" s="139">
        <f>'RECAP 2'!D21</f>
        <v>0</v>
      </c>
      <c r="E20" s="139">
        <f>'RECAP 2'!E21</f>
        <v>0</v>
      </c>
      <c r="F20" s="139">
        <f>'RECAP 2'!F21</f>
        <v>0</v>
      </c>
      <c r="G20" s="139">
        <f>'RECAP 2'!G21+'RECAP 2'!H21</f>
        <v>0</v>
      </c>
      <c r="H20" s="139">
        <f>'RECAP 2'!I21+'RECAP 2'!J21</f>
        <v>0</v>
      </c>
      <c r="I20" s="139">
        <f>'RECAP 2'!K21</f>
        <v>0</v>
      </c>
      <c r="J20" s="139">
        <f>'RECAP 2'!L21</f>
        <v>0</v>
      </c>
      <c r="K20" s="139">
        <f>'RECAP 2'!M21+'RECAP 2'!N21</f>
        <v>0</v>
      </c>
      <c r="L20" s="139">
        <f>'RECAP 2'!O21</f>
        <v>0</v>
      </c>
      <c r="M20" s="153">
        <f>+RECAP1!AK64</f>
        <v>0</v>
      </c>
      <c r="N20" s="154">
        <v>17</v>
      </c>
      <c r="O20" s="157" t="s">
        <v>111</v>
      </c>
      <c r="P20" s="156">
        <f t="shared" si="0"/>
        <v>0</v>
      </c>
      <c r="Q20" s="173">
        <v>50000</v>
      </c>
      <c r="R20" s="171">
        <f t="shared" si="1"/>
        <v>-50000</v>
      </c>
      <c r="S20" s="172">
        <f t="shared" si="2"/>
        <v>0</v>
      </c>
    </row>
    <row r="21" spans="1:19" ht="19.5" customHeight="1">
      <c r="A21" s="137">
        <v>18</v>
      </c>
      <c r="B21" s="138">
        <f>'RECAP 2'!B22</f>
        <v>0</v>
      </c>
      <c r="C21" s="139">
        <f>'RECAP 2'!C22</f>
        <v>0</v>
      </c>
      <c r="D21" s="139">
        <f>'RECAP 2'!D22</f>
        <v>0</v>
      </c>
      <c r="E21" s="139">
        <f>'RECAP 2'!E22</f>
        <v>0</v>
      </c>
      <c r="F21" s="139">
        <f>'RECAP 2'!F22</f>
        <v>0</v>
      </c>
      <c r="G21" s="139">
        <f>'RECAP 2'!G22+'RECAP 2'!H22</f>
        <v>0</v>
      </c>
      <c r="H21" s="139">
        <f>'RECAP 2'!I22+'RECAP 2'!J22</f>
        <v>0</v>
      </c>
      <c r="I21" s="139">
        <f>'RECAP 2'!K22</f>
        <v>0</v>
      </c>
      <c r="J21" s="139">
        <f>'RECAP 2'!L22</f>
        <v>0</v>
      </c>
      <c r="K21" s="139">
        <f>'RECAP 2'!M22+'RECAP 2'!N22</f>
        <v>0</v>
      </c>
      <c r="L21" s="139">
        <f>'RECAP 2'!O22</f>
        <v>0</v>
      </c>
      <c r="M21" s="153">
        <f>+RECAP1!AK65</f>
        <v>0</v>
      </c>
      <c r="N21" s="154">
        <v>18</v>
      </c>
      <c r="O21" s="157" t="s">
        <v>112</v>
      </c>
      <c r="P21" s="156">
        <f t="shared" si="0"/>
        <v>0</v>
      </c>
      <c r="Q21" s="173">
        <v>210000</v>
      </c>
      <c r="R21" s="171">
        <f t="shared" si="1"/>
        <v>-210000</v>
      </c>
      <c r="S21" s="172">
        <f t="shared" si="2"/>
        <v>0</v>
      </c>
    </row>
    <row r="22" spans="1:19" ht="19.5" customHeight="1">
      <c r="A22" s="137">
        <v>19</v>
      </c>
      <c r="B22" s="138">
        <f>'RECAP 2'!B23</f>
        <v>0</v>
      </c>
      <c r="C22" s="139">
        <f>'RECAP 2'!C23</f>
        <v>0</v>
      </c>
      <c r="D22" s="139">
        <f>'RECAP 2'!D23</f>
        <v>0</v>
      </c>
      <c r="E22" s="139">
        <f>'RECAP 2'!E23</f>
        <v>0</v>
      </c>
      <c r="F22" s="139">
        <f>'RECAP 2'!F23</f>
        <v>0</v>
      </c>
      <c r="G22" s="139">
        <f>'RECAP 2'!G23+'RECAP 2'!H23</f>
        <v>0</v>
      </c>
      <c r="H22" s="139">
        <f>'RECAP 2'!I23+'RECAP 2'!J23</f>
        <v>0</v>
      </c>
      <c r="I22" s="139">
        <f>'RECAP 2'!K23</f>
        <v>0</v>
      </c>
      <c r="J22" s="139">
        <f>'RECAP 2'!L23</f>
        <v>0</v>
      </c>
      <c r="K22" s="139">
        <f>'RECAP 2'!M23+'RECAP 2'!N23</f>
        <v>0</v>
      </c>
      <c r="L22" s="139">
        <f>'RECAP 2'!O23</f>
        <v>0</v>
      </c>
      <c r="M22" s="153">
        <f>+RECAP1!AK66</f>
        <v>0</v>
      </c>
      <c r="N22" s="154">
        <v>19</v>
      </c>
      <c r="O22" s="157" t="s">
        <v>113</v>
      </c>
      <c r="P22" s="156">
        <f t="shared" si="0"/>
        <v>0</v>
      </c>
      <c r="Q22" s="173">
        <v>260000</v>
      </c>
      <c r="R22" s="171">
        <f t="shared" si="1"/>
        <v>-260000</v>
      </c>
      <c r="S22" s="172">
        <f t="shared" si="2"/>
        <v>0</v>
      </c>
    </row>
    <row r="23" spans="1:19" ht="19.5" customHeight="1">
      <c r="A23" s="137">
        <v>20</v>
      </c>
      <c r="B23" s="138">
        <f>'RECAP 2'!B24</f>
        <v>0</v>
      </c>
      <c r="C23" s="139">
        <f>'RECAP 2'!C24</f>
        <v>0</v>
      </c>
      <c r="D23" s="139">
        <f>'RECAP 2'!D24</f>
        <v>0</v>
      </c>
      <c r="E23" s="139">
        <f>'RECAP 2'!E24</f>
        <v>0</v>
      </c>
      <c r="F23" s="139">
        <f>'RECAP 2'!F24</f>
        <v>0</v>
      </c>
      <c r="G23" s="139">
        <f>'RECAP 2'!G24+'RECAP 2'!H24</f>
        <v>0</v>
      </c>
      <c r="H23" s="139">
        <f>'RECAP 2'!I24+'RECAP 2'!J24</f>
        <v>0</v>
      </c>
      <c r="I23" s="139">
        <f>'RECAP 2'!K24</f>
        <v>0</v>
      </c>
      <c r="J23" s="139">
        <f>'RECAP 2'!L24</f>
        <v>0</v>
      </c>
      <c r="K23" s="139">
        <f>'RECAP 2'!M24+'RECAP 2'!N24</f>
        <v>0</v>
      </c>
      <c r="L23" s="139">
        <f>'RECAP 2'!O24</f>
        <v>0</v>
      </c>
      <c r="M23" s="153">
        <f>+RECAP1!AK67</f>
        <v>0</v>
      </c>
      <c r="N23" s="154">
        <v>20</v>
      </c>
      <c r="O23" s="157" t="s">
        <v>107</v>
      </c>
      <c r="P23" s="156">
        <f t="shared" si="0"/>
        <v>0</v>
      </c>
      <c r="Q23" s="173">
        <v>260000</v>
      </c>
      <c r="R23" s="171">
        <f t="shared" si="1"/>
        <v>-260000</v>
      </c>
      <c r="S23" s="172">
        <f t="shared" si="2"/>
        <v>0</v>
      </c>
    </row>
    <row r="24" spans="1:19" ht="19.5" customHeight="1">
      <c r="A24" s="137">
        <v>21</v>
      </c>
      <c r="B24" s="138">
        <f>'RECAP 2'!B25</f>
        <v>0</v>
      </c>
      <c r="C24" s="139">
        <f>'RECAP 2'!C25</f>
        <v>0</v>
      </c>
      <c r="D24" s="139">
        <f>'RECAP 2'!D25</f>
        <v>0</v>
      </c>
      <c r="E24" s="139">
        <f>'RECAP 2'!E25</f>
        <v>0</v>
      </c>
      <c r="F24" s="139">
        <f>'RECAP 2'!F25</f>
        <v>0</v>
      </c>
      <c r="G24" s="139">
        <f>'RECAP 2'!G25+'RECAP 2'!H25</f>
        <v>0</v>
      </c>
      <c r="H24" s="139">
        <f>'RECAP 2'!I25+'RECAP 2'!J25</f>
        <v>0</v>
      </c>
      <c r="I24" s="139">
        <f>'RECAP 2'!K25</f>
        <v>0</v>
      </c>
      <c r="J24" s="139">
        <f>'RECAP 2'!L25</f>
        <v>0</v>
      </c>
      <c r="K24" s="139">
        <f>'RECAP 2'!M25+'RECAP 2'!N25</f>
        <v>0</v>
      </c>
      <c r="L24" s="139">
        <f>'RECAP 2'!O25</f>
        <v>0</v>
      </c>
      <c r="M24" s="153">
        <f>+RECAP1!AK68</f>
        <v>0</v>
      </c>
      <c r="N24" s="154">
        <v>21</v>
      </c>
      <c r="O24" s="158" t="s">
        <v>108</v>
      </c>
      <c r="P24" s="156">
        <f t="shared" si="0"/>
        <v>0</v>
      </c>
      <c r="Q24" s="173">
        <v>260000</v>
      </c>
      <c r="R24" s="171">
        <f t="shared" si="1"/>
        <v>-260000</v>
      </c>
      <c r="S24" s="172">
        <f t="shared" si="2"/>
        <v>0</v>
      </c>
    </row>
    <row r="25" spans="1:19" ht="21" customHeight="1">
      <c r="A25" s="137">
        <v>22</v>
      </c>
      <c r="B25" s="138">
        <f>'RECAP 2'!B26</f>
        <v>0</v>
      </c>
      <c r="C25" s="139">
        <f>'RECAP 2'!C26</f>
        <v>0</v>
      </c>
      <c r="D25" s="139">
        <f>'RECAP 2'!D26</f>
        <v>0</v>
      </c>
      <c r="E25" s="139">
        <f>'RECAP 2'!E26</f>
        <v>0</v>
      </c>
      <c r="F25" s="139">
        <f>'RECAP 2'!F26</f>
        <v>0</v>
      </c>
      <c r="G25" s="139">
        <f>'RECAP 2'!G26+'RECAP 2'!H26</f>
        <v>0</v>
      </c>
      <c r="H25" s="139">
        <f>'RECAP 2'!I26+'RECAP 2'!J26</f>
        <v>0</v>
      </c>
      <c r="I25" s="139">
        <f>'RECAP 2'!K26</f>
        <v>0</v>
      </c>
      <c r="J25" s="139">
        <f>'RECAP 2'!L26</f>
        <v>0</v>
      </c>
      <c r="K25" s="139">
        <f>'RECAP 2'!M26+'RECAP 2'!N26</f>
        <v>0</v>
      </c>
      <c r="L25" s="139">
        <f>'RECAP 2'!O26</f>
        <v>0</v>
      </c>
      <c r="M25" s="153">
        <f>+RECAP1!AK69</f>
        <v>0</v>
      </c>
      <c r="N25" s="154">
        <v>22</v>
      </c>
      <c r="O25" s="155" t="s">
        <v>109</v>
      </c>
      <c r="P25" s="156">
        <f t="shared" si="0"/>
        <v>0</v>
      </c>
      <c r="Q25" s="173">
        <v>260000</v>
      </c>
      <c r="R25" s="171">
        <f t="shared" si="1"/>
        <v>-260000</v>
      </c>
      <c r="S25" s="172">
        <f t="shared" si="2"/>
        <v>0</v>
      </c>
    </row>
    <row r="26" spans="1:19" ht="21" customHeight="1">
      <c r="A26" s="137">
        <v>23</v>
      </c>
      <c r="B26" s="138">
        <f>'RECAP 2'!B27</f>
        <v>0</v>
      </c>
      <c r="C26" s="139">
        <f>'RECAP 2'!C27</f>
        <v>0</v>
      </c>
      <c r="D26" s="139">
        <f>'RECAP 2'!D27</f>
        <v>0</v>
      </c>
      <c r="E26" s="139">
        <f>'RECAP 2'!E27</f>
        <v>0</v>
      </c>
      <c r="F26" s="139">
        <f>'RECAP 2'!F27</f>
        <v>0</v>
      </c>
      <c r="G26" s="139">
        <f>'RECAP 2'!G27+'RECAP 2'!H27</f>
        <v>0</v>
      </c>
      <c r="H26" s="139">
        <f>'RECAP 2'!I27+'RECAP 2'!J27</f>
        <v>0</v>
      </c>
      <c r="I26" s="139">
        <f>'RECAP 2'!K27</f>
        <v>0</v>
      </c>
      <c r="J26" s="139">
        <f>'RECAP 2'!L27</f>
        <v>0</v>
      </c>
      <c r="K26" s="139">
        <f>'RECAP 2'!M27+'RECAP 2'!N27</f>
        <v>0</v>
      </c>
      <c r="L26" s="139">
        <f>'RECAP 2'!O27</f>
        <v>0</v>
      </c>
      <c r="M26" s="153">
        <f>+RECAP1!AK70</f>
        <v>0</v>
      </c>
      <c r="N26" s="154">
        <v>23</v>
      </c>
      <c r="O26" s="157" t="s">
        <v>110</v>
      </c>
      <c r="P26" s="156">
        <f t="shared" si="0"/>
        <v>0</v>
      </c>
      <c r="Q26" s="173">
        <v>260000</v>
      </c>
      <c r="R26" s="171">
        <f t="shared" si="1"/>
        <v>-260000</v>
      </c>
      <c r="S26" s="172">
        <f t="shared" si="2"/>
        <v>0</v>
      </c>
    </row>
    <row r="27" spans="1:19" ht="24.75" customHeight="1">
      <c r="A27" s="137">
        <v>24</v>
      </c>
      <c r="B27" s="138">
        <f>'RECAP 2'!B28</f>
        <v>0</v>
      </c>
      <c r="C27" s="139">
        <f>'RECAP 2'!C28</f>
        <v>0</v>
      </c>
      <c r="D27" s="139">
        <f>'RECAP 2'!D28</f>
        <v>0</v>
      </c>
      <c r="E27" s="139">
        <f>'RECAP 2'!E28</f>
        <v>0</v>
      </c>
      <c r="F27" s="139">
        <f>'RECAP 2'!F28</f>
        <v>0</v>
      </c>
      <c r="G27" s="139">
        <f>'RECAP 2'!G28+'RECAP 2'!H28</f>
        <v>0</v>
      </c>
      <c r="H27" s="139">
        <f>'RECAP 2'!I28+'RECAP 2'!J28</f>
        <v>0</v>
      </c>
      <c r="I27" s="139">
        <f>'RECAP 2'!K28</f>
        <v>0</v>
      </c>
      <c r="J27" s="139">
        <f>'RECAP 2'!L28</f>
        <v>0</v>
      </c>
      <c r="K27" s="139">
        <f>'RECAP 2'!M28+'RECAP 2'!N28</f>
        <v>0</v>
      </c>
      <c r="L27" s="139">
        <f>'RECAP 2'!O28</f>
        <v>0</v>
      </c>
      <c r="M27" s="153">
        <f>+RECAP1!AK71</f>
        <v>0</v>
      </c>
      <c r="N27" s="154">
        <v>24</v>
      </c>
      <c r="O27" s="157" t="s">
        <v>111</v>
      </c>
      <c r="P27" s="156">
        <f t="shared" si="0"/>
        <v>0</v>
      </c>
      <c r="Q27" s="173">
        <v>50000</v>
      </c>
      <c r="R27" s="171">
        <f t="shared" si="1"/>
        <v>-50000</v>
      </c>
      <c r="S27" s="172">
        <f t="shared" si="2"/>
        <v>0</v>
      </c>
    </row>
    <row r="28" spans="1:19" ht="21" customHeight="1">
      <c r="A28" s="137">
        <v>25</v>
      </c>
      <c r="B28" s="138">
        <f>'RECAP 2'!B29</f>
        <v>0</v>
      </c>
      <c r="C28" s="139">
        <f>'RECAP 2'!C29</f>
        <v>0</v>
      </c>
      <c r="D28" s="139">
        <f>'RECAP 2'!D29</f>
        <v>0</v>
      </c>
      <c r="E28" s="139">
        <f>'RECAP 2'!E29</f>
        <v>0</v>
      </c>
      <c r="F28" s="139">
        <f>'RECAP 2'!F29</f>
        <v>0</v>
      </c>
      <c r="G28" s="139">
        <f>'RECAP 2'!G29+'RECAP 2'!H29</f>
        <v>0</v>
      </c>
      <c r="H28" s="139">
        <f>'RECAP 2'!I29+'RECAP 2'!J29</f>
        <v>0</v>
      </c>
      <c r="I28" s="139">
        <f>'RECAP 2'!K29</f>
        <v>0</v>
      </c>
      <c r="J28" s="139">
        <f>'RECAP 2'!L29</f>
        <v>0</v>
      </c>
      <c r="K28" s="139">
        <f>'RECAP 2'!M29+'RECAP 2'!N29</f>
        <v>0</v>
      </c>
      <c r="L28" s="139">
        <f>'RECAP 2'!O29</f>
        <v>0</v>
      </c>
      <c r="M28" s="153">
        <f>+RECAP1!AK72</f>
        <v>0</v>
      </c>
      <c r="N28" s="154">
        <v>25</v>
      </c>
      <c r="O28" s="157" t="s">
        <v>112</v>
      </c>
      <c r="P28" s="156">
        <f t="shared" si="0"/>
        <v>0</v>
      </c>
      <c r="Q28" s="173">
        <v>210000</v>
      </c>
      <c r="R28" s="171">
        <f t="shared" si="1"/>
        <v>-210000</v>
      </c>
      <c r="S28" s="172">
        <f t="shared" si="2"/>
        <v>0</v>
      </c>
    </row>
    <row r="29" spans="1:19" ht="21" customHeight="1">
      <c r="A29" s="137">
        <v>26</v>
      </c>
      <c r="B29" s="138">
        <f>'RECAP 2'!B30</f>
        <v>0</v>
      </c>
      <c r="C29" s="139">
        <f>'RECAP 2'!C30</f>
        <v>0</v>
      </c>
      <c r="D29" s="139">
        <f>'RECAP 2'!D30</f>
        <v>0</v>
      </c>
      <c r="E29" s="139">
        <f>'RECAP 2'!E30</f>
        <v>0</v>
      </c>
      <c r="F29" s="139">
        <f>'RECAP 2'!F30</f>
        <v>0</v>
      </c>
      <c r="G29" s="139">
        <f>'RECAP 2'!G30+'RECAP 2'!H30</f>
        <v>0</v>
      </c>
      <c r="H29" s="139">
        <f>'RECAP 2'!I30+'RECAP 2'!J30</f>
        <v>0</v>
      </c>
      <c r="I29" s="139">
        <f>'RECAP 2'!K30</f>
        <v>0</v>
      </c>
      <c r="J29" s="139">
        <f>'RECAP 2'!L30</f>
        <v>0</v>
      </c>
      <c r="K29" s="139">
        <f>'RECAP 2'!M30+'RECAP 2'!N30</f>
        <v>0</v>
      </c>
      <c r="L29" s="139">
        <f>'RECAP 2'!O30</f>
        <v>0</v>
      </c>
      <c r="M29" s="153">
        <f>+RECAP1!AK73</f>
        <v>0</v>
      </c>
      <c r="N29" s="154">
        <v>26</v>
      </c>
      <c r="O29" s="157" t="s">
        <v>113</v>
      </c>
      <c r="P29" s="156">
        <f t="shared" si="0"/>
        <v>0</v>
      </c>
      <c r="Q29" s="173">
        <v>260000</v>
      </c>
      <c r="R29" s="171">
        <f t="shared" si="1"/>
        <v>-260000</v>
      </c>
      <c r="S29" s="172">
        <f t="shared" si="2"/>
        <v>0</v>
      </c>
    </row>
    <row r="30" spans="1:19" ht="19.5" customHeight="1">
      <c r="A30" s="137">
        <v>27</v>
      </c>
      <c r="B30" s="138">
        <f>'RECAP 2'!B31</f>
        <v>0</v>
      </c>
      <c r="C30" s="139">
        <f>'RECAP 2'!C31</f>
        <v>0</v>
      </c>
      <c r="D30" s="139">
        <f>'RECAP 2'!D31</f>
        <v>0</v>
      </c>
      <c r="E30" s="139">
        <f>'RECAP 2'!E31</f>
        <v>0</v>
      </c>
      <c r="F30" s="139">
        <f>'RECAP 2'!F31</f>
        <v>0</v>
      </c>
      <c r="G30" s="139">
        <f>'RECAP 2'!G31+'RECAP 2'!H31</f>
        <v>0</v>
      </c>
      <c r="H30" s="139">
        <f>'RECAP 2'!I31+'RECAP 2'!J31</f>
        <v>0</v>
      </c>
      <c r="I30" s="139">
        <f>'RECAP 2'!K31</f>
        <v>0</v>
      </c>
      <c r="J30" s="139">
        <f>'RECAP 2'!L31</f>
        <v>0</v>
      </c>
      <c r="K30" s="139">
        <f>'RECAP 2'!M31+'RECAP 2'!N31</f>
        <v>0</v>
      </c>
      <c r="L30" s="139">
        <f>'RECAP 2'!O31</f>
        <v>0</v>
      </c>
      <c r="M30" s="153">
        <f>+RECAP1!AK74</f>
        <v>0</v>
      </c>
      <c r="N30" s="154">
        <v>27</v>
      </c>
      <c r="O30" s="157" t="s">
        <v>107</v>
      </c>
      <c r="P30" s="156">
        <f t="shared" si="0"/>
        <v>0</v>
      </c>
      <c r="Q30" s="173">
        <v>260000</v>
      </c>
      <c r="R30" s="171">
        <f t="shared" si="1"/>
        <v>-260000</v>
      </c>
      <c r="S30" s="172">
        <f t="shared" si="2"/>
        <v>0</v>
      </c>
    </row>
    <row r="31" spans="1:19" ht="19.5" customHeight="1">
      <c r="A31" s="137">
        <v>28</v>
      </c>
      <c r="B31" s="138">
        <f>'RECAP 2'!B32</f>
        <v>0</v>
      </c>
      <c r="C31" s="139">
        <f>'RECAP 2'!C32</f>
        <v>0</v>
      </c>
      <c r="D31" s="139">
        <f>'RECAP 2'!D32</f>
        <v>0</v>
      </c>
      <c r="E31" s="139">
        <f>'RECAP 2'!E32</f>
        <v>0</v>
      </c>
      <c r="F31" s="139">
        <f>'RECAP 2'!F32</f>
        <v>0</v>
      </c>
      <c r="G31" s="139">
        <f>'RECAP 2'!G32+'RECAP 2'!H32</f>
        <v>0</v>
      </c>
      <c r="H31" s="139">
        <f>'RECAP 2'!I32+'RECAP 2'!J32</f>
        <v>0</v>
      </c>
      <c r="I31" s="139">
        <f>'RECAP 2'!K32</f>
        <v>0</v>
      </c>
      <c r="J31" s="139">
        <f>'RECAP 2'!L32</f>
        <v>0</v>
      </c>
      <c r="K31" s="139">
        <f>'RECAP 2'!M32+'RECAP 2'!N32</f>
        <v>0</v>
      </c>
      <c r="L31" s="139">
        <f>'RECAP 2'!O32</f>
        <v>0</v>
      </c>
      <c r="M31" s="153">
        <f>+RECAP1!AK75</f>
        <v>0</v>
      </c>
      <c r="N31" s="154">
        <v>28</v>
      </c>
      <c r="O31" s="158" t="s">
        <v>108</v>
      </c>
      <c r="P31" s="156">
        <f t="shared" si="0"/>
        <v>0</v>
      </c>
      <c r="Q31" s="173">
        <v>260000</v>
      </c>
      <c r="R31" s="171">
        <f t="shared" si="1"/>
        <v>-260000</v>
      </c>
      <c r="S31" s="172">
        <f t="shared" si="2"/>
        <v>0</v>
      </c>
    </row>
    <row r="32" spans="1:19" ht="19.5" customHeight="1">
      <c r="A32" s="137">
        <v>29</v>
      </c>
      <c r="B32" s="138">
        <f>'RECAP 2'!B33</f>
        <v>0</v>
      </c>
      <c r="C32" s="139">
        <f>'RECAP 2'!C33</f>
        <v>0</v>
      </c>
      <c r="D32" s="139">
        <f>'RECAP 2'!D33</f>
        <v>0</v>
      </c>
      <c r="E32" s="139">
        <f>'RECAP 2'!E33</f>
        <v>0</v>
      </c>
      <c r="F32" s="139">
        <f>'RECAP 2'!F33</f>
        <v>0</v>
      </c>
      <c r="G32" s="139">
        <f>'RECAP 2'!G33+'RECAP 2'!H33</f>
        <v>0</v>
      </c>
      <c r="H32" s="139">
        <f>'RECAP 2'!I33+'RECAP 2'!J33</f>
        <v>0</v>
      </c>
      <c r="I32" s="139">
        <f>'RECAP 2'!K33</f>
        <v>0</v>
      </c>
      <c r="J32" s="139">
        <f>'RECAP 2'!L33</f>
        <v>0</v>
      </c>
      <c r="K32" s="139">
        <f>'RECAP 2'!M33+'RECAP 2'!N33</f>
        <v>0</v>
      </c>
      <c r="L32" s="139">
        <f>'RECAP 2'!O33</f>
        <v>0</v>
      </c>
      <c r="M32" s="153">
        <f>+RECAP1!AK76</f>
        <v>0</v>
      </c>
      <c r="N32" s="154">
        <v>29</v>
      </c>
      <c r="O32" s="155" t="s">
        <v>109</v>
      </c>
      <c r="P32" s="156">
        <f t="shared" si="0"/>
        <v>0</v>
      </c>
      <c r="Q32" s="173">
        <v>260000</v>
      </c>
      <c r="R32" s="171">
        <f t="shared" si="1"/>
        <v>-260000</v>
      </c>
      <c r="S32" s="172">
        <f t="shared" si="2"/>
        <v>0</v>
      </c>
    </row>
    <row r="33" spans="1:19" ht="19.5" customHeight="1">
      <c r="A33" s="137">
        <v>30</v>
      </c>
      <c r="B33" s="138">
        <f>'RECAP 2'!B34</f>
        <v>0</v>
      </c>
      <c r="C33" s="139">
        <f>'RECAP 2'!C34</f>
        <v>0</v>
      </c>
      <c r="D33" s="139">
        <f>'RECAP 2'!D34</f>
        <v>0</v>
      </c>
      <c r="E33" s="139">
        <f>'RECAP 2'!E34</f>
        <v>0</v>
      </c>
      <c r="F33" s="139">
        <f>'RECAP 2'!F34</f>
        <v>0</v>
      </c>
      <c r="G33" s="139">
        <f>'RECAP 2'!G34+'RECAP 2'!H34</f>
        <v>0</v>
      </c>
      <c r="H33" s="139">
        <f>'RECAP 2'!I34+'RECAP 2'!J34</f>
        <v>0</v>
      </c>
      <c r="I33" s="139">
        <f>'RECAP 2'!K34</f>
        <v>0</v>
      </c>
      <c r="J33" s="139">
        <f>'RECAP 2'!L34</f>
        <v>0</v>
      </c>
      <c r="K33" s="139">
        <f>'RECAP 2'!M34+'RECAP 2'!N34</f>
        <v>0</v>
      </c>
      <c r="L33" s="139">
        <f>'RECAP 2'!O34</f>
        <v>0</v>
      </c>
      <c r="M33" s="153">
        <f>+RECAP1!AK77</f>
        <v>0</v>
      </c>
      <c r="N33" s="154">
        <v>30</v>
      </c>
      <c r="O33" s="157" t="s">
        <v>110</v>
      </c>
      <c r="P33" s="156">
        <f t="shared" si="0"/>
        <v>0</v>
      </c>
      <c r="Q33" s="173">
        <v>260000</v>
      </c>
      <c r="R33" s="171">
        <f t="shared" si="1"/>
        <v>-260000</v>
      </c>
      <c r="S33" s="172">
        <f t="shared" si="2"/>
        <v>0</v>
      </c>
    </row>
    <row r="34" spans="1:19" ht="24" customHeight="1">
      <c r="A34" s="137">
        <v>31</v>
      </c>
      <c r="B34" s="138">
        <f>'RECAP 2'!B35</f>
        <v>0</v>
      </c>
      <c r="C34" s="139">
        <f>'RECAP 2'!C35</f>
        <v>0</v>
      </c>
      <c r="D34" s="139">
        <f>'RECAP 2'!D35</f>
        <v>0</v>
      </c>
      <c r="E34" s="139">
        <f>'RECAP 2'!E35</f>
        <v>0</v>
      </c>
      <c r="F34" s="139">
        <f>'RECAP 2'!F35</f>
        <v>0</v>
      </c>
      <c r="G34" s="139">
        <f>'RECAP 2'!G35+'RECAP 2'!H35</f>
        <v>0</v>
      </c>
      <c r="H34" s="139">
        <f>'RECAP 2'!I35+'RECAP 2'!J35</f>
        <v>0</v>
      </c>
      <c r="I34" s="139">
        <f>'RECAP 2'!K35</f>
        <v>0</v>
      </c>
      <c r="J34" s="139">
        <f>'RECAP 2'!L35</f>
        <v>0</v>
      </c>
      <c r="K34" s="139">
        <f>'RECAP 2'!M35+'RECAP 2'!N35</f>
        <v>0</v>
      </c>
      <c r="L34" s="139">
        <f>'RECAP 2'!O35</f>
        <v>0</v>
      </c>
      <c r="M34" s="153">
        <f>+RECAP1!AK78</f>
        <v>0</v>
      </c>
      <c r="N34" s="154">
        <v>31</v>
      </c>
      <c r="O34" s="157" t="s">
        <v>111</v>
      </c>
      <c r="P34" s="156">
        <f t="shared" si="0"/>
        <v>0</v>
      </c>
      <c r="Q34" s="173">
        <v>50000</v>
      </c>
      <c r="R34" s="171">
        <f t="shared" si="1"/>
        <v>-50000</v>
      </c>
      <c r="S34" s="172">
        <f t="shared" si="2"/>
        <v>0</v>
      </c>
    </row>
    <row r="35" spans="1:19" ht="0.75" customHeight="1">
      <c r="A35" s="140"/>
      <c r="B35" s="141"/>
      <c r="C35" s="142"/>
      <c r="D35" s="142"/>
      <c r="E35" s="142"/>
      <c r="F35" s="142"/>
      <c r="G35" s="142"/>
      <c r="H35" s="142"/>
      <c r="I35" s="142"/>
      <c r="J35" s="142"/>
      <c r="K35" s="142"/>
      <c r="L35" s="142"/>
      <c r="M35" s="159"/>
      <c r="N35" s="154"/>
      <c r="O35" s="157"/>
      <c r="P35" s="160"/>
      <c r="Q35" s="174"/>
      <c r="R35" s="175"/>
      <c r="S35" s="176"/>
    </row>
    <row r="36" spans="1:19" ht="15.75" customHeight="1">
      <c r="A36" s="573" t="s">
        <v>59</v>
      </c>
      <c r="B36" s="143">
        <f>SUM(B4:B34)</f>
        <v>0</v>
      </c>
      <c r="C36" s="143">
        <f t="shared" ref="C36:M36" si="3">SUM(C4:C34)</f>
        <v>0</v>
      </c>
      <c r="D36" s="143">
        <f t="shared" si="3"/>
        <v>0</v>
      </c>
      <c r="E36" s="143">
        <f t="shared" si="3"/>
        <v>0</v>
      </c>
      <c r="F36" s="143">
        <f t="shared" si="3"/>
        <v>0</v>
      </c>
      <c r="G36" s="143">
        <f t="shared" si="3"/>
        <v>0</v>
      </c>
      <c r="H36" s="143">
        <f t="shared" si="3"/>
        <v>0</v>
      </c>
      <c r="I36" s="143">
        <f t="shared" si="3"/>
        <v>0</v>
      </c>
      <c r="J36" s="143">
        <f t="shared" si="3"/>
        <v>0</v>
      </c>
      <c r="K36" s="143">
        <f t="shared" si="3"/>
        <v>0</v>
      </c>
      <c r="L36" s="143">
        <f t="shared" si="3"/>
        <v>0</v>
      </c>
      <c r="M36" s="575">
        <f t="shared" si="3"/>
        <v>0</v>
      </c>
      <c r="N36" s="582" t="s">
        <v>114</v>
      </c>
      <c r="O36" s="582"/>
      <c r="P36" s="577">
        <f>SUM(P4:P34)</f>
        <v>0</v>
      </c>
      <c r="Q36" s="577">
        <f>SUM(Q4:Q34)</f>
        <v>6689780</v>
      </c>
      <c r="R36" s="577">
        <f>+P36-Q36</f>
        <v>-6689780</v>
      </c>
      <c r="S36" s="580">
        <f>+P36/Q36</f>
        <v>0</v>
      </c>
    </row>
    <row r="37" spans="1:19" ht="24.75" customHeight="1">
      <c r="A37" s="574"/>
      <c r="B37" s="144"/>
      <c r="C37" s="571">
        <f>P36</f>
        <v>0</v>
      </c>
      <c r="D37" s="572"/>
      <c r="E37" s="572"/>
      <c r="F37" s="572"/>
      <c r="G37" s="572"/>
      <c r="H37" s="572"/>
      <c r="I37" s="572"/>
      <c r="J37" s="572"/>
      <c r="K37" s="161"/>
      <c r="L37" s="161"/>
      <c r="M37" s="576"/>
      <c r="N37" s="582"/>
      <c r="O37" s="582"/>
      <c r="P37" s="578"/>
      <c r="Q37" s="579"/>
      <c r="R37" s="579"/>
      <c r="S37" s="581"/>
    </row>
    <row r="38" spans="1:19">
      <c r="C38" s="145"/>
      <c r="D38" s="145"/>
      <c r="E38" s="145"/>
      <c r="F38" s="145"/>
      <c r="G38" s="145"/>
      <c r="H38" s="145"/>
      <c r="I38" s="145"/>
      <c r="J38" s="145"/>
      <c r="K38" s="145"/>
      <c r="L38" s="145"/>
    </row>
    <row r="39" spans="1:19">
      <c r="C39" s="146"/>
      <c r="D39" s="146"/>
      <c r="E39" s="146"/>
      <c r="F39" s="146"/>
      <c r="G39" s="146"/>
      <c r="H39" s="146"/>
      <c r="I39" s="146"/>
      <c r="J39" s="146"/>
      <c r="K39" s="146"/>
      <c r="L39" s="146"/>
    </row>
    <row r="40" spans="1:19">
      <c r="C40" s="147"/>
      <c r="D40" s="147"/>
      <c r="E40" s="147"/>
      <c r="F40" s="147"/>
      <c r="G40" s="147"/>
      <c r="H40" s="147"/>
      <c r="I40" s="147"/>
      <c r="J40" s="147"/>
      <c r="K40" s="147"/>
      <c r="L40" s="147"/>
    </row>
    <row r="41" spans="1:19">
      <c r="C41" s="148"/>
      <c r="D41" s="148"/>
      <c r="E41" s="148"/>
      <c r="F41" s="148"/>
      <c r="G41" s="148"/>
      <c r="H41" s="148"/>
      <c r="I41" s="148"/>
      <c r="J41" s="148"/>
      <c r="K41" s="148"/>
      <c r="L41" s="148"/>
    </row>
    <row r="42" spans="1:19">
      <c r="C42" s="148"/>
      <c r="D42" s="148"/>
      <c r="E42" s="148"/>
      <c r="F42" s="148"/>
      <c r="G42" s="148"/>
      <c r="H42" s="148"/>
      <c r="I42" s="148"/>
      <c r="J42" s="148"/>
      <c r="K42" s="148"/>
      <c r="L42" s="148"/>
    </row>
    <row r="43" spans="1:19">
      <c r="E43" s="149"/>
      <c r="F43" s="145"/>
    </row>
  </sheetData>
  <mergeCells count="10">
    <mergeCell ref="A2:S2"/>
    <mergeCell ref="N3:O3"/>
    <mergeCell ref="C37:J37"/>
    <mergeCell ref="A36:A37"/>
    <mergeCell ref="M36:M37"/>
    <mergeCell ref="P36:P37"/>
    <mergeCell ref="Q36:Q37"/>
    <mergeCell ref="R36:R37"/>
    <mergeCell ref="S36:S37"/>
    <mergeCell ref="N36:O37"/>
  </mergeCells>
  <printOptions horizontalCentered="1"/>
  <pageMargins left="0.196850393700787" right="0.196850393700787" top="0" bottom="0" header="0" footer="0"/>
  <pageSetup paperSize="9" scale="7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3:V76"/>
  <sheetViews>
    <sheetView zoomScale="48" zoomScaleNormal="48" workbookViewId="0">
      <selection activeCell="U44" sqref="U44"/>
    </sheetView>
  </sheetViews>
  <sheetFormatPr baseColWidth="10" defaultColWidth="11.42578125" defaultRowHeight="15"/>
  <cols>
    <col min="1" max="1" width="26.5703125" customWidth="1"/>
    <col min="2" max="2" width="14.42578125" customWidth="1"/>
    <col min="3" max="3" width="15.5703125" customWidth="1"/>
    <col min="4" max="4" width="14.85546875" customWidth="1"/>
    <col min="5" max="5" width="14.42578125" customWidth="1"/>
    <col min="6" max="6" width="15.28515625" customWidth="1"/>
    <col min="7" max="7" width="14.85546875" customWidth="1"/>
    <col min="8" max="8" width="14.5703125" customWidth="1"/>
    <col min="9" max="9" width="15.28515625" customWidth="1"/>
    <col min="10" max="10" width="14.85546875" customWidth="1"/>
    <col min="11" max="11" width="14.42578125" customWidth="1"/>
    <col min="12" max="12" width="15.140625" customWidth="1"/>
    <col min="13" max="13" width="13.42578125" customWidth="1"/>
    <col min="14" max="14" width="16.85546875" customWidth="1"/>
    <col min="15" max="15" width="15.5703125" customWidth="1"/>
    <col min="16" max="17" width="17.5703125" customWidth="1"/>
    <col min="18" max="18" width="14.5703125" customWidth="1"/>
    <col min="19" max="19" width="15.28515625" customWidth="1"/>
    <col min="20" max="20" width="17.5703125" customWidth="1"/>
    <col min="21" max="21" width="14.7109375" customWidth="1"/>
  </cols>
  <sheetData>
    <row r="3" spans="1:21" ht="69" customHeight="1" thickBot="1">
      <c r="A3" s="583" t="s">
        <v>115</v>
      </c>
      <c r="B3" s="606" t="s">
        <v>116</v>
      </c>
      <c r="C3" s="607"/>
      <c r="D3" s="607"/>
      <c r="E3" s="607"/>
      <c r="F3" s="607"/>
      <c r="G3" s="607"/>
      <c r="H3" s="607"/>
      <c r="I3" s="607"/>
      <c r="J3" s="607"/>
      <c r="K3" s="607"/>
      <c r="L3" s="607"/>
      <c r="M3" s="607"/>
      <c r="N3" s="607"/>
      <c r="O3" s="607"/>
      <c r="P3" s="607"/>
      <c r="Q3" s="607"/>
      <c r="R3" s="607"/>
      <c r="S3" s="607"/>
      <c r="T3" s="607"/>
      <c r="U3" s="608"/>
    </row>
    <row r="4" spans="1:21" ht="15" customHeight="1">
      <c r="A4" s="584"/>
      <c r="B4" s="594"/>
      <c r="C4" s="595"/>
      <c r="D4" s="595"/>
      <c r="E4" s="595"/>
      <c r="F4" s="595"/>
      <c r="G4" s="595"/>
      <c r="H4" s="595"/>
      <c r="I4" s="595"/>
      <c r="J4" s="595"/>
      <c r="K4" s="595"/>
      <c r="L4" s="595"/>
      <c r="M4" s="595"/>
      <c r="N4" s="595"/>
      <c r="O4" s="595"/>
      <c r="P4" s="595"/>
      <c r="Q4" s="595"/>
      <c r="R4" s="595"/>
      <c r="S4" s="595"/>
      <c r="T4" s="595"/>
      <c r="U4" s="596"/>
    </row>
    <row r="5" spans="1:21" ht="15.75" customHeight="1" thickBot="1">
      <c r="A5" s="584"/>
      <c r="B5" s="597"/>
      <c r="C5" s="598"/>
      <c r="D5" s="598"/>
      <c r="E5" s="598"/>
      <c r="F5" s="598"/>
      <c r="G5" s="598"/>
      <c r="H5" s="598"/>
      <c r="I5" s="598"/>
      <c r="J5" s="598"/>
      <c r="K5" s="598"/>
      <c r="L5" s="598"/>
      <c r="M5" s="598"/>
      <c r="N5" s="598"/>
      <c r="O5" s="598"/>
      <c r="P5" s="598"/>
      <c r="Q5" s="598"/>
      <c r="R5" s="598"/>
      <c r="S5" s="598"/>
      <c r="T5" s="598"/>
      <c r="U5" s="599"/>
    </row>
    <row r="6" spans="1:21" ht="34.5" customHeight="1" thickBot="1">
      <c r="A6" s="584"/>
      <c r="B6" s="600" t="s">
        <v>117</v>
      </c>
      <c r="C6" s="605"/>
      <c r="D6" s="601"/>
      <c r="E6" s="609" t="s">
        <v>118</v>
      </c>
      <c r="F6" s="610"/>
      <c r="G6" s="611"/>
      <c r="H6" s="600" t="s">
        <v>119</v>
      </c>
      <c r="I6" s="601"/>
      <c r="J6" s="600" t="s">
        <v>120</v>
      </c>
      <c r="K6" s="601"/>
      <c r="L6" s="600" t="s">
        <v>121</v>
      </c>
      <c r="M6" s="601"/>
      <c r="N6" s="44" t="s">
        <v>122</v>
      </c>
      <c r="O6" s="44" t="s">
        <v>123</v>
      </c>
      <c r="P6" s="44" t="s">
        <v>124</v>
      </c>
      <c r="Q6" s="44" t="s">
        <v>125</v>
      </c>
      <c r="R6" s="600" t="s">
        <v>54</v>
      </c>
      <c r="S6" s="601"/>
      <c r="T6" s="44" t="s">
        <v>146</v>
      </c>
      <c r="U6" s="473"/>
    </row>
    <row r="7" spans="1:21" ht="21.75" thickBot="1">
      <c r="A7" s="585"/>
      <c r="B7" s="106" t="s">
        <v>126</v>
      </c>
      <c r="C7" s="107" t="s">
        <v>127</v>
      </c>
      <c r="D7" s="108" t="s">
        <v>128</v>
      </c>
      <c r="E7" s="106" t="s">
        <v>129</v>
      </c>
      <c r="F7" s="107" t="s">
        <v>127</v>
      </c>
      <c r="G7" s="108" t="s">
        <v>128</v>
      </c>
      <c r="H7" s="106" t="s">
        <v>127</v>
      </c>
      <c r="I7" s="108" t="s">
        <v>128</v>
      </c>
      <c r="J7" s="106" t="s">
        <v>127</v>
      </c>
      <c r="K7" s="108" t="s">
        <v>128</v>
      </c>
      <c r="L7" s="106" t="s">
        <v>130</v>
      </c>
      <c r="M7" s="108" t="s">
        <v>128</v>
      </c>
      <c r="N7" s="31" t="s">
        <v>127</v>
      </c>
      <c r="O7" s="31" t="s">
        <v>127</v>
      </c>
      <c r="P7" s="31" t="s">
        <v>127</v>
      </c>
      <c r="Q7" s="31" t="s">
        <v>127</v>
      </c>
      <c r="R7" s="106" t="s">
        <v>126</v>
      </c>
      <c r="S7" s="106" t="s">
        <v>127</v>
      </c>
      <c r="T7" s="31" t="s">
        <v>127</v>
      </c>
      <c r="U7" s="589"/>
    </row>
    <row r="8" spans="1:21" ht="39.950000000000003" customHeight="1" thickBot="1">
      <c r="A8" s="109">
        <f>SUM(B8:T8)</f>
        <v>0</v>
      </c>
      <c r="B8" s="110"/>
      <c r="C8" s="110"/>
      <c r="D8" s="110"/>
      <c r="E8" s="110"/>
      <c r="F8" s="110"/>
      <c r="G8" s="110"/>
      <c r="H8" s="110"/>
      <c r="I8" s="110"/>
      <c r="J8" s="110"/>
      <c r="K8" s="110"/>
      <c r="L8" s="110"/>
      <c r="M8" s="110"/>
      <c r="N8" s="110"/>
      <c r="O8" s="110"/>
      <c r="P8" s="110"/>
      <c r="Q8" s="110"/>
      <c r="R8" s="110"/>
      <c r="S8" s="110"/>
      <c r="T8" s="110"/>
      <c r="U8" s="124">
        <v>1</v>
      </c>
    </row>
    <row r="9" spans="1:21" ht="39.950000000000003" customHeight="1" thickBot="1">
      <c r="A9" s="109">
        <f t="shared" ref="A9:A38" si="0">SUM(B9:T9)</f>
        <v>0</v>
      </c>
      <c r="B9" s="110"/>
      <c r="C9" s="110"/>
      <c r="D9" s="110"/>
      <c r="E9" s="110"/>
      <c r="F9" s="110"/>
      <c r="G9" s="110"/>
      <c r="H9" s="110"/>
      <c r="I9" s="110"/>
      <c r="J9" s="110"/>
      <c r="K9" s="110"/>
      <c r="L9" s="110"/>
      <c r="M9" s="110"/>
      <c r="N9" s="110"/>
      <c r="O9" s="110"/>
      <c r="P9" s="110"/>
      <c r="Q9" s="110"/>
      <c r="R9" s="110"/>
      <c r="S9" s="110"/>
      <c r="T9" s="110"/>
      <c r="U9" s="125">
        <v>2</v>
      </c>
    </row>
    <row r="10" spans="1:21" ht="39.950000000000003" customHeight="1" thickBot="1">
      <c r="A10" s="109">
        <f t="shared" si="0"/>
        <v>0</v>
      </c>
      <c r="B10" s="110"/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25">
        <v>3</v>
      </c>
    </row>
    <row r="11" spans="1:21" ht="39.950000000000003" customHeight="1" thickBot="1">
      <c r="A11" s="109">
        <f t="shared" si="0"/>
        <v>0</v>
      </c>
      <c r="B11" s="110"/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25">
        <v>4</v>
      </c>
    </row>
    <row r="12" spans="1:21" ht="39.950000000000003" customHeight="1" thickBot="1">
      <c r="A12" s="109">
        <f t="shared" si="0"/>
        <v>0</v>
      </c>
      <c r="B12" s="110"/>
      <c r="C12" s="110"/>
      <c r="D12" s="110"/>
      <c r="E12" s="110"/>
      <c r="F12" s="110"/>
      <c r="G12" s="110"/>
      <c r="H12" s="110"/>
      <c r="I12" s="110"/>
      <c r="J12" s="110"/>
      <c r="K12" s="110"/>
      <c r="L12" s="110"/>
      <c r="M12" s="110"/>
      <c r="N12" s="110"/>
      <c r="O12" s="110"/>
      <c r="P12" s="110"/>
      <c r="Q12" s="110"/>
      <c r="R12" s="110"/>
      <c r="S12" s="110"/>
      <c r="T12" s="110"/>
      <c r="U12" s="125">
        <v>5</v>
      </c>
    </row>
    <row r="13" spans="1:21" ht="39.950000000000003" customHeight="1" thickBot="1">
      <c r="A13" s="109">
        <f t="shared" si="0"/>
        <v>0</v>
      </c>
      <c r="B13" s="110"/>
      <c r="C13" s="110"/>
      <c r="D13" s="110"/>
      <c r="E13" s="110"/>
      <c r="F13" s="110"/>
      <c r="G13" s="110"/>
      <c r="H13" s="110"/>
      <c r="I13" s="110"/>
      <c r="J13" s="110"/>
      <c r="K13" s="110"/>
      <c r="L13" s="110"/>
      <c r="M13" s="110"/>
      <c r="N13" s="110"/>
      <c r="O13" s="110"/>
      <c r="P13" s="110"/>
      <c r="Q13" s="110"/>
      <c r="R13" s="110"/>
      <c r="S13" s="110"/>
      <c r="T13" s="110"/>
      <c r="U13" s="125">
        <v>6</v>
      </c>
    </row>
    <row r="14" spans="1:21" ht="39.950000000000003" customHeight="1" thickBot="1">
      <c r="A14" s="109">
        <f t="shared" si="0"/>
        <v>0</v>
      </c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25">
        <v>7</v>
      </c>
    </row>
    <row r="15" spans="1:21" ht="39.950000000000003" customHeight="1" thickBot="1">
      <c r="A15" s="109">
        <f t="shared" si="0"/>
        <v>0</v>
      </c>
      <c r="B15" s="110"/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25">
        <v>8</v>
      </c>
    </row>
    <row r="16" spans="1:21" ht="39.950000000000003" customHeight="1" thickBot="1">
      <c r="A16" s="109">
        <f t="shared" si="0"/>
        <v>0</v>
      </c>
      <c r="B16" s="110"/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25">
        <v>9</v>
      </c>
    </row>
    <row r="17" spans="1:21" ht="39.950000000000003" customHeight="1" thickBot="1">
      <c r="A17" s="109">
        <f t="shared" si="0"/>
        <v>0</v>
      </c>
      <c r="B17" s="110"/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25">
        <v>10</v>
      </c>
    </row>
    <row r="18" spans="1:21" ht="39.950000000000003" customHeight="1" thickBot="1">
      <c r="A18" s="109">
        <f t="shared" si="0"/>
        <v>0</v>
      </c>
      <c r="B18" s="110"/>
      <c r="C18" s="110"/>
      <c r="D18" s="110"/>
      <c r="E18" s="110"/>
      <c r="F18" s="110"/>
      <c r="G18" s="110"/>
      <c r="H18" s="110"/>
      <c r="I18" s="110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25">
        <v>11</v>
      </c>
    </row>
    <row r="19" spans="1:21" ht="39.950000000000003" customHeight="1" thickBot="1">
      <c r="A19" s="109">
        <f t="shared" si="0"/>
        <v>0</v>
      </c>
      <c r="B19" s="110"/>
      <c r="C19" s="110"/>
      <c r="D19" s="110"/>
      <c r="E19" s="110"/>
      <c r="F19" s="110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0"/>
      <c r="T19" s="110"/>
      <c r="U19" s="125">
        <v>12</v>
      </c>
    </row>
    <row r="20" spans="1:21" ht="39.950000000000003" customHeight="1" thickBot="1">
      <c r="A20" s="109">
        <f t="shared" si="0"/>
        <v>0</v>
      </c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25">
        <v>13</v>
      </c>
    </row>
    <row r="21" spans="1:21" ht="39.950000000000003" customHeight="1" thickBot="1">
      <c r="A21" s="109">
        <f t="shared" si="0"/>
        <v>0</v>
      </c>
      <c r="B21" s="110"/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25">
        <v>14</v>
      </c>
    </row>
    <row r="22" spans="1:21" ht="39.950000000000003" customHeight="1" thickBot="1">
      <c r="A22" s="109">
        <f t="shared" si="0"/>
        <v>0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25">
        <v>15</v>
      </c>
    </row>
    <row r="23" spans="1:21" ht="39.950000000000003" customHeight="1" thickBot="1">
      <c r="A23" s="109">
        <f t="shared" si="0"/>
        <v>0</v>
      </c>
      <c r="B23" s="110"/>
      <c r="C23" s="110"/>
      <c r="D23" s="110"/>
      <c r="E23" s="110"/>
      <c r="F23" s="110"/>
      <c r="G23" s="110"/>
      <c r="H23" s="110"/>
      <c r="I23" s="110"/>
      <c r="J23" s="110"/>
      <c r="K23" s="110"/>
      <c r="L23" s="110"/>
      <c r="M23" s="110"/>
      <c r="N23" s="110"/>
      <c r="O23" s="110"/>
      <c r="P23" s="110"/>
      <c r="Q23" s="110"/>
      <c r="R23" s="110"/>
      <c r="S23" s="110"/>
      <c r="T23" s="110"/>
      <c r="U23" s="125">
        <v>16</v>
      </c>
    </row>
    <row r="24" spans="1:21" ht="39.950000000000003" customHeight="1" thickBot="1">
      <c r="A24" s="109">
        <f t="shared" si="0"/>
        <v>0</v>
      </c>
      <c r="B24" s="110"/>
      <c r="C24" s="110"/>
      <c r="D24" s="110"/>
      <c r="E24" s="110"/>
      <c r="F24" s="110"/>
      <c r="G24" s="110"/>
      <c r="H24" s="110"/>
      <c r="I24" s="110"/>
      <c r="J24" s="110"/>
      <c r="K24" s="110"/>
      <c r="L24" s="110"/>
      <c r="M24" s="110"/>
      <c r="N24" s="110"/>
      <c r="O24" s="110"/>
      <c r="P24" s="110"/>
      <c r="Q24" s="110"/>
      <c r="R24" s="110"/>
      <c r="S24" s="110"/>
      <c r="T24" s="110"/>
      <c r="U24" s="125">
        <v>17</v>
      </c>
    </row>
    <row r="25" spans="1:21" ht="39.950000000000003" customHeight="1" thickBot="1">
      <c r="A25" s="109">
        <f t="shared" si="0"/>
        <v>0</v>
      </c>
      <c r="B25" s="110"/>
      <c r="C25" s="110"/>
      <c r="D25" s="110"/>
      <c r="E25" s="110"/>
      <c r="F25" s="110"/>
      <c r="G25" s="110"/>
      <c r="H25" s="110"/>
      <c r="I25" s="110"/>
      <c r="J25" s="110"/>
      <c r="K25" s="110"/>
      <c r="L25" s="110"/>
      <c r="M25" s="110"/>
      <c r="N25" s="110"/>
      <c r="O25" s="110"/>
      <c r="P25" s="110"/>
      <c r="Q25" s="110"/>
      <c r="R25" s="110"/>
      <c r="S25" s="110"/>
      <c r="T25" s="110"/>
      <c r="U25" s="125">
        <v>18</v>
      </c>
    </row>
    <row r="26" spans="1:21" ht="39.950000000000003" customHeight="1" thickBot="1">
      <c r="A26" s="109">
        <f t="shared" si="0"/>
        <v>0</v>
      </c>
      <c r="B26" s="110"/>
      <c r="C26" s="110"/>
      <c r="D26" s="110"/>
      <c r="E26" s="110"/>
      <c r="F26" s="110"/>
      <c r="G26" s="110"/>
      <c r="H26" s="110"/>
      <c r="I26" s="110"/>
      <c r="J26" s="110"/>
      <c r="K26" s="110"/>
      <c r="L26" s="110"/>
      <c r="M26" s="110"/>
      <c r="N26" s="110"/>
      <c r="O26" s="110"/>
      <c r="P26" s="110"/>
      <c r="Q26" s="110"/>
      <c r="R26" s="110"/>
      <c r="S26" s="110"/>
      <c r="T26" s="110"/>
      <c r="U26" s="125">
        <v>19</v>
      </c>
    </row>
    <row r="27" spans="1:21" ht="39.950000000000003" customHeight="1" thickBot="1">
      <c r="A27" s="109">
        <f t="shared" si="0"/>
        <v>0</v>
      </c>
      <c r="B27" s="110"/>
      <c r="C27" s="110"/>
      <c r="D27" s="110"/>
      <c r="E27" s="110"/>
      <c r="F27" s="110"/>
      <c r="G27" s="110"/>
      <c r="H27" s="110"/>
      <c r="I27" s="110"/>
      <c r="J27" s="110"/>
      <c r="K27" s="110"/>
      <c r="L27" s="110"/>
      <c r="M27" s="110"/>
      <c r="N27" s="110"/>
      <c r="O27" s="110"/>
      <c r="P27" s="110"/>
      <c r="Q27" s="110"/>
      <c r="R27" s="110"/>
      <c r="S27" s="110"/>
      <c r="T27" s="110"/>
      <c r="U27" s="125">
        <v>20</v>
      </c>
    </row>
    <row r="28" spans="1:21" ht="39.950000000000003" customHeight="1" thickBot="1">
      <c r="A28" s="109">
        <f t="shared" si="0"/>
        <v>0</v>
      </c>
      <c r="B28" s="110"/>
      <c r="C28" s="110"/>
      <c r="D28" s="110"/>
      <c r="E28" s="110"/>
      <c r="F28" s="110"/>
      <c r="G28" s="110"/>
      <c r="H28" s="110"/>
      <c r="I28" s="110"/>
      <c r="J28" s="110"/>
      <c r="K28" s="110"/>
      <c r="L28" s="110"/>
      <c r="M28" s="110"/>
      <c r="N28" s="110"/>
      <c r="O28" s="110"/>
      <c r="P28" s="110"/>
      <c r="Q28" s="110"/>
      <c r="R28" s="110"/>
      <c r="S28" s="110"/>
      <c r="T28" s="110"/>
      <c r="U28" s="125">
        <v>21</v>
      </c>
    </row>
    <row r="29" spans="1:21" ht="39.950000000000003" customHeight="1" thickBot="1">
      <c r="A29" s="109">
        <f t="shared" si="0"/>
        <v>0</v>
      </c>
      <c r="B29" s="110"/>
      <c r="C29" s="110"/>
      <c r="D29" s="110"/>
      <c r="E29" s="110"/>
      <c r="F29" s="110"/>
      <c r="G29" s="110"/>
      <c r="H29" s="110"/>
      <c r="I29" s="110"/>
      <c r="J29" s="110"/>
      <c r="K29" s="110"/>
      <c r="L29" s="110"/>
      <c r="M29" s="110"/>
      <c r="N29" s="110"/>
      <c r="O29" s="110"/>
      <c r="P29" s="110"/>
      <c r="Q29" s="110"/>
      <c r="R29" s="110"/>
      <c r="S29" s="110"/>
      <c r="T29" s="110"/>
      <c r="U29" s="125">
        <v>22</v>
      </c>
    </row>
    <row r="30" spans="1:21" ht="39.950000000000003" customHeight="1" thickBot="1">
      <c r="A30" s="109">
        <f t="shared" si="0"/>
        <v>0</v>
      </c>
      <c r="B30" s="110"/>
      <c r="C30" s="110"/>
      <c r="D30" s="110"/>
      <c r="E30" s="110"/>
      <c r="F30" s="110"/>
      <c r="G30" s="110"/>
      <c r="H30" s="110"/>
      <c r="I30" s="110"/>
      <c r="J30" s="110"/>
      <c r="K30" s="110"/>
      <c r="L30" s="110"/>
      <c r="M30" s="110"/>
      <c r="N30" s="110"/>
      <c r="O30" s="110"/>
      <c r="P30" s="110"/>
      <c r="Q30" s="110"/>
      <c r="R30" s="110"/>
      <c r="S30" s="110"/>
      <c r="T30" s="110"/>
      <c r="U30" s="125">
        <v>23</v>
      </c>
    </row>
    <row r="31" spans="1:21" ht="39.950000000000003" customHeight="1" thickBot="1">
      <c r="A31" s="109">
        <f t="shared" si="0"/>
        <v>0</v>
      </c>
      <c r="B31" s="110"/>
      <c r="C31" s="110"/>
      <c r="D31" s="110"/>
      <c r="E31" s="110"/>
      <c r="F31" s="110"/>
      <c r="G31" s="110"/>
      <c r="H31" s="110"/>
      <c r="I31" s="110"/>
      <c r="J31" s="110"/>
      <c r="K31" s="110"/>
      <c r="L31" s="110"/>
      <c r="M31" s="110"/>
      <c r="N31" s="110"/>
      <c r="O31" s="110"/>
      <c r="P31" s="110"/>
      <c r="Q31" s="110"/>
      <c r="R31" s="110"/>
      <c r="S31" s="110"/>
      <c r="T31" s="110"/>
      <c r="U31" s="125">
        <v>24</v>
      </c>
    </row>
    <row r="32" spans="1:21" ht="39.950000000000003" customHeight="1" thickBot="1">
      <c r="A32" s="109">
        <f t="shared" si="0"/>
        <v>0</v>
      </c>
      <c r="B32" s="110"/>
      <c r="C32" s="110"/>
      <c r="D32" s="110"/>
      <c r="E32" s="110"/>
      <c r="F32" s="110"/>
      <c r="G32" s="110"/>
      <c r="H32" s="110"/>
      <c r="I32" s="110"/>
      <c r="J32" s="110"/>
      <c r="K32" s="110"/>
      <c r="L32" s="110"/>
      <c r="M32" s="110"/>
      <c r="N32" s="110"/>
      <c r="O32" s="110"/>
      <c r="P32" s="110"/>
      <c r="Q32" s="110"/>
      <c r="R32" s="110"/>
      <c r="S32" s="110"/>
      <c r="T32" s="110"/>
      <c r="U32" s="125">
        <v>25</v>
      </c>
    </row>
    <row r="33" spans="1:22" ht="39.950000000000003" customHeight="1" thickBot="1">
      <c r="A33" s="109">
        <f t="shared" si="0"/>
        <v>0</v>
      </c>
      <c r="B33" s="110"/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  <c r="S33" s="110"/>
      <c r="T33" s="110"/>
      <c r="U33" s="125">
        <v>26</v>
      </c>
    </row>
    <row r="34" spans="1:22" ht="39.950000000000003" customHeight="1" thickBot="1">
      <c r="A34" s="109">
        <f t="shared" si="0"/>
        <v>0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0"/>
      <c r="M34" s="110"/>
      <c r="N34" s="110"/>
      <c r="O34" s="110"/>
      <c r="P34" s="110"/>
      <c r="Q34" s="110"/>
      <c r="R34" s="110"/>
      <c r="S34" s="110"/>
      <c r="T34" s="110"/>
      <c r="U34" s="125">
        <v>27</v>
      </c>
    </row>
    <row r="35" spans="1:22" ht="39.950000000000003" customHeight="1" thickBot="1">
      <c r="A35" s="109">
        <f t="shared" si="0"/>
        <v>0</v>
      </c>
      <c r="B35" s="110"/>
      <c r="C35" s="110"/>
      <c r="D35" s="110"/>
      <c r="E35" s="110"/>
      <c r="F35" s="110"/>
      <c r="G35" s="110"/>
      <c r="H35" s="110"/>
      <c r="I35" s="110"/>
      <c r="J35" s="110"/>
      <c r="K35" s="110"/>
      <c r="L35" s="110"/>
      <c r="M35" s="110"/>
      <c r="N35" s="110"/>
      <c r="O35" s="110"/>
      <c r="P35" s="110"/>
      <c r="Q35" s="110"/>
      <c r="R35" s="110"/>
      <c r="S35" s="110"/>
      <c r="T35" s="110"/>
      <c r="U35" s="125">
        <v>28</v>
      </c>
    </row>
    <row r="36" spans="1:22" ht="39.950000000000003" customHeight="1" thickBot="1">
      <c r="A36" s="109">
        <f t="shared" si="0"/>
        <v>0</v>
      </c>
      <c r="B36" s="110"/>
      <c r="C36" s="110"/>
      <c r="D36" s="110"/>
      <c r="E36" s="110"/>
      <c r="F36" s="110"/>
      <c r="G36" s="110"/>
      <c r="H36" s="110"/>
      <c r="I36" s="110"/>
      <c r="J36" s="110"/>
      <c r="K36" s="110"/>
      <c r="L36" s="110"/>
      <c r="M36" s="110"/>
      <c r="N36" s="110"/>
      <c r="O36" s="110"/>
      <c r="P36" s="110"/>
      <c r="Q36" s="110"/>
      <c r="R36" s="110"/>
      <c r="S36" s="110"/>
      <c r="T36" s="110"/>
      <c r="U36" s="125">
        <v>29</v>
      </c>
    </row>
    <row r="37" spans="1:22" ht="39.950000000000003" customHeight="1" thickBot="1">
      <c r="A37" s="109">
        <f t="shared" si="0"/>
        <v>0</v>
      </c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25">
        <v>30</v>
      </c>
    </row>
    <row r="38" spans="1:22" ht="39.950000000000003" customHeight="1" thickBot="1">
      <c r="A38" s="109">
        <f t="shared" si="0"/>
        <v>0</v>
      </c>
      <c r="B38" s="110"/>
      <c r="C38" s="110"/>
      <c r="D38" s="110"/>
      <c r="E38" s="110"/>
      <c r="F38" s="110"/>
      <c r="G38" s="110"/>
      <c r="H38" s="110"/>
      <c r="I38" s="110"/>
      <c r="J38" s="110"/>
      <c r="K38" s="110"/>
      <c r="L38" s="110"/>
      <c r="M38" s="110"/>
      <c r="N38" s="110"/>
      <c r="O38" s="110"/>
      <c r="P38" s="110"/>
      <c r="Q38" s="110"/>
      <c r="R38" s="110"/>
      <c r="S38" s="110"/>
      <c r="T38" s="110"/>
      <c r="U38" s="126">
        <v>31</v>
      </c>
    </row>
    <row r="39" spans="1:22" ht="39.950000000000003" customHeight="1" thickBot="1">
      <c r="A39" s="111">
        <f>SUM(B39:T39)</f>
        <v>0</v>
      </c>
      <c r="B39" s="112">
        <f>SUM(B8:B38)</f>
        <v>0</v>
      </c>
      <c r="C39" s="112">
        <f t="shared" ref="C39:Q39" si="1">SUM(C8:C38)</f>
        <v>0</v>
      </c>
      <c r="D39" s="113">
        <f t="shared" si="1"/>
        <v>0</v>
      </c>
      <c r="E39" s="112">
        <f t="shared" si="1"/>
        <v>0</v>
      </c>
      <c r="F39" s="112">
        <f t="shared" si="1"/>
        <v>0</v>
      </c>
      <c r="G39" s="113">
        <f t="shared" si="1"/>
        <v>0</v>
      </c>
      <c r="H39" s="112">
        <f t="shared" si="1"/>
        <v>0</v>
      </c>
      <c r="I39" s="113">
        <f t="shared" si="1"/>
        <v>0</v>
      </c>
      <c r="J39" s="112">
        <f t="shared" si="1"/>
        <v>0</v>
      </c>
      <c r="K39" s="113">
        <f t="shared" si="1"/>
        <v>0</v>
      </c>
      <c r="L39" s="112">
        <f t="shared" si="1"/>
        <v>0</v>
      </c>
      <c r="M39" s="113">
        <f t="shared" si="1"/>
        <v>0</v>
      </c>
      <c r="N39" s="123">
        <f t="shared" si="1"/>
        <v>0</v>
      </c>
      <c r="O39" s="113">
        <f t="shared" si="1"/>
        <v>0</v>
      </c>
      <c r="P39" s="113">
        <f t="shared" si="1"/>
        <v>0</v>
      </c>
      <c r="Q39" s="113">
        <f t="shared" si="1"/>
        <v>0</v>
      </c>
      <c r="R39" s="112">
        <f t="shared" ref="R39" si="2">SUM(R8:R38)</f>
        <v>0</v>
      </c>
      <c r="S39" s="113">
        <f>SUM(S8:S38)</f>
        <v>0</v>
      </c>
      <c r="T39" s="113">
        <f t="shared" ref="T39" si="3">SUM(T8:T38)</f>
        <v>0</v>
      </c>
      <c r="U39" s="53" t="s">
        <v>115</v>
      </c>
    </row>
    <row r="40" spans="1:22" ht="15.75" thickBot="1"/>
    <row r="41" spans="1:22" ht="27" thickBot="1">
      <c r="A41" s="586" t="s">
        <v>115</v>
      </c>
      <c r="B41" s="602" t="s">
        <v>131</v>
      </c>
      <c r="C41" s="603"/>
      <c r="D41" s="603"/>
      <c r="E41" s="603"/>
      <c r="F41" s="603"/>
      <c r="G41" s="603"/>
      <c r="H41" s="603"/>
      <c r="I41" s="603"/>
      <c r="J41" s="603"/>
      <c r="K41" s="603"/>
      <c r="L41" s="603"/>
      <c r="M41" s="603"/>
      <c r="N41" s="603"/>
      <c r="O41" s="603"/>
      <c r="P41" s="603"/>
      <c r="Q41" s="603"/>
      <c r="R41" s="603"/>
      <c r="S41" s="603"/>
      <c r="T41" s="603"/>
      <c r="U41" s="604"/>
    </row>
    <row r="42" spans="1:22" ht="21.75" thickBot="1">
      <c r="A42" s="587"/>
      <c r="B42" s="600" t="s">
        <v>117</v>
      </c>
      <c r="C42" s="605"/>
      <c r="D42" s="605"/>
      <c r="E42" s="600" t="s">
        <v>118</v>
      </c>
      <c r="F42" s="605"/>
      <c r="G42" s="601"/>
      <c r="H42" s="600" t="s">
        <v>119</v>
      </c>
      <c r="I42" s="601"/>
      <c r="J42" s="600" t="s">
        <v>120</v>
      </c>
      <c r="K42" s="601"/>
      <c r="L42" s="600" t="s">
        <v>121</v>
      </c>
      <c r="M42" s="601"/>
      <c r="N42" s="54" t="s">
        <v>122</v>
      </c>
      <c r="O42" s="44" t="s">
        <v>123</v>
      </c>
      <c r="P42" s="44" t="s">
        <v>132</v>
      </c>
      <c r="Q42" s="44" t="s">
        <v>125</v>
      </c>
      <c r="R42" s="600" t="s">
        <v>54</v>
      </c>
      <c r="S42" s="601"/>
      <c r="T42" s="44" t="s">
        <v>146</v>
      </c>
      <c r="U42" s="590" t="s">
        <v>133</v>
      </c>
      <c r="V42" s="592" t="s">
        <v>134</v>
      </c>
    </row>
    <row r="43" spans="1:22" ht="21.75" thickBot="1">
      <c r="A43" s="588"/>
      <c r="B43" s="106" t="s">
        <v>126</v>
      </c>
      <c r="C43" s="107" t="s">
        <v>127</v>
      </c>
      <c r="D43" s="114" t="s">
        <v>128</v>
      </c>
      <c r="E43" s="106" t="s">
        <v>129</v>
      </c>
      <c r="F43" s="107" t="s">
        <v>127</v>
      </c>
      <c r="G43" s="108" t="s">
        <v>128</v>
      </c>
      <c r="H43" s="106" t="s">
        <v>127</v>
      </c>
      <c r="I43" s="108" t="s">
        <v>128</v>
      </c>
      <c r="J43" s="106" t="s">
        <v>127</v>
      </c>
      <c r="K43" s="108" t="s">
        <v>128</v>
      </c>
      <c r="L43" s="106" t="s">
        <v>130</v>
      </c>
      <c r="M43" s="108" t="s">
        <v>128</v>
      </c>
      <c r="N43" s="3" t="s">
        <v>127</v>
      </c>
      <c r="O43" s="3" t="s">
        <v>127</v>
      </c>
      <c r="P43" s="3" t="s">
        <v>127</v>
      </c>
      <c r="Q43" s="3" t="s">
        <v>127</v>
      </c>
      <c r="R43" s="106" t="s">
        <v>126</v>
      </c>
      <c r="S43" s="106" t="s">
        <v>127</v>
      </c>
      <c r="T43" s="31" t="s">
        <v>127</v>
      </c>
      <c r="U43" s="591"/>
      <c r="V43" s="593"/>
    </row>
    <row r="44" spans="1:22" ht="39.950000000000003" customHeight="1" thickBot="1">
      <c r="A44" s="115">
        <f>SUM(B44:U44)</f>
        <v>0</v>
      </c>
      <c r="B44" s="116">
        <f>B8/25</f>
        <v>0</v>
      </c>
      <c r="C44" s="117">
        <f>C8/20</f>
        <v>0</v>
      </c>
      <c r="D44" s="118">
        <f>D8/15</f>
        <v>0</v>
      </c>
      <c r="E44" s="116">
        <f>E8/30</f>
        <v>0</v>
      </c>
      <c r="F44" s="117">
        <f>F8/20</f>
        <v>0</v>
      </c>
      <c r="G44" s="119">
        <f>G8/15</f>
        <v>0</v>
      </c>
      <c r="H44" s="116">
        <f>H8/20</f>
        <v>0</v>
      </c>
      <c r="I44" s="119">
        <f>I8/15</f>
        <v>0</v>
      </c>
      <c r="J44" s="116">
        <f>J8/20</f>
        <v>0</v>
      </c>
      <c r="K44" s="119">
        <f>K8/15</f>
        <v>0</v>
      </c>
      <c r="L44" s="116">
        <f>L8/20</f>
        <v>0</v>
      </c>
      <c r="M44" s="119">
        <f>M8/15</f>
        <v>0</v>
      </c>
      <c r="N44" s="119">
        <f t="shared" ref="N44:R59" si="4">N8/20</f>
        <v>0</v>
      </c>
      <c r="O44" s="119">
        <f t="shared" si="4"/>
        <v>0</v>
      </c>
      <c r="P44" s="119">
        <f>P8/20</f>
        <v>0</v>
      </c>
      <c r="Q44" s="127">
        <f>Q8/20</f>
        <v>0</v>
      </c>
      <c r="R44" s="116">
        <f>R8/20</f>
        <v>0</v>
      </c>
      <c r="S44" s="119">
        <f>S8/15</f>
        <v>0</v>
      </c>
      <c r="T44" s="127">
        <f>T8/20</f>
        <v>0</v>
      </c>
      <c r="U44" s="127"/>
      <c r="V44" s="128">
        <v>1</v>
      </c>
    </row>
    <row r="45" spans="1:22" ht="39.950000000000003" customHeight="1" thickBot="1">
      <c r="A45" s="115">
        <f>SUM(B45:U45)</f>
        <v>0</v>
      </c>
      <c r="B45" s="120">
        <f t="shared" ref="B45:B74" si="5">B9/25</f>
        <v>0</v>
      </c>
      <c r="C45" s="41">
        <f t="shared" ref="C45:C74" si="6">C9/20</f>
        <v>0</v>
      </c>
      <c r="D45" s="121">
        <f t="shared" ref="D45:D74" si="7">D9/15</f>
        <v>0</v>
      </c>
      <c r="E45" s="120">
        <f t="shared" ref="E45:E74" si="8">E9/30</f>
        <v>0</v>
      </c>
      <c r="F45" s="41">
        <f t="shared" ref="F45:F74" si="9">F9/20</f>
        <v>0</v>
      </c>
      <c r="G45" s="122">
        <f t="shared" ref="G45:G74" si="10">G9/15</f>
        <v>0</v>
      </c>
      <c r="H45" s="120">
        <f t="shared" ref="H45:H74" si="11">H9/20</f>
        <v>0</v>
      </c>
      <c r="I45" s="122">
        <f t="shared" ref="I45:I74" si="12">I9/15</f>
        <v>0</v>
      </c>
      <c r="J45" s="120">
        <f t="shared" ref="J45:J74" si="13">J9/20</f>
        <v>0</v>
      </c>
      <c r="K45" s="122">
        <f t="shared" ref="K45:K74" si="14">K9/15</f>
        <v>0</v>
      </c>
      <c r="L45" s="120">
        <f t="shared" ref="L45:L74" si="15">L9/20</f>
        <v>0</v>
      </c>
      <c r="M45" s="122">
        <f t="shared" ref="M45:M74" si="16">M9/15</f>
        <v>0</v>
      </c>
      <c r="N45" s="119">
        <f t="shared" si="4"/>
        <v>0</v>
      </c>
      <c r="O45" s="119">
        <f t="shared" si="4"/>
        <v>0</v>
      </c>
      <c r="P45" s="119">
        <f t="shared" si="4"/>
        <v>0</v>
      </c>
      <c r="Q45" s="127">
        <f t="shared" si="4"/>
        <v>0</v>
      </c>
      <c r="R45" s="120">
        <f t="shared" si="4"/>
        <v>0</v>
      </c>
      <c r="S45" s="122">
        <f t="shared" ref="S45:S74" si="17">S9/15</f>
        <v>0</v>
      </c>
      <c r="T45" s="127">
        <f t="shared" ref="T45" si="18">T9/20</f>
        <v>0</v>
      </c>
      <c r="U45" s="127"/>
      <c r="V45" s="129">
        <v>2</v>
      </c>
    </row>
    <row r="46" spans="1:22" ht="39.950000000000003" customHeight="1" thickBot="1">
      <c r="A46" s="115">
        <f t="shared" ref="A46:A74" si="19">SUM(B46:U46)</f>
        <v>0</v>
      </c>
      <c r="B46" s="120">
        <f t="shared" si="5"/>
        <v>0</v>
      </c>
      <c r="C46" s="41">
        <f t="shared" si="6"/>
        <v>0</v>
      </c>
      <c r="D46" s="121">
        <f t="shared" si="7"/>
        <v>0</v>
      </c>
      <c r="E46" s="120">
        <f t="shared" si="8"/>
        <v>0</v>
      </c>
      <c r="F46" s="41">
        <f t="shared" si="9"/>
        <v>0</v>
      </c>
      <c r="G46" s="122">
        <f t="shared" si="10"/>
        <v>0</v>
      </c>
      <c r="H46" s="120">
        <f t="shared" si="11"/>
        <v>0</v>
      </c>
      <c r="I46" s="122">
        <f t="shared" si="12"/>
        <v>0</v>
      </c>
      <c r="J46" s="120">
        <f t="shared" si="13"/>
        <v>0</v>
      </c>
      <c r="K46" s="122">
        <f t="shared" si="14"/>
        <v>0</v>
      </c>
      <c r="L46" s="120">
        <f t="shared" si="15"/>
        <v>0</v>
      </c>
      <c r="M46" s="122">
        <f t="shared" si="16"/>
        <v>0</v>
      </c>
      <c r="N46" s="119">
        <f t="shared" si="4"/>
        <v>0</v>
      </c>
      <c r="O46" s="119">
        <f t="shared" si="4"/>
        <v>0</v>
      </c>
      <c r="P46" s="119">
        <f t="shared" si="4"/>
        <v>0</v>
      </c>
      <c r="Q46" s="127">
        <f t="shared" si="4"/>
        <v>0</v>
      </c>
      <c r="R46" s="120">
        <f t="shared" si="4"/>
        <v>0</v>
      </c>
      <c r="S46" s="122">
        <f t="shared" si="17"/>
        <v>0</v>
      </c>
      <c r="T46" s="127">
        <f t="shared" ref="T46" si="20">T10/20</f>
        <v>0</v>
      </c>
      <c r="U46" s="127"/>
      <c r="V46" s="129">
        <v>3</v>
      </c>
    </row>
    <row r="47" spans="1:22" ht="39.950000000000003" customHeight="1" thickBot="1">
      <c r="A47" s="115">
        <f t="shared" si="19"/>
        <v>0</v>
      </c>
      <c r="B47" s="120">
        <f t="shared" si="5"/>
        <v>0</v>
      </c>
      <c r="C47" s="41">
        <f t="shared" si="6"/>
        <v>0</v>
      </c>
      <c r="D47" s="121">
        <f t="shared" si="7"/>
        <v>0</v>
      </c>
      <c r="E47" s="120">
        <f t="shared" si="8"/>
        <v>0</v>
      </c>
      <c r="F47" s="41">
        <f t="shared" si="9"/>
        <v>0</v>
      </c>
      <c r="G47" s="122">
        <f t="shared" si="10"/>
        <v>0</v>
      </c>
      <c r="H47" s="120">
        <f t="shared" si="11"/>
        <v>0</v>
      </c>
      <c r="I47" s="122">
        <f t="shared" si="12"/>
        <v>0</v>
      </c>
      <c r="J47" s="120">
        <f t="shared" si="13"/>
        <v>0</v>
      </c>
      <c r="K47" s="122">
        <f t="shared" si="14"/>
        <v>0</v>
      </c>
      <c r="L47" s="120">
        <f t="shared" si="15"/>
        <v>0</v>
      </c>
      <c r="M47" s="122">
        <f t="shared" si="16"/>
        <v>0</v>
      </c>
      <c r="N47" s="119">
        <f t="shared" si="4"/>
        <v>0</v>
      </c>
      <c r="O47" s="119">
        <f t="shared" si="4"/>
        <v>0</v>
      </c>
      <c r="P47" s="119">
        <f t="shared" si="4"/>
        <v>0</v>
      </c>
      <c r="Q47" s="127">
        <f t="shared" si="4"/>
        <v>0</v>
      </c>
      <c r="R47" s="120">
        <f t="shared" si="4"/>
        <v>0</v>
      </c>
      <c r="S47" s="122">
        <f t="shared" si="17"/>
        <v>0</v>
      </c>
      <c r="T47" s="127">
        <f t="shared" ref="T47" si="21">T11/20</f>
        <v>0</v>
      </c>
      <c r="U47" s="127"/>
      <c r="V47" s="129">
        <v>4</v>
      </c>
    </row>
    <row r="48" spans="1:22" ht="39.950000000000003" customHeight="1" thickBot="1">
      <c r="A48" s="115">
        <f t="shared" si="19"/>
        <v>0</v>
      </c>
      <c r="B48" s="120">
        <f t="shared" si="5"/>
        <v>0</v>
      </c>
      <c r="C48" s="41">
        <f t="shared" si="6"/>
        <v>0</v>
      </c>
      <c r="D48" s="121">
        <f t="shared" si="7"/>
        <v>0</v>
      </c>
      <c r="E48" s="120">
        <f t="shared" si="8"/>
        <v>0</v>
      </c>
      <c r="F48" s="41">
        <f t="shared" si="9"/>
        <v>0</v>
      </c>
      <c r="G48" s="122">
        <f t="shared" si="10"/>
        <v>0</v>
      </c>
      <c r="H48" s="120">
        <f t="shared" si="11"/>
        <v>0</v>
      </c>
      <c r="I48" s="122">
        <f t="shared" si="12"/>
        <v>0</v>
      </c>
      <c r="J48" s="120">
        <f t="shared" si="13"/>
        <v>0</v>
      </c>
      <c r="K48" s="122">
        <f t="shared" si="14"/>
        <v>0</v>
      </c>
      <c r="L48" s="120">
        <f t="shared" si="15"/>
        <v>0</v>
      </c>
      <c r="M48" s="122">
        <f t="shared" si="16"/>
        <v>0</v>
      </c>
      <c r="N48" s="119">
        <f t="shared" si="4"/>
        <v>0</v>
      </c>
      <c r="O48" s="119">
        <f t="shared" si="4"/>
        <v>0</v>
      </c>
      <c r="P48" s="119">
        <f t="shared" si="4"/>
        <v>0</v>
      </c>
      <c r="Q48" s="127">
        <f t="shared" si="4"/>
        <v>0</v>
      </c>
      <c r="R48" s="120">
        <f t="shared" si="4"/>
        <v>0</v>
      </c>
      <c r="S48" s="122">
        <f t="shared" si="17"/>
        <v>0</v>
      </c>
      <c r="T48" s="127">
        <f t="shared" ref="T48" si="22">T12/20</f>
        <v>0</v>
      </c>
      <c r="U48" s="127"/>
      <c r="V48" s="129">
        <v>5</v>
      </c>
    </row>
    <row r="49" spans="1:22" ht="39.950000000000003" customHeight="1" thickBot="1">
      <c r="A49" s="115">
        <f t="shared" si="19"/>
        <v>0</v>
      </c>
      <c r="B49" s="120">
        <f t="shared" si="5"/>
        <v>0</v>
      </c>
      <c r="C49" s="41">
        <f t="shared" si="6"/>
        <v>0</v>
      </c>
      <c r="D49" s="121">
        <f t="shared" si="7"/>
        <v>0</v>
      </c>
      <c r="E49" s="120">
        <f t="shared" si="8"/>
        <v>0</v>
      </c>
      <c r="F49" s="41">
        <f t="shared" si="9"/>
        <v>0</v>
      </c>
      <c r="G49" s="122">
        <f t="shared" si="10"/>
        <v>0</v>
      </c>
      <c r="H49" s="120">
        <f t="shared" si="11"/>
        <v>0</v>
      </c>
      <c r="I49" s="122">
        <f t="shared" si="12"/>
        <v>0</v>
      </c>
      <c r="J49" s="120">
        <f t="shared" si="13"/>
        <v>0</v>
      </c>
      <c r="K49" s="122">
        <f t="shared" si="14"/>
        <v>0</v>
      </c>
      <c r="L49" s="120">
        <f t="shared" si="15"/>
        <v>0</v>
      </c>
      <c r="M49" s="122">
        <f t="shared" si="16"/>
        <v>0</v>
      </c>
      <c r="N49" s="119">
        <f t="shared" si="4"/>
        <v>0</v>
      </c>
      <c r="O49" s="119">
        <f t="shared" si="4"/>
        <v>0</v>
      </c>
      <c r="P49" s="119">
        <f t="shared" si="4"/>
        <v>0</v>
      </c>
      <c r="Q49" s="127">
        <f t="shared" si="4"/>
        <v>0</v>
      </c>
      <c r="R49" s="120">
        <f t="shared" si="4"/>
        <v>0</v>
      </c>
      <c r="S49" s="122">
        <f t="shared" si="17"/>
        <v>0</v>
      </c>
      <c r="T49" s="127">
        <f t="shared" ref="T49" si="23">T13/20</f>
        <v>0</v>
      </c>
      <c r="U49" s="127"/>
      <c r="V49" s="129">
        <v>6</v>
      </c>
    </row>
    <row r="50" spans="1:22" ht="39.950000000000003" customHeight="1" thickBot="1">
      <c r="A50" s="115">
        <f t="shared" si="19"/>
        <v>0</v>
      </c>
      <c r="B50" s="120">
        <f t="shared" si="5"/>
        <v>0</v>
      </c>
      <c r="C50" s="41">
        <f t="shared" si="6"/>
        <v>0</v>
      </c>
      <c r="D50" s="121">
        <f t="shared" si="7"/>
        <v>0</v>
      </c>
      <c r="E50" s="120">
        <f t="shared" si="8"/>
        <v>0</v>
      </c>
      <c r="F50" s="41">
        <f t="shared" si="9"/>
        <v>0</v>
      </c>
      <c r="G50" s="122">
        <f t="shared" si="10"/>
        <v>0</v>
      </c>
      <c r="H50" s="120">
        <f t="shared" si="11"/>
        <v>0</v>
      </c>
      <c r="I50" s="122">
        <f t="shared" si="12"/>
        <v>0</v>
      </c>
      <c r="J50" s="120">
        <f t="shared" si="13"/>
        <v>0</v>
      </c>
      <c r="K50" s="122">
        <f t="shared" si="14"/>
        <v>0</v>
      </c>
      <c r="L50" s="120">
        <f t="shared" si="15"/>
        <v>0</v>
      </c>
      <c r="M50" s="122">
        <f t="shared" si="16"/>
        <v>0</v>
      </c>
      <c r="N50" s="119">
        <f t="shared" si="4"/>
        <v>0</v>
      </c>
      <c r="O50" s="119">
        <f t="shared" si="4"/>
        <v>0</v>
      </c>
      <c r="P50" s="119">
        <f t="shared" si="4"/>
        <v>0</v>
      </c>
      <c r="Q50" s="127">
        <f t="shared" si="4"/>
        <v>0</v>
      </c>
      <c r="R50" s="120">
        <f t="shared" si="4"/>
        <v>0</v>
      </c>
      <c r="S50" s="122">
        <f t="shared" si="17"/>
        <v>0</v>
      </c>
      <c r="T50" s="127">
        <f t="shared" ref="T50" si="24">T14/20</f>
        <v>0</v>
      </c>
      <c r="U50" s="127"/>
      <c r="V50" s="129">
        <v>7</v>
      </c>
    </row>
    <row r="51" spans="1:22" ht="39.950000000000003" customHeight="1" thickBot="1">
      <c r="A51" s="115">
        <f t="shared" si="19"/>
        <v>0</v>
      </c>
      <c r="B51" s="120">
        <f t="shared" si="5"/>
        <v>0</v>
      </c>
      <c r="C51" s="41">
        <f t="shared" si="6"/>
        <v>0</v>
      </c>
      <c r="D51" s="121">
        <f t="shared" si="7"/>
        <v>0</v>
      </c>
      <c r="E51" s="120">
        <f t="shared" si="8"/>
        <v>0</v>
      </c>
      <c r="F51" s="41">
        <f t="shared" si="9"/>
        <v>0</v>
      </c>
      <c r="G51" s="122">
        <f t="shared" si="10"/>
        <v>0</v>
      </c>
      <c r="H51" s="120">
        <f t="shared" si="11"/>
        <v>0</v>
      </c>
      <c r="I51" s="122">
        <f t="shared" si="12"/>
        <v>0</v>
      </c>
      <c r="J51" s="120">
        <f t="shared" si="13"/>
        <v>0</v>
      </c>
      <c r="K51" s="122">
        <f t="shared" si="14"/>
        <v>0</v>
      </c>
      <c r="L51" s="120">
        <f t="shared" si="15"/>
        <v>0</v>
      </c>
      <c r="M51" s="122">
        <f t="shared" si="16"/>
        <v>0</v>
      </c>
      <c r="N51" s="119">
        <f t="shared" si="4"/>
        <v>0</v>
      </c>
      <c r="O51" s="119">
        <f t="shared" si="4"/>
        <v>0</v>
      </c>
      <c r="P51" s="119">
        <f t="shared" si="4"/>
        <v>0</v>
      </c>
      <c r="Q51" s="127">
        <f t="shared" si="4"/>
        <v>0</v>
      </c>
      <c r="R51" s="120">
        <f t="shared" si="4"/>
        <v>0</v>
      </c>
      <c r="S51" s="122">
        <f t="shared" si="17"/>
        <v>0</v>
      </c>
      <c r="T51" s="127">
        <f t="shared" ref="T51" si="25">T15/20</f>
        <v>0</v>
      </c>
      <c r="U51" s="127"/>
      <c r="V51" s="129">
        <v>8</v>
      </c>
    </row>
    <row r="52" spans="1:22" ht="39.950000000000003" customHeight="1" thickBot="1">
      <c r="A52" s="115">
        <f t="shared" si="19"/>
        <v>0</v>
      </c>
      <c r="B52" s="120">
        <f t="shared" si="5"/>
        <v>0</v>
      </c>
      <c r="C52" s="41">
        <f t="shared" si="6"/>
        <v>0</v>
      </c>
      <c r="D52" s="121">
        <f t="shared" si="7"/>
        <v>0</v>
      </c>
      <c r="E52" s="120">
        <f t="shared" si="8"/>
        <v>0</v>
      </c>
      <c r="F52" s="41">
        <f t="shared" si="9"/>
        <v>0</v>
      </c>
      <c r="G52" s="122">
        <f t="shared" si="10"/>
        <v>0</v>
      </c>
      <c r="H52" s="120">
        <f t="shared" si="11"/>
        <v>0</v>
      </c>
      <c r="I52" s="122">
        <f t="shared" si="12"/>
        <v>0</v>
      </c>
      <c r="J52" s="120">
        <f t="shared" si="13"/>
        <v>0</v>
      </c>
      <c r="K52" s="122">
        <f t="shared" si="14"/>
        <v>0</v>
      </c>
      <c r="L52" s="120">
        <f t="shared" si="15"/>
        <v>0</v>
      </c>
      <c r="M52" s="122">
        <f t="shared" si="16"/>
        <v>0</v>
      </c>
      <c r="N52" s="119">
        <f t="shared" si="4"/>
        <v>0</v>
      </c>
      <c r="O52" s="119">
        <f t="shared" si="4"/>
        <v>0</v>
      </c>
      <c r="P52" s="119">
        <f t="shared" si="4"/>
        <v>0</v>
      </c>
      <c r="Q52" s="127">
        <f t="shared" si="4"/>
        <v>0</v>
      </c>
      <c r="R52" s="120">
        <f t="shared" si="4"/>
        <v>0</v>
      </c>
      <c r="S52" s="122">
        <f t="shared" si="17"/>
        <v>0</v>
      </c>
      <c r="T52" s="127">
        <f t="shared" ref="T52" si="26">T16/20</f>
        <v>0</v>
      </c>
      <c r="U52" s="127"/>
      <c r="V52" s="129">
        <v>9</v>
      </c>
    </row>
    <row r="53" spans="1:22" ht="39.950000000000003" customHeight="1" thickBot="1">
      <c r="A53" s="115">
        <f t="shared" si="19"/>
        <v>0</v>
      </c>
      <c r="B53" s="120">
        <f t="shared" si="5"/>
        <v>0</v>
      </c>
      <c r="C53" s="41">
        <f t="shared" si="6"/>
        <v>0</v>
      </c>
      <c r="D53" s="121">
        <f t="shared" si="7"/>
        <v>0</v>
      </c>
      <c r="E53" s="120">
        <f t="shared" si="8"/>
        <v>0</v>
      </c>
      <c r="F53" s="41">
        <f t="shared" si="9"/>
        <v>0</v>
      </c>
      <c r="G53" s="122">
        <f t="shared" si="10"/>
        <v>0</v>
      </c>
      <c r="H53" s="120">
        <f t="shared" si="11"/>
        <v>0</v>
      </c>
      <c r="I53" s="122">
        <f t="shared" si="12"/>
        <v>0</v>
      </c>
      <c r="J53" s="120">
        <f t="shared" si="13"/>
        <v>0</v>
      </c>
      <c r="K53" s="122">
        <f t="shared" si="14"/>
        <v>0</v>
      </c>
      <c r="L53" s="120">
        <f t="shared" si="15"/>
        <v>0</v>
      </c>
      <c r="M53" s="122">
        <f t="shared" si="16"/>
        <v>0</v>
      </c>
      <c r="N53" s="119">
        <f t="shared" si="4"/>
        <v>0</v>
      </c>
      <c r="O53" s="119">
        <f t="shared" si="4"/>
        <v>0</v>
      </c>
      <c r="P53" s="119">
        <f t="shared" si="4"/>
        <v>0</v>
      </c>
      <c r="Q53" s="127">
        <f t="shared" si="4"/>
        <v>0</v>
      </c>
      <c r="R53" s="120">
        <f t="shared" si="4"/>
        <v>0</v>
      </c>
      <c r="S53" s="122">
        <f t="shared" si="17"/>
        <v>0</v>
      </c>
      <c r="T53" s="127">
        <f t="shared" ref="T53" si="27">T17/20</f>
        <v>0</v>
      </c>
      <c r="U53" s="127"/>
      <c r="V53" s="129">
        <v>10</v>
      </c>
    </row>
    <row r="54" spans="1:22" ht="39.950000000000003" customHeight="1" thickBot="1">
      <c r="A54" s="115">
        <f t="shared" si="19"/>
        <v>0</v>
      </c>
      <c r="B54" s="120">
        <f t="shared" si="5"/>
        <v>0</v>
      </c>
      <c r="C54" s="41">
        <f t="shared" si="6"/>
        <v>0</v>
      </c>
      <c r="D54" s="121">
        <f t="shared" si="7"/>
        <v>0</v>
      </c>
      <c r="E54" s="120">
        <f t="shared" si="8"/>
        <v>0</v>
      </c>
      <c r="F54" s="41">
        <f t="shared" si="9"/>
        <v>0</v>
      </c>
      <c r="G54" s="122">
        <f t="shared" si="10"/>
        <v>0</v>
      </c>
      <c r="H54" s="120">
        <f t="shared" si="11"/>
        <v>0</v>
      </c>
      <c r="I54" s="122">
        <f t="shared" si="12"/>
        <v>0</v>
      </c>
      <c r="J54" s="120">
        <f t="shared" si="13"/>
        <v>0</v>
      </c>
      <c r="K54" s="122">
        <f t="shared" si="14"/>
        <v>0</v>
      </c>
      <c r="L54" s="120">
        <f t="shared" si="15"/>
        <v>0</v>
      </c>
      <c r="M54" s="122">
        <f t="shared" si="16"/>
        <v>0</v>
      </c>
      <c r="N54" s="119">
        <f t="shared" si="4"/>
        <v>0</v>
      </c>
      <c r="O54" s="119">
        <f t="shared" si="4"/>
        <v>0</v>
      </c>
      <c r="P54" s="119">
        <f t="shared" si="4"/>
        <v>0</v>
      </c>
      <c r="Q54" s="127">
        <f t="shared" si="4"/>
        <v>0</v>
      </c>
      <c r="R54" s="120">
        <f t="shared" si="4"/>
        <v>0</v>
      </c>
      <c r="S54" s="122">
        <f t="shared" si="17"/>
        <v>0</v>
      </c>
      <c r="T54" s="127">
        <f t="shared" ref="T54" si="28">T18/20</f>
        <v>0</v>
      </c>
      <c r="U54" s="127"/>
      <c r="V54" s="129">
        <v>11</v>
      </c>
    </row>
    <row r="55" spans="1:22" ht="39.950000000000003" customHeight="1" thickBot="1">
      <c r="A55" s="115">
        <f t="shared" si="19"/>
        <v>0</v>
      </c>
      <c r="B55" s="120">
        <f t="shared" si="5"/>
        <v>0</v>
      </c>
      <c r="C55" s="41">
        <f t="shared" si="6"/>
        <v>0</v>
      </c>
      <c r="D55" s="121">
        <f t="shared" si="7"/>
        <v>0</v>
      </c>
      <c r="E55" s="120">
        <f t="shared" si="8"/>
        <v>0</v>
      </c>
      <c r="F55" s="41">
        <f t="shared" si="9"/>
        <v>0</v>
      </c>
      <c r="G55" s="122">
        <f t="shared" si="10"/>
        <v>0</v>
      </c>
      <c r="H55" s="120">
        <f t="shared" si="11"/>
        <v>0</v>
      </c>
      <c r="I55" s="122">
        <f t="shared" si="12"/>
        <v>0</v>
      </c>
      <c r="J55" s="120">
        <f t="shared" si="13"/>
        <v>0</v>
      </c>
      <c r="K55" s="122">
        <f t="shared" si="14"/>
        <v>0</v>
      </c>
      <c r="L55" s="120">
        <f t="shared" si="15"/>
        <v>0</v>
      </c>
      <c r="M55" s="122">
        <f t="shared" si="16"/>
        <v>0</v>
      </c>
      <c r="N55" s="119">
        <f t="shared" si="4"/>
        <v>0</v>
      </c>
      <c r="O55" s="119">
        <f t="shared" si="4"/>
        <v>0</v>
      </c>
      <c r="P55" s="119">
        <f t="shared" si="4"/>
        <v>0</v>
      </c>
      <c r="Q55" s="127">
        <f t="shared" si="4"/>
        <v>0</v>
      </c>
      <c r="R55" s="120">
        <f t="shared" si="4"/>
        <v>0</v>
      </c>
      <c r="S55" s="122">
        <f t="shared" si="17"/>
        <v>0</v>
      </c>
      <c r="T55" s="127">
        <f t="shared" ref="T55" si="29">T19/20</f>
        <v>0</v>
      </c>
      <c r="U55" s="127"/>
      <c r="V55" s="129">
        <v>12</v>
      </c>
    </row>
    <row r="56" spans="1:22" ht="39.950000000000003" customHeight="1" thickBot="1">
      <c r="A56" s="115">
        <f t="shared" si="19"/>
        <v>0</v>
      </c>
      <c r="B56" s="120">
        <f t="shared" si="5"/>
        <v>0</v>
      </c>
      <c r="C56" s="41">
        <f t="shared" si="6"/>
        <v>0</v>
      </c>
      <c r="D56" s="121">
        <f t="shared" si="7"/>
        <v>0</v>
      </c>
      <c r="E56" s="120">
        <f t="shared" si="8"/>
        <v>0</v>
      </c>
      <c r="F56" s="41">
        <f t="shared" si="9"/>
        <v>0</v>
      </c>
      <c r="G56" s="122">
        <f t="shared" si="10"/>
        <v>0</v>
      </c>
      <c r="H56" s="120">
        <f t="shared" si="11"/>
        <v>0</v>
      </c>
      <c r="I56" s="122">
        <f t="shared" si="12"/>
        <v>0</v>
      </c>
      <c r="J56" s="120">
        <f t="shared" si="13"/>
        <v>0</v>
      </c>
      <c r="K56" s="122">
        <f t="shared" si="14"/>
        <v>0</v>
      </c>
      <c r="L56" s="120">
        <f t="shared" si="15"/>
        <v>0</v>
      </c>
      <c r="M56" s="122">
        <f t="shared" si="16"/>
        <v>0</v>
      </c>
      <c r="N56" s="119">
        <f t="shared" si="4"/>
        <v>0</v>
      </c>
      <c r="O56" s="119">
        <f t="shared" si="4"/>
        <v>0</v>
      </c>
      <c r="P56" s="119">
        <f t="shared" si="4"/>
        <v>0</v>
      </c>
      <c r="Q56" s="127">
        <f t="shared" si="4"/>
        <v>0</v>
      </c>
      <c r="R56" s="120">
        <f t="shared" si="4"/>
        <v>0</v>
      </c>
      <c r="S56" s="122">
        <f t="shared" si="17"/>
        <v>0</v>
      </c>
      <c r="T56" s="127">
        <f t="shared" ref="T56" si="30">T20/20</f>
        <v>0</v>
      </c>
      <c r="U56" s="127"/>
      <c r="V56" s="129">
        <v>13</v>
      </c>
    </row>
    <row r="57" spans="1:22" ht="39.950000000000003" customHeight="1" thickBot="1">
      <c r="A57" s="115">
        <f t="shared" si="19"/>
        <v>0</v>
      </c>
      <c r="B57" s="120">
        <f t="shared" si="5"/>
        <v>0</v>
      </c>
      <c r="C57" s="41">
        <f t="shared" si="6"/>
        <v>0</v>
      </c>
      <c r="D57" s="121">
        <f t="shared" si="7"/>
        <v>0</v>
      </c>
      <c r="E57" s="120">
        <f t="shared" si="8"/>
        <v>0</v>
      </c>
      <c r="F57" s="41">
        <f t="shared" si="9"/>
        <v>0</v>
      </c>
      <c r="G57" s="122">
        <f t="shared" si="10"/>
        <v>0</v>
      </c>
      <c r="H57" s="120">
        <f t="shared" si="11"/>
        <v>0</v>
      </c>
      <c r="I57" s="122">
        <f t="shared" si="12"/>
        <v>0</v>
      </c>
      <c r="J57" s="120">
        <f t="shared" si="13"/>
        <v>0</v>
      </c>
      <c r="K57" s="122">
        <f t="shared" si="14"/>
        <v>0</v>
      </c>
      <c r="L57" s="120">
        <f t="shared" si="15"/>
        <v>0</v>
      </c>
      <c r="M57" s="122">
        <f t="shared" si="16"/>
        <v>0</v>
      </c>
      <c r="N57" s="119">
        <f t="shared" si="4"/>
        <v>0</v>
      </c>
      <c r="O57" s="119">
        <f t="shared" si="4"/>
        <v>0</v>
      </c>
      <c r="P57" s="119">
        <f t="shared" si="4"/>
        <v>0</v>
      </c>
      <c r="Q57" s="127">
        <f t="shared" si="4"/>
        <v>0</v>
      </c>
      <c r="R57" s="120">
        <f t="shared" si="4"/>
        <v>0</v>
      </c>
      <c r="S57" s="122">
        <f t="shared" si="17"/>
        <v>0</v>
      </c>
      <c r="T57" s="127">
        <f t="shared" ref="T57" si="31">T21/20</f>
        <v>0</v>
      </c>
      <c r="U57" s="127"/>
      <c r="V57" s="129">
        <v>14</v>
      </c>
    </row>
    <row r="58" spans="1:22" ht="39.950000000000003" customHeight="1" thickBot="1">
      <c r="A58" s="115">
        <f t="shared" si="19"/>
        <v>0</v>
      </c>
      <c r="B58" s="120">
        <f t="shared" si="5"/>
        <v>0</v>
      </c>
      <c r="C58" s="41">
        <f t="shared" si="6"/>
        <v>0</v>
      </c>
      <c r="D58" s="121">
        <f t="shared" si="7"/>
        <v>0</v>
      </c>
      <c r="E58" s="120">
        <f t="shared" si="8"/>
        <v>0</v>
      </c>
      <c r="F58" s="41">
        <f t="shared" si="9"/>
        <v>0</v>
      </c>
      <c r="G58" s="122">
        <f t="shared" si="10"/>
        <v>0</v>
      </c>
      <c r="H58" s="120">
        <f t="shared" si="11"/>
        <v>0</v>
      </c>
      <c r="I58" s="122">
        <f t="shared" si="12"/>
        <v>0</v>
      </c>
      <c r="J58" s="120">
        <f t="shared" si="13"/>
        <v>0</v>
      </c>
      <c r="K58" s="122">
        <f t="shared" si="14"/>
        <v>0</v>
      </c>
      <c r="L58" s="120">
        <f t="shared" si="15"/>
        <v>0</v>
      </c>
      <c r="M58" s="122">
        <f t="shared" si="16"/>
        <v>0</v>
      </c>
      <c r="N58" s="119">
        <f t="shared" si="4"/>
        <v>0</v>
      </c>
      <c r="O58" s="119">
        <f t="shared" si="4"/>
        <v>0</v>
      </c>
      <c r="P58" s="119">
        <f t="shared" si="4"/>
        <v>0</v>
      </c>
      <c r="Q58" s="127">
        <f t="shared" si="4"/>
        <v>0</v>
      </c>
      <c r="R58" s="120">
        <f t="shared" si="4"/>
        <v>0</v>
      </c>
      <c r="S58" s="122">
        <f t="shared" si="17"/>
        <v>0</v>
      </c>
      <c r="T58" s="127">
        <f t="shared" ref="T58" si="32">T22/20</f>
        <v>0</v>
      </c>
      <c r="U58" s="127"/>
      <c r="V58" s="129">
        <v>15</v>
      </c>
    </row>
    <row r="59" spans="1:22" ht="39.950000000000003" customHeight="1" thickBot="1">
      <c r="A59" s="115">
        <f t="shared" si="19"/>
        <v>0</v>
      </c>
      <c r="B59" s="120">
        <f t="shared" si="5"/>
        <v>0</v>
      </c>
      <c r="C59" s="41">
        <f t="shared" si="6"/>
        <v>0</v>
      </c>
      <c r="D59" s="121">
        <f t="shared" si="7"/>
        <v>0</v>
      </c>
      <c r="E59" s="120">
        <f t="shared" si="8"/>
        <v>0</v>
      </c>
      <c r="F59" s="41">
        <f t="shared" si="9"/>
        <v>0</v>
      </c>
      <c r="G59" s="122">
        <f t="shared" si="10"/>
        <v>0</v>
      </c>
      <c r="H59" s="120">
        <f t="shared" si="11"/>
        <v>0</v>
      </c>
      <c r="I59" s="122">
        <f t="shared" si="12"/>
        <v>0</v>
      </c>
      <c r="J59" s="120">
        <f t="shared" si="13"/>
        <v>0</v>
      </c>
      <c r="K59" s="122">
        <f t="shared" si="14"/>
        <v>0</v>
      </c>
      <c r="L59" s="120">
        <f t="shared" si="15"/>
        <v>0</v>
      </c>
      <c r="M59" s="122">
        <f t="shared" si="16"/>
        <v>0</v>
      </c>
      <c r="N59" s="119">
        <f t="shared" si="4"/>
        <v>0</v>
      </c>
      <c r="O59" s="119">
        <f t="shared" si="4"/>
        <v>0</v>
      </c>
      <c r="P59" s="119">
        <f t="shared" si="4"/>
        <v>0</v>
      </c>
      <c r="Q59" s="127">
        <f t="shared" si="4"/>
        <v>0</v>
      </c>
      <c r="R59" s="120">
        <f t="shared" si="4"/>
        <v>0</v>
      </c>
      <c r="S59" s="122">
        <f t="shared" si="17"/>
        <v>0</v>
      </c>
      <c r="T59" s="127">
        <f t="shared" ref="T59" si="33">T23/20</f>
        <v>0</v>
      </c>
      <c r="U59" s="127"/>
      <c r="V59" s="129">
        <v>16</v>
      </c>
    </row>
    <row r="60" spans="1:22" ht="39.950000000000003" customHeight="1" thickBot="1">
      <c r="A60" s="115">
        <f t="shared" si="19"/>
        <v>0</v>
      </c>
      <c r="B60" s="120">
        <f t="shared" si="5"/>
        <v>0</v>
      </c>
      <c r="C60" s="41">
        <f t="shared" si="6"/>
        <v>0</v>
      </c>
      <c r="D60" s="121">
        <f t="shared" si="7"/>
        <v>0</v>
      </c>
      <c r="E60" s="120">
        <f t="shared" si="8"/>
        <v>0</v>
      </c>
      <c r="F60" s="41">
        <f t="shared" si="9"/>
        <v>0</v>
      </c>
      <c r="G60" s="122">
        <f t="shared" si="10"/>
        <v>0</v>
      </c>
      <c r="H60" s="120">
        <f t="shared" si="11"/>
        <v>0</v>
      </c>
      <c r="I60" s="122">
        <f t="shared" si="12"/>
        <v>0</v>
      </c>
      <c r="J60" s="120">
        <f t="shared" si="13"/>
        <v>0</v>
      </c>
      <c r="K60" s="122">
        <f t="shared" si="14"/>
        <v>0</v>
      </c>
      <c r="L60" s="120">
        <f t="shared" si="15"/>
        <v>0</v>
      </c>
      <c r="M60" s="122">
        <f t="shared" si="16"/>
        <v>0</v>
      </c>
      <c r="N60" s="119">
        <f t="shared" ref="N60:R74" si="34">N24/20</f>
        <v>0</v>
      </c>
      <c r="O60" s="119">
        <f t="shared" si="34"/>
        <v>0</v>
      </c>
      <c r="P60" s="119">
        <f t="shared" si="34"/>
        <v>0</v>
      </c>
      <c r="Q60" s="127">
        <f t="shared" si="34"/>
        <v>0</v>
      </c>
      <c r="R60" s="120">
        <f t="shared" si="34"/>
        <v>0</v>
      </c>
      <c r="S60" s="122">
        <f t="shared" si="17"/>
        <v>0</v>
      </c>
      <c r="T60" s="127">
        <f t="shared" ref="T60" si="35">T24/20</f>
        <v>0</v>
      </c>
      <c r="U60" s="127"/>
      <c r="V60" s="129">
        <v>17</v>
      </c>
    </row>
    <row r="61" spans="1:22" ht="39.950000000000003" customHeight="1" thickBot="1">
      <c r="A61" s="115">
        <f t="shared" si="19"/>
        <v>0</v>
      </c>
      <c r="B61" s="120">
        <f t="shared" si="5"/>
        <v>0</v>
      </c>
      <c r="C61" s="41">
        <f t="shared" si="6"/>
        <v>0</v>
      </c>
      <c r="D61" s="121">
        <f t="shared" si="7"/>
        <v>0</v>
      </c>
      <c r="E61" s="120">
        <f t="shared" si="8"/>
        <v>0</v>
      </c>
      <c r="F61" s="41">
        <f t="shared" si="9"/>
        <v>0</v>
      </c>
      <c r="G61" s="122">
        <f t="shared" si="10"/>
        <v>0</v>
      </c>
      <c r="H61" s="120">
        <f t="shared" si="11"/>
        <v>0</v>
      </c>
      <c r="I61" s="122">
        <f t="shared" si="12"/>
        <v>0</v>
      </c>
      <c r="J61" s="120">
        <f t="shared" si="13"/>
        <v>0</v>
      </c>
      <c r="K61" s="122">
        <f t="shared" si="14"/>
        <v>0</v>
      </c>
      <c r="L61" s="120">
        <f t="shared" si="15"/>
        <v>0</v>
      </c>
      <c r="M61" s="122">
        <f t="shared" si="16"/>
        <v>0</v>
      </c>
      <c r="N61" s="119">
        <f t="shared" si="34"/>
        <v>0</v>
      </c>
      <c r="O61" s="119">
        <f t="shared" si="34"/>
        <v>0</v>
      </c>
      <c r="P61" s="119">
        <f t="shared" si="34"/>
        <v>0</v>
      </c>
      <c r="Q61" s="127">
        <f t="shared" si="34"/>
        <v>0</v>
      </c>
      <c r="R61" s="120">
        <f t="shared" si="34"/>
        <v>0</v>
      </c>
      <c r="S61" s="122">
        <f t="shared" si="17"/>
        <v>0</v>
      </c>
      <c r="T61" s="127">
        <f t="shared" ref="T61" si="36">T25/20</f>
        <v>0</v>
      </c>
      <c r="U61" s="127"/>
      <c r="V61" s="129">
        <v>18</v>
      </c>
    </row>
    <row r="62" spans="1:22" ht="39.950000000000003" customHeight="1" thickBot="1">
      <c r="A62" s="115">
        <f t="shared" si="19"/>
        <v>0</v>
      </c>
      <c r="B62" s="120">
        <f t="shared" si="5"/>
        <v>0</v>
      </c>
      <c r="C62" s="41">
        <f t="shared" si="6"/>
        <v>0</v>
      </c>
      <c r="D62" s="121">
        <f t="shared" si="7"/>
        <v>0</v>
      </c>
      <c r="E62" s="120">
        <f t="shared" si="8"/>
        <v>0</v>
      </c>
      <c r="F62" s="41">
        <f t="shared" si="9"/>
        <v>0</v>
      </c>
      <c r="G62" s="122">
        <f t="shared" si="10"/>
        <v>0</v>
      </c>
      <c r="H62" s="120">
        <f t="shared" si="11"/>
        <v>0</v>
      </c>
      <c r="I62" s="122">
        <f t="shared" si="12"/>
        <v>0</v>
      </c>
      <c r="J62" s="120">
        <f t="shared" si="13"/>
        <v>0</v>
      </c>
      <c r="K62" s="122">
        <f t="shared" si="14"/>
        <v>0</v>
      </c>
      <c r="L62" s="120">
        <f t="shared" si="15"/>
        <v>0</v>
      </c>
      <c r="M62" s="122">
        <f t="shared" si="16"/>
        <v>0</v>
      </c>
      <c r="N62" s="119">
        <f t="shared" si="34"/>
        <v>0</v>
      </c>
      <c r="O62" s="119">
        <f t="shared" si="34"/>
        <v>0</v>
      </c>
      <c r="P62" s="119">
        <f t="shared" si="34"/>
        <v>0</v>
      </c>
      <c r="Q62" s="127">
        <f t="shared" si="34"/>
        <v>0</v>
      </c>
      <c r="R62" s="120">
        <f t="shared" si="34"/>
        <v>0</v>
      </c>
      <c r="S62" s="122">
        <f t="shared" si="17"/>
        <v>0</v>
      </c>
      <c r="T62" s="127">
        <f t="shared" ref="T62" si="37">T26/20</f>
        <v>0</v>
      </c>
      <c r="U62" s="127"/>
      <c r="V62" s="129">
        <v>19</v>
      </c>
    </row>
    <row r="63" spans="1:22" ht="39.950000000000003" customHeight="1" thickBot="1">
      <c r="A63" s="115">
        <f t="shared" si="19"/>
        <v>0</v>
      </c>
      <c r="B63" s="120">
        <f t="shared" si="5"/>
        <v>0</v>
      </c>
      <c r="C63" s="41">
        <f t="shared" si="6"/>
        <v>0</v>
      </c>
      <c r="D63" s="121">
        <f t="shared" si="7"/>
        <v>0</v>
      </c>
      <c r="E63" s="120">
        <f t="shared" si="8"/>
        <v>0</v>
      </c>
      <c r="F63" s="41">
        <f t="shared" si="9"/>
        <v>0</v>
      </c>
      <c r="G63" s="122">
        <f t="shared" si="10"/>
        <v>0</v>
      </c>
      <c r="H63" s="120">
        <f t="shared" si="11"/>
        <v>0</v>
      </c>
      <c r="I63" s="122">
        <f t="shared" si="12"/>
        <v>0</v>
      </c>
      <c r="J63" s="120">
        <f t="shared" si="13"/>
        <v>0</v>
      </c>
      <c r="K63" s="122">
        <f t="shared" si="14"/>
        <v>0</v>
      </c>
      <c r="L63" s="120">
        <f t="shared" si="15"/>
        <v>0</v>
      </c>
      <c r="M63" s="122">
        <f t="shared" si="16"/>
        <v>0</v>
      </c>
      <c r="N63" s="119">
        <f t="shared" si="34"/>
        <v>0</v>
      </c>
      <c r="O63" s="119">
        <f t="shared" si="34"/>
        <v>0</v>
      </c>
      <c r="P63" s="119">
        <f t="shared" si="34"/>
        <v>0</v>
      </c>
      <c r="Q63" s="127">
        <f t="shared" si="34"/>
        <v>0</v>
      </c>
      <c r="R63" s="120">
        <f t="shared" si="34"/>
        <v>0</v>
      </c>
      <c r="S63" s="122">
        <f t="shared" si="17"/>
        <v>0</v>
      </c>
      <c r="T63" s="127">
        <f t="shared" ref="T63" si="38">T27/20</f>
        <v>0</v>
      </c>
      <c r="U63" s="127"/>
      <c r="V63" s="129">
        <v>20</v>
      </c>
    </row>
    <row r="64" spans="1:22" ht="39.950000000000003" customHeight="1" thickBot="1">
      <c r="A64" s="115">
        <f t="shared" si="19"/>
        <v>0</v>
      </c>
      <c r="B64" s="120">
        <f t="shared" si="5"/>
        <v>0</v>
      </c>
      <c r="C64" s="41">
        <f t="shared" si="6"/>
        <v>0</v>
      </c>
      <c r="D64" s="121">
        <f t="shared" si="7"/>
        <v>0</v>
      </c>
      <c r="E64" s="120">
        <f t="shared" si="8"/>
        <v>0</v>
      </c>
      <c r="F64" s="41">
        <f t="shared" si="9"/>
        <v>0</v>
      </c>
      <c r="G64" s="122">
        <f t="shared" si="10"/>
        <v>0</v>
      </c>
      <c r="H64" s="120">
        <f t="shared" si="11"/>
        <v>0</v>
      </c>
      <c r="I64" s="122">
        <f t="shared" si="12"/>
        <v>0</v>
      </c>
      <c r="J64" s="120">
        <f t="shared" si="13"/>
        <v>0</v>
      </c>
      <c r="K64" s="122">
        <f t="shared" si="14"/>
        <v>0</v>
      </c>
      <c r="L64" s="120">
        <f t="shared" si="15"/>
        <v>0</v>
      </c>
      <c r="M64" s="122">
        <f t="shared" si="16"/>
        <v>0</v>
      </c>
      <c r="N64" s="119">
        <f t="shared" si="34"/>
        <v>0</v>
      </c>
      <c r="O64" s="119">
        <f t="shared" si="34"/>
        <v>0</v>
      </c>
      <c r="P64" s="119">
        <f t="shared" si="34"/>
        <v>0</v>
      </c>
      <c r="Q64" s="127">
        <f t="shared" si="34"/>
        <v>0</v>
      </c>
      <c r="R64" s="120">
        <f t="shared" si="34"/>
        <v>0</v>
      </c>
      <c r="S64" s="122">
        <f t="shared" si="17"/>
        <v>0</v>
      </c>
      <c r="T64" s="127">
        <f t="shared" ref="T64" si="39">T28/20</f>
        <v>0</v>
      </c>
      <c r="U64" s="127"/>
      <c r="V64" s="129">
        <v>21</v>
      </c>
    </row>
    <row r="65" spans="1:22" ht="39.950000000000003" customHeight="1" thickBot="1">
      <c r="A65" s="115">
        <f t="shared" si="19"/>
        <v>0</v>
      </c>
      <c r="B65" s="120">
        <f t="shared" si="5"/>
        <v>0</v>
      </c>
      <c r="C65" s="41">
        <f t="shared" si="6"/>
        <v>0</v>
      </c>
      <c r="D65" s="121">
        <f t="shared" si="7"/>
        <v>0</v>
      </c>
      <c r="E65" s="120">
        <f t="shared" si="8"/>
        <v>0</v>
      </c>
      <c r="F65" s="41">
        <f t="shared" si="9"/>
        <v>0</v>
      </c>
      <c r="G65" s="122">
        <f t="shared" si="10"/>
        <v>0</v>
      </c>
      <c r="H65" s="120">
        <f t="shared" si="11"/>
        <v>0</v>
      </c>
      <c r="I65" s="122">
        <f t="shared" si="12"/>
        <v>0</v>
      </c>
      <c r="J65" s="120">
        <f t="shared" si="13"/>
        <v>0</v>
      </c>
      <c r="K65" s="122">
        <f t="shared" si="14"/>
        <v>0</v>
      </c>
      <c r="L65" s="120">
        <f t="shared" si="15"/>
        <v>0</v>
      </c>
      <c r="M65" s="122">
        <f t="shared" si="16"/>
        <v>0</v>
      </c>
      <c r="N65" s="119">
        <f t="shared" si="34"/>
        <v>0</v>
      </c>
      <c r="O65" s="119">
        <f t="shared" si="34"/>
        <v>0</v>
      </c>
      <c r="P65" s="119">
        <f t="shared" si="34"/>
        <v>0</v>
      </c>
      <c r="Q65" s="127">
        <f t="shared" si="34"/>
        <v>0</v>
      </c>
      <c r="R65" s="120">
        <f t="shared" si="34"/>
        <v>0</v>
      </c>
      <c r="S65" s="122">
        <f t="shared" si="17"/>
        <v>0</v>
      </c>
      <c r="T65" s="127">
        <f t="shared" ref="T65" si="40">T29/20</f>
        <v>0</v>
      </c>
      <c r="U65" s="127"/>
      <c r="V65" s="129">
        <v>22</v>
      </c>
    </row>
    <row r="66" spans="1:22" ht="39.950000000000003" customHeight="1" thickBot="1">
      <c r="A66" s="115">
        <f t="shared" si="19"/>
        <v>0</v>
      </c>
      <c r="B66" s="120">
        <f t="shared" si="5"/>
        <v>0</v>
      </c>
      <c r="C66" s="41">
        <f t="shared" si="6"/>
        <v>0</v>
      </c>
      <c r="D66" s="121">
        <f t="shared" si="7"/>
        <v>0</v>
      </c>
      <c r="E66" s="120">
        <f t="shared" si="8"/>
        <v>0</v>
      </c>
      <c r="F66" s="41">
        <f t="shared" si="9"/>
        <v>0</v>
      </c>
      <c r="G66" s="122">
        <f t="shared" si="10"/>
        <v>0</v>
      </c>
      <c r="H66" s="120">
        <f t="shared" si="11"/>
        <v>0</v>
      </c>
      <c r="I66" s="122">
        <f t="shared" si="12"/>
        <v>0</v>
      </c>
      <c r="J66" s="120">
        <f t="shared" si="13"/>
        <v>0</v>
      </c>
      <c r="K66" s="122">
        <f t="shared" si="14"/>
        <v>0</v>
      </c>
      <c r="L66" s="120">
        <f t="shared" si="15"/>
        <v>0</v>
      </c>
      <c r="M66" s="122">
        <f t="shared" si="16"/>
        <v>0</v>
      </c>
      <c r="N66" s="119">
        <f t="shared" si="34"/>
        <v>0</v>
      </c>
      <c r="O66" s="119">
        <f t="shared" si="34"/>
        <v>0</v>
      </c>
      <c r="P66" s="119">
        <f t="shared" si="34"/>
        <v>0</v>
      </c>
      <c r="Q66" s="127">
        <f t="shared" si="34"/>
        <v>0</v>
      </c>
      <c r="R66" s="120">
        <f t="shared" si="34"/>
        <v>0</v>
      </c>
      <c r="S66" s="122">
        <f t="shared" si="17"/>
        <v>0</v>
      </c>
      <c r="T66" s="127">
        <f t="shared" ref="T66" si="41">T30/20</f>
        <v>0</v>
      </c>
      <c r="U66" s="127"/>
      <c r="V66" s="129">
        <v>23</v>
      </c>
    </row>
    <row r="67" spans="1:22" ht="39.950000000000003" customHeight="1" thickBot="1">
      <c r="A67" s="115">
        <f t="shared" si="19"/>
        <v>0</v>
      </c>
      <c r="B67" s="120">
        <f t="shared" si="5"/>
        <v>0</v>
      </c>
      <c r="C67" s="41">
        <f t="shared" si="6"/>
        <v>0</v>
      </c>
      <c r="D67" s="121">
        <f t="shared" si="7"/>
        <v>0</v>
      </c>
      <c r="E67" s="120">
        <f t="shared" si="8"/>
        <v>0</v>
      </c>
      <c r="F67" s="41">
        <f t="shared" si="9"/>
        <v>0</v>
      </c>
      <c r="G67" s="122">
        <f t="shared" si="10"/>
        <v>0</v>
      </c>
      <c r="H67" s="120">
        <f t="shared" si="11"/>
        <v>0</v>
      </c>
      <c r="I67" s="122">
        <f t="shared" si="12"/>
        <v>0</v>
      </c>
      <c r="J67" s="120">
        <f t="shared" si="13"/>
        <v>0</v>
      </c>
      <c r="K67" s="122">
        <f t="shared" si="14"/>
        <v>0</v>
      </c>
      <c r="L67" s="120">
        <f t="shared" si="15"/>
        <v>0</v>
      </c>
      <c r="M67" s="122">
        <f t="shared" si="16"/>
        <v>0</v>
      </c>
      <c r="N67" s="119">
        <f t="shared" si="34"/>
        <v>0</v>
      </c>
      <c r="O67" s="119">
        <f t="shared" si="34"/>
        <v>0</v>
      </c>
      <c r="P67" s="119">
        <f t="shared" si="34"/>
        <v>0</v>
      </c>
      <c r="Q67" s="127">
        <f t="shared" si="34"/>
        <v>0</v>
      </c>
      <c r="R67" s="120">
        <f t="shared" si="34"/>
        <v>0</v>
      </c>
      <c r="S67" s="122">
        <f t="shared" si="17"/>
        <v>0</v>
      </c>
      <c r="T67" s="127">
        <f t="shared" ref="T67" si="42">T31/20</f>
        <v>0</v>
      </c>
      <c r="U67" s="127"/>
      <c r="V67" s="129">
        <v>24</v>
      </c>
    </row>
    <row r="68" spans="1:22" ht="39.950000000000003" customHeight="1" thickBot="1">
      <c r="A68" s="115">
        <f t="shared" si="19"/>
        <v>0</v>
      </c>
      <c r="B68" s="120">
        <f t="shared" si="5"/>
        <v>0</v>
      </c>
      <c r="C68" s="41">
        <f t="shared" si="6"/>
        <v>0</v>
      </c>
      <c r="D68" s="121">
        <f t="shared" si="7"/>
        <v>0</v>
      </c>
      <c r="E68" s="120">
        <f t="shared" si="8"/>
        <v>0</v>
      </c>
      <c r="F68" s="41">
        <f t="shared" si="9"/>
        <v>0</v>
      </c>
      <c r="G68" s="122">
        <f t="shared" si="10"/>
        <v>0</v>
      </c>
      <c r="H68" s="120">
        <f t="shared" si="11"/>
        <v>0</v>
      </c>
      <c r="I68" s="122">
        <f t="shared" si="12"/>
        <v>0</v>
      </c>
      <c r="J68" s="120">
        <f t="shared" si="13"/>
        <v>0</v>
      </c>
      <c r="K68" s="122">
        <f t="shared" si="14"/>
        <v>0</v>
      </c>
      <c r="L68" s="120">
        <f t="shared" si="15"/>
        <v>0</v>
      </c>
      <c r="M68" s="122">
        <f t="shared" si="16"/>
        <v>0</v>
      </c>
      <c r="N68" s="119">
        <f t="shared" si="34"/>
        <v>0</v>
      </c>
      <c r="O68" s="119">
        <f t="shared" si="34"/>
        <v>0</v>
      </c>
      <c r="P68" s="119">
        <f t="shared" si="34"/>
        <v>0</v>
      </c>
      <c r="Q68" s="127">
        <f t="shared" si="34"/>
        <v>0</v>
      </c>
      <c r="R68" s="120">
        <f t="shared" si="34"/>
        <v>0</v>
      </c>
      <c r="S68" s="122">
        <f t="shared" si="17"/>
        <v>0</v>
      </c>
      <c r="T68" s="127">
        <f t="shared" ref="T68" si="43">T32/20</f>
        <v>0</v>
      </c>
      <c r="U68" s="127"/>
      <c r="V68" s="129">
        <v>25</v>
      </c>
    </row>
    <row r="69" spans="1:22" ht="39.950000000000003" customHeight="1" thickBot="1">
      <c r="A69" s="115">
        <f t="shared" si="19"/>
        <v>0</v>
      </c>
      <c r="B69" s="120">
        <f t="shared" si="5"/>
        <v>0</v>
      </c>
      <c r="C69" s="41">
        <f t="shared" si="6"/>
        <v>0</v>
      </c>
      <c r="D69" s="121">
        <f t="shared" si="7"/>
        <v>0</v>
      </c>
      <c r="E69" s="120">
        <f t="shared" si="8"/>
        <v>0</v>
      </c>
      <c r="F69" s="41">
        <f t="shared" si="9"/>
        <v>0</v>
      </c>
      <c r="G69" s="122">
        <f t="shared" si="10"/>
        <v>0</v>
      </c>
      <c r="H69" s="120">
        <f t="shared" si="11"/>
        <v>0</v>
      </c>
      <c r="I69" s="122">
        <f t="shared" si="12"/>
        <v>0</v>
      </c>
      <c r="J69" s="120">
        <f t="shared" si="13"/>
        <v>0</v>
      </c>
      <c r="K69" s="122">
        <f t="shared" si="14"/>
        <v>0</v>
      </c>
      <c r="L69" s="120">
        <f t="shared" si="15"/>
        <v>0</v>
      </c>
      <c r="M69" s="122">
        <f t="shared" si="16"/>
        <v>0</v>
      </c>
      <c r="N69" s="119">
        <f t="shared" si="34"/>
        <v>0</v>
      </c>
      <c r="O69" s="119">
        <f t="shared" si="34"/>
        <v>0</v>
      </c>
      <c r="P69" s="119">
        <f t="shared" si="34"/>
        <v>0</v>
      </c>
      <c r="Q69" s="127">
        <f t="shared" si="34"/>
        <v>0</v>
      </c>
      <c r="R69" s="120">
        <f t="shared" si="34"/>
        <v>0</v>
      </c>
      <c r="S69" s="122">
        <f t="shared" si="17"/>
        <v>0</v>
      </c>
      <c r="T69" s="127">
        <f t="shared" ref="T69" si="44">T33/20</f>
        <v>0</v>
      </c>
      <c r="U69" s="127"/>
      <c r="V69" s="129">
        <v>26</v>
      </c>
    </row>
    <row r="70" spans="1:22" ht="39.950000000000003" customHeight="1" thickBot="1">
      <c r="A70" s="115">
        <f t="shared" si="19"/>
        <v>0</v>
      </c>
      <c r="B70" s="120">
        <f t="shared" si="5"/>
        <v>0</v>
      </c>
      <c r="C70" s="41">
        <f t="shared" si="6"/>
        <v>0</v>
      </c>
      <c r="D70" s="121">
        <f t="shared" si="7"/>
        <v>0</v>
      </c>
      <c r="E70" s="120">
        <f t="shared" si="8"/>
        <v>0</v>
      </c>
      <c r="F70" s="41">
        <f t="shared" si="9"/>
        <v>0</v>
      </c>
      <c r="G70" s="122">
        <f t="shared" si="10"/>
        <v>0</v>
      </c>
      <c r="H70" s="120">
        <f t="shared" si="11"/>
        <v>0</v>
      </c>
      <c r="I70" s="122">
        <f t="shared" si="12"/>
        <v>0</v>
      </c>
      <c r="J70" s="120">
        <f t="shared" si="13"/>
        <v>0</v>
      </c>
      <c r="K70" s="122">
        <f t="shared" si="14"/>
        <v>0</v>
      </c>
      <c r="L70" s="120">
        <f t="shared" si="15"/>
        <v>0</v>
      </c>
      <c r="M70" s="122">
        <f t="shared" si="16"/>
        <v>0</v>
      </c>
      <c r="N70" s="119">
        <f t="shared" si="34"/>
        <v>0</v>
      </c>
      <c r="O70" s="119">
        <f t="shared" si="34"/>
        <v>0</v>
      </c>
      <c r="P70" s="119">
        <f t="shared" si="34"/>
        <v>0</v>
      </c>
      <c r="Q70" s="127">
        <f t="shared" si="34"/>
        <v>0</v>
      </c>
      <c r="R70" s="120">
        <f t="shared" si="34"/>
        <v>0</v>
      </c>
      <c r="S70" s="122">
        <f t="shared" si="17"/>
        <v>0</v>
      </c>
      <c r="T70" s="127">
        <f t="shared" ref="T70" si="45">T34/20</f>
        <v>0</v>
      </c>
      <c r="U70" s="127"/>
      <c r="V70" s="129">
        <v>27</v>
      </c>
    </row>
    <row r="71" spans="1:22" ht="39.950000000000003" customHeight="1" thickBot="1">
      <c r="A71" s="115">
        <f t="shared" si="19"/>
        <v>0</v>
      </c>
      <c r="B71" s="120">
        <f t="shared" si="5"/>
        <v>0</v>
      </c>
      <c r="C71" s="41">
        <f t="shared" si="6"/>
        <v>0</v>
      </c>
      <c r="D71" s="121">
        <f t="shared" si="7"/>
        <v>0</v>
      </c>
      <c r="E71" s="120">
        <f t="shared" si="8"/>
        <v>0</v>
      </c>
      <c r="F71" s="41">
        <f t="shared" si="9"/>
        <v>0</v>
      </c>
      <c r="G71" s="122">
        <f t="shared" si="10"/>
        <v>0</v>
      </c>
      <c r="H71" s="120">
        <f t="shared" si="11"/>
        <v>0</v>
      </c>
      <c r="I71" s="122">
        <f t="shared" si="12"/>
        <v>0</v>
      </c>
      <c r="J71" s="120">
        <f t="shared" si="13"/>
        <v>0</v>
      </c>
      <c r="K71" s="122">
        <f t="shared" si="14"/>
        <v>0</v>
      </c>
      <c r="L71" s="120">
        <f t="shared" si="15"/>
        <v>0</v>
      </c>
      <c r="M71" s="122">
        <f t="shared" si="16"/>
        <v>0</v>
      </c>
      <c r="N71" s="119">
        <f t="shared" si="34"/>
        <v>0</v>
      </c>
      <c r="O71" s="119">
        <f t="shared" si="34"/>
        <v>0</v>
      </c>
      <c r="P71" s="119">
        <f t="shared" si="34"/>
        <v>0</v>
      </c>
      <c r="Q71" s="127">
        <f t="shared" si="34"/>
        <v>0</v>
      </c>
      <c r="R71" s="120">
        <f t="shared" si="34"/>
        <v>0</v>
      </c>
      <c r="S71" s="122">
        <f t="shared" si="17"/>
        <v>0</v>
      </c>
      <c r="T71" s="127">
        <f t="shared" ref="T71" si="46">T35/20</f>
        <v>0</v>
      </c>
      <c r="U71" s="127"/>
      <c r="V71" s="129">
        <v>28</v>
      </c>
    </row>
    <row r="72" spans="1:22" ht="39.950000000000003" customHeight="1" thickBot="1">
      <c r="A72" s="115">
        <f t="shared" si="19"/>
        <v>0</v>
      </c>
      <c r="B72" s="120">
        <f t="shared" si="5"/>
        <v>0</v>
      </c>
      <c r="C72" s="41">
        <f t="shared" si="6"/>
        <v>0</v>
      </c>
      <c r="D72" s="121">
        <f t="shared" si="7"/>
        <v>0</v>
      </c>
      <c r="E72" s="120">
        <f t="shared" si="8"/>
        <v>0</v>
      </c>
      <c r="F72" s="41">
        <f t="shared" si="9"/>
        <v>0</v>
      </c>
      <c r="G72" s="122">
        <f t="shared" si="10"/>
        <v>0</v>
      </c>
      <c r="H72" s="120">
        <f t="shared" si="11"/>
        <v>0</v>
      </c>
      <c r="I72" s="122">
        <f t="shared" si="12"/>
        <v>0</v>
      </c>
      <c r="J72" s="120">
        <f t="shared" si="13"/>
        <v>0</v>
      </c>
      <c r="K72" s="122">
        <f t="shared" si="14"/>
        <v>0</v>
      </c>
      <c r="L72" s="120">
        <f t="shared" si="15"/>
        <v>0</v>
      </c>
      <c r="M72" s="122">
        <f t="shared" si="16"/>
        <v>0</v>
      </c>
      <c r="N72" s="119">
        <f t="shared" si="34"/>
        <v>0</v>
      </c>
      <c r="O72" s="119">
        <f t="shared" si="34"/>
        <v>0</v>
      </c>
      <c r="P72" s="119">
        <f t="shared" si="34"/>
        <v>0</v>
      </c>
      <c r="Q72" s="127">
        <f t="shared" si="34"/>
        <v>0</v>
      </c>
      <c r="R72" s="120">
        <f t="shared" si="34"/>
        <v>0</v>
      </c>
      <c r="S72" s="122">
        <f t="shared" si="17"/>
        <v>0</v>
      </c>
      <c r="T72" s="127">
        <f t="shared" ref="T72" si="47">T36/20</f>
        <v>0</v>
      </c>
      <c r="U72" s="127"/>
      <c r="V72" s="129">
        <v>29</v>
      </c>
    </row>
    <row r="73" spans="1:22" ht="39.950000000000003" customHeight="1" thickBot="1">
      <c r="A73" s="115">
        <f t="shared" si="19"/>
        <v>0</v>
      </c>
      <c r="B73" s="120">
        <f t="shared" si="5"/>
        <v>0</v>
      </c>
      <c r="C73" s="41">
        <f t="shared" si="6"/>
        <v>0</v>
      </c>
      <c r="D73" s="121">
        <f t="shared" si="7"/>
        <v>0</v>
      </c>
      <c r="E73" s="120">
        <f t="shared" si="8"/>
        <v>0</v>
      </c>
      <c r="F73" s="41">
        <f t="shared" si="9"/>
        <v>0</v>
      </c>
      <c r="G73" s="122">
        <f t="shared" si="10"/>
        <v>0</v>
      </c>
      <c r="H73" s="120">
        <f t="shared" si="11"/>
        <v>0</v>
      </c>
      <c r="I73" s="122">
        <f t="shared" si="12"/>
        <v>0</v>
      </c>
      <c r="J73" s="120">
        <f t="shared" si="13"/>
        <v>0</v>
      </c>
      <c r="K73" s="122">
        <f t="shared" si="14"/>
        <v>0</v>
      </c>
      <c r="L73" s="120">
        <f t="shared" si="15"/>
        <v>0</v>
      </c>
      <c r="M73" s="122">
        <f t="shared" si="16"/>
        <v>0</v>
      </c>
      <c r="N73" s="119">
        <f t="shared" si="34"/>
        <v>0</v>
      </c>
      <c r="O73" s="119">
        <f t="shared" si="34"/>
        <v>0</v>
      </c>
      <c r="P73" s="119">
        <f t="shared" si="34"/>
        <v>0</v>
      </c>
      <c r="Q73" s="127">
        <f t="shared" si="34"/>
        <v>0</v>
      </c>
      <c r="R73" s="120">
        <f t="shared" si="34"/>
        <v>0</v>
      </c>
      <c r="S73" s="122">
        <f t="shared" si="17"/>
        <v>0</v>
      </c>
      <c r="T73" s="127">
        <f t="shared" ref="T73" si="48">T37/20</f>
        <v>0</v>
      </c>
      <c r="U73" s="127"/>
      <c r="V73" s="129">
        <v>30</v>
      </c>
    </row>
    <row r="74" spans="1:22" ht="39.950000000000003" customHeight="1" thickBot="1">
      <c r="A74" s="115">
        <f t="shared" si="19"/>
        <v>0</v>
      </c>
      <c r="B74" s="130">
        <f t="shared" si="5"/>
        <v>0</v>
      </c>
      <c r="C74" s="131">
        <f t="shared" si="6"/>
        <v>0</v>
      </c>
      <c r="D74" s="132">
        <f t="shared" si="7"/>
        <v>0</v>
      </c>
      <c r="E74" s="120">
        <f t="shared" si="8"/>
        <v>0</v>
      </c>
      <c r="F74" s="41">
        <f t="shared" si="9"/>
        <v>0</v>
      </c>
      <c r="G74" s="122">
        <f t="shared" si="10"/>
        <v>0</v>
      </c>
      <c r="H74" s="120">
        <f t="shared" si="11"/>
        <v>0</v>
      </c>
      <c r="I74" s="122">
        <f t="shared" si="12"/>
        <v>0</v>
      </c>
      <c r="J74" s="120">
        <f t="shared" si="13"/>
        <v>0</v>
      </c>
      <c r="K74" s="122">
        <f t="shared" si="14"/>
        <v>0</v>
      </c>
      <c r="L74" s="120">
        <f t="shared" si="15"/>
        <v>0</v>
      </c>
      <c r="M74" s="122">
        <f t="shared" si="16"/>
        <v>0</v>
      </c>
      <c r="N74" s="119">
        <f t="shared" si="34"/>
        <v>0</v>
      </c>
      <c r="O74" s="119">
        <f t="shared" si="34"/>
        <v>0</v>
      </c>
      <c r="P74" s="119">
        <f t="shared" si="34"/>
        <v>0</v>
      </c>
      <c r="Q74" s="127">
        <f t="shared" si="34"/>
        <v>0</v>
      </c>
      <c r="R74" s="120">
        <f t="shared" si="34"/>
        <v>0</v>
      </c>
      <c r="S74" s="122">
        <f t="shared" si="17"/>
        <v>0</v>
      </c>
      <c r="T74" s="127">
        <f t="shared" ref="T74" si="49">T38/20</f>
        <v>0</v>
      </c>
      <c r="U74" s="127"/>
      <c r="V74" s="134">
        <v>31</v>
      </c>
    </row>
    <row r="75" spans="1:22" ht="39.950000000000003" customHeight="1" thickBot="1">
      <c r="A75" s="61">
        <f>SUM(B75:U75)</f>
        <v>0</v>
      </c>
      <c r="B75" s="133">
        <f t="shared" ref="B75:Q75" si="50">SUM(B44:B74)</f>
        <v>0</v>
      </c>
      <c r="C75" s="133">
        <f t="shared" si="50"/>
        <v>0</v>
      </c>
      <c r="D75" s="133">
        <f t="shared" si="50"/>
        <v>0</v>
      </c>
      <c r="E75" s="133">
        <f t="shared" si="50"/>
        <v>0</v>
      </c>
      <c r="F75" s="133">
        <f t="shared" si="50"/>
        <v>0</v>
      </c>
      <c r="G75" s="133">
        <f t="shared" si="50"/>
        <v>0</v>
      </c>
      <c r="H75" s="133">
        <f t="shared" si="50"/>
        <v>0</v>
      </c>
      <c r="I75" s="133">
        <f t="shared" si="50"/>
        <v>0</v>
      </c>
      <c r="J75" s="133">
        <f t="shared" si="50"/>
        <v>0</v>
      </c>
      <c r="K75" s="133">
        <f t="shared" si="50"/>
        <v>0</v>
      </c>
      <c r="L75" s="133">
        <f t="shared" si="50"/>
        <v>0</v>
      </c>
      <c r="M75" s="133">
        <f t="shared" si="50"/>
        <v>0</v>
      </c>
      <c r="N75" s="133">
        <f t="shared" si="50"/>
        <v>0</v>
      </c>
      <c r="O75" s="133">
        <f t="shared" si="50"/>
        <v>0</v>
      </c>
      <c r="P75" s="133">
        <f t="shared" si="50"/>
        <v>0</v>
      </c>
      <c r="Q75" s="133">
        <f t="shared" si="50"/>
        <v>0</v>
      </c>
      <c r="R75" s="133">
        <f t="shared" ref="R75:T75" si="51">SUM(R44:R74)</f>
        <v>0</v>
      </c>
      <c r="S75" s="133">
        <f t="shared" si="51"/>
        <v>0</v>
      </c>
      <c r="T75" s="133">
        <f t="shared" si="51"/>
        <v>0</v>
      </c>
      <c r="U75" s="133">
        <f>SUM(U44:U74)</f>
        <v>0</v>
      </c>
      <c r="V75" s="65" t="s">
        <v>115</v>
      </c>
    </row>
    <row r="76" spans="1:22" ht="23.25" customHeight="1"/>
  </sheetData>
  <mergeCells count="20">
    <mergeCell ref="E6:G6"/>
    <mergeCell ref="H6:I6"/>
    <mergeCell ref="J6:K6"/>
    <mergeCell ref="L6:M6"/>
    <mergeCell ref="A3:A7"/>
    <mergeCell ref="A41:A43"/>
    <mergeCell ref="U6:U7"/>
    <mergeCell ref="U42:U43"/>
    <mergeCell ref="V42:V43"/>
    <mergeCell ref="B4:U5"/>
    <mergeCell ref="R6:S6"/>
    <mergeCell ref="R42:S42"/>
    <mergeCell ref="B41:U41"/>
    <mergeCell ref="B42:D42"/>
    <mergeCell ref="E42:G42"/>
    <mergeCell ref="H42:I42"/>
    <mergeCell ref="J42:K42"/>
    <mergeCell ref="L42:M42"/>
    <mergeCell ref="B3:U3"/>
    <mergeCell ref="B6:D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3:BK43"/>
  <sheetViews>
    <sheetView topLeftCell="O1" zoomScale="80" zoomScaleNormal="80" workbookViewId="0">
      <selection activeCell="B9" sqref="B9:AF9"/>
    </sheetView>
  </sheetViews>
  <sheetFormatPr baseColWidth="10" defaultColWidth="11.42578125" defaultRowHeight="15"/>
  <cols>
    <col min="1" max="1" width="13.5703125" customWidth="1"/>
  </cols>
  <sheetData>
    <row r="3" spans="1:33">
      <c r="A3" s="612"/>
      <c r="B3" s="613"/>
      <c r="C3" s="613"/>
      <c r="D3" s="613"/>
      <c r="E3" s="613"/>
      <c r="F3" s="613"/>
      <c r="G3" s="613"/>
      <c r="H3" s="613"/>
      <c r="I3" s="613"/>
      <c r="J3" s="613"/>
      <c r="K3" s="613"/>
      <c r="L3" s="613"/>
      <c r="M3" s="613"/>
      <c r="N3" s="613"/>
      <c r="O3" s="613"/>
      <c r="P3" s="613"/>
      <c r="Q3" s="613"/>
      <c r="R3" s="613"/>
      <c r="S3" s="613"/>
      <c r="T3" s="613"/>
      <c r="U3" s="613"/>
      <c r="V3" s="613"/>
      <c r="W3" s="613"/>
      <c r="X3" s="613"/>
      <c r="Y3" s="613"/>
      <c r="Z3" s="613"/>
      <c r="AA3" s="613"/>
      <c r="AB3" s="613"/>
      <c r="AC3" s="613"/>
      <c r="AD3" s="613"/>
      <c r="AE3" s="613"/>
      <c r="AF3" s="613"/>
      <c r="AG3" s="614"/>
    </row>
    <row r="4" spans="1:33">
      <c r="A4" s="615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Y4" s="616"/>
      <c r="Z4" s="616"/>
      <c r="AA4" s="616"/>
      <c r="AB4" s="616"/>
      <c r="AC4" s="616"/>
      <c r="AD4" s="616"/>
      <c r="AE4" s="616"/>
      <c r="AF4" s="616"/>
      <c r="AG4" s="617"/>
    </row>
    <row r="5" spans="1:33" ht="26.25">
      <c r="A5" s="92" t="s">
        <v>135</v>
      </c>
      <c r="B5" s="93">
        <v>1</v>
      </c>
      <c r="C5" s="93">
        <v>2</v>
      </c>
      <c r="D5" s="93">
        <v>3</v>
      </c>
      <c r="E5" s="93">
        <v>4</v>
      </c>
      <c r="F5" s="93">
        <v>5</v>
      </c>
      <c r="G5" s="93">
        <v>6</v>
      </c>
      <c r="H5" s="93">
        <v>7</v>
      </c>
      <c r="I5" s="93">
        <v>8</v>
      </c>
      <c r="J5" s="93">
        <v>9</v>
      </c>
      <c r="K5" s="93">
        <v>10</v>
      </c>
      <c r="L5" s="93">
        <v>11</v>
      </c>
      <c r="M5" s="93">
        <v>12</v>
      </c>
      <c r="N5" s="93">
        <v>13</v>
      </c>
      <c r="O5" s="93">
        <v>14</v>
      </c>
      <c r="P5" s="93">
        <v>15</v>
      </c>
      <c r="Q5" s="93">
        <v>16</v>
      </c>
      <c r="R5" s="93">
        <v>17</v>
      </c>
      <c r="S5" s="93">
        <v>18</v>
      </c>
      <c r="T5" s="93">
        <v>19</v>
      </c>
      <c r="U5" s="93">
        <v>20</v>
      </c>
      <c r="V5" s="93">
        <v>21</v>
      </c>
      <c r="W5" s="93">
        <v>22</v>
      </c>
      <c r="X5" s="93">
        <v>23</v>
      </c>
      <c r="Y5" s="93">
        <v>24</v>
      </c>
      <c r="Z5" s="93">
        <v>25</v>
      </c>
      <c r="AA5" s="93">
        <v>26</v>
      </c>
      <c r="AB5" s="93">
        <v>27</v>
      </c>
      <c r="AC5" s="93">
        <v>28</v>
      </c>
      <c r="AD5" s="93">
        <v>29</v>
      </c>
      <c r="AE5" s="93">
        <v>30</v>
      </c>
      <c r="AF5" s="93">
        <v>31</v>
      </c>
      <c r="AG5" s="103" t="s">
        <v>136</v>
      </c>
    </row>
    <row r="6" spans="1:33" ht="21">
      <c r="A6" s="94" t="s">
        <v>137</v>
      </c>
      <c r="B6" s="95"/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96"/>
      <c r="S6" s="96"/>
      <c r="T6" s="96"/>
      <c r="U6" s="96"/>
      <c r="V6" s="96"/>
      <c r="W6" s="96"/>
      <c r="X6" s="96"/>
      <c r="Y6" s="102"/>
      <c r="Z6" s="96"/>
      <c r="AA6" s="96"/>
      <c r="AB6" s="96"/>
      <c r="AC6" s="96"/>
      <c r="AD6" s="96"/>
      <c r="AE6" s="96"/>
      <c r="AF6" s="96"/>
      <c r="AG6" s="104">
        <f>SUM(B6:AF6)</f>
        <v>0</v>
      </c>
    </row>
    <row r="7" spans="1:33" ht="21">
      <c r="A7" s="94" t="s">
        <v>138</v>
      </c>
      <c r="B7" s="97"/>
      <c r="C7" s="98"/>
      <c r="D7" s="99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  <c r="Y7" s="98"/>
      <c r="Z7" s="98"/>
      <c r="AA7" s="98"/>
      <c r="AB7" s="98"/>
      <c r="AC7" s="98"/>
      <c r="AD7" s="98"/>
      <c r="AE7" s="98"/>
      <c r="AF7" s="98"/>
      <c r="AG7" s="104">
        <f t="shared" ref="AG7:AG8" si="0">SUM(B7:AF7)</f>
        <v>0</v>
      </c>
    </row>
    <row r="8" spans="1:33" ht="21">
      <c r="A8" s="94" t="s">
        <v>139</v>
      </c>
      <c r="B8" s="97"/>
      <c r="C8" s="98"/>
      <c r="D8" s="99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104">
        <f t="shared" si="0"/>
        <v>0</v>
      </c>
    </row>
    <row r="9" spans="1:33" ht="23.25">
      <c r="A9" s="100" t="s">
        <v>140</v>
      </c>
      <c r="B9" s="101">
        <f>SUM(B6:B8)</f>
        <v>0</v>
      </c>
      <c r="C9" s="101">
        <f t="shared" ref="C9:G9" si="1">SUM(C6:C8)</f>
        <v>0</v>
      </c>
      <c r="D9" s="101">
        <f t="shared" si="1"/>
        <v>0</v>
      </c>
      <c r="E9" s="101">
        <f t="shared" si="1"/>
        <v>0</v>
      </c>
      <c r="F9" s="101">
        <f t="shared" si="1"/>
        <v>0</v>
      </c>
      <c r="G9" s="101">
        <f t="shared" si="1"/>
        <v>0</v>
      </c>
      <c r="H9" s="101">
        <f t="shared" ref="H9" si="2">SUM(H6:H8)</f>
        <v>0</v>
      </c>
      <c r="I9" s="101">
        <f t="shared" ref="I9" si="3">SUM(I6:I8)</f>
        <v>0</v>
      </c>
      <c r="J9" s="101">
        <f t="shared" ref="J9" si="4">SUM(J6:J8)</f>
        <v>0</v>
      </c>
      <c r="K9" s="101">
        <f t="shared" ref="K9:L9" si="5">SUM(K6:K8)</f>
        <v>0</v>
      </c>
      <c r="L9" s="101">
        <f t="shared" si="5"/>
        <v>0</v>
      </c>
      <c r="M9" s="101">
        <f t="shared" ref="M9" si="6">SUM(M6:M8)</f>
        <v>0</v>
      </c>
      <c r="N9" s="101">
        <f t="shared" ref="N9" si="7">SUM(N6:N8)</f>
        <v>0</v>
      </c>
      <c r="O9" s="101">
        <f t="shared" ref="O9" si="8">SUM(O6:O8)</f>
        <v>0</v>
      </c>
      <c r="P9" s="101">
        <f t="shared" ref="P9:Q9" si="9">SUM(P6:P8)</f>
        <v>0</v>
      </c>
      <c r="Q9" s="101">
        <f t="shared" si="9"/>
        <v>0</v>
      </c>
      <c r="R9" s="101">
        <f t="shared" ref="R9" si="10">SUM(R6:R8)</f>
        <v>0</v>
      </c>
      <c r="S9" s="101">
        <f t="shared" ref="S9" si="11">SUM(S6:S8)</f>
        <v>0</v>
      </c>
      <c r="T9" s="101">
        <f t="shared" ref="T9" si="12">SUM(T6:T8)</f>
        <v>0</v>
      </c>
      <c r="U9" s="101">
        <f t="shared" ref="U9:V9" si="13">SUM(U6:U8)</f>
        <v>0</v>
      </c>
      <c r="V9" s="101">
        <f t="shared" si="13"/>
        <v>0</v>
      </c>
      <c r="W9" s="101">
        <f t="shared" ref="W9" si="14">SUM(W6:W8)</f>
        <v>0</v>
      </c>
      <c r="X9" s="101">
        <f t="shared" ref="X9" si="15">SUM(X6:X8)</f>
        <v>0</v>
      </c>
      <c r="Y9" s="101">
        <f t="shared" ref="Y9" si="16">SUM(Y6:Y8)</f>
        <v>0</v>
      </c>
      <c r="Z9" s="101">
        <f t="shared" ref="Z9:AA9" si="17">SUM(Z6:Z8)</f>
        <v>0</v>
      </c>
      <c r="AA9" s="101">
        <f t="shared" si="17"/>
        <v>0</v>
      </c>
      <c r="AB9" s="101">
        <f t="shared" ref="AB9" si="18">SUM(AB6:AB8)</f>
        <v>0</v>
      </c>
      <c r="AC9" s="101">
        <f t="shared" ref="AC9" si="19">SUM(AC6:AC8)</f>
        <v>0</v>
      </c>
      <c r="AD9" s="101">
        <f t="shared" ref="AD9" si="20">SUM(AD6:AD8)</f>
        <v>0</v>
      </c>
      <c r="AE9" s="101">
        <f t="shared" ref="AE9:AG9" si="21">SUM(AE6:AE8)</f>
        <v>0</v>
      </c>
      <c r="AF9" s="101">
        <f t="shared" si="21"/>
        <v>0</v>
      </c>
      <c r="AG9" s="105">
        <f t="shared" si="21"/>
        <v>0</v>
      </c>
    </row>
    <row r="13" spans="1:33">
      <c r="AD13" t="s">
        <v>94</v>
      </c>
    </row>
    <row r="43" spans="37:63">
      <c r="AK43">
        <v>750</v>
      </c>
      <c r="AL43">
        <v>2240</v>
      </c>
      <c r="AM43">
        <v>5430</v>
      </c>
      <c r="AN43">
        <v>590</v>
      </c>
      <c r="AO43">
        <v>1840</v>
      </c>
      <c r="AP43">
        <v>3570</v>
      </c>
      <c r="AQ43">
        <v>1670</v>
      </c>
      <c r="AR43">
        <v>1660</v>
      </c>
      <c r="AS43">
        <v>4170</v>
      </c>
      <c r="AW43">
        <v>1750</v>
      </c>
      <c r="AX43">
        <v>2200</v>
      </c>
      <c r="AY43">
        <v>4050</v>
      </c>
      <c r="AZ43">
        <v>1500</v>
      </c>
      <c r="BA43">
        <v>2000</v>
      </c>
      <c r="BB43">
        <v>2500</v>
      </c>
      <c r="BC43">
        <v>1185</v>
      </c>
      <c r="BD43">
        <v>2640</v>
      </c>
      <c r="BE43">
        <v>2775</v>
      </c>
      <c r="BF43">
        <v>530</v>
      </c>
      <c r="BG43">
        <v>1040</v>
      </c>
      <c r="BH43">
        <v>1680</v>
      </c>
      <c r="BJ43">
        <v>5220</v>
      </c>
      <c r="BK43">
        <v>4500</v>
      </c>
    </row>
  </sheetData>
  <mergeCells count="1">
    <mergeCell ref="A3:AG4"/>
  </mergeCells>
  <pageMargins left="0.196850393700787" right="0.196850393700787" top="0.196850393700787" bottom="0.196850393700787" header="0.196850393700787" footer="0.196850393700787"/>
  <pageSetup paperSize="9" scale="20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7:AI15"/>
  <sheetViews>
    <sheetView zoomScale="70" zoomScaleNormal="70" workbookViewId="0">
      <selection activeCell="C10" sqref="C10"/>
    </sheetView>
  </sheetViews>
  <sheetFormatPr baseColWidth="10" defaultColWidth="11.42578125" defaultRowHeight="15"/>
  <cols>
    <col min="34" max="34" width="12.42578125" customWidth="1"/>
  </cols>
  <sheetData>
    <row r="7" spans="2:35">
      <c r="B7" s="618"/>
      <c r="C7" s="612"/>
      <c r="D7" s="613"/>
      <c r="E7" s="613"/>
      <c r="F7" s="613"/>
      <c r="G7" s="613"/>
      <c r="H7" s="613"/>
      <c r="I7" s="613"/>
      <c r="J7" s="613"/>
      <c r="K7" s="613"/>
      <c r="L7" s="613"/>
      <c r="M7" s="613"/>
      <c r="N7" s="613"/>
      <c r="O7" s="613"/>
      <c r="P7" s="613"/>
      <c r="Q7" s="613"/>
      <c r="R7" s="613"/>
      <c r="S7" s="613"/>
      <c r="T7" s="613"/>
      <c r="U7" s="613"/>
      <c r="V7" s="613"/>
      <c r="W7" s="613"/>
      <c r="X7" s="613"/>
      <c r="Y7" s="613"/>
      <c r="Z7" s="613"/>
      <c r="AA7" s="613"/>
      <c r="AB7" s="613"/>
      <c r="AC7" s="613"/>
      <c r="AD7" s="613"/>
      <c r="AE7" s="613"/>
      <c r="AF7" s="613"/>
      <c r="AG7" s="614"/>
      <c r="AH7" s="621" t="s">
        <v>141</v>
      </c>
      <c r="AI7" s="621" t="s">
        <v>141</v>
      </c>
    </row>
    <row r="8" spans="2:35">
      <c r="B8" s="619"/>
      <c r="C8" s="615"/>
      <c r="D8" s="616"/>
      <c r="E8" s="616"/>
      <c r="F8" s="616"/>
      <c r="G8" s="616"/>
      <c r="H8" s="616"/>
      <c r="I8" s="616"/>
      <c r="J8" s="616"/>
      <c r="K8" s="616"/>
      <c r="L8" s="616"/>
      <c r="M8" s="616"/>
      <c r="N8" s="616"/>
      <c r="O8" s="616"/>
      <c r="P8" s="616"/>
      <c r="Q8" s="616"/>
      <c r="R8" s="616"/>
      <c r="S8" s="616"/>
      <c r="T8" s="616"/>
      <c r="U8" s="616"/>
      <c r="V8" s="616"/>
      <c r="W8" s="616"/>
      <c r="X8" s="616"/>
      <c r="Y8" s="616"/>
      <c r="Z8" s="616"/>
      <c r="AA8" s="616"/>
      <c r="AB8" s="616"/>
      <c r="AC8" s="616"/>
      <c r="AD8" s="616"/>
      <c r="AE8" s="616"/>
      <c r="AF8" s="616"/>
      <c r="AG8" s="617"/>
      <c r="AH8" s="622"/>
      <c r="AI8" s="622"/>
    </row>
    <row r="9" spans="2:35">
      <c r="B9" s="620"/>
      <c r="C9" s="67">
        <v>1</v>
      </c>
      <c r="D9" s="68">
        <v>2</v>
      </c>
      <c r="E9" s="68">
        <v>3</v>
      </c>
      <c r="F9" s="67">
        <v>4</v>
      </c>
      <c r="G9" s="68">
        <v>5</v>
      </c>
      <c r="H9" s="68">
        <v>6</v>
      </c>
      <c r="I9" s="79">
        <v>7</v>
      </c>
      <c r="J9" s="68">
        <v>8</v>
      </c>
      <c r="K9" s="68">
        <v>9</v>
      </c>
      <c r="L9" s="67">
        <v>10</v>
      </c>
      <c r="M9" s="68">
        <v>11</v>
      </c>
      <c r="N9" s="68">
        <v>12</v>
      </c>
      <c r="O9" s="67">
        <v>13</v>
      </c>
      <c r="P9" s="80">
        <v>14</v>
      </c>
      <c r="Q9" s="68">
        <v>15</v>
      </c>
      <c r="R9" s="67">
        <v>16</v>
      </c>
      <c r="S9" s="68">
        <v>17</v>
      </c>
      <c r="T9" s="68">
        <v>18</v>
      </c>
      <c r="U9" s="67">
        <v>19</v>
      </c>
      <c r="V9" s="68">
        <v>20</v>
      </c>
      <c r="W9" s="68">
        <v>21</v>
      </c>
      <c r="X9" s="67">
        <v>22</v>
      </c>
      <c r="Y9" s="68">
        <v>23</v>
      </c>
      <c r="Z9" s="68">
        <v>24</v>
      </c>
      <c r="AA9" s="67">
        <v>25</v>
      </c>
      <c r="AB9" s="68">
        <v>26</v>
      </c>
      <c r="AC9" s="68">
        <v>27</v>
      </c>
      <c r="AD9" s="67">
        <v>28</v>
      </c>
      <c r="AE9" s="68">
        <v>29</v>
      </c>
      <c r="AF9" s="68">
        <v>30</v>
      </c>
      <c r="AG9" s="67">
        <v>31</v>
      </c>
      <c r="AH9" s="623"/>
      <c r="AI9" s="623"/>
    </row>
    <row r="10" spans="2:35" ht="45">
      <c r="B10" s="69" t="s">
        <v>142</v>
      </c>
      <c r="C10" s="70">
        <f>RECAP1!AK4</f>
        <v>0</v>
      </c>
      <c r="D10" s="70">
        <f>RECAP1!AK5</f>
        <v>0</v>
      </c>
      <c r="E10" s="70">
        <f>RECAP1!AK6</f>
        <v>0</v>
      </c>
      <c r="F10" s="70">
        <f>RECAP1!AK7</f>
        <v>0</v>
      </c>
      <c r="G10" s="70">
        <f>RECAP1!AK8</f>
        <v>0</v>
      </c>
      <c r="H10" s="70">
        <f>RECAP1!AK9</f>
        <v>0</v>
      </c>
      <c r="I10" s="81">
        <f>RECAP1!AK10</f>
        <v>0</v>
      </c>
      <c r="J10" s="70">
        <f>RECAP1!AK11</f>
        <v>0</v>
      </c>
      <c r="K10" s="70">
        <f>RECAP1!AK12</f>
        <v>0</v>
      </c>
      <c r="L10" s="70">
        <f>RECAP1!AK13</f>
        <v>0</v>
      </c>
      <c r="M10" s="70">
        <f>RECAP1!AK14</f>
        <v>0</v>
      </c>
      <c r="N10" s="70">
        <f>RECAP1!AK15</f>
        <v>0</v>
      </c>
      <c r="O10" s="70">
        <f>RECAP1!AK16</f>
        <v>0</v>
      </c>
      <c r="P10" s="81">
        <f>RECAP1!AK17</f>
        <v>0</v>
      </c>
      <c r="Q10" s="70">
        <f>RECAP1!AK18</f>
        <v>0</v>
      </c>
      <c r="R10" s="70">
        <f>RECAP1!AK19</f>
        <v>0</v>
      </c>
      <c r="S10" s="70">
        <f>RECAP1!AK20</f>
        <v>0</v>
      </c>
      <c r="T10" s="70">
        <f>RECAP1!AK21</f>
        <v>0</v>
      </c>
      <c r="U10" s="70">
        <f>RECAP1!AK22</f>
        <v>0</v>
      </c>
      <c r="V10" s="70">
        <f>RECAP1!AK23</f>
        <v>0</v>
      </c>
      <c r="W10" s="70">
        <f>RECAP1!AK24</f>
        <v>0</v>
      </c>
      <c r="X10" s="70">
        <f>RECAP1!AK25</f>
        <v>0</v>
      </c>
      <c r="Y10" s="70">
        <f>RECAP1!AK26</f>
        <v>0</v>
      </c>
      <c r="Z10" s="70">
        <f>RECAP1!AK27</f>
        <v>0</v>
      </c>
      <c r="AA10" s="70">
        <f>RECAP1!AK28</f>
        <v>0</v>
      </c>
      <c r="AB10" s="70">
        <f>RECAP1!AK29</f>
        <v>0</v>
      </c>
      <c r="AC10" s="70">
        <f>RECAP1!AK30</f>
        <v>0</v>
      </c>
      <c r="AD10" s="70">
        <f>RECAP1!AK31</f>
        <v>0</v>
      </c>
      <c r="AE10" s="70">
        <f>RECAP1!AK32</f>
        <v>0</v>
      </c>
      <c r="AF10" s="70">
        <f>RECAP1!AK33</f>
        <v>0</v>
      </c>
      <c r="AG10" s="70">
        <f>RECAP1!AK34</f>
        <v>0</v>
      </c>
      <c r="AH10" s="86">
        <f>SUM(C10:AG10)</f>
        <v>0</v>
      </c>
      <c r="AI10" s="624">
        <f>SUM(AH10:AH11)</f>
        <v>0</v>
      </c>
    </row>
    <row r="11" spans="2:35" ht="30">
      <c r="B11" s="71" t="s">
        <v>143</v>
      </c>
      <c r="C11" s="70">
        <f>'RECAP 5'!B9</f>
        <v>0</v>
      </c>
      <c r="D11" s="70">
        <f>'RECAP 5'!C9</f>
        <v>0</v>
      </c>
      <c r="E11" s="72">
        <f>'RECAP 5'!D9</f>
        <v>0</v>
      </c>
      <c r="F11" s="72">
        <f>'RECAP 5'!E9</f>
        <v>0</v>
      </c>
      <c r="G11" s="72">
        <f>'RECAP 5'!F9</f>
        <v>0</v>
      </c>
      <c r="H11" s="72">
        <f>'RECAP 5'!G9</f>
        <v>0</v>
      </c>
      <c r="I11" s="82">
        <f>'RECAP 5'!H9</f>
        <v>0</v>
      </c>
      <c r="J11" s="72">
        <f>'RECAP 5'!I9</f>
        <v>0</v>
      </c>
      <c r="K11" s="72">
        <f>'RECAP 5'!J9</f>
        <v>0</v>
      </c>
      <c r="L11" s="72">
        <f>'RECAP 5'!K9</f>
        <v>0</v>
      </c>
      <c r="M11" s="72">
        <f>'RECAP 5'!L9</f>
        <v>0</v>
      </c>
      <c r="N11" s="72">
        <f>'RECAP 5'!M9</f>
        <v>0</v>
      </c>
      <c r="O11" s="72">
        <f>'RECAP 5'!N9</f>
        <v>0</v>
      </c>
      <c r="P11" s="82">
        <f>'RECAP 5'!O9</f>
        <v>0</v>
      </c>
      <c r="Q11" s="72">
        <f>'RECAP 5'!P9</f>
        <v>0</v>
      </c>
      <c r="R11" s="72">
        <f>'RECAP 5'!Q9</f>
        <v>0</v>
      </c>
      <c r="S11" s="72">
        <f>'RECAP 5'!R9</f>
        <v>0</v>
      </c>
      <c r="T11" s="72">
        <f>'RECAP 5'!S9</f>
        <v>0</v>
      </c>
      <c r="U11" s="72">
        <f>'RECAP 5'!T9</f>
        <v>0</v>
      </c>
      <c r="V11" s="72">
        <f>'RECAP 5'!U9</f>
        <v>0</v>
      </c>
      <c r="W11" s="72">
        <f>'RECAP 5'!V9</f>
        <v>0</v>
      </c>
      <c r="X11" s="72">
        <f>'RECAP 5'!W9</f>
        <v>0</v>
      </c>
      <c r="Y11" s="72">
        <f>'RECAP 5'!X9</f>
        <v>0</v>
      </c>
      <c r="Z11" s="72">
        <f>'RECAP 5'!Y9</f>
        <v>0</v>
      </c>
      <c r="AA11" s="72">
        <f>'RECAP 5'!Z9</f>
        <v>0</v>
      </c>
      <c r="AB11" s="72">
        <f>'RECAP 5'!AA9</f>
        <v>0</v>
      </c>
      <c r="AC11" s="72">
        <f>'RECAP 5'!AB9</f>
        <v>0</v>
      </c>
      <c r="AD11" s="72">
        <f>'RECAP 5'!AC9</f>
        <v>0</v>
      </c>
      <c r="AE11" s="72">
        <f>'RECAP 5'!AD9</f>
        <v>0</v>
      </c>
      <c r="AF11" s="72">
        <f>'RECAP 5'!AE9</f>
        <v>0</v>
      </c>
      <c r="AG11" s="72">
        <f>'RECAP 5'!AF9</f>
        <v>0</v>
      </c>
      <c r="AH11" s="87">
        <f>SUM(C11:AG11)</f>
        <v>0</v>
      </c>
      <c r="AI11" s="625"/>
    </row>
    <row r="12" spans="2:35" ht="18.75">
      <c r="B12" s="73" t="s">
        <v>115</v>
      </c>
      <c r="C12" s="70">
        <f>SUM(C10:C11)</f>
        <v>0</v>
      </c>
      <c r="D12" s="70">
        <f>SUM(D10:D11)</f>
        <v>0</v>
      </c>
      <c r="E12" s="70">
        <f t="shared" ref="E12:AG12" si="0">SUM(E10:E11)</f>
        <v>0</v>
      </c>
      <c r="F12" s="70">
        <f t="shared" si="0"/>
        <v>0</v>
      </c>
      <c r="G12" s="70">
        <f t="shared" si="0"/>
        <v>0</v>
      </c>
      <c r="H12" s="70">
        <f t="shared" si="0"/>
        <v>0</v>
      </c>
      <c r="I12" s="81">
        <f t="shared" si="0"/>
        <v>0</v>
      </c>
      <c r="J12" s="70">
        <f t="shared" si="0"/>
        <v>0</v>
      </c>
      <c r="K12" s="70">
        <f t="shared" si="0"/>
        <v>0</v>
      </c>
      <c r="L12" s="70">
        <f t="shared" si="0"/>
        <v>0</v>
      </c>
      <c r="M12" s="70">
        <f t="shared" si="0"/>
        <v>0</v>
      </c>
      <c r="N12" s="70">
        <f t="shared" si="0"/>
        <v>0</v>
      </c>
      <c r="O12" s="70">
        <f t="shared" si="0"/>
        <v>0</v>
      </c>
      <c r="P12" s="81">
        <f t="shared" si="0"/>
        <v>0</v>
      </c>
      <c r="Q12" s="70">
        <f t="shared" si="0"/>
        <v>0</v>
      </c>
      <c r="R12" s="70">
        <f t="shared" si="0"/>
        <v>0</v>
      </c>
      <c r="S12" s="70">
        <f t="shared" si="0"/>
        <v>0</v>
      </c>
      <c r="T12" s="70">
        <f t="shared" si="0"/>
        <v>0</v>
      </c>
      <c r="U12" s="70">
        <f t="shared" si="0"/>
        <v>0</v>
      </c>
      <c r="V12" s="70">
        <f t="shared" si="0"/>
        <v>0</v>
      </c>
      <c r="W12" s="70">
        <f t="shared" si="0"/>
        <v>0</v>
      </c>
      <c r="X12" s="70">
        <f t="shared" si="0"/>
        <v>0</v>
      </c>
      <c r="Y12" s="70">
        <f t="shared" si="0"/>
        <v>0</v>
      </c>
      <c r="Z12" s="70">
        <f t="shared" si="0"/>
        <v>0</v>
      </c>
      <c r="AA12" s="70">
        <f t="shared" si="0"/>
        <v>0</v>
      </c>
      <c r="AB12" s="70">
        <f t="shared" si="0"/>
        <v>0</v>
      </c>
      <c r="AC12" s="70">
        <f t="shared" si="0"/>
        <v>0</v>
      </c>
      <c r="AD12" s="70">
        <f t="shared" si="0"/>
        <v>0</v>
      </c>
      <c r="AE12" s="70">
        <f t="shared" si="0"/>
        <v>0</v>
      </c>
      <c r="AF12" s="70">
        <f t="shared" si="0"/>
        <v>0</v>
      </c>
      <c r="AG12" s="70">
        <f t="shared" si="0"/>
        <v>0</v>
      </c>
      <c r="AH12" s="87"/>
      <c r="AI12" s="88"/>
    </row>
    <row r="13" spans="2:35" ht="60">
      <c r="B13" s="71" t="s">
        <v>144</v>
      </c>
      <c r="C13" s="74">
        <f>RECAP1!AK48</f>
        <v>0</v>
      </c>
      <c r="D13" s="75">
        <f>RECAP1!AK49</f>
        <v>0</v>
      </c>
      <c r="E13" s="75">
        <f>RECAP1!AK50</f>
        <v>0</v>
      </c>
      <c r="F13" s="75">
        <f>RECAP1!AK51</f>
        <v>0</v>
      </c>
      <c r="G13" s="75">
        <f>RECAP1!AK52</f>
        <v>0</v>
      </c>
      <c r="H13" s="75">
        <f>RECAP1!AK53</f>
        <v>0</v>
      </c>
      <c r="I13" s="83">
        <f>RECAP1!AK54</f>
        <v>0</v>
      </c>
      <c r="J13" s="75">
        <f>RECAP1!AK55</f>
        <v>0</v>
      </c>
      <c r="K13" s="75">
        <f>RECAP1!AK56</f>
        <v>0</v>
      </c>
      <c r="L13" s="75">
        <f>RECAP1!AK57</f>
        <v>0</v>
      </c>
      <c r="M13" s="75">
        <f>RECAP1!AK58</f>
        <v>0</v>
      </c>
      <c r="N13" s="75">
        <f>RECAP1!AK59</f>
        <v>0</v>
      </c>
      <c r="O13" s="75">
        <f>RECAP1!AK60</f>
        <v>0</v>
      </c>
      <c r="P13" s="83">
        <f>RECAP1!AK61</f>
        <v>0</v>
      </c>
      <c r="Q13" s="75">
        <f>RECAP1!AK62</f>
        <v>0</v>
      </c>
      <c r="R13" s="75">
        <f>RECAP1!AK63</f>
        <v>0</v>
      </c>
      <c r="S13" s="75">
        <f>RECAP1!AK64</f>
        <v>0</v>
      </c>
      <c r="T13" s="75">
        <f>RECAP1!AK65</f>
        <v>0</v>
      </c>
      <c r="U13" s="75">
        <f>RECAP1!AK66</f>
        <v>0</v>
      </c>
      <c r="V13" s="75">
        <f>RECAP1!AK67</f>
        <v>0</v>
      </c>
      <c r="W13" s="75">
        <f>RECAP1!AK68</f>
        <v>0</v>
      </c>
      <c r="X13" s="75">
        <f>RECAP1!AK69</f>
        <v>0</v>
      </c>
      <c r="Y13" s="75">
        <f>RECAP1!AK70</f>
        <v>0</v>
      </c>
      <c r="Z13" s="75">
        <f>RECAP1!AK71</f>
        <v>0</v>
      </c>
      <c r="AA13" s="75">
        <f>RECAP1!AK72</f>
        <v>0</v>
      </c>
      <c r="AB13" s="75">
        <f>RECAP1!AK73</f>
        <v>0</v>
      </c>
      <c r="AC13" s="75">
        <f>RECAP1!AK74</f>
        <v>0</v>
      </c>
      <c r="AD13" s="75">
        <f>RECAP1!AK75</f>
        <v>0</v>
      </c>
      <c r="AE13" s="75">
        <f>RECAP1!AK76</f>
        <v>0</v>
      </c>
      <c r="AF13" s="75">
        <f>RECAP1!AK77</f>
        <v>0</v>
      </c>
      <c r="AG13" s="75">
        <f>RECAP1!AK78</f>
        <v>0</v>
      </c>
      <c r="AH13" s="89">
        <f>SUM(C13:AG13)</f>
        <v>0</v>
      </c>
      <c r="AI13" s="626">
        <f>SUM(AH13:AH14)</f>
        <v>0</v>
      </c>
    </row>
    <row r="14" spans="2:35" ht="60">
      <c r="B14" s="69" t="s">
        <v>145</v>
      </c>
      <c r="C14" s="76">
        <f>'R4'!A44</f>
        <v>0</v>
      </c>
      <c r="D14" s="76">
        <f>'R4'!A45</f>
        <v>0</v>
      </c>
      <c r="E14" s="76">
        <f>'R4'!A46</f>
        <v>0</v>
      </c>
      <c r="F14" s="76">
        <f>'R4'!A47</f>
        <v>0</v>
      </c>
      <c r="G14" s="77">
        <f>'R4'!A48</f>
        <v>0</v>
      </c>
      <c r="H14" s="78">
        <f>'R4'!A49</f>
        <v>0</v>
      </c>
      <c r="I14" s="84">
        <f>'R4'!A50</f>
        <v>0</v>
      </c>
      <c r="J14" s="78">
        <f>'R4'!A51</f>
        <v>0</v>
      </c>
      <c r="K14" s="78">
        <f>'R4'!A52</f>
        <v>0</v>
      </c>
      <c r="L14" s="78">
        <f>'R4'!A53</f>
        <v>0</v>
      </c>
      <c r="M14" s="78">
        <f>'R4'!A54</f>
        <v>0</v>
      </c>
      <c r="N14" s="78">
        <f>'R4'!A55</f>
        <v>0</v>
      </c>
      <c r="O14" s="78">
        <f>'R4'!A56</f>
        <v>0</v>
      </c>
      <c r="P14" s="84">
        <f>'R4'!A57</f>
        <v>0</v>
      </c>
      <c r="Q14" s="78">
        <f>'R4'!A58</f>
        <v>0</v>
      </c>
      <c r="R14" s="78">
        <f>'R4'!A59</f>
        <v>0</v>
      </c>
      <c r="S14" s="78">
        <f>'R4'!A60</f>
        <v>0</v>
      </c>
      <c r="T14" s="78">
        <f>'R4'!A61</f>
        <v>0</v>
      </c>
      <c r="U14" s="78">
        <f>'R4'!A62</f>
        <v>0</v>
      </c>
      <c r="V14" s="78">
        <f>'R4'!A63</f>
        <v>0</v>
      </c>
      <c r="W14" s="77">
        <f>'R4'!A64</f>
        <v>0</v>
      </c>
      <c r="X14" s="77">
        <f>'R4'!A65</f>
        <v>0</v>
      </c>
      <c r="Y14" s="77">
        <f>'R4'!A66</f>
        <v>0</v>
      </c>
      <c r="Z14" s="77">
        <f>'R4'!A67</f>
        <v>0</v>
      </c>
      <c r="AA14" s="77">
        <f>'R4'!A68</f>
        <v>0</v>
      </c>
      <c r="AB14" s="77">
        <f>'R4'!A69</f>
        <v>0</v>
      </c>
      <c r="AC14" s="77">
        <f>'R4'!A70</f>
        <v>0</v>
      </c>
      <c r="AD14" s="77">
        <f>'R4'!A71</f>
        <v>0</v>
      </c>
      <c r="AE14" s="77">
        <f>'R4'!A72</f>
        <v>0</v>
      </c>
      <c r="AF14" s="77">
        <f>'R4'!A73</f>
        <v>0</v>
      </c>
      <c r="AG14" s="77">
        <f>'R4'!A74</f>
        <v>0</v>
      </c>
      <c r="AH14" s="90">
        <f>SUM(C14:AG14)</f>
        <v>0</v>
      </c>
      <c r="AI14" s="627"/>
    </row>
    <row r="15" spans="2:35" ht="15.75">
      <c r="B15" s="73" t="s">
        <v>115</v>
      </c>
      <c r="C15" s="74">
        <f>SUM(C13:C14)</f>
        <v>0</v>
      </c>
      <c r="D15" s="74">
        <f t="shared" ref="D15:AG15" si="1">SUM(D13:D14)</f>
        <v>0</v>
      </c>
      <c r="E15" s="74">
        <f t="shared" si="1"/>
        <v>0</v>
      </c>
      <c r="F15" s="74">
        <f t="shared" si="1"/>
        <v>0</v>
      </c>
      <c r="G15" s="74">
        <f t="shared" si="1"/>
        <v>0</v>
      </c>
      <c r="H15" s="74">
        <f t="shared" si="1"/>
        <v>0</v>
      </c>
      <c r="I15" s="85">
        <f t="shared" si="1"/>
        <v>0</v>
      </c>
      <c r="J15" s="74">
        <f t="shared" si="1"/>
        <v>0</v>
      </c>
      <c r="K15" s="74">
        <f t="shared" si="1"/>
        <v>0</v>
      </c>
      <c r="L15" s="74">
        <f t="shared" si="1"/>
        <v>0</v>
      </c>
      <c r="M15" s="74">
        <f t="shared" si="1"/>
        <v>0</v>
      </c>
      <c r="N15" s="74">
        <f t="shared" si="1"/>
        <v>0</v>
      </c>
      <c r="O15" s="74">
        <f t="shared" si="1"/>
        <v>0</v>
      </c>
      <c r="P15" s="85">
        <f t="shared" si="1"/>
        <v>0</v>
      </c>
      <c r="Q15" s="74">
        <f t="shared" si="1"/>
        <v>0</v>
      </c>
      <c r="R15" s="74">
        <f t="shared" si="1"/>
        <v>0</v>
      </c>
      <c r="S15" s="74">
        <f t="shared" si="1"/>
        <v>0</v>
      </c>
      <c r="T15" s="74">
        <f t="shared" si="1"/>
        <v>0</v>
      </c>
      <c r="U15" s="74">
        <f t="shared" si="1"/>
        <v>0</v>
      </c>
      <c r="V15" s="74">
        <f t="shared" si="1"/>
        <v>0</v>
      </c>
      <c r="W15" s="74">
        <f t="shared" si="1"/>
        <v>0</v>
      </c>
      <c r="X15" s="74">
        <f t="shared" si="1"/>
        <v>0</v>
      </c>
      <c r="Y15" s="74">
        <f t="shared" si="1"/>
        <v>0</v>
      </c>
      <c r="Z15" s="74">
        <f t="shared" si="1"/>
        <v>0</v>
      </c>
      <c r="AA15" s="74">
        <f t="shared" si="1"/>
        <v>0</v>
      </c>
      <c r="AB15" s="74">
        <f t="shared" si="1"/>
        <v>0</v>
      </c>
      <c r="AC15" s="74">
        <f t="shared" si="1"/>
        <v>0</v>
      </c>
      <c r="AD15" s="74">
        <f t="shared" si="1"/>
        <v>0</v>
      </c>
      <c r="AE15" s="74">
        <f t="shared" si="1"/>
        <v>0</v>
      </c>
      <c r="AF15" s="74">
        <f t="shared" si="1"/>
        <v>0</v>
      </c>
      <c r="AG15" s="74">
        <f t="shared" si="1"/>
        <v>0</v>
      </c>
      <c r="AH15" s="83"/>
      <c r="AI15" s="91"/>
    </row>
  </sheetData>
  <mergeCells count="6">
    <mergeCell ref="B7:B9"/>
    <mergeCell ref="AH7:AH9"/>
    <mergeCell ref="AI7:AI9"/>
    <mergeCell ref="AI10:AI11"/>
    <mergeCell ref="AI13:AI14"/>
    <mergeCell ref="C7:AG8"/>
  </mergeCells>
  <printOptions verticalCentered="1"/>
  <pageMargins left="0.196850393700787" right="0.196850393700787" top="0.196850393700787" bottom="0.196850393700787" header="0.196850393700787" footer="0.196850393700787"/>
  <pageSetup paperSize="9" scale="35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3:AE76"/>
  <sheetViews>
    <sheetView zoomScale="60" zoomScaleNormal="60" workbookViewId="0">
      <selection activeCell="L8" sqref="L8"/>
    </sheetView>
  </sheetViews>
  <sheetFormatPr baseColWidth="10" defaultColWidth="11.42578125" defaultRowHeight="15"/>
  <cols>
    <col min="1" max="3" width="14.28515625" customWidth="1"/>
    <col min="4" max="4" width="14.42578125" customWidth="1"/>
    <col min="5" max="5" width="15.5703125" customWidth="1"/>
    <col min="6" max="6" width="14.42578125" customWidth="1"/>
    <col min="7" max="7" width="15.28515625" customWidth="1"/>
    <col min="8" max="8" width="14.5703125" customWidth="1"/>
    <col min="9" max="9" width="14.85546875" customWidth="1"/>
    <col min="10" max="10" width="15.140625" customWidth="1"/>
    <col min="11" max="11" width="16.85546875" customWidth="1"/>
    <col min="12" max="12" width="15.5703125" customWidth="1"/>
    <col min="13" max="14" width="17.5703125" customWidth="1"/>
    <col min="15" max="15" width="17.42578125" customWidth="1"/>
  </cols>
  <sheetData>
    <row r="3" spans="1:31" ht="26.25">
      <c r="A3" s="583" t="s">
        <v>115</v>
      </c>
      <c r="B3" s="637" t="s">
        <v>116</v>
      </c>
      <c r="C3" s="638"/>
      <c r="D3" s="638"/>
      <c r="E3" s="638"/>
      <c r="F3" s="638"/>
      <c r="G3" s="638"/>
      <c r="H3" s="638"/>
      <c r="I3" s="638"/>
      <c r="J3" s="638"/>
      <c r="K3" s="638"/>
      <c r="L3" s="638"/>
      <c r="M3" s="638"/>
      <c r="N3" s="638"/>
      <c r="O3" s="639"/>
    </row>
    <row r="4" spans="1:31" ht="15" customHeight="1">
      <c r="A4" s="584"/>
      <c r="B4" s="630"/>
      <c r="C4" s="631"/>
      <c r="D4" s="631"/>
      <c r="E4" s="631"/>
      <c r="F4" s="631"/>
      <c r="G4" s="631"/>
      <c r="H4" s="631"/>
      <c r="I4" s="631"/>
      <c r="J4" s="631"/>
      <c r="K4" s="631"/>
      <c r="L4" s="631"/>
      <c r="M4" s="631"/>
      <c r="N4" s="631"/>
      <c r="O4" s="632"/>
    </row>
    <row r="5" spans="1:31" ht="15.75" customHeight="1">
      <c r="A5" s="584"/>
      <c r="B5" s="630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2"/>
    </row>
    <row r="6" spans="1:31" ht="26.25">
      <c r="A6" s="584"/>
      <c r="B6" s="640" t="s">
        <v>54</v>
      </c>
      <c r="C6" s="641"/>
      <c r="D6" s="605" t="s">
        <v>117</v>
      </c>
      <c r="E6" s="605"/>
      <c r="F6" s="609" t="s">
        <v>118</v>
      </c>
      <c r="G6" s="611"/>
      <c r="H6" s="2" t="s">
        <v>119</v>
      </c>
      <c r="I6" s="44" t="s">
        <v>120</v>
      </c>
      <c r="J6" s="2" t="s">
        <v>121</v>
      </c>
      <c r="K6" s="44" t="s">
        <v>122</v>
      </c>
      <c r="L6" s="2" t="s">
        <v>123</v>
      </c>
      <c r="M6" s="44" t="s">
        <v>132</v>
      </c>
      <c r="N6" s="31" t="s">
        <v>125</v>
      </c>
      <c r="O6" s="439"/>
      <c r="AD6">
        <f>SUM(D6:AC6)</f>
        <v>0</v>
      </c>
      <c r="AE6">
        <v>2</v>
      </c>
    </row>
    <row r="7" spans="1:31" ht="21">
      <c r="A7" s="585"/>
      <c r="B7" s="4" t="s">
        <v>126</v>
      </c>
      <c r="C7" s="5" t="s">
        <v>127</v>
      </c>
      <c r="D7" s="6" t="s">
        <v>126</v>
      </c>
      <c r="E7" s="7" t="s">
        <v>127</v>
      </c>
      <c r="F7" s="4" t="s">
        <v>129</v>
      </c>
      <c r="G7" s="5" t="s">
        <v>127</v>
      </c>
      <c r="H7" s="2" t="s">
        <v>127</v>
      </c>
      <c r="I7" s="44" t="s">
        <v>127</v>
      </c>
      <c r="J7" s="2" t="s">
        <v>130</v>
      </c>
      <c r="K7" s="5" t="s">
        <v>127</v>
      </c>
      <c r="L7" s="5" t="s">
        <v>127</v>
      </c>
      <c r="M7" s="5" t="s">
        <v>127</v>
      </c>
      <c r="N7" s="5" t="s">
        <v>127</v>
      </c>
      <c r="O7" s="444"/>
    </row>
    <row r="8" spans="1:31" ht="35.1" customHeight="1">
      <c r="A8" s="8">
        <f>SUM(B8:N8)</f>
        <v>0</v>
      </c>
      <c r="B8" s="9"/>
      <c r="C8" s="10"/>
      <c r="D8" s="11"/>
      <c r="E8" s="12"/>
      <c r="F8" s="13"/>
      <c r="G8" s="14"/>
      <c r="H8" s="15"/>
      <c r="I8" s="45"/>
      <c r="J8" s="15"/>
      <c r="K8" s="45"/>
      <c r="L8" s="15"/>
      <c r="M8" s="45"/>
      <c r="N8" s="46"/>
      <c r="O8" s="47">
        <v>1</v>
      </c>
    </row>
    <row r="9" spans="1:31" ht="35.1" customHeight="1">
      <c r="A9" s="8">
        <f t="shared" ref="A9:A39" si="0">SUM(B9:N9)</f>
        <v>0</v>
      </c>
      <c r="B9" s="16"/>
      <c r="C9" s="17"/>
      <c r="D9" s="18"/>
      <c r="E9" s="19"/>
      <c r="F9" s="20"/>
      <c r="G9" s="21"/>
      <c r="H9" s="22"/>
      <c r="I9" s="48"/>
      <c r="J9" s="22"/>
      <c r="K9" s="48"/>
      <c r="L9" s="22"/>
      <c r="M9" s="48"/>
      <c r="N9" s="49"/>
      <c r="O9" s="50">
        <v>2</v>
      </c>
    </row>
    <row r="10" spans="1:31" ht="35.1" customHeight="1">
      <c r="A10" s="8">
        <f t="shared" si="0"/>
        <v>0</v>
      </c>
      <c r="B10" s="16"/>
      <c r="C10" s="17"/>
      <c r="D10" s="18"/>
      <c r="E10" s="19"/>
      <c r="F10" s="20"/>
      <c r="G10" s="21"/>
      <c r="H10" s="22"/>
      <c r="I10" s="48"/>
      <c r="J10" s="22"/>
      <c r="K10" s="48"/>
      <c r="L10" s="22"/>
      <c r="M10" s="48"/>
      <c r="N10" s="49"/>
      <c r="O10" s="50">
        <v>3</v>
      </c>
    </row>
    <row r="11" spans="1:31" ht="35.1" customHeight="1">
      <c r="A11" s="8">
        <f t="shared" si="0"/>
        <v>0</v>
      </c>
      <c r="B11" s="16"/>
      <c r="C11" s="17"/>
      <c r="D11" s="18"/>
      <c r="E11" s="19"/>
      <c r="F11" s="20"/>
      <c r="G11" s="21"/>
      <c r="H11" s="22"/>
      <c r="I11" s="48"/>
      <c r="J11" s="22"/>
      <c r="K11" s="48"/>
      <c r="L11" s="22"/>
      <c r="M11" s="48"/>
      <c r="N11" s="49"/>
      <c r="O11" s="47">
        <v>4</v>
      </c>
    </row>
    <row r="12" spans="1:31" ht="35.1" customHeight="1">
      <c r="A12" s="8">
        <f t="shared" si="0"/>
        <v>0</v>
      </c>
      <c r="B12" s="16"/>
      <c r="C12" s="17"/>
      <c r="D12" s="18"/>
      <c r="E12" s="19"/>
      <c r="F12" s="20"/>
      <c r="G12" s="21"/>
      <c r="H12" s="22"/>
      <c r="I12" s="48"/>
      <c r="J12" s="22"/>
      <c r="K12" s="48"/>
      <c r="L12" s="22"/>
      <c r="M12" s="48"/>
      <c r="N12" s="49"/>
      <c r="O12" s="50">
        <v>5</v>
      </c>
    </row>
    <row r="13" spans="1:31" ht="35.1" customHeight="1">
      <c r="A13" s="8">
        <f t="shared" si="0"/>
        <v>0</v>
      </c>
      <c r="B13" s="16"/>
      <c r="C13" s="17"/>
      <c r="D13" s="18"/>
      <c r="E13" s="19"/>
      <c r="F13" s="20"/>
      <c r="G13" s="21"/>
      <c r="H13" s="22"/>
      <c r="I13" s="48"/>
      <c r="J13" s="22"/>
      <c r="K13" s="48"/>
      <c r="L13" s="22"/>
      <c r="M13" s="48"/>
      <c r="N13" s="49"/>
      <c r="O13" s="50">
        <v>6</v>
      </c>
    </row>
    <row r="14" spans="1:31" s="1" customFormat="1" ht="35.1" customHeight="1">
      <c r="A14" s="8">
        <f t="shared" si="0"/>
        <v>0</v>
      </c>
      <c r="B14" s="16"/>
      <c r="C14" s="17"/>
      <c r="D14" s="18"/>
      <c r="E14" s="19"/>
      <c r="F14" s="20"/>
      <c r="G14" s="21"/>
      <c r="H14" s="22"/>
      <c r="I14" s="48"/>
      <c r="J14" s="22"/>
      <c r="K14" s="48"/>
      <c r="L14" s="22"/>
      <c r="M14" s="48"/>
      <c r="N14" s="49"/>
      <c r="O14" s="47">
        <v>7</v>
      </c>
    </row>
    <row r="15" spans="1:31" ht="35.1" customHeight="1">
      <c r="A15" s="8">
        <f t="shared" si="0"/>
        <v>0</v>
      </c>
      <c r="B15" s="16"/>
      <c r="C15" s="17"/>
      <c r="D15" s="18"/>
      <c r="E15" s="19"/>
      <c r="F15" s="20"/>
      <c r="G15" s="21"/>
      <c r="H15" s="22"/>
      <c r="I15" s="48"/>
      <c r="J15" s="22"/>
      <c r="K15" s="48"/>
      <c r="L15" s="22"/>
      <c r="M15" s="48"/>
      <c r="N15" s="49"/>
      <c r="O15" s="50">
        <v>8</v>
      </c>
    </row>
    <row r="16" spans="1:31" ht="35.1" customHeight="1">
      <c r="A16" s="8">
        <f t="shared" si="0"/>
        <v>0</v>
      </c>
      <c r="B16" s="16"/>
      <c r="C16" s="17"/>
      <c r="D16" s="18"/>
      <c r="E16" s="19"/>
      <c r="F16" s="20"/>
      <c r="G16" s="21"/>
      <c r="H16" s="22"/>
      <c r="I16" s="48"/>
      <c r="J16" s="22"/>
      <c r="K16" s="48"/>
      <c r="L16" s="22"/>
      <c r="M16" s="48"/>
      <c r="N16" s="49"/>
      <c r="O16" s="50">
        <v>9</v>
      </c>
    </row>
    <row r="17" spans="1:15" ht="35.1" customHeight="1">
      <c r="A17" s="8">
        <f t="shared" si="0"/>
        <v>0</v>
      </c>
      <c r="B17" s="16"/>
      <c r="C17" s="17"/>
      <c r="D17" s="18"/>
      <c r="E17" s="19"/>
      <c r="F17" s="20"/>
      <c r="G17" s="21"/>
      <c r="H17" s="22"/>
      <c r="I17" s="48"/>
      <c r="J17" s="22"/>
      <c r="K17" s="48"/>
      <c r="L17" s="22"/>
      <c r="M17" s="48"/>
      <c r="N17" s="49"/>
      <c r="O17" s="47">
        <v>10</v>
      </c>
    </row>
    <row r="18" spans="1:15" ht="35.1" customHeight="1">
      <c r="A18" s="8">
        <f t="shared" si="0"/>
        <v>0</v>
      </c>
      <c r="B18" s="16"/>
      <c r="C18" s="17"/>
      <c r="D18" s="18"/>
      <c r="E18" s="19"/>
      <c r="F18" s="20"/>
      <c r="G18" s="21"/>
      <c r="H18" s="22"/>
      <c r="I18" s="48"/>
      <c r="J18" s="22"/>
      <c r="K18" s="48"/>
      <c r="L18" s="22"/>
      <c r="M18" s="48"/>
      <c r="N18" s="49"/>
      <c r="O18" s="50">
        <v>11</v>
      </c>
    </row>
    <row r="19" spans="1:15" ht="35.1" customHeight="1">
      <c r="A19" s="8">
        <f t="shared" si="0"/>
        <v>0</v>
      </c>
      <c r="B19" s="16"/>
      <c r="C19" s="17"/>
      <c r="D19" s="18"/>
      <c r="E19" s="19"/>
      <c r="F19" s="20"/>
      <c r="G19" s="21"/>
      <c r="H19" s="22"/>
      <c r="I19" s="48"/>
      <c r="J19" s="22"/>
      <c r="K19" s="48"/>
      <c r="L19" s="22"/>
      <c r="M19" s="48"/>
      <c r="N19" s="49"/>
      <c r="O19" s="50">
        <v>12</v>
      </c>
    </row>
    <row r="20" spans="1:15" ht="35.1" customHeight="1">
      <c r="A20" s="8">
        <f t="shared" si="0"/>
        <v>0</v>
      </c>
      <c r="B20" s="16"/>
      <c r="C20" s="17"/>
      <c r="D20" s="18"/>
      <c r="E20" s="19"/>
      <c r="F20" s="20"/>
      <c r="G20" s="21"/>
      <c r="H20" s="22"/>
      <c r="I20" s="48"/>
      <c r="J20" s="22"/>
      <c r="K20" s="48"/>
      <c r="L20" s="22"/>
      <c r="M20" s="48"/>
      <c r="N20" s="49"/>
      <c r="O20" s="47">
        <v>13</v>
      </c>
    </row>
    <row r="21" spans="1:15" ht="35.1" customHeight="1">
      <c r="A21" s="8">
        <f t="shared" si="0"/>
        <v>0</v>
      </c>
      <c r="B21" s="16"/>
      <c r="C21" s="17"/>
      <c r="D21" s="18"/>
      <c r="E21" s="19"/>
      <c r="F21" s="20"/>
      <c r="G21" s="21"/>
      <c r="H21" s="22"/>
      <c r="I21" s="48"/>
      <c r="J21" s="22"/>
      <c r="K21" s="48"/>
      <c r="L21" s="22"/>
      <c r="M21" s="48"/>
      <c r="N21" s="49"/>
      <c r="O21" s="50">
        <v>14</v>
      </c>
    </row>
    <row r="22" spans="1:15" ht="35.1" customHeight="1">
      <c r="A22" s="8">
        <f t="shared" si="0"/>
        <v>0</v>
      </c>
      <c r="B22" s="16"/>
      <c r="C22" s="17"/>
      <c r="D22" s="18"/>
      <c r="E22" s="19"/>
      <c r="F22" s="20"/>
      <c r="G22" s="21"/>
      <c r="H22" s="22"/>
      <c r="I22" s="48"/>
      <c r="J22" s="22"/>
      <c r="K22" s="48"/>
      <c r="L22" s="22"/>
      <c r="M22" s="48"/>
      <c r="N22" s="49"/>
      <c r="O22" s="50">
        <v>15</v>
      </c>
    </row>
    <row r="23" spans="1:15" ht="35.1" customHeight="1">
      <c r="A23" s="8">
        <f t="shared" si="0"/>
        <v>0</v>
      </c>
      <c r="B23" s="16"/>
      <c r="C23" s="17"/>
      <c r="D23" s="18"/>
      <c r="E23" s="19"/>
      <c r="F23" s="20"/>
      <c r="G23" s="21"/>
      <c r="H23" s="22"/>
      <c r="I23" s="48"/>
      <c r="J23" s="22"/>
      <c r="K23" s="48"/>
      <c r="L23" s="22"/>
      <c r="M23" s="48"/>
      <c r="N23" s="49"/>
      <c r="O23" s="47">
        <v>16</v>
      </c>
    </row>
    <row r="24" spans="1:15" ht="35.1" customHeight="1">
      <c r="A24" s="8">
        <f t="shared" si="0"/>
        <v>0</v>
      </c>
      <c r="B24" s="16"/>
      <c r="C24" s="17"/>
      <c r="D24" s="18"/>
      <c r="E24" s="19"/>
      <c r="F24" s="20"/>
      <c r="G24" s="21"/>
      <c r="H24" s="22"/>
      <c r="I24" s="48"/>
      <c r="J24" s="22"/>
      <c r="K24" s="48"/>
      <c r="L24" s="22"/>
      <c r="M24" s="48"/>
      <c r="N24" s="49"/>
      <c r="O24" s="50">
        <v>17</v>
      </c>
    </row>
    <row r="25" spans="1:15" ht="35.1" customHeight="1">
      <c r="A25" s="8">
        <f t="shared" si="0"/>
        <v>0</v>
      </c>
      <c r="B25" s="16"/>
      <c r="C25" s="17"/>
      <c r="D25" s="18"/>
      <c r="E25" s="19"/>
      <c r="F25" s="20"/>
      <c r="G25" s="21"/>
      <c r="H25" s="22"/>
      <c r="I25" s="48"/>
      <c r="J25" s="22"/>
      <c r="K25" s="48"/>
      <c r="L25" s="22"/>
      <c r="M25" s="48"/>
      <c r="N25" s="49"/>
      <c r="O25" s="50">
        <v>18</v>
      </c>
    </row>
    <row r="26" spans="1:15" ht="35.1" customHeight="1">
      <c r="A26" s="8">
        <f t="shared" si="0"/>
        <v>0</v>
      </c>
      <c r="B26" s="16"/>
      <c r="C26" s="17"/>
      <c r="D26" s="18"/>
      <c r="E26" s="19"/>
      <c r="F26" s="20"/>
      <c r="G26" s="21"/>
      <c r="H26" s="22"/>
      <c r="I26" s="48"/>
      <c r="J26" s="22"/>
      <c r="K26" s="48"/>
      <c r="L26" s="22"/>
      <c r="M26" s="48"/>
      <c r="N26" s="49"/>
      <c r="O26" s="47">
        <v>19</v>
      </c>
    </row>
    <row r="27" spans="1:15" ht="35.1" customHeight="1">
      <c r="A27" s="8">
        <f t="shared" si="0"/>
        <v>0</v>
      </c>
      <c r="B27" s="16"/>
      <c r="C27" s="17"/>
      <c r="D27" s="18"/>
      <c r="E27" s="19"/>
      <c r="F27" s="20"/>
      <c r="G27" s="21"/>
      <c r="H27" s="22"/>
      <c r="I27" s="48"/>
      <c r="J27" s="22"/>
      <c r="K27" s="48"/>
      <c r="L27" s="22"/>
      <c r="M27" s="48"/>
      <c r="N27" s="49"/>
      <c r="O27" s="50">
        <v>20</v>
      </c>
    </row>
    <row r="28" spans="1:15" ht="35.1" customHeight="1">
      <c r="A28" s="8">
        <f t="shared" si="0"/>
        <v>0</v>
      </c>
      <c r="B28" s="16"/>
      <c r="C28" s="17"/>
      <c r="D28" s="18"/>
      <c r="E28" s="19"/>
      <c r="F28" s="20"/>
      <c r="G28" s="21"/>
      <c r="H28" s="22"/>
      <c r="I28" s="48"/>
      <c r="J28" s="22"/>
      <c r="K28" s="48"/>
      <c r="L28" s="22"/>
      <c r="M28" s="48"/>
      <c r="N28" s="49"/>
      <c r="O28" s="50">
        <v>21</v>
      </c>
    </row>
    <row r="29" spans="1:15" ht="35.1" customHeight="1">
      <c r="A29" s="8">
        <f t="shared" si="0"/>
        <v>0</v>
      </c>
      <c r="B29" s="16"/>
      <c r="C29" s="17"/>
      <c r="D29" s="18"/>
      <c r="E29" s="19"/>
      <c r="F29" s="20"/>
      <c r="G29" s="21"/>
      <c r="H29" s="22"/>
      <c r="I29" s="48"/>
      <c r="J29" s="22"/>
      <c r="K29" s="48"/>
      <c r="L29" s="22"/>
      <c r="M29" s="48"/>
      <c r="N29" s="49"/>
      <c r="O29" s="47">
        <v>22</v>
      </c>
    </row>
    <row r="30" spans="1:15" ht="35.1" customHeight="1">
      <c r="A30" s="8">
        <f t="shared" si="0"/>
        <v>0</v>
      </c>
      <c r="B30" s="16"/>
      <c r="C30" s="17"/>
      <c r="D30" s="18"/>
      <c r="E30" s="19"/>
      <c r="F30" s="20"/>
      <c r="G30" s="21"/>
      <c r="H30" s="22"/>
      <c r="I30" s="48"/>
      <c r="J30" s="22"/>
      <c r="K30" s="48"/>
      <c r="L30" s="22"/>
      <c r="M30" s="48"/>
      <c r="N30" s="49"/>
      <c r="O30" s="50">
        <v>23</v>
      </c>
    </row>
    <row r="31" spans="1:15" ht="35.1" customHeight="1">
      <c r="A31" s="8">
        <f t="shared" si="0"/>
        <v>0</v>
      </c>
      <c r="B31" s="16"/>
      <c r="C31" s="17"/>
      <c r="D31" s="18"/>
      <c r="E31" s="19"/>
      <c r="F31" s="20"/>
      <c r="G31" s="21"/>
      <c r="H31" s="22"/>
      <c r="I31" s="48"/>
      <c r="J31" s="22"/>
      <c r="K31" s="48"/>
      <c r="L31" s="22"/>
      <c r="M31" s="48"/>
      <c r="N31" s="49"/>
      <c r="O31" s="50">
        <v>24</v>
      </c>
    </row>
    <row r="32" spans="1:15" ht="35.1" customHeight="1">
      <c r="A32" s="8">
        <f t="shared" si="0"/>
        <v>0</v>
      </c>
      <c r="B32" s="16"/>
      <c r="C32" s="17"/>
      <c r="D32" s="18"/>
      <c r="E32" s="19"/>
      <c r="F32" s="20"/>
      <c r="G32" s="21"/>
      <c r="H32" s="22"/>
      <c r="I32" s="48"/>
      <c r="J32" s="22"/>
      <c r="K32" s="48"/>
      <c r="L32" s="22"/>
      <c r="M32" s="48"/>
      <c r="N32" s="49"/>
      <c r="O32" s="47">
        <v>25</v>
      </c>
    </row>
    <row r="33" spans="1:16" ht="35.1" customHeight="1">
      <c r="A33" s="8">
        <f t="shared" si="0"/>
        <v>0</v>
      </c>
      <c r="B33" s="16"/>
      <c r="C33" s="17"/>
      <c r="D33" s="18"/>
      <c r="E33" s="19"/>
      <c r="F33" s="20"/>
      <c r="G33" s="21"/>
      <c r="H33" s="22"/>
      <c r="I33" s="48"/>
      <c r="J33" s="22"/>
      <c r="K33" s="48"/>
      <c r="L33" s="22"/>
      <c r="M33" s="48"/>
      <c r="N33" s="49"/>
      <c r="O33" s="50">
        <v>26</v>
      </c>
    </row>
    <row r="34" spans="1:16" ht="35.1" customHeight="1">
      <c r="A34" s="8">
        <f t="shared" si="0"/>
        <v>0</v>
      </c>
      <c r="B34" s="16"/>
      <c r="C34" s="17"/>
      <c r="D34" s="18"/>
      <c r="E34" s="19"/>
      <c r="F34" s="20"/>
      <c r="G34" s="21"/>
      <c r="H34" s="22"/>
      <c r="I34" s="48"/>
      <c r="J34" s="22"/>
      <c r="K34" s="48"/>
      <c r="L34" s="22"/>
      <c r="M34" s="48"/>
      <c r="N34" s="49"/>
      <c r="O34" s="50">
        <v>27</v>
      </c>
    </row>
    <row r="35" spans="1:16" ht="35.1" customHeight="1">
      <c r="A35" s="8">
        <f t="shared" si="0"/>
        <v>0</v>
      </c>
      <c r="B35" s="16"/>
      <c r="C35" s="17"/>
      <c r="D35" s="18"/>
      <c r="E35" s="19"/>
      <c r="F35" s="20"/>
      <c r="G35" s="21"/>
      <c r="H35" s="22"/>
      <c r="I35" s="48"/>
      <c r="J35" s="22"/>
      <c r="K35" s="48"/>
      <c r="L35" s="22"/>
      <c r="M35" s="48"/>
      <c r="N35" s="49"/>
      <c r="O35" s="47">
        <v>28</v>
      </c>
    </row>
    <row r="36" spans="1:16" ht="35.1" customHeight="1">
      <c r="A36" s="8">
        <f t="shared" si="0"/>
        <v>0</v>
      </c>
      <c r="B36" s="16"/>
      <c r="C36" s="17"/>
      <c r="D36" s="18"/>
      <c r="E36" s="19"/>
      <c r="F36" s="20"/>
      <c r="G36" s="21"/>
      <c r="H36" s="22"/>
      <c r="I36" s="48"/>
      <c r="J36" s="22"/>
      <c r="K36" s="48"/>
      <c r="L36" s="22"/>
      <c r="M36" s="48"/>
      <c r="N36" s="49"/>
      <c r="O36" s="50">
        <v>29</v>
      </c>
    </row>
    <row r="37" spans="1:16" ht="35.1" customHeight="1">
      <c r="A37" s="8">
        <f t="shared" si="0"/>
        <v>0</v>
      </c>
      <c r="B37" s="16"/>
      <c r="C37" s="17"/>
      <c r="D37" s="18"/>
      <c r="E37" s="19"/>
      <c r="F37" s="20"/>
      <c r="G37" s="21"/>
      <c r="H37" s="22"/>
      <c r="I37" s="48"/>
      <c r="J37" s="22"/>
      <c r="K37" s="48"/>
      <c r="L37" s="22"/>
      <c r="M37" s="48"/>
      <c r="N37" s="49"/>
      <c r="O37" s="50">
        <v>30</v>
      </c>
    </row>
    <row r="38" spans="1:16" ht="35.1" customHeight="1">
      <c r="A38" s="23">
        <f t="shared" si="0"/>
        <v>0</v>
      </c>
      <c r="B38" s="24"/>
      <c r="C38" s="25"/>
      <c r="D38" s="26"/>
      <c r="E38" s="27"/>
      <c r="F38" s="28"/>
      <c r="G38" s="29"/>
      <c r="H38" s="30"/>
      <c r="I38" s="51"/>
      <c r="J38" s="30"/>
      <c r="K38" s="51"/>
      <c r="L38" s="30"/>
      <c r="M38" s="51"/>
      <c r="N38" s="52"/>
      <c r="O38" s="47">
        <v>31</v>
      </c>
    </row>
    <row r="39" spans="1:16" ht="39.950000000000003" customHeight="1">
      <c r="A39" s="31">
        <f t="shared" si="0"/>
        <v>0</v>
      </c>
      <c r="B39" s="32">
        <f>SUM(B8:B38)</f>
        <v>0</v>
      </c>
      <c r="C39" s="32">
        <f>SUM(C8:C38)</f>
        <v>0</v>
      </c>
      <c r="D39" s="32">
        <f>SUM(D8:D38)</f>
        <v>0</v>
      </c>
      <c r="E39" s="33">
        <f t="shared" ref="E39:N39" si="1">SUM(E8:E38)</f>
        <v>0</v>
      </c>
      <c r="F39" s="34">
        <f t="shared" si="1"/>
        <v>0</v>
      </c>
      <c r="G39" s="35">
        <f t="shared" si="1"/>
        <v>0</v>
      </c>
      <c r="H39" s="36">
        <f t="shared" si="1"/>
        <v>0</v>
      </c>
      <c r="I39" s="35">
        <f t="shared" si="1"/>
        <v>0</v>
      </c>
      <c r="J39" s="36">
        <f t="shared" si="1"/>
        <v>0</v>
      </c>
      <c r="K39" s="35">
        <f t="shared" si="1"/>
        <v>0</v>
      </c>
      <c r="L39" s="36">
        <f t="shared" si="1"/>
        <v>0</v>
      </c>
      <c r="M39" s="35">
        <f t="shared" si="1"/>
        <v>0</v>
      </c>
      <c r="N39" s="35">
        <f t="shared" si="1"/>
        <v>0</v>
      </c>
      <c r="O39" s="53" t="s">
        <v>115</v>
      </c>
    </row>
    <row r="41" spans="1:16" ht="39.950000000000003" customHeight="1">
      <c r="A41" s="586" t="s">
        <v>115</v>
      </c>
      <c r="B41" s="637" t="s">
        <v>131</v>
      </c>
      <c r="C41" s="638"/>
      <c r="D41" s="638"/>
      <c r="E41" s="638"/>
      <c r="F41" s="638"/>
      <c r="G41" s="638"/>
      <c r="H41" s="638"/>
      <c r="I41" s="638"/>
      <c r="J41" s="638"/>
      <c r="K41" s="638"/>
      <c r="L41" s="638"/>
      <c r="M41" s="638"/>
      <c r="N41" s="638"/>
      <c r="O41" s="639"/>
    </row>
    <row r="42" spans="1:16" ht="39.950000000000003" customHeight="1">
      <c r="A42" s="587"/>
      <c r="B42" s="633" t="s">
        <v>54</v>
      </c>
      <c r="C42" s="634"/>
      <c r="D42" s="600" t="s">
        <v>117</v>
      </c>
      <c r="E42" s="605"/>
      <c r="F42" s="600" t="s">
        <v>118</v>
      </c>
      <c r="G42" s="605"/>
      <c r="H42" s="37" t="s">
        <v>119</v>
      </c>
      <c r="I42" s="37" t="s">
        <v>120</v>
      </c>
      <c r="J42" s="37" t="s">
        <v>121</v>
      </c>
      <c r="K42" s="54" t="s">
        <v>122</v>
      </c>
      <c r="L42" s="44" t="s">
        <v>123</v>
      </c>
      <c r="M42" s="44" t="s">
        <v>132</v>
      </c>
      <c r="N42" s="37" t="s">
        <v>125</v>
      </c>
      <c r="O42" s="628" t="s">
        <v>133</v>
      </c>
      <c r="P42" s="592" t="s">
        <v>134</v>
      </c>
    </row>
    <row r="43" spans="1:16" ht="39.950000000000003" customHeight="1">
      <c r="A43" s="587"/>
      <c r="B43" s="4" t="s">
        <v>126</v>
      </c>
      <c r="C43" s="38" t="s">
        <v>127</v>
      </c>
      <c r="D43" s="4" t="s">
        <v>126</v>
      </c>
      <c r="E43" s="38" t="s">
        <v>127</v>
      </c>
      <c r="F43" s="4" t="s">
        <v>129</v>
      </c>
      <c r="G43" s="38" t="s">
        <v>127</v>
      </c>
      <c r="H43" s="4" t="s">
        <v>127</v>
      </c>
      <c r="I43" s="4" t="s">
        <v>127</v>
      </c>
      <c r="J43" s="4" t="s">
        <v>130</v>
      </c>
      <c r="K43" s="4" t="s">
        <v>130</v>
      </c>
      <c r="L43" s="4" t="s">
        <v>130</v>
      </c>
      <c r="M43" s="4" t="s">
        <v>130</v>
      </c>
      <c r="N43" s="37" t="s">
        <v>130</v>
      </c>
      <c r="O43" s="629"/>
      <c r="P43" s="593"/>
    </row>
    <row r="44" spans="1:16" ht="39.950000000000003" customHeight="1">
      <c r="A44" s="39">
        <f t="shared" ref="A44:A74" si="2">SUM(D44:M44)</f>
        <v>0</v>
      </c>
      <c r="B44" s="40">
        <f>B8/25</f>
        <v>0</v>
      </c>
      <c r="C44" s="40">
        <f>C8/20</f>
        <v>0</v>
      </c>
      <c r="D44" s="41">
        <f>D8/25</f>
        <v>0</v>
      </c>
      <c r="E44" s="41">
        <f>E8/20</f>
        <v>0</v>
      </c>
      <c r="F44" s="41">
        <f>F8/30</f>
        <v>0</v>
      </c>
      <c r="G44" s="41">
        <f t="shared" ref="G44:N44" si="3">G8/20</f>
        <v>0</v>
      </c>
      <c r="H44" s="41">
        <f t="shared" si="3"/>
        <v>0</v>
      </c>
      <c r="I44" s="41">
        <f t="shared" si="3"/>
        <v>0</v>
      </c>
      <c r="J44" s="41">
        <f t="shared" si="3"/>
        <v>0</v>
      </c>
      <c r="K44" s="41">
        <f t="shared" si="3"/>
        <v>0</v>
      </c>
      <c r="L44" s="41">
        <f t="shared" si="3"/>
        <v>0</v>
      </c>
      <c r="M44" s="41">
        <f t="shared" si="3"/>
        <v>0</v>
      </c>
      <c r="N44" s="41">
        <f t="shared" si="3"/>
        <v>0</v>
      </c>
      <c r="O44" s="55"/>
      <c r="P44" s="56">
        <v>1</v>
      </c>
    </row>
    <row r="45" spans="1:16" ht="39.950000000000003" customHeight="1">
      <c r="A45" s="42">
        <f t="shared" si="2"/>
        <v>0</v>
      </c>
      <c r="B45" s="40">
        <f t="shared" ref="B45:B74" si="4">B9/25</f>
        <v>0</v>
      </c>
      <c r="C45" s="40">
        <f t="shared" ref="C45:C74" si="5">C9/20</f>
        <v>0</v>
      </c>
      <c r="D45" s="43">
        <f t="shared" ref="D45:D74" si="6">D9/25</f>
        <v>0</v>
      </c>
      <c r="E45" s="43">
        <f t="shared" ref="E45:E74" si="7">E9/20</f>
        <v>0</v>
      </c>
      <c r="F45" s="43">
        <f t="shared" ref="F45:F74" si="8">F9/30</f>
        <v>0</v>
      </c>
      <c r="G45" s="43">
        <f t="shared" ref="G45:G74" si="9">G9/20</f>
        <v>0</v>
      </c>
      <c r="H45" s="43">
        <f t="shared" ref="H45:H74" si="10">H9/20</f>
        <v>0</v>
      </c>
      <c r="I45" s="43">
        <f t="shared" ref="I45:I74" si="11">I9/20</f>
        <v>0</v>
      </c>
      <c r="J45" s="43">
        <f t="shared" ref="J45:J74" si="12">J9/20</f>
        <v>0</v>
      </c>
      <c r="K45" s="41">
        <f t="shared" ref="K45:K74" si="13">K9/20</f>
        <v>0</v>
      </c>
      <c r="L45" s="41">
        <f t="shared" ref="L45:L74" si="14">L9/20</f>
        <v>0</v>
      </c>
      <c r="M45" s="41">
        <f t="shared" ref="M45:N74" si="15">M9/20</f>
        <v>0</v>
      </c>
      <c r="N45" s="41">
        <f t="shared" si="15"/>
        <v>0</v>
      </c>
      <c r="O45" s="57"/>
      <c r="P45" s="56">
        <v>2</v>
      </c>
    </row>
    <row r="46" spans="1:16" ht="39.950000000000003" customHeight="1">
      <c r="A46" s="42">
        <f t="shared" si="2"/>
        <v>0</v>
      </c>
      <c r="B46" s="40">
        <f t="shared" si="4"/>
        <v>0</v>
      </c>
      <c r="C46" s="40">
        <f t="shared" si="5"/>
        <v>0</v>
      </c>
      <c r="D46" s="43">
        <f t="shared" si="6"/>
        <v>0</v>
      </c>
      <c r="E46" s="43">
        <f t="shared" si="7"/>
        <v>0</v>
      </c>
      <c r="F46" s="43">
        <f t="shared" si="8"/>
        <v>0</v>
      </c>
      <c r="G46" s="43">
        <f t="shared" si="9"/>
        <v>0</v>
      </c>
      <c r="H46" s="43">
        <f t="shared" si="10"/>
        <v>0</v>
      </c>
      <c r="I46" s="43">
        <f t="shared" si="11"/>
        <v>0</v>
      </c>
      <c r="J46" s="43">
        <f t="shared" si="12"/>
        <v>0</v>
      </c>
      <c r="K46" s="41">
        <f t="shared" si="13"/>
        <v>0</v>
      </c>
      <c r="L46" s="41">
        <f t="shared" si="14"/>
        <v>0</v>
      </c>
      <c r="M46" s="41">
        <f t="shared" si="15"/>
        <v>0</v>
      </c>
      <c r="N46" s="41">
        <f t="shared" si="15"/>
        <v>0</v>
      </c>
      <c r="O46" s="57"/>
      <c r="P46" s="56">
        <v>3</v>
      </c>
    </row>
    <row r="47" spans="1:16" ht="39.950000000000003" customHeight="1">
      <c r="A47" s="42">
        <f t="shared" si="2"/>
        <v>0</v>
      </c>
      <c r="B47" s="40">
        <f t="shared" si="4"/>
        <v>0</v>
      </c>
      <c r="C47" s="40">
        <f t="shared" si="5"/>
        <v>0</v>
      </c>
      <c r="D47" s="43">
        <f t="shared" si="6"/>
        <v>0</v>
      </c>
      <c r="E47" s="43">
        <f t="shared" si="7"/>
        <v>0</v>
      </c>
      <c r="F47" s="43">
        <f t="shared" si="8"/>
        <v>0</v>
      </c>
      <c r="G47" s="43">
        <f t="shared" si="9"/>
        <v>0</v>
      </c>
      <c r="H47" s="43">
        <f t="shared" si="10"/>
        <v>0</v>
      </c>
      <c r="I47" s="43">
        <f t="shared" si="11"/>
        <v>0</v>
      </c>
      <c r="J47" s="43">
        <f t="shared" si="12"/>
        <v>0</v>
      </c>
      <c r="K47" s="41">
        <f t="shared" si="13"/>
        <v>0</v>
      </c>
      <c r="L47" s="41">
        <f t="shared" si="14"/>
        <v>0</v>
      </c>
      <c r="M47" s="41">
        <f t="shared" si="15"/>
        <v>0</v>
      </c>
      <c r="N47" s="41">
        <f t="shared" si="15"/>
        <v>0</v>
      </c>
      <c r="O47" s="57"/>
      <c r="P47" s="56">
        <v>4</v>
      </c>
    </row>
    <row r="48" spans="1:16" ht="39.950000000000003" customHeight="1">
      <c r="A48" s="42">
        <f t="shared" si="2"/>
        <v>0</v>
      </c>
      <c r="B48" s="40">
        <f t="shared" si="4"/>
        <v>0</v>
      </c>
      <c r="C48" s="40">
        <f t="shared" si="5"/>
        <v>0</v>
      </c>
      <c r="D48" s="43">
        <f t="shared" si="6"/>
        <v>0</v>
      </c>
      <c r="E48" s="43">
        <f t="shared" si="7"/>
        <v>0</v>
      </c>
      <c r="F48" s="43">
        <f t="shared" si="8"/>
        <v>0</v>
      </c>
      <c r="G48" s="43">
        <f t="shared" si="9"/>
        <v>0</v>
      </c>
      <c r="H48" s="43">
        <f t="shared" si="10"/>
        <v>0</v>
      </c>
      <c r="I48" s="43">
        <f t="shared" si="11"/>
        <v>0</v>
      </c>
      <c r="J48" s="43">
        <f t="shared" si="12"/>
        <v>0</v>
      </c>
      <c r="K48" s="41">
        <f t="shared" si="13"/>
        <v>0</v>
      </c>
      <c r="L48" s="41">
        <f t="shared" si="14"/>
        <v>0</v>
      </c>
      <c r="M48" s="41">
        <f t="shared" si="15"/>
        <v>0</v>
      </c>
      <c r="N48" s="41">
        <f t="shared" si="15"/>
        <v>0</v>
      </c>
      <c r="O48" s="57"/>
      <c r="P48" s="56">
        <v>5</v>
      </c>
    </row>
    <row r="49" spans="1:16" ht="39.950000000000003" customHeight="1">
      <c r="A49" s="42">
        <f t="shared" si="2"/>
        <v>0</v>
      </c>
      <c r="B49" s="40">
        <f t="shared" si="4"/>
        <v>0</v>
      </c>
      <c r="C49" s="40">
        <f t="shared" si="5"/>
        <v>0</v>
      </c>
      <c r="D49" s="43">
        <f t="shared" si="6"/>
        <v>0</v>
      </c>
      <c r="E49" s="43">
        <f t="shared" si="7"/>
        <v>0</v>
      </c>
      <c r="F49" s="43">
        <f t="shared" si="8"/>
        <v>0</v>
      </c>
      <c r="G49" s="43">
        <f t="shared" si="9"/>
        <v>0</v>
      </c>
      <c r="H49" s="43">
        <f t="shared" si="10"/>
        <v>0</v>
      </c>
      <c r="I49" s="43">
        <f t="shared" si="11"/>
        <v>0</v>
      </c>
      <c r="J49" s="43">
        <f t="shared" si="12"/>
        <v>0</v>
      </c>
      <c r="K49" s="41">
        <f t="shared" si="13"/>
        <v>0</v>
      </c>
      <c r="L49" s="41">
        <f t="shared" si="14"/>
        <v>0</v>
      </c>
      <c r="M49" s="41">
        <f t="shared" si="15"/>
        <v>0</v>
      </c>
      <c r="N49" s="41">
        <f t="shared" si="15"/>
        <v>0</v>
      </c>
      <c r="O49" s="57"/>
      <c r="P49" s="56">
        <v>6</v>
      </c>
    </row>
    <row r="50" spans="1:16" ht="39.950000000000003" customHeight="1">
      <c r="A50" s="42">
        <f t="shared" si="2"/>
        <v>0</v>
      </c>
      <c r="B50" s="40">
        <f t="shared" si="4"/>
        <v>0</v>
      </c>
      <c r="C50" s="40">
        <f t="shared" si="5"/>
        <v>0</v>
      </c>
      <c r="D50" s="43">
        <f t="shared" si="6"/>
        <v>0</v>
      </c>
      <c r="E50" s="43">
        <f t="shared" si="7"/>
        <v>0</v>
      </c>
      <c r="F50" s="43">
        <f t="shared" si="8"/>
        <v>0</v>
      </c>
      <c r="G50" s="43">
        <f t="shared" si="9"/>
        <v>0</v>
      </c>
      <c r="H50" s="43">
        <f t="shared" si="10"/>
        <v>0</v>
      </c>
      <c r="I50" s="43">
        <f t="shared" si="11"/>
        <v>0</v>
      </c>
      <c r="J50" s="43">
        <f t="shared" si="12"/>
        <v>0</v>
      </c>
      <c r="K50" s="41">
        <f t="shared" si="13"/>
        <v>0</v>
      </c>
      <c r="L50" s="41">
        <f t="shared" si="14"/>
        <v>0</v>
      </c>
      <c r="M50" s="41">
        <f t="shared" si="15"/>
        <v>0</v>
      </c>
      <c r="N50" s="41">
        <f t="shared" si="15"/>
        <v>0</v>
      </c>
      <c r="O50" s="57"/>
      <c r="P50" s="56">
        <v>7</v>
      </c>
    </row>
    <row r="51" spans="1:16" ht="39.950000000000003" customHeight="1">
      <c r="A51" s="42">
        <f t="shared" si="2"/>
        <v>0</v>
      </c>
      <c r="B51" s="40">
        <f t="shared" si="4"/>
        <v>0</v>
      </c>
      <c r="C51" s="40">
        <f t="shared" si="5"/>
        <v>0</v>
      </c>
      <c r="D51" s="43">
        <f t="shared" si="6"/>
        <v>0</v>
      </c>
      <c r="E51" s="43">
        <f t="shared" si="7"/>
        <v>0</v>
      </c>
      <c r="F51" s="43">
        <f t="shared" si="8"/>
        <v>0</v>
      </c>
      <c r="G51" s="43">
        <f t="shared" si="9"/>
        <v>0</v>
      </c>
      <c r="H51" s="43">
        <f t="shared" si="10"/>
        <v>0</v>
      </c>
      <c r="I51" s="43">
        <f t="shared" si="11"/>
        <v>0</v>
      </c>
      <c r="J51" s="43">
        <f t="shared" si="12"/>
        <v>0</v>
      </c>
      <c r="K51" s="41">
        <f t="shared" si="13"/>
        <v>0</v>
      </c>
      <c r="L51" s="41">
        <f t="shared" si="14"/>
        <v>0</v>
      </c>
      <c r="M51" s="41">
        <f t="shared" si="15"/>
        <v>0</v>
      </c>
      <c r="N51" s="41">
        <f t="shared" si="15"/>
        <v>0</v>
      </c>
      <c r="O51" s="57"/>
      <c r="P51" s="56">
        <v>8</v>
      </c>
    </row>
    <row r="52" spans="1:16" ht="39.950000000000003" customHeight="1">
      <c r="A52" s="42">
        <f t="shared" si="2"/>
        <v>0</v>
      </c>
      <c r="B52" s="40">
        <f t="shared" si="4"/>
        <v>0</v>
      </c>
      <c r="C52" s="40">
        <f t="shared" si="5"/>
        <v>0</v>
      </c>
      <c r="D52" s="43">
        <f t="shared" si="6"/>
        <v>0</v>
      </c>
      <c r="E52" s="43">
        <f t="shared" si="7"/>
        <v>0</v>
      </c>
      <c r="F52" s="43">
        <f t="shared" si="8"/>
        <v>0</v>
      </c>
      <c r="G52" s="43">
        <f t="shared" si="9"/>
        <v>0</v>
      </c>
      <c r="H52" s="43">
        <f t="shared" si="10"/>
        <v>0</v>
      </c>
      <c r="I52" s="43">
        <f t="shared" si="11"/>
        <v>0</v>
      </c>
      <c r="J52" s="43">
        <f t="shared" si="12"/>
        <v>0</v>
      </c>
      <c r="K52" s="41">
        <f t="shared" si="13"/>
        <v>0</v>
      </c>
      <c r="L52" s="41">
        <f t="shared" si="14"/>
        <v>0</v>
      </c>
      <c r="M52" s="41">
        <f t="shared" si="15"/>
        <v>0</v>
      </c>
      <c r="N52" s="41">
        <f t="shared" si="15"/>
        <v>0</v>
      </c>
      <c r="O52" s="57"/>
      <c r="P52" s="56">
        <v>9</v>
      </c>
    </row>
    <row r="53" spans="1:16" ht="39.950000000000003" customHeight="1">
      <c r="A53" s="42">
        <f t="shared" si="2"/>
        <v>0</v>
      </c>
      <c r="B53" s="40">
        <f t="shared" si="4"/>
        <v>0</v>
      </c>
      <c r="C53" s="40">
        <f t="shared" si="5"/>
        <v>0</v>
      </c>
      <c r="D53" s="43">
        <f t="shared" si="6"/>
        <v>0</v>
      </c>
      <c r="E53" s="43">
        <f t="shared" si="7"/>
        <v>0</v>
      </c>
      <c r="F53" s="43">
        <f t="shared" si="8"/>
        <v>0</v>
      </c>
      <c r="G53" s="43">
        <f t="shared" si="9"/>
        <v>0</v>
      </c>
      <c r="H53" s="43">
        <f t="shared" si="10"/>
        <v>0</v>
      </c>
      <c r="I53" s="43">
        <f t="shared" si="11"/>
        <v>0</v>
      </c>
      <c r="J53" s="43">
        <f t="shared" si="12"/>
        <v>0</v>
      </c>
      <c r="K53" s="41">
        <f t="shared" si="13"/>
        <v>0</v>
      </c>
      <c r="L53" s="41">
        <f t="shared" si="14"/>
        <v>0</v>
      </c>
      <c r="M53" s="41">
        <f t="shared" si="15"/>
        <v>0</v>
      </c>
      <c r="N53" s="41">
        <f t="shared" si="15"/>
        <v>0</v>
      </c>
      <c r="O53" s="57"/>
      <c r="P53" s="56">
        <v>10</v>
      </c>
    </row>
    <row r="54" spans="1:16" ht="39.950000000000003" customHeight="1">
      <c r="A54" s="42">
        <f t="shared" si="2"/>
        <v>0</v>
      </c>
      <c r="B54" s="40">
        <f t="shared" si="4"/>
        <v>0</v>
      </c>
      <c r="C54" s="40">
        <f t="shared" si="5"/>
        <v>0</v>
      </c>
      <c r="D54" s="43">
        <f t="shared" si="6"/>
        <v>0</v>
      </c>
      <c r="E54" s="43">
        <f t="shared" si="7"/>
        <v>0</v>
      </c>
      <c r="F54" s="43">
        <f t="shared" si="8"/>
        <v>0</v>
      </c>
      <c r="G54" s="43">
        <f t="shared" si="9"/>
        <v>0</v>
      </c>
      <c r="H54" s="43">
        <f t="shared" si="10"/>
        <v>0</v>
      </c>
      <c r="I54" s="43">
        <f t="shared" si="11"/>
        <v>0</v>
      </c>
      <c r="J54" s="43">
        <f t="shared" si="12"/>
        <v>0</v>
      </c>
      <c r="K54" s="41">
        <f t="shared" si="13"/>
        <v>0</v>
      </c>
      <c r="L54" s="41">
        <f t="shared" si="14"/>
        <v>0</v>
      </c>
      <c r="M54" s="41">
        <f t="shared" si="15"/>
        <v>0</v>
      </c>
      <c r="N54" s="41">
        <f t="shared" si="15"/>
        <v>0</v>
      </c>
      <c r="O54" s="57"/>
      <c r="P54" s="56">
        <v>11</v>
      </c>
    </row>
    <row r="55" spans="1:16" ht="39.950000000000003" customHeight="1">
      <c r="A55" s="42">
        <f t="shared" si="2"/>
        <v>0</v>
      </c>
      <c r="B55" s="40">
        <f t="shared" si="4"/>
        <v>0</v>
      </c>
      <c r="C55" s="40">
        <f t="shared" si="5"/>
        <v>0</v>
      </c>
      <c r="D55" s="43">
        <f t="shared" si="6"/>
        <v>0</v>
      </c>
      <c r="E55" s="43">
        <f t="shared" si="7"/>
        <v>0</v>
      </c>
      <c r="F55" s="43">
        <f t="shared" si="8"/>
        <v>0</v>
      </c>
      <c r="G55" s="43">
        <f t="shared" si="9"/>
        <v>0</v>
      </c>
      <c r="H55" s="43">
        <f t="shared" si="10"/>
        <v>0</v>
      </c>
      <c r="I55" s="43">
        <f t="shared" si="11"/>
        <v>0</v>
      </c>
      <c r="J55" s="43">
        <f t="shared" si="12"/>
        <v>0</v>
      </c>
      <c r="K55" s="41">
        <f t="shared" si="13"/>
        <v>0</v>
      </c>
      <c r="L55" s="41">
        <f t="shared" si="14"/>
        <v>0</v>
      </c>
      <c r="M55" s="41">
        <f t="shared" si="15"/>
        <v>0</v>
      </c>
      <c r="N55" s="41">
        <f t="shared" si="15"/>
        <v>0</v>
      </c>
      <c r="O55" s="57"/>
      <c r="P55" s="56">
        <v>12</v>
      </c>
    </row>
    <row r="56" spans="1:16" ht="39.950000000000003" customHeight="1">
      <c r="A56" s="42">
        <f t="shared" si="2"/>
        <v>0</v>
      </c>
      <c r="B56" s="40">
        <f t="shared" si="4"/>
        <v>0</v>
      </c>
      <c r="C56" s="40">
        <f t="shared" si="5"/>
        <v>0</v>
      </c>
      <c r="D56" s="43">
        <f t="shared" si="6"/>
        <v>0</v>
      </c>
      <c r="E56" s="43">
        <f t="shared" si="7"/>
        <v>0</v>
      </c>
      <c r="F56" s="43">
        <f t="shared" si="8"/>
        <v>0</v>
      </c>
      <c r="G56" s="43">
        <f t="shared" si="9"/>
        <v>0</v>
      </c>
      <c r="H56" s="43">
        <f t="shared" si="10"/>
        <v>0</v>
      </c>
      <c r="I56" s="43">
        <f t="shared" si="11"/>
        <v>0</v>
      </c>
      <c r="J56" s="43">
        <f t="shared" si="12"/>
        <v>0</v>
      </c>
      <c r="K56" s="41">
        <f t="shared" si="13"/>
        <v>0</v>
      </c>
      <c r="L56" s="41">
        <f t="shared" si="14"/>
        <v>0</v>
      </c>
      <c r="M56" s="41">
        <f t="shared" si="15"/>
        <v>0</v>
      </c>
      <c r="N56" s="41">
        <f t="shared" si="15"/>
        <v>0</v>
      </c>
      <c r="O56" s="57"/>
      <c r="P56" s="56">
        <v>13</v>
      </c>
    </row>
    <row r="57" spans="1:16" ht="39.950000000000003" customHeight="1">
      <c r="A57" s="42">
        <f t="shared" si="2"/>
        <v>0</v>
      </c>
      <c r="B57" s="40">
        <f t="shared" si="4"/>
        <v>0</v>
      </c>
      <c r="C57" s="40">
        <f t="shared" si="5"/>
        <v>0</v>
      </c>
      <c r="D57" s="43">
        <f t="shared" si="6"/>
        <v>0</v>
      </c>
      <c r="E57" s="43">
        <f t="shared" si="7"/>
        <v>0</v>
      </c>
      <c r="F57" s="43">
        <f t="shared" si="8"/>
        <v>0</v>
      </c>
      <c r="G57" s="43">
        <f t="shared" si="9"/>
        <v>0</v>
      </c>
      <c r="H57" s="43">
        <f t="shared" si="10"/>
        <v>0</v>
      </c>
      <c r="I57" s="43">
        <f t="shared" si="11"/>
        <v>0</v>
      </c>
      <c r="J57" s="43">
        <f t="shared" si="12"/>
        <v>0</v>
      </c>
      <c r="K57" s="41">
        <f t="shared" si="13"/>
        <v>0</v>
      </c>
      <c r="L57" s="41">
        <f t="shared" si="14"/>
        <v>0</v>
      </c>
      <c r="M57" s="41">
        <f t="shared" si="15"/>
        <v>0</v>
      </c>
      <c r="N57" s="41">
        <f t="shared" si="15"/>
        <v>0</v>
      </c>
      <c r="O57" s="57"/>
      <c r="P57" s="56">
        <v>14</v>
      </c>
    </row>
    <row r="58" spans="1:16" ht="39.950000000000003" customHeight="1">
      <c r="A58" s="42">
        <f t="shared" si="2"/>
        <v>0</v>
      </c>
      <c r="B58" s="40">
        <f t="shared" si="4"/>
        <v>0</v>
      </c>
      <c r="C58" s="40">
        <f t="shared" si="5"/>
        <v>0</v>
      </c>
      <c r="D58" s="43">
        <f t="shared" si="6"/>
        <v>0</v>
      </c>
      <c r="E58" s="43">
        <f t="shared" si="7"/>
        <v>0</v>
      </c>
      <c r="F58" s="43">
        <f t="shared" si="8"/>
        <v>0</v>
      </c>
      <c r="G58" s="43">
        <f t="shared" si="9"/>
        <v>0</v>
      </c>
      <c r="H58" s="43">
        <f t="shared" si="10"/>
        <v>0</v>
      </c>
      <c r="I58" s="43">
        <f t="shared" si="11"/>
        <v>0</v>
      </c>
      <c r="J58" s="43">
        <f t="shared" si="12"/>
        <v>0</v>
      </c>
      <c r="K58" s="41">
        <f t="shared" si="13"/>
        <v>0</v>
      </c>
      <c r="L58" s="41">
        <f t="shared" si="14"/>
        <v>0</v>
      </c>
      <c r="M58" s="41">
        <f t="shared" si="15"/>
        <v>0</v>
      </c>
      <c r="N58" s="41">
        <f t="shared" si="15"/>
        <v>0</v>
      </c>
      <c r="O58" s="57"/>
      <c r="P58" s="56">
        <v>15</v>
      </c>
    </row>
    <row r="59" spans="1:16" ht="39.950000000000003" customHeight="1">
      <c r="A59" s="42">
        <f t="shared" si="2"/>
        <v>0</v>
      </c>
      <c r="B59" s="40">
        <f t="shared" si="4"/>
        <v>0</v>
      </c>
      <c r="C59" s="40">
        <f t="shared" si="5"/>
        <v>0</v>
      </c>
      <c r="D59" s="43">
        <f t="shared" si="6"/>
        <v>0</v>
      </c>
      <c r="E59" s="43">
        <f t="shared" si="7"/>
        <v>0</v>
      </c>
      <c r="F59" s="43">
        <f t="shared" si="8"/>
        <v>0</v>
      </c>
      <c r="G59" s="43">
        <f t="shared" si="9"/>
        <v>0</v>
      </c>
      <c r="H59" s="43">
        <f t="shared" si="10"/>
        <v>0</v>
      </c>
      <c r="I59" s="43">
        <f t="shared" si="11"/>
        <v>0</v>
      </c>
      <c r="J59" s="43">
        <f t="shared" si="12"/>
        <v>0</v>
      </c>
      <c r="K59" s="41">
        <f t="shared" si="13"/>
        <v>0</v>
      </c>
      <c r="L59" s="41">
        <f t="shared" si="14"/>
        <v>0</v>
      </c>
      <c r="M59" s="41">
        <f t="shared" si="15"/>
        <v>0</v>
      </c>
      <c r="N59" s="41">
        <f t="shared" si="15"/>
        <v>0</v>
      </c>
      <c r="O59" s="57"/>
      <c r="P59" s="56">
        <v>16</v>
      </c>
    </row>
    <row r="60" spans="1:16" ht="39.950000000000003" customHeight="1">
      <c r="A60" s="42">
        <f t="shared" si="2"/>
        <v>0</v>
      </c>
      <c r="B60" s="40">
        <f t="shared" si="4"/>
        <v>0</v>
      </c>
      <c r="C60" s="40">
        <f t="shared" si="5"/>
        <v>0</v>
      </c>
      <c r="D60" s="43">
        <f t="shared" si="6"/>
        <v>0</v>
      </c>
      <c r="E60" s="43">
        <f t="shared" si="7"/>
        <v>0</v>
      </c>
      <c r="F60" s="43">
        <f t="shared" si="8"/>
        <v>0</v>
      </c>
      <c r="G60" s="43">
        <f t="shared" si="9"/>
        <v>0</v>
      </c>
      <c r="H60" s="43">
        <f t="shared" si="10"/>
        <v>0</v>
      </c>
      <c r="I60" s="43">
        <f t="shared" si="11"/>
        <v>0</v>
      </c>
      <c r="J60" s="43">
        <f t="shared" si="12"/>
        <v>0</v>
      </c>
      <c r="K60" s="41">
        <f t="shared" si="13"/>
        <v>0</v>
      </c>
      <c r="L60" s="41">
        <f t="shared" si="14"/>
        <v>0</v>
      </c>
      <c r="M60" s="41">
        <f t="shared" si="15"/>
        <v>0</v>
      </c>
      <c r="N60" s="41">
        <f t="shared" si="15"/>
        <v>0</v>
      </c>
      <c r="O60" s="57"/>
      <c r="P60" s="56">
        <v>17</v>
      </c>
    </row>
    <row r="61" spans="1:16" ht="39.950000000000003" customHeight="1">
      <c r="A61" s="42">
        <f t="shared" si="2"/>
        <v>0</v>
      </c>
      <c r="B61" s="40">
        <f t="shared" si="4"/>
        <v>0</v>
      </c>
      <c r="C61" s="40">
        <f t="shared" si="5"/>
        <v>0</v>
      </c>
      <c r="D61" s="43">
        <f t="shared" si="6"/>
        <v>0</v>
      </c>
      <c r="E61" s="43">
        <f t="shared" si="7"/>
        <v>0</v>
      </c>
      <c r="F61" s="43">
        <f t="shared" si="8"/>
        <v>0</v>
      </c>
      <c r="G61" s="43">
        <f t="shared" si="9"/>
        <v>0</v>
      </c>
      <c r="H61" s="43">
        <f t="shared" si="10"/>
        <v>0</v>
      </c>
      <c r="I61" s="43">
        <f t="shared" si="11"/>
        <v>0</v>
      </c>
      <c r="J61" s="43">
        <f t="shared" si="12"/>
        <v>0</v>
      </c>
      <c r="K61" s="41">
        <f t="shared" si="13"/>
        <v>0</v>
      </c>
      <c r="L61" s="41">
        <f t="shared" si="14"/>
        <v>0</v>
      </c>
      <c r="M61" s="41">
        <f t="shared" si="15"/>
        <v>0</v>
      </c>
      <c r="N61" s="41">
        <f t="shared" si="15"/>
        <v>0</v>
      </c>
      <c r="O61" s="57"/>
      <c r="P61" s="56">
        <v>18</v>
      </c>
    </row>
    <row r="62" spans="1:16" ht="39.950000000000003" customHeight="1">
      <c r="A62" s="42">
        <f t="shared" si="2"/>
        <v>0</v>
      </c>
      <c r="B62" s="40">
        <f t="shared" si="4"/>
        <v>0</v>
      </c>
      <c r="C62" s="40">
        <f t="shared" si="5"/>
        <v>0</v>
      </c>
      <c r="D62" s="43">
        <f t="shared" si="6"/>
        <v>0</v>
      </c>
      <c r="E62" s="43">
        <f t="shared" si="7"/>
        <v>0</v>
      </c>
      <c r="F62" s="43">
        <f t="shared" si="8"/>
        <v>0</v>
      </c>
      <c r="G62" s="43">
        <f t="shared" si="9"/>
        <v>0</v>
      </c>
      <c r="H62" s="43">
        <f t="shared" si="10"/>
        <v>0</v>
      </c>
      <c r="I62" s="43">
        <f t="shared" si="11"/>
        <v>0</v>
      </c>
      <c r="J62" s="43">
        <f t="shared" si="12"/>
        <v>0</v>
      </c>
      <c r="K62" s="41">
        <f t="shared" si="13"/>
        <v>0</v>
      </c>
      <c r="L62" s="41">
        <f t="shared" si="14"/>
        <v>0</v>
      </c>
      <c r="M62" s="41">
        <f t="shared" si="15"/>
        <v>0</v>
      </c>
      <c r="N62" s="41">
        <f t="shared" si="15"/>
        <v>0</v>
      </c>
      <c r="O62" s="57"/>
      <c r="P62" s="56">
        <v>19</v>
      </c>
    </row>
    <row r="63" spans="1:16" ht="39.950000000000003" customHeight="1">
      <c r="A63" s="42">
        <f t="shared" si="2"/>
        <v>0</v>
      </c>
      <c r="B63" s="40">
        <f t="shared" si="4"/>
        <v>0</v>
      </c>
      <c r="C63" s="40">
        <f t="shared" si="5"/>
        <v>0</v>
      </c>
      <c r="D63" s="43">
        <f t="shared" si="6"/>
        <v>0</v>
      </c>
      <c r="E63" s="43">
        <f t="shared" si="7"/>
        <v>0</v>
      </c>
      <c r="F63" s="43">
        <f t="shared" si="8"/>
        <v>0</v>
      </c>
      <c r="G63" s="43">
        <f t="shared" si="9"/>
        <v>0</v>
      </c>
      <c r="H63" s="43">
        <f t="shared" si="10"/>
        <v>0</v>
      </c>
      <c r="I63" s="43">
        <f t="shared" si="11"/>
        <v>0</v>
      </c>
      <c r="J63" s="43">
        <f t="shared" si="12"/>
        <v>0</v>
      </c>
      <c r="K63" s="41">
        <f t="shared" si="13"/>
        <v>0</v>
      </c>
      <c r="L63" s="41">
        <f t="shared" si="14"/>
        <v>0</v>
      </c>
      <c r="M63" s="41">
        <f t="shared" si="15"/>
        <v>0</v>
      </c>
      <c r="N63" s="41">
        <f t="shared" si="15"/>
        <v>0</v>
      </c>
      <c r="O63" s="57"/>
      <c r="P63" s="56">
        <v>20</v>
      </c>
    </row>
    <row r="64" spans="1:16" ht="39.950000000000003" customHeight="1">
      <c r="A64" s="42">
        <f t="shared" si="2"/>
        <v>0</v>
      </c>
      <c r="B64" s="40">
        <f t="shared" si="4"/>
        <v>0</v>
      </c>
      <c r="C64" s="40">
        <f t="shared" si="5"/>
        <v>0</v>
      </c>
      <c r="D64" s="43">
        <f t="shared" si="6"/>
        <v>0</v>
      </c>
      <c r="E64" s="43">
        <f t="shared" si="7"/>
        <v>0</v>
      </c>
      <c r="F64" s="43">
        <f t="shared" si="8"/>
        <v>0</v>
      </c>
      <c r="G64" s="43">
        <f t="shared" si="9"/>
        <v>0</v>
      </c>
      <c r="H64" s="43">
        <f t="shared" si="10"/>
        <v>0</v>
      </c>
      <c r="I64" s="43">
        <f t="shared" si="11"/>
        <v>0</v>
      </c>
      <c r="J64" s="43">
        <f t="shared" si="12"/>
        <v>0</v>
      </c>
      <c r="K64" s="41">
        <f t="shared" si="13"/>
        <v>0</v>
      </c>
      <c r="L64" s="41">
        <f t="shared" si="14"/>
        <v>0</v>
      </c>
      <c r="M64" s="41">
        <f t="shared" si="15"/>
        <v>0</v>
      </c>
      <c r="N64" s="41">
        <f t="shared" si="15"/>
        <v>0</v>
      </c>
      <c r="O64" s="57"/>
      <c r="P64" s="56">
        <v>21</v>
      </c>
    </row>
    <row r="65" spans="1:16" ht="39.950000000000003" customHeight="1">
      <c r="A65" s="42">
        <f t="shared" si="2"/>
        <v>0</v>
      </c>
      <c r="B65" s="40">
        <f t="shared" si="4"/>
        <v>0</v>
      </c>
      <c r="C65" s="40">
        <f t="shared" si="5"/>
        <v>0</v>
      </c>
      <c r="D65" s="43">
        <f t="shared" si="6"/>
        <v>0</v>
      </c>
      <c r="E65" s="43">
        <f t="shared" si="7"/>
        <v>0</v>
      </c>
      <c r="F65" s="43">
        <f t="shared" si="8"/>
        <v>0</v>
      </c>
      <c r="G65" s="43">
        <f t="shared" si="9"/>
        <v>0</v>
      </c>
      <c r="H65" s="43">
        <f t="shared" si="10"/>
        <v>0</v>
      </c>
      <c r="I65" s="43">
        <f t="shared" si="11"/>
        <v>0</v>
      </c>
      <c r="J65" s="43">
        <f t="shared" si="12"/>
        <v>0</v>
      </c>
      <c r="K65" s="41">
        <f t="shared" si="13"/>
        <v>0</v>
      </c>
      <c r="L65" s="41">
        <f t="shared" si="14"/>
        <v>0</v>
      </c>
      <c r="M65" s="41">
        <f t="shared" si="15"/>
        <v>0</v>
      </c>
      <c r="N65" s="41">
        <f t="shared" si="15"/>
        <v>0</v>
      </c>
      <c r="O65" s="57"/>
      <c r="P65" s="56">
        <v>22</v>
      </c>
    </row>
    <row r="66" spans="1:16" ht="39.950000000000003" customHeight="1">
      <c r="A66" s="42">
        <f t="shared" si="2"/>
        <v>0</v>
      </c>
      <c r="B66" s="40">
        <f t="shared" si="4"/>
        <v>0</v>
      </c>
      <c r="C66" s="40">
        <f t="shared" si="5"/>
        <v>0</v>
      </c>
      <c r="D66" s="43">
        <f t="shared" si="6"/>
        <v>0</v>
      </c>
      <c r="E66" s="43">
        <f t="shared" si="7"/>
        <v>0</v>
      </c>
      <c r="F66" s="43">
        <f t="shared" si="8"/>
        <v>0</v>
      </c>
      <c r="G66" s="43">
        <f t="shared" si="9"/>
        <v>0</v>
      </c>
      <c r="H66" s="43">
        <f t="shared" si="10"/>
        <v>0</v>
      </c>
      <c r="I66" s="43">
        <f t="shared" si="11"/>
        <v>0</v>
      </c>
      <c r="J66" s="43">
        <f t="shared" si="12"/>
        <v>0</v>
      </c>
      <c r="K66" s="41">
        <f t="shared" si="13"/>
        <v>0</v>
      </c>
      <c r="L66" s="41">
        <f t="shared" si="14"/>
        <v>0</v>
      </c>
      <c r="M66" s="41">
        <f t="shared" si="15"/>
        <v>0</v>
      </c>
      <c r="N66" s="41">
        <f t="shared" si="15"/>
        <v>0</v>
      </c>
      <c r="O66" s="57"/>
      <c r="P66" s="56">
        <v>23</v>
      </c>
    </row>
    <row r="67" spans="1:16" ht="39.950000000000003" customHeight="1">
      <c r="A67" s="42">
        <f t="shared" si="2"/>
        <v>0</v>
      </c>
      <c r="B67" s="40">
        <f t="shared" si="4"/>
        <v>0</v>
      </c>
      <c r="C67" s="40">
        <f t="shared" si="5"/>
        <v>0</v>
      </c>
      <c r="D67" s="43">
        <f t="shared" si="6"/>
        <v>0</v>
      </c>
      <c r="E67" s="43">
        <f t="shared" si="7"/>
        <v>0</v>
      </c>
      <c r="F67" s="43">
        <f t="shared" si="8"/>
        <v>0</v>
      </c>
      <c r="G67" s="43">
        <f t="shared" si="9"/>
        <v>0</v>
      </c>
      <c r="H67" s="43">
        <f t="shared" si="10"/>
        <v>0</v>
      </c>
      <c r="I67" s="43">
        <f t="shared" si="11"/>
        <v>0</v>
      </c>
      <c r="J67" s="43">
        <f t="shared" si="12"/>
        <v>0</v>
      </c>
      <c r="K67" s="41">
        <f t="shared" si="13"/>
        <v>0</v>
      </c>
      <c r="L67" s="41">
        <f t="shared" si="14"/>
        <v>0</v>
      </c>
      <c r="M67" s="41">
        <f t="shared" si="15"/>
        <v>0</v>
      </c>
      <c r="N67" s="41">
        <f t="shared" si="15"/>
        <v>0</v>
      </c>
      <c r="O67" s="57"/>
      <c r="P67" s="56">
        <v>24</v>
      </c>
    </row>
    <row r="68" spans="1:16" ht="39.950000000000003" customHeight="1">
      <c r="A68" s="42">
        <f t="shared" si="2"/>
        <v>0</v>
      </c>
      <c r="B68" s="40">
        <f t="shared" si="4"/>
        <v>0</v>
      </c>
      <c r="C68" s="40">
        <f t="shared" si="5"/>
        <v>0</v>
      </c>
      <c r="D68" s="43">
        <f t="shared" si="6"/>
        <v>0</v>
      </c>
      <c r="E68" s="43">
        <f t="shared" si="7"/>
        <v>0</v>
      </c>
      <c r="F68" s="43">
        <f t="shared" si="8"/>
        <v>0</v>
      </c>
      <c r="G68" s="43">
        <f t="shared" si="9"/>
        <v>0</v>
      </c>
      <c r="H68" s="43">
        <f t="shared" si="10"/>
        <v>0</v>
      </c>
      <c r="I68" s="43">
        <f t="shared" si="11"/>
        <v>0</v>
      </c>
      <c r="J68" s="43">
        <f t="shared" si="12"/>
        <v>0</v>
      </c>
      <c r="K68" s="41">
        <f t="shared" si="13"/>
        <v>0</v>
      </c>
      <c r="L68" s="41">
        <f t="shared" si="14"/>
        <v>0</v>
      </c>
      <c r="M68" s="41">
        <f t="shared" si="15"/>
        <v>0</v>
      </c>
      <c r="N68" s="41">
        <f t="shared" si="15"/>
        <v>0</v>
      </c>
      <c r="O68" s="57"/>
      <c r="P68" s="56">
        <v>25</v>
      </c>
    </row>
    <row r="69" spans="1:16" ht="39.950000000000003" customHeight="1">
      <c r="A69" s="42">
        <f t="shared" si="2"/>
        <v>0</v>
      </c>
      <c r="B69" s="40">
        <f t="shared" si="4"/>
        <v>0</v>
      </c>
      <c r="C69" s="40">
        <f t="shared" si="5"/>
        <v>0</v>
      </c>
      <c r="D69" s="43">
        <f t="shared" si="6"/>
        <v>0</v>
      </c>
      <c r="E69" s="43">
        <f t="shared" si="7"/>
        <v>0</v>
      </c>
      <c r="F69" s="43">
        <f t="shared" si="8"/>
        <v>0</v>
      </c>
      <c r="G69" s="43">
        <f t="shared" si="9"/>
        <v>0</v>
      </c>
      <c r="H69" s="43">
        <f t="shared" si="10"/>
        <v>0</v>
      </c>
      <c r="I69" s="43">
        <f t="shared" si="11"/>
        <v>0</v>
      </c>
      <c r="J69" s="43">
        <f t="shared" si="12"/>
        <v>0</v>
      </c>
      <c r="K69" s="41">
        <f t="shared" si="13"/>
        <v>0</v>
      </c>
      <c r="L69" s="41">
        <f t="shared" si="14"/>
        <v>0</v>
      </c>
      <c r="M69" s="41">
        <f t="shared" si="15"/>
        <v>0</v>
      </c>
      <c r="N69" s="41">
        <f t="shared" si="15"/>
        <v>0</v>
      </c>
      <c r="O69" s="57"/>
      <c r="P69" s="56">
        <v>26</v>
      </c>
    </row>
    <row r="70" spans="1:16" ht="39.950000000000003" customHeight="1">
      <c r="A70" s="42">
        <f t="shared" si="2"/>
        <v>0</v>
      </c>
      <c r="B70" s="40">
        <f t="shared" si="4"/>
        <v>0</v>
      </c>
      <c r="C70" s="40">
        <f t="shared" si="5"/>
        <v>0</v>
      </c>
      <c r="D70" s="43">
        <f t="shared" si="6"/>
        <v>0</v>
      </c>
      <c r="E70" s="43">
        <f t="shared" si="7"/>
        <v>0</v>
      </c>
      <c r="F70" s="43">
        <f t="shared" si="8"/>
        <v>0</v>
      </c>
      <c r="G70" s="43">
        <f t="shared" si="9"/>
        <v>0</v>
      </c>
      <c r="H70" s="43">
        <f t="shared" si="10"/>
        <v>0</v>
      </c>
      <c r="I70" s="43">
        <f t="shared" si="11"/>
        <v>0</v>
      </c>
      <c r="J70" s="43">
        <f t="shared" si="12"/>
        <v>0</v>
      </c>
      <c r="K70" s="41">
        <f t="shared" si="13"/>
        <v>0</v>
      </c>
      <c r="L70" s="41">
        <f t="shared" si="14"/>
        <v>0</v>
      </c>
      <c r="M70" s="41">
        <f t="shared" si="15"/>
        <v>0</v>
      </c>
      <c r="N70" s="41">
        <f t="shared" si="15"/>
        <v>0</v>
      </c>
      <c r="O70" s="57"/>
      <c r="P70" s="56">
        <v>27</v>
      </c>
    </row>
    <row r="71" spans="1:16" ht="39.950000000000003" customHeight="1">
      <c r="A71" s="42">
        <f t="shared" si="2"/>
        <v>0</v>
      </c>
      <c r="B71" s="40">
        <f t="shared" si="4"/>
        <v>0</v>
      </c>
      <c r="C71" s="40">
        <f t="shared" si="5"/>
        <v>0</v>
      </c>
      <c r="D71" s="43">
        <f t="shared" si="6"/>
        <v>0</v>
      </c>
      <c r="E71" s="43">
        <f t="shared" si="7"/>
        <v>0</v>
      </c>
      <c r="F71" s="43">
        <f t="shared" si="8"/>
        <v>0</v>
      </c>
      <c r="G71" s="43">
        <f t="shared" si="9"/>
        <v>0</v>
      </c>
      <c r="H71" s="43">
        <f t="shared" si="10"/>
        <v>0</v>
      </c>
      <c r="I71" s="43">
        <f t="shared" si="11"/>
        <v>0</v>
      </c>
      <c r="J71" s="43">
        <f t="shared" si="12"/>
        <v>0</v>
      </c>
      <c r="K71" s="41">
        <f t="shared" si="13"/>
        <v>0</v>
      </c>
      <c r="L71" s="41">
        <f t="shared" si="14"/>
        <v>0</v>
      </c>
      <c r="M71" s="41">
        <f t="shared" si="15"/>
        <v>0</v>
      </c>
      <c r="N71" s="41">
        <f t="shared" si="15"/>
        <v>0</v>
      </c>
      <c r="O71" s="57"/>
      <c r="P71" s="56">
        <v>28</v>
      </c>
    </row>
    <row r="72" spans="1:16" ht="39.950000000000003" customHeight="1">
      <c r="A72" s="42">
        <f t="shared" si="2"/>
        <v>0</v>
      </c>
      <c r="B72" s="40">
        <f t="shared" si="4"/>
        <v>0</v>
      </c>
      <c r="C72" s="40">
        <f t="shared" si="5"/>
        <v>0</v>
      </c>
      <c r="D72" s="43">
        <f t="shared" si="6"/>
        <v>0</v>
      </c>
      <c r="E72" s="43">
        <f t="shared" si="7"/>
        <v>0</v>
      </c>
      <c r="F72" s="43">
        <f t="shared" si="8"/>
        <v>0</v>
      </c>
      <c r="G72" s="43">
        <f t="shared" si="9"/>
        <v>0</v>
      </c>
      <c r="H72" s="43">
        <f t="shared" si="10"/>
        <v>0</v>
      </c>
      <c r="I72" s="43">
        <f t="shared" si="11"/>
        <v>0</v>
      </c>
      <c r="J72" s="43">
        <f t="shared" si="12"/>
        <v>0</v>
      </c>
      <c r="K72" s="41">
        <f t="shared" si="13"/>
        <v>0</v>
      </c>
      <c r="L72" s="41">
        <f t="shared" si="14"/>
        <v>0</v>
      </c>
      <c r="M72" s="41">
        <f t="shared" si="15"/>
        <v>0</v>
      </c>
      <c r="N72" s="41">
        <f t="shared" si="15"/>
        <v>0</v>
      </c>
      <c r="O72" s="57"/>
      <c r="P72" s="56">
        <v>29</v>
      </c>
    </row>
    <row r="73" spans="1:16" ht="39.950000000000003" customHeight="1">
      <c r="A73" s="42">
        <f t="shared" si="2"/>
        <v>0</v>
      </c>
      <c r="B73" s="40">
        <f t="shared" si="4"/>
        <v>0</v>
      </c>
      <c r="C73" s="40">
        <f t="shared" si="5"/>
        <v>0</v>
      </c>
      <c r="D73" s="43">
        <f t="shared" si="6"/>
        <v>0</v>
      </c>
      <c r="E73" s="43">
        <f t="shared" si="7"/>
        <v>0</v>
      </c>
      <c r="F73" s="43">
        <f t="shared" si="8"/>
        <v>0</v>
      </c>
      <c r="G73" s="43">
        <f t="shared" si="9"/>
        <v>0</v>
      </c>
      <c r="H73" s="43">
        <f t="shared" si="10"/>
        <v>0</v>
      </c>
      <c r="I73" s="43">
        <f t="shared" si="11"/>
        <v>0</v>
      </c>
      <c r="J73" s="43">
        <f t="shared" si="12"/>
        <v>0</v>
      </c>
      <c r="K73" s="41">
        <f t="shared" si="13"/>
        <v>0</v>
      </c>
      <c r="L73" s="41">
        <f t="shared" si="14"/>
        <v>0</v>
      </c>
      <c r="M73" s="41">
        <f t="shared" si="15"/>
        <v>0</v>
      </c>
      <c r="N73" s="41">
        <f t="shared" si="15"/>
        <v>0</v>
      </c>
      <c r="O73" s="57"/>
      <c r="P73" s="56">
        <v>30</v>
      </c>
    </row>
    <row r="74" spans="1:16" ht="39.950000000000003" customHeight="1">
      <c r="A74" s="58">
        <f t="shared" si="2"/>
        <v>0</v>
      </c>
      <c r="B74" s="59">
        <f t="shared" si="4"/>
        <v>0</v>
      </c>
      <c r="C74" s="59">
        <f t="shared" si="5"/>
        <v>0</v>
      </c>
      <c r="D74" s="60">
        <f t="shared" si="6"/>
        <v>0</v>
      </c>
      <c r="E74" s="60">
        <f t="shared" si="7"/>
        <v>0</v>
      </c>
      <c r="F74" s="60">
        <f t="shared" si="8"/>
        <v>0</v>
      </c>
      <c r="G74" s="60">
        <f t="shared" si="9"/>
        <v>0</v>
      </c>
      <c r="H74" s="60">
        <f t="shared" si="10"/>
        <v>0</v>
      </c>
      <c r="I74" s="60">
        <f t="shared" si="11"/>
        <v>0</v>
      </c>
      <c r="J74" s="60">
        <f t="shared" si="12"/>
        <v>0</v>
      </c>
      <c r="K74" s="41">
        <f t="shared" si="13"/>
        <v>0</v>
      </c>
      <c r="L74" s="41">
        <f t="shared" si="14"/>
        <v>0</v>
      </c>
      <c r="M74" s="41">
        <f t="shared" si="15"/>
        <v>0</v>
      </c>
      <c r="N74" s="41">
        <f t="shared" si="15"/>
        <v>0</v>
      </c>
      <c r="O74" s="64"/>
      <c r="P74" s="56">
        <v>31</v>
      </c>
    </row>
    <row r="75" spans="1:16" ht="39.950000000000003" customHeight="1">
      <c r="A75" s="61">
        <f>SUM(B75:O75)</f>
        <v>0</v>
      </c>
      <c r="B75" s="62">
        <f t="shared" ref="B75:O75" si="16">SUM(B44:B74)</f>
        <v>0</v>
      </c>
      <c r="C75" s="62">
        <f t="shared" si="16"/>
        <v>0</v>
      </c>
      <c r="D75" s="62">
        <f t="shared" si="16"/>
        <v>0</v>
      </c>
      <c r="E75" s="62">
        <f t="shared" si="16"/>
        <v>0</v>
      </c>
      <c r="F75" s="62">
        <f t="shared" si="16"/>
        <v>0</v>
      </c>
      <c r="G75" s="62">
        <f t="shared" si="16"/>
        <v>0</v>
      </c>
      <c r="H75" s="62">
        <f t="shared" si="16"/>
        <v>0</v>
      </c>
      <c r="I75" s="62">
        <f t="shared" si="16"/>
        <v>0</v>
      </c>
      <c r="J75" s="62">
        <f t="shared" si="16"/>
        <v>0</v>
      </c>
      <c r="K75" s="62">
        <f t="shared" si="16"/>
        <v>0</v>
      </c>
      <c r="L75" s="62">
        <f t="shared" si="16"/>
        <v>0</v>
      </c>
      <c r="M75" s="62">
        <f t="shared" si="16"/>
        <v>0</v>
      </c>
      <c r="N75" s="62">
        <f t="shared" si="16"/>
        <v>0</v>
      </c>
      <c r="O75" s="62">
        <f t="shared" si="16"/>
        <v>0</v>
      </c>
      <c r="P75" s="65" t="s">
        <v>115</v>
      </c>
    </row>
    <row r="76" spans="1:16" ht="32.25" customHeight="1">
      <c r="B76" s="635">
        <f>SUM(B75:C75)</f>
        <v>0</v>
      </c>
      <c r="C76" s="636"/>
      <c r="D76" s="635">
        <f>SUM(D75:E75)</f>
        <v>0</v>
      </c>
      <c r="E76" s="636"/>
      <c r="F76" s="635">
        <f>SUM(F75:G75)</f>
        <v>0</v>
      </c>
      <c r="G76" s="636"/>
      <c r="H76" s="63">
        <f>SUM(H75:H75)</f>
        <v>0</v>
      </c>
      <c r="I76" s="63">
        <f>SUM(I75:I75)</f>
        <v>0</v>
      </c>
      <c r="J76" s="63">
        <f>SUM(J75:J75)</f>
        <v>0</v>
      </c>
      <c r="K76" s="66">
        <f>K75</f>
        <v>0</v>
      </c>
      <c r="L76" s="66">
        <f>L75</f>
        <v>0</v>
      </c>
      <c r="M76" s="66">
        <f>M75</f>
        <v>0</v>
      </c>
      <c r="N76" s="66">
        <f>N75</f>
        <v>0</v>
      </c>
      <c r="O76" s="66">
        <f>O75</f>
        <v>0</v>
      </c>
    </row>
  </sheetData>
  <mergeCells count="17">
    <mergeCell ref="B76:C76"/>
    <mergeCell ref="D76:E76"/>
    <mergeCell ref="F76:G76"/>
    <mergeCell ref="B3:O3"/>
    <mergeCell ref="B6:C6"/>
    <mergeCell ref="D6:E6"/>
    <mergeCell ref="F6:G6"/>
    <mergeCell ref="B41:O41"/>
    <mergeCell ref="A3:A7"/>
    <mergeCell ref="A41:A43"/>
    <mergeCell ref="O6:O7"/>
    <mergeCell ref="O42:O43"/>
    <mergeCell ref="P42:P43"/>
    <mergeCell ref="B4:O5"/>
    <mergeCell ref="B42:C42"/>
    <mergeCell ref="D42:E42"/>
    <mergeCell ref="F42:G42"/>
  </mergeCells>
  <printOptions horizontalCentered="1"/>
  <pageMargins left="0" right="0" top="0.196850393700787" bottom="0" header="0" footer="0"/>
  <pageSetup paperSize="9" scale="21" fitToWidth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etat_receveur</vt:lpstr>
      <vt:lpstr>BUS</vt:lpstr>
      <vt:lpstr>LIGNE</vt:lpstr>
      <vt:lpstr>RETAION-BUS</vt:lpstr>
      <vt:lpstr>ROTATION-LIGNE</vt:lpstr>
      <vt:lpstr>RECAP1</vt:lpstr>
      <vt:lpstr>RECAP 2</vt:lpstr>
      <vt:lpstr>RECAP 3</vt:lpstr>
      <vt:lpstr>R4</vt:lpstr>
      <vt:lpstr>RECAP 5</vt:lpstr>
      <vt:lpstr>RECAP 6</vt:lpstr>
      <vt:lpstr>RECAP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ETUS</dc:creator>
  <cp:lastModifiedBy>ADMIN</cp:lastModifiedBy>
  <cp:lastPrinted>2023-05-02T09:40:00Z</cp:lastPrinted>
  <dcterms:created xsi:type="dcterms:W3CDTF">2018-07-31T07:44:00Z</dcterms:created>
  <dcterms:modified xsi:type="dcterms:W3CDTF">2026-03-29T15:16:15Z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BFAF7446F9A8465CBF205A3E7D8D9782_12</vt:lpwstr>
  </property>
  <property fmtid="{D5CDD505-2E9C-101B-9397-08002B2CF9AE}" pid="3" name="KSOProductBuildVer">
    <vt:lpwstr>1036-12.2.0.22549</vt:lpwstr>
  </property>
</Properties>
</file>